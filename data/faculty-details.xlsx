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aculty Detail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<sst xmlns="http://schemas.openxmlformats.org/spreadsheetml/2006/main" count="2525" uniqueCount="1305">
  <si>
    <t>S.No.</t>
  </si>
  <si>
    <t>Faculty ID</t>
  </si>
  <si>
    <t>Salutation</t>
  </si>
  <si>
    <t>Faculty Name</t>
  </si>
  <si>
    <t>Department Name</t>
  </si>
  <si>
    <t>Designation</t>
  </si>
  <si>
    <t>Email</t>
  </si>
  <si>
    <t>Theory Load</t>
  </si>
  <si>
    <t>Lab Load</t>
  </si>
  <si>
    <t>Theory Alloted</t>
  </si>
  <si>
    <t>Lab Alloted</t>
  </si>
  <si>
    <t>Working Status</t>
  </si>
  <si>
    <t>Theory load Status</t>
  </si>
  <si>
    <t>Lab Load Status</t>
  </si>
  <si>
    <t xml:space="preserve">Extra Theory Alloted </t>
  </si>
  <si>
    <t>Extra Lab Alloted</t>
  </si>
  <si>
    <t>AD10543</t>
  </si>
  <si>
    <t>Mr</t>
  </si>
  <si>
    <t>RANJITH G</t>
  </si>
  <si>
    <t>Artificial Intelligence and Data Science</t>
  </si>
  <si>
    <t>Assistant Professor Level III</t>
  </si>
  <si>
    <t>ranjith@bitsathy.ac.in</t>
  </si>
  <si>
    <t>AD10628</t>
  </si>
  <si>
    <t>Dr</t>
  </si>
  <si>
    <t>ARUN KUMAR R</t>
  </si>
  <si>
    <t>Associate Professor</t>
  </si>
  <si>
    <t>arunkumarr@bitsathy.ac.in</t>
  </si>
  <si>
    <t>AD10818</t>
  </si>
  <si>
    <t>ESWARAMOORTHY V</t>
  </si>
  <si>
    <t>Professor</t>
  </si>
  <si>
    <t>eswaramoorthyv@bitsathy.ac.in</t>
  </si>
  <si>
    <t>AD10838</t>
  </si>
  <si>
    <t>Mrs</t>
  </si>
  <si>
    <t>NITHYAPRIYA S</t>
  </si>
  <si>
    <t>nithyapriyas@bitsathy.ac.in</t>
  </si>
  <si>
    <t>AD10928</t>
  </si>
  <si>
    <t>NISHA DEVI K</t>
  </si>
  <si>
    <t>Assistant Professor Level II</t>
  </si>
  <si>
    <t>nishadevik@bitsathy.ac.in</t>
  </si>
  <si>
    <t>AD10931</t>
  </si>
  <si>
    <t>BALASAMY K</t>
  </si>
  <si>
    <t>balasamyk@bitsathy.ac.in</t>
  </si>
  <si>
    <t>AD10936</t>
  </si>
  <si>
    <t>PRABANAND S C</t>
  </si>
  <si>
    <t>prabanandsc@bitsathy.ac.in</t>
  </si>
  <si>
    <t>AD10945</t>
  </si>
  <si>
    <t>SATHEESH N P</t>
  </si>
  <si>
    <t>Assistant Professor Level I</t>
  </si>
  <si>
    <t>satheeshnp@bitsathy.ac.in</t>
  </si>
  <si>
    <t>AD10953</t>
  </si>
  <si>
    <t>RAJ KUMAR V S</t>
  </si>
  <si>
    <t>rajkumarvs@bitsathy.ac.in</t>
  </si>
  <si>
    <t>AD10955</t>
  </si>
  <si>
    <t>Ms</t>
  </si>
  <si>
    <t>ESAKKI MADURA E</t>
  </si>
  <si>
    <t>esakkimadurae@bitsathy.ac.in</t>
  </si>
  <si>
    <t>AD11009</t>
  </si>
  <si>
    <t>DIVYABARATHI P</t>
  </si>
  <si>
    <t>divyabarathip@bitsathy.ac.in</t>
  </si>
  <si>
    <t>AD11016</t>
  </si>
  <si>
    <t>SATHEESHKUMAR S</t>
  </si>
  <si>
    <t>satheeshkumars@bitsathy.ac.in</t>
  </si>
  <si>
    <t>AD11019</t>
  </si>
  <si>
    <t>KIRUTHIGA R</t>
  </si>
  <si>
    <t>kiruthigar@bitsathy.ac.in</t>
  </si>
  <si>
    <t>AD11023</t>
  </si>
  <si>
    <t>VAANATHI S</t>
  </si>
  <si>
    <t>vaanathi@bitsathy.ac.in</t>
  </si>
  <si>
    <t>AD11026</t>
  </si>
  <si>
    <t>CHOZHARAJAN P</t>
  </si>
  <si>
    <t>chozharajanp@bitsathy.ac.in</t>
  </si>
  <si>
    <t>AD11041</t>
  </si>
  <si>
    <t>ASHFORN HERMINA J M</t>
  </si>
  <si>
    <t>ashfornherminajm@bitsathy.ac.in</t>
  </si>
  <si>
    <t>AD11042</t>
  </si>
  <si>
    <t>JEEVITHA S V</t>
  </si>
  <si>
    <t>jeevithasv@bitsathy.ac.in</t>
  </si>
  <si>
    <t>AD11068</t>
  </si>
  <si>
    <t>BENITA GRACIA THANGAM J</t>
  </si>
  <si>
    <t>benitagraciathangam@bitsathy.ac.in</t>
  </si>
  <si>
    <t>AD11069</t>
  </si>
  <si>
    <t>PREMKUMAR C</t>
  </si>
  <si>
    <t>premkumar@bitsathy.ac.in</t>
  </si>
  <si>
    <t>AD1108</t>
  </si>
  <si>
    <t>SUNDARA MURTHY S</t>
  </si>
  <si>
    <t>sundaramurthys@bitsathy.ac.in</t>
  </si>
  <si>
    <t>AD11089</t>
  </si>
  <si>
    <t>RESHMI T S</t>
  </si>
  <si>
    <t>reshmits@bitsathy.ac.in</t>
  </si>
  <si>
    <t>AD11096</t>
  </si>
  <si>
    <t>SUBBULAKSHMI M</t>
  </si>
  <si>
    <t>subbulakshmi@bitsathy.ac.in</t>
  </si>
  <si>
    <t>AD11104</t>
  </si>
  <si>
    <t>KALPANA R</t>
  </si>
  <si>
    <t>kalpana@bitsathy.ac.in</t>
  </si>
  <si>
    <t>AD11111</t>
  </si>
  <si>
    <t>SURIYA V</t>
  </si>
  <si>
    <t>suriya@bitsathy.ac.in</t>
  </si>
  <si>
    <t>AD11112</t>
  </si>
  <si>
    <t>HEMA PRIYA D</t>
  </si>
  <si>
    <t>hemapriyad@bitsathy.ac.in</t>
  </si>
  <si>
    <t>AD11114</t>
  </si>
  <si>
    <t>MANJU M</t>
  </si>
  <si>
    <t>manju@bitsathy.ac.in</t>
  </si>
  <si>
    <t>AD11116</t>
  </si>
  <si>
    <t>PRIYADHARSHNI S</t>
  </si>
  <si>
    <t>priyadharshni@bitsathy.ac.in</t>
  </si>
  <si>
    <t>AD11164</t>
  </si>
  <si>
    <t>SASSON TAFFWIN MOSES S</t>
  </si>
  <si>
    <t>sassontaffwinmosess@bitsathy.ac.in</t>
  </si>
  <si>
    <t>AD11169</t>
  </si>
  <si>
    <t>MANOCHITRA A S</t>
  </si>
  <si>
    <t>manochitra@bitsathy.ac.in</t>
  </si>
  <si>
    <t>AD11193</t>
  </si>
  <si>
    <t>NAVANEETH KUMAR K</t>
  </si>
  <si>
    <t>navaneethkumark@bitsathy.ac.in</t>
  </si>
  <si>
    <t>AD1444</t>
  </si>
  <si>
    <t>GOMATHI R</t>
  </si>
  <si>
    <t>gomathir@bitsathy.ac.in</t>
  </si>
  <si>
    <t>AD1963</t>
  </si>
  <si>
    <t>NANDHINI S S</t>
  </si>
  <si>
    <t>nandhiniss@bitsathy.ac.in</t>
  </si>
  <si>
    <t>AG10092</t>
  </si>
  <si>
    <t>VASUDEVAN M</t>
  </si>
  <si>
    <t>Agricultural Engineering</t>
  </si>
  <si>
    <t>vasudevan@bitsathy.ac.in</t>
  </si>
  <si>
    <t>AG10172</t>
  </si>
  <si>
    <t>VINOTH KUMAR J</t>
  </si>
  <si>
    <t>vinothkumar@bitsathy.ac.in</t>
  </si>
  <si>
    <t>AG10503</t>
  </si>
  <si>
    <t>CHELLADURAI V</t>
  </si>
  <si>
    <t>chelladurai@bitsathy.ac.in</t>
  </si>
  <si>
    <t>AG10895</t>
  </si>
  <si>
    <t>ANANTHI D</t>
  </si>
  <si>
    <t>ananthid@bitsathy.ac.in</t>
  </si>
  <si>
    <t>AG10994</t>
  </si>
  <si>
    <t>MUTHUKUMARAVEL K</t>
  </si>
  <si>
    <t>muthukumaravelk@bitsathy.ac.in</t>
  </si>
  <si>
    <t>AG11049</t>
  </si>
  <si>
    <t>PRAVEEN KUMAR D</t>
  </si>
  <si>
    <t>praveenkumard@bitsathy.ac.in</t>
  </si>
  <si>
    <t>AG11083</t>
  </si>
  <si>
    <t>RAGHUL S</t>
  </si>
  <si>
    <t>raghul@bitsathy.ac.in</t>
  </si>
  <si>
    <t>AG11178</t>
  </si>
  <si>
    <t>SNEKHA A R</t>
  </si>
  <si>
    <t>snekhaar@bitsathy.ac.in</t>
  </si>
  <si>
    <t>AG1312</t>
  </si>
  <si>
    <t>UVARAJA V C</t>
  </si>
  <si>
    <t>uvarajavc@bitsathy.ac.in</t>
  </si>
  <si>
    <t>AM10176</t>
  </si>
  <si>
    <t>SUDHA R</t>
  </si>
  <si>
    <t>Artificial Intelligence and Machine Learning</t>
  </si>
  <si>
    <t>sudha@bitsathy.ac.in</t>
  </si>
  <si>
    <t>AM1025</t>
  </si>
  <si>
    <t>BHARATHI A</t>
  </si>
  <si>
    <t>bharathia@bitsathy.ac.in</t>
  </si>
  <si>
    <t>AM10795</t>
  </si>
  <si>
    <t>PADMASHREE A</t>
  </si>
  <si>
    <t>padmashreea@bitsathy.ac.in</t>
  </si>
  <si>
    <t>AM10907</t>
  </si>
  <si>
    <t>RAJASEKAR S S</t>
  </si>
  <si>
    <t>rajasekarss@bitsathy.ac.in</t>
  </si>
  <si>
    <t>AM10954</t>
  </si>
  <si>
    <t>HARI PRIYA R</t>
  </si>
  <si>
    <t>haripriyar@bitsathy.ac.in</t>
  </si>
  <si>
    <t>AM10956</t>
  </si>
  <si>
    <t>KARTHIKA S</t>
  </si>
  <si>
    <t>karthikas@bitsathy.ac.in</t>
  </si>
  <si>
    <t>AM10971</t>
  </si>
  <si>
    <t>NITHIN P</t>
  </si>
  <si>
    <t>nithinp@bitsathy.ac.in</t>
  </si>
  <si>
    <t>AM11013</t>
  </si>
  <si>
    <t>SATHESHKUMAR K</t>
  </si>
  <si>
    <t>satheshkumar@bitsathy.ac.in</t>
  </si>
  <si>
    <t>AM11039</t>
  </si>
  <si>
    <t>EUGENE BERNA I</t>
  </si>
  <si>
    <t>eugenebernai@bitsathy.ac.in</t>
  </si>
  <si>
    <t>AM11052</t>
  </si>
  <si>
    <t>MOHANAPRIYA K</t>
  </si>
  <si>
    <t>mohanapriyak@bitsathy.ac.in</t>
  </si>
  <si>
    <t>AM11058</t>
  </si>
  <si>
    <t>BALAMURUGAN E</t>
  </si>
  <si>
    <t>balamurugane@bitsathy.ac.in</t>
  </si>
  <si>
    <t>AM11092</t>
  </si>
  <si>
    <t>KANIMOZHI A</t>
  </si>
  <si>
    <t>kanimozhi@bitsathy.ac.in</t>
  </si>
  <si>
    <t>AM11095</t>
  </si>
  <si>
    <t>GAYATHRIDEVI M</t>
  </si>
  <si>
    <t>gayathridevi@bitsathy.ac.in</t>
  </si>
  <si>
    <t>AM11100</t>
  </si>
  <si>
    <t>NISHANTHINI S</t>
  </si>
  <si>
    <t>nishanthinis@bitsathy.ac.in</t>
  </si>
  <si>
    <t>AM11110</t>
  </si>
  <si>
    <t>SASITHRA S</t>
  </si>
  <si>
    <t>sasithra@bitsathy.ac.in</t>
  </si>
  <si>
    <t>AM11113</t>
  </si>
  <si>
    <t>LOKESWARI P</t>
  </si>
  <si>
    <t>lokeswari@bitsathy.ac.in</t>
  </si>
  <si>
    <t>AM11161</t>
  </si>
  <si>
    <t>KARTHIKEYAN G</t>
  </si>
  <si>
    <t>karthikeyang@bitsathy.ac.in</t>
  </si>
  <si>
    <t>AM11166</t>
  </si>
  <si>
    <t>SARANYA M K</t>
  </si>
  <si>
    <t>saranyamk@bitsathy.ac.in</t>
  </si>
  <si>
    <t>AM11168</t>
  </si>
  <si>
    <t>SINDHUJAA N</t>
  </si>
  <si>
    <t>sindhujaan@bitsathy.ac.in</t>
  </si>
  <si>
    <t>AM1131</t>
  </si>
  <si>
    <t>GOPALAKRISHNAN B</t>
  </si>
  <si>
    <t>gopalakrishnanb@bitsathy.ac.in</t>
  </si>
  <si>
    <t>AM2241</t>
  </si>
  <si>
    <t>KODIESWARI A</t>
  </si>
  <si>
    <t>kodieswaria@bitsathy.ac.in</t>
  </si>
  <si>
    <t>AU10440</t>
  </si>
  <si>
    <t>TAMILSELVAN A</t>
  </si>
  <si>
    <t>Automobile Engineering</t>
  </si>
  <si>
    <t>tamilselvan@bitsathy.ac.in</t>
  </si>
  <si>
    <t>AU10645</t>
  </si>
  <si>
    <t>DHAYANEETHI S</t>
  </si>
  <si>
    <t>dhayaneethi@bitsathy.ac.in</t>
  </si>
  <si>
    <t>BM10939</t>
  </si>
  <si>
    <t>CAROLINE VINNETIA S</t>
  </si>
  <si>
    <t>Biomedical Engineering</t>
  </si>
  <si>
    <t>carolinevinnetias@bitsathy.ac.in</t>
  </si>
  <si>
    <t>BM11066</t>
  </si>
  <si>
    <t>SAAHINA S</t>
  </si>
  <si>
    <t>saahina@bitsathy.ac.in</t>
  </si>
  <si>
    <t>BM11071</t>
  </si>
  <si>
    <t>SYED ALTHAF S</t>
  </si>
  <si>
    <t>syedalthaf@bitsathy.ac.in</t>
  </si>
  <si>
    <t>BM11175</t>
  </si>
  <si>
    <t>SREENIVEATHA P</t>
  </si>
  <si>
    <t>sreeniveathap@bitsathy.ac.in</t>
  </si>
  <si>
    <t>BM11176</t>
  </si>
  <si>
    <t>PRATHEEBHA G</t>
  </si>
  <si>
    <t>pratheebhag@bitsathy.ac.in</t>
  </si>
  <si>
    <t>BM1429</t>
  </si>
  <si>
    <t>DEEPA D</t>
  </si>
  <si>
    <t>ddeepa@bitsathy.ac.in</t>
  </si>
  <si>
    <t>BT10375</t>
  </si>
  <si>
    <t>ASHWIN  RAJ S</t>
  </si>
  <si>
    <t>Biotechnology</t>
  </si>
  <si>
    <t>ashwinraj@bitsathy.ac.in</t>
  </si>
  <si>
    <t>BT10708</t>
  </si>
  <si>
    <t>RAJASEETHARAMA S</t>
  </si>
  <si>
    <t>rajaseetharama@bitsathy.ac.in</t>
  </si>
  <si>
    <t>BT10733</t>
  </si>
  <si>
    <t>SWATHI G</t>
  </si>
  <si>
    <t>swathi@bitsathy.ac.in</t>
  </si>
  <si>
    <t>BT10782</t>
  </si>
  <si>
    <t>JEYAVEL KARTHICK P</t>
  </si>
  <si>
    <t>jeyavelkarthick@bitsathy.ac.in</t>
  </si>
  <si>
    <t>BT10950</t>
  </si>
  <si>
    <t>DHIVYA DHARSHINI U</t>
  </si>
  <si>
    <t>dhivyadharshiniu@bitsathy.ac.in</t>
  </si>
  <si>
    <t>BT10978</t>
  </si>
  <si>
    <t>SAKTHISHOBANA K</t>
  </si>
  <si>
    <t>sakthishobanak@bitsathy.ac.in</t>
  </si>
  <si>
    <t>BT10984</t>
  </si>
  <si>
    <t>MAHIMA P</t>
  </si>
  <si>
    <t>mahimap@bitsathy.ac.in</t>
  </si>
  <si>
    <t>BT10988</t>
  </si>
  <si>
    <t>SANDHYARANI R</t>
  </si>
  <si>
    <t>sandhyaranir@bitsathy.ac.in</t>
  </si>
  <si>
    <t>BT10991</t>
  </si>
  <si>
    <t>BALAJI S</t>
  </si>
  <si>
    <t>balajisadhasivam@bitsathy.ac.in</t>
  </si>
  <si>
    <t>BT11033</t>
  </si>
  <si>
    <t>SURESH CHALUVADI</t>
  </si>
  <si>
    <t>sureshchaluvadi@bitsathy.ac.in</t>
  </si>
  <si>
    <t>BT11035</t>
  </si>
  <si>
    <t>NANDHINI N</t>
  </si>
  <si>
    <t>nandhinin@bitsathy.ac.in</t>
  </si>
  <si>
    <t>BT11050</t>
  </si>
  <si>
    <t>VINODHINI R T</t>
  </si>
  <si>
    <t>vinodhinirt@bitsathy.ac.in</t>
  </si>
  <si>
    <t>BT11134</t>
  </si>
  <si>
    <t>SARANYA S</t>
  </si>
  <si>
    <t>saranya@bitsathy.ac.in</t>
  </si>
  <si>
    <t>BT11198</t>
  </si>
  <si>
    <t>SHANKARI V</t>
  </si>
  <si>
    <t>shankariv@bitsathy.ac.in</t>
  </si>
  <si>
    <t>BT1388</t>
  </si>
  <si>
    <t>KANNAN K P</t>
  </si>
  <si>
    <t>kannankp@bitsathy.ac.in</t>
  </si>
  <si>
    <t>BT1477</t>
  </si>
  <si>
    <t>TAMILSELVI S</t>
  </si>
  <si>
    <t>tamilselvis@bitsathy.ac.in</t>
  </si>
  <si>
    <t>BT1606</t>
  </si>
  <si>
    <t>BALAKRISHNARAJA R</t>
  </si>
  <si>
    <t>balakrishnarajar@bitsathy.ac.in</t>
  </si>
  <si>
    <t>BT1849</t>
  </si>
  <si>
    <t>KIRUPA SANKAR M</t>
  </si>
  <si>
    <t>kirupasankarm@bitsathy.ac.in</t>
  </si>
  <si>
    <t>BT1930</t>
  </si>
  <si>
    <t>PAVITHRA MKS</t>
  </si>
  <si>
    <t>pavithramks@bitsathy.ac.in</t>
  </si>
  <si>
    <t>CB10791</t>
  </si>
  <si>
    <t>CHANDRU K S</t>
  </si>
  <si>
    <t>Computer Science and Business Systems</t>
  </si>
  <si>
    <t>chandruks@bitsathy.ac.in</t>
  </si>
  <si>
    <t>CB10890</t>
  </si>
  <si>
    <t>YUVALATHA S</t>
  </si>
  <si>
    <t>yuvalathas@bitsathy.ac.in</t>
  </si>
  <si>
    <t>CB10949</t>
  </si>
  <si>
    <t>MADHUMITHA A</t>
  </si>
  <si>
    <t>madhumithaa@bitsathy.ac.in</t>
  </si>
  <si>
    <t>CB10992</t>
  </si>
  <si>
    <t>SARANYA N</t>
  </si>
  <si>
    <t>saranyanj@bitsathy.ac.in</t>
  </si>
  <si>
    <t>CB11107</t>
  </si>
  <si>
    <t>NAVEENYA B P</t>
  </si>
  <si>
    <t>naveenya@bitsathy.ac.in</t>
  </si>
  <si>
    <t>CB11145</t>
  </si>
  <si>
    <t>DIVYA S</t>
  </si>
  <si>
    <t>divyaks@bitsathy.ac.in</t>
  </si>
  <si>
    <t>CB11170</t>
  </si>
  <si>
    <t>VAISHNAVI N</t>
  </si>
  <si>
    <t>vaishnavin@bitsathy.ac.in</t>
  </si>
  <si>
    <t>CB11172</t>
  </si>
  <si>
    <t>PRABAKAR S J</t>
  </si>
  <si>
    <t>prabakar@bitsathy.ac.in</t>
  </si>
  <si>
    <t>CD11061</t>
  </si>
  <si>
    <t>PREETHIMATHI L</t>
  </si>
  <si>
    <t>Computer Science and Design</t>
  </si>
  <si>
    <t>preethimathi@bitsathy.ac.in</t>
  </si>
  <si>
    <t>CD11062</t>
  </si>
  <si>
    <t>MAHESHKUMAR K</t>
  </si>
  <si>
    <t>maheshkumar@bitsathy.ac.in</t>
  </si>
  <si>
    <t>CD11174</t>
  </si>
  <si>
    <t>KIRUTHIKA S</t>
  </si>
  <si>
    <t>kiruthikas@bitsathy.ac.in</t>
  </si>
  <si>
    <t>CD11177</t>
  </si>
  <si>
    <t>MADHUMATHI S</t>
  </si>
  <si>
    <t>madhumathis@bitsathy.ac.in</t>
  </si>
  <si>
    <t>CD11179</t>
  </si>
  <si>
    <t>SUBHASHREE P</t>
  </si>
  <si>
    <t>subhashreep@bitsathy.ac.in</t>
  </si>
  <si>
    <t>CD11183</t>
  </si>
  <si>
    <t>INDHUMATHI K</t>
  </si>
  <si>
    <t>Assistant Professor Trainee</t>
  </si>
  <si>
    <t>indhumathik@bitsathy.ac.in</t>
  </si>
  <si>
    <t>CE10010</t>
  </si>
  <si>
    <t>MOHANRAJ A</t>
  </si>
  <si>
    <t>Civil Engineering</t>
  </si>
  <si>
    <t>mohanraja@bitsathy.ac.in</t>
  </si>
  <si>
    <t>CE10127</t>
  </si>
  <si>
    <t>GNANASUNDAR V M</t>
  </si>
  <si>
    <t>gnanasundar@bitsathy.ac.in</t>
  </si>
  <si>
    <t>CE10600</t>
  </si>
  <si>
    <t>ASHWATHI R</t>
  </si>
  <si>
    <t>ashwathi@bitsathy.ac.in</t>
  </si>
  <si>
    <t>CE10783</t>
  </si>
  <si>
    <t>JEYANTH B</t>
  </si>
  <si>
    <t>jeyanth@bitsathy.ac.in</t>
  </si>
  <si>
    <t>CE1797</t>
  </si>
  <si>
    <t>KARTHIGA  SHENBAGAM N</t>
  </si>
  <si>
    <t>karthigashenbagamn@bitsathy.ac.in</t>
  </si>
  <si>
    <t>CE1865</t>
  </si>
  <si>
    <t>GEETHAMANI R</t>
  </si>
  <si>
    <t>geethamanir@bitsathy.ac.in</t>
  </si>
  <si>
    <t>CE1954</t>
  </si>
  <si>
    <t>RAJENDRAN M</t>
  </si>
  <si>
    <t>rajendranm@bitsathy.ac.in</t>
  </si>
  <si>
    <t>CH10003</t>
  </si>
  <si>
    <t>SATHISH V</t>
  </si>
  <si>
    <t>Chemistry</t>
  </si>
  <si>
    <t>sathishv@bitsathy.ac.in</t>
  </si>
  <si>
    <t>CH10225</t>
  </si>
  <si>
    <t>MUTHUKUMAR P</t>
  </si>
  <si>
    <t>muthukumar@bitsathy.ac.in</t>
  </si>
  <si>
    <t>CH10314</t>
  </si>
  <si>
    <t>VISWANATHAN G</t>
  </si>
  <si>
    <t>viswanathan@bitsathy.ac.in</t>
  </si>
  <si>
    <t>CH10333</t>
  </si>
  <si>
    <t>MURALI KRISHNAN M</t>
  </si>
  <si>
    <t>muralikrishnan@bitsathy.ac.in</t>
  </si>
  <si>
    <t>CH10372</t>
  </si>
  <si>
    <t>RAMESHKUMAR A</t>
  </si>
  <si>
    <t>rameshkumar@bitsathy.ac.in</t>
  </si>
  <si>
    <t>CH10957</t>
  </si>
  <si>
    <t>DEEPHA V</t>
  </si>
  <si>
    <t>deephav@bitsathy.ac.in</t>
  </si>
  <si>
    <t>CH11057</t>
  </si>
  <si>
    <t>KARUPPUSAMY S</t>
  </si>
  <si>
    <t>karuppusamys@bitsathy.ac.in</t>
  </si>
  <si>
    <t>CH11126</t>
  </si>
  <si>
    <t>JESIN BENETO A</t>
  </si>
  <si>
    <t>jesinbeneto@bitsathy.ac.in</t>
  </si>
  <si>
    <t>CH11127</t>
  </si>
  <si>
    <t>MANIGANDAN S</t>
  </si>
  <si>
    <t>manigandan@bitsathy.ac.in</t>
  </si>
  <si>
    <t>CH11156</t>
  </si>
  <si>
    <t>KASTHURI S</t>
  </si>
  <si>
    <t>kasthuris@bitsathy.ac.in</t>
  </si>
  <si>
    <t>CH1493</t>
  </si>
  <si>
    <t>SUBHAPRIYA P</t>
  </si>
  <si>
    <t>subhapriyap@bitsathy.ac.in</t>
  </si>
  <si>
    <t>CH1557</t>
  </si>
  <si>
    <t>VIJAYANAND P S</t>
  </si>
  <si>
    <t>vijayanandps@bitsathy.ac.in</t>
  </si>
  <si>
    <t>CH1558</t>
  </si>
  <si>
    <t>PRAVEENA R</t>
  </si>
  <si>
    <t>praveenar@bitsathy.ac.in</t>
  </si>
  <si>
    <t>CH1578</t>
  </si>
  <si>
    <t>KAVITHA C</t>
  </si>
  <si>
    <t>kavithac@bitsathy.ac.in</t>
  </si>
  <si>
    <t>CH1894</t>
  </si>
  <si>
    <t>MALATHI MAHALINGAM</t>
  </si>
  <si>
    <t>malathimahalingamm@bitsathy.ac.in</t>
  </si>
  <si>
    <t>CS10025</t>
  </si>
  <si>
    <t>DINESH P S</t>
  </si>
  <si>
    <t>Computer Science &amp; Engineering</t>
  </si>
  <si>
    <t>dineshps@bitsathy.ac.in</t>
  </si>
  <si>
    <t>CS10239</t>
  </si>
  <si>
    <t>KARTHIGA M</t>
  </si>
  <si>
    <t>karthigam@bitsathy.ac.in</t>
  </si>
  <si>
    <t>CS10268</t>
  </si>
  <si>
    <t>GANAGAVALLI K</t>
  </si>
  <si>
    <t>ganagavalli@bitsathy.ac.in</t>
  </si>
  <si>
    <t>CS10308</t>
  </si>
  <si>
    <t>MOHAN KUMAR  V</t>
  </si>
  <si>
    <t>mohankumar@bitsathy.ac.in</t>
  </si>
  <si>
    <t>CS10449</t>
  </si>
  <si>
    <t>PRABHA DEVI D</t>
  </si>
  <si>
    <t>prabhadevi@bitsathy.ac.in</t>
  </si>
  <si>
    <t>CS10473</t>
  </si>
  <si>
    <t>SOUNDARIYA R S</t>
  </si>
  <si>
    <t>soundariya@bitsathy.ac.in</t>
  </si>
  <si>
    <t>CS10538</t>
  </si>
  <si>
    <t>PRAVEEN V</t>
  </si>
  <si>
    <t>praveen@bitsathy.ac.in</t>
  </si>
  <si>
    <t>CS10560</t>
  </si>
  <si>
    <t>SWATHYPRIYADHARSINI P</t>
  </si>
  <si>
    <t>swathypriyadharsini@bitsathy.ac.in</t>
  </si>
  <si>
    <t>CS10767</t>
  </si>
  <si>
    <t>MAGESH KUMAR B</t>
  </si>
  <si>
    <t>mageshkumar@bitsathy.ac.in</t>
  </si>
  <si>
    <t>CS10776</t>
  </si>
  <si>
    <t>SUSEENDRAN S</t>
  </si>
  <si>
    <t>suseendrans@bitsathy.ac.in</t>
  </si>
  <si>
    <t>CS10787</t>
  </si>
  <si>
    <t>PARTHASARATHI P</t>
  </si>
  <si>
    <t>parthasarathip@bitsathy.ac.in</t>
  </si>
  <si>
    <t>CS10789</t>
  </si>
  <si>
    <t>DHIVYA P</t>
  </si>
  <si>
    <t>dhivyap@bitsathy.ac.in</t>
  </si>
  <si>
    <t>CS10797</t>
  </si>
  <si>
    <t>SANGEETHAA SN</t>
  </si>
  <si>
    <t>sangeethaasn@bitsathy.ac.in</t>
  </si>
  <si>
    <t>CS10820</t>
  </si>
  <si>
    <t>RAJESH KANNA P</t>
  </si>
  <si>
    <t>rajeshkannap@bitsathy.ac.in</t>
  </si>
  <si>
    <t>CS10825</t>
  </si>
  <si>
    <t>KIRUTHIKA V R</t>
  </si>
  <si>
    <t>kiruthikavr@bitsathy.ac.in</t>
  </si>
  <si>
    <t>CS10843</t>
  </si>
  <si>
    <t>NITHYA R</t>
  </si>
  <si>
    <t>nithyars@bitsathy.ac.in</t>
  </si>
  <si>
    <t>CS10861</t>
  </si>
  <si>
    <t>SANGAVI N</t>
  </si>
  <si>
    <t>sangavin@bitsathy.ac.in</t>
  </si>
  <si>
    <t>CS10876</t>
  </si>
  <si>
    <t>SATHISHKANNAN R</t>
  </si>
  <si>
    <t>sathishkannanr@bitsathy.ac.in</t>
  </si>
  <si>
    <t>CS10880</t>
  </si>
  <si>
    <t>KALAIVANI E</t>
  </si>
  <si>
    <t>kalaivanie@bitsathy.ac.in</t>
  </si>
  <si>
    <t>CS10906</t>
  </si>
  <si>
    <t>SARANYA K</t>
  </si>
  <si>
    <t>saranyaks@bitsathy.ac.in</t>
  </si>
  <si>
    <t>CS10946</t>
  </si>
  <si>
    <t>RAMASAMI S</t>
  </si>
  <si>
    <t>ramasamis@bitsathy.ac.in</t>
  </si>
  <si>
    <t>CS10963</t>
  </si>
  <si>
    <t>RAJESHKUMAR G</t>
  </si>
  <si>
    <t>rajeshkumarg@bitsathy.ac.in</t>
  </si>
  <si>
    <t>CS10974</t>
  </si>
  <si>
    <t>STEEPHAN AMALRAJ J</t>
  </si>
  <si>
    <t>steephanamalrajj@bitsathy.ac.in</t>
  </si>
  <si>
    <t>CS10983</t>
  </si>
  <si>
    <t>KAVITHA R</t>
  </si>
  <si>
    <t>kavithar@bitsathy.ac.in</t>
  </si>
  <si>
    <t>CS11027</t>
  </si>
  <si>
    <t>SATHYAMOORTHY J</t>
  </si>
  <si>
    <t>sathyamoorthyj@bitsathy.ac.in</t>
  </si>
  <si>
    <t>CS11064</t>
  </si>
  <si>
    <t>MOHANAMBAL K</t>
  </si>
  <si>
    <t>mohanambal@bitsathy.ac.in</t>
  </si>
  <si>
    <t>CS11075</t>
  </si>
  <si>
    <t>CHITRADEVI T N</t>
  </si>
  <si>
    <t>chitradevi@bitsathy.ac.in</t>
  </si>
  <si>
    <t>CS11080</t>
  </si>
  <si>
    <t>AMMU V</t>
  </si>
  <si>
    <t>ammu@bitsathy.ac.in</t>
  </si>
  <si>
    <t>CS11081</t>
  </si>
  <si>
    <t>DEEPA PRIYA B S</t>
  </si>
  <si>
    <t>deepapriya@bitsathy.ac.in</t>
  </si>
  <si>
    <t>CS11084</t>
  </si>
  <si>
    <t>GUNAVARDINI V</t>
  </si>
  <si>
    <t>gunavardini@bitsathy.ac.in</t>
  </si>
  <si>
    <t>CS11086</t>
  </si>
  <si>
    <t>GAYATHRI S</t>
  </si>
  <si>
    <t>gayathris@bitsathy.ac.in</t>
  </si>
  <si>
    <t>CS11087</t>
  </si>
  <si>
    <t>PRIYANGA M A</t>
  </si>
  <si>
    <t>priyanga@bitsathy.ac.in</t>
  </si>
  <si>
    <t>CS11088</t>
  </si>
  <si>
    <t>SATHIYA B</t>
  </si>
  <si>
    <t>sathiya@bitsathy.ac.in</t>
  </si>
  <si>
    <t>CS11094</t>
  </si>
  <si>
    <t>RATHNA S</t>
  </si>
  <si>
    <t>rathna@bitsathy.ac.in</t>
  </si>
  <si>
    <t>CS1110</t>
  </si>
  <si>
    <t>SASIKALA D</t>
  </si>
  <si>
    <t>sasikalad@bitsathy.ac.in</t>
  </si>
  <si>
    <t>CS11101</t>
  </si>
  <si>
    <t>ALAMELU M</t>
  </si>
  <si>
    <t>alamelu@bitsathy.ac.in</t>
  </si>
  <si>
    <t>CS11119</t>
  </si>
  <si>
    <t>PARKAVI S</t>
  </si>
  <si>
    <t>parkavi@bitsathy.ac.in</t>
  </si>
  <si>
    <t>CS11150</t>
  </si>
  <si>
    <t>MYTHILI G M</t>
  </si>
  <si>
    <t>mythili@bitsathy.ac.in</t>
  </si>
  <si>
    <t>CS11157</t>
  </si>
  <si>
    <t>GAYATHIRI DEVI S</t>
  </si>
  <si>
    <t>gayathiridevis@bitsathy.ac.in</t>
  </si>
  <si>
    <t>CS11158</t>
  </si>
  <si>
    <t>KAYALVIZHI B</t>
  </si>
  <si>
    <t>kayalvizhib@bitsathy.ac.in</t>
  </si>
  <si>
    <t>CS11162</t>
  </si>
  <si>
    <t>THANGATAMILSELVI S</t>
  </si>
  <si>
    <t>thangatamilselvis@bitsathy.ac.in</t>
  </si>
  <si>
    <t>CS11163</t>
  </si>
  <si>
    <t>MAHESH S</t>
  </si>
  <si>
    <t>maheshs@bitsathy.ac.in</t>
  </si>
  <si>
    <t>CS11171</t>
  </si>
  <si>
    <t>JACKSON J</t>
  </si>
  <si>
    <t>jacksonj@bitsathy.ac.in</t>
  </si>
  <si>
    <t>CS11180</t>
  </si>
  <si>
    <t>RANGARAJ K</t>
  </si>
  <si>
    <t>rangarajk@bitsathy.ac.in</t>
  </si>
  <si>
    <t>CS11185</t>
  </si>
  <si>
    <t>ASWIN JAYA SURYA M J</t>
  </si>
  <si>
    <t>aswinjayasuryamj@bitsathy.ac.in</t>
  </si>
  <si>
    <t>CS11197</t>
  </si>
  <si>
    <t>GOKUL M S</t>
  </si>
  <si>
    <t>gokulms@bitsathy.ac.in</t>
  </si>
  <si>
    <t>CS1362</t>
  </si>
  <si>
    <t>SATHISHKUMAR P</t>
  </si>
  <si>
    <t>sathishkumarp@bitsathy.ac.in</t>
  </si>
  <si>
    <t>CS1618</t>
  </si>
  <si>
    <t>PREMALATHA K</t>
  </si>
  <si>
    <t>premalathak@bitsathy.ac.in</t>
  </si>
  <si>
    <t>CS1906</t>
  </si>
  <si>
    <t>RAMYA R</t>
  </si>
  <si>
    <t>ramyarv@bitsathy.ac.in</t>
  </si>
  <si>
    <t>CT10659</t>
  </si>
  <si>
    <t>THANGA PARVATHI B</t>
  </si>
  <si>
    <t>Computer Technology</t>
  </si>
  <si>
    <t>btparvathi@bitsathy.ac.in</t>
  </si>
  <si>
    <t>CT10933</t>
  </si>
  <si>
    <t>SWEETY PRASANNA KIRUBA G</t>
  </si>
  <si>
    <t>prasannakiruba@bitsathy.ac.in</t>
  </si>
  <si>
    <t>CT10935</t>
  </si>
  <si>
    <t>NITHYA M</t>
  </si>
  <si>
    <t>nithyam@bitsathy.ac.in</t>
  </si>
  <si>
    <t>CT10965</t>
  </si>
  <si>
    <t>GUNALAN K</t>
  </si>
  <si>
    <t>gunalank@bitsathy.ac.in</t>
  </si>
  <si>
    <t>CT11020</t>
  </si>
  <si>
    <t>ANANDAN P</t>
  </si>
  <si>
    <t>anandan@bitsathy.ac.in</t>
  </si>
  <si>
    <t>CT11030</t>
  </si>
  <si>
    <t>SAVEETHA R</t>
  </si>
  <si>
    <t>saveethar@bitsathy.ac.in</t>
  </si>
  <si>
    <t>CT1349</t>
  </si>
  <si>
    <t>MURUGESAN P</t>
  </si>
  <si>
    <t>murugesanp@bitsathy.ac.in</t>
  </si>
  <si>
    <t>EC10005</t>
  </si>
  <si>
    <t>SANNASI CHAKRAVARTHY S R</t>
  </si>
  <si>
    <t>Electronics and Communication Engineering</t>
  </si>
  <si>
    <t>sannasi@bitsathy.ac.in</t>
  </si>
  <si>
    <t>EC10186</t>
  </si>
  <si>
    <t>SAMPOORNAM K P</t>
  </si>
  <si>
    <t>sampoornam@bitsathy.ac.in</t>
  </si>
  <si>
    <t>EC10194</t>
  </si>
  <si>
    <t>KARTHIKEYAN S</t>
  </si>
  <si>
    <t>karthikeyan@bitsathy.ac.in</t>
  </si>
  <si>
    <t>EC10229</t>
  </si>
  <si>
    <t>saranyan@bitsathy.ac.in</t>
  </si>
  <si>
    <t>EC10443</t>
  </si>
  <si>
    <t>BARANIDHARAN V</t>
  </si>
  <si>
    <t>baranidharan@bitsathy.ac.in</t>
  </si>
  <si>
    <t>EC10581</t>
  </si>
  <si>
    <t>TAMILSELVAN S</t>
  </si>
  <si>
    <t>tamilselvans@bitsathy.ac.in</t>
  </si>
  <si>
    <t>EC10603</t>
  </si>
  <si>
    <t>RAJA SEKAR S</t>
  </si>
  <si>
    <t>rajasekar@bitsathy.ac.in</t>
  </si>
  <si>
    <t>EC10678</t>
  </si>
  <si>
    <t>LEEBAN MOSES M</t>
  </si>
  <si>
    <t>leebanmoses@bitsathy.ac.in</t>
  </si>
  <si>
    <t>EC10680</t>
  </si>
  <si>
    <t>PERARASI T</t>
  </si>
  <si>
    <t>perarasi@bitsathy.ac.in</t>
  </si>
  <si>
    <t>EC10692</t>
  </si>
  <si>
    <t>GAYATHRI R</t>
  </si>
  <si>
    <t>gayathrir@bitsathy.ac.in</t>
  </si>
  <si>
    <t>EC1072</t>
  </si>
  <si>
    <t>POONGODI C</t>
  </si>
  <si>
    <t>poongodic@bitsathy.ac.in</t>
  </si>
  <si>
    <t>EC10725</t>
  </si>
  <si>
    <t>ABINAYA M</t>
  </si>
  <si>
    <t>abinayam@bitsathy.ac.in</t>
  </si>
  <si>
    <t>EC10739</t>
  </si>
  <si>
    <t>ARULMURUGAN L</t>
  </si>
  <si>
    <t>arulmurugan@bitsathy.ac.in</t>
  </si>
  <si>
    <t>EC10764</t>
  </si>
  <si>
    <t>SOUNDARYA B</t>
  </si>
  <si>
    <t>soundarya@bitsathy.ac.in</t>
  </si>
  <si>
    <t>EC10774</t>
  </si>
  <si>
    <t>KRISHNARAJ R</t>
  </si>
  <si>
    <t>krishnarajr@bitsathy.ac.in</t>
  </si>
  <si>
    <t>EC10775</t>
  </si>
  <si>
    <t>MYTHILI S</t>
  </si>
  <si>
    <t>mythilis@bitsathy.ac.in</t>
  </si>
  <si>
    <t>EC10811</t>
  </si>
  <si>
    <t>POUSIA S</t>
  </si>
  <si>
    <t>pousias@bitsathy.ac.in</t>
  </si>
  <si>
    <t>EC10813</t>
  </si>
  <si>
    <t>SHARMILA A</t>
  </si>
  <si>
    <t>sharmilaa@bitsathy.ac.in</t>
  </si>
  <si>
    <t>EC10827</t>
  </si>
  <si>
    <t>MURUGAN K</t>
  </si>
  <si>
    <t>murugank@bitsathy.ac.in</t>
  </si>
  <si>
    <t>EC10915</t>
  </si>
  <si>
    <t>STEPHEN SAGAYARAJ A</t>
  </si>
  <si>
    <t>stephensagayaraja@bitsathy.ac.in</t>
  </si>
  <si>
    <t>EC10916</t>
  </si>
  <si>
    <t>karthiga@bitsathy.ac.in</t>
  </si>
  <si>
    <t>EC10969</t>
  </si>
  <si>
    <t>VENKATESHKUMAR U</t>
  </si>
  <si>
    <t>venkateshkumaru@bitsathy.ac.in</t>
  </si>
  <si>
    <t>EC10972</t>
  </si>
  <si>
    <t>VELLINGIRI A</t>
  </si>
  <si>
    <t>vellingiria@bitsathy.ac.in</t>
  </si>
  <si>
    <t>EC11010</t>
  </si>
  <si>
    <t>MARIAAMUTHA R</t>
  </si>
  <si>
    <t>mariaamuthar@bitsathy.ac.in</t>
  </si>
  <si>
    <t>EC11021</t>
  </si>
  <si>
    <t>SATHIYAMURTHI P</t>
  </si>
  <si>
    <t>sathiyamurthi@bitsathy.ac.in</t>
  </si>
  <si>
    <t>EC11043</t>
  </si>
  <si>
    <t>NIVETHA G</t>
  </si>
  <si>
    <t>nivethag@bitsathy.ac.in</t>
  </si>
  <si>
    <t>EC11044</t>
  </si>
  <si>
    <t>HARISH KUMAAR P</t>
  </si>
  <si>
    <t>harishkumaarp@bitsathy.ac.in</t>
  </si>
  <si>
    <t>EC11045</t>
  </si>
  <si>
    <t>DHANALAKSHMI S</t>
  </si>
  <si>
    <t>dhanalakshmis@bitsathy.ac.in</t>
  </si>
  <si>
    <t>EC11047</t>
  </si>
  <si>
    <t>RAMESH R</t>
  </si>
  <si>
    <t>rameshr@bitsathy.ac.in</t>
  </si>
  <si>
    <t>EC11051</t>
  </si>
  <si>
    <t>SANDHIYADEVI P</t>
  </si>
  <si>
    <t>sandhiyadevip@bitsathy.ac.in</t>
  </si>
  <si>
    <t>EC11131</t>
  </si>
  <si>
    <t>SANKARANANTH S</t>
  </si>
  <si>
    <t>sankarananth@bitsathy.ac.in</t>
  </si>
  <si>
    <t>EC11147</t>
  </si>
  <si>
    <t>RAGAVI M</t>
  </si>
  <si>
    <t>ragavim@bitsathy.ac.in</t>
  </si>
  <si>
    <t>EC11190</t>
  </si>
  <si>
    <t>TAMILARASI R</t>
  </si>
  <si>
    <t>tamilarasir@bitsathy.ac.in</t>
  </si>
  <si>
    <t>EC11192</t>
  </si>
  <si>
    <t>NALIFABEGAM J</t>
  </si>
  <si>
    <t>nalifabegamj@bitsathy.ac.in</t>
  </si>
  <si>
    <t>EC11194</t>
  </si>
  <si>
    <t>LINO L</t>
  </si>
  <si>
    <t>linol@bitsathy.ac.in</t>
  </si>
  <si>
    <t>EC1417</t>
  </si>
  <si>
    <t>HARIKUMAR R</t>
  </si>
  <si>
    <t>harikumarr@bitsathy.ac.in</t>
  </si>
  <si>
    <t>EC1453</t>
  </si>
  <si>
    <t>PRAKASH S P</t>
  </si>
  <si>
    <t>prakashsp@bitsathy.ac.in</t>
  </si>
  <si>
    <t>EC1537</t>
  </si>
  <si>
    <t>PUSHPAVALLI M</t>
  </si>
  <si>
    <t>pushpavallim@bitsathy.ac.in</t>
  </si>
  <si>
    <t>EC1721</t>
  </si>
  <si>
    <t>NIRMAL KUMAR R</t>
  </si>
  <si>
    <t>nirmalkumarr@bitsathy.ac.in</t>
  </si>
  <si>
    <t>EC1744</t>
  </si>
  <si>
    <t>RAMYA P</t>
  </si>
  <si>
    <t>ramyap@bitsathy.ac.in</t>
  </si>
  <si>
    <t>EC1834</t>
  </si>
  <si>
    <t>SANJOY DEB</t>
  </si>
  <si>
    <t>sanjoydeb@bitsathy.ac.in</t>
  </si>
  <si>
    <t>EC1893</t>
  </si>
  <si>
    <t>ELANGO S</t>
  </si>
  <si>
    <t>elangos@bitsathy.ac.in</t>
  </si>
  <si>
    <t>EC1911</t>
  </si>
  <si>
    <t>DANIEL RAJ A</t>
  </si>
  <si>
    <t>danielraja@bitsathy.ac.in</t>
  </si>
  <si>
    <t>EC1912</t>
  </si>
  <si>
    <t>SAJAN P PHILIP</t>
  </si>
  <si>
    <t>sajanpphilip@bitsathy.ac.in</t>
  </si>
  <si>
    <t>EC1938</t>
  </si>
  <si>
    <t>RAMKUMAR R</t>
  </si>
  <si>
    <t>ramkumarr@bitsathy.ac.in</t>
  </si>
  <si>
    <t>EE10155</t>
  </si>
  <si>
    <t>ALEX STANLEY RAJA T</t>
  </si>
  <si>
    <t>Electrical and Electronics Engineering</t>
  </si>
  <si>
    <t>alexstanleyraja@bitsathy.ac.in</t>
  </si>
  <si>
    <t>EE10317</t>
  </si>
  <si>
    <t>ARUN CHENDHURAN R</t>
  </si>
  <si>
    <t>arunchendhuran@bitsathy.ac.in</t>
  </si>
  <si>
    <t>EE10397</t>
  </si>
  <si>
    <t>SATHISHKUMAR S</t>
  </si>
  <si>
    <t>sathishkumars@bitsathy.ac.in</t>
  </si>
  <si>
    <t>EE1040</t>
  </si>
  <si>
    <t>BHARANI KUMAR R</t>
  </si>
  <si>
    <t>bharanikumarr@bitsathy.ac.in</t>
  </si>
  <si>
    <t>EE10616</t>
  </si>
  <si>
    <t>NITHYA G</t>
  </si>
  <si>
    <t>nithyag@bitsathy.ac.in</t>
  </si>
  <si>
    <t>EE10619</t>
  </si>
  <si>
    <t>MADHUMITHA J</t>
  </si>
  <si>
    <t>madhumithaj@bitsathy.ac.in</t>
  </si>
  <si>
    <t>EE10647</t>
  </si>
  <si>
    <t>SENTHIL KUMAR J</t>
  </si>
  <si>
    <t>senthilkumarj@bitsathy.ac.in</t>
  </si>
  <si>
    <t>EE10652</t>
  </si>
  <si>
    <t>RISHIKESH N</t>
  </si>
  <si>
    <t>rishikesh@bitsathy.ac.in</t>
  </si>
  <si>
    <t>EE10721</t>
  </si>
  <si>
    <t>GOPIKA N P</t>
  </si>
  <si>
    <t>gopika@bitsathy.ac.in</t>
  </si>
  <si>
    <t>EE10786</t>
  </si>
  <si>
    <t>MANOJKUMAR P</t>
  </si>
  <si>
    <t>manojkumarp@bitsathy.ac.in</t>
  </si>
  <si>
    <t>EE10873</t>
  </si>
  <si>
    <t>CHINNADURRAI CL</t>
  </si>
  <si>
    <t>chinnadurraicl@bitsathy.ac.in</t>
  </si>
  <si>
    <t>EE10883</t>
  </si>
  <si>
    <t>GOLDVIN SUGIRTHA DHAS B</t>
  </si>
  <si>
    <t>goldvinsugirthadhasb@bitsathy.ac.in</t>
  </si>
  <si>
    <t>EE11199</t>
  </si>
  <si>
    <t>KIRUTHIKA M</t>
  </si>
  <si>
    <t>kiruthikam@bitsathy.ac.in</t>
  </si>
  <si>
    <t>EE11200</t>
  </si>
  <si>
    <t>SURESH N S</t>
  </si>
  <si>
    <t>sureshns@bitsathy.ac.in</t>
  </si>
  <si>
    <t>EE1311</t>
  </si>
  <si>
    <t>SRINIVASAN M</t>
  </si>
  <si>
    <t>srinivasanm@bitsathy.ac.in</t>
  </si>
  <si>
    <t>EE1325</t>
  </si>
  <si>
    <t>RAJALASHMI K</t>
  </si>
  <si>
    <t>rajalashmik@bitsathy.ac.in</t>
  </si>
  <si>
    <t>EE1329</t>
  </si>
  <si>
    <t>SIVARAMAN P</t>
  </si>
  <si>
    <t>sivaramanpsr@bitsathy.ac.in</t>
  </si>
  <si>
    <t>EE1437</t>
  </si>
  <si>
    <t>VEERAKUMAR S</t>
  </si>
  <si>
    <t>veerakumars@bitsathy.ac.in</t>
  </si>
  <si>
    <t>EE1682</t>
  </si>
  <si>
    <t>MAHESWARI K T</t>
  </si>
  <si>
    <t>maheswarikt@bitsathy.ac.in</t>
  </si>
  <si>
    <t>EE1695</t>
  </si>
  <si>
    <t>NANDHAKUMAR A</t>
  </si>
  <si>
    <t>nandhakumara@bitsathy.ac.in</t>
  </si>
  <si>
    <t>EE1747</t>
  </si>
  <si>
    <t>SRITHA P</t>
  </si>
  <si>
    <t>srithap@bitsathy.ac.in</t>
  </si>
  <si>
    <t>EE1785</t>
  </si>
  <si>
    <t>MOHANAPRIYA V</t>
  </si>
  <si>
    <t>mohanapriyav@bitsathy.ac.in</t>
  </si>
  <si>
    <t>EE1908</t>
  </si>
  <si>
    <t>SUNDAR S</t>
  </si>
  <si>
    <t>sundars@bitsathy.ac.in</t>
  </si>
  <si>
    <t>EI10187</t>
  </si>
  <si>
    <t>BALAMURUGAN V T</t>
  </si>
  <si>
    <t>Electronics and Instrumentation Engineering</t>
  </si>
  <si>
    <t>balamurugan@bitsathy.ac.in</t>
  </si>
  <si>
    <t>EI10249</t>
  </si>
  <si>
    <t>DHANASEKAR R</t>
  </si>
  <si>
    <t>dhanasekar@bitsathy.ac.in</t>
  </si>
  <si>
    <t>EI10266</t>
  </si>
  <si>
    <t>HARITHA J</t>
  </si>
  <si>
    <t>haritha@bitsathy.ac.in</t>
  </si>
  <si>
    <t>EI10270</t>
  </si>
  <si>
    <t>NANDHINI K M</t>
  </si>
  <si>
    <t>nandhinikm@bitsathy.ac.in</t>
  </si>
  <si>
    <t>EI10403</t>
  </si>
  <si>
    <t>SAKTHIYA RAM S</t>
  </si>
  <si>
    <t>sakthiyaram@bitsathy.ac.in</t>
  </si>
  <si>
    <t>EI10428</t>
  </si>
  <si>
    <t>KALAIYARASI M</t>
  </si>
  <si>
    <t>kalaiyarasim@bitsathy.ac.in</t>
  </si>
  <si>
    <t>EI10459</t>
  </si>
  <si>
    <t>PRAVIN SAVARIDASS M</t>
  </si>
  <si>
    <t>pravinsavaridass@bitsathy.ac.in</t>
  </si>
  <si>
    <t>EI10670</t>
  </si>
  <si>
    <t>PRATHAP M R</t>
  </si>
  <si>
    <t>prathap@bitsathy.ac.in</t>
  </si>
  <si>
    <t>EI11048</t>
  </si>
  <si>
    <t>KUMARESAN K</t>
  </si>
  <si>
    <t>kumaresank@bitsathy.ac.in</t>
  </si>
  <si>
    <t>EI1276</t>
  </si>
  <si>
    <t>GANESH BABU C</t>
  </si>
  <si>
    <t>ganeshbabuc@bitsathy.ac.in</t>
  </si>
  <si>
    <t>EI1438</t>
  </si>
  <si>
    <t>VAIRAVEL K S</t>
  </si>
  <si>
    <t>vairavelks@bitsathy.ac.in</t>
  </si>
  <si>
    <t>EI1688</t>
  </si>
  <si>
    <t>SUDHAHAR S</t>
  </si>
  <si>
    <t>sudhahars@bitsathy.ac.in</t>
  </si>
  <si>
    <t>EI1996</t>
  </si>
  <si>
    <t>ARUN JAYAKAR S</t>
  </si>
  <si>
    <t>arunjayakars@bitsathy.ac.in</t>
  </si>
  <si>
    <t>FD10755</t>
  </si>
  <si>
    <t>GOWRISHANKAR L</t>
  </si>
  <si>
    <t>Food Technology</t>
  </si>
  <si>
    <t>gowrishankar@bitsathy.ac.in</t>
  </si>
  <si>
    <t>FD10959</t>
  </si>
  <si>
    <t>PIDATHALA SAHITYA</t>
  </si>
  <si>
    <t>pidathalasahitya@bitsathy.ac.in</t>
  </si>
  <si>
    <t>FD10966</t>
  </si>
  <si>
    <t>NITHIYA PRIYA B T</t>
  </si>
  <si>
    <t>nithiyapriyabt@bitsathy.ac.in</t>
  </si>
  <si>
    <t>FD10999</t>
  </si>
  <si>
    <t>ARUNASREE TNA</t>
  </si>
  <si>
    <t>arunasreetna@bitsathy.ac.in</t>
  </si>
  <si>
    <t>FD11130</t>
  </si>
  <si>
    <t>SIVARAHINI K</t>
  </si>
  <si>
    <t>sivarahini@bitsathy.ac.in</t>
  </si>
  <si>
    <t>FD11137</t>
  </si>
  <si>
    <t>EDAMAKANTI RAMANJI REDDY</t>
  </si>
  <si>
    <t>edamakantiramanjireddy@bitsathy.ac.in</t>
  </si>
  <si>
    <t>FT10224</t>
  </si>
  <si>
    <t>SARANYA D V</t>
  </si>
  <si>
    <t>Fashion Technology</t>
  </si>
  <si>
    <t>saranyadv@bitsathy.ac.in</t>
  </si>
  <si>
    <t>FT10427</t>
  </si>
  <si>
    <t>MEKALA N</t>
  </si>
  <si>
    <t>mekalan@bitsathy.ac.in</t>
  </si>
  <si>
    <t>FT10809</t>
  </si>
  <si>
    <t>MOHAN BHARATHI C</t>
  </si>
  <si>
    <t>mohanbharathic@bitsathy.ac.in</t>
  </si>
  <si>
    <t>HU11011</t>
  </si>
  <si>
    <t>AJAI A</t>
  </si>
  <si>
    <t>Humanities</t>
  </si>
  <si>
    <t>ajai@bitsathy.ac.in</t>
  </si>
  <si>
    <t>HU11085</t>
  </si>
  <si>
    <t>SAGUNTHALA DEVI P</t>
  </si>
  <si>
    <t>sagunthaladevi@bitsathy.ac.in</t>
  </si>
  <si>
    <t>HU11115</t>
  </si>
  <si>
    <t>KAMALI D</t>
  </si>
  <si>
    <t>kamali@bitsathy.ac.in</t>
  </si>
  <si>
    <t>HU11125</t>
  </si>
  <si>
    <t>GAYATHRI G M</t>
  </si>
  <si>
    <t>gayathri@bitsathy.ac.in</t>
  </si>
  <si>
    <t>HU11139</t>
  </si>
  <si>
    <t>ASLIN JERUSHA D</t>
  </si>
  <si>
    <t>aslinjerusha@bitsathy.ac.in</t>
  </si>
  <si>
    <t>HU11141</t>
  </si>
  <si>
    <t>EZHIL G</t>
  </si>
  <si>
    <t>ezhil@bitsathy.ac.in</t>
  </si>
  <si>
    <t>HU11151</t>
  </si>
  <si>
    <t>NITHYA S</t>
  </si>
  <si>
    <t>nithyas@bitsathy.ac.in</t>
  </si>
  <si>
    <t>HU11154</t>
  </si>
  <si>
    <t>SHYAMSUNDAR S</t>
  </si>
  <si>
    <t>shyamsundar@bitsathy.ac.in</t>
  </si>
  <si>
    <t>HU11159</t>
  </si>
  <si>
    <t>JAYA K</t>
  </si>
  <si>
    <t>jayak@bitsathy.ac.in</t>
  </si>
  <si>
    <t>HU2351</t>
  </si>
  <si>
    <t>RANGANATHAN A</t>
  </si>
  <si>
    <t>Hindi Teacher</t>
  </si>
  <si>
    <t>ranganathana@bitsathy.ac.in</t>
  </si>
  <si>
    <t>IS10823</t>
  </si>
  <si>
    <t>GOPAL R</t>
  </si>
  <si>
    <t>Information Science and Engineering</t>
  </si>
  <si>
    <t>gopalr@bitsathy.ac.in</t>
  </si>
  <si>
    <t>IS10829</t>
  </si>
  <si>
    <t>PANDIYAN M</t>
  </si>
  <si>
    <t>pandiyanm@bitsathy.ac.in</t>
  </si>
  <si>
    <t>IS10850</t>
  </si>
  <si>
    <t>POORNIMA A</t>
  </si>
  <si>
    <t>poornimaa@bitsathy.ac.in</t>
  </si>
  <si>
    <t>IS10944</t>
  </si>
  <si>
    <t>SOMASUNDARAM K</t>
  </si>
  <si>
    <t>somasundaramk@bitsathy.ac.in</t>
  </si>
  <si>
    <t>IS1899</t>
  </si>
  <si>
    <t>ANANDAKUMAR K</t>
  </si>
  <si>
    <t>anandakumark@bitsathy.ac.in</t>
  </si>
  <si>
    <t>IT10262</t>
  </si>
  <si>
    <t>SABARMATHI K R</t>
  </si>
  <si>
    <t>Information Technology</t>
  </si>
  <si>
    <t>sabarmathi@bitsathy.ac.in</t>
  </si>
  <si>
    <t>IT10395</t>
  </si>
  <si>
    <t>SRI VINITHA V</t>
  </si>
  <si>
    <t>srivinitha@bitsathy.ac.in</t>
  </si>
  <si>
    <t>IT10544</t>
  </si>
  <si>
    <t>VINOTH M</t>
  </si>
  <si>
    <t>vinothm@bitsathy.ac.in</t>
  </si>
  <si>
    <t>IT10571</t>
  </si>
  <si>
    <t>SOBIYAA P</t>
  </si>
  <si>
    <t>sobiyaa@bitsathy.ac.in</t>
  </si>
  <si>
    <t>IT10736</t>
  </si>
  <si>
    <t>JANANI T</t>
  </si>
  <si>
    <t>jananit@bitsathy.ac.in</t>
  </si>
  <si>
    <t>IT10803</t>
  </si>
  <si>
    <t>PRIYA L</t>
  </si>
  <si>
    <t>priyal@bitsathy.ac.in</t>
  </si>
  <si>
    <t>IT10824</t>
  </si>
  <si>
    <t>CHANDRAPRABHA K</t>
  </si>
  <si>
    <t>chandraprabhak@bitsathy.ac.in</t>
  </si>
  <si>
    <t>IT10845</t>
  </si>
  <si>
    <t>VENKATESAN R</t>
  </si>
  <si>
    <t>venkatesanr@bitsathy.ac.in</t>
  </si>
  <si>
    <t>IT10846</t>
  </si>
  <si>
    <t>SELVAKUMAR M</t>
  </si>
  <si>
    <t>selvakumarm@bitsathy.ac.in</t>
  </si>
  <si>
    <t>IT10941</t>
  </si>
  <si>
    <t>NIKITHA M</t>
  </si>
  <si>
    <t>nikitham@bitsathy.ac.in</t>
  </si>
  <si>
    <t>IT11040</t>
  </si>
  <si>
    <t>PRIYA J</t>
  </si>
  <si>
    <t>priyajn@bitsathy.ac.in</t>
  </si>
  <si>
    <t>IT11056</t>
  </si>
  <si>
    <t>SADHASIVAM N</t>
  </si>
  <si>
    <t>sadhasivamn@bitsathy.ac.in</t>
  </si>
  <si>
    <t>IT11105</t>
  </si>
  <si>
    <t>SANTHIYA B</t>
  </si>
  <si>
    <t>santhiyab@bitsathy.ac.in</t>
  </si>
  <si>
    <t>IT11124</t>
  </si>
  <si>
    <t>MUTHUMEENA S</t>
  </si>
  <si>
    <t>muthumeena@bitsathy.ac.in</t>
  </si>
  <si>
    <t>IT11128</t>
  </si>
  <si>
    <t>TAMILTHENDRAL M</t>
  </si>
  <si>
    <t>tamilthendral@bitsathy.ac.in</t>
  </si>
  <si>
    <t>IT11129</t>
  </si>
  <si>
    <t>NIVEDHA S</t>
  </si>
  <si>
    <t>nivedha@bitsathy.ac.in</t>
  </si>
  <si>
    <t>IT11132</t>
  </si>
  <si>
    <t>KAVITHA V</t>
  </si>
  <si>
    <t>kavitha@bitsathy.ac.in</t>
  </si>
  <si>
    <t>IT11140</t>
  </si>
  <si>
    <t>PRIYA A</t>
  </si>
  <si>
    <t>priyaa@bitsathy.ac.in</t>
  </si>
  <si>
    <t>IT11142</t>
  </si>
  <si>
    <t>KEERTHANA K</t>
  </si>
  <si>
    <t>keerthana@bitsathy.ac.in</t>
  </si>
  <si>
    <t>IT11144</t>
  </si>
  <si>
    <t>SHANGARA NARAYANEE N P</t>
  </si>
  <si>
    <t>shangaranarayanee@bitsathy.ac.in</t>
  </si>
  <si>
    <t>IT11146</t>
  </si>
  <si>
    <t>INDHU BHASHINI V</t>
  </si>
  <si>
    <t>indhubhashiniv@bitsathy.ac.in</t>
  </si>
  <si>
    <t>IT11148</t>
  </si>
  <si>
    <t>MOHEMMED YOUSUF</t>
  </si>
  <si>
    <t>mohemmedyousuf@bitsathy.ac.in</t>
  </si>
  <si>
    <t>IT11149</t>
  </si>
  <si>
    <t>SENTHILNATHAN S</t>
  </si>
  <si>
    <t>senthilnathans@bitsathy.ac.in</t>
  </si>
  <si>
    <t>IT11155</t>
  </si>
  <si>
    <t>DEEPA SUMATHI M</t>
  </si>
  <si>
    <t>deepasumathim@bitsathy.ac.in</t>
  </si>
  <si>
    <t>IT11160</t>
  </si>
  <si>
    <t>ELAVARASI T</t>
  </si>
  <si>
    <t>elavarasit@bitsathy.ac.in</t>
  </si>
  <si>
    <t>IT11167</t>
  </si>
  <si>
    <t>SHOBANA K B</t>
  </si>
  <si>
    <t>shobanakb@bitsathy.ac.in</t>
  </si>
  <si>
    <t>IT11173</t>
  </si>
  <si>
    <t>GAYATHRI D</t>
  </si>
  <si>
    <t>gayathrid@bitsathy.ac.in</t>
  </si>
  <si>
    <t>IT11195</t>
  </si>
  <si>
    <t>SATHYARAJ S</t>
  </si>
  <si>
    <t>sathyarajs@bitsathy.ac.in</t>
  </si>
  <si>
    <t>IT11196</t>
  </si>
  <si>
    <t>MANISHA G</t>
  </si>
  <si>
    <t>manishag@bitsathy.ac.in</t>
  </si>
  <si>
    <t>IT1441</t>
  </si>
  <si>
    <t>PAARIVALLAL RA</t>
  </si>
  <si>
    <t>parivallalr@bitsathy.ac.in</t>
  </si>
  <si>
    <t>IT1442</t>
  </si>
  <si>
    <t>PALANISAMY C</t>
  </si>
  <si>
    <t>cpalanisamy@bitsathy.ac.in</t>
  </si>
  <si>
    <t>IT1764</t>
  </si>
  <si>
    <t>SATHIS KUMAR K</t>
  </si>
  <si>
    <t>sathiskumark@bitsathy.ac.in</t>
  </si>
  <si>
    <t>IT1846</t>
  </si>
  <si>
    <t>NAVEENA S</t>
  </si>
  <si>
    <t>naveena@bitsathy.ac.in</t>
  </si>
  <si>
    <t>IT2078</t>
  </si>
  <si>
    <t>PRABHU P S</t>
  </si>
  <si>
    <t>prabhups@bitsathy.ac.in</t>
  </si>
  <si>
    <t>IT2771</t>
  </si>
  <si>
    <t>NATARAJ N</t>
  </si>
  <si>
    <t>nataraj@bitsathy.ac.in</t>
  </si>
  <si>
    <t>MA10071</t>
  </si>
  <si>
    <t>PREETHA R</t>
  </si>
  <si>
    <t>Mathematics</t>
  </si>
  <si>
    <t>preetha@bitsathy.ac.in</t>
  </si>
  <si>
    <t>MA10119</t>
  </si>
  <si>
    <t>SARANYA D</t>
  </si>
  <si>
    <t>saranyad@bitsathy.ac.in</t>
  </si>
  <si>
    <t>MA10202</t>
  </si>
  <si>
    <t>KARUPPUSAMY M</t>
  </si>
  <si>
    <t>karuppusamy@bitsathy.ac.in</t>
  </si>
  <si>
    <t>MA10347</t>
  </si>
  <si>
    <t>KARTHIKA M</t>
  </si>
  <si>
    <t>karthikam@bitsathy.ac.in</t>
  </si>
  <si>
    <t>MA10452</t>
  </si>
  <si>
    <t>KALAISELVAN S</t>
  </si>
  <si>
    <t>kalaiselvan@bitsathy.ac.in</t>
  </si>
  <si>
    <t>MA10518</t>
  </si>
  <si>
    <t>PRABAKARAN P</t>
  </si>
  <si>
    <t>prabakaran@bitsathy.ac.in</t>
  </si>
  <si>
    <t>MA10763</t>
  </si>
  <si>
    <t>REVATHI V M</t>
  </si>
  <si>
    <t>revathivm@bitsathy.ac.in</t>
  </si>
  <si>
    <t>MA10986</t>
  </si>
  <si>
    <t>GOMATHI M</t>
  </si>
  <si>
    <t>gomathim@bitsathy.ac.in</t>
  </si>
  <si>
    <t>MA11017</t>
  </si>
  <si>
    <t>GAYATHIRI B</t>
  </si>
  <si>
    <t>gayathirib@bitsathy.ac.in</t>
  </si>
  <si>
    <t>MA11028</t>
  </si>
  <si>
    <t>SURESH R</t>
  </si>
  <si>
    <t>sureshr@bitsathy.ac.in</t>
  </si>
  <si>
    <t>MA11070</t>
  </si>
  <si>
    <t>MALATHI M</t>
  </si>
  <si>
    <t>malathim@bitsathy.ac.in</t>
  </si>
  <si>
    <t>MA11122</t>
  </si>
  <si>
    <t>AKALYADEVI K</t>
  </si>
  <si>
    <t>akalyadevi@bitsathy.ac.in</t>
  </si>
  <si>
    <t>MA11181</t>
  </si>
  <si>
    <t>HEMALATHA B</t>
  </si>
  <si>
    <t>hemalathab@bitsathy.ac.in</t>
  </si>
  <si>
    <t>MA1303</t>
  </si>
  <si>
    <t>INDIRANI C</t>
  </si>
  <si>
    <t>indiranic@bitsathy.ac.in</t>
  </si>
  <si>
    <t>MA1327</t>
  </si>
  <si>
    <t>THULASIMANI T</t>
  </si>
  <si>
    <t>thulasimanit@bitsathy.ac.in</t>
  </si>
  <si>
    <t>MA1334</t>
  </si>
  <si>
    <t>PRABHAVATHI K</t>
  </si>
  <si>
    <t>prabhavathik@bitsathy.ac.in</t>
  </si>
  <si>
    <t>MA1342</t>
  </si>
  <si>
    <t>VINOTHINI V R</t>
  </si>
  <si>
    <t>vinothinivr@bitsathy.ac.in</t>
  </si>
  <si>
    <t>MA1373</t>
  </si>
  <si>
    <t>SARAVANA MOORTHI P</t>
  </si>
  <si>
    <t>saravanamoorthip@bitsathy.ac.in</t>
  </si>
  <si>
    <t>MA1465</t>
  </si>
  <si>
    <t>PRAKASH K</t>
  </si>
  <si>
    <t>prakashk@bitsathy.ac.in</t>
  </si>
  <si>
    <t>MA1566</t>
  </si>
  <si>
    <t>PARIMALA M</t>
  </si>
  <si>
    <t>parimalam@bitsathy.ac.in</t>
  </si>
  <si>
    <t>MA1702</t>
  </si>
  <si>
    <t>UMAMAGESWARI D</t>
  </si>
  <si>
    <t>umamageswarid@bitsathy.ac.in</t>
  </si>
  <si>
    <t>MC10149</t>
  </si>
  <si>
    <t>SIVABALAKRISHNAN R</t>
  </si>
  <si>
    <t>Mechatronics Engineering</t>
  </si>
  <si>
    <t>sivabalakrishnan@bitsathy.ac.in</t>
  </si>
  <si>
    <t>MC10299</t>
  </si>
  <si>
    <t>VIGNESH S</t>
  </si>
  <si>
    <t>vignesh@bitsathy.ac.in</t>
  </si>
  <si>
    <t>MC10369</t>
  </si>
  <si>
    <t>NIJANDHAN K</t>
  </si>
  <si>
    <t>nijandhan@bitsathy.ac.in</t>
  </si>
  <si>
    <t>MC10412</t>
  </si>
  <si>
    <t>RAGHUNATH M</t>
  </si>
  <si>
    <t>raghunath@bitsathy.ac.in</t>
  </si>
  <si>
    <t>MC10450</t>
  </si>
  <si>
    <t>DHINESH S K</t>
  </si>
  <si>
    <t>dhineshsk@bitsathy.ac.in</t>
  </si>
  <si>
    <t>MC10597</t>
  </si>
  <si>
    <t>RAGHAVENDRA PRABHU S</t>
  </si>
  <si>
    <t>raghavendraprabhu@bitsathy.ac.in</t>
  </si>
  <si>
    <t>MC10664</t>
  </si>
  <si>
    <t>SIDDHARTHAN B</t>
  </si>
  <si>
    <t>siddharthan@bitsathy.ac.in</t>
  </si>
  <si>
    <t>MC10696</t>
  </si>
  <si>
    <t>BHARATHIRAJA M</t>
  </si>
  <si>
    <t>bharathiraja@bitsathy.ac.in</t>
  </si>
  <si>
    <t>MC10697</t>
  </si>
  <si>
    <t>VADIVEL VIVEK V</t>
  </si>
  <si>
    <t>vadivelvivek@bitsathy.ac.in</t>
  </si>
  <si>
    <t>MC1071</t>
  </si>
  <si>
    <t>SENTHIL KUMAR K L</t>
  </si>
  <si>
    <t>senthilkumarkl@bitsathy.ac.in</t>
  </si>
  <si>
    <t>MC10729</t>
  </si>
  <si>
    <t>NAGARAJAN P</t>
  </si>
  <si>
    <t>nagarajanp@bitsathy.ac.in</t>
  </si>
  <si>
    <t>MC1627</t>
  </si>
  <si>
    <t>RAJIEV R</t>
  </si>
  <si>
    <t>rajievr@bitsathy.ac.in</t>
  </si>
  <si>
    <t>MC1843</t>
  </si>
  <si>
    <t>SENTHILKUMAR P</t>
  </si>
  <si>
    <t>senthilkumarp@bitsathy.ac.in</t>
  </si>
  <si>
    <t>MC1878</t>
  </si>
  <si>
    <t>JEGADHEESWARAN S</t>
  </si>
  <si>
    <t>jegadheeswarans@bitsathy.ac.in</t>
  </si>
  <si>
    <t>ME10081</t>
  </si>
  <si>
    <t>KUMARESAN G</t>
  </si>
  <si>
    <t>Mechanical Engineering</t>
  </si>
  <si>
    <t>kumaresan@bitsathy.ac.in</t>
  </si>
  <si>
    <t>ME10098</t>
  </si>
  <si>
    <t>PRADEEP A D</t>
  </si>
  <si>
    <t>pradeep@bitsathy.ac.in</t>
  </si>
  <si>
    <t>ME10174</t>
  </si>
  <si>
    <t>MADHESWARAN S</t>
  </si>
  <si>
    <t>madheswaran@bitsathy.ac.in</t>
  </si>
  <si>
    <t>ME10233</t>
  </si>
  <si>
    <t>SUBRAMANIYAN C</t>
  </si>
  <si>
    <t>subramaniyan@bitsathy.ac.in</t>
  </si>
  <si>
    <t>ME10273</t>
  </si>
  <si>
    <t>BHUVANESH N</t>
  </si>
  <si>
    <t>bhuvanesh@bitsathy.ac.in</t>
  </si>
  <si>
    <t>ME10313</t>
  </si>
  <si>
    <t>MUTHUKUMAR K</t>
  </si>
  <si>
    <t>Industrial Safety Engineering</t>
  </si>
  <si>
    <t>muthukumarkm@bitsathy.ac.in</t>
  </si>
  <si>
    <t>ME10328</t>
  </si>
  <si>
    <t>RAMACHANDRA RAJU K</t>
  </si>
  <si>
    <t>ramachandraraju@bitsathy.ac.in</t>
  </si>
  <si>
    <t>ME10416</t>
  </si>
  <si>
    <t>KAMAL BASHA K</t>
  </si>
  <si>
    <t>kamalbasha@bitsathy.ac.in</t>
  </si>
  <si>
    <t>ME10492</t>
  </si>
  <si>
    <t>PRAKASH K B</t>
  </si>
  <si>
    <t>prakashkb@bitsathy.ac.in</t>
  </si>
  <si>
    <t>ME10673</t>
  </si>
  <si>
    <t>BOOPATHIRAJA K P</t>
  </si>
  <si>
    <t>boopathiraja@bitsathy.ac.in</t>
  </si>
  <si>
    <t>ME10699</t>
  </si>
  <si>
    <t>PRAVIN M C</t>
  </si>
  <si>
    <t>pravin@bitsathy.ac.in</t>
  </si>
  <si>
    <t>ME10714</t>
  </si>
  <si>
    <t>CHANDRASEKARAN M</t>
  </si>
  <si>
    <t>chandrasekaran@bitsathy.ac.in</t>
  </si>
  <si>
    <t>ME1093</t>
  </si>
  <si>
    <t>RAVI KUMAR M</t>
  </si>
  <si>
    <t>ravikumarm@bitsathy.ac.in</t>
  </si>
  <si>
    <t>ME1094</t>
  </si>
  <si>
    <t>SENTHILKUMAR G</t>
  </si>
  <si>
    <t>senthilkumarg@bitsathy.ac.in</t>
  </si>
  <si>
    <t>ME1107</t>
  </si>
  <si>
    <t>SASIKUMAR C</t>
  </si>
  <si>
    <t>sasikumarc@bitsathy.ac.in</t>
  </si>
  <si>
    <t>ME11077</t>
  </si>
  <si>
    <t>JOSEPH SILVESTER K</t>
  </si>
  <si>
    <t>josephsilvester@bitsathy.ac.in</t>
  </si>
  <si>
    <t>ME11099</t>
  </si>
  <si>
    <t>PAVANADITYA BADIDA</t>
  </si>
  <si>
    <t>pavanaditya@bitsathy.ac.in</t>
  </si>
  <si>
    <t>ME1335</t>
  </si>
  <si>
    <t>AMARKARTHIK A</t>
  </si>
  <si>
    <t>amarkarthik@bitsathy.ac.in</t>
  </si>
  <si>
    <t>ME1410</t>
  </si>
  <si>
    <t>RAMESH KUMAR T</t>
  </si>
  <si>
    <t>rameshkumart@bitsathy.ac.in</t>
  </si>
  <si>
    <t>ME1472</t>
  </si>
  <si>
    <t>SIVAKUMAR K</t>
  </si>
  <si>
    <t>Senior Professor</t>
  </si>
  <si>
    <t>sivakumark@bitsathy.ac.in</t>
  </si>
  <si>
    <t>ME1543</t>
  </si>
  <si>
    <t>ANANDHA MOORTHY A</t>
  </si>
  <si>
    <t>anandhamoorthya@bitsathy.ac.in</t>
  </si>
  <si>
    <t>ME1819</t>
  </si>
  <si>
    <t>DINESH D</t>
  </si>
  <si>
    <t>dineshd@bitsathy.ac.in</t>
  </si>
  <si>
    <t>ME1820</t>
  </si>
  <si>
    <t>MATHANKUMAR P</t>
  </si>
  <si>
    <t>mathankumarp@bitsathy.ac.in</t>
  </si>
  <si>
    <t>ME1869</t>
  </si>
  <si>
    <t>VELMURUGAN S</t>
  </si>
  <si>
    <t>velmurugans@bitsathy.ac.in</t>
  </si>
  <si>
    <t>ME1877</t>
  </si>
  <si>
    <t>SATHISHKUMAR C</t>
  </si>
  <si>
    <t>sathishkumarc@bitsathy.ac.in</t>
  </si>
  <si>
    <t>ME1880</t>
  </si>
  <si>
    <t>SURESHKUMAR M</t>
  </si>
  <si>
    <t>sureshkumarm@bitsathy.ac.in</t>
  </si>
  <si>
    <t>ME1957</t>
  </si>
  <si>
    <t>SUNDARRAJU G</t>
  </si>
  <si>
    <t>sundarrajug@bitsathy.ac.in</t>
  </si>
  <si>
    <t>ME1970</t>
  </si>
  <si>
    <t>RAMAKRISHNAN A</t>
  </si>
  <si>
    <t>ramakrishnana@bitsathy.ac.in</t>
  </si>
  <si>
    <t>ME1974</t>
  </si>
  <si>
    <t>SAKTHIVEL MURUGAN E</t>
  </si>
  <si>
    <t>sakthivelmurugane@bitsathy.ac.in</t>
  </si>
  <si>
    <t>ME1975</t>
  </si>
  <si>
    <t>TAJDEEN A</t>
  </si>
  <si>
    <t>tajdeena@bitsathy.ac.in</t>
  </si>
  <si>
    <t>PH10204</t>
  </si>
  <si>
    <t>PARASURAMAN P</t>
  </si>
  <si>
    <t>Physics</t>
  </si>
  <si>
    <t>parasuraman@bitsathy.ac.in</t>
  </si>
  <si>
    <t>PH10218</t>
  </si>
  <si>
    <t>ASHOKAN S</t>
  </si>
  <si>
    <t>ashokan@bitsathy.ac.in</t>
  </si>
  <si>
    <t>PH10380</t>
  </si>
  <si>
    <t>SELVAKUMAR K</t>
  </si>
  <si>
    <t>selvakumark@bitsathy.ac.in</t>
  </si>
  <si>
    <t>PH10457</t>
  </si>
  <si>
    <t>THIRUMOORTHY M</t>
  </si>
  <si>
    <t>thirumoorthy@bitsathy.ac.in</t>
  </si>
  <si>
    <t>PH1054</t>
  </si>
  <si>
    <t>SADASIVAM K</t>
  </si>
  <si>
    <t>sadasivamk@bitsathy.ac.in</t>
  </si>
  <si>
    <t>PH10870</t>
  </si>
  <si>
    <t>VANITHA K</t>
  </si>
  <si>
    <t>vanithak@bitsathy.ac.in</t>
  </si>
  <si>
    <t>PH10981</t>
  </si>
  <si>
    <t>SUNDARAM S</t>
  </si>
  <si>
    <t>sundarams@bitsathy.ac.in</t>
  </si>
  <si>
    <t>PH10987</t>
  </si>
  <si>
    <t>ANANDHA BABU G</t>
  </si>
  <si>
    <t>anandhababug@bitsathy.ac.in</t>
  </si>
  <si>
    <t>PH11015</t>
  </si>
  <si>
    <t>GOPI G</t>
  </si>
  <si>
    <t>gopi@bitsathy.ac.in</t>
  </si>
  <si>
    <t>PH11034</t>
  </si>
  <si>
    <t>SIVA G</t>
  </si>
  <si>
    <t>sivag@bitsathy.ac.in</t>
  </si>
  <si>
    <t>PH11036</t>
  </si>
  <si>
    <t>BASKARAN P</t>
  </si>
  <si>
    <t>baskaranp@bitsathy.ac.in</t>
  </si>
  <si>
    <t>PH11152</t>
  </si>
  <si>
    <t>PRIYADHARSINI A</t>
  </si>
  <si>
    <t>Priyadharsinia@bitsathy.ac.in</t>
  </si>
  <si>
    <t>PH11153</t>
  </si>
  <si>
    <t>SANGEETHA K</t>
  </si>
  <si>
    <t>sangeethak@bitsathy.ac.in</t>
  </si>
  <si>
    <t>PH1407</t>
  </si>
  <si>
    <t>VIJAYAKUMAR V N</t>
  </si>
  <si>
    <t>vijayakumarvn@bitsathy.ac.in</t>
  </si>
  <si>
    <t>PH1653</t>
  </si>
  <si>
    <t>PONGALI SATHYA PRABU N</t>
  </si>
  <si>
    <t>pongalispn@bitsathy.ac.in</t>
  </si>
  <si>
    <t>PH1889</t>
  </si>
  <si>
    <t>ROHINI P</t>
  </si>
  <si>
    <t>rohinip@bitsathy.ac.in</t>
  </si>
  <si>
    <t>SM10346</t>
  </si>
  <si>
    <t>NANDHINI B</t>
  </si>
  <si>
    <t>School of Management Studies</t>
  </si>
  <si>
    <t>nandhinib@bitsathy.ac.in</t>
  </si>
  <si>
    <t>SM10625</t>
  </si>
  <si>
    <t>SIBI JOHN A</t>
  </si>
  <si>
    <t>sibijohn@bitsathy.ac.in</t>
  </si>
  <si>
    <t>SM11065</t>
  </si>
  <si>
    <t>SENTHIL KUMAR N</t>
  </si>
  <si>
    <t>senthilkumar@bitsathy.ac.in</t>
  </si>
  <si>
    <t>SM11118</t>
  </si>
  <si>
    <t>AISHWARIYA M R</t>
  </si>
  <si>
    <t>aishwariya@bitsathy.ac.in</t>
  </si>
  <si>
    <t>SM11120</t>
  </si>
  <si>
    <t>VIDHYA S</t>
  </si>
  <si>
    <t>vidhyas@bitsathy.ac.in</t>
  </si>
  <si>
    <t>SM11133</t>
  </si>
  <si>
    <t>MAGESWARAN J</t>
  </si>
  <si>
    <t>mageswaran@bitsathy.ac.in</t>
  </si>
  <si>
    <t>SM11186</t>
  </si>
  <si>
    <t>SUGANESH S</t>
  </si>
  <si>
    <t>suganeshs@bitsathy.ac.in</t>
  </si>
  <si>
    <t>SM11187</t>
  </si>
  <si>
    <t>DHANABALU S N</t>
  </si>
  <si>
    <t>dhanabalusn@bitsathy.ac.in</t>
  </si>
  <si>
    <t>SM11188</t>
  </si>
  <si>
    <t>ADHINARAYANAN B</t>
  </si>
  <si>
    <t>adhinarayananb@bitsathy.ac.in</t>
  </si>
  <si>
    <t>SM11189</t>
  </si>
  <si>
    <t>saranyasms@bitsathy.ac.in</t>
  </si>
  <si>
    <t>SM11191</t>
  </si>
  <si>
    <t>SATHEESH KUMAR T</t>
  </si>
  <si>
    <t>satheeshkumart@bitsathy.ac.in</t>
  </si>
  <si>
    <t>SM1661</t>
  </si>
  <si>
    <t>MURUGAPPAN S</t>
  </si>
  <si>
    <t>murugappans@bitsathy.ac.in</t>
  </si>
  <si>
    <t>SM41012</t>
  </si>
  <si>
    <t>SARASWATHI C</t>
  </si>
  <si>
    <t>saraswathic@bitsathy.ac.in</t>
  </si>
  <si>
    <t>TT10607</t>
  </si>
  <si>
    <t>JANARTHANAN M</t>
  </si>
  <si>
    <t>Textile Technology</t>
  </si>
  <si>
    <t>janarthanan@bitsathy.ac.in</t>
  </si>
  <si>
    <t>TT10938</t>
  </si>
  <si>
    <t>MOUNIKA S</t>
  </si>
  <si>
    <t>mounikas@bitsathy.ac.in</t>
  </si>
  <si>
    <t>TT11184</t>
  </si>
  <si>
    <t>gayathrirtxt@bitsathy.ac.in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</si>
</sst>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0"/>
      <color rgb="FF000000"/>
      <name val="Calibri"/>
      <charset val="134"/>
      <scheme val="minor"/>
    </font>
    <font>
      <b/>
      <sz val="11"/>
      <color rgb="FF000000"/>
      <name val="Cambria"/>
      <charset val="134"/>
    </font>
    <font>
      <sz val="11"/>
      <color theme="1"/>
      <name val="Calibri"/>
      <charset val="134"/>
    </font>
    <font>
      <sz val="11"/>
      <color theme="1"/>
      <name val="Cambria"/>
      <charset val="134"/>
    </font>
    <font>
      <sz val="11"/>
      <color rgb="FF000000"/>
      <name val="Cambria"/>
      <charset val="134"/>
    </font>
    <font>
      <sz val="10"/>
      <color theme="1"/>
      <name val="Cambria"/>
      <charset val="134"/>
    </font>
    <font>
      <sz val="11"/>
      <color rgb="FF202226"/>
      <name val="Roboto"/>
      <charset val="134"/>
    </font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/>
    <xf numFmtId="0" fontId="6" fillId="0" borderId="1" xfId="0" applyFont="1" applyBorder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996"/>
  <sheetViews>
    <sheetView tabSelected="1" topLeftCell="C1" workbookViewId="0">
      <pane ySplit="1" topLeftCell="A206" activePane="bottomLeft" state="frozen"/>
      <selection/>
      <selection pane="bottomLeft" activeCell="H419" sqref="H419"/>
    </sheetView>
  </sheetViews>
  <sheetFormatPr defaultColWidth="12.6296296296296" defaultRowHeight="15.75" customHeight="1"/>
  <cols>
    <col min="1" max="3" width="12.6296296296296" style="1"/>
    <col min="4" max="4" width="23.5" style="1" customWidth="1"/>
    <col min="5" max="5" width="30.25" style="1" customWidth="1"/>
    <col min="6" max="6" width="34" style="1" customWidth="1"/>
    <col min="7" max="7" width="24.1296296296296" style="1" customWidth="1"/>
    <col min="8" max="8" width="33.6296296296296" style="1" customWidth="1"/>
    <col min="9" max="14" width="15.75" style="1" customWidth="1"/>
    <col min="15" max="15" width="20.1296296296296" style="1" customWidth="1"/>
    <col min="16" max="16" width="26.6296296296296" style="1" customWidth="1"/>
    <col min="17" max="17" width="20.1296296296296" style="1" customWidth="1"/>
    <col min="18" max="16384" width="12.6296296296296" style="1"/>
  </cols>
  <sheetData>
    <row r="1" ht="42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7.6" spans="1:17">
      <c r="A2" s="4">
        <v>1</v>
      </c>
      <c r="B2" s="4" t="s">
        <v>16</v>
      </c>
      <c r="C2" s="4" t="s">
        <v>17</v>
      </c>
      <c r="D2" s="4" t="s">
        <v>18</v>
      </c>
      <c r="E2" s="5" t="str">
        <f t="shared" ref="E2:E65" si="0">CONCATENATE(C2,".",D2)</f>
        <v>Mr.RANJITH G</v>
      </c>
      <c r="F2" s="6" t="s">
        <v>19</v>
      </c>
      <c r="G2" s="5" t="s">
        <v>20</v>
      </c>
      <c r="H2" s="5" t="s">
        <v>21</v>
      </c>
      <c r="I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Col2='""&amp;B2&amp;""'"",0)"),2)</f>
        <v>2</v>
      </c>
      <c r="J2" s="5">
        <f>IFERROR(__xludf.DUMMYFUNCTION("""COMPUTED_VALUE"""),2)</f>
        <v>2</v>
      </c>
      <c r="K2" s="5">
        <f>IFERROR(__xludf.DUMMYFUNCTION("""COMPUTED_VALUE"""),0)</f>
        <v>0</v>
      </c>
      <c r="L2" s="5">
        <f>IFERROR(__xludf.DUMMYFUNCTION("""COMPUTED_VALUE"""),0)</f>
        <v>0</v>
      </c>
      <c r="M2" s="5" t="str">
        <f>IFERROR(__xludf.DUMMYFUNCTION("""COMPUTED_VALUE"""),"Working")</f>
        <v>Working</v>
      </c>
      <c r="N2" s="5" t="str">
        <f>IFERROR(__xludf.DUMMYFUNCTION("""COMPUTED_VALUE"""),"LOAD PENDING")</f>
        <v>LOAD PENDING</v>
      </c>
      <c r="O2" s="5" t="str">
        <f>IFERROR(__xludf.DUMMYFUNCTION("""COMPUTED_VALUE"""),"LOAD PENDING")</f>
        <v>LOAD PENDING</v>
      </c>
      <c r="P2" s="5" t="str">
        <f t="shared" ref="P2:P65" si="1">IF(K2&gt;I2,"Extra Theory Load Alloted","")</f>
        <v/>
      </c>
      <c r="Q2" s="5" t="str">
        <f t="shared" ref="Q2:Q65" si="2">IF(L2&gt;J2,"Extra Lab Load Alloted","")</f>
        <v/>
      </c>
    </row>
    <row r="3" ht="14.4" spans="1:17">
      <c r="A3" s="4">
        <v>2</v>
      </c>
      <c r="B3" s="4" t="s">
        <v>22</v>
      </c>
      <c r="C3" s="4" t="s">
        <v>23</v>
      </c>
      <c r="D3" s="4" t="s">
        <v>24</v>
      </c>
      <c r="E3" s="5" t="str">
        <f t="shared" si="0"/>
        <v>Dr.ARUN KUMAR R</v>
      </c>
      <c r="F3" s="6" t="s">
        <v>19</v>
      </c>
      <c r="G3" s="5" t="s">
        <v>25</v>
      </c>
      <c r="H3" s="5" t="s">
        <v>26</v>
      </c>
      <c r="I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Col2='""&amp;B3&amp;""'"",0)"),2)</f>
        <v>2</v>
      </c>
      <c r="J3" s="5">
        <f>IFERROR(__xludf.DUMMYFUNCTION("""COMPUTED_VALUE"""),2)</f>
        <v>2</v>
      </c>
      <c r="K3" s="5">
        <f>IFERROR(__xludf.DUMMYFUNCTION("""COMPUTED_VALUE"""),1)</f>
        <v>1</v>
      </c>
      <c r="L3" s="5">
        <f>IFERROR(__xludf.DUMMYFUNCTION("""COMPUTED_VALUE"""),0)</f>
        <v>0</v>
      </c>
      <c r="M3" s="5" t="str">
        <f>IFERROR(__xludf.DUMMYFUNCTION("""COMPUTED_VALUE"""),"Working")</f>
        <v>Working</v>
      </c>
      <c r="N3" s="5" t="str">
        <f>IFERROR(__xludf.DUMMYFUNCTION("""COMPUTED_VALUE"""),"LOAD PENDING")</f>
        <v>LOAD PENDING</v>
      </c>
      <c r="O3" s="5" t="str">
        <f>IFERROR(__xludf.DUMMYFUNCTION("""COMPUTED_VALUE"""),"LOAD PENDING")</f>
        <v>LOAD PENDING</v>
      </c>
      <c r="P3" s="5" t="str">
        <f t="shared" si="1"/>
        <v/>
      </c>
      <c r="Q3" s="5" t="str">
        <f t="shared" si="2"/>
        <v/>
      </c>
    </row>
    <row r="4" ht="14.4" spans="1:17">
      <c r="A4" s="4">
        <v>3</v>
      </c>
      <c r="B4" s="4" t="s">
        <v>27</v>
      </c>
      <c r="C4" s="4" t="s">
        <v>23</v>
      </c>
      <c r="D4" s="4" t="s">
        <v>28</v>
      </c>
      <c r="E4" s="5" t="str">
        <f t="shared" si="0"/>
        <v>Dr.ESWARAMOORTHY V</v>
      </c>
      <c r="F4" s="6" t="s">
        <v>19</v>
      </c>
      <c r="G4" s="5" t="s">
        <v>29</v>
      </c>
      <c r="H4" s="5" t="s">
        <v>30</v>
      </c>
      <c r="I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Col2='""&amp;B4&amp;""'"",0)"),2)</f>
        <v>2</v>
      </c>
      <c r="J4" s="5">
        <f>IFERROR(__xludf.DUMMYFUNCTION("""COMPUTED_VALUE"""),2)</f>
        <v>2</v>
      </c>
      <c r="K4" s="5">
        <f>IFERROR(__xludf.DUMMYFUNCTION("""COMPUTED_VALUE"""),1)</f>
        <v>1</v>
      </c>
      <c r="L4" s="5">
        <f>IFERROR(__xludf.DUMMYFUNCTION("""COMPUTED_VALUE"""),0)</f>
        <v>0</v>
      </c>
      <c r="M4" s="5" t="str">
        <f>IFERROR(__xludf.DUMMYFUNCTION("""COMPUTED_VALUE"""),"Working")</f>
        <v>Working</v>
      </c>
      <c r="N4" s="5" t="str">
        <f>IFERROR(__xludf.DUMMYFUNCTION("""COMPUTED_VALUE"""),"LOAD PENDING")</f>
        <v>LOAD PENDING</v>
      </c>
      <c r="O4" s="5" t="str">
        <f>IFERROR(__xludf.DUMMYFUNCTION("""COMPUTED_VALUE"""),"LOAD PENDING")</f>
        <v>LOAD PENDING</v>
      </c>
      <c r="P4" s="5" t="str">
        <f t="shared" si="1"/>
        <v/>
      </c>
      <c r="Q4" s="5" t="str">
        <f t="shared" si="2"/>
        <v/>
      </c>
    </row>
    <row r="5" ht="27.6" spans="1:17">
      <c r="A5" s="4">
        <v>4</v>
      </c>
      <c r="B5" s="4" t="s">
        <v>31</v>
      </c>
      <c r="C5" s="4" t="s">
        <v>32</v>
      </c>
      <c r="D5" s="4" t="s">
        <v>33</v>
      </c>
      <c r="E5" s="5" t="str">
        <f t="shared" si="0"/>
        <v>Mrs.NITHYAPRIYA S</v>
      </c>
      <c r="F5" s="6" t="s">
        <v>19</v>
      </c>
      <c r="G5" s="5" t="s">
        <v>20</v>
      </c>
      <c r="H5" s="5" t="s">
        <v>34</v>
      </c>
      <c r="I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Col2='""&amp;B5&amp;""'"",0)"),2)</f>
        <v>2</v>
      </c>
      <c r="J5" s="5">
        <f>IFERROR(__xludf.DUMMYFUNCTION("""COMPUTED_VALUE"""),2)</f>
        <v>2</v>
      </c>
      <c r="K5" s="5">
        <f>IFERROR(__xludf.DUMMYFUNCTION("""COMPUTED_VALUE"""),2)</f>
        <v>2</v>
      </c>
      <c r="L5" s="5">
        <f>IFERROR(__xludf.DUMMYFUNCTION("""COMPUTED_VALUE"""),1)</f>
        <v>1</v>
      </c>
      <c r="M5" s="5" t="str">
        <f>IFERROR(__xludf.DUMMYFUNCTION("""COMPUTED_VALUE"""),"Working")</f>
        <v>Working</v>
      </c>
      <c r="N5" s="5" t="str">
        <f>IFERROR(__xludf.DUMMYFUNCTION("""COMPUTED_VALUE"""),"CORRECT")</f>
        <v>CORRECT</v>
      </c>
      <c r="O5" s="5" t="str">
        <f>IFERROR(__xludf.DUMMYFUNCTION("""COMPUTED_VALUE"""),"LOAD PENDING")</f>
        <v>LOAD PENDING</v>
      </c>
      <c r="P5" s="5" t="str">
        <f t="shared" si="1"/>
        <v/>
      </c>
      <c r="Q5" s="5" t="str">
        <f t="shared" si="2"/>
        <v/>
      </c>
    </row>
    <row r="6" ht="27.6" spans="1:17">
      <c r="A6" s="4">
        <v>5</v>
      </c>
      <c r="B6" s="4" t="s">
        <v>35</v>
      </c>
      <c r="C6" s="4" t="s">
        <v>32</v>
      </c>
      <c r="D6" s="4" t="s">
        <v>36</v>
      </c>
      <c r="E6" s="5" t="str">
        <f t="shared" si="0"/>
        <v>Mrs.NISHA DEVI K</v>
      </c>
      <c r="F6" s="6" t="s">
        <v>19</v>
      </c>
      <c r="G6" s="5" t="s">
        <v>37</v>
      </c>
      <c r="H6" s="5" t="s">
        <v>38</v>
      </c>
      <c r="I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Col2='""&amp;B6&amp;""'"",0)"),2)</f>
        <v>2</v>
      </c>
      <c r="J6" s="5">
        <f>IFERROR(__xludf.DUMMYFUNCTION("""COMPUTED_VALUE"""),2)</f>
        <v>2</v>
      </c>
      <c r="K6" s="5">
        <f>IFERROR(__xludf.DUMMYFUNCTION("""COMPUTED_VALUE"""),2)</f>
        <v>2</v>
      </c>
      <c r="L6" s="5">
        <f>IFERROR(__xludf.DUMMYFUNCTION("""COMPUTED_VALUE"""),1)</f>
        <v>1</v>
      </c>
      <c r="M6" s="5" t="str">
        <f>IFERROR(__xludf.DUMMYFUNCTION("""COMPUTED_VALUE"""),"Working")</f>
        <v>Working</v>
      </c>
      <c r="N6" s="5" t="str">
        <f>IFERROR(__xludf.DUMMYFUNCTION("""COMPUTED_VALUE"""),"CORRECT")</f>
        <v>CORRECT</v>
      </c>
      <c r="O6" s="5" t="str">
        <f>IFERROR(__xludf.DUMMYFUNCTION("""COMPUTED_VALUE"""),"LOAD PENDING")</f>
        <v>LOAD PENDING</v>
      </c>
      <c r="P6" s="5" t="str">
        <f t="shared" si="1"/>
        <v/>
      </c>
      <c r="Q6" s="5" t="str">
        <f t="shared" si="2"/>
        <v/>
      </c>
    </row>
    <row r="7" ht="27.6" spans="1:17">
      <c r="A7" s="4">
        <v>6</v>
      </c>
      <c r="B7" s="4" t="s">
        <v>39</v>
      </c>
      <c r="C7" s="4" t="s">
        <v>17</v>
      </c>
      <c r="D7" s="4" t="s">
        <v>40</v>
      </c>
      <c r="E7" s="5" t="str">
        <f t="shared" si="0"/>
        <v>Mr.BALASAMY K</v>
      </c>
      <c r="F7" s="6" t="s">
        <v>19</v>
      </c>
      <c r="G7" s="5" t="s">
        <v>20</v>
      </c>
      <c r="H7" s="5" t="s">
        <v>41</v>
      </c>
      <c r="I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Col2='""&amp;B7&amp;""'"",0)"),2)</f>
        <v>2</v>
      </c>
      <c r="J7" s="5">
        <f>IFERROR(__xludf.DUMMYFUNCTION("""COMPUTED_VALUE"""),2)</f>
        <v>2</v>
      </c>
      <c r="K7" s="5">
        <f>IFERROR(__xludf.DUMMYFUNCTION("""COMPUTED_VALUE"""),2)</f>
        <v>2</v>
      </c>
      <c r="L7" s="5">
        <f>IFERROR(__xludf.DUMMYFUNCTION("""COMPUTED_VALUE"""),1)</f>
        <v>1</v>
      </c>
      <c r="M7" s="5" t="str">
        <f>IFERROR(__xludf.DUMMYFUNCTION("""COMPUTED_VALUE"""),"Working")</f>
        <v>Working</v>
      </c>
      <c r="N7" s="5" t="str">
        <f>IFERROR(__xludf.DUMMYFUNCTION("""COMPUTED_VALUE"""),"CORRECT")</f>
        <v>CORRECT</v>
      </c>
      <c r="O7" s="5" t="str">
        <f>IFERROR(__xludf.DUMMYFUNCTION("""COMPUTED_VALUE"""),"LOAD PENDING")</f>
        <v>LOAD PENDING</v>
      </c>
      <c r="P7" s="5" t="str">
        <f t="shared" si="1"/>
        <v/>
      </c>
      <c r="Q7" s="5" t="str">
        <f t="shared" si="2"/>
        <v/>
      </c>
    </row>
    <row r="8" ht="27.6" spans="1:17">
      <c r="A8" s="4">
        <v>7</v>
      </c>
      <c r="B8" s="4" t="s">
        <v>42</v>
      </c>
      <c r="C8" s="4" t="s">
        <v>17</v>
      </c>
      <c r="D8" s="4" t="s">
        <v>43</v>
      </c>
      <c r="E8" s="5" t="str">
        <f t="shared" si="0"/>
        <v>Mr.PRABANAND S C</v>
      </c>
      <c r="F8" s="6" t="s">
        <v>19</v>
      </c>
      <c r="G8" s="5" t="s">
        <v>20</v>
      </c>
      <c r="H8" s="5" t="s">
        <v>44</v>
      </c>
      <c r="I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Col2='""&amp;B8&amp;""'"",0)"),2)</f>
        <v>2</v>
      </c>
      <c r="J8" s="5">
        <f>IFERROR(__xludf.DUMMYFUNCTION("""COMPUTED_VALUE"""),2)</f>
        <v>2</v>
      </c>
      <c r="K8" s="5">
        <f>IFERROR(__xludf.DUMMYFUNCTION("""COMPUTED_VALUE"""),0)</f>
        <v>0</v>
      </c>
      <c r="L8" s="5">
        <f>IFERROR(__xludf.DUMMYFUNCTION("""COMPUTED_VALUE"""),0)</f>
        <v>0</v>
      </c>
      <c r="M8" s="5" t="str">
        <f>IFERROR(__xludf.DUMMYFUNCTION("""COMPUTED_VALUE"""),"Working")</f>
        <v>Working</v>
      </c>
      <c r="N8" s="5" t="str">
        <f>IFERROR(__xludf.DUMMYFUNCTION("""COMPUTED_VALUE"""),"LOAD PENDING")</f>
        <v>LOAD PENDING</v>
      </c>
      <c r="O8" s="5" t="str">
        <f>IFERROR(__xludf.DUMMYFUNCTION("""COMPUTED_VALUE"""),"LOAD PENDING")</f>
        <v>LOAD PENDING</v>
      </c>
      <c r="P8" s="5" t="str">
        <f t="shared" si="1"/>
        <v/>
      </c>
      <c r="Q8" s="5" t="str">
        <f t="shared" si="2"/>
        <v/>
      </c>
    </row>
    <row r="9" ht="14.4" spans="1:17">
      <c r="A9" s="4">
        <v>8</v>
      </c>
      <c r="B9" s="4" t="s">
        <v>45</v>
      </c>
      <c r="C9" s="4" t="s">
        <v>17</v>
      </c>
      <c r="D9" s="4" t="s">
        <v>46</v>
      </c>
      <c r="E9" s="5" t="str">
        <f t="shared" si="0"/>
        <v>Mr.SATHEESH N P</v>
      </c>
      <c r="F9" s="6" t="s">
        <v>19</v>
      </c>
      <c r="G9" s="5" t="s">
        <v>47</v>
      </c>
      <c r="H9" s="5" t="s">
        <v>48</v>
      </c>
      <c r="I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Col2='""&amp;B9&amp;""'"",0)"),2)</f>
        <v>2</v>
      </c>
      <c r="J9" s="5">
        <f>IFERROR(__xludf.DUMMYFUNCTION("""COMPUTED_VALUE"""),2)</f>
        <v>2</v>
      </c>
      <c r="K9" s="5">
        <f>IFERROR(__xludf.DUMMYFUNCTION("""COMPUTED_VALUE"""),2)</f>
        <v>2</v>
      </c>
      <c r="L9" s="5">
        <f>IFERROR(__xludf.DUMMYFUNCTION("""COMPUTED_VALUE"""),1)</f>
        <v>1</v>
      </c>
      <c r="M9" s="5" t="str">
        <f>IFERROR(__xludf.DUMMYFUNCTION("""COMPUTED_VALUE"""),"Working")</f>
        <v>Working</v>
      </c>
      <c r="N9" s="5" t="str">
        <f>IFERROR(__xludf.DUMMYFUNCTION("""COMPUTED_VALUE"""),"CORRECT")</f>
        <v>CORRECT</v>
      </c>
      <c r="O9" s="5" t="str">
        <f>IFERROR(__xludf.DUMMYFUNCTION("""COMPUTED_VALUE"""),"LOAD PENDING")</f>
        <v>LOAD PENDING</v>
      </c>
      <c r="P9" s="5" t="str">
        <f t="shared" si="1"/>
        <v/>
      </c>
      <c r="Q9" s="5" t="str">
        <f t="shared" si="2"/>
        <v/>
      </c>
    </row>
    <row r="10" ht="27.6" spans="1:17">
      <c r="A10" s="4">
        <v>9</v>
      </c>
      <c r="B10" s="4" t="s">
        <v>49</v>
      </c>
      <c r="C10" s="4" t="s">
        <v>17</v>
      </c>
      <c r="D10" s="4" t="s">
        <v>50</v>
      </c>
      <c r="E10" s="5" t="str">
        <f t="shared" si="0"/>
        <v>Mr.RAJ KUMAR V S</v>
      </c>
      <c r="F10" s="6" t="s">
        <v>19</v>
      </c>
      <c r="G10" s="5" t="s">
        <v>37</v>
      </c>
      <c r="H10" s="5" t="s">
        <v>51</v>
      </c>
      <c r="I1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Col2='""&amp;B10&amp;""'"",0)"),2)</f>
        <v>2</v>
      </c>
      <c r="J10" s="5">
        <f>IFERROR(__xludf.DUMMYFUNCTION("""COMPUTED_VALUE"""),2)</f>
        <v>2</v>
      </c>
      <c r="K10" s="5">
        <f>IFERROR(__xludf.DUMMYFUNCTION("""COMPUTED_VALUE"""),1)</f>
        <v>1</v>
      </c>
      <c r="L10" s="5">
        <f>IFERROR(__xludf.DUMMYFUNCTION("""COMPUTED_VALUE"""),0)</f>
        <v>0</v>
      </c>
      <c r="M10" s="5" t="str">
        <f>IFERROR(__xludf.DUMMYFUNCTION("""COMPUTED_VALUE"""),"Working")</f>
        <v>Working</v>
      </c>
      <c r="N10" s="5" t="str">
        <f>IFERROR(__xludf.DUMMYFUNCTION("""COMPUTED_VALUE"""),"LOAD PENDING")</f>
        <v>LOAD PENDING</v>
      </c>
      <c r="O10" s="5" t="str">
        <f>IFERROR(__xludf.DUMMYFUNCTION("""COMPUTED_VALUE"""),"LOAD PENDING")</f>
        <v>LOAD PENDING</v>
      </c>
      <c r="P10" s="5" t="str">
        <f t="shared" si="1"/>
        <v/>
      </c>
      <c r="Q10" s="5" t="str">
        <f t="shared" si="2"/>
        <v/>
      </c>
    </row>
    <row r="11" ht="27.6" spans="1:17">
      <c r="A11" s="4">
        <v>10</v>
      </c>
      <c r="B11" s="4" t="s">
        <v>52</v>
      </c>
      <c r="C11" s="4" t="s">
        <v>53</v>
      </c>
      <c r="D11" s="4" t="s">
        <v>54</v>
      </c>
      <c r="E11" s="5" t="str">
        <f t="shared" si="0"/>
        <v>Ms.ESAKKI MADURA E</v>
      </c>
      <c r="F11" s="6" t="s">
        <v>19</v>
      </c>
      <c r="G11" s="5" t="s">
        <v>20</v>
      </c>
      <c r="H11" s="5" t="s">
        <v>55</v>
      </c>
      <c r="I1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Col2='""&amp;B11&amp;""'"",0)"),2)</f>
        <v>2</v>
      </c>
      <c r="J11" s="5">
        <f>IFERROR(__xludf.DUMMYFUNCTION("""COMPUTED_VALUE"""),2)</f>
        <v>2</v>
      </c>
      <c r="K11" s="5">
        <f>IFERROR(__xludf.DUMMYFUNCTION("""COMPUTED_VALUE"""),2)</f>
        <v>2</v>
      </c>
      <c r="L11" s="5">
        <f>IFERROR(__xludf.DUMMYFUNCTION("""COMPUTED_VALUE"""),1)</f>
        <v>1</v>
      </c>
      <c r="M11" s="5" t="str">
        <f>IFERROR(__xludf.DUMMYFUNCTION("""COMPUTED_VALUE"""),"Working")</f>
        <v>Working</v>
      </c>
      <c r="N11" s="5" t="str">
        <f>IFERROR(__xludf.DUMMYFUNCTION("""COMPUTED_VALUE"""),"CORRECT")</f>
        <v>CORRECT</v>
      </c>
      <c r="O11" s="5" t="str">
        <f>IFERROR(__xludf.DUMMYFUNCTION("""COMPUTED_VALUE"""),"LOAD PENDING")</f>
        <v>LOAD PENDING</v>
      </c>
      <c r="P11" s="5" t="str">
        <f t="shared" si="1"/>
        <v/>
      </c>
      <c r="Q11" s="5" t="str">
        <f t="shared" si="2"/>
        <v/>
      </c>
    </row>
    <row r="12" ht="27.6" spans="1:17">
      <c r="A12" s="4">
        <v>11</v>
      </c>
      <c r="B12" s="4" t="s">
        <v>56</v>
      </c>
      <c r="C12" s="4" t="s">
        <v>32</v>
      </c>
      <c r="D12" s="4" t="s">
        <v>57</v>
      </c>
      <c r="E12" s="5" t="str">
        <f t="shared" si="0"/>
        <v>Mrs.DIVYABARATHI P</v>
      </c>
      <c r="F12" s="6" t="s">
        <v>19</v>
      </c>
      <c r="G12" s="5" t="s">
        <v>37</v>
      </c>
      <c r="H12" s="5" t="s">
        <v>58</v>
      </c>
      <c r="I1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Col2='""&amp;B12&amp;""'"",0)"),2)</f>
        <v>2</v>
      </c>
      <c r="J12" s="5">
        <f>IFERROR(__xludf.DUMMYFUNCTION("""COMPUTED_VALUE"""),2)</f>
        <v>2</v>
      </c>
      <c r="K12" s="5">
        <f>IFERROR(__xludf.DUMMYFUNCTION("""COMPUTED_VALUE"""),2)</f>
        <v>2</v>
      </c>
      <c r="L12" s="5">
        <f>IFERROR(__xludf.DUMMYFUNCTION("""COMPUTED_VALUE"""),1)</f>
        <v>1</v>
      </c>
      <c r="M12" s="5" t="str">
        <f>IFERROR(__xludf.DUMMYFUNCTION("""COMPUTED_VALUE"""),"Working")</f>
        <v>Working</v>
      </c>
      <c r="N12" s="5" t="str">
        <f>IFERROR(__xludf.DUMMYFUNCTION("""COMPUTED_VALUE"""),"CORRECT")</f>
        <v>CORRECT</v>
      </c>
      <c r="O12" s="5" t="str">
        <f>IFERROR(__xludf.DUMMYFUNCTION("""COMPUTED_VALUE"""),"LOAD PENDING")</f>
        <v>LOAD PENDING</v>
      </c>
      <c r="P12" s="5" t="str">
        <f t="shared" si="1"/>
        <v/>
      </c>
      <c r="Q12" s="5" t="str">
        <f t="shared" si="2"/>
        <v/>
      </c>
    </row>
    <row r="13" ht="27.6" spans="1:17">
      <c r="A13" s="4">
        <v>12</v>
      </c>
      <c r="B13" s="4" t="s">
        <v>59</v>
      </c>
      <c r="C13" s="4" t="s">
        <v>17</v>
      </c>
      <c r="D13" s="4" t="s">
        <v>60</v>
      </c>
      <c r="E13" s="5" t="str">
        <f t="shared" si="0"/>
        <v>Mr.SATHEESHKUMAR S</v>
      </c>
      <c r="F13" s="6" t="s">
        <v>19</v>
      </c>
      <c r="G13" s="5" t="s">
        <v>37</v>
      </c>
      <c r="H13" s="5" t="s">
        <v>61</v>
      </c>
      <c r="I1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Col2='""&amp;B13&amp;""'"",0)"),2)</f>
        <v>2</v>
      </c>
      <c r="J13" s="5">
        <f>IFERROR(__xludf.DUMMYFUNCTION("""COMPUTED_VALUE"""),2)</f>
        <v>2</v>
      </c>
      <c r="K13" s="5">
        <f>IFERROR(__xludf.DUMMYFUNCTION("""COMPUTED_VALUE"""),2)</f>
        <v>2</v>
      </c>
      <c r="L13" s="5">
        <f>IFERROR(__xludf.DUMMYFUNCTION("""COMPUTED_VALUE"""),1)</f>
        <v>1</v>
      </c>
      <c r="M13" s="5" t="str">
        <f>IFERROR(__xludf.DUMMYFUNCTION("""COMPUTED_VALUE"""),"Working")</f>
        <v>Working</v>
      </c>
      <c r="N13" s="5" t="str">
        <f>IFERROR(__xludf.DUMMYFUNCTION("""COMPUTED_VALUE"""),"CORRECT")</f>
        <v>CORRECT</v>
      </c>
      <c r="O13" s="5" t="str">
        <f>IFERROR(__xludf.DUMMYFUNCTION("""COMPUTED_VALUE"""),"LOAD PENDING")</f>
        <v>LOAD PENDING</v>
      </c>
      <c r="P13" s="5" t="str">
        <f t="shared" si="1"/>
        <v/>
      </c>
      <c r="Q13" s="5" t="str">
        <f t="shared" si="2"/>
        <v/>
      </c>
    </row>
    <row r="14" ht="14.4" spans="1:17">
      <c r="A14" s="4">
        <v>13</v>
      </c>
      <c r="B14" s="4" t="s">
        <v>62</v>
      </c>
      <c r="C14" s="4" t="s">
        <v>32</v>
      </c>
      <c r="D14" s="4" t="s">
        <v>63</v>
      </c>
      <c r="E14" s="5" t="str">
        <f t="shared" si="0"/>
        <v>Mrs.KIRUTHIGA R</v>
      </c>
      <c r="F14" s="6" t="s">
        <v>19</v>
      </c>
      <c r="G14" s="5" t="s">
        <v>47</v>
      </c>
      <c r="H14" s="5" t="s">
        <v>64</v>
      </c>
      <c r="I1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Col2='""&amp;B14&amp;""'"",0)"),2)</f>
        <v>2</v>
      </c>
      <c r="J14" s="5">
        <f>IFERROR(__xludf.DUMMYFUNCTION("""COMPUTED_VALUE"""),2)</f>
        <v>2</v>
      </c>
      <c r="K14" s="5">
        <f>IFERROR(__xludf.DUMMYFUNCTION("""COMPUTED_VALUE"""),2)</f>
        <v>2</v>
      </c>
      <c r="L14" s="5">
        <f>IFERROR(__xludf.DUMMYFUNCTION("""COMPUTED_VALUE"""),1)</f>
        <v>1</v>
      </c>
      <c r="M14" s="5" t="str">
        <f>IFERROR(__xludf.DUMMYFUNCTION("""COMPUTED_VALUE"""),"Working")</f>
        <v>Working</v>
      </c>
      <c r="N14" s="5" t="str">
        <f>IFERROR(__xludf.DUMMYFUNCTION("""COMPUTED_VALUE"""),"CORRECT")</f>
        <v>CORRECT</v>
      </c>
      <c r="O14" s="5" t="str">
        <f>IFERROR(__xludf.DUMMYFUNCTION("""COMPUTED_VALUE"""),"LOAD PENDING")</f>
        <v>LOAD PENDING</v>
      </c>
      <c r="P14" s="5" t="str">
        <f t="shared" si="1"/>
        <v/>
      </c>
      <c r="Q14" s="5" t="str">
        <f t="shared" si="2"/>
        <v/>
      </c>
    </row>
    <row r="15" ht="27.6" spans="1:17">
      <c r="A15" s="4">
        <v>14</v>
      </c>
      <c r="B15" s="4" t="s">
        <v>65</v>
      </c>
      <c r="C15" s="4" t="s">
        <v>32</v>
      </c>
      <c r="D15" s="4" t="s">
        <v>66</v>
      </c>
      <c r="E15" s="5" t="str">
        <f t="shared" si="0"/>
        <v>Mrs.VAANATHI S</v>
      </c>
      <c r="F15" s="6" t="s">
        <v>19</v>
      </c>
      <c r="G15" s="5" t="s">
        <v>37</v>
      </c>
      <c r="H15" s="5" t="s">
        <v>67</v>
      </c>
      <c r="I1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Col2='""&amp;B15&amp;""'"",0)"),2)</f>
        <v>2</v>
      </c>
      <c r="J15" s="5">
        <f>IFERROR(__xludf.DUMMYFUNCTION("""COMPUTED_VALUE"""),1)</f>
        <v>1</v>
      </c>
      <c r="K15" s="5">
        <f>IFERROR(__xludf.DUMMYFUNCTION("""COMPUTED_VALUE"""),2)</f>
        <v>2</v>
      </c>
      <c r="L15" s="5">
        <f>IFERROR(__xludf.DUMMYFUNCTION("""COMPUTED_VALUE"""),1)</f>
        <v>1</v>
      </c>
      <c r="M15" s="5" t="str">
        <f>IFERROR(__xludf.DUMMYFUNCTION("""COMPUTED_VALUE"""),"Working")</f>
        <v>Working</v>
      </c>
      <c r="N15" s="5" t="str">
        <f>IFERROR(__xludf.DUMMYFUNCTION("""COMPUTED_VALUE"""),"CORRECT")</f>
        <v>CORRECT</v>
      </c>
      <c r="O15" s="5" t="str">
        <f>IFERROR(__xludf.DUMMYFUNCTION("""COMPUTED_VALUE"""),"CORRECT")</f>
        <v>CORRECT</v>
      </c>
      <c r="P15" s="5" t="str">
        <f t="shared" si="1"/>
        <v/>
      </c>
      <c r="Q15" s="5" t="str">
        <f t="shared" si="2"/>
        <v/>
      </c>
    </row>
    <row r="16" ht="27.6" spans="1:17">
      <c r="A16" s="4">
        <v>15</v>
      </c>
      <c r="B16" s="4" t="s">
        <v>68</v>
      </c>
      <c r="C16" s="4" t="s">
        <v>17</v>
      </c>
      <c r="D16" s="4" t="s">
        <v>69</v>
      </c>
      <c r="E16" s="5" t="str">
        <f t="shared" si="0"/>
        <v>Mr.CHOZHARAJAN P</v>
      </c>
      <c r="F16" s="6" t="s">
        <v>19</v>
      </c>
      <c r="G16" s="5" t="s">
        <v>20</v>
      </c>
      <c r="H16" s="5" t="s">
        <v>70</v>
      </c>
      <c r="I1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Col2='""&amp;B16&amp;""'"",0)"),2)</f>
        <v>2</v>
      </c>
      <c r="J16" s="5">
        <f>IFERROR(__xludf.DUMMYFUNCTION("""COMPUTED_VALUE"""),2)</f>
        <v>2</v>
      </c>
      <c r="K16" s="5">
        <f>IFERROR(__xludf.DUMMYFUNCTION("""COMPUTED_VALUE"""),2)</f>
        <v>2</v>
      </c>
      <c r="L16" s="5">
        <f>IFERROR(__xludf.DUMMYFUNCTION("""COMPUTED_VALUE"""),1)</f>
        <v>1</v>
      </c>
      <c r="M16" s="5" t="str">
        <f>IFERROR(__xludf.DUMMYFUNCTION("""COMPUTED_VALUE"""),"Working")</f>
        <v>Working</v>
      </c>
      <c r="N16" s="5" t="str">
        <f>IFERROR(__xludf.DUMMYFUNCTION("""COMPUTED_VALUE"""),"CORRECT")</f>
        <v>CORRECT</v>
      </c>
      <c r="O16" s="5" t="str">
        <f>IFERROR(__xludf.DUMMYFUNCTION("""COMPUTED_VALUE"""),"LOAD PENDING")</f>
        <v>LOAD PENDING</v>
      </c>
      <c r="P16" s="5" t="str">
        <f t="shared" si="1"/>
        <v/>
      </c>
      <c r="Q16" s="5" t="str">
        <f t="shared" si="2"/>
        <v/>
      </c>
    </row>
    <row r="17" ht="14.4" spans="1:17">
      <c r="A17" s="4">
        <v>16</v>
      </c>
      <c r="B17" s="4" t="s">
        <v>71</v>
      </c>
      <c r="C17" s="4" t="s">
        <v>32</v>
      </c>
      <c r="D17" s="4" t="s">
        <v>72</v>
      </c>
      <c r="E17" s="5" t="str">
        <f t="shared" si="0"/>
        <v>Mrs.ASHFORN HERMINA J M</v>
      </c>
      <c r="F17" s="6" t="s">
        <v>19</v>
      </c>
      <c r="G17" s="5" t="s">
        <v>47</v>
      </c>
      <c r="H17" s="5" t="s">
        <v>73</v>
      </c>
      <c r="I1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Col2='""&amp;B17&amp;""'"",0)"),2)</f>
        <v>2</v>
      </c>
      <c r="J17" s="5">
        <f>IFERROR(__xludf.DUMMYFUNCTION("""COMPUTED_VALUE"""),2)</f>
        <v>2</v>
      </c>
      <c r="K17" s="5">
        <f>IFERROR(__xludf.DUMMYFUNCTION("""COMPUTED_VALUE"""),2)</f>
        <v>2</v>
      </c>
      <c r="L17" s="5">
        <f>IFERROR(__xludf.DUMMYFUNCTION("""COMPUTED_VALUE"""),1)</f>
        <v>1</v>
      </c>
      <c r="M17" s="5" t="str">
        <f>IFERROR(__xludf.DUMMYFUNCTION("""COMPUTED_VALUE"""),"Working")</f>
        <v>Working</v>
      </c>
      <c r="N17" s="5" t="str">
        <f>IFERROR(__xludf.DUMMYFUNCTION("""COMPUTED_VALUE"""),"CORRECT")</f>
        <v>CORRECT</v>
      </c>
      <c r="O17" s="5" t="str">
        <f>IFERROR(__xludf.DUMMYFUNCTION("""COMPUTED_VALUE"""),"LOAD PENDING")</f>
        <v>LOAD PENDING</v>
      </c>
      <c r="P17" s="5" t="str">
        <f t="shared" si="1"/>
        <v/>
      </c>
      <c r="Q17" s="5" t="str">
        <f t="shared" si="2"/>
        <v/>
      </c>
    </row>
    <row r="18" ht="14.4" spans="1:17">
      <c r="A18" s="4">
        <v>17</v>
      </c>
      <c r="B18" s="4" t="s">
        <v>74</v>
      </c>
      <c r="C18" s="4" t="s">
        <v>32</v>
      </c>
      <c r="D18" s="4" t="s">
        <v>75</v>
      </c>
      <c r="E18" s="5" t="str">
        <f t="shared" si="0"/>
        <v>Mrs.JEEVITHA S V</v>
      </c>
      <c r="F18" s="6" t="s">
        <v>19</v>
      </c>
      <c r="G18" s="5" t="s">
        <v>47</v>
      </c>
      <c r="H18" s="5" t="s">
        <v>76</v>
      </c>
      <c r="I1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Col2='""&amp;B18&amp;""'"",0)"),2)</f>
        <v>2</v>
      </c>
      <c r="J18" s="5">
        <f>IFERROR(__xludf.DUMMYFUNCTION("""COMPUTED_VALUE"""),2)</f>
        <v>2</v>
      </c>
      <c r="K18" s="5">
        <f>IFERROR(__xludf.DUMMYFUNCTION("""COMPUTED_VALUE"""),2)</f>
        <v>2</v>
      </c>
      <c r="L18" s="5">
        <f>IFERROR(__xludf.DUMMYFUNCTION("""COMPUTED_VALUE"""),1)</f>
        <v>1</v>
      </c>
      <c r="M18" s="5" t="str">
        <f>IFERROR(__xludf.DUMMYFUNCTION("""COMPUTED_VALUE"""),"Working")</f>
        <v>Working</v>
      </c>
      <c r="N18" s="5" t="str">
        <f>IFERROR(__xludf.DUMMYFUNCTION("""COMPUTED_VALUE"""),"CORRECT")</f>
        <v>CORRECT</v>
      </c>
      <c r="O18" s="5" t="str">
        <f>IFERROR(__xludf.DUMMYFUNCTION("""COMPUTED_VALUE"""),"LOAD PENDING")</f>
        <v>LOAD PENDING</v>
      </c>
      <c r="P18" s="5" t="str">
        <f t="shared" si="1"/>
        <v/>
      </c>
      <c r="Q18" s="5" t="str">
        <f t="shared" si="2"/>
        <v/>
      </c>
    </row>
    <row r="19" ht="27.6" spans="1:17">
      <c r="A19" s="4">
        <v>18</v>
      </c>
      <c r="B19" s="4" t="s">
        <v>77</v>
      </c>
      <c r="C19" s="4" t="s">
        <v>53</v>
      </c>
      <c r="D19" s="4" t="s">
        <v>78</v>
      </c>
      <c r="E19" s="5" t="str">
        <f t="shared" si="0"/>
        <v>Ms.BENITA GRACIA THANGAM J</v>
      </c>
      <c r="F19" s="6" t="s">
        <v>19</v>
      </c>
      <c r="G19" s="5" t="s">
        <v>47</v>
      </c>
      <c r="H19" s="5" t="s">
        <v>79</v>
      </c>
      <c r="I1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Col2='""&amp;B19&amp;""'"",0)"),2)</f>
        <v>2</v>
      </c>
      <c r="J19" s="5">
        <f>IFERROR(__xludf.DUMMYFUNCTION("""COMPUTED_VALUE"""),2)</f>
        <v>2</v>
      </c>
      <c r="K19" s="5">
        <f>IFERROR(__xludf.DUMMYFUNCTION("""COMPUTED_VALUE"""),2)</f>
        <v>2</v>
      </c>
      <c r="L19" s="5">
        <f>IFERROR(__xludf.DUMMYFUNCTION("""COMPUTED_VALUE"""),1)</f>
        <v>1</v>
      </c>
      <c r="M19" s="5" t="str">
        <f>IFERROR(__xludf.DUMMYFUNCTION("""COMPUTED_VALUE"""),"Working")</f>
        <v>Working</v>
      </c>
      <c r="N19" s="5" t="str">
        <f>IFERROR(__xludf.DUMMYFUNCTION("""COMPUTED_VALUE"""),"CORRECT")</f>
        <v>CORRECT</v>
      </c>
      <c r="O19" s="5" t="str">
        <f>IFERROR(__xludf.DUMMYFUNCTION("""COMPUTED_VALUE"""),"LOAD PENDING")</f>
        <v>LOAD PENDING</v>
      </c>
      <c r="P19" s="5" t="str">
        <f t="shared" si="1"/>
        <v/>
      </c>
      <c r="Q19" s="5" t="str">
        <f t="shared" si="2"/>
        <v/>
      </c>
    </row>
    <row r="20" ht="14.4" spans="1:17">
      <c r="A20" s="4">
        <v>19</v>
      </c>
      <c r="B20" s="4" t="s">
        <v>80</v>
      </c>
      <c r="C20" s="4" t="s">
        <v>17</v>
      </c>
      <c r="D20" s="4" t="s">
        <v>81</v>
      </c>
      <c r="E20" s="5" t="str">
        <f t="shared" si="0"/>
        <v>Mr.PREMKUMAR C</v>
      </c>
      <c r="F20" s="6" t="s">
        <v>19</v>
      </c>
      <c r="G20" s="5" t="s">
        <v>47</v>
      </c>
      <c r="H20" s="5" t="s">
        <v>82</v>
      </c>
      <c r="I2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Col2='""&amp;B20&amp;""'"",0)"),2)</f>
        <v>2</v>
      </c>
      <c r="J20" s="5">
        <f>IFERROR(__xludf.DUMMYFUNCTION("""COMPUTED_VALUE"""),2)</f>
        <v>2</v>
      </c>
      <c r="K20" s="5">
        <f>IFERROR(__xludf.DUMMYFUNCTION("""COMPUTED_VALUE"""),2)</f>
        <v>2</v>
      </c>
      <c r="L20" s="5">
        <f>IFERROR(__xludf.DUMMYFUNCTION("""COMPUTED_VALUE"""),1)</f>
        <v>1</v>
      </c>
      <c r="M20" s="5" t="str">
        <f>IFERROR(__xludf.DUMMYFUNCTION("""COMPUTED_VALUE"""),"Working")</f>
        <v>Working</v>
      </c>
      <c r="N20" s="5" t="str">
        <f>IFERROR(__xludf.DUMMYFUNCTION("""COMPUTED_VALUE"""),"CORRECT")</f>
        <v>CORRECT</v>
      </c>
      <c r="O20" s="5" t="str">
        <f>IFERROR(__xludf.DUMMYFUNCTION("""COMPUTED_VALUE"""),"LOAD PENDING")</f>
        <v>LOAD PENDING</v>
      </c>
      <c r="P20" s="5" t="str">
        <f t="shared" si="1"/>
        <v/>
      </c>
      <c r="Q20" s="5" t="str">
        <f t="shared" si="2"/>
        <v/>
      </c>
    </row>
    <row r="21" ht="14.4" spans="1:17">
      <c r="A21" s="4">
        <v>20</v>
      </c>
      <c r="B21" s="4" t="s">
        <v>83</v>
      </c>
      <c r="C21" s="4" t="s">
        <v>23</v>
      </c>
      <c r="D21" s="4" t="s">
        <v>84</v>
      </c>
      <c r="E21" s="5" t="str">
        <f t="shared" si="0"/>
        <v>Dr.SUNDARA MURTHY S</v>
      </c>
      <c r="F21" s="6" t="s">
        <v>19</v>
      </c>
      <c r="G21" s="5" t="s">
        <v>29</v>
      </c>
      <c r="H21" s="5" t="s">
        <v>85</v>
      </c>
      <c r="I2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Col2='""&amp;B21&amp;""'"",0)"),1)</f>
        <v>1</v>
      </c>
      <c r="J21" s="5">
        <f>IFERROR(__xludf.DUMMYFUNCTION("""COMPUTED_VALUE"""),0)</f>
        <v>0</v>
      </c>
      <c r="K21" s="5">
        <f>IFERROR(__xludf.DUMMYFUNCTION("""COMPUTED_VALUE"""),1)</f>
        <v>1</v>
      </c>
      <c r="L21" s="5">
        <f>IFERROR(__xludf.DUMMYFUNCTION("""COMPUTED_VALUE"""),0)</f>
        <v>0</v>
      </c>
      <c r="M21" s="5" t="str">
        <f>IFERROR(__xludf.DUMMYFUNCTION("""COMPUTED_VALUE"""),"Working")</f>
        <v>Working</v>
      </c>
      <c r="N21" s="5" t="str">
        <f>IFERROR(__xludf.DUMMYFUNCTION("""COMPUTED_VALUE"""),"CORRECT")</f>
        <v>CORRECT</v>
      </c>
      <c r="O21" s="5" t="str">
        <f>IFERROR(__xludf.DUMMYFUNCTION("""COMPUTED_VALUE"""),"CORRECT")</f>
        <v>CORRECT</v>
      </c>
      <c r="P21" s="5" t="str">
        <f t="shared" si="1"/>
        <v/>
      </c>
      <c r="Q21" s="5" t="str">
        <f t="shared" si="2"/>
        <v/>
      </c>
    </row>
    <row r="22" ht="14.4" spans="1:17">
      <c r="A22" s="4">
        <v>21</v>
      </c>
      <c r="B22" s="4" t="s">
        <v>86</v>
      </c>
      <c r="C22" s="4" t="s">
        <v>32</v>
      </c>
      <c r="D22" s="4" t="s">
        <v>87</v>
      </c>
      <c r="E22" s="5" t="str">
        <f t="shared" si="0"/>
        <v>Mrs.RESHMI T S</v>
      </c>
      <c r="F22" s="6" t="s">
        <v>19</v>
      </c>
      <c r="G22" s="5" t="s">
        <v>47</v>
      </c>
      <c r="H22" s="5" t="s">
        <v>88</v>
      </c>
      <c r="I2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Col2='""&amp;B22&amp;""'"",0)"),2)</f>
        <v>2</v>
      </c>
      <c r="J22" s="5">
        <f>IFERROR(__xludf.DUMMYFUNCTION("""COMPUTED_VALUE"""),2)</f>
        <v>2</v>
      </c>
      <c r="K22" s="5">
        <f>IFERROR(__xludf.DUMMYFUNCTION("""COMPUTED_VALUE"""),2)</f>
        <v>2</v>
      </c>
      <c r="L22" s="5">
        <f>IFERROR(__xludf.DUMMYFUNCTION("""COMPUTED_VALUE"""),1)</f>
        <v>1</v>
      </c>
      <c r="M22" s="5" t="str">
        <f>IFERROR(__xludf.DUMMYFUNCTION("""COMPUTED_VALUE"""),"Working")</f>
        <v>Working</v>
      </c>
      <c r="N22" s="5" t="str">
        <f>IFERROR(__xludf.DUMMYFUNCTION("""COMPUTED_VALUE"""),"CORRECT")</f>
        <v>CORRECT</v>
      </c>
      <c r="O22" s="5" t="str">
        <f>IFERROR(__xludf.DUMMYFUNCTION("""COMPUTED_VALUE"""),"LOAD PENDING")</f>
        <v>LOAD PENDING</v>
      </c>
      <c r="P22" s="5" t="str">
        <f t="shared" si="1"/>
        <v/>
      </c>
      <c r="Q22" s="5" t="str">
        <f t="shared" si="2"/>
        <v/>
      </c>
    </row>
    <row r="23" ht="27.6" spans="1:17">
      <c r="A23" s="4">
        <v>22</v>
      </c>
      <c r="B23" s="4" t="s">
        <v>89</v>
      </c>
      <c r="C23" s="4" t="s">
        <v>23</v>
      </c>
      <c r="D23" s="4" t="s">
        <v>90</v>
      </c>
      <c r="E23" s="5" t="str">
        <f t="shared" si="0"/>
        <v>Dr.SUBBULAKSHMI M</v>
      </c>
      <c r="F23" s="6" t="s">
        <v>19</v>
      </c>
      <c r="G23" s="5" t="s">
        <v>20</v>
      </c>
      <c r="H23" s="5" t="s">
        <v>91</v>
      </c>
      <c r="I2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Col2='""&amp;B23&amp;""'"",0)"),2)</f>
        <v>2</v>
      </c>
      <c r="J23" s="5">
        <f>IFERROR(__xludf.DUMMYFUNCTION("""COMPUTED_VALUE"""),2)</f>
        <v>2</v>
      </c>
      <c r="K23" s="5">
        <f>IFERROR(__xludf.DUMMYFUNCTION("""COMPUTED_VALUE"""),2)</f>
        <v>2</v>
      </c>
      <c r="L23" s="5">
        <f>IFERROR(__xludf.DUMMYFUNCTION("""COMPUTED_VALUE"""),1)</f>
        <v>1</v>
      </c>
      <c r="M23" s="5" t="str">
        <f>IFERROR(__xludf.DUMMYFUNCTION("""COMPUTED_VALUE"""),"Working")</f>
        <v>Working</v>
      </c>
      <c r="N23" s="5" t="str">
        <f>IFERROR(__xludf.DUMMYFUNCTION("""COMPUTED_VALUE"""),"CORRECT")</f>
        <v>CORRECT</v>
      </c>
      <c r="O23" s="5" t="str">
        <f>IFERROR(__xludf.DUMMYFUNCTION("""COMPUTED_VALUE"""),"LOAD PENDING")</f>
        <v>LOAD PENDING</v>
      </c>
      <c r="P23" s="5" t="str">
        <f t="shared" si="1"/>
        <v/>
      </c>
      <c r="Q23" s="5" t="str">
        <f t="shared" si="2"/>
        <v/>
      </c>
    </row>
    <row r="24" ht="14.4" spans="1:17">
      <c r="A24" s="4">
        <v>23</v>
      </c>
      <c r="B24" s="4" t="s">
        <v>92</v>
      </c>
      <c r="C24" s="4" t="s">
        <v>32</v>
      </c>
      <c r="D24" s="4" t="s">
        <v>93</v>
      </c>
      <c r="E24" s="5" t="str">
        <f t="shared" si="0"/>
        <v>Mrs.KALPANA R</v>
      </c>
      <c r="F24" s="6" t="s">
        <v>19</v>
      </c>
      <c r="G24" s="5" t="s">
        <v>47</v>
      </c>
      <c r="H24" s="5" t="s">
        <v>94</v>
      </c>
      <c r="I2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Col2='""&amp;B24&amp;""'"",0)"),2)</f>
        <v>2</v>
      </c>
      <c r="J24" s="5">
        <f>IFERROR(__xludf.DUMMYFUNCTION("""COMPUTED_VALUE"""),2)</f>
        <v>2</v>
      </c>
      <c r="K24" s="5">
        <f>IFERROR(__xludf.DUMMYFUNCTION("""COMPUTED_VALUE"""),2)</f>
        <v>2</v>
      </c>
      <c r="L24" s="5">
        <f>IFERROR(__xludf.DUMMYFUNCTION("""COMPUTED_VALUE"""),1)</f>
        <v>1</v>
      </c>
      <c r="M24" s="5" t="str">
        <f>IFERROR(__xludf.DUMMYFUNCTION("""COMPUTED_VALUE"""),"Working")</f>
        <v>Working</v>
      </c>
      <c r="N24" s="5" t="str">
        <f>IFERROR(__xludf.DUMMYFUNCTION("""COMPUTED_VALUE"""),"CORRECT")</f>
        <v>CORRECT</v>
      </c>
      <c r="O24" s="5" t="str">
        <f>IFERROR(__xludf.DUMMYFUNCTION("""COMPUTED_VALUE"""),"LOAD PENDING")</f>
        <v>LOAD PENDING</v>
      </c>
      <c r="P24" s="5" t="str">
        <f t="shared" si="1"/>
        <v/>
      </c>
      <c r="Q24" s="5" t="str">
        <f t="shared" si="2"/>
        <v/>
      </c>
    </row>
    <row r="25" ht="14.4" spans="1:17">
      <c r="A25" s="4">
        <v>24</v>
      </c>
      <c r="B25" s="4" t="s">
        <v>95</v>
      </c>
      <c r="C25" s="4" t="s">
        <v>53</v>
      </c>
      <c r="D25" s="4" t="s">
        <v>96</v>
      </c>
      <c r="E25" s="5" t="str">
        <f t="shared" si="0"/>
        <v>Ms.SURIYA V</v>
      </c>
      <c r="F25" s="6" t="s">
        <v>19</v>
      </c>
      <c r="G25" s="5" t="s">
        <v>47</v>
      </c>
      <c r="H25" s="5" t="s">
        <v>97</v>
      </c>
      <c r="I2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Col2='""&amp;B25&amp;""'"",0)"),2)</f>
        <v>2</v>
      </c>
      <c r="J25" s="5">
        <f>IFERROR(__xludf.DUMMYFUNCTION("""COMPUTED_VALUE"""),2)</f>
        <v>2</v>
      </c>
      <c r="K25" s="5">
        <f>IFERROR(__xludf.DUMMYFUNCTION("""COMPUTED_VALUE"""),2)</f>
        <v>2</v>
      </c>
      <c r="L25" s="5">
        <f>IFERROR(__xludf.DUMMYFUNCTION("""COMPUTED_VALUE"""),1)</f>
        <v>1</v>
      </c>
      <c r="M25" s="5" t="str">
        <f>IFERROR(__xludf.DUMMYFUNCTION("""COMPUTED_VALUE"""),"Working")</f>
        <v>Working</v>
      </c>
      <c r="N25" s="5" t="str">
        <f>IFERROR(__xludf.DUMMYFUNCTION("""COMPUTED_VALUE"""),"CORRECT")</f>
        <v>CORRECT</v>
      </c>
      <c r="O25" s="5" t="str">
        <f>IFERROR(__xludf.DUMMYFUNCTION("""COMPUTED_VALUE"""),"LOAD PENDING")</f>
        <v>LOAD PENDING</v>
      </c>
      <c r="P25" s="5" t="str">
        <f t="shared" si="1"/>
        <v/>
      </c>
      <c r="Q25" s="5" t="str">
        <f t="shared" si="2"/>
        <v/>
      </c>
    </row>
    <row r="26" ht="14.4" spans="1:17">
      <c r="A26" s="4">
        <v>25</v>
      </c>
      <c r="B26" s="4" t="s">
        <v>98</v>
      </c>
      <c r="C26" s="4" t="s">
        <v>32</v>
      </c>
      <c r="D26" s="4" t="s">
        <v>99</v>
      </c>
      <c r="E26" s="5" t="str">
        <f t="shared" si="0"/>
        <v>Mrs.HEMA PRIYA D</v>
      </c>
      <c r="F26" s="6" t="s">
        <v>19</v>
      </c>
      <c r="G26" s="5" t="s">
        <v>47</v>
      </c>
      <c r="H26" s="5" t="s">
        <v>100</v>
      </c>
      <c r="I2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Col2='""&amp;B26&amp;""'"",0)"),2)</f>
        <v>2</v>
      </c>
      <c r="J26" s="5">
        <f>IFERROR(__xludf.DUMMYFUNCTION("""COMPUTED_VALUE"""),2)</f>
        <v>2</v>
      </c>
      <c r="K26" s="5">
        <f>IFERROR(__xludf.DUMMYFUNCTION("""COMPUTED_VALUE"""),1)</f>
        <v>1</v>
      </c>
      <c r="L26" s="5">
        <f>IFERROR(__xludf.DUMMYFUNCTION("""COMPUTED_VALUE"""),1)</f>
        <v>1</v>
      </c>
      <c r="M26" s="5" t="str">
        <f>IFERROR(__xludf.DUMMYFUNCTION("""COMPUTED_VALUE"""),"Working")</f>
        <v>Working</v>
      </c>
      <c r="N26" s="5" t="str">
        <f>IFERROR(__xludf.DUMMYFUNCTION("""COMPUTED_VALUE"""),"LOAD PENDING")</f>
        <v>LOAD PENDING</v>
      </c>
      <c r="O26" s="5" t="str">
        <f>IFERROR(__xludf.DUMMYFUNCTION("""COMPUTED_VALUE"""),"LOAD PENDING")</f>
        <v>LOAD PENDING</v>
      </c>
      <c r="P26" s="5" t="str">
        <f t="shared" si="1"/>
        <v/>
      </c>
      <c r="Q26" s="5" t="str">
        <f t="shared" si="2"/>
        <v/>
      </c>
    </row>
    <row r="27" ht="14.4" spans="1:17">
      <c r="A27" s="4">
        <v>26</v>
      </c>
      <c r="B27" s="4" t="s">
        <v>101</v>
      </c>
      <c r="C27" s="4" t="s">
        <v>32</v>
      </c>
      <c r="D27" s="4" t="s">
        <v>102</v>
      </c>
      <c r="E27" s="5" t="str">
        <f t="shared" si="0"/>
        <v>Mrs.MANJU M</v>
      </c>
      <c r="F27" s="6" t="s">
        <v>19</v>
      </c>
      <c r="G27" s="5" t="s">
        <v>47</v>
      </c>
      <c r="H27" s="5" t="s">
        <v>103</v>
      </c>
      <c r="I2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Col2='""&amp;B27&amp;""'"",0)"),2)</f>
        <v>2</v>
      </c>
      <c r="J27" s="5">
        <f>IFERROR(__xludf.DUMMYFUNCTION("""COMPUTED_VALUE"""),2)</f>
        <v>2</v>
      </c>
      <c r="K27" s="5">
        <f>IFERROR(__xludf.DUMMYFUNCTION("""COMPUTED_VALUE"""),2)</f>
        <v>2</v>
      </c>
      <c r="L27" s="5">
        <f>IFERROR(__xludf.DUMMYFUNCTION("""COMPUTED_VALUE"""),1)</f>
        <v>1</v>
      </c>
      <c r="M27" s="5" t="str">
        <f>IFERROR(__xludf.DUMMYFUNCTION("""COMPUTED_VALUE"""),"Working")</f>
        <v>Working</v>
      </c>
      <c r="N27" s="5" t="str">
        <f>IFERROR(__xludf.DUMMYFUNCTION("""COMPUTED_VALUE"""),"CORRECT")</f>
        <v>CORRECT</v>
      </c>
      <c r="O27" s="5" t="str">
        <f>IFERROR(__xludf.DUMMYFUNCTION("""COMPUTED_VALUE"""),"LOAD PENDING")</f>
        <v>LOAD PENDING</v>
      </c>
      <c r="P27" s="5" t="str">
        <f t="shared" si="1"/>
        <v/>
      </c>
      <c r="Q27" s="5" t="str">
        <f t="shared" si="2"/>
        <v/>
      </c>
    </row>
    <row r="28" ht="14.4" spans="1:17">
      <c r="A28" s="4">
        <v>27</v>
      </c>
      <c r="B28" s="4" t="s">
        <v>104</v>
      </c>
      <c r="C28" s="4" t="s">
        <v>53</v>
      </c>
      <c r="D28" s="4" t="s">
        <v>105</v>
      </c>
      <c r="E28" s="5" t="str">
        <f t="shared" si="0"/>
        <v>Ms.PRIYADHARSHNI S</v>
      </c>
      <c r="F28" s="6" t="s">
        <v>19</v>
      </c>
      <c r="G28" s="5" t="s">
        <v>47</v>
      </c>
      <c r="H28" s="5" t="s">
        <v>106</v>
      </c>
      <c r="I2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Col2='""&amp;B28&amp;""'"",0)"),2)</f>
        <v>2</v>
      </c>
      <c r="J28" s="5">
        <f>IFERROR(__xludf.DUMMYFUNCTION("""COMPUTED_VALUE"""),2)</f>
        <v>2</v>
      </c>
      <c r="K28" s="5">
        <f>IFERROR(__xludf.DUMMYFUNCTION("""COMPUTED_VALUE"""),2)</f>
        <v>2</v>
      </c>
      <c r="L28" s="5">
        <f>IFERROR(__xludf.DUMMYFUNCTION("""COMPUTED_VALUE"""),1)</f>
        <v>1</v>
      </c>
      <c r="M28" s="5" t="str">
        <f>IFERROR(__xludf.DUMMYFUNCTION("""COMPUTED_VALUE"""),"Working")</f>
        <v>Working</v>
      </c>
      <c r="N28" s="5" t="str">
        <f>IFERROR(__xludf.DUMMYFUNCTION("""COMPUTED_VALUE"""),"CORRECT")</f>
        <v>CORRECT</v>
      </c>
      <c r="O28" s="5" t="str">
        <f>IFERROR(__xludf.DUMMYFUNCTION("""COMPUTED_VALUE"""),"LOAD PENDING")</f>
        <v>LOAD PENDING</v>
      </c>
      <c r="P28" s="5" t="str">
        <f t="shared" si="1"/>
        <v/>
      </c>
      <c r="Q28" s="5" t="str">
        <f t="shared" si="2"/>
        <v/>
      </c>
    </row>
    <row r="29" ht="27.6" spans="1:17">
      <c r="A29" s="4">
        <v>28</v>
      </c>
      <c r="B29" s="4" t="s">
        <v>107</v>
      </c>
      <c r="C29" s="4" t="s">
        <v>17</v>
      </c>
      <c r="D29" s="4" t="s">
        <v>108</v>
      </c>
      <c r="E29" s="5" t="str">
        <f t="shared" si="0"/>
        <v>Mr.SASSON TAFFWIN MOSES S</v>
      </c>
      <c r="F29" s="6" t="s">
        <v>19</v>
      </c>
      <c r="G29" s="5" t="s">
        <v>47</v>
      </c>
      <c r="H29" s="5" t="s">
        <v>109</v>
      </c>
      <c r="I2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Col2='""&amp;B29&amp;""'"",0)"),2)</f>
        <v>2</v>
      </c>
      <c r="J29" s="5">
        <f>IFERROR(__xludf.DUMMYFUNCTION("""COMPUTED_VALUE"""),2)</f>
        <v>2</v>
      </c>
      <c r="K29" s="5">
        <f>IFERROR(__xludf.DUMMYFUNCTION("""COMPUTED_VALUE"""),2)</f>
        <v>2</v>
      </c>
      <c r="L29" s="5">
        <f>IFERROR(__xludf.DUMMYFUNCTION("""COMPUTED_VALUE"""),1)</f>
        <v>1</v>
      </c>
      <c r="M29" s="5" t="str">
        <f>IFERROR(__xludf.DUMMYFUNCTION("""COMPUTED_VALUE"""),"Working")</f>
        <v>Working</v>
      </c>
      <c r="N29" s="5" t="str">
        <f>IFERROR(__xludf.DUMMYFUNCTION("""COMPUTED_VALUE"""),"CORRECT")</f>
        <v>CORRECT</v>
      </c>
      <c r="O29" s="5" t="str">
        <f>IFERROR(__xludf.DUMMYFUNCTION("""COMPUTED_VALUE"""),"LOAD PENDING")</f>
        <v>LOAD PENDING</v>
      </c>
      <c r="P29" s="5" t="str">
        <f t="shared" si="1"/>
        <v/>
      </c>
      <c r="Q29" s="5" t="str">
        <f t="shared" si="2"/>
        <v/>
      </c>
    </row>
    <row r="30" ht="14.4" spans="1:17">
      <c r="A30" s="4">
        <v>29</v>
      </c>
      <c r="B30" s="4" t="s">
        <v>110</v>
      </c>
      <c r="C30" s="4" t="s">
        <v>32</v>
      </c>
      <c r="D30" s="4" t="s">
        <v>111</v>
      </c>
      <c r="E30" s="5" t="str">
        <f t="shared" si="0"/>
        <v>Mrs.MANOCHITRA A S</v>
      </c>
      <c r="F30" s="6" t="s">
        <v>19</v>
      </c>
      <c r="G30" s="5" t="s">
        <v>47</v>
      </c>
      <c r="H30" s="5" t="s">
        <v>112</v>
      </c>
      <c r="I3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Col2='""&amp;B30&amp;""'"",0)"),2)</f>
        <v>2</v>
      </c>
      <c r="J30" s="5">
        <f>IFERROR(__xludf.DUMMYFUNCTION("""COMPUTED_VALUE"""),2)</f>
        <v>2</v>
      </c>
      <c r="K30" s="5">
        <f>IFERROR(__xludf.DUMMYFUNCTION("""COMPUTED_VALUE"""),2)</f>
        <v>2</v>
      </c>
      <c r="L30" s="5">
        <f>IFERROR(__xludf.DUMMYFUNCTION("""COMPUTED_VALUE"""),1)</f>
        <v>1</v>
      </c>
      <c r="M30" s="5" t="str">
        <f>IFERROR(__xludf.DUMMYFUNCTION("""COMPUTED_VALUE"""),"Working")</f>
        <v>Working</v>
      </c>
      <c r="N30" s="5" t="str">
        <f>IFERROR(__xludf.DUMMYFUNCTION("""COMPUTED_VALUE"""),"CORRECT")</f>
        <v>CORRECT</v>
      </c>
      <c r="O30" s="5" t="str">
        <f>IFERROR(__xludf.DUMMYFUNCTION("""COMPUTED_VALUE"""),"LOAD PENDING")</f>
        <v>LOAD PENDING</v>
      </c>
      <c r="P30" s="5" t="str">
        <f t="shared" si="1"/>
        <v/>
      </c>
      <c r="Q30" s="5" t="str">
        <f t="shared" si="2"/>
        <v/>
      </c>
    </row>
    <row r="31" ht="27.6" spans="1:17">
      <c r="A31" s="4">
        <v>30</v>
      </c>
      <c r="B31" s="4" t="s">
        <v>113</v>
      </c>
      <c r="C31" s="4" t="s">
        <v>17</v>
      </c>
      <c r="D31" s="4" t="s">
        <v>114</v>
      </c>
      <c r="E31" s="5" t="str">
        <f t="shared" si="0"/>
        <v>Mr.NAVANEETH KUMAR K</v>
      </c>
      <c r="F31" s="6" t="s">
        <v>19</v>
      </c>
      <c r="G31" s="5" t="s">
        <v>20</v>
      </c>
      <c r="H31" s="5" t="s">
        <v>115</v>
      </c>
      <c r="I31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Col2='""&amp;B31&amp;""'"",0)"),"")</f>
        <v/>
      </c>
      <c r="J31" s="5"/>
      <c r="K31" s="5">
        <f>IFERROR(__xludf.DUMMYFUNCTION("""COMPUTED_VALUE"""),1)</f>
        <v>1</v>
      </c>
      <c r="L31" s="5">
        <f>IFERROR(__xludf.DUMMYFUNCTION("""COMPUTED_VALUE"""),0)</f>
        <v>0</v>
      </c>
      <c r="M31" s="5" t="str">
        <f>IFERROR(__xludf.DUMMYFUNCTION("""COMPUTED_VALUE"""),"Working")</f>
        <v>Working</v>
      </c>
      <c r="N31" s="5" t="str">
        <f>IFERROR(__xludf.DUMMYFUNCTION("""COMPUTED_VALUE"""),"#N/A")</f>
        <v>#N/A</v>
      </c>
      <c r="O31" s="5" t="str">
        <f>IFERROR(__xludf.DUMMYFUNCTION("""COMPUTED_VALUE"""),"CORRECT")</f>
        <v>CORRECT</v>
      </c>
      <c r="P31" s="5" t="str">
        <f t="shared" si="1"/>
        <v/>
      </c>
      <c r="Q31" s="5" t="str">
        <f t="shared" si="2"/>
        <v/>
      </c>
    </row>
    <row r="32" ht="14.4" spans="1:17">
      <c r="A32" s="4">
        <v>31</v>
      </c>
      <c r="B32" s="4" t="s">
        <v>116</v>
      </c>
      <c r="C32" s="4" t="s">
        <v>23</v>
      </c>
      <c r="D32" s="4" t="s">
        <v>117</v>
      </c>
      <c r="E32" s="5" t="str">
        <f t="shared" si="0"/>
        <v>Dr.GOMATHI R</v>
      </c>
      <c r="F32" s="6" t="s">
        <v>19</v>
      </c>
      <c r="G32" s="5" t="s">
        <v>29</v>
      </c>
      <c r="H32" s="5" t="s">
        <v>118</v>
      </c>
      <c r="I3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Col2='""&amp;B32&amp;""'"",0)"),1)</f>
        <v>1</v>
      </c>
      <c r="J32" s="5">
        <f>IFERROR(__xludf.DUMMYFUNCTION("""COMPUTED_VALUE"""),0)</f>
        <v>0</v>
      </c>
      <c r="K32" s="5">
        <f>IFERROR(__xludf.DUMMYFUNCTION("""COMPUTED_VALUE"""),1)</f>
        <v>1</v>
      </c>
      <c r="L32" s="5">
        <f>IFERROR(__xludf.DUMMYFUNCTION("""COMPUTED_VALUE"""),0)</f>
        <v>0</v>
      </c>
      <c r="M32" s="5" t="str">
        <f>IFERROR(__xludf.DUMMYFUNCTION("""COMPUTED_VALUE"""),"Working")</f>
        <v>Working</v>
      </c>
      <c r="N32" s="5" t="str">
        <f>IFERROR(__xludf.DUMMYFUNCTION("""COMPUTED_VALUE"""),"CORRECT")</f>
        <v>CORRECT</v>
      </c>
      <c r="O32" s="5" t="str">
        <f>IFERROR(__xludf.DUMMYFUNCTION("""COMPUTED_VALUE"""),"CORRECT")</f>
        <v>CORRECT</v>
      </c>
      <c r="P32" s="5" t="str">
        <f t="shared" si="1"/>
        <v/>
      </c>
      <c r="Q32" s="5" t="str">
        <f t="shared" si="2"/>
        <v/>
      </c>
    </row>
    <row r="33" ht="14.4" spans="1:17">
      <c r="A33" s="4">
        <v>32</v>
      </c>
      <c r="B33" s="4" t="s">
        <v>119</v>
      </c>
      <c r="C33" s="4" t="s">
        <v>23</v>
      </c>
      <c r="D33" s="4" t="s">
        <v>120</v>
      </c>
      <c r="E33" s="5" t="str">
        <f t="shared" si="0"/>
        <v>Dr.NANDHINI S S</v>
      </c>
      <c r="F33" s="6" t="s">
        <v>19</v>
      </c>
      <c r="G33" s="5" t="s">
        <v>25</v>
      </c>
      <c r="H33" s="5" t="s">
        <v>121</v>
      </c>
      <c r="I3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Col2='""&amp;B33&amp;""'"",0)"),0)</f>
        <v>0</v>
      </c>
      <c r="J33" s="5">
        <f>IFERROR(__xludf.DUMMYFUNCTION("""COMPUTED_VALUE"""),0)</f>
        <v>0</v>
      </c>
      <c r="K33" s="5">
        <f>IFERROR(__xludf.DUMMYFUNCTION("""COMPUTED_VALUE"""),0)</f>
        <v>0</v>
      </c>
      <c r="L33" s="5">
        <f>IFERROR(__xludf.DUMMYFUNCTION("""COMPUTED_VALUE"""),0)</f>
        <v>0</v>
      </c>
      <c r="M33" s="5" t="str">
        <f>IFERROR(__xludf.DUMMYFUNCTION("""COMPUTED_VALUE"""),"Working")</f>
        <v>Working</v>
      </c>
      <c r="N33" s="5" t="str">
        <f>IFERROR(__xludf.DUMMYFUNCTION("""COMPUTED_VALUE"""),"CORRECT")</f>
        <v>CORRECT</v>
      </c>
      <c r="O33" s="5" t="str">
        <f>IFERROR(__xludf.DUMMYFUNCTION("""COMPUTED_VALUE"""),"CORRECT")</f>
        <v>CORRECT</v>
      </c>
      <c r="P33" s="5" t="str">
        <f t="shared" si="1"/>
        <v/>
      </c>
      <c r="Q33" s="5" t="str">
        <f t="shared" si="2"/>
        <v/>
      </c>
    </row>
    <row r="34" ht="14.4" spans="1:17">
      <c r="A34" s="4">
        <v>33</v>
      </c>
      <c r="B34" s="4" t="s">
        <v>122</v>
      </c>
      <c r="C34" s="4" t="s">
        <v>23</v>
      </c>
      <c r="D34" s="4" t="s">
        <v>123</v>
      </c>
      <c r="E34" s="5" t="str">
        <f t="shared" si="0"/>
        <v>Dr.VASUDEVAN M</v>
      </c>
      <c r="F34" s="6" t="s">
        <v>124</v>
      </c>
      <c r="G34" s="5" t="s">
        <v>25</v>
      </c>
      <c r="H34" s="5" t="s">
        <v>125</v>
      </c>
      <c r="I3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Col2='""&amp;B34&amp;""'"",0)"),2)</f>
        <v>2</v>
      </c>
      <c r="J34" s="5">
        <f>IFERROR(__xludf.DUMMYFUNCTION("""COMPUTED_VALUE"""),1)</f>
        <v>1</v>
      </c>
      <c r="K34" s="5">
        <f>IFERROR(__xludf.DUMMYFUNCTION("""COMPUTED_VALUE"""),2)</f>
        <v>2</v>
      </c>
      <c r="L34" s="5">
        <f>IFERROR(__xludf.DUMMYFUNCTION("""COMPUTED_VALUE"""),1)</f>
        <v>1</v>
      </c>
      <c r="M34" s="5" t="str">
        <f>IFERROR(__xludf.DUMMYFUNCTION("""COMPUTED_VALUE"""),"Working")</f>
        <v>Working</v>
      </c>
      <c r="N34" s="5" t="str">
        <f>IFERROR(__xludf.DUMMYFUNCTION("""COMPUTED_VALUE"""),"CORRECT")</f>
        <v>CORRECT</v>
      </c>
      <c r="O34" s="5" t="str">
        <f>IFERROR(__xludf.DUMMYFUNCTION("""COMPUTED_VALUE"""),"CORRECT")</f>
        <v>CORRECT</v>
      </c>
      <c r="P34" s="5" t="str">
        <f t="shared" si="1"/>
        <v/>
      </c>
      <c r="Q34" s="5" t="str">
        <f t="shared" si="2"/>
        <v/>
      </c>
    </row>
    <row r="35" ht="27.6" spans="1:17">
      <c r="A35" s="4">
        <v>34</v>
      </c>
      <c r="B35" s="4" t="s">
        <v>126</v>
      </c>
      <c r="C35" s="4" t="s">
        <v>23</v>
      </c>
      <c r="D35" s="4" t="s">
        <v>127</v>
      </c>
      <c r="E35" s="5" t="str">
        <f t="shared" si="0"/>
        <v>Dr.VINOTH KUMAR J</v>
      </c>
      <c r="F35" s="6" t="s">
        <v>124</v>
      </c>
      <c r="G35" s="5" t="s">
        <v>20</v>
      </c>
      <c r="H35" s="5" t="s">
        <v>128</v>
      </c>
      <c r="I3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Col2='""&amp;B35&amp;""'"",0)"),1)</f>
        <v>1</v>
      </c>
      <c r="J35" s="5">
        <f>IFERROR(__xludf.DUMMYFUNCTION("""COMPUTED_VALUE"""),0)</f>
        <v>0</v>
      </c>
      <c r="K35" s="5">
        <f>IFERROR(__xludf.DUMMYFUNCTION("""COMPUTED_VALUE"""),1)</f>
        <v>1</v>
      </c>
      <c r="L35" s="5">
        <f>IFERROR(__xludf.DUMMYFUNCTION("""COMPUTED_VALUE"""),1)</f>
        <v>1</v>
      </c>
      <c r="M35" s="5" t="str">
        <f>IFERROR(__xludf.DUMMYFUNCTION("""COMPUTED_VALUE"""),"Working")</f>
        <v>Working</v>
      </c>
      <c r="N35" s="5" t="str">
        <f>IFERROR(__xludf.DUMMYFUNCTION("""COMPUTED_VALUE"""),"CORRECT")</f>
        <v>CORRECT</v>
      </c>
      <c r="O35" s="5" t="str">
        <f>IFERROR(__xludf.DUMMYFUNCTION("""COMPUTED_VALUE"""),"CORRECT")</f>
        <v>CORRECT</v>
      </c>
      <c r="P35" s="5" t="str">
        <f t="shared" si="1"/>
        <v/>
      </c>
      <c r="Q35" s="5" t="str">
        <f t="shared" si="2"/>
        <v>Extra Lab Load Alloted</v>
      </c>
    </row>
    <row r="36" ht="14.4" spans="1:17">
      <c r="A36" s="4">
        <v>35</v>
      </c>
      <c r="B36" s="4" t="s">
        <v>129</v>
      </c>
      <c r="C36" s="4" t="s">
        <v>23</v>
      </c>
      <c r="D36" s="4" t="s">
        <v>130</v>
      </c>
      <c r="E36" s="5" t="str">
        <f t="shared" si="0"/>
        <v>Dr.CHELLADURAI V</v>
      </c>
      <c r="F36" s="6" t="s">
        <v>124</v>
      </c>
      <c r="G36" s="5" t="s">
        <v>25</v>
      </c>
      <c r="H36" s="5" t="s">
        <v>131</v>
      </c>
      <c r="I3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Col2='""&amp;B36&amp;""'"",0)"),1)</f>
        <v>1</v>
      </c>
      <c r="J36" s="5">
        <f>IFERROR(__xludf.DUMMYFUNCTION("""COMPUTED_VALUE"""),0)</f>
        <v>0</v>
      </c>
      <c r="K36" s="5">
        <f>IFERROR(__xludf.DUMMYFUNCTION("""COMPUTED_VALUE"""),1)</f>
        <v>1</v>
      </c>
      <c r="L36" s="5">
        <f>IFERROR(__xludf.DUMMYFUNCTION("""COMPUTED_VALUE"""),0)</f>
        <v>0</v>
      </c>
      <c r="M36" s="5" t="str">
        <f>IFERROR(__xludf.DUMMYFUNCTION("""COMPUTED_VALUE"""),"Working")</f>
        <v>Working</v>
      </c>
      <c r="N36" s="5" t="str">
        <f>IFERROR(__xludf.DUMMYFUNCTION("""COMPUTED_VALUE"""),"CORRECT")</f>
        <v>CORRECT</v>
      </c>
      <c r="O36" s="5" t="str">
        <f>IFERROR(__xludf.DUMMYFUNCTION("""COMPUTED_VALUE"""),"CORRECT")</f>
        <v>CORRECT</v>
      </c>
      <c r="P36" s="5" t="str">
        <f t="shared" si="1"/>
        <v/>
      </c>
      <c r="Q36" s="5" t="str">
        <f t="shared" si="2"/>
        <v/>
      </c>
    </row>
    <row r="37" ht="14.4" spans="1:17">
      <c r="A37" s="4">
        <v>36</v>
      </c>
      <c r="B37" s="4" t="s">
        <v>132</v>
      </c>
      <c r="C37" s="4" t="s">
        <v>53</v>
      </c>
      <c r="D37" s="4" t="s">
        <v>133</v>
      </c>
      <c r="E37" s="5" t="str">
        <f t="shared" si="0"/>
        <v>Ms.ANANTHI D</v>
      </c>
      <c r="F37" s="6" t="s">
        <v>124</v>
      </c>
      <c r="G37" s="5" t="s">
        <v>47</v>
      </c>
      <c r="H37" s="5" t="s">
        <v>134</v>
      </c>
      <c r="I3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Col2='""&amp;B37&amp;""'"",0)"),2)</f>
        <v>2</v>
      </c>
      <c r="J37" s="5">
        <f>IFERROR(__xludf.DUMMYFUNCTION("""COMPUTED_VALUE"""),2)</f>
        <v>2</v>
      </c>
      <c r="K37" s="5">
        <f>IFERROR(__xludf.DUMMYFUNCTION("""COMPUTED_VALUE"""),2)</f>
        <v>2</v>
      </c>
      <c r="L37" s="5">
        <f>IFERROR(__xludf.DUMMYFUNCTION("""COMPUTED_VALUE"""),1)</f>
        <v>1</v>
      </c>
      <c r="M37" s="5" t="str">
        <f>IFERROR(__xludf.DUMMYFUNCTION("""COMPUTED_VALUE"""),"Working")</f>
        <v>Working</v>
      </c>
      <c r="N37" s="5" t="str">
        <f>IFERROR(__xludf.DUMMYFUNCTION("""COMPUTED_VALUE"""),"CORRECT")</f>
        <v>CORRECT</v>
      </c>
      <c r="O37" s="5" t="str">
        <f>IFERROR(__xludf.DUMMYFUNCTION("""COMPUTED_VALUE"""),"LOAD PENDING")</f>
        <v>LOAD PENDING</v>
      </c>
      <c r="P37" s="5" t="str">
        <f t="shared" si="1"/>
        <v/>
      </c>
      <c r="Q37" s="5" t="str">
        <f t="shared" si="2"/>
        <v/>
      </c>
    </row>
    <row r="38" ht="14.4" spans="1:17">
      <c r="A38" s="4">
        <v>37</v>
      </c>
      <c r="B38" s="4" t="s">
        <v>135</v>
      </c>
      <c r="C38" s="4" t="s">
        <v>17</v>
      </c>
      <c r="D38" s="4" t="s">
        <v>136</v>
      </c>
      <c r="E38" s="5" t="str">
        <f t="shared" si="0"/>
        <v>Mr.MUTHUKUMARAVEL K</v>
      </c>
      <c r="F38" s="6" t="s">
        <v>124</v>
      </c>
      <c r="G38" s="5" t="s">
        <v>47</v>
      </c>
      <c r="H38" s="5" t="s">
        <v>137</v>
      </c>
      <c r="I3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Col2='""&amp;B38&amp;""'"",0)"),1)</f>
        <v>1</v>
      </c>
      <c r="J38" s="5">
        <f>IFERROR(__xludf.DUMMYFUNCTION("""COMPUTED_VALUE"""),0)</f>
        <v>0</v>
      </c>
      <c r="K38" s="5">
        <f>IFERROR(__xludf.DUMMYFUNCTION("""COMPUTED_VALUE"""),1)</f>
        <v>1</v>
      </c>
      <c r="L38" s="5">
        <f>IFERROR(__xludf.DUMMYFUNCTION("""COMPUTED_VALUE"""),0)</f>
        <v>0</v>
      </c>
      <c r="M38" s="5" t="str">
        <f>IFERROR(__xludf.DUMMYFUNCTION("""COMPUTED_VALUE"""),"Working")</f>
        <v>Working</v>
      </c>
      <c r="N38" s="5" t="str">
        <f>IFERROR(__xludf.DUMMYFUNCTION("""COMPUTED_VALUE"""),"CORRECT")</f>
        <v>CORRECT</v>
      </c>
      <c r="O38" s="5" t="str">
        <f>IFERROR(__xludf.DUMMYFUNCTION("""COMPUTED_VALUE"""),"CORRECT")</f>
        <v>CORRECT</v>
      </c>
      <c r="P38" s="5" t="str">
        <f t="shared" si="1"/>
        <v/>
      </c>
      <c r="Q38" s="5" t="str">
        <f t="shared" si="2"/>
        <v/>
      </c>
    </row>
    <row r="39" ht="27.6" spans="1:17">
      <c r="A39" s="4">
        <v>38</v>
      </c>
      <c r="B39" s="4" t="s">
        <v>138</v>
      </c>
      <c r="C39" s="4" t="s">
        <v>23</v>
      </c>
      <c r="D39" s="4" t="s">
        <v>139</v>
      </c>
      <c r="E39" s="5" t="str">
        <f t="shared" si="0"/>
        <v>Dr.PRAVEEN KUMAR D</v>
      </c>
      <c r="F39" s="6" t="s">
        <v>124</v>
      </c>
      <c r="G39" s="5" t="s">
        <v>37</v>
      </c>
      <c r="H39" s="5" t="s">
        <v>140</v>
      </c>
      <c r="I3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Col2='""&amp;B39&amp;""'"",0)"),2)</f>
        <v>2</v>
      </c>
      <c r="J39" s="5">
        <f>IFERROR(__xludf.DUMMYFUNCTION("""COMPUTED_VALUE"""),2)</f>
        <v>2</v>
      </c>
      <c r="K39" s="5">
        <f>IFERROR(__xludf.DUMMYFUNCTION("""COMPUTED_VALUE"""),2)</f>
        <v>2</v>
      </c>
      <c r="L39" s="5">
        <f>IFERROR(__xludf.DUMMYFUNCTION("""COMPUTED_VALUE"""),1)</f>
        <v>1</v>
      </c>
      <c r="M39" s="5" t="str">
        <f>IFERROR(__xludf.DUMMYFUNCTION("""COMPUTED_VALUE"""),"Working")</f>
        <v>Working</v>
      </c>
      <c r="N39" s="5" t="str">
        <f>IFERROR(__xludf.DUMMYFUNCTION("""COMPUTED_VALUE"""),"CORRECT")</f>
        <v>CORRECT</v>
      </c>
      <c r="O39" s="5" t="str">
        <f>IFERROR(__xludf.DUMMYFUNCTION("""COMPUTED_VALUE"""),"LOAD PENDING")</f>
        <v>LOAD PENDING</v>
      </c>
      <c r="P39" s="5" t="str">
        <f t="shared" si="1"/>
        <v/>
      </c>
      <c r="Q39" s="5" t="str">
        <f t="shared" si="2"/>
        <v/>
      </c>
    </row>
    <row r="40" ht="14.4" spans="1:17">
      <c r="A40" s="4">
        <v>39</v>
      </c>
      <c r="B40" s="4" t="s">
        <v>141</v>
      </c>
      <c r="C40" s="4" t="s">
        <v>23</v>
      </c>
      <c r="D40" s="4" t="s">
        <v>142</v>
      </c>
      <c r="E40" s="5" t="str">
        <f t="shared" si="0"/>
        <v>Dr.RAGHUL S</v>
      </c>
      <c r="F40" s="6" t="s">
        <v>124</v>
      </c>
      <c r="G40" s="5" t="s">
        <v>47</v>
      </c>
      <c r="H40" s="5" t="s">
        <v>143</v>
      </c>
      <c r="I4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Col2='""&amp;B40&amp;""'"",0)"),2)</f>
        <v>2</v>
      </c>
      <c r="J40" s="5">
        <f>IFERROR(__xludf.DUMMYFUNCTION("""COMPUTED_VALUE"""),2)</f>
        <v>2</v>
      </c>
      <c r="K40" s="5">
        <f>IFERROR(__xludf.DUMMYFUNCTION("""COMPUTED_VALUE"""),1)</f>
        <v>1</v>
      </c>
      <c r="L40" s="5">
        <f>IFERROR(__xludf.DUMMYFUNCTION("""COMPUTED_VALUE"""),2)</f>
        <v>2</v>
      </c>
      <c r="M40" s="5" t="str">
        <f>IFERROR(__xludf.DUMMYFUNCTION("""COMPUTED_VALUE"""),"Working")</f>
        <v>Working</v>
      </c>
      <c r="N40" s="5" t="str">
        <f>IFERROR(__xludf.DUMMYFUNCTION("""COMPUTED_VALUE"""),"LOAD PENDING")</f>
        <v>LOAD PENDING</v>
      </c>
      <c r="O40" s="5" t="str">
        <f>IFERROR(__xludf.DUMMYFUNCTION("""COMPUTED_VALUE"""),"CORRECT")</f>
        <v>CORRECT</v>
      </c>
      <c r="P40" s="5" t="str">
        <f t="shared" si="1"/>
        <v/>
      </c>
      <c r="Q40" s="5" t="str">
        <f t="shared" si="2"/>
        <v/>
      </c>
    </row>
    <row r="41" ht="14.4" spans="1:17">
      <c r="A41" s="4">
        <v>40</v>
      </c>
      <c r="B41" s="4" t="s">
        <v>144</v>
      </c>
      <c r="C41" s="4" t="s">
        <v>53</v>
      </c>
      <c r="D41" s="4" t="s">
        <v>145</v>
      </c>
      <c r="E41" s="5" t="str">
        <f t="shared" si="0"/>
        <v>Ms.SNEKHA A R</v>
      </c>
      <c r="F41" s="6" t="s">
        <v>124</v>
      </c>
      <c r="G41" s="5" t="s">
        <v>47</v>
      </c>
      <c r="H41" s="5" t="s">
        <v>146</v>
      </c>
      <c r="I4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Col2='""&amp;B41&amp;""'"",0)"),2)</f>
        <v>2</v>
      </c>
      <c r="J41" s="5">
        <f>IFERROR(__xludf.DUMMYFUNCTION("""COMPUTED_VALUE"""),2)</f>
        <v>2</v>
      </c>
      <c r="K41" s="5">
        <f>IFERROR(__xludf.DUMMYFUNCTION("""COMPUTED_VALUE"""),2)</f>
        <v>2</v>
      </c>
      <c r="L41" s="5">
        <f>IFERROR(__xludf.DUMMYFUNCTION("""COMPUTED_VALUE"""),0)</f>
        <v>0</v>
      </c>
      <c r="M41" s="5" t="str">
        <f>IFERROR(__xludf.DUMMYFUNCTION("""COMPUTED_VALUE"""),"Working")</f>
        <v>Working</v>
      </c>
      <c r="N41" s="5" t="str">
        <f>IFERROR(__xludf.DUMMYFUNCTION("""COMPUTED_VALUE"""),"CORRECT")</f>
        <v>CORRECT</v>
      </c>
      <c r="O41" s="5" t="str">
        <f>IFERROR(__xludf.DUMMYFUNCTION("""COMPUTED_VALUE"""),"LOAD PENDING")</f>
        <v>LOAD PENDING</v>
      </c>
      <c r="P41" s="5" t="str">
        <f t="shared" si="1"/>
        <v/>
      </c>
      <c r="Q41" s="5" t="str">
        <f t="shared" si="2"/>
        <v/>
      </c>
    </row>
    <row r="42" ht="14.4" spans="1:17">
      <c r="A42" s="4">
        <v>41</v>
      </c>
      <c r="B42" s="4" t="s">
        <v>147</v>
      </c>
      <c r="C42" s="4" t="s">
        <v>23</v>
      </c>
      <c r="D42" s="4" t="s">
        <v>148</v>
      </c>
      <c r="E42" s="5" t="str">
        <f t="shared" si="0"/>
        <v>Dr.UVARAJA V C</v>
      </c>
      <c r="F42" s="6" t="s">
        <v>124</v>
      </c>
      <c r="G42" s="5" t="s">
        <v>29</v>
      </c>
      <c r="H42" s="5" t="s">
        <v>149</v>
      </c>
      <c r="I4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Col2='""&amp;B42&amp;""'"",0)"),1)</f>
        <v>1</v>
      </c>
      <c r="J42" s="5">
        <f>IFERROR(__xludf.DUMMYFUNCTION("""COMPUTED_VALUE"""),1)</f>
        <v>1</v>
      </c>
      <c r="K42" s="5">
        <f>IFERROR(__xludf.DUMMYFUNCTION("""COMPUTED_VALUE"""),2)</f>
        <v>2</v>
      </c>
      <c r="L42" s="5">
        <f>IFERROR(__xludf.DUMMYFUNCTION("""COMPUTED_VALUE"""),1)</f>
        <v>1</v>
      </c>
      <c r="M42" s="5" t="str">
        <f>IFERROR(__xludf.DUMMYFUNCTION("""COMPUTED_VALUE"""),"Working")</f>
        <v>Working</v>
      </c>
      <c r="N42" s="5" t="str">
        <f>IFERROR(__xludf.DUMMYFUNCTION("""COMPUTED_VALUE"""),"CORRECT")</f>
        <v>CORRECT</v>
      </c>
      <c r="O42" s="5" t="str">
        <f>IFERROR(__xludf.DUMMYFUNCTION("""COMPUTED_VALUE"""),"CORRECT")</f>
        <v>CORRECT</v>
      </c>
      <c r="P42" s="5" t="str">
        <f t="shared" si="1"/>
        <v>Extra Theory Load Alloted</v>
      </c>
      <c r="Q42" s="5" t="str">
        <f t="shared" si="2"/>
        <v/>
      </c>
    </row>
    <row r="43" ht="27.6" spans="1:17">
      <c r="A43" s="4">
        <v>42</v>
      </c>
      <c r="B43" s="4" t="s">
        <v>150</v>
      </c>
      <c r="C43" s="4" t="s">
        <v>32</v>
      </c>
      <c r="D43" s="4" t="s">
        <v>151</v>
      </c>
      <c r="E43" s="5" t="str">
        <f t="shared" si="0"/>
        <v>Mrs.SUDHA R</v>
      </c>
      <c r="F43" s="6" t="s">
        <v>152</v>
      </c>
      <c r="G43" s="5" t="s">
        <v>37</v>
      </c>
      <c r="H43" s="5" t="s">
        <v>153</v>
      </c>
      <c r="I4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Col2='""&amp;B43&amp;""'"",0)"),0)</f>
        <v>0</v>
      </c>
      <c r="J43" s="5">
        <f>IFERROR(__xludf.DUMMYFUNCTION("""COMPUTED_VALUE"""),0)</f>
        <v>0</v>
      </c>
      <c r="K43" s="5">
        <f>IFERROR(__xludf.DUMMYFUNCTION("""COMPUTED_VALUE"""),0)</f>
        <v>0</v>
      </c>
      <c r="L43" s="5">
        <f>IFERROR(__xludf.DUMMYFUNCTION("""COMPUTED_VALUE"""),0)</f>
        <v>0</v>
      </c>
      <c r="M43" s="5" t="str">
        <f>IFERROR(__xludf.DUMMYFUNCTION("""COMPUTED_VALUE"""),"Working")</f>
        <v>Working</v>
      </c>
      <c r="N43" s="5" t="str">
        <f>IFERROR(__xludf.DUMMYFUNCTION("""COMPUTED_VALUE"""),"CORRECT")</f>
        <v>CORRECT</v>
      </c>
      <c r="O43" s="5" t="str">
        <f>IFERROR(__xludf.DUMMYFUNCTION("""COMPUTED_VALUE"""),"CORRECT")</f>
        <v>CORRECT</v>
      </c>
      <c r="P43" s="5" t="str">
        <f t="shared" si="1"/>
        <v/>
      </c>
      <c r="Q43" s="5" t="str">
        <f t="shared" si="2"/>
        <v/>
      </c>
    </row>
    <row r="44" ht="14.4" spans="1:17">
      <c r="A44" s="4">
        <v>43</v>
      </c>
      <c r="B44" s="4" t="s">
        <v>154</v>
      </c>
      <c r="C44" s="4" t="s">
        <v>23</v>
      </c>
      <c r="D44" s="4" t="s">
        <v>155</v>
      </c>
      <c r="E44" s="5" t="str">
        <f t="shared" si="0"/>
        <v>Dr.BHARATHI A</v>
      </c>
      <c r="F44" s="6" t="s">
        <v>152</v>
      </c>
      <c r="G44" s="5" t="s">
        <v>29</v>
      </c>
      <c r="H44" s="5" t="s">
        <v>156</v>
      </c>
      <c r="I4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Col2='""&amp;B44&amp;""'"",0)"),1)</f>
        <v>1</v>
      </c>
      <c r="J44" s="5">
        <f>IFERROR(__xludf.DUMMYFUNCTION("""COMPUTED_VALUE"""),0)</f>
        <v>0</v>
      </c>
      <c r="K44" s="5">
        <f>IFERROR(__xludf.DUMMYFUNCTION("""COMPUTED_VALUE"""),1)</f>
        <v>1</v>
      </c>
      <c r="L44" s="5">
        <f>IFERROR(__xludf.DUMMYFUNCTION("""COMPUTED_VALUE"""),0)</f>
        <v>0</v>
      </c>
      <c r="M44" s="5" t="str">
        <f>IFERROR(__xludf.DUMMYFUNCTION("""COMPUTED_VALUE"""),"Working")</f>
        <v>Working</v>
      </c>
      <c r="N44" s="5" t="str">
        <f>IFERROR(__xludf.DUMMYFUNCTION("""COMPUTED_VALUE"""),"CORRECT")</f>
        <v>CORRECT</v>
      </c>
      <c r="O44" s="5" t="str">
        <f>IFERROR(__xludf.DUMMYFUNCTION("""COMPUTED_VALUE"""),"CORRECT")</f>
        <v>CORRECT</v>
      </c>
      <c r="P44" s="5" t="str">
        <f t="shared" si="1"/>
        <v/>
      </c>
      <c r="Q44" s="5" t="str">
        <f t="shared" si="2"/>
        <v/>
      </c>
    </row>
    <row r="45" ht="14.4" spans="1:17">
      <c r="A45" s="4">
        <v>44</v>
      </c>
      <c r="B45" s="4" t="s">
        <v>157</v>
      </c>
      <c r="C45" s="4" t="s">
        <v>23</v>
      </c>
      <c r="D45" s="4" t="s">
        <v>158</v>
      </c>
      <c r="E45" s="5" t="str">
        <f t="shared" si="0"/>
        <v>Dr.PADMASHREE A</v>
      </c>
      <c r="F45" s="6" t="s">
        <v>152</v>
      </c>
      <c r="G45" s="5" t="s">
        <v>25</v>
      </c>
      <c r="H45" s="5" t="s">
        <v>159</v>
      </c>
      <c r="I4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Col2='""&amp;B45&amp;""'"",0)"),2)</f>
        <v>2</v>
      </c>
      <c r="J45" s="5">
        <f>IFERROR(__xludf.DUMMYFUNCTION("""COMPUTED_VALUE"""),1)</f>
        <v>1</v>
      </c>
      <c r="K45" s="5">
        <f>IFERROR(__xludf.DUMMYFUNCTION("""COMPUTED_VALUE"""),2)</f>
        <v>2</v>
      </c>
      <c r="L45" s="5">
        <f>IFERROR(__xludf.DUMMYFUNCTION("""COMPUTED_VALUE"""),1)</f>
        <v>1</v>
      </c>
      <c r="M45" s="5" t="str">
        <f>IFERROR(__xludf.DUMMYFUNCTION("""COMPUTED_VALUE"""),"Working")</f>
        <v>Working</v>
      </c>
      <c r="N45" s="5" t="str">
        <f>IFERROR(__xludf.DUMMYFUNCTION("""COMPUTED_VALUE"""),"CORRECT")</f>
        <v>CORRECT</v>
      </c>
      <c r="O45" s="5" t="str">
        <f>IFERROR(__xludf.DUMMYFUNCTION("""COMPUTED_VALUE"""),"CORRECT")</f>
        <v>CORRECT</v>
      </c>
      <c r="P45" s="5" t="str">
        <f t="shared" si="1"/>
        <v/>
      </c>
      <c r="Q45" s="5" t="str">
        <f t="shared" si="2"/>
        <v/>
      </c>
    </row>
    <row r="46" ht="14.4" spans="1:17">
      <c r="A46" s="4">
        <v>45</v>
      </c>
      <c r="B46" s="4" t="s">
        <v>160</v>
      </c>
      <c r="C46" s="4" t="s">
        <v>23</v>
      </c>
      <c r="D46" s="4" t="s">
        <v>161</v>
      </c>
      <c r="E46" s="5" t="str">
        <f t="shared" si="0"/>
        <v>Dr.RAJASEKAR S S</v>
      </c>
      <c r="F46" s="6" t="s">
        <v>152</v>
      </c>
      <c r="G46" s="5" t="s">
        <v>25</v>
      </c>
      <c r="H46" s="5" t="s">
        <v>162</v>
      </c>
      <c r="I4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Col2='""&amp;B46&amp;""'"",0)"),2)</f>
        <v>2</v>
      </c>
      <c r="J46" s="5">
        <f>IFERROR(__xludf.DUMMYFUNCTION("""COMPUTED_VALUE"""),1)</f>
        <v>1</v>
      </c>
      <c r="K46" s="5">
        <f>IFERROR(__xludf.DUMMYFUNCTION("""COMPUTED_VALUE"""),2)</f>
        <v>2</v>
      </c>
      <c r="L46" s="5">
        <f>IFERROR(__xludf.DUMMYFUNCTION("""COMPUTED_VALUE"""),1)</f>
        <v>1</v>
      </c>
      <c r="M46" s="5" t="str">
        <f>IFERROR(__xludf.DUMMYFUNCTION("""COMPUTED_VALUE"""),"Working")</f>
        <v>Working</v>
      </c>
      <c r="N46" s="5" t="str">
        <f>IFERROR(__xludf.DUMMYFUNCTION("""COMPUTED_VALUE"""),"CORRECT")</f>
        <v>CORRECT</v>
      </c>
      <c r="O46" s="5" t="str">
        <f>IFERROR(__xludf.DUMMYFUNCTION("""COMPUTED_VALUE"""),"CORRECT")</f>
        <v>CORRECT</v>
      </c>
      <c r="P46" s="5" t="str">
        <f t="shared" si="1"/>
        <v/>
      </c>
      <c r="Q46" s="5" t="str">
        <f t="shared" si="2"/>
        <v/>
      </c>
    </row>
    <row r="47" ht="27.6" spans="1:17">
      <c r="A47" s="4">
        <v>46</v>
      </c>
      <c r="B47" s="4" t="s">
        <v>163</v>
      </c>
      <c r="C47" s="4" t="s">
        <v>32</v>
      </c>
      <c r="D47" s="4" t="s">
        <v>164</v>
      </c>
      <c r="E47" s="5" t="str">
        <f t="shared" si="0"/>
        <v>Mrs.HARI PRIYA R</v>
      </c>
      <c r="F47" s="6" t="s">
        <v>152</v>
      </c>
      <c r="G47" s="5" t="s">
        <v>37</v>
      </c>
      <c r="H47" s="5" t="s">
        <v>165</v>
      </c>
      <c r="I4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Col2='""&amp;B47&amp;""'"",0)"),1)</f>
        <v>1</v>
      </c>
      <c r="J47" s="5">
        <f>IFERROR(__xludf.DUMMYFUNCTION("""COMPUTED_VALUE"""),0)</f>
        <v>0</v>
      </c>
      <c r="K47" s="5">
        <f>IFERROR(__xludf.DUMMYFUNCTION("""COMPUTED_VALUE"""),1)</f>
        <v>1</v>
      </c>
      <c r="L47" s="5">
        <f>IFERROR(__xludf.DUMMYFUNCTION("""COMPUTED_VALUE"""),0)</f>
        <v>0</v>
      </c>
      <c r="M47" s="5" t="str">
        <f>IFERROR(__xludf.DUMMYFUNCTION("""COMPUTED_VALUE"""),"Working")</f>
        <v>Working</v>
      </c>
      <c r="N47" s="5" t="str">
        <f>IFERROR(__xludf.DUMMYFUNCTION("""COMPUTED_VALUE"""),"CORRECT")</f>
        <v>CORRECT</v>
      </c>
      <c r="O47" s="5" t="str">
        <f>IFERROR(__xludf.DUMMYFUNCTION("""COMPUTED_VALUE"""),"CORRECT")</f>
        <v>CORRECT</v>
      </c>
      <c r="P47" s="5" t="str">
        <f t="shared" si="1"/>
        <v/>
      </c>
      <c r="Q47" s="5" t="str">
        <f t="shared" si="2"/>
        <v/>
      </c>
    </row>
    <row r="48" ht="14.4" spans="1:17">
      <c r="A48" s="4">
        <v>47</v>
      </c>
      <c r="B48" s="4" t="s">
        <v>166</v>
      </c>
      <c r="C48" s="4" t="s">
        <v>53</v>
      </c>
      <c r="D48" s="4" t="s">
        <v>167</v>
      </c>
      <c r="E48" s="5" t="str">
        <f t="shared" si="0"/>
        <v>Ms.KARTHIKA S</v>
      </c>
      <c r="F48" s="6" t="s">
        <v>152</v>
      </c>
      <c r="G48" s="5" t="s">
        <v>47</v>
      </c>
      <c r="H48" s="5" t="s">
        <v>168</v>
      </c>
      <c r="I4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Col2='""&amp;B48&amp;""'"",0)"),2)</f>
        <v>2</v>
      </c>
      <c r="J48" s="5">
        <f>IFERROR(__xludf.DUMMYFUNCTION("""COMPUTED_VALUE"""),2)</f>
        <v>2</v>
      </c>
      <c r="K48" s="5">
        <f>IFERROR(__xludf.DUMMYFUNCTION("""COMPUTED_VALUE"""),2)</f>
        <v>2</v>
      </c>
      <c r="L48" s="5">
        <f>IFERROR(__xludf.DUMMYFUNCTION("""COMPUTED_VALUE"""),1)</f>
        <v>1</v>
      </c>
      <c r="M48" s="5" t="str">
        <f>IFERROR(__xludf.DUMMYFUNCTION("""COMPUTED_VALUE"""),"Working")</f>
        <v>Working</v>
      </c>
      <c r="N48" s="5" t="str">
        <f>IFERROR(__xludf.DUMMYFUNCTION("""COMPUTED_VALUE"""),"CORRECT")</f>
        <v>CORRECT</v>
      </c>
      <c r="O48" s="5" t="str">
        <f>IFERROR(__xludf.DUMMYFUNCTION("""COMPUTED_VALUE"""),"LOAD PENDING")</f>
        <v>LOAD PENDING</v>
      </c>
      <c r="P48" s="5" t="str">
        <f t="shared" si="1"/>
        <v/>
      </c>
      <c r="Q48" s="5" t="str">
        <f t="shared" si="2"/>
        <v/>
      </c>
    </row>
    <row r="49" ht="27.6" spans="1:17">
      <c r="A49" s="4">
        <v>48</v>
      </c>
      <c r="B49" s="4" t="s">
        <v>169</v>
      </c>
      <c r="C49" s="4" t="s">
        <v>17</v>
      </c>
      <c r="D49" s="4" t="s">
        <v>170</v>
      </c>
      <c r="E49" s="5" t="str">
        <f t="shared" si="0"/>
        <v>Mr.NITHIN P</v>
      </c>
      <c r="F49" s="6" t="s">
        <v>152</v>
      </c>
      <c r="G49" s="5" t="s">
        <v>37</v>
      </c>
      <c r="H49" s="5" t="s">
        <v>171</v>
      </c>
      <c r="I4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Col2='""&amp;B49&amp;""'"",0)"),2)</f>
        <v>2</v>
      </c>
      <c r="J49" s="5">
        <f>IFERROR(__xludf.DUMMYFUNCTION("""COMPUTED_VALUE"""),2)</f>
        <v>2</v>
      </c>
      <c r="K49" s="5">
        <f>IFERROR(__xludf.DUMMYFUNCTION("""COMPUTED_VALUE"""),2)</f>
        <v>2</v>
      </c>
      <c r="L49" s="5">
        <f>IFERROR(__xludf.DUMMYFUNCTION("""COMPUTED_VALUE"""),1)</f>
        <v>1</v>
      </c>
      <c r="M49" s="5" t="str">
        <f>IFERROR(__xludf.DUMMYFUNCTION("""COMPUTED_VALUE"""),"Working")</f>
        <v>Working</v>
      </c>
      <c r="N49" s="5" t="str">
        <f>IFERROR(__xludf.DUMMYFUNCTION("""COMPUTED_VALUE"""),"CORRECT")</f>
        <v>CORRECT</v>
      </c>
      <c r="O49" s="5" t="str">
        <f>IFERROR(__xludf.DUMMYFUNCTION("""COMPUTED_VALUE"""),"LOAD PENDING")</f>
        <v>LOAD PENDING</v>
      </c>
      <c r="P49" s="5" t="str">
        <f t="shared" si="1"/>
        <v/>
      </c>
      <c r="Q49" s="5" t="str">
        <f t="shared" si="2"/>
        <v/>
      </c>
    </row>
    <row r="50" ht="27.6" spans="1:17">
      <c r="A50" s="4">
        <v>49</v>
      </c>
      <c r="B50" s="4" t="s">
        <v>172</v>
      </c>
      <c r="C50" s="4" t="s">
        <v>17</v>
      </c>
      <c r="D50" s="4" t="s">
        <v>173</v>
      </c>
      <c r="E50" s="5" t="str">
        <f t="shared" si="0"/>
        <v>Mr.SATHESHKUMAR K</v>
      </c>
      <c r="F50" s="6" t="s">
        <v>152</v>
      </c>
      <c r="G50" s="5" t="s">
        <v>37</v>
      </c>
      <c r="H50" s="5" t="s">
        <v>174</v>
      </c>
      <c r="I5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Col2='""&amp;B50&amp;""'"",0)"),1)</f>
        <v>1</v>
      </c>
      <c r="J50" s="5">
        <f>IFERROR(__xludf.DUMMYFUNCTION("""COMPUTED_VALUE"""),0)</f>
        <v>0</v>
      </c>
      <c r="K50" s="5">
        <f>IFERROR(__xludf.DUMMYFUNCTION("""COMPUTED_VALUE"""),1)</f>
        <v>1</v>
      </c>
      <c r="L50" s="5">
        <f>IFERROR(__xludf.DUMMYFUNCTION("""COMPUTED_VALUE"""),0)</f>
        <v>0</v>
      </c>
      <c r="M50" s="5" t="str">
        <f>IFERROR(__xludf.DUMMYFUNCTION("""COMPUTED_VALUE"""),"Working")</f>
        <v>Working</v>
      </c>
      <c r="N50" s="5" t="str">
        <f>IFERROR(__xludf.DUMMYFUNCTION("""COMPUTED_VALUE"""),"CORRECT")</f>
        <v>CORRECT</v>
      </c>
      <c r="O50" s="5" t="str">
        <f>IFERROR(__xludf.DUMMYFUNCTION("""COMPUTED_VALUE"""),"CORRECT")</f>
        <v>CORRECT</v>
      </c>
      <c r="P50" s="5" t="str">
        <f t="shared" si="1"/>
        <v/>
      </c>
      <c r="Q50" s="5" t="str">
        <f t="shared" si="2"/>
        <v/>
      </c>
    </row>
    <row r="51" ht="27.6" spans="1:17">
      <c r="A51" s="4">
        <v>50</v>
      </c>
      <c r="B51" s="4" t="s">
        <v>175</v>
      </c>
      <c r="C51" s="4" t="s">
        <v>32</v>
      </c>
      <c r="D51" s="4" t="s">
        <v>176</v>
      </c>
      <c r="E51" s="5" t="str">
        <f t="shared" si="0"/>
        <v>Mrs.EUGENE BERNA I</v>
      </c>
      <c r="F51" s="6" t="s">
        <v>152</v>
      </c>
      <c r="G51" s="5" t="s">
        <v>20</v>
      </c>
      <c r="H51" s="5" t="s">
        <v>177</v>
      </c>
      <c r="I5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Col2='""&amp;B51&amp;""'"",0)"),1)</f>
        <v>1</v>
      </c>
      <c r="J51" s="5">
        <f>IFERROR(__xludf.DUMMYFUNCTION("""COMPUTED_VALUE"""),0)</f>
        <v>0</v>
      </c>
      <c r="K51" s="5">
        <f>IFERROR(__xludf.DUMMYFUNCTION("""COMPUTED_VALUE"""),1)</f>
        <v>1</v>
      </c>
      <c r="L51" s="5">
        <f>IFERROR(__xludf.DUMMYFUNCTION("""COMPUTED_VALUE"""),0)</f>
        <v>0</v>
      </c>
      <c r="M51" s="5" t="str">
        <f>IFERROR(__xludf.DUMMYFUNCTION("""COMPUTED_VALUE"""),"Working")</f>
        <v>Working</v>
      </c>
      <c r="N51" s="5" t="str">
        <f>IFERROR(__xludf.DUMMYFUNCTION("""COMPUTED_VALUE"""),"CORRECT")</f>
        <v>CORRECT</v>
      </c>
      <c r="O51" s="5" t="str">
        <f>IFERROR(__xludf.DUMMYFUNCTION("""COMPUTED_VALUE"""),"CORRECT")</f>
        <v>CORRECT</v>
      </c>
      <c r="P51" s="5" t="str">
        <f t="shared" si="1"/>
        <v/>
      </c>
      <c r="Q51" s="5" t="str">
        <f t="shared" si="2"/>
        <v/>
      </c>
    </row>
    <row r="52" ht="14.4" spans="1:17">
      <c r="A52" s="4">
        <v>51</v>
      </c>
      <c r="B52" s="4" t="s">
        <v>178</v>
      </c>
      <c r="C52" s="4" t="s">
        <v>53</v>
      </c>
      <c r="D52" s="4" t="s">
        <v>179</v>
      </c>
      <c r="E52" s="5" t="str">
        <f t="shared" si="0"/>
        <v>Ms.MOHANAPRIYA K</v>
      </c>
      <c r="F52" s="6" t="s">
        <v>152</v>
      </c>
      <c r="G52" s="5" t="s">
        <v>47</v>
      </c>
      <c r="H52" s="5" t="s">
        <v>180</v>
      </c>
      <c r="I5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Col2='""&amp;B52&amp;""'"",0)"),2)</f>
        <v>2</v>
      </c>
      <c r="J52" s="5">
        <f>IFERROR(__xludf.DUMMYFUNCTION("""COMPUTED_VALUE"""),2)</f>
        <v>2</v>
      </c>
      <c r="K52" s="5">
        <f>IFERROR(__xludf.DUMMYFUNCTION("""COMPUTED_VALUE"""),2)</f>
        <v>2</v>
      </c>
      <c r="L52" s="5">
        <f>IFERROR(__xludf.DUMMYFUNCTION("""COMPUTED_VALUE"""),1)</f>
        <v>1</v>
      </c>
      <c r="M52" s="5" t="str">
        <f>IFERROR(__xludf.DUMMYFUNCTION("""COMPUTED_VALUE"""),"Working")</f>
        <v>Working</v>
      </c>
      <c r="N52" s="5" t="str">
        <f>IFERROR(__xludf.DUMMYFUNCTION("""COMPUTED_VALUE"""),"CORRECT")</f>
        <v>CORRECT</v>
      </c>
      <c r="O52" s="5" t="str">
        <f>IFERROR(__xludf.DUMMYFUNCTION("""COMPUTED_VALUE"""),"LOAD PENDING")</f>
        <v>LOAD PENDING</v>
      </c>
      <c r="P52" s="5" t="str">
        <f t="shared" si="1"/>
        <v/>
      </c>
      <c r="Q52" s="5" t="str">
        <f t="shared" si="2"/>
        <v/>
      </c>
    </row>
    <row r="53" ht="27.6" spans="1:17">
      <c r="A53" s="4">
        <v>52</v>
      </c>
      <c r="B53" s="4" t="s">
        <v>181</v>
      </c>
      <c r="C53" s="4" t="s">
        <v>17</v>
      </c>
      <c r="D53" s="4" t="s">
        <v>182</v>
      </c>
      <c r="E53" s="5" t="str">
        <f t="shared" si="0"/>
        <v>Mr.BALAMURUGAN E</v>
      </c>
      <c r="F53" s="6" t="s">
        <v>152</v>
      </c>
      <c r="G53" s="5" t="s">
        <v>37</v>
      </c>
      <c r="H53" s="5" t="s">
        <v>183</v>
      </c>
      <c r="I5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Col2='""&amp;B53&amp;""'"",0)"),1)</f>
        <v>1</v>
      </c>
      <c r="J53" s="5">
        <f>IFERROR(__xludf.DUMMYFUNCTION("""COMPUTED_VALUE"""),0)</f>
        <v>0</v>
      </c>
      <c r="K53" s="5">
        <f>IFERROR(__xludf.DUMMYFUNCTION("""COMPUTED_VALUE"""),1)</f>
        <v>1</v>
      </c>
      <c r="L53" s="5">
        <f>IFERROR(__xludf.DUMMYFUNCTION("""COMPUTED_VALUE"""),0)</f>
        <v>0</v>
      </c>
      <c r="M53" s="5" t="str">
        <f>IFERROR(__xludf.DUMMYFUNCTION("""COMPUTED_VALUE"""),"Working")</f>
        <v>Working</v>
      </c>
      <c r="N53" s="5" t="str">
        <f>IFERROR(__xludf.DUMMYFUNCTION("""COMPUTED_VALUE"""),"CORRECT")</f>
        <v>CORRECT</v>
      </c>
      <c r="O53" s="5" t="str">
        <f>IFERROR(__xludf.DUMMYFUNCTION("""COMPUTED_VALUE"""),"CORRECT")</f>
        <v>CORRECT</v>
      </c>
      <c r="P53" s="5" t="str">
        <f t="shared" si="1"/>
        <v/>
      </c>
      <c r="Q53" s="5" t="str">
        <f t="shared" si="2"/>
        <v/>
      </c>
    </row>
    <row r="54" ht="14.4" spans="1:17">
      <c r="A54" s="4">
        <v>53</v>
      </c>
      <c r="B54" s="4" t="s">
        <v>184</v>
      </c>
      <c r="C54" s="4" t="s">
        <v>53</v>
      </c>
      <c r="D54" s="4" t="s">
        <v>185</v>
      </c>
      <c r="E54" s="5" t="str">
        <f t="shared" si="0"/>
        <v>Ms.KANIMOZHI A</v>
      </c>
      <c r="F54" s="6" t="s">
        <v>152</v>
      </c>
      <c r="G54" s="5" t="s">
        <v>47</v>
      </c>
      <c r="H54" s="5" t="s">
        <v>186</v>
      </c>
      <c r="I5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Col2='""&amp;B54&amp;""'"",0)"),2)</f>
        <v>2</v>
      </c>
      <c r="J54" s="5">
        <f>IFERROR(__xludf.DUMMYFUNCTION("""COMPUTED_VALUE"""),2)</f>
        <v>2</v>
      </c>
      <c r="K54" s="5">
        <f>IFERROR(__xludf.DUMMYFUNCTION("""COMPUTED_VALUE"""),2)</f>
        <v>2</v>
      </c>
      <c r="L54" s="5">
        <f>IFERROR(__xludf.DUMMYFUNCTION("""COMPUTED_VALUE"""),1)</f>
        <v>1</v>
      </c>
      <c r="M54" s="5" t="str">
        <f>IFERROR(__xludf.DUMMYFUNCTION("""COMPUTED_VALUE"""),"Working")</f>
        <v>Working</v>
      </c>
      <c r="N54" s="5" t="str">
        <f>IFERROR(__xludf.DUMMYFUNCTION("""COMPUTED_VALUE"""),"CORRECT")</f>
        <v>CORRECT</v>
      </c>
      <c r="O54" s="5" t="str">
        <f>IFERROR(__xludf.DUMMYFUNCTION("""COMPUTED_VALUE"""),"LOAD PENDING")</f>
        <v>LOAD PENDING</v>
      </c>
      <c r="P54" s="5" t="str">
        <f t="shared" si="1"/>
        <v/>
      </c>
      <c r="Q54" s="5" t="str">
        <f t="shared" si="2"/>
        <v/>
      </c>
    </row>
    <row r="55" ht="14.4" spans="1:17">
      <c r="A55" s="4">
        <v>54</v>
      </c>
      <c r="B55" s="4" t="s">
        <v>187</v>
      </c>
      <c r="C55" s="4" t="s">
        <v>32</v>
      </c>
      <c r="D55" s="4" t="s">
        <v>188</v>
      </c>
      <c r="E55" s="5" t="str">
        <f t="shared" si="0"/>
        <v>Mrs.GAYATHRIDEVI M</v>
      </c>
      <c r="F55" s="6" t="s">
        <v>152</v>
      </c>
      <c r="G55" s="5" t="s">
        <v>47</v>
      </c>
      <c r="H55" s="5" t="s">
        <v>189</v>
      </c>
      <c r="I5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Col2='""&amp;B55&amp;""'"",0)"),2)</f>
        <v>2</v>
      </c>
      <c r="J55" s="5">
        <f>IFERROR(__xludf.DUMMYFUNCTION("""COMPUTED_VALUE"""),2)</f>
        <v>2</v>
      </c>
      <c r="K55" s="5">
        <f>IFERROR(__xludf.DUMMYFUNCTION("""COMPUTED_VALUE"""),2)</f>
        <v>2</v>
      </c>
      <c r="L55" s="5">
        <f>IFERROR(__xludf.DUMMYFUNCTION("""COMPUTED_VALUE"""),1)</f>
        <v>1</v>
      </c>
      <c r="M55" s="5" t="str">
        <f>IFERROR(__xludf.DUMMYFUNCTION("""COMPUTED_VALUE"""),"Working")</f>
        <v>Working</v>
      </c>
      <c r="N55" s="5" t="str">
        <f>IFERROR(__xludf.DUMMYFUNCTION("""COMPUTED_VALUE"""),"CORRECT")</f>
        <v>CORRECT</v>
      </c>
      <c r="O55" s="5" t="str">
        <f>IFERROR(__xludf.DUMMYFUNCTION("""COMPUTED_VALUE"""),"LOAD PENDING")</f>
        <v>LOAD PENDING</v>
      </c>
      <c r="P55" s="5" t="str">
        <f t="shared" si="1"/>
        <v/>
      </c>
      <c r="Q55" s="5" t="str">
        <f t="shared" si="2"/>
        <v/>
      </c>
    </row>
    <row r="56" ht="27.6" spans="1:17">
      <c r="A56" s="4">
        <v>55</v>
      </c>
      <c r="B56" s="4" t="s">
        <v>190</v>
      </c>
      <c r="C56" s="4" t="s">
        <v>53</v>
      </c>
      <c r="D56" s="4" t="s">
        <v>191</v>
      </c>
      <c r="E56" s="5" t="str">
        <f t="shared" si="0"/>
        <v>Ms.NISHANTHINI S</v>
      </c>
      <c r="F56" s="6" t="s">
        <v>152</v>
      </c>
      <c r="G56" s="5" t="s">
        <v>47</v>
      </c>
      <c r="H56" s="5" t="s">
        <v>192</v>
      </c>
      <c r="I5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Col2='""&amp;B56&amp;""'"",0)"),2)</f>
        <v>2</v>
      </c>
      <c r="J56" s="5">
        <f>IFERROR(__xludf.DUMMYFUNCTION("""COMPUTED_VALUE"""),2)</f>
        <v>2</v>
      </c>
      <c r="K56" s="5">
        <f>IFERROR(__xludf.DUMMYFUNCTION("""COMPUTED_VALUE"""),3)</f>
        <v>3</v>
      </c>
      <c r="L56" s="5">
        <f>IFERROR(__xludf.DUMMYFUNCTION("""COMPUTED_VALUE"""),3)</f>
        <v>3</v>
      </c>
      <c r="M56" s="5" t="str">
        <f>IFERROR(__xludf.DUMMYFUNCTION("""COMPUTED_VALUE"""),"Working")</f>
        <v>Working</v>
      </c>
      <c r="N56" s="5" t="str">
        <f>IFERROR(__xludf.DUMMYFUNCTION("""COMPUTED_VALUE"""),"CORRECT")</f>
        <v>CORRECT</v>
      </c>
      <c r="O56" s="5" t="str">
        <f>IFERROR(__xludf.DUMMYFUNCTION("""COMPUTED_VALUE"""),"CORRECT")</f>
        <v>CORRECT</v>
      </c>
      <c r="P56" s="5" t="str">
        <f t="shared" si="1"/>
        <v>Extra Theory Load Alloted</v>
      </c>
      <c r="Q56" s="5" t="str">
        <f t="shared" si="2"/>
        <v>Extra Lab Load Alloted</v>
      </c>
    </row>
    <row r="57" ht="14.4" spans="1:17">
      <c r="A57" s="4">
        <v>56</v>
      </c>
      <c r="B57" s="4" t="s">
        <v>193</v>
      </c>
      <c r="C57" s="4" t="s">
        <v>53</v>
      </c>
      <c r="D57" s="4" t="s">
        <v>194</v>
      </c>
      <c r="E57" s="5" t="str">
        <f t="shared" si="0"/>
        <v>Ms.SASITHRA S</v>
      </c>
      <c r="F57" s="6" t="s">
        <v>152</v>
      </c>
      <c r="G57" s="5" t="s">
        <v>47</v>
      </c>
      <c r="H57" s="5" t="s">
        <v>195</v>
      </c>
      <c r="I5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Col2='""&amp;B57&amp;""'"",0)"),1)</f>
        <v>1</v>
      </c>
      <c r="J57" s="5">
        <f>IFERROR(__xludf.DUMMYFUNCTION("""COMPUTED_VALUE"""),0)</f>
        <v>0</v>
      </c>
      <c r="K57" s="5">
        <f>IFERROR(__xludf.DUMMYFUNCTION("""COMPUTED_VALUE"""),1)</f>
        <v>1</v>
      </c>
      <c r="L57" s="5">
        <f>IFERROR(__xludf.DUMMYFUNCTION("""COMPUTED_VALUE"""),0)</f>
        <v>0</v>
      </c>
      <c r="M57" s="5" t="str">
        <f>IFERROR(__xludf.DUMMYFUNCTION("""COMPUTED_VALUE"""),"Working")</f>
        <v>Working</v>
      </c>
      <c r="N57" s="5" t="str">
        <f>IFERROR(__xludf.DUMMYFUNCTION("""COMPUTED_VALUE"""),"CORRECT")</f>
        <v>CORRECT</v>
      </c>
      <c r="O57" s="5" t="str">
        <f>IFERROR(__xludf.DUMMYFUNCTION("""COMPUTED_VALUE"""),"CORRECT")</f>
        <v>CORRECT</v>
      </c>
      <c r="P57" s="5" t="str">
        <f t="shared" si="1"/>
        <v/>
      </c>
      <c r="Q57" s="5" t="str">
        <f t="shared" si="2"/>
        <v/>
      </c>
    </row>
    <row r="58" ht="14.4" spans="1:17">
      <c r="A58" s="4">
        <v>57</v>
      </c>
      <c r="B58" s="4" t="s">
        <v>196</v>
      </c>
      <c r="C58" s="4" t="s">
        <v>32</v>
      </c>
      <c r="D58" s="4" t="s">
        <v>197</v>
      </c>
      <c r="E58" s="5" t="str">
        <f t="shared" si="0"/>
        <v>Mrs.LOKESWARI P</v>
      </c>
      <c r="F58" s="6" t="s">
        <v>152</v>
      </c>
      <c r="G58" s="5" t="s">
        <v>47</v>
      </c>
      <c r="H58" s="5" t="s">
        <v>198</v>
      </c>
      <c r="I5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Col2='""&amp;B58&amp;""'"",0)"),2)</f>
        <v>2</v>
      </c>
      <c r="J58" s="5">
        <f>IFERROR(__xludf.DUMMYFUNCTION("""COMPUTED_VALUE"""),2)</f>
        <v>2</v>
      </c>
      <c r="K58" s="5">
        <f>IFERROR(__xludf.DUMMYFUNCTION("""COMPUTED_VALUE"""),2)</f>
        <v>2</v>
      </c>
      <c r="L58" s="5">
        <f>IFERROR(__xludf.DUMMYFUNCTION("""COMPUTED_VALUE"""),1)</f>
        <v>1</v>
      </c>
      <c r="M58" s="5" t="str">
        <f>IFERROR(__xludf.DUMMYFUNCTION("""COMPUTED_VALUE"""),"Working")</f>
        <v>Working</v>
      </c>
      <c r="N58" s="5" t="str">
        <f>IFERROR(__xludf.DUMMYFUNCTION("""COMPUTED_VALUE"""),"CORRECT")</f>
        <v>CORRECT</v>
      </c>
      <c r="O58" s="5" t="str">
        <f>IFERROR(__xludf.DUMMYFUNCTION("""COMPUTED_VALUE"""),"LOAD PENDING")</f>
        <v>LOAD PENDING</v>
      </c>
      <c r="P58" s="5" t="str">
        <f t="shared" si="1"/>
        <v/>
      </c>
      <c r="Q58" s="5" t="str">
        <f t="shared" si="2"/>
        <v/>
      </c>
    </row>
    <row r="59" ht="27.6" spans="1:17">
      <c r="A59" s="4">
        <v>58</v>
      </c>
      <c r="B59" s="4" t="s">
        <v>199</v>
      </c>
      <c r="C59" s="4" t="s">
        <v>23</v>
      </c>
      <c r="D59" s="4" t="s">
        <v>200</v>
      </c>
      <c r="E59" s="5" t="str">
        <f t="shared" si="0"/>
        <v>Dr.KARTHIKEYAN G</v>
      </c>
      <c r="F59" s="6" t="s">
        <v>152</v>
      </c>
      <c r="G59" s="5" t="s">
        <v>20</v>
      </c>
      <c r="H59" s="5" t="s">
        <v>201</v>
      </c>
      <c r="I5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Col2='""&amp;B59&amp;""'"",0)"),2)</f>
        <v>2</v>
      </c>
      <c r="J59" s="5">
        <f>IFERROR(__xludf.DUMMYFUNCTION("""COMPUTED_VALUE"""),2)</f>
        <v>2</v>
      </c>
      <c r="K59" s="5">
        <f>IFERROR(__xludf.DUMMYFUNCTION("""COMPUTED_VALUE"""),2)</f>
        <v>2</v>
      </c>
      <c r="L59" s="5">
        <f>IFERROR(__xludf.DUMMYFUNCTION("""COMPUTED_VALUE"""),1)</f>
        <v>1</v>
      </c>
      <c r="M59" s="5" t="str">
        <f>IFERROR(__xludf.DUMMYFUNCTION("""COMPUTED_VALUE"""),"Working")</f>
        <v>Working</v>
      </c>
      <c r="N59" s="5" t="str">
        <f>IFERROR(__xludf.DUMMYFUNCTION("""COMPUTED_VALUE"""),"CORRECT")</f>
        <v>CORRECT</v>
      </c>
      <c r="O59" s="5" t="str">
        <f>IFERROR(__xludf.DUMMYFUNCTION("""COMPUTED_VALUE"""),"LOAD PENDING")</f>
        <v>LOAD PENDING</v>
      </c>
      <c r="P59" s="5" t="str">
        <f t="shared" si="1"/>
        <v/>
      </c>
      <c r="Q59" s="5" t="str">
        <f t="shared" si="2"/>
        <v/>
      </c>
    </row>
    <row r="60" ht="14.4" spans="1:17">
      <c r="A60" s="4">
        <v>59</v>
      </c>
      <c r="B60" s="4" t="s">
        <v>202</v>
      </c>
      <c r="C60" s="4" t="s">
        <v>32</v>
      </c>
      <c r="D60" s="4" t="s">
        <v>203</v>
      </c>
      <c r="E60" s="5" t="str">
        <f t="shared" si="0"/>
        <v>Mrs.SARANYA M K</v>
      </c>
      <c r="F60" s="6" t="s">
        <v>152</v>
      </c>
      <c r="G60" s="5" t="s">
        <v>47</v>
      </c>
      <c r="H60" s="5" t="s">
        <v>204</v>
      </c>
      <c r="I6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Col2='""&amp;B60&amp;""'"",0)"),2)</f>
        <v>2</v>
      </c>
      <c r="J60" s="5">
        <f>IFERROR(__xludf.DUMMYFUNCTION("""COMPUTED_VALUE"""),2)</f>
        <v>2</v>
      </c>
      <c r="K60" s="5">
        <f>IFERROR(__xludf.DUMMYFUNCTION("""COMPUTED_VALUE"""),2)</f>
        <v>2</v>
      </c>
      <c r="L60" s="5">
        <f>IFERROR(__xludf.DUMMYFUNCTION("""COMPUTED_VALUE"""),1)</f>
        <v>1</v>
      </c>
      <c r="M60" s="5" t="str">
        <f>IFERROR(__xludf.DUMMYFUNCTION("""COMPUTED_VALUE"""),"Working")</f>
        <v>Working</v>
      </c>
      <c r="N60" s="5" t="str">
        <f>IFERROR(__xludf.DUMMYFUNCTION("""COMPUTED_VALUE"""),"CORRECT")</f>
        <v>CORRECT</v>
      </c>
      <c r="O60" s="5" t="str">
        <f>IFERROR(__xludf.DUMMYFUNCTION("""COMPUTED_VALUE"""),"LOAD PENDING")</f>
        <v>LOAD PENDING</v>
      </c>
      <c r="P60" s="5" t="str">
        <f t="shared" si="1"/>
        <v/>
      </c>
      <c r="Q60" s="5" t="str">
        <f t="shared" si="2"/>
        <v/>
      </c>
    </row>
    <row r="61" ht="14.4" spans="1:17">
      <c r="A61" s="4">
        <v>60</v>
      </c>
      <c r="B61" s="4" t="s">
        <v>205</v>
      </c>
      <c r="C61" s="4" t="s">
        <v>32</v>
      </c>
      <c r="D61" s="4" t="s">
        <v>206</v>
      </c>
      <c r="E61" s="5" t="str">
        <f t="shared" si="0"/>
        <v>Mrs.SINDHUJAA N</v>
      </c>
      <c r="F61" s="6" t="s">
        <v>152</v>
      </c>
      <c r="G61" s="5" t="s">
        <v>47</v>
      </c>
      <c r="H61" s="5" t="s">
        <v>207</v>
      </c>
      <c r="I6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Col2='""&amp;B61&amp;""'"",0)"),2)</f>
        <v>2</v>
      </c>
      <c r="J61" s="5">
        <f>IFERROR(__xludf.DUMMYFUNCTION("""COMPUTED_VALUE"""),2)</f>
        <v>2</v>
      </c>
      <c r="K61" s="5">
        <f>IFERROR(__xludf.DUMMYFUNCTION("""COMPUTED_VALUE"""),0)</f>
        <v>0</v>
      </c>
      <c r="L61" s="5">
        <f>IFERROR(__xludf.DUMMYFUNCTION("""COMPUTED_VALUE"""),0)</f>
        <v>0</v>
      </c>
      <c r="M61" s="5" t="str">
        <f>IFERROR(__xludf.DUMMYFUNCTION("""COMPUTED_VALUE"""),"Working")</f>
        <v>Working</v>
      </c>
      <c r="N61" s="5" t="str">
        <f>IFERROR(__xludf.DUMMYFUNCTION("""COMPUTED_VALUE"""),"LOAD PENDING")</f>
        <v>LOAD PENDING</v>
      </c>
      <c r="O61" s="5" t="str">
        <f>IFERROR(__xludf.DUMMYFUNCTION("""COMPUTED_VALUE"""),"LOAD PENDING")</f>
        <v>LOAD PENDING</v>
      </c>
      <c r="P61" s="5" t="str">
        <f t="shared" si="1"/>
        <v/>
      </c>
      <c r="Q61" s="5" t="str">
        <f t="shared" si="2"/>
        <v/>
      </c>
    </row>
    <row r="62" ht="14.4" spans="1:17">
      <c r="A62" s="4">
        <v>61</v>
      </c>
      <c r="B62" s="4" t="s">
        <v>208</v>
      </c>
      <c r="C62" s="4" t="s">
        <v>23</v>
      </c>
      <c r="D62" s="4" t="s">
        <v>209</v>
      </c>
      <c r="E62" s="5" t="str">
        <f t="shared" si="0"/>
        <v>Dr.GOPALAKRISHNAN B</v>
      </c>
      <c r="F62" s="6" t="s">
        <v>152</v>
      </c>
      <c r="G62" s="5" t="s">
        <v>29</v>
      </c>
      <c r="H62" s="5" t="s">
        <v>210</v>
      </c>
      <c r="I6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Col2='""&amp;B62&amp;""'"",0)"),1)</f>
        <v>1</v>
      </c>
      <c r="J62" s="5">
        <f>IFERROR(__xludf.DUMMYFUNCTION("""COMPUTED_VALUE"""),0)</f>
        <v>0</v>
      </c>
      <c r="K62" s="5">
        <f>IFERROR(__xludf.DUMMYFUNCTION("""COMPUTED_VALUE"""),1)</f>
        <v>1</v>
      </c>
      <c r="L62" s="5">
        <f>IFERROR(__xludf.DUMMYFUNCTION("""COMPUTED_VALUE"""),0)</f>
        <v>0</v>
      </c>
      <c r="M62" s="5" t="str">
        <f>IFERROR(__xludf.DUMMYFUNCTION("""COMPUTED_VALUE"""),"Working")</f>
        <v>Working</v>
      </c>
      <c r="N62" s="5" t="str">
        <f>IFERROR(__xludf.DUMMYFUNCTION("""COMPUTED_VALUE"""),"CORRECT")</f>
        <v>CORRECT</v>
      </c>
      <c r="O62" s="5" t="str">
        <f>IFERROR(__xludf.DUMMYFUNCTION("""COMPUTED_VALUE"""),"CORRECT")</f>
        <v>CORRECT</v>
      </c>
      <c r="P62" s="5" t="str">
        <f t="shared" si="1"/>
        <v/>
      </c>
      <c r="Q62" s="5" t="str">
        <f t="shared" si="2"/>
        <v/>
      </c>
    </row>
    <row r="63" ht="14.4" spans="1:17">
      <c r="A63" s="4">
        <v>62</v>
      </c>
      <c r="B63" s="4" t="s">
        <v>211</v>
      </c>
      <c r="C63" s="4" t="s">
        <v>23</v>
      </c>
      <c r="D63" s="4" t="s">
        <v>212</v>
      </c>
      <c r="E63" s="5" t="str">
        <f t="shared" si="0"/>
        <v>Dr.KODIESWARI A</v>
      </c>
      <c r="F63" s="6" t="s">
        <v>152</v>
      </c>
      <c r="G63" s="5" t="s">
        <v>25</v>
      </c>
      <c r="H63" s="5" t="s">
        <v>213</v>
      </c>
      <c r="I6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Col2='""&amp;B63&amp;""'"",0)"),2)</f>
        <v>2</v>
      </c>
      <c r="J63" s="5">
        <f>IFERROR(__xludf.DUMMYFUNCTION("""COMPUTED_VALUE"""),1)</f>
        <v>1</v>
      </c>
      <c r="K63" s="5">
        <f>IFERROR(__xludf.DUMMYFUNCTION("""COMPUTED_VALUE"""),2)</f>
        <v>2</v>
      </c>
      <c r="L63" s="5">
        <f>IFERROR(__xludf.DUMMYFUNCTION("""COMPUTED_VALUE"""),1)</f>
        <v>1</v>
      </c>
      <c r="M63" s="5" t="str">
        <f>IFERROR(__xludf.DUMMYFUNCTION("""COMPUTED_VALUE"""),"Working")</f>
        <v>Working</v>
      </c>
      <c r="N63" s="5" t="str">
        <f>IFERROR(__xludf.DUMMYFUNCTION("""COMPUTED_VALUE"""),"CORRECT")</f>
        <v>CORRECT</v>
      </c>
      <c r="O63" s="5" t="str">
        <f>IFERROR(__xludf.DUMMYFUNCTION("""COMPUTED_VALUE"""),"CORRECT")</f>
        <v>CORRECT</v>
      </c>
      <c r="P63" s="5" t="str">
        <f t="shared" si="1"/>
        <v/>
      </c>
      <c r="Q63" s="5" t="str">
        <f t="shared" si="2"/>
        <v/>
      </c>
    </row>
    <row r="64" ht="27.6" spans="1:17">
      <c r="A64" s="4">
        <v>63</v>
      </c>
      <c r="B64" s="4" t="s">
        <v>214</v>
      </c>
      <c r="C64" s="4" t="s">
        <v>17</v>
      </c>
      <c r="D64" s="4" t="s">
        <v>215</v>
      </c>
      <c r="E64" s="5" t="str">
        <f t="shared" si="0"/>
        <v>Mr.TAMILSELVAN A</v>
      </c>
      <c r="F64" s="6" t="s">
        <v>216</v>
      </c>
      <c r="G64" s="5" t="s">
        <v>20</v>
      </c>
      <c r="H64" s="5" t="s">
        <v>217</v>
      </c>
      <c r="I6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Col2='""&amp;B64&amp;""'"",0)"),1)</f>
        <v>1</v>
      </c>
      <c r="J64" s="5">
        <f>IFERROR(__xludf.DUMMYFUNCTION("""COMPUTED_VALUE"""),1)</f>
        <v>1</v>
      </c>
      <c r="K64" s="5">
        <f>IFERROR(__xludf.DUMMYFUNCTION("""COMPUTED_VALUE"""),1)</f>
        <v>1</v>
      </c>
      <c r="L64" s="5">
        <f>IFERROR(__xludf.DUMMYFUNCTION("""COMPUTED_VALUE"""),0)</f>
        <v>0</v>
      </c>
      <c r="M64" s="5" t="str">
        <f>IFERROR(__xludf.DUMMYFUNCTION("""COMPUTED_VALUE"""),"Working")</f>
        <v>Working</v>
      </c>
      <c r="N64" s="5" t="str">
        <f>IFERROR(__xludf.DUMMYFUNCTION("""COMPUTED_VALUE"""),"CORRECT")</f>
        <v>CORRECT</v>
      </c>
      <c r="O64" s="5" t="str">
        <f>IFERROR(__xludf.DUMMYFUNCTION("""COMPUTED_VALUE"""),"LOAD PENDING")</f>
        <v>LOAD PENDING</v>
      </c>
      <c r="P64" s="5" t="str">
        <f t="shared" si="1"/>
        <v/>
      </c>
      <c r="Q64" s="5" t="str">
        <f t="shared" si="2"/>
        <v/>
      </c>
    </row>
    <row r="65" ht="27.6" spans="1:17">
      <c r="A65" s="4">
        <v>64</v>
      </c>
      <c r="B65" s="4" t="s">
        <v>218</v>
      </c>
      <c r="C65" s="4" t="s">
        <v>23</v>
      </c>
      <c r="D65" s="4" t="s">
        <v>219</v>
      </c>
      <c r="E65" s="5" t="str">
        <f t="shared" si="0"/>
        <v>Dr.DHAYANEETHI S</v>
      </c>
      <c r="F65" s="6" t="s">
        <v>216</v>
      </c>
      <c r="G65" s="5" t="s">
        <v>20</v>
      </c>
      <c r="H65" s="5" t="s">
        <v>220</v>
      </c>
      <c r="I6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Col2='""&amp;B65&amp;""'"",0)"),1)</f>
        <v>1</v>
      </c>
      <c r="J65" s="5">
        <f>IFERROR(__xludf.DUMMYFUNCTION("""COMPUTED_VALUE"""),0)</f>
        <v>0</v>
      </c>
      <c r="K65" s="5">
        <f>IFERROR(__xludf.DUMMYFUNCTION("""COMPUTED_VALUE"""),1)</f>
        <v>1</v>
      </c>
      <c r="L65" s="5">
        <f>IFERROR(__xludf.DUMMYFUNCTION("""COMPUTED_VALUE"""),0)</f>
        <v>0</v>
      </c>
      <c r="M65" s="5" t="str">
        <f>IFERROR(__xludf.DUMMYFUNCTION("""COMPUTED_VALUE"""),"Working")</f>
        <v>Working</v>
      </c>
      <c r="N65" s="5" t="str">
        <f>IFERROR(__xludf.DUMMYFUNCTION("""COMPUTED_VALUE"""),"CORRECT")</f>
        <v>CORRECT</v>
      </c>
      <c r="O65" s="5" t="str">
        <f>IFERROR(__xludf.DUMMYFUNCTION("""COMPUTED_VALUE"""),"CORRECT")</f>
        <v>CORRECT</v>
      </c>
      <c r="P65" s="5" t="str">
        <f t="shared" si="1"/>
        <v/>
      </c>
      <c r="Q65" s="5" t="str">
        <f t="shared" si="2"/>
        <v/>
      </c>
    </row>
    <row r="66" ht="27.6" spans="1:17">
      <c r="A66" s="4">
        <v>65</v>
      </c>
      <c r="B66" s="4" t="s">
        <v>221</v>
      </c>
      <c r="C66" s="4" t="s">
        <v>53</v>
      </c>
      <c r="D66" s="4" t="s">
        <v>222</v>
      </c>
      <c r="E66" s="5" t="str">
        <f t="shared" ref="E66:E129" si="3">CONCATENATE(C66,".",D66)</f>
        <v>Ms.CAROLINE VINNETIA S</v>
      </c>
      <c r="F66" s="6" t="s">
        <v>223</v>
      </c>
      <c r="G66" s="5" t="s">
        <v>37</v>
      </c>
      <c r="H66" s="5" t="s">
        <v>224</v>
      </c>
      <c r="I6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Col2='""&amp;B66&amp;""'"",0)"),2)</f>
        <v>2</v>
      </c>
      <c r="J66" s="5">
        <f>IFERROR(__xludf.DUMMYFUNCTION("""COMPUTED_VALUE"""),2)</f>
        <v>2</v>
      </c>
      <c r="K66" s="5">
        <f>IFERROR(__xludf.DUMMYFUNCTION("""COMPUTED_VALUE"""),3)</f>
        <v>3</v>
      </c>
      <c r="L66" s="5">
        <f>IFERROR(__xludf.DUMMYFUNCTION("""COMPUTED_VALUE"""),0)</f>
        <v>0</v>
      </c>
      <c r="M66" s="5" t="str">
        <f>IFERROR(__xludf.DUMMYFUNCTION("""COMPUTED_VALUE"""),"Working")</f>
        <v>Working</v>
      </c>
      <c r="N66" s="5" t="str">
        <f>IFERROR(__xludf.DUMMYFUNCTION("""COMPUTED_VALUE"""),"CORRECT")</f>
        <v>CORRECT</v>
      </c>
      <c r="O66" s="5" t="str">
        <f>IFERROR(__xludf.DUMMYFUNCTION("""COMPUTED_VALUE"""),"LOAD PENDING")</f>
        <v>LOAD PENDING</v>
      </c>
      <c r="P66" s="5" t="str">
        <f t="shared" ref="P66:P129" si="4">IF(K66&gt;I66,"Extra Theory Load Alloted","")</f>
        <v>Extra Theory Load Alloted</v>
      </c>
      <c r="Q66" s="5" t="str">
        <f t="shared" ref="Q66:Q129" si="5">IF(L66&gt;J66,"Extra Lab Load Alloted","")</f>
        <v/>
      </c>
    </row>
    <row r="67" ht="14.4" spans="1:17">
      <c r="A67" s="4">
        <v>66</v>
      </c>
      <c r="B67" s="4" t="s">
        <v>225</v>
      </c>
      <c r="C67" s="4" t="s">
        <v>53</v>
      </c>
      <c r="D67" s="4" t="s">
        <v>226</v>
      </c>
      <c r="E67" s="5" t="str">
        <f t="shared" si="3"/>
        <v>Ms.SAAHINA S</v>
      </c>
      <c r="F67" s="6" t="s">
        <v>223</v>
      </c>
      <c r="G67" s="5" t="s">
        <v>47</v>
      </c>
      <c r="H67" s="5" t="s">
        <v>227</v>
      </c>
      <c r="I6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Col2='""&amp;B67&amp;""'"",0)"),2)</f>
        <v>2</v>
      </c>
      <c r="J67" s="5">
        <f>IFERROR(__xludf.DUMMYFUNCTION("""COMPUTED_VALUE"""),2)</f>
        <v>2</v>
      </c>
      <c r="K67" s="5">
        <f>IFERROR(__xludf.DUMMYFUNCTION("""COMPUTED_VALUE"""),2)</f>
        <v>2</v>
      </c>
      <c r="L67" s="5">
        <f>IFERROR(__xludf.DUMMYFUNCTION("""COMPUTED_VALUE"""),1)</f>
        <v>1</v>
      </c>
      <c r="M67" s="5" t="str">
        <f>IFERROR(__xludf.DUMMYFUNCTION("""COMPUTED_VALUE"""),"Working")</f>
        <v>Working</v>
      </c>
      <c r="N67" s="5" t="str">
        <f>IFERROR(__xludf.DUMMYFUNCTION("""COMPUTED_VALUE"""),"CORRECT")</f>
        <v>CORRECT</v>
      </c>
      <c r="O67" s="5" t="str">
        <f>IFERROR(__xludf.DUMMYFUNCTION("""COMPUTED_VALUE"""),"LOAD PENDING")</f>
        <v>LOAD PENDING</v>
      </c>
      <c r="P67" s="5" t="str">
        <f t="shared" si="4"/>
        <v/>
      </c>
      <c r="Q67" s="5" t="str">
        <f t="shared" si="5"/>
        <v/>
      </c>
    </row>
    <row r="68" ht="14.4" spans="1:17">
      <c r="A68" s="4">
        <v>67</v>
      </c>
      <c r="B68" s="4" t="s">
        <v>228</v>
      </c>
      <c r="C68" s="4" t="s">
        <v>17</v>
      </c>
      <c r="D68" s="4" t="s">
        <v>229</v>
      </c>
      <c r="E68" s="5" t="str">
        <f t="shared" si="3"/>
        <v>Mr.SYED ALTHAF S</v>
      </c>
      <c r="F68" s="6" t="s">
        <v>223</v>
      </c>
      <c r="G68" s="5" t="s">
        <v>47</v>
      </c>
      <c r="H68" s="5" t="s">
        <v>230</v>
      </c>
      <c r="I6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Col2='""&amp;B68&amp;""'"",0)"),2)</f>
        <v>2</v>
      </c>
      <c r="J68" s="5">
        <f>IFERROR(__xludf.DUMMYFUNCTION("""COMPUTED_VALUE"""),2)</f>
        <v>2</v>
      </c>
      <c r="K68" s="5">
        <f>IFERROR(__xludf.DUMMYFUNCTION("""COMPUTED_VALUE"""),2)</f>
        <v>2</v>
      </c>
      <c r="L68" s="5">
        <f>IFERROR(__xludf.DUMMYFUNCTION("""COMPUTED_VALUE"""),1)</f>
        <v>1</v>
      </c>
      <c r="M68" s="5" t="str">
        <f>IFERROR(__xludf.DUMMYFUNCTION("""COMPUTED_VALUE"""),"Working")</f>
        <v>Working</v>
      </c>
      <c r="N68" s="5" t="str">
        <f>IFERROR(__xludf.DUMMYFUNCTION("""COMPUTED_VALUE"""),"CORRECT")</f>
        <v>CORRECT</v>
      </c>
      <c r="O68" s="5" t="str">
        <f>IFERROR(__xludf.DUMMYFUNCTION("""COMPUTED_VALUE"""),"LOAD PENDING")</f>
        <v>LOAD PENDING</v>
      </c>
      <c r="P68" s="5" t="str">
        <f t="shared" si="4"/>
        <v/>
      </c>
      <c r="Q68" s="5" t="str">
        <f t="shared" si="5"/>
        <v/>
      </c>
    </row>
    <row r="69" ht="14.4" spans="1:17">
      <c r="A69" s="4">
        <v>68</v>
      </c>
      <c r="B69" s="4" t="s">
        <v>231</v>
      </c>
      <c r="C69" s="4" t="s">
        <v>53</v>
      </c>
      <c r="D69" s="4" t="s">
        <v>232</v>
      </c>
      <c r="E69" s="5" t="str">
        <f t="shared" si="3"/>
        <v>Ms.SREENIVEATHA P</v>
      </c>
      <c r="F69" s="6" t="s">
        <v>223</v>
      </c>
      <c r="G69" s="5" t="s">
        <v>47</v>
      </c>
      <c r="H69" s="5" t="s">
        <v>233</v>
      </c>
      <c r="I6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Col2='""&amp;B69&amp;""'"",0)"),2)</f>
        <v>2</v>
      </c>
      <c r="J69" s="5">
        <f>IFERROR(__xludf.DUMMYFUNCTION("""COMPUTED_VALUE"""),2)</f>
        <v>2</v>
      </c>
      <c r="K69" s="5">
        <f>IFERROR(__xludf.DUMMYFUNCTION("""COMPUTED_VALUE"""),2)</f>
        <v>2</v>
      </c>
      <c r="L69" s="5">
        <f>IFERROR(__xludf.DUMMYFUNCTION("""COMPUTED_VALUE"""),1)</f>
        <v>1</v>
      </c>
      <c r="M69" s="5" t="str">
        <f>IFERROR(__xludf.DUMMYFUNCTION("""COMPUTED_VALUE"""),"Working")</f>
        <v>Working</v>
      </c>
      <c r="N69" s="5" t="str">
        <f>IFERROR(__xludf.DUMMYFUNCTION("""COMPUTED_VALUE"""),"CORRECT")</f>
        <v>CORRECT</v>
      </c>
      <c r="O69" s="5" t="str">
        <f>IFERROR(__xludf.DUMMYFUNCTION("""COMPUTED_VALUE"""),"LOAD PENDING")</f>
        <v>LOAD PENDING</v>
      </c>
      <c r="P69" s="5" t="str">
        <f t="shared" si="4"/>
        <v/>
      </c>
      <c r="Q69" s="5" t="str">
        <f t="shared" si="5"/>
        <v/>
      </c>
    </row>
    <row r="70" ht="14.4" spans="1:17">
      <c r="A70" s="4">
        <v>69</v>
      </c>
      <c r="B70" s="4" t="s">
        <v>234</v>
      </c>
      <c r="C70" s="4" t="s">
        <v>53</v>
      </c>
      <c r="D70" s="4" t="s">
        <v>235</v>
      </c>
      <c r="E70" s="5" t="str">
        <f t="shared" si="3"/>
        <v>Ms.PRATHEEBHA G</v>
      </c>
      <c r="F70" s="6" t="s">
        <v>223</v>
      </c>
      <c r="G70" s="5" t="s">
        <v>47</v>
      </c>
      <c r="H70" s="5" t="s">
        <v>236</v>
      </c>
      <c r="I7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Col2='""&amp;B70&amp;""'"",0)"),2)</f>
        <v>2</v>
      </c>
      <c r="J70" s="5">
        <f>IFERROR(__xludf.DUMMYFUNCTION("""COMPUTED_VALUE"""),2)</f>
        <v>2</v>
      </c>
      <c r="K70" s="5">
        <f>IFERROR(__xludf.DUMMYFUNCTION("""COMPUTED_VALUE"""),2)</f>
        <v>2</v>
      </c>
      <c r="L70" s="5">
        <f>IFERROR(__xludf.DUMMYFUNCTION("""COMPUTED_VALUE"""),1)</f>
        <v>1</v>
      </c>
      <c r="M70" s="5" t="str">
        <f>IFERROR(__xludf.DUMMYFUNCTION("""COMPUTED_VALUE"""),"Working")</f>
        <v>Working</v>
      </c>
      <c r="N70" s="5" t="str">
        <f>IFERROR(__xludf.DUMMYFUNCTION("""COMPUTED_VALUE"""),"CORRECT")</f>
        <v>CORRECT</v>
      </c>
      <c r="O70" s="5" t="str">
        <f>IFERROR(__xludf.DUMMYFUNCTION("""COMPUTED_VALUE"""),"LOAD PENDING")</f>
        <v>LOAD PENDING</v>
      </c>
      <c r="P70" s="5" t="str">
        <f t="shared" si="4"/>
        <v/>
      </c>
      <c r="Q70" s="5" t="str">
        <f t="shared" si="5"/>
        <v/>
      </c>
    </row>
    <row r="71" ht="14.4" spans="1:17">
      <c r="A71" s="4">
        <v>70</v>
      </c>
      <c r="B71" s="4" t="s">
        <v>237</v>
      </c>
      <c r="C71" s="4" t="s">
        <v>23</v>
      </c>
      <c r="D71" s="4" t="s">
        <v>238</v>
      </c>
      <c r="E71" s="5" t="str">
        <f t="shared" si="3"/>
        <v>Dr.DEEPA D</v>
      </c>
      <c r="F71" s="6" t="s">
        <v>223</v>
      </c>
      <c r="G71" s="5" t="s">
        <v>29</v>
      </c>
      <c r="H71" s="5" t="s">
        <v>239</v>
      </c>
      <c r="I7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Col2='""&amp;B71&amp;""'"",0)"),0)</f>
        <v>0</v>
      </c>
      <c r="J71" s="5">
        <f>IFERROR(__xludf.DUMMYFUNCTION("""COMPUTED_VALUE"""),0)</f>
        <v>0</v>
      </c>
      <c r="K71" s="5">
        <f>IFERROR(__xludf.DUMMYFUNCTION("""COMPUTED_VALUE"""),1)</f>
        <v>1</v>
      </c>
      <c r="L71" s="5">
        <f>IFERROR(__xludf.DUMMYFUNCTION("""COMPUTED_VALUE"""),0)</f>
        <v>0</v>
      </c>
      <c r="M71" s="5" t="str">
        <f>IFERROR(__xludf.DUMMYFUNCTION("""COMPUTED_VALUE"""),"Working")</f>
        <v>Working</v>
      </c>
      <c r="N71" s="5" t="str">
        <f>IFERROR(__xludf.DUMMYFUNCTION("""COMPUTED_VALUE"""),"CORRECT")</f>
        <v>CORRECT</v>
      </c>
      <c r="O71" s="5" t="str">
        <f>IFERROR(__xludf.DUMMYFUNCTION("""COMPUTED_VALUE"""),"CORRECT")</f>
        <v>CORRECT</v>
      </c>
      <c r="P71" s="5" t="str">
        <f t="shared" si="4"/>
        <v>Extra Theory Load Alloted</v>
      </c>
      <c r="Q71" s="5" t="str">
        <f t="shared" si="5"/>
        <v/>
      </c>
    </row>
    <row r="72" ht="27.6" spans="1:17">
      <c r="A72" s="4">
        <v>71</v>
      </c>
      <c r="B72" s="4" t="s">
        <v>240</v>
      </c>
      <c r="C72" s="4" t="s">
        <v>23</v>
      </c>
      <c r="D72" s="4" t="s">
        <v>241</v>
      </c>
      <c r="E72" s="5" t="str">
        <f t="shared" si="3"/>
        <v>Dr.ASHWIN  RAJ S</v>
      </c>
      <c r="F72" s="6" t="s">
        <v>242</v>
      </c>
      <c r="G72" s="5" t="s">
        <v>20</v>
      </c>
      <c r="H72" s="5" t="s">
        <v>243</v>
      </c>
      <c r="I7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Col2='""&amp;B72&amp;""'"",0)"),2)</f>
        <v>2</v>
      </c>
      <c r="J72" s="5">
        <f>IFERROR(__xludf.DUMMYFUNCTION("""COMPUTED_VALUE"""),2)</f>
        <v>2</v>
      </c>
      <c r="K72" s="5">
        <f>IFERROR(__xludf.DUMMYFUNCTION("""COMPUTED_VALUE"""),2)</f>
        <v>2</v>
      </c>
      <c r="L72" s="5">
        <f>IFERROR(__xludf.DUMMYFUNCTION("""COMPUTED_VALUE"""),1)</f>
        <v>1</v>
      </c>
      <c r="M72" s="5" t="str">
        <f>IFERROR(__xludf.DUMMYFUNCTION("""COMPUTED_VALUE"""),"Working")</f>
        <v>Working</v>
      </c>
      <c r="N72" s="5" t="str">
        <f>IFERROR(__xludf.DUMMYFUNCTION("""COMPUTED_VALUE"""),"CORRECT")</f>
        <v>CORRECT</v>
      </c>
      <c r="O72" s="5" t="str">
        <f>IFERROR(__xludf.DUMMYFUNCTION("""COMPUTED_VALUE"""),"LOAD PENDING")</f>
        <v>LOAD PENDING</v>
      </c>
      <c r="P72" s="5" t="str">
        <f t="shared" si="4"/>
        <v/>
      </c>
      <c r="Q72" s="5" t="str">
        <f t="shared" si="5"/>
        <v/>
      </c>
    </row>
    <row r="73" ht="27.6" spans="1:17">
      <c r="A73" s="4">
        <v>72</v>
      </c>
      <c r="B73" s="4" t="s">
        <v>244</v>
      </c>
      <c r="C73" s="4" t="s">
        <v>17</v>
      </c>
      <c r="D73" s="4" t="s">
        <v>245</v>
      </c>
      <c r="E73" s="5" t="str">
        <f t="shared" si="3"/>
        <v>Mr.RAJASEETHARAMA S</v>
      </c>
      <c r="F73" s="6" t="s">
        <v>242</v>
      </c>
      <c r="G73" s="5" t="s">
        <v>37</v>
      </c>
      <c r="H73" s="5" t="s">
        <v>246</v>
      </c>
      <c r="I7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Col2='""&amp;B73&amp;""'"",0)"),1)</f>
        <v>1</v>
      </c>
      <c r="J73" s="5">
        <f>IFERROR(__xludf.DUMMYFUNCTION("""COMPUTED_VALUE"""),0)</f>
        <v>0</v>
      </c>
      <c r="K73" s="5">
        <f>IFERROR(__xludf.DUMMYFUNCTION("""COMPUTED_VALUE"""),1)</f>
        <v>1</v>
      </c>
      <c r="L73" s="5">
        <f>IFERROR(__xludf.DUMMYFUNCTION("""COMPUTED_VALUE"""),0)</f>
        <v>0</v>
      </c>
      <c r="M73" s="5" t="str">
        <f>IFERROR(__xludf.DUMMYFUNCTION("""COMPUTED_VALUE"""),"Working")</f>
        <v>Working</v>
      </c>
      <c r="N73" s="5" t="str">
        <f>IFERROR(__xludf.DUMMYFUNCTION("""COMPUTED_VALUE"""),"CORRECT")</f>
        <v>CORRECT</v>
      </c>
      <c r="O73" s="5" t="str">
        <f>IFERROR(__xludf.DUMMYFUNCTION("""COMPUTED_VALUE"""),"CORRECT")</f>
        <v>CORRECT</v>
      </c>
      <c r="P73" s="5" t="str">
        <f t="shared" si="4"/>
        <v/>
      </c>
      <c r="Q73" s="5" t="str">
        <f t="shared" si="5"/>
        <v/>
      </c>
    </row>
    <row r="74" ht="14.4" spans="1:17">
      <c r="A74" s="4">
        <v>73</v>
      </c>
      <c r="B74" s="4" t="s">
        <v>247</v>
      </c>
      <c r="C74" s="4" t="s">
        <v>53</v>
      </c>
      <c r="D74" s="4" t="s">
        <v>248</v>
      </c>
      <c r="E74" s="5" t="str">
        <f t="shared" si="3"/>
        <v>Ms.SWATHI G</v>
      </c>
      <c r="F74" s="6" t="s">
        <v>242</v>
      </c>
      <c r="G74" s="5" t="s">
        <v>47</v>
      </c>
      <c r="H74" s="5" t="s">
        <v>249</v>
      </c>
      <c r="I74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Col2='""&amp;B74&amp;""'"",0)"),"")</f>
        <v/>
      </c>
      <c r="J74" s="5"/>
      <c r="K74" s="5">
        <f>IFERROR(__xludf.DUMMYFUNCTION("""COMPUTED_VALUE"""),2)</f>
        <v>2</v>
      </c>
      <c r="L74" s="5">
        <f>IFERROR(__xludf.DUMMYFUNCTION("""COMPUTED_VALUE"""),0)</f>
        <v>0</v>
      </c>
      <c r="M74" s="5" t="str">
        <f>IFERROR(__xludf.DUMMYFUNCTION("""COMPUTED_VALUE"""),"Working")</f>
        <v>Working</v>
      </c>
      <c r="N74" s="5" t="str">
        <f>IFERROR(__xludf.DUMMYFUNCTION("""COMPUTED_VALUE"""),"#N/A")</f>
        <v>#N/A</v>
      </c>
      <c r="O74" s="5" t="str">
        <f>IFERROR(__xludf.DUMMYFUNCTION("""COMPUTED_VALUE"""),"CORRECT")</f>
        <v>CORRECT</v>
      </c>
      <c r="P74" s="5" t="str">
        <f t="shared" si="4"/>
        <v/>
      </c>
      <c r="Q74" s="5" t="str">
        <f t="shared" si="5"/>
        <v/>
      </c>
    </row>
    <row r="75" ht="27.6" spans="1:17">
      <c r="A75" s="4">
        <v>74</v>
      </c>
      <c r="B75" s="4" t="s">
        <v>250</v>
      </c>
      <c r="C75" s="4" t="s">
        <v>17</v>
      </c>
      <c r="D75" s="4" t="s">
        <v>251</v>
      </c>
      <c r="E75" s="5" t="str">
        <f t="shared" si="3"/>
        <v>Mr.JEYAVEL KARTHICK P</v>
      </c>
      <c r="F75" s="6" t="s">
        <v>242</v>
      </c>
      <c r="G75" s="5" t="s">
        <v>37</v>
      </c>
      <c r="H75" s="5" t="s">
        <v>252</v>
      </c>
      <c r="I7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Col2='""&amp;B75&amp;""'"",0)"),2)</f>
        <v>2</v>
      </c>
      <c r="J75" s="5">
        <f>IFERROR(__xludf.DUMMYFUNCTION("""COMPUTED_VALUE"""),2)</f>
        <v>2</v>
      </c>
      <c r="K75" s="5">
        <f>IFERROR(__xludf.DUMMYFUNCTION("""COMPUTED_VALUE"""),2)</f>
        <v>2</v>
      </c>
      <c r="L75" s="5">
        <f>IFERROR(__xludf.DUMMYFUNCTION("""COMPUTED_VALUE"""),1)</f>
        <v>1</v>
      </c>
      <c r="M75" s="5" t="str">
        <f>IFERROR(__xludf.DUMMYFUNCTION("""COMPUTED_VALUE"""),"Working")</f>
        <v>Working</v>
      </c>
      <c r="N75" s="5" t="str">
        <f>IFERROR(__xludf.DUMMYFUNCTION("""COMPUTED_VALUE"""),"CORRECT")</f>
        <v>CORRECT</v>
      </c>
      <c r="O75" s="5" t="str">
        <f>IFERROR(__xludf.DUMMYFUNCTION("""COMPUTED_VALUE"""),"LOAD PENDING")</f>
        <v>LOAD PENDING</v>
      </c>
      <c r="P75" s="5" t="str">
        <f t="shared" si="4"/>
        <v/>
      </c>
      <c r="Q75" s="5" t="str">
        <f t="shared" si="5"/>
        <v/>
      </c>
    </row>
    <row r="76" ht="14.4" spans="1:17">
      <c r="A76" s="4">
        <v>75</v>
      </c>
      <c r="B76" s="4" t="s">
        <v>253</v>
      </c>
      <c r="C76" s="4" t="s">
        <v>53</v>
      </c>
      <c r="D76" s="4" t="s">
        <v>254</v>
      </c>
      <c r="E76" s="5" t="str">
        <f t="shared" si="3"/>
        <v>Ms.DHIVYA DHARSHINI U</v>
      </c>
      <c r="F76" s="6" t="s">
        <v>242</v>
      </c>
      <c r="G76" s="5" t="s">
        <v>47</v>
      </c>
      <c r="H76" s="5" t="s">
        <v>255</v>
      </c>
      <c r="I7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Col2='""&amp;B76&amp;""'"",0)"),2)</f>
        <v>2</v>
      </c>
      <c r="J76" s="5">
        <f>IFERROR(__xludf.DUMMYFUNCTION("""COMPUTED_VALUE"""),2)</f>
        <v>2</v>
      </c>
      <c r="K76" s="5">
        <f>IFERROR(__xludf.DUMMYFUNCTION("""COMPUTED_VALUE"""),2)</f>
        <v>2</v>
      </c>
      <c r="L76" s="5">
        <f>IFERROR(__xludf.DUMMYFUNCTION("""COMPUTED_VALUE"""),1)</f>
        <v>1</v>
      </c>
      <c r="M76" s="5" t="str">
        <f>IFERROR(__xludf.DUMMYFUNCTION("""COMPUTED_VALUE"""),"Working")</f>
        <v>Working</v>
      </c>
      <c r="N76" s="5" t="str">
        <f>IFERROR(__xludf.DUMMYFUNCTION("""COMPUTED_VALUE"""),"CORRECT")</f>
        <v>CORRECT</v>
      </c>
      <c r="O76" s="5" t="str">
        <f>IFERROR(__xludf.DUMMYFUNCTION("""COMPUTED_VALUE"""),"LOAD PENDING")</f>
        <v>LOAD PENDING</v>
      </c>
      <c r="P76" s="5" t="str">
        <f t="shared" si="4"/>
        <v/>
      </c>
      <c r="Q76" s="5" t="str">
        <f t="shared" si="5"/>
        <v/>
      </c>
    </row>
    <row r="77" ht="27.6" spans="1:17">
      <c r="A77" s="4">
        <v>76</v>
      </c>
      <c r="B77" s="4" t="s">
        <v>256</v>
      </c>
      <c r="C77" s="4" t="s">
        <v>32</v>
      </c>
      <c r="D77" s="4" t="s">
        <v>257</v>
      </c>
      <c r="E77" s="5" t="str">
        <f t="shared" si="3"/>
        <v>Mrs.SAKTHISHOBANA K</v>
      </c>
      <c r="F77" s="6" t="s">
        <v>242</v>
      </c>
      <c r="G77" s="5" t="s">
        <v>37</v>
      </c>
      <c r="H77" s="5" t="s">
        <v>258</v>
      </c>
      <c r="I7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Col2='""&amp;B77&amp;""'"",0)"),2)</f>
        <v>2</v>
      </c>
      <c r="J77" s="5">
        <f>IFERROR(__xludf.DUMMYFUNCTION("""COMPUTED_VALUE"""),2)</f>
        <v>2</v>
      </c>
      <c r="K77" s="5">
        <f>IFERROR(__xludf.DUMMYFUNCTION("""COMPUTED_VALUE"""),2)</f>
        <v>2</v>
      </c>
      <c r="L77" s="5">
        <f>IFERROR(__xludf.DUMMYFUNCTION("""COMPUTED_VALUE"""),1)</f>
        <v>1</v>
      </c>
      <c r="M77" s="5" t="str">
        <f>IFERROR(__xludf.DUMMYFUNCTION("""COMPUTED_VALUE"""),"Working")</f>
        <v>Working</v>
      </c>
      <c r="N77" s="5" t="str">
        <f>IFERROR(__xludf.DUMMYFUNCTION("""COMPUTED_VALUE"""),"CORRECT")</f>
        <v>CORRECT</v>
      </c>
      <c r="O77" s="5" t="str">
        <f>IFERROR(__xludf.DUMMYFUNCTION("""COMPUTED_VALUE"""),"LOAD PENDING")</f>
        <v>LOAD PENDING</v>
      </c>
      <c r="P77" s="5" t="str">
        <f t="shared" si="4"/>
        <v/>
      </c>
      <c r="Q77" s="5" t="str">
        <f t="shared" si="5"/>
        <v/>
      </c>
    </row>
    <row r="78" ht="14.4" spans="1:17">
      <c r="A78" s="4">
        <v>77</v>
      </c>
      <c r="B78" s="4" t="s">
        <v>259</v>
      </c>
      <c r="C78" s="4" t="s">
        <v>32</v>
      </c>
      <c r="D78" s="4" t="s">
        <v>260</v>
      </c>
      <c r="E78" s="5" t="str">
        <f t="shared" si="3"/>
        <v>Mrs.MAHIMA P</v>
      </c>
      <c r="F78" s="6" t="s">
        <v>242</v>
      </c>
      <c r="G78" s="5" t="s">
        <v>47</v>
      </c>
      <c r="H78" s="5" t="s">
        <v>261</v>
      </c>
      <c r="I7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Col2='""&amp;B78&amp;""'"",0)"),2)</f>
        <v>2</v>
      </c>
      <c r="J78" s="5">
        <f>IFERROR(__xludf.DUMMYFUNCTION("""COMPUTED_VALUE"""),2)</f>
        <v>2</v>
      </c>
      <c r="K78" s="5">
        <f>IFERROR(__xludf.DUMMYFUNCTION("""COMPUTED_VALUE"""),2)</f>
        <v>2</v>
      </c>
      <c r="L78" s="5">
        <f>IFERROR(__xludf.DUMMYFUNCTION("""COMPUTED_VALUE"""),1)</f>
        <v>1</v>
      </c>
      <c r="M78" s="5" t="str">
        <f>IFERROR(__xludf.DUMMYFUNCTION("""COMPUTED_VALUE"""),"Working")</f>
        <v>Working</v>
      </c>
      <c r="N78" s="5" t="str">
        <f>IFERROR(__xludf.DUMMYFUNCTION("""COMPUTED_VALUE"""),"CORRECT")</f>
        <v>CORRECT</v>
      </c>
      <c r="O78" s="5" t="str">
        <f>IFERROR(__xludf.DUMMYFUNCTION("""COMPUTED_VALUE"""),"LOAD PENDING")</f>
        <v>LOAD PENDING</v>
      </c>
      <c r="P78" s="5" t="str">
        <f t="shared" si="4"/>
        <v/>
      </c>
      <c r="Q78" s="5" t="str">
        <f t="shared" si="5"/>
        <v/>
      </c>
    </row>
    <row r="79" ht="27.6" spans="1:17">
      <c r="A79" s="4">
        <v>78</v>
      </c>
      <c r="B79" s="4" t="s">
        <v>262</v>
      </c>
      <c r="C79" s="4" t="s">
        <v>23</v>
      </c>
      <c r="D79" s="4" t="s">
        <v>263</v>
      </c>
      <c r="E79" s="5" t="str">
        <f t="shared" si="3"/>
        <v>Dr.SANDHYARANI R</v>
      </c>
      <c r="F79" s="6" t="s">
        <v>242</v>
      </c>
      <c r="G79" s="5" t="s">
        <v>20</v>
      </c>
      <c r="H79" s="5" t="s">
        <v>264</v>
      </c>
      <c r="I7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Col2='""&amp;B79&amp;""'"",0)"),2)</f>
        <v>2</v>
      </c>
      <c r="J79" s="5">
        <f>IFERROR(__xludf.DUMMYFUNCTION("""COMPUTED_VALUE"""),2)</f>
        <v>2</v>
      </c>
      <c r="K79" s="5">
        <f>IFERROR(__xludf.DUMMYFUNCTION("""COMPUTED_VALUE"""),1)</f>
        <v>1</v>
      </c>
      <c r="L79" s="5">
        <f>IFERROR(__xludf.DUMMYFUNCTION("""COMPUTED_VALUE"""),0)</f>
        <v>0</v>
      </c>
      <c r="M79" s="5" t="str">
        <f>IFERROR(__xludf.DUMMYFUNCTION("""COMPUTED_VALUE"""),"Working")</f>
        <v>Working</v>
      </c>
      <c r="N79" s="5" t="str">
        <f>IFERROR(__xludf.DUMMYFUNCTION("""COMPUTED_VALUE"""),"LOAD PENDING")</f>
        <v>LOAD PENDING</v>
      </c>
      <c r="O79" s="5" t="str">
        <f>IFERROR(__xludf.DUMMYFUNCTION("""COMPUTED_VALUE"""),"LOAD PENDING")</f>
        <v>LOAD PENDING</v>
      </c>
      <c r="P79" s="5" t="str">
        <f t="shared" si="4"/>
        <v/>
      </c>
      <c r="Q79" s="5" t="str">
        <f t="shared" si="5"/>
        <v/>
      </c>
    </row>
    <row r="80" ht="27.6" spans="1:17">
      <c r="A80" s="4">
        <v>79</v>
      </c>
      <c r="B80" s="4" t="s">
        <v>265</v>
      </c>
      <c r="C80" s="4" t="s">
        <v>17</v>
      </c>
      <c r="D80" s="4" t="s">
        <v>266</v>
      </c>
      <c r="E80" s="5" t="str">
        <f t="shared" si="3"/>
        <v>Mr.BALAJI S</v>
      </c>
      <c r="F80" s="6" t="s">
        <v>242</v>
      </c>
      <c r="G80" s="5" t="s">
        <v>37</v>
      </c>
      <c r="H80" s="5" t="s">
        <v>267</v>
      </c>
      <c r="I8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Col2='""&amp;B80&amp;""'"",0)"),1)</f>
        <v>1</v>
      </c>
      <c r="J80" s="5">
        <f>IFERROR(__xludf.DUMMYFUNCTION("""COMPUTED_VALUE"""),0)</f>
        <v>0</v>
      </c>
      <c r="K80" s="5">
        <f>IFERROR(__xludf.DUMMYFUNCTION("""COMPUTED_VALUE"""),1)</f>
        <v>1</v>
      </c>
      <c r="L80" s="5">
        <f>IFERROR(__xludf.DUMMYFUNCTION("""COMPUTED_VALUE"""),0)</f>
        <v>0</v>
      </c>
      <c r="M80" s="5" t="str">
        <f>IFERROR(__xludf.DUMMYFUNCTION("""COMPUTED_VALUE"""),"Working")</f>
        <v>Working</v>
      </c>
      <c r="N80" s="5" t="str">
        <f>IFERROR(__xludf.DUMMYFUNCTION("""COMPUTED_VALUE"""),"CORRECT")</f>
        <v>CORRECT</v>
      </c>
      <c r="O80" s="5" t="str">
        <f>IFERROR(__xludf.DUMMYFUNCTION("""COMPUTED_VALUE"""),"CORRECT")</f>
        <v>CORRECT</v>
      </c>
      <c r="P80" s="5" t="str">
        <f t="shared" si="4"/>
        <v/>
      </c>
      <c r="Q80" s="5" t="str">
        <f t="shared" si="5"/>
        <v/>
      </c>
    </row>
    <row r="81" ht="27.6" spans="1:17">
      <c r="A81" s="4">
        <v>80</v>
      </c>
      <c r="B81" s="4" t="s">
        <v>268</v>
      </c>
      <c r="C81" s="4" t="s">
        <v>23</v>
      </c>
      <c r="D81" s="4" t="s">
        <v>269</v>
      </c>
      <c r="E81" s="5" t="str">
        <f t="shared" si="3"/>
        <v>Dr.SURESH CHALUVADI</v>
      </c>
      <c r="F81" s="6" t="s">
        <v>242</v>
      </c>
      <c r="G81" s="5" t="s">
        <v>37</v>
      </c>
      <c r="H81" s="5" t="s">
        <v>270</v>
      </c>
      <c r="I8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Col2='""&amp;B81&amp;""'"",0)"),2)</f>
        <v>2</v>
      </c>
      <c r="J81" s="5">
        <f>IFERROR(__xludf.DUMMYFUNCTION("""COMPUTED_VALUE"""),2)</f>
        <v>2</v>
      </c>
      <c r="K81" s="5">
        <f>IFERROR(__xludf.DUMMYFUNCTION("""COMPUTED_VALUE"""),2)</f>
        <v>2</v>
      </c>
      <c r="L81" s="5">
        <f>IFERROR(__xludf.DUMMYFUNCTION("""COMPUTED_VALUE"""),1)</f>
        <v>1</v>
      </c>
      <c r="M81" s="5" t="str">
        <f>IFERROR(__xludf.DUMMYFUNCTION("""COMPUTED_VALUE"""),"Working")</f>
        <v>Working</v>
      </c>
      <c r="N81" s="5" t="str">
        <f>IFERROR(__xludf.DUMMYFUNCTION("""COMPUTED_VALUE"""),"CORRECT")</f>
        <v>CORRECT</v>
      </c>
      <c r="O81" s="5" t="str">
        <f>IFERROR(__xludf.DUMMYFUNCTION("""COMPUTED_VALUE"""),"LOAD PENDING")</f>
        <v>LOAD PENDING</v>
      </c>
      <c r="P81" s="5" t="str">
        <f t="shared" si="4"/>
        <v/>
      </c>
      <c r="Q81" s="5" t="str">
        <f t="shared" si="5"/>
        <v/>
      </c>
    </row>
    <row r="82" ht="14.4" spans="1:17">
      <c r="A82" s="4">
        <v>81</v>
      </c>
      <c r="B82" s="4" t="s">
        <v>271</v>
      </c>
      <c r="C82" s="4" t="s">
        <v>53</v>
      </c>
      <c r="D82" s="4" t="s">
        <v>272</v>
      </c>
      <c r="E82" s="5" t="str">
        <f t="shared" si="3"/>
        <v>Ms.NANDHINI N</v>
      </c>
      <c r="F82" s="6" t="s">
        <v>242</v>
      </c>
      <c r="G82" s="5" t="s">
        <v>47</v>
      </c>
      <c r="H82" s="5" t="s">
        <v>273</v>
      </c>
      <c r="I8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Col2='""&amp;B82&amp;""'"",0)"),2)</f>
        <v>2</v>
      </c>
      <c r="J82" s="5">
        <f>IFERROR(__xludf.DUMMYFUNCTION("""COMPUTED_VALUE"""),2)</f>
        <v>2</v>
      </c>
      <c r="K82" s="5">
        <f>IFERROR(__xludf.DUMMYFUNCTION("""COMPUTED_VALUE"""),2)</f>
        <v>2</v>
      </c>
      <c r="L82" s="5">
        <f>IFERROR(__xludf.DUMMYFUNCTION("""COMPUTED_VALUE"""),1)</f>
        <v>1</v>
      </c>
      <c r="M82" s="5" t="str">
        <f>IFERROR(__xludf.DUMMYFUNCTION("""COMPUTED_VALUE"""),"Working")</f>
        <v>Working</v>
      </c>
      <c r="N82" s="5" t="str">
        <f>IFERROR(__xludf.DUMMYFUNCTION("""COMPUTED_VALUE"""),"CORRECT")</f>
        <v>CORRECT</v>
      </c>
      <c r="O82" s="5" t="str">
        <f>IFERROR(__xludf.DUMMYFUNCTION("""COMPUTED_VALUE"""),"LOAD PENDING")</f>
        <v>LOAD PENDING</v>
      </c>
      <c r="P82" s="5" t="str">
        <f t="shared" si="4"/>
        <v/>
      </c>
      <c r="Q82" s="5" t="str">
        <f t="shared" si="5"/>
        <v/>
      </c>
    </row>
    <row r="83" ht="14.4" spans="1:17">
      <c r="A83" s="4">
        <v>82</v>
      </c>
      <c r="B83" s="4" t="s">
        <v>274</v>
      </c>
      <c r="C83" s="4" t="s">
        <v>32</v>
      </c>
      <c r="D83" s="4" t="s">
        <v>275</v>
      </c>
      <c r="E83" s="5" t="str">
        <f t="shared" si="3"/>
        <v>Mrs.VINODHINI R T</v>
      </c>
      <c r="F83" s="6" t="s">
        <v>242</v>
      </c>
      <c r="G83" s="5" t="s">
        <v>47</v>
      </c>
      <c r="H83" s="5" t="s">
        <v>276</v>
      </c>
      <c r="I8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Col2='""&amp;B83&amp;""'"",0)"),2)</f>
        <v>2</v>
      </c>
      <c r="J83" s="5">
        <f>IFERROR(__xludf.DUMMYFUNCTION("""COMPUTED_VALUE"""),2)</f>
        <v>2</v>
      </c>
      <c r="K83" s="5">
        <f>IFERROR(__xludf.DUMMYFUNCTION("""COMPUTED_VALUE"""),2)</f>
        <v>2</v>
      </c>
      <c r="L83" s="5">
        <f>IFERROR(__xludf.DUMMYFUNCTION("""COMPUTED_VALUE"""),1)</f>
        <v>1</v>
      </c>
      <c r="M83" s="5" t="str">
        <f>IFERROR(__xludf.DUMMYFUNCTION("""COMPUTED_VALUE"""),"Working")</f>
        <v>Working</v>
      </c>
      <c r="N83" s="5" t="str">
        <f>IFERROR(__xludf.DUMMYFUNCTION("""COMPUTED_VALUE"""),"CORRECT")</f>
        <v>CORRECT</v>
      </c>
      <c r="O83" s="5" t="str">
        <f>IFERROR(__xludf.DUMMYFUNCTION("""COMPUTED_VALUE"""),"LOAD PENDING")</f>
        <v>LOAD PENDING</v>
      </c>
      <c r="P83" s="5" t="str">
        <f t="shared" si="4"/>
        <v/>
      </c>
      <c r="Q83" s="5" t="str">
        <f t="shared" si="5"/>
        <v/>
      </c>
    </row>
    <row r="84" ht="27.6" spans="1:17">
      <c r="A84" s="4">
        <v>83</v>
      </c>
      <c r="B84" s="4" t="s">
        <v>277</v>
      </c>
      <c r="C84" s="4" t="s">
        <v>23</v>
      </c>
      <c r="D84" s="4" t="s">
        <v>278</v>
      </c>
      <c r="E84" s="5" t="str">
        <f t="shared" si="3"/>
        <v>Dr.SARANYA S</v>
      </c>
      <c r="F84" s="6" t="s">
        <v>242</v>
      </c>
      <c r="G84" s="5" t="s">
        <v>37</v>
      </c>
      <c r="H84" s="5" t="s">
        <v>279</v>
      </c>
      <c r="I8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Col2='""&amp;B84&amp;""'"",0)"),1)</f>
        <v>1</v>
      </c>
      <c r="J84" s="5">
        <f>IFERROR(__xludf.DUMMYFUNCTION("""COMPUTED_VALUE"""),1)</f>
        <v>1</v>
      </c>
      <c r="K84" s="5">
        <f>IFERROR(__xludf.DUMMYFUNCTION("""COMPUTED_VALUE"""),1)</f>
        <v>1</v>
      </c>
      <c r="L84" s="5">
        <f>IFERROR(__xludf.DUMMYFUNCTION("""COMPUTED_VALUE"""),1)</f>
        <v>1</v>
      </c>
      <c r="M84" s="5" t="str">
        <f>IFERROR(__xludf.DUMMYFUNCTION("""COMPUTED_VALUE"""),"Working")</f>
        <v>Working</v>
      </c>
      <c r="N84" s="5" t="str">
        <f>IFERROR(__xludf.DUMMYFUNCTION("""COMPUTED_VALUE"""),"CORRECT")</f>
        <v>CORRECT</v>
      </c>
      <c r="O84" s="5" t="str">
        <f>IFERROR(__xludf.DUMMYFUNCTION("""COMPUTED_VALUE"""),"CORRECT")</f>
        <v>CORRECT</v>
      </c>
      <c r="P84" s="5" t="str">
        <f t="shared" si="4"/>
        <v/>
      </c>
      <c r="Q84" s="5" t="str">
        <f t="shared" si="5"/>
        <v/>
      </c>
    </row>
    <row r="85" ht="27.6" spans="1:17">
      <c r="A85" s="4">
        <v>84</v>
      </c>
      <c r="B85" s="4" t="s">
        <v>280</v>
      </c>
      <c r="C85" s="4" t="s">
        <v>32</v>
      </c>
      <c r="D85" s="4" t="s">
        <v>281</v>
      </c>
      <c r="E85" s="5" t="str">
        <f t="shared" si="3"/>
        <v>Mrs.SHANKARI V</v>
      </c>
      <c r="F85" s="6" t="s">
        <v>242</v>
      </c>
      <c r="G85" s="5" t="s">
        <v>47</v>
      </c>
      <c r="H85" s="5" t="s">
        <v>282</v>
      </c>
      <c r="I85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Col2='""&amp;B85&amp;""'"",0)"),"")</f>
        <v/>
      </c>
      <c r="J85" s="5"/>
      <c r="K85" s="5">
        <f>IFERROR(__xludf.DUMMYFUNCTION("""COMPUTED_VALUE"""),1)</f>
        <v>1</v>
      </c>
      <c r="L85" s="5">
        <f>IFERROR(__xludf.DUMMYFUNCTION("""COMPUTED_VALUE"""),1)</f>
        <v>1</v>
      </c>
      <c r="M85" s="5" t="str">
        <f>IFERROR(__xludf.DUMMYFUNCTION("""COMPUTED_VALUE"""),"Working")</f>
        <v>Working</v>
      </c>
      <c r="N85" s="5" t="str">
        <f>IFERROR(__xludf.DUMMYFUNCTION("""COMPUTED_VALUE"""),"#N/A")</f>
        <v>#N/A</v>
      </c>
      <c r="O85" s="5" t="str">
        <f>IFERROR(__xludf.DUMMYFUNCTION("""COMPUTED_VALUE"""),"CORRECT")</f>
        <v>CORRECT</v>
      </c>
      <c r="P85" s="5" t="str">
        <f t="shared" si="4"/>
        <v/>
      </c>
      <c r="Q85" s="5" t="str">
        <f t="shared" si="5"/>
        <v>Extra Lab Load Alloted</v>
      </c>
    </row>
    <row r="86" ht="14.4" spans="1:17">
      <c r="A86" s="4">
        <v>85</v>
      </c>
      <c r="B86" s="4" t="s">
        <v>283</v>
      </c>
      <c r="C86" s="4" t="s">
        <v>23</v>
      </c>
      <c r="D86" s="4" t="s">
        <v>284</v>
      </c>
      <c r="E86" s="5" t="str">
        <f t="shared" si="3"/>
        <v>Dr.KANNAN K P</v>
      </c>
      <c r="F86" s="6" t="s">
        <v>242</v>
      </c>
      <c r="G86" s="5" t="s">
        <v>29</v>
      </c>
      <c r="H86" s="5" t="s">
        <v>285</v>
      </c>
      <c r="I8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Col2='""&amp;B86&amp;""'"",0)"),1)</f>
        <v>1</v>
      </c>
      <c r="J86" s="5">
        <f>IFERROR(__xludf.DUMMYFUNCTION("""COMPUTED_VALUE"""),1)</f>
        <v>1</v>
      </c>
      <c r="K86" s="5">
        <f>IFERROR(__xludf.DUMMYFUNCTION("""COMPUTED_VALUE"""),1)</f>
        <v>1</v>
      </c>
      <c r="L86" s="5">
        <f>IFERROR(__xludf.DUMMYFUNCTION("""COMPUTED_VALUE"""),1)</f>
        <v>1</v>
      </c>
      <c r="M86" s="5" t="str">
        <f>IFERROR(__xludf.DUMMYFUNCTION("""COMPUTED_VALUE"""),"Working")</f>
        <v>Working</v>
      </c>
      <c r="N86" s="5" t="str">
        <f>IFERROR(__xludf.DUMMYFUNCTION("""COMPUTED_VALUE"""),"CORRECT")</f>
        <v>CORRECT</v>
      </c>
      <c r="O86" s="5" t="str">
        <f>IFERROR(__xludf.DUMMYFUNCTION("""COMPUTED_VALUE"""),"CORRECT")</f>
        <v>CORRECT</v>
      </c>
      <c r="P86" s="5" t="str">
        <f t="shared" si="4"/>
        <v/>
      </c>
      <c r="Q86" s="5" t="str">
        <f t="shared" si="5"/>
        <v/>
      </c>
    </row>
    <row r="87" ht="14.4" spans="1:17">
      <c r="A87" s="4">
        <v>86</v>
      </c>
      <c r="B87" s="4" t="s">
        <v>286</v>
      </c>
      <c r="C87" s="4" t="s">
        <v>23</v>
      </c>
      <c r="D87" s="4" t="s">
        <v>287</v>
      </c>
      <c r="E87" s="5" t="str">
        <f t="shared" si="3"/>
        <v>Dr.TAMILSELVI S</v>
      </c>
      <c r="F87" s="6" t="s">
        <v>242</v>
      </c>
      <c r="G87" s="5" t="s">
        <v>29</v>
      </c>
      <c r="H87" s="5" t="s">
        <v>288</v>
      </c>
      <c r="I8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Col2='""&amp;B87&amp;""'"",0)"),1)</f>
        <v>1</v>
      </c>
      <c r="J87" s="5">
        <f>IFERROR(__xludf.DUMMYFUNCTION("""COMPUTED_VALUE"""),1)</f>
        <v>1</v>
      </c>
      <c r="K87" s="5">
        <f>IFERROR(__xludf.DUMMYFUNCTION("""COMPUTED_VALUE"""),1)</f>
        <v>1</v>
      </c>
      <c r="L87" s="5">
        <f>IFERROR(__xludf.DUMMYFUNCTION("""COMPUTED_VALUE"""),1)</f>
        <v>1</v>
      </c>
      <c r="M87" s="5" t="str">
        <f>IFERROR(__xludf.DUMMYFUNCTION("""COMPUTED_VALUE"""),"Working")</f>
        <v>Working</v>
      </c>
      <c r="N87" s="5" t="str">
        <f>IFERROR(__xludf.DUMMYFUNCTION("""COMPUTED_VALUE"""),"CORRECT")</f>
        <v>CORRECT</v>
      </c>
      <c r="O87" s="5" t="str">
        <f>IFERROR(__xludf.DUMMYFUNCTION("""COMPUTED_VALUE"""),"CORRECT")</f>
        <v>CORRECT</v>
      </c>
      <c r="P87" s="5" t="str">
        <f t="shared" si="4"/>
        <v/>
      </c>
      <c r="Q87" s="5" t="str">
        <f t="shared" si="5"/>
        <v/>
      </c>
    </row>
    <row r="88" ht="14.4" spans="1:17">
      <c r="A88" s="4">
        <v>87</v>
      </c>
      <c r="B88" s="4" t="s">
        <v>289</v>
      </c>
      <c r="C88" s="4" t="s">
        <v>23</v>
      </c>
      <c r="D88" s="4" t="s">
        <v>290</v>
      </c>
      <c r="E88" s="5" t="str">
        <f t="shared" si="3"/>
        <v>Dr.BALAKRISHNARAJA R</v>
      </c>
      <c r="F88" s="6" t="s">
        <v>242</v>
      </c>
      <c r="G88" s="5" t="s">
        <v>29</v>
      </c>
      <c r="H88" s="5" t="s">
        <v>291</v>
      </c>
      <c r="I8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Col2='""&amp;B88&amp;""'"",0)"),1)</f>
        <v>1</v>
      </c>
      <c r="J88" s="5">
        <f>IFERROR(__xludf.DUMMYFUNCTION("""COMPUTED_VALUE"""),0)</f>
        <v>0</v>
      </c>
      <c r="K88" s="5">
        <f>IFERROR(__xludf.DUMMYFUNCTION("""COMPUTED_VALUE"""),1)</f>
        <v>1</v>
      </c>
      <c r="L88" s="5">
        <f>IFERROR(__xludf.DUMMYFUNCTION("""COMPUTED_VALUE"""),0)</f>
        <v>0</v>
      </c>
      <c r="M88" s="5" t="str">
        <f>IFERROR(__xludf.DUMMYFUNCTION("""COMPUTED_VALUE"""),"Working")</f>
        <v>Working</v>
      </c>
      <c r="N88" s="5" t="str">
        <f>IFERROR(__xludf.DUMMYFUNCTION("""COMPUTED_VALUE"""),"CORRECT")</f>
        <v>CORRECT</v>
      </c>
      <c r="O88" s="5" t="str">
        <f>IFERROR(__xludf.DUMMYFUNCTION("""COMPUTED_VALUE"""),"CORRECT")</f>
        <v>CORRECT</v>
      </c>
      <c r="P88" s="5" t="str">
        <f t="shared" si="4"/>
        <v/>
      </c>
      <c r="Q88" s="5" t="str">
        <f t="shared" si="5"/>
        <v/>
      </c>
    </row>
    <row r="89" ht="14.4" spans="1:17">
      <c r="A89" s="4">
        <v>88</v>
      </c>
      <c r="B89" s="4" t="s">
        <v>292</v>
      </c>
      <c r="C89" s="4" t="s">
        <v>23</v>
      </c>
      <c r="D89" s="4" t="s">
        <v>293</v>
      </c>
      <c r="E89" s="5" t="str">
        <f t="shared" si="3"/>
        <v>Dr.KIRUPA SANKAR M</v>
      </c>
      <c r="F89" s="6" t="s">
        <v>242</v>
      </c>
      <c r="G89" s="5" t="s">
        <v>25</v>
      </c>
      <c r="H89" s="5" t="s">
        <v>294</v>
      </c>
      <c r="I8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Col2='""&amp;B89&amp;""'"",0)"),2)</f>
        <v>2</v>
      </c>
      <c r="J89" s="5">
        <f>IFERROR(__xludf.DUMMYFUNCTION("""COMPUTED_VALUE"""),1)</f>
        <v>1</v>
      </c>
      <c r="K89" s="5">
        <f>IFERROR(__xludf.DUMMYFUNCTION("""COMPUTED_VALUE"""),2)</f>
        <v>2</v>
      </c>
      <c r="L89" s="5">
        <f>IFERROR(__xludf.DUMMYFUNCTION("""COMPUTED_VALUE"""),1)</f>
        <v>1</v>
      </c>
      <c r="M89" s="5" t="str">
        <f>IFERROR(__xludf.DUMMYFUNCTION("""COMPUTED_VALUE"""),"Working")</f>
        <v>Working</v>
      </c>
      <c r="N89" s="5" t="str">
        <f>IFERROR(__xludf.DUMMYFUNCTION("""COMPUTED_VALUE"""),"CORRECT")</f>
        <v>CORRECT</v>
      </c>
      <c r="O89" s="5" t="str">
        <f>IFERROR(__xludf.DUMMYFUNCTION("""COMPUTED_VALUE"""),"CORRECT")</f>
        <v>CORRECT</v>
      </c>
      <c r="P89" s="5" t="str">
        <f t="shared" si="4"/>
        <v/>
      </c>
      <c r="Q89" s="5" t="str">
        <f t="shared" si="5"/>
        <v/>
      </c>
    </row>
    <row r="90" ht="14.4" spans="1:17">
      <c r="A90" s="4">
        <v>89</v>
      </c>
      <c r="B90" s="4" t="s">
        <v>295</v>
      </c>
      <c r="C90" s="4" t="s">
        <v>23</v>
      </c>
      <c r="D90" s="4" t="s">
        <v>296</v>
      </c>
      <c r="E90" s="5" t="str">
        <f t="shared" si="3"/>
        <v>Dr.PAVITHRA MKS</v>
      </c>
      <c r="F90" s="6" t="s">
        <v>242</v>
      </c>
      <c r="G90" s="5" t="s">
        <v>25</v>
      </c>
      <c r="H90" s="5" t="s">
        <v>297</v>
      </c>
      <c r="I9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Col2='""&amp;B90&amp;""'"",0)"),2)</f>
        <v>2</v>
      </c>
      <c r="J90" s="5">
        <f>IFERROR(__xludf.DUMMYFUNCTION("""COMPUTED_VALUE"""),1)</f>
        <v>1</v>
      </c>
      <c r="K90" s="5">
        <f>IFERROR(__xludf.DUMMYFUNCTION("""COMPUTED_VALUE"""),2)</f>
        <v>2</v>
      </c>
      <c r="L90" s="5">
        <f>IFERROR(__xludf.DUMMYFUNCTION("""COMPUTED_VALUE"""),1)</f>
        <v>1</v>
      </c>
      <c r="M90" s="5" t="str">
        <f>IFERROR(__xludf.DUMMYFUNCTION("""COMPUTED_VALUE"""),"Working")</f>
        <v>Working</v>
      </c>
      <c r="N90" s="5" t="str">
        <f>IFERROR(__xludf.DUMMYFUNCTION("""COMPUTED_VALUE"""),"CORRECT")</f>
        <v>CORRECT</v>
      </c>
      <c r="O90" s="5" t="str">
        <f>IFERROR(__xludf.DUMMYFUNCTION("""COMPUTED_VALUE"""),"CORRECT")</f>
        <v>CORRECT</v>
      </c>
      <c r="P90" s="5" t="str">
        <f t="shared" si="4"/>
        <v/>
      </c>
      <c r="Q90" s="5" t="str">
        <f t="shared" si="5"/>
        <v/>
      </c>
    </row>
    <row r="91" ht="27.6" spans="1:17">
      <c r="A91" s="4">
        <v>90</v>
      </c>
      <c r="B91" s="4" t="s">
        <v>298</v>
      </c>
      <c r="C91" s="4" t="s">
        <v>17</v>
      </c>
      <c r="D91" s="4" t="s">
        <v>299</v>
      </c>
      <c r="E91" s="5" t="str">
        <f t="shared" si="3"/>
        <v>Mr.CHANDRU K S</v>
      </c>
      <c r="F91" s="6" t="s">
        <v>300</v>
      </c>
      <c r="G91" s="5" t="s">
        <v>20</v>
      </c>
      <c r="H91" s="5" t="s">
        <v>301</v>
      </c>
      <c r="I9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Col2='""&amp;B91&amp;""'"",0)"),2)</f>
        <v>2</v>
      </c>
      <c r="J91" s="5">
        <f>IFERROR(__xludf.DUMMYFUNCTION("""COMPUTED_VALUE"""),2)</f>
        <v>2</v>
      </c>
      <c r="K91" s="5">
        <f>IFERROR(__xludf.DUMMYFUNCTION("""COMPUTED_VALUE"""),2)</f>
        <v>2</v>
      </c>
      <c r="L91" s="5">
        <f>IFERROR(__xludf.DUMMYFUNCTION("""COMPUTED_VALUE"""),1)</f>
        <v>1</v>
      </c>
      <c r="M91" s="5" t="str">
        <f>IFERROR(__xludf.DUMMYFUNCTION("""COMPUTED_VALUE"""),"Working")</f>
        <v>Working</v>
      </c>
      <c r="N91" s="5" t="str">
        <f>IFERROR(__xludf.DUMMYFUNCTION("""COMPUTED_VALUE"""),"CORRECT")</f>
        <v>CORRECT</v>
      </c>
      <c r="O91" s="5" t="str">
        <f>IFERROR(__xludf.DUMMYFUNCTION("""COMPUTED_VALUE"""),"LOAD PENDING")</f>
        <v>LOAD PENDING</v>
      </c>
      <c r="P91" s="5" t="str">
        <f t="shared" si="4"/>
        <v/>
      </c>
      <c r="Q91" s="5" t="str">
        <f t="shared" si="5"/>
        <v/>
      </c>
    </row>
    <row r="92" ht="27.6" spans="1:17">
      <c r="A92" s="4">
        <v>91</v>
      </c>
      <c r="B92" s="4" t="s">
        <v>302</v>
      </c>
      <c r="C92" s="4" t="s">
        <v>53</v>
      </c>
      <c r="D92" s="4" t="s">
        <v>303</v>
      </c>
      <c r="E92" s="5" t="str">
        <f t="shared" si="3"/>
        <v>Ms.YUVALATHA S</v>
      </c>
      <c r="F92" s="6" t="s">
        <v>300</v>
      </c>
      <c r="G92" s="5" t="s">
        <v>20</v>
      </c>
      <c r="H92" s="5" t="s">
        <v>304</v>
      </c>
      <c r="I9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Col2='""&amp;B92&amp;""'"",0)"),2)</f>
        <v>2</v>
      </c>
      <c r="J92" s="5">
        <f>IFERROR(__xludf.DUMMYFUNCTION("""COMPUTED_VALUE"""),2)</f>
        <v>2</v>
      </c>
      <c r="K92" s="5">
        <f>IFERROR(__xludf.DUMMYFUNCTION("""COMPUTED_VALUE"""),1)</f>
        <v>1</v>
      </c>
      <c r="L92" s="5">
        <f>IFERROR(__xludf.DUMMYFUNCTION("""COMPUTED_VALUE"""),0)</f>
        <v>0</v>
      </c>
      <c r="M92" s="5" t="str">
        <f>IFERROR(__xludf.DUMMYFUNCTION("""COMPUTED_VALUE"""),"Working")</f>
        <v>Working</v>
      </c>
      <c r="N92" s="5" t="str">
        <f>IFERROR(__xludf.DUMMYFUNCTION("""COMPUTED_VALUE"""),"LOAD PENDING")</f>
        <v>LOAD PENDING</v>
      </c>
      <c r="O92" s="5" t="str">
        <f>IFERROR(__xludf.DUMMYFUNCTION("""COMPUTED_VALUE"""),"LOAD PENDING")</f>
        <v>LOAD PENDING</v>
      </c>
      <c r="P92" s="5" t="str">
        <f t="shared" si="4"/>
        <v/>
      </c>
      <c r="Q92" s="5" t="str">
        <f t="shared" si="5"/>
        <v/>
      </c>
    </row>
    <row r="93" ht="14.4" spans="1:17">
      <c r="A93" s="4">
        <v>92</v>
      </c>
      <c r="B93" s="4" t="s">
        <v>305</v>
      </c>
      <c r="C93" s="4" t="s">
        <v>32</v>
      </c>
      <c r="D93" s="4" t="s">
        <v>306</v>
      </c>
      <c r="E93" s="5" t="str">
        <f t="shared" si="3"/>
        <v>Mrs.MADHUMITHA A</v>
      </c>
      <c r="F93" s="6" t="s">
        <v>300</v>
      </c>
      <c r="G93" s="5" t="s">
        <v>47</v>
      </c>
      <c r="H93" s="5" t="s">
        <v>307</v>
      </c>
      <c r="I9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Col2='""&amp;B93&amp;""'"",0)"),2)</f>
        <v>2</v>
      </c>
      <c r="J93" s="5">
        <f>IFERROR(__xludf.DUMMYFUNCTION("""COMPUTED_VALUE"""),2)</f>
        <v>2</v>
      </c>
      <c r="K93" s="5">
        <f>IFERROR(__xludf.DUMMYFUNCTION("""COMPUTED_VALUE"""),2)</f>
        <v>2</v>
      </c>
      <c r="L93" s="5">
        <f>IFERROR(__xludf.DUMMYFUNCTION("""COMPUTED_VALUE"""),2)</f>
        <v>2</v>
      </c>
      <c r="M93" s="5" t="str">
        <f>IFERROR(__xludf.DUMMYFUNCTION("""COMPUTED_VALUE"""),"Working")</f>
        <v>Working</v>
      </c>
      <c r="N93" s="5" t="str">
        <f>IFERROR(__xludf.DUMMYFUNCTION("""COMPUTED_VALUE"""),"CORRECT")</f>
        <v>CORRECT</v>
      </c>
      <c r="O93" s="5" t="str">
        <f>IFERROR(__xludf.DUMMYFUNCTION("""COMPUTED_VALUE"""),"CORRECT")</f>
        <v>CORRECT</v>
      </c>
      <c r="P93" s="5" t="str">
        <f t="shared" si="4"/>
        <v/>
      </c>
      <c r="Q93" s="5" t="str">
        <f t="shared" si="5"/>
        <v/>
      </c>
    </row>
    <row r="94" ht="14.4" spans="1:17">
      <c r="A94" s="4">
        <v>93</v>
      </c>
      <c r="B94" s="4" t="s">
        <v>308</v>
      </c>
      <c r="C94" s="4" t="s">
        <v>32</v>
      </c>
      <c r="D94" s="4" t="s">
        <v>309</v>
      </c>
      <c r="E94" s="5" t="str">
        <f t="shared" si="3"/>
        <v>Mrs.SARANYA N</v>
      </c>
      <c r="F94" s="6" t="s">
        <v>300</v>
      </c>
      <c r="G94" s="5" t="s">
        <v>47</v>
      </c>
      <c r="H94" s="5" t="s">
        <v>310</v>
      </c>
      <c r="I9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Col2='""&amp;B94&amp;""'"",0)"),2)</f>
        <v>2</v>
      </c>
      <c r="J94" s="5">
        <f>IFERROR(__xludf.DUMMYFUNCTION("""COMPUTED_VALUE"""),2)</f>
        <v>2</v>
      </c>
      <c r="K94" s="5">
        <f>IFERROR(__xludf.DUMMYFUNCTION("""COMPUTED_VALUE"""),2)</f>
        <v>2</v>
      </c>
      <c r="L94" s="5">
        <f>IFERROR(__xludf.DUMMYFUNCTION("""COMPUTED_VALUE"""),1)</f>
        <v>1</v>
      </c>
      <c r="M94" s="5" t="str">
        <f>IFERROR(__xludf.DUMMYFUNCTION("""COMPUTED_VALUE"""),"Working")</f>
        <v>Working</v>
      </c>
      <c r="N94" s="5" t="str">
        <f>IFERROR(__xludf.DUMMYFUNCTION("""COMPUTED_VALUE"""),"CORRECT")</f>
        <v>CORRECT</v>
      </c>
      <c r="O94" s="5" t="str">
        <f>IFERROR(__xludf.DUMMYFUNCTION("""COMPUTED_VALUE"""),"LOAD PENDING")</f>
        <v>LOAD PENDING</v>
      </c>
      <c r="P94" s="5" t="str">
        <f t="shared" si="4"/>
        <v/>
      </c>
      <c r="Q94" s="5" t="str">
        <f t="shared" si="5"/>
        <v/>
      </c>
    </row>
    <row r="95" ht="14.4" spans="1:17">
      <c r="A95" s="4">
        <v>94</v>
      </c>
      <c r="B95" s="4" t="s">
        <v>311</v>
      </c>
      <c r="C95" s="4" t="s">
        <v>53</v>
      </c>
      <c r="D95" s="4" t="s">
        <v>312</v>
      </c>
      <c r="E95" s="5" t="str">
        <f t="shared" si="3"/>
        <v>Ms.NAVEENYA B P</v>
      </c>
      <c r="F95" s="6" t="s">
        <v>300</v>
      </c>
      <c r="G95" s="5" t="s">
        <v>47</v>
      </c>
      <c r="H95" s="5" t="s">
        <v>313</v>
      </c>
      <c r="I9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Col2='""&amp;B95&amp;""'"",0)"),2)</f>
        <v>2</v>
      </c>
      <c r="J95" s="5">
        <f>IFERROR(__xludf.DUMMYFUNCTION("""COMPUTED_VALUE"""),2)</f>
        <v>2</v>
      </c>
      <c r="K95" s="5">
        <f>IFERROR(__xludf.DUMMYFUNCTION("""COMPUTED_VALUE"""),0)</f>
        <v>0</v>
      </c>
      <c r="L95" s="5">
        <f>IFERROR(__xludf.DUMMYFUNCTION("""COMPUTED_VALUE"""),0)</f>
        <v>0</v>
      </c>
      <c r="M95" s="5" t="str">
        <f>IFERROR(__xludf.DUMMYFUNCTION("""COMPUTED_VALUE"""),"Working")</f>
        <v>Working</v>
      </c>
      <c r="N95" s="5" t="str">
        <f>IFERROR(__xludf.DUMMYFUNCTION("""COMPUTED_VALUE"""),"LOAD PENDING")</f>
        <v>LOAD PENDING</v>
      </c>
      <c r="O95" s="5" t="str">
        <f>IFERROR(__xludf.DUMMYFUNCTION("""COMPUTED_VALUE"""),"LOAD PENDING")</f>
        <v>LOAD PENDING</v>
      </c>
      <c r="P95" s="5" t="str">
        <f t="shared" si="4"/>
        <v/>
      </c>
      <c r="Q95" s="5" t="str">
        <f t="shared" si="5"/>
        <v/>
      </c>
    </row>
    <row r="96" ht="27.6" spans="1:17">
      <c r="A96" s="4">
        <v>95</v>
      </c>
      <c r="B96" s="4" t="s">
        <v>314</v>
      </c>
      <c r="C96" s="4" t="s">
        <v>32</v>
      </c>
      <c r="D96" s="4" t="s">
        <v>315</v>
      </c>
      <c r="E96" s="5" t="str">
        <f t="shared" si="3"/>
        <v>Mrs.DIVYA S</v>
      </c>
      <c r="F96" s="6" t="s">
        <v>300</v>
      </c>
      <c r="G96" s="5" t="s">
        <v>47</v>
      </c>
      <c r="H96" s="5" t="s">
        <v>316</v>
      </c>
      <c r="I96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Col2='""&amp;B96&amp;""'"",0)"),"")</f>
        <v/>
      </c>
      <c r="J96" s="5"/>
      <c r="K96" s="5">
        <f>IFERROR(__xludf.DUMMYFUNCTION("""COMPUTED_VALUE"""),2)</f>
        <v>2</v>
      </c>
      <c r="L96" s="5">
        <f>IFERROR(__xludf.DUMMYFUNCTION("""COMPUTED_VALUE"""),1)</f>
        <v>1</v>
      </c>
      <c r="M96" s="5" t="str">
        <f>IFERROR(__xludf.DUMMYFUNCTION("""COMPUTED_VALUE"""),"Working")</f>
        <v>Working</v>
      </c>
      <c r="N96" s="5" t="str">
        <f>IFERROR(__xludf.DUMMYFUNCTION("""COMPUTED_VALUE"""),"#N/A")</f>
        <v>#N/A</v>
      </c>
      <c r="O96" s="5" t="str">
        <f>IFERROR(__xludf.DUMMYFUNCTION("""COMPUTED_VALUE"""),"CORRECT")</f>
        <v>CORRECT</v>
      </c>
      <c r="P96" s="5" t="str">
        <f t="shared" si="4"/>
        <v/>
      </c>
      <c r="Q96" s="5" t="str">
        <f t="shared" si="5"/>
        <v>Extra Lab Load Alloted</v>
      </c>
    </row>
    <row r="97" ht="14.4" spans="1:17">
      <c r="A97" s="4">
        <v>96</v>
      </c>
      <c r="B97" s="4" t="s">
        <v>317</v>
      </c>
      <c r="C97" s="4" t="s">
        <v>53</v>
      </c>
      <c r="D97" s="4" t="s">
        <v>318</v>
      </c>
      <c r="E97" s="5" t="str">
        <f t="shared" si="3"/>
        <v>Ms.VAISHNAVI N</v>
      </c>
      <c r="F97" s="6" t="s">
        <v>300</v>
      </c>
      <c r="G97" s="5" t="s">
        <v>47</v>
      </c>
      <c r="H97" s="5" t="s">
        <v>319</v>
      </c>
      <c r="I9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Col2='""&amp;B97&amp;""'"",0)"),2)</f>
        <v>2</v>
      </c>
      <c r="J97" s="5">
        <f>IFERROR(__xludf.DUMMYFUNCTION("""COMPUTED_VALUE"""),2)</f>
        <v>2</v>
      </c>
      <c r="K97" s="5">
        <f>IFERROR(__xludf.DUMMYFUNCTION("""COMPUTED_VALUE"""),2)</f>
        <v>2</v>
      </c>
      <c r="L97" s="5">
        <f>IFERROR(__xludf.DUMMYFUNCTION("""COMPUTED_VALUE"""),1)</f>
        <v>1</v>
      </c>
      <c r="M97" s="5" t="str">
        <f>IFERROR(__xludf.DUMMYFUNCTION("""COMPUTED_VALUE"""),"Working")</f>
        <v>Working</v>
      </c>
      <c r="N97" s="5" t="str">
        <f>IFERROR(__xludf.DUMMYFUNCTION("""COMPUTED_VALUE"""),"CORRECT")</f>
        <v>CORRECT</v>
      </c>
      <c r="O97" s="5" t="str">
        <f>IFERROR(__xludf.DUMMYFUNCTION("""COMPUTED_VALUE"""),"LOAD PENDING")</f>
        <v>LOAD PENDING</v>
      </c>
      <c r="P97" s="5" t="str">
        <f t="shared" si="4"/>
        <v/>
      </c>
      <c r="Q97" s="5" t="str">
        <f t="shared" si="5"/>
        <v/>
      </c>
    </row>
    <row r="98" ht="14.4" spans="1:17">
      <c r="A98" s="4">
        <v>97</v>
      </c>
      <c r="B98" s="4" t="s">
        <v>320</v>
      </c>
      <c r="C98" s="4" t="s">
        <v>17</v>
      </c>
      <c r="D98" s="4" t="s">
        <v>321</v>
      </c>
      <c r="E98" s="5" t="str">
        <f t="shared" si="3"/>
        <v>Mr.PRABAKAR S J</v>
      </c>
      <c r="F98" s="6" t="s">
        <v>300</v>
      </c>
      <c r="G98" s="5" t="s">
        <v>47</v>
      </c>
      <c r="H98" s="5" t="s">
        <v>322</v>
      </c>
      <c r="I9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Col2='""&amp;B98&amp;""'"",0)"),0)</f>
        <v>0</v>
      </c>
      <c r="J98" s="5">
        <f>IFERROR(__xludf.DUMMYFUNCTION("""COMPUTED_VALUE"""),0)</f>
        <v>0</v>
      </c>
      <c r="K98" s="5">
        <f>IFERROR(__xludf.DUMMYFUNCTION("""COMPUTED_VALUE"""),0)</f>
        <v>0</v>
      </c>
      <c r="L98" s="5">
        <f>IFERROR(__xludf.DUMMYFUNCTION("""COMPUTED_VALUE"""),0)</f>
        <v>0</v>
      </c>
      <c r="M98" s="5" t="str">
        <f>IFERROR(__xludf.DUMMYFUNCTION("""COMPUTED_VALUE"""),"Working")</f>
        <v>Working</v>
      </c>
      <c r="N98" s="5" t="str">
        <f>IFERROR(__xludf.DUMMYFUNCTION("""COMPUTED_VALUE"""),"CORRECT")</f>
        <v>CORRECT</v>
      </c>
      <c r="O98" s="5" t="str">
        <f>IFERROR(__xludf.DUMMYFUNCTION("""COMPUTED_VALUE"""),"CORRECT")</f>
        <v>CORRECT</v>
      </c>
      <c r="P98" s="5" t="str">
        <f t="shared" si="4"/>
        <v/>
      </c>
      <c r="Q98" s="5" t="str">
        <f t="shared" si="5"/>
        <v/>
      </c>
    </row>
    <row r="99" ht="14.4" spans="1:17">
      <c r="A99" s="4">
        <v>98</v>
      </c>
      <c r="B99" s="4" t="s">
        <v>323</v>
      </c>
      <c r="C99" s="4" t="s">
        <v>32</v>
      </c>
      <c r="D99" s="4" t="s">
        <v>324</v>
      </c>
      <c r="E99" s="5" t="str">
        <f t="shared" si="3"/>
        <v>Mrs.PREETHIMATHI L</v>
      </c>
      <c r="F99" s="6" t="s">
        <v>325</v>
      </c>
      <c r="G99" s="5" t="s">
        <v>47</v>
      </c>
      <c r="H99" s="5" t="s">
        <v>326</v>
      </c>
      <c r="I9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Col2='""&amp;B99&amp;""'"",0)"),2)</f>
        <v>2</v>
      </c>
      <c r="J99" s="5">
        <f>IFERROR(__xludf.DUMMYFUNCTION("""COMPUTED_VALUE"""),2)</f>
        <v>2</v>
      </c>
      <c r="K99" s="5">
        <f>IFERROR(__xludf.DUMMYFUNCTION("""COMPUTED_VALUE"""),2)</f>
        <v>2</v>
      </c>
      <c r="L99" s="5">
        <f>IFERROR(__xludf.DUMMYFUNCTION("""COMPUTED_VALUE"""),1)</f>
        <v>1</v>
      </c>
      <c r="M99" s="5" t="str">
        <f>IFERROR(__xludf.DUMMYFUNCTION("""COMPUTED_VALUE"""),"Working")</f>
        <v>Working</v>
      </c>
      <c r="N99" s="5" t="str">
        <f>IFERROR(__xludf.DUMMYFUNCTION("""COMPUTED_VALUE"""),"CORRECT")</f>
        <v>CORRECT</v>
      </c>
      <c r="O99" s="5" t="str">
        <f>IFERROR(__xludf.DUMMYFUNCTION("""COMPUTED_VALUE"""),"LOAD PENDING")</f>
        <v>LOAD PENDING</v>
      </c>
      <c r="P99" s="5" t="str">
        <f t="shared" si="4"/>
        <v/>
      </c>
      <c r="Q99" s="5" t="str">
        <f t="shared" si="5"/>
        <v/>
      </c>
    </row>
    <row r="100" ht="27.6" spans="1:17">
      <c r="A100" s="4">
        <v>99</v>
      </c>
      <c r="B100" s="4" t="s">
        <v>327</v>
      </c>
      <c r="C100" s="4" t="s">
        <v>17</v>
      </c>
      <c r="D100" s="4" t="s">
        <v>328</v>
      </c>
      <c r="E100" s="5" t="str">
        <f t="shared" si="3"/>
        <v>Mr.MAHESHKUMAR K</v>
      </c>
      <c r="F100" s="6" t="s">
        <v>325</v>
      </c>
      <c r="G100" s="5" t="s">
        <v>37</v>
      </c>
      <c r="H100" s="5" t="s">
        <v>329</v>
      </c>
      <c r="I10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Col2='""&amp;B100&amp;""'"",0)"),1)</f>
        <v>1</v>
      </c>
      <c r="J100" s="5">
        <f>IFERROR(__xludf.DUMMYFUNCTION("""COMPUTED_VALUE"""),0)</f>
        <v>0</v>
      </c>
      <c r="K100" s="5">
        <f>IFERROR(__xludf.DUMMYFUNCTION("""COMPUTED_VALUE"""),0)</f>
        <v>0</v>
      </c>
      <c r="L100" s="5">
        <f>IFERROR(__xludf.DUMMYFUNCTION("""COMPUTED_VALUE"""),0)</f>
        <v>0</v>
      </c>
      <c r="M100" s="5" t="str">
        <f>IFERROR(__xludf.DUMMYFUNCTION("""COMPUTED_VALUE"""),"Working")</f>
        <v>Working</v>
      </c>
      <c r="N100" s="5" t="str">
        <f>IFERROR(__xludf.DUMMYFUNCTION("""COMPUTED_VALUE"""),"LOAD PENDING")</f>
        <v>LOAD PENDING</v>
      </c>
      <c r="O100" s="5" t="str">
        <f>IFERROR(__xludf.DUMMYFUNCTION("""COMPUTED_VALUE"""),"CORRECT")</f>
        <v>CORRECT</v>
      </c>
      <c r="P100" s="5" t="str">
        <f t="shared" si="4"/>
        <v/>
      </c>
      <c r="Q100" s="5" t="str">
        <f t="shared" si="5"/>
        <v/>
      </c>
    </row>
    <row r="101" ht="14.4" spans="1:17">
      <c r="A101" s="4">
        <v>100</v>
      </c>
      <c r="B101" s="4" t="s">
        <v>330</v>
      </c>
      <c r="C101" s="4" t="s">
        <v>53</v>
      </c>
      <c r="D101" s="4" t="s">
        <v>331</v>
      </c>
      <c r="E101" s="5" t="str">
        <f t="shared" si="3"/>
        <v>Ms.KIRUTHIKA S</v>
      </c>
      <c r="F101" s="6" t="s">
        <v>325</v>
      </c>
      <c r="G101" s="5" t="s">
        <v>47</v>
      </c>
      <c r="H101" s="5" t="s">
        <v>332</v>
      </c>
      <c r="I10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Col2='""&amp;B101&amp;""'"",0)"),2)</f>
        <v>2</v>
      </c>
      <c r="J101" s="5">
        <f>IFERROR(__xludf.DUMMYFUNCTION("""COMPUTED_VALUE"""),2)</f>
        <v>2</v>
      </c>
      <c r="K101" s="5">
        <f>IFERROR(__xludf.DUMMYFUNCTION("""COMPUTED_VALUE"""),2)</f>
        <v>2</v>
      </c>
      <c r="L101" s="5">
        <f>IFERROR(__xludf.DUMMYFUNCTION("""COMPUTED_VALUE"""),1)</f>
        <v>1</v>
      </c>
      <c r="M101" s="5" t="str">
        <f>IFERROR(__xludf.DUMMYFUNCTION("""COMPUTED_VALUE"""),"Working")</f>
        <v>Working</v>
      </c>
      <c r="N101" s="5" t="str">
        <f>IFERROR(__xludf.DUMMYFUNCTION("""COMPUTED_VALUE"""),"CORRECT")</f>
        <v>CORRECT</v>
      </c>
      <c r="O101" s="5" t="str">
        <f>IFERROR(__xludf.DUMMYFUNCTION("""COMPUTED_VALUE"""),"LOAD PENDING")</f>
        <v>LOAD PENDING</v>
      </c>
      <c r="P101" s="5" t="str">
        <f t="shared" si="4"/>
        <v/>
      </c>
      <c r="Q101" s="5" t="str">
        <f t="shared" si="5"/>
        <v/>
      </c>
    </row>
    <row r="102" ht="14.4" spans="1:17">
      <c r="A102" s="4">
        <v>101</v>
      </c>
      <c r="B102" s="4" t="s">
        <v>333</v>
      </c>
      <c r="C102" s="4" t="s">
        <v>53</v>
      </c>
      <c r="D102" s="4" t="s">
        <v>334</v>
      </c>
      <c r="E102" s="5" t="str">
        <f t="shared" si="3"/>
        <v>Ms.MADHUMATHI S</v>
      </c>
      <c r="F102" s="6" t="s">
        <v>325</v>
      </c>
      <c r="G102" s="5" t="s">
        <v>47</v>
      </c>
      <c r="H102" s="5" t="s">
        <v>335</v>
      </c>
      <c r="I10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Col2='""&amp;B102&amp;""'"",0)"),2)</f>
        <v>2</v>
      </c>
      <c r="J102" s="5">
        <f>IFERROR(__xludf.DUMMYFUNCTION("""COMPUTED_VALUE"""),2)</f>
        <v>2</v>
      </c>
      <c r="K102" s="5">
        <f>IFERROR(__xludf.DUMMYFUNCTION("""COMPUTED_VALUE"""),2)</f>
        <v>2</v>
      </c>
      <c r="L102" s="5">
        <f>IFERROR(__xludf.DUMMYFUNCTION("""COMPUTED_VALUE"""),1)</f>
        <v>1</v>
      </c>
      <c r="M102" s="5" t="str">
        <f>IFERROR(__xludf.DUMMYFUNCTION("""COMPUTED_VALUE"""),"Working")</f>
        <v>Working</v>
      </c>
      <c r="N102" s="5" t="str">
        <f>IFERROR(__xludf.DUMMYFUNCTION("""COMPUTED_VALUE"""),"CORRECT")</f>
        <v>CORRECT</v>
      </c>
      <c r="O102" s="5" t="str">
        <f>IFERROR(__xludf.DUMMYFUNCTION("""COMPUTED_VALUE"""),"LOAD PENDING")</f>
        <v>LOAD PENDING</v>
      </c>
      <c r="P102" s="5" t="str">
        <f t="shared" si="4"/>
        <v/>
      </c>
      <c r="Q102" s="5" t="str">
        <f t="shared" si="5"/>
        <v/>
      </c>
    </row>
    <row r="103" ht="14.4" spans="1:17">
      <c r="A103" s="4">
        <v>102</v>
      </c>
      <c r="B103" s="4" t="s">
        <v>336</v>
      </c>
      <c r="C103" s="4" t="s">
        <v>32</v>
      </c>
      <c r="D103" s="4" t="s">
        <v>337</v>
      </c>
      <c r="E103" s="5" t="str">
        <f t="shared" si="3"/>
        <v>Mrs.SUBHASHREE P</v>
      </c>
      <c r="F103" s="6" t="s">
        <v>325</v>
      </c>
      <c r="G103" s="5" t="s">
        <v>47</v>
      </c>
      <c r="H103" s="5" t="s">
        <v>338</v>
      </c>
      <c r="I10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Col2='""&amp;B103&amp;""'"",0)"),2)</f>
        <v>2</v>
      </c>
      <c r="J103" s="5">
        <f>IFERROR(__xludf.DUMMYFUNCTION("""COMPUTED_VALUE"""),2)</f>
        <v>2</v>
      </c>
      <c r="K103" s="5">
        <f>IFERROR(__xludf.DUMMYFUNCTION("""COMPUTED_VALUE"""),2)</f>
        <v>2</v>
      </c>
      <c r="L103" s="5">
        <f>IFERROR(__xludf.DUMMYFUNCTION("""COMPUTED_VALUE"""),1)</f>
        <v>1</v>
      </c>
      <c r="M103" s="5" t="str">
        <f>IFERROR(__xludf.DUMMYFUNCTION("""COMPUTED_VALUE"""),"Working")</f>
        <v>Working</v>
      </c>
      <c r="N103" s="5" t="str">
        <f>IFERROR(__xludf.DUMMYFUNCTION("""COMPUTED_VALUE"""),"CORRECT")</f>
        <v>CORRECT</v>
      </c>
      <c r="O103" s="5" t="str">
        <f>IFERROR(__xludf.DUMMYFUNCTION("""COMPUTED_VALUE"""),"LOAD PENDING")</f>
        <v>LOAD PENDING</v>
      </c>
      <c r="P103" s="5" t="str">
        <f t="shared" si="4"/>
        <v/>
      </c>
      <c r="Q103" s="5" t="str">
        <f t="shared" si="5"/>
        <v/>
      </c>
    </row>
    <row r="104" ht="27.6" spans="1:17">
      <c r="A104" s="4">
        <v>103</v>
      </c>
      <c r="B104" s="4" t="s">
        <v>339</v>
      </c>
      <c r="C104" s="4" t="s">
        <v>32</v>
      </c>
      <c r="D104" s="4" t="s">
        <v>340</v>
      </c>
      <c r="E104" s="5" t="str">
        <f t="shared" si="3"/>
        <v>Mrs.INDHUMATHI K</v>
      </c>
      <c r="F104" s="6" t="s">
        <v>325</v>
      </c>
      <c r="G104" s="5" t="s">
        <v>341</v>
      </c>
      <c r="H104" s="5" t="s">
        <v>342</v>
      </c>
      <c r="I10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Col2='""&amp;B104&amp;""'"",0)"),2)</f>
        <v>2</v>
      </c>
      <c r="J104" s="5">
        <f>IFERROR(__xludf.DUMMYFUNCTION("""COMPUTED_VALUE"""),2)</f>
        <v>2</v>
      </c>
      <c r="K104" s="5">
        <f>IFERROR(__xludf.DUMMYFUNCTION("""COMPUTED_VALUE"""),3)</f>
        <v>3</v>
      </c>
      <c r="L104" s="5">
        <f>IFERROR(__xludf.DUMMYFUNCTION("""COMPUTED_VALUE"""),0)</f>
        <v>0</v>
      </c>
      <c r="M104" s="5" t="str">
        <f>IFERROR(__xludf.DUMMYFUNCTION("""COMPUTED_VALUE"""),"Working")</f>
        <v>Working</v>
      </c>
      <c r="N104" s="5" t="str">
        <f>IFERROR(__xludf.DUMMYFUNCTION("""COMPUTED_VALUE"""),"CORRECT")</f>
        <v>CORRECT</v>
      </c>
      <c r="O104" s="5" t="str">
        <f>IFERROR(__xludf.DUMMYFUNCTION("""COMPUTED_VALUE"""),"LOAD PENDING")</f>
        <v>LOAD PENDING</v>
      </c>
      <c r="P104" s="5" t="str">
        <f t="shared" si="4"/>
        <v>Extra Theory Load Alloted</v>
      </c>
      <c r="Q104" s="5" t="str">
        <f t="shared" si="5"/>
        <v/>
      </c>
    </row>
    <row r="105" ht="27.6" spans="1:17">
      <c r="A105" s="4">
        <v>104</v>
      </c>
      <c r="B105" s="4" t="s">
        <v>343</v>
      </c>
      <c r="C105" s="4" t="s">
        <v>23</v>
      </c>
      <c r="D105" s="4" t="s">
        <v>344</v>
      </c>
      <c r="E105" s="5" t="str">
        <f t="shared" si="3"/>
        <v>Dr.MOHANRAJ A</v>
      </c>
      <c r="F105" s="6" t="s">
        <v>345</v>
      </c>
      <c r="G105" s="5" t="s">
        <v>20</v>
      </c>
      <c r="H105" s="5" t="s">
        <v>346</v>
      </c>
      <c r="I10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Col2='""&amp;B105&amp;""'"",0)"),1)</f>
        <v>1</v>
      </c>
      <c r="J105" s="5">
        <f>IFERROR(__xludf.DUMMYFUNCTION("""COMPUTED_VALUE"""),0)</f>
        <v>0</v>
      </c>
      <c r="K105" s="5">
        <f>IFERROR(__xludf.DUMMYFUNCTION("""COMPUTED_VALUE"""),1)</f>
        <v>1</v>
      </c>
      <c r="L105" s="5">
        <f>IFERROR(__xludf.DUMMYFUNCTION("""COMPUTED_VALUE"""),0)</f>
        <v>0</v>
      </c>
      <c r="M105" s="5" t="str">
        <f>IFERROR(__xludf.DUMMYFUNCTION("""COMPUTED_VALUE"""),"Working")</f>
        <v>Working</v>
      </c>
      <c r="N105" s="5" t="str">
        <f>IFERROR(__xludf.DUMMYFUNCTION("""COMPUTED_VALUE"""),"CORRECT")</f>
        <v>CORRECT</v>
      </c>
      <c r="O105" s="5" t="str">
        <f>IFERROR(__xludf.DUMMYFUNCTION("""COMPUTED_VALUE"""),"CORRECT")</f>
        <v>CORRECT</v>
      </c>
      <c r="P105" s="5" t="str">
        <f t="shared" si="4"/>
        <v/>
      </c>
      <c r="Q105" s="5" t="str">
        <f t="shared" si="5"/>
        <v/>
      </c>
    </row>
    <row r="106" ht="27.6" spans="1:17">
      <c r="A106" s="4">
        <v>105</v>
      </c>
      <c r="B106" s="4" t="s">
        <v>347</v>
      </c>
      <c r="C106" s="4" t="s">
        <v>17</v>
      </c>
      <c r="D106" s="4" t="s">
        <v>348</v>
      </c>
      <c r="E106" s="5" t="str">
        <f t="shared" si="3"/>
        <v>Mr.GNANASUNDAR V M</v>
      </c>
      <c r="F106" s="6" t="s">
        <v>345</v>
      </c>
      <c r="G106" s="5" t="s">
        <v>20</v>
      </c>
      <c r="H106" s="5" t="s">
        <v>349</v>
      </c>
      <c r="I10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Col2='""&amp;B106&amp;""'"",0)"),1)</f>
        <v>1</v>
      </c>
      <c r="J106" s="5">
        <f>IFERROR(__xludf.DUMMYFUNCTION("""COMPUTED_VALUE"""),0)</f>
        <v>0</v>
      </c>
      <c r="K106" s="5">
        <f>IFERROR(__xludf.DUMMYFUNCTION("""COMPUTED_VALUE"""),1)</f>
        <v>1</v>
      </c>
      <c r="L106" s="5">
        <f>IFERROR(__xludf.DUMMYFUNCTION("""COMPUTED_VALUE"""),0)</f>
        <v>0</v>
      </c>
      <c r="M106" s="5" t="str">
        <f>IFERROR(__xludf.DUMMYFUNCTION("""COMPUTED_VALUE"""),"Working")</f>
        <v>Working</v>
      </c>
      <c r="N106" s="5" t="str">
        <f>IFERROR(__xludf.DUMMYFUNCTION("""COMPUTED_VALUE"""),"CORRECT")</f>
        <v>CORRECT</v>
      </c>
      <c r="O106" s="5" t="str">
        <f>IFERROR(__xludf.DUMMYFUNCTION("""COMPUTED_VALUE"""),"CORRECT")</f>
        <v>CORRECT</v>
      </c>
      <c r="P106" s="5" t="str">
        <f t="shared" si="4"/>
        <v/>
      </c>
      <c r="Q106" s="5" t="str">
        <f t="shared" si="5"/>
        <v/>
      </c>
    </row>
    <row r="107" ht="27.6" spans="1:17">
      <c r="A107" s="4">
        <v>106</v>
      </c>
      <c r="B107" s="4" t="s">
        <v>350</v>
      </c>
      <c r="C107" s="4" t="s">
        <v>53</v>
      </c>
      <c r="D107" s="4" t="s">
        <v>351</v>
      </c>
      <c r="E107" s="5" t="str">
        <f t="shared" si="3"/>
        <v>Ms.ASHWATHI R</v>
      </c>
      <c r="F107" s="6" t="s">
        <v>345</v>
      </c>
      <c r="G107" s="5" t="s">
        <v>37</v>
      </c>
      <c r="H107" s="5" t="s">
        <v>352</v>
      </c>
      <c r="I10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Col2='""&amp;B107&amp;""'"",0)"),1)</f>
        <v>1</v>
      </c>
      <c r="J107" s="5">
        <f>IFERROR(__xludf.DUMMYFUNCTION("""COMPUTED_VALUE"""),1)</f>
        <v>1</v>
      </c>
      <c r="K107" s="5">
        <f>IFERROR(__xludf.DUMMYFUNCTION("""COMPUTED_VALUE"""),1)</f>
        <v>1</v>
      </c>
      <c r="L107" s="5">
        <f>IFERROR(__xludf.DUMMYFUNCTION("""COMPUTED_VALUE"""),0)</f>
        <v>0</v>
      </c>
      <c r="M107" s="5" t="str">
        <f>IFERROR(__xludf.DUMMYFUNCTION("""COMPUTED_VALUE"""),"Working")</f>
        <v>Working</v>
      </c>
      <c r="N107" s="5" t="str">
        <f>IFERROR(__xludf.DUMMYFUNCTION("""COMPUTED_VALUE"""),"CORRECT")</f>
        <v>CORRECT</v>
      </c>
      <c r="O107" s="5" t="str">
        <f>IFERROR(__xludf.DUMMYFUNCTION("""COMPUTED_VALUE"""),"LOAD PENDING")</f>
        <v>LOAD PENDING</v>
      </c>
      <c r="P107" s="5" t="str">
        <f t="shared" si="4"/>
        <v/>
      </c>
      <c r="Q107" s="5" t="str">
        <f t="shared" si="5"/>
        <v/>
      </c>
    </row>
    <row r="108" ht="27.6" spans="1:17">
      <c r="A108" s="4">
        <v>107</v>
      </c>
      <c r="B108" s="4" t="s">
        <v>353</v>
      </c>
      <c r="C108" s="4" t="s">
        <v>23</v>
      </c>
      <c r="D108" s="4" t="s">
        <v>354</v>
      </c>
      <c r="E108" s="5" t="str">
        <f t="shared" si="3"/>
        <v>Dr.JEYANTH B</v>
      </c>
      <c r="F108" s="6" t="s">
        <v>345</v>
      </c>
      <c r="G108" s="5" t="s">
        <v>20</v>
      </c>
      <c r="H108" s="5" t="s">
        <v>355</v>
      </c>
      <c r="I10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Col2='""&amp;B108&amp;""'"",0)"),1)</f>
        <v>1</v>
      </c>
      <c r="J108" s="5">
        <f>IFERROR(__xludf.DUMMYFUNCTION("""COMPUTED_VALUE"""),0)</f>
        <v>0</v>
      </c>
      <c r="K108" s="5">
        <f>IFERROR(__xludf.DUMMYFUNCTION("""COMPUTED_VALUE"""),1)</f>
        <v>1</v>
      </c>
      <c r="L108" s="5">
        <f>IFERROR(__xludf.DUMMYFUNCTION("""COMPUTED_VALUE"""),0)</f>
        <v>0</v>
      </c>
      <c r="M108" s="5" t="str">
        <f>IFERROR(__xludf.DUMMYFUNCTION("""COMPUTED_VALUE"""),"Working")</f>
        <v>Working</v>
      </c>
      <c r="N108" s="5" t="str">
        <f>IFERROR(__xludf.DUMMYFUNCTION("""COMPUTED_VALUE"""),"CORRECT")</f>
        <v>CORRECT</v>
      </c>
      <c r="O108" s="5" t="str">
        <f>IFERROR(__xludf.DUMMYFUNCTION("""COMPUTED_VALUE"""),"CORRECT")</f>
        <v>CORRECT</v>
      </c>
      <c r="P108" s="5" t="str">
        <f t="shared" si="4"/>
        <v/>
      </c>
      <c r="Q108" s="5" t="str">
        <f t="shared" si="5"/>
        <v/>
      </c>
    </row>
    <row r="109" ht="27.6" spans="1:17">
      <c r="A109" s="4">
        <v>108</v>
      </c>
      <c r="B109" s="4" t="s">
        <v>356</v>
      </c>
      <c r="C109" s="4" t="s">
        <v>23</v>
      </c>
      <c r="D109" s="4" t="s">
        <v>357</v>
      </c>
      <c r="E109" s="5" t="str">
        <f t="shared" si="3"/>
        <v>Dr.KARTHIGA  SHENBAGAM N</v>
      </c>
      <c r="F109" s="6" t="s">
        <v>345</v>
      </c>
      <c r="G109" s="5" t="s">
        <v>25</v>
      </c>
      <c r="H109" s="5" t="s">
        <v>358</v>
      </c>
      <c r="I10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Col2='""&amp;B109&amp;""'"",0)"),2)</f>
        <v>2</v>
      </c>
      <c r="J109" s="5">
        <f>IFERROR(__xludf.DUMMYFUNCTION("""COMPUTED_VALUE"""),1)</f>
        <v>1</v>
      </c>
      <c r="K109" s="5">
        <f>IFERROR(__xludf.DUMMYFUNCTION("""COMPUTED_VALUE"""),3)</f>
        <v>3</v>
      </c>
      <c r="L109" s="5">
        <f>IFERROR(__xludf.DUMMYFUNCTION("""COMPUTED_VALUE"""),0)</f>
        <v>0</v>
      </c>
      <c r="M109" s="5" t="str">
        <f>IFERROR(__xludf.DUMMYFUNCTION("""COMPUTED_VALUE"""),"Working")</f>
        <v>Working</v>
      </c>
      <c r="N109" s="5" t="str">
        <f>IFERROR(__xludf.DUMMYFUNCTION("""COMPUTED_VALUE"""),"CORRECT")</f>
        <v>CORRECT</v>
      </c>
      <c r="O109" s="5" t="str">
        <f>IFERROR(__xludf.DUMMYFUNCTION("""COMPUTED_VALUE"""),"LOAD PENDING")</f>
        <v>LOAD PENDING</v>
      </c>
      <c r="P109" s="5" t="str">
        <f t="shared" si="4"/>
        <v>Extra Theory Load Alloted</v>
      </c>
      <c r="Q109" s="5" t="str">
        <f t="shared" si="5"/>
        <v/>
      </c>
    </row>
    <row r="110" ht="27.6" spans="1:17">
      <c r="A110" s="4">
        <v>109</v>
      </c>
      <c r="B110" s="4" t="s">
        <v>359</v>
      </c>
      <c r="C110" s="4" t="s">
        <v>23</v>
      </c>
      <c r="D110" s="4" t="s">
        <v>360</v>
      </c>
      <c r="E110" s="5" t="str">
        <f t="shared" si="3"/>
        <v>Dr.GEETHAMANI R</v>
      </c>
      <c r="F110" s="6" t="s">
        <v>345</v>
      </c>
      <c r="G110" s="5" t="s">
        <v>20</v>
      </c>
      <c r="H110" s="5" t="s">
        <v>361</v>
      </c>
      <c r="I11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Col2='""&amp;B110&amp;""'"",0)"),2)</f>
        <v>2</v>
      </c>
      <c r="J110" s="5">
        <f>IFERROR(__xludf.DUMMYFUNCTION("""COMPUTED_VALUE"""),2)</f>
        <v>2</v>
      </c>
      <c r="K110" s="5">
        <f>IFERROR(__xludf.DUMMYFUNCTION("""COMPUTED_VALUE"""),2)</f>
        <v>2</v>
      </c>
      <c r="L110" s="5">
        <f>IFERROR(__xludf.DUMMYFUNCTION("""COMPUTED_VALUE"""),0)</f>
        <v>0</v>
      </c>
      <c r="M110" s="5" t="str">
        <f>IFERROR(__xludf.DUMMYFUNCTION("""COMPUTED_VALUE"""),"Working")</f>
        <v>Working</v>
      </c>
      <c r="N110" s="5" t="str">
        <f>IFERROR(__xludf.DUMMYFUNCTION("""COMPUTED_VALUE"""),"CORRECT")</f>
        <v>CORRECT</v>
      </c>
      <c r="O110" s="5" t="str">
        <f>IFERROR(__xludf.DUMMYFUNCTION("""COMPUTED_VALUE"""),"LOAD PENDING")</f>
        <v>LOAD PENDING</v>
      </c>
      <c r="P110" s="5" t="str">
        <f t="shared" si="4"/>
        <v/>
      </c>
      <c r="Q110" s="5" t="str">
        <f t="shared" si="5"/>
        <v/>
      </c>
    </row>
    <row r="111" ht="27.6" spans="1:17">
      <c r="A111" s="4">
        <v>110</v>
      </c>
      <c r="B111" s="4" t="s">
        <v>362</v>
      </c>
      <c r="C111" s="4" t="s">
        <v>17</v>
      </c>
      <c r="D111" s="4" t="s">
        <v>363</v>
      </c>
      <c r="E111" s="5" t="str">
        <f t="shared" si="3"/>
        <v>Mr.RAJENDRAN M</v>
      </c>
      <c r="F111" s="6" t="s">
        <v>345</v>
      </c>
      <c r="G111" s="5" t="s">
        <v>20</v>
      </c>
      <c r="H111" s="5" t="s">
        <v>364</v>
      </c>
      <c r="I11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Col2='""&amp;B111&amp;""'"",0)"),2)</f>
        <v>2</v>
      </c>
      <c r="J111" s="5">
        <f>IFERROR(__xludf.DUMMYFUNCTION("""COMPUTED_VALUE"""),2)</f>
        <v>2</v>
      </c>
      <c r="K111" s="5">
        <f>IFERROR(__xludf.DUMMYFUNCTION("""COMPUTED_VALUE"""),2)</f>
        <v>2</v>
      </c>
      <c r="L111" s="5">
        <f>IFERROR(__xludf.DUMMYFUNCTION("""COMPUTED_VALUE"""),1)</f>
        <v>1</v>
      </c>
      <c r="M111" s="5" t="str">
        <f>IFERROR(__xludf.DUMMYFUNCTION("""COMPUTED_VALUE"""),"Working")</f>
        <v>Working</v>
      </c>
      <c r="N111" s="5" t="str">
        <f>IFERROR(__xludf.DUMMYFUNCTION("""COMPUTED_VALUE"""),"CORRECT")</f>
        <v>CORRECT</v>
      </c>
      <c r="O111" s="5" t="str">
        <f>IFERROR(__xludf.DUMMYFUNCTION("""COMPUTED_VALUE"""),"LOAD PENDING")</f>
        <v>LOAD PENDING</v>
      </c>
      <c r="P111" s="5" t="str">
        <f t="shared" si="4"/>
        <v/>
      </c>
      <c r="Q111" s="5" t="str">
        <f t="shared" si="5"/>
        <v/>
      </c>
    </row>
    <row r="112" ht="27.6" spans="1:17">
      <c r="A112" s="4">
        <v>111</v>
      </c>
      <c r="B112" s="4" t="s">
        <v>365</v>
      </c>
      <c r="C112" s="4" t="s">
        <v>23</v>
      </c>
      <c r="D112" s="4" t="s">
        <v>366</v>
      </c>
      <c r="E112" s="5" t="str">
        <f t="shared" si="3"/>
        <v>Dr.SATHISH V</v>
      </c>
      <c r="F112" s="6" t="s">
        <v>367</v>
      </c>
      <c r="G112" s="5" t="s">
        <v>20</v>
      </c>
      <c r="H112" s="5" t="s">
        <v>368</v>
      </c>
      <c r="I11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Col2='""&amp;B112&amp;""'"",0)"),1)</f>
        <v>1</v>
      </c>
      <c r="J112" s="5">
        <f>IFERROR(__xludf.DUMMYFUNCTION("""COMPUTED_VALUE"""),0)</f>
        <v>0</v>
      </c>
      <c r="K112" s="5">
        <f>IFERROR(__xludf.DUMMYFUNCTION("""COMPUTED_VALUE"""),2)</f>
        <v>2</v>
      </c>
      <c r="L112" s="5">
        <f>IFERROR(__xludf.DUMMYFUNCTION("""COMPUTED_VALUE"""),4)</f>
        <v>4</v>
      </c>
      <c r="M112" s="5" t="str">
        <f>IFERROR(__xludf.DUMMYFUNCTION("""COMPUTED_VALUE"""),"Working")</f>
        <v>Working</v>
      </c>
      <c r="N112" s="5" t="str">
        <f>IFERROR(__xludf.DUMMYFUNCTION("""COMPUTED_VALUE"""),"CORRECT")</f>
        <v>CORRECT</v>
      </c>
      <c r="O112" s="5" t="str">
        <f>IFERROR(__xludf.DUMMYFUNCTION("""COMPUTED_VALUE"""),"CORRECT")</f>
        <v>CORRECT</v>
      </c>
      <c r="P112" s="5" t="str">
        <f t="shared" si="4"/>
        <v>Extra Theory Load Alloted</v>
      </c>
      <c r="Q112" s="5" t="str">
        <f t="shared" si="5"/>
        <v>Extra Lab Load Alloted</v>
      </c>
    </row>
    <row r="113" ht="27.6" spans="1:17">
      <c r="A113" s="4">
        <v>112</v>
      </c>
      <c r="B113" s="4" t="s">
        <v>369</v>
      </c>
      <c r="C113" s="4" t="s">
        <v>23</v>
      </c>
      <c r="D113" s="4" t="s">
        <v>370</v>
      </c>
      <c r="E113" s="5" t="str">
        <f t="shared" si="3"/>
        <v>Dr.MUTHUKUMAR P</v>
      </c>
      <c r="F113" s="6" t="s">
        <v>367</v>
      </c>
      <c r="G113" s="5" t="s">
        <v>20</v>
      </c>
      <c r="H113" s="5" t="s">
        <v>371</v>
      </c>
      <c r="I11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Col2='""&amp;B113&amp;""'"",0)"),1)</f>
        <v>1</v>
      </c>
      <c r="J113" s="5">
        <f>IFERROR(__xludf.DUMMYFUNCTION("""COMPUTED_VALUE"""),1)</f>
        <v>1</v>
      </c>
      <c r="K113" s="5">
        <f>IFERROR(__xludf.DUMMYFUNCTION("""COMPUTED_VALUE"""),2)</f>
        <v>2</v>
      </c>
      <c r="L113" s="5">
        <f>IFERROR(__xludf.DUMMYFUNCTION("""COMPUTED_VALUE"""),4)</f>
        <v>4</v>
      </c>
      <c r="M113" s="5" t="str">
        <f>IFERROR(__xludf.DUMMYFUNCTION("""COMPUTED_VALUE"""),"Working")</f>
        <v>Working</v>
      </c>
      <c r="N113" s="5" t="str">
        <f>IFERROR(__xludf.DUMMYFUNCTION("""COMPUTED_VALUE"""),"CORRECT")</f>
        <v>CORRECT</v>
      </c>
      <c r="O113" s="5" t="str">
        <f>IFERROR(__xludf.DUMMYFUNCTION("""COMPUTED_VALUE"""),"CORRECT")</f>
        <v>CORRECT</v>
      </c>
      <c r="P113" s="5" t="str">
        <f t="shared" si="4"/>
        <v>Extra Theory Load Alloted</v>
      </c>
      <c r="Q113" s="5" t="str">
        <f t="shared" si="5"/>
        <v>Extra Lab Load Alloted</v>
      </c>
    </row>
    <row r="114" ht="27.6" spans="1:17">
      <c r="A114" s="4">
        <v>113</v>
      </c>
      <c r="B114" s="4" t="s">
        <v>372</v>
      </c>
      <c r="C114" s="4" t="s">
        <v>23</v>
      </c>
      <c r="D114" s="4" t="s">
        <v>373</v>
      </c>
      <c r="E114" s="5" t="str">
        <f t="shared" si="3"/>
        <v>Dr.VISWANATHAN G</v>
      </c>
      <c r="F114" s="6" t="s">
        <v>367</v>
      </c>
      <c r="G114" s="5" t="s">
        <v>20</v>
      </c>
      <c r="H114" s="5" t="s">
        <v>374</v>
      </c>
      <c r="I11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Col2='""&amp;B114&amp;""'"",0)"),2)</f>
        <v>2</v>
      </c>
      <c r="J114" s="5">
        <f>IFERROR(__xludf.DUMMYFUNCTION("""COMPUTED_VALUE"""),2)</f>
        <v>2</v>
      </c>
      <c r="K114" s="5">
        <f>IFERROR(__xludf.DUMMYFUNCTION("""COMPUTED_VALUE"""),2)</f>
        <v>2</v>
      </c>
      <c r="L114" s="5">
        <f>IFERROR(__xludf.DUMMYFUNCTION("""COMPUTED_VALUE"""),4)</f>
        <v>4</v>
      </c>
      <c r="M114" s="5" t="str">
        <f>IFERROR(__xludf.DUMMYFUNCTION("""COMPUTED_VALUE"""),"Working")</f>
        <v>Working</v>
      </c>
      <c r="N114" s="5" t="str">
        <f>IFERROR(__xludf.DUMMYFUNCTION("""COMPUTED_VALUE"""),"CORRECT")</f>
        <v>CORRECT</v>
      </c>
      <c r="O114" s="5" t="str">
        <f>IFERROR(__xludf.DUMMYFUNCTION("""COMPUTED_VALUE"""),"CORRECT")</f>
        <v>CORRECT</v>
      </c>
      <c r="P114" s="5" t="str">
        <f t="shared" si="4"/>
        <v/>
      </c>
      <c r="Q114" s="5" t="str">
        <f t="shared" si="5"/>
        <v>Extra Lab Load Alloted</v>
      </c>
    </row>
    <row r="115" ht="27.6" spans="1:17">
      <c r="A115" s="4">
        <v>114</v>
      </c>
      <c r="B115" s="4" t="s">
        <v>375</v>
      </c>
      <c r="C115" s="4" t="s">
        <v>23</v>
      </c>
      <c r="D115" s="4" t="s">
        <v>376</v>
      </c>
      <c r="E115" s="5" t="str">
        <f t="shared" si="3"/>
        <v>Dr.MURALI KRISHNAN M</v>
      </c>
      <c r="F115" s="6" t="s">
        <v>367</v>
      </c>
      <c r="G115" s="5" t="s">
        <v>20</v>
      </c>
      <c r="H115" s="5" t="s">
        <v>377</v>
      </c>
      <c r="I11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Col2='""&amp;B115&amp;""'"",0)"),1)</f>
        <v>1</v>
      </c>
      <c r="J115" s="5">
        <f>IFERROR(__xludf.DUMMYFUNCTION("""COMPUTED_VALUE"""),1)</f>
        <v>1</v>
      </c>
      <c r="K115" s="5">
        <f>IFERROR(__xludf.DUMMYFUNCTION("""COMPUTED_VALUE"""),2)</f>
        <v>2</v>
      </c>
      <c r="L115" s="5">
        <f>IFERROR(__xludf.DUMMYFUNCTION("""COMPUTED_VALUE"""),4)</f>
        <v>4</v>
      </c>
      <c r="M115" s="5" t="str">
        <f>IFERROR(__xludf.DUMMYFUNCTION("""COMPUTED_VALUE"""),"Working")</f>
        <v>Working</v>
      </c>
      <c r="N115" s="5" t="str">
        <f>IFERROR(__xludf.DUMMYFUNCTION("""COMPUTED_VALUE"""),"CORRECT")</f>
        <v>CORRECT</v>
      </c>
      <c r="O115" s="5" t="str">
        <f>IFERROR(__xludf.DUMMYFUNCTION("""COMPUTED_VALUE"""),"CORRECT")</f>
        <v>CORRECT</v>
      </c>
      <c r="P115" s="5" t="str">
        <f t="shared" si="4"/>
        <v>Extra Theory Load Alloted</v>
      </c>
      <c r="Q115" s="5" t="str">
        <f t="shared" si="5"/>
        <v>Extra Lab Load Alloted</v>
      </c>
    </row>
    <row r="116" ht="27.6" spans="1:17">
      <c r="A116" s="4">
        <v>115</v>
      </c>
      <c r="B116" s="4" t="s">
        <v>378</v>
      </c>
      <c r="C116" s="4" t="s">
        <v>23</v>
      </c>
      <c r="D116" s="4" t="s">
        <v>379</v>
      </c>
      <c r="E116" s="5" t="str">
        <f t="shared" si="3"/>
        <v>Dr.RAMESHKUMAR A</v>
      </c>
      <c r="F116" s="6" t="s">
        <v>367</v>
      </c>
      <c r="G116" s="5" t="s">
        <v>20</v>
      </c>
      <c r="H116" s="5" t="s">
        <v>380</v>
      </c>
      <c r="I11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Col2='""&amp;B116&amp;""'"",0)"),2)</f>
        <v>2</v>
      </c>
      <c r="J116" s="5">
        <f>IFERROR(__xludf.DUMMYFUNCTION("""COMPUTED_VALUE"""),2)</f>
        <v>2</v>
      </c>
      <c r="K116" s="5">
        <f>IFERROR(__xludf.DUMMYFUNCTION("""COMPUTED_VALUE"""),2)</f>
        <v>2</v>
      </c>
      <c r="L116" s="5">
        <f>IFERROR(__xludf.DUMMYFUNCTION("""COMPUTED_VALUE"""),4)</f>
        <v>4</v>
      </c>
      <c r="M116" s="5" t="str">
        <f>IFERROR(__xludf.DUMMYFUNCTION("""COMPUTED_VALUE"""),"Working")</f>
        <v>Working</v>
      </c>
      <c r="N116" s="5" t="str">
        <f>IFERROR(__xludf.DUMMYFUNCTION("""COMPUTED_VALUE"""),"CORRECT")</f>
        <v>CORRECT</v>
      </c>
      <c r="O116" s="5" t="str">
        <f>IFERROR(__xludf.DUMMYFUNCTION("""COMPUTED_VALUE"""),"CORRECT")</f>
        <v>CORRECT</v>
      </c>
      <c r="P116" s="5" t="str">
        <f t="shared" si="4"/>
        <v/>
      </c>
      <c r="Q116" s="5" t="str">
        <f t="shared" si="5"/>
        <v>Extra Lab Load Alloted</v>
      </c>
    </row>
    <row r="117" ht="27.6" spans="1:17">
      <c r="A117" s="4">
        <v>116</v>
      </c>
      <c r="B117" s="4" t="s">
        <v>381</v>
      </c>
      <c r="C117" s="4" t="s">
        <v>23</v>
      </c>
      <c r="D117" s="4" t="s">
        <v>382</v>
      </c>
      <c r="E117" s="5" t="str">
        <f t="shared" si="3"/>
        <v>Dr.DEEPHA V</v>
      </c>
      <c r="F117" s="6" t="s">
        <v>367</v>
      </c>
      <c r="G117" s="5" t="s">
        <v>47</v>
      </c>
      <c r="H117" s="5" t="s">
        <v>383</v>
      </c>
      <c r="I11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Col2='""&amp;B117&amp;""'"",0)"),1)</f>
        <v>1</v>
      </c>
      <c r="J117" s="5">
        <f>IFERROR(__xludf.DUMMYFUNCTION("""COMPUTED_VALUE"""),1)</f>
        <v>1</v>
      </c>
      <c r="K117" s="5">
        <f>IFERROR(__xludf.DUMMYFUNCTION("""COMPUTED_VALUE"""),2)</f>
        <v>2</v>
      </c>
      <c r="L117" s="5">
        <f>IFERROR(__xludf.DUMMYFUNCTION("""COMPUTED_VALUE"""),4)</f>
        <v>4</v>
      </c>
      <c r="M117" s="5" t="str">
        <f>IFERROR(__xludf.DUMMYFUNCTION("""COMPUTED_VALUE"""),"Working")</f>
        <v>Working</v>
      </c>
      <c r="N117" s="5" t="str">
        <f>IFERROR(__xludf.DUMMYFUNCTION("""COMPUTED_VALUE"""),"CORRECT")</f>
        <v>CORRECT</v>
      </c>
      <c r="O117" s="5" t="str">
        <f>IFERROR(__xludf.DUMMYFUNCTION("""COMPUTED_VALUE"""),"CORRECT")</f>
        <v>CORRECT</v>
      </c>
      <c r="P117" s="5" t="str">
        <f t="shared" si="4"/>
        <v>Extra Theory Load Alloted</v>
      </c>
      <c r="Q117" s="5" t="str">
        <f t="shared" si="5"/>
        <v>Extra Lab Load Alloted</v>
      </c>
    </row>
    <row r="118" ht="27.6" spans="1:17">
      <c r="A118" s="4">
        <v>117</v>
      </c>
      <c r="B118" s="4" t="s">
        <v>384</v>
      </c>
      <c r="C118" s="4" t="s">
        <v>23</v>
      </c>
      <c r="D118" s="4" t="s">
        <v>385</v>
      </c>
      <c r="E118" s="5" t="str">
        <f t="shared" si="3"/>
        <v>Dr.KARUPPUSAMY S</v>
      </c>
      <c r="F118" s="6" t="s">
        <v>367</v>
      </c>
      <c r="G118" s="5" t="s">
        <v>47</v>
      </c>
      <c r="H118" s="5" t="s">
        <v>386</v>
      </c>
      <c r="I11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Col2='""&amp;B118&amp;""'"",0)"),2)</f>
        <v>2</v>
      </c>
      <c r="J118" s="5">
        <f>IFERROR(__xludf.DUMMYFUNCTION("""COMPUTED_VALUE"""),2)</f>
        <v>2</v>
      </c>
      <c r="K118" s="5">
        <f>IFERROR(__xludf.DUMMYFUNCTION("""COMPUTED_VALUE"""),3)</f>
        <v>3</v>
      </c>
      <c r="L118" s="5">
        <f>IFERROR(__xludf.DUMMYFUNCTION("""COMPUTED_VALUE"""),4)</f>
        <v>4</v>
      </c>
      <c r="M118" s="5" t="str">
        <f>IFERROR(__xludf.DUMMYFUNCTION("""COMPUTED_VALUE"""),"Working")</f>
        <v>Working</v>
      </c>
      <c r="N118" s="5" t="str">
        <f>IFERROR(__xludf.DUMMYFUNCTION("""COMPUTED_VALUE"""),"CORRECT")</f>
        <v>CORRECT</v>
      </c>
      <c r="O118" s="5" t="str">
        <f>IFERROR(__xludf.DUMMYFUNCTION("""COMPUTED_VALUE"""),"CORRECT")</f>
        <v>CORRECT</v>
      </c>
      <c r="P118" s="5" t="str">
        <f t="shared" si="4"/>
        <v>Extra Theory Load Alloted</v>
      </c>
      <c r="Q118" s="5" t="str">
        <f t="shared" si="5"/>
        <v>Extra Lab Load Alloted</v>
      </c>
    </row>
    <row r="119" ht="27.6" spans="1:17">
      <c r="A119" s="4">
        <v>118</v>
      </c>
      <c r="B119" s="4" t="s">
        <v>387</v>
      </c>
      <c r="C119" s="4" t="s">
        <v>23</v>
      </c>
      <c r="D119" s="4" t="s">
        <v>388</v>
      </c>
      <c r="E119" s="5" t="str">
        <f t="shared" si="3"/>
        <v>Dr.JESIN BENETO A</v>
      </c>
      <c r="F119" s="6" t="s">
        <v>367</v>
      </c>
      <c r="G119" s="5" t="s">
        <v>37</v>
      </c>
      <c r="H119" s="5" t="s">
        <v>389</v>
      </c>
      <c r="I11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Col2='""&amp;B119&amp;""'"",0)"),2)</f>
        <v>2</v>
      </c>
      <c r="J119" s="5">
        <f>IFERROR(__xludf.DUMMYFUNCTION("""COMPUTED_VALUE"""),2)</f>
        <v>2</v>
      </c>
      <c r="K119" s="5">
        <f>IFERROR(__xludf.DUMMYFUNCTION("""COMPUTED_VALUE"""),2)</f>
        <v>2</v>
      </c>
      <c r="L119" s="5">
        <f>IFERROR(__xludf.DUMMYFUNCTION("""COMPUTED_VALUE"""),4)</f>
        <v>4</v>
      </c>
      <c r="M119" s="5" t="str">
        <f>IFERROR(__xludf.DUMMYFUNCTION("""COMPUTED_VALUE"""),"Working")</f>
        <v>Working</v>
      </c>
      <c r="N119" s="5" t="str">
        <f>IFERROR(__xludf.DUMMYFUNCTION("""COMPUTED_VALUE"""),"CORRECT")</f>
        <v>CORRECT</v>
      </c>
      <c r="O119" s="5" t="str">
        <f>IFERROR(__xludf.DUMMYFUNCTION("""COMPUTED_VALUE"""),"CORRECT")</f>
        <v>CORRECT</v>
      </c>
      <c r="P119" s="5" t="str">
        <f t="shared" si="4"/>
        <v/>
      </c>
      <c r="Q119" s="5" t="str">
        <f t="shared" si="5"/>
        <v>Extra Lab Load Alloted</v>
      </c>
    </row>
    <row r="120" ht="27.6" spans="1:17">
      <c r="A120" s="4">
        <v>119</v>
      </c>
      <c r="B120" s="4" t="s">
        <v>390</v>
      </c>
      <c r="C120" s="4" t="s">
        <v>23</v>
      </c>
      <c r="D120" s="4" t="s">
        <v>391</v>
      </c>
      <c r="E120" s="5" t="str">
        <f t="shared" si="3"/>
        <v>Dr.MANIGANDAN S</v>
      </c>
      <c r="F120" s="6" t="s">
        <v>367</v>
      </c>
      <c r="G120" s="5" t="s">
        <v>47</v>
      </c>
      <c r="H120" s="5" t="s">
        <v>392</v>
      </c>
      <c r="I12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Col2='""&amp;B120&amp;""'"",0)"),1)</f>
        <v>1</v>
      </c>
      <c r="J120" s="5">
        <f>IFERROR(__xludf.DUMMYFUNCTION("""COMPUTED_VALUE"""),0)</f>
        <v>0</v>
      </c>
      <c r="K120" s="5">
        <f>IFERROR(__xludf.DUMMYFUNCTION("""COMPUTED_VALUE"""),2)</f>
        <v>2</v>
      </c>
      <c r="L120" s="5">
        <f>IFERROR(__xludf.DUMMYFUNCTION("""COMPUTED_VALUE"""),4)</f>
        <v>4</v>
      </c>
      <c r="M120" s="5" t="str">
        <f>IFERROR(__xludf.DUMMYFUNCTION("""COMPUTED_VALUE"""),"Working")</f>
        <v>Working</v>
      </c>
      <c r="N120" s="5" t="str">
        <f>IFERROR(__xludf.DUMMYFUNCTION("""COMPUTED_VALUE"""),"CORRECT")</f>
        <v>CORRECT</v>
      </c>
      <c r="O120" s="5" t="str">
        <f>IFERROR(__xludf.DUMMYFUNCTION("""COMPUTED_VALUE"""),"CORRECT")</f>
        <v>CORRECT</v>
      </c>
      <c r="P120" s="5" t="str">
        <f t="shared" si="4"/>
        <v>Extra Theory Load Alloted</v>
      </c>
      <c r="Q120" s="5" t="str">
        <f t="shared" si="5"/>
        <v>Extra Lab Load Alloted</v>
      </c>
    </row>
    <row r="121" ht="27.6" spans="1:17">
      <c r="A121" s="4">
        <v>120</v>
      </c>
      <c r="B121" s="4" t="s">
        <v>393</v>
      </c>
      <c r="C121" s="4" t="s">
        <v>23</v>
      </c>
      <c r="D121" s="4" t="s">
        <v>394</v>
      </c>
      <c r="E121" s="5" t="str">
        <f t="shared" si="3"/>
        <v>Dr.KASTHURI S</v>
      </c>
      <c r="F121" s="6" t="s">
        <v>367</v>
      </c>
      <c r="G121" s="5" t="s">
        <v>47</v>
      </c>
      <c r="H121" s="5" t="s">
        <v>395</v>
      </c>
      <c r="I12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Col2='""&amp;B121&amp;""'"",0)"),1)</f>
        <v>1</v>
      </c>
      <c r="J121" s="5">
        <f>IFERROR(__xludf.DUMMYFUNCTION("""COMPUTED_VALUE"""),0)</f>
        <v>0</v>
      </c>
      <c r="K121" s="5">
        <f>IFERROR(__xludf.DUMMYFUNCTION("""COMPUTED_VALUE"""),2)</f>
        <v>2</v>
      </c>
      <c r="L121" s="5">
        <f>IFERROR(__xludf.DUMMYFUNCTION("""COMPUTED_VALUE"""),4)</f>
        <v>4</v>
      </c>
      <c r="M121" s="5" t="str">
        <f>IFERROR(__xludf.DUMMYFUNCTION("""COMPUTED_VALUE"""),"Working")</f>
        <v>Working</v>
      </c>
      <c r="N121" s="5" t="str">
        <f>IFERROR(__xludf.DUMMYFUNCTION("""COMPUTED_VALUE"""),"CORRECT")</f>
        <v>CORRECT</v>
      </c>
      <c r="O121" s="5" t="str">
        <f>IFERROR(__xludf.DUMMYFUNCTION("""COMPUTED_VALUE"""),"CORRECT")</f>
        <v>CORRECT</v>
      </c>
      <c r="P121" s="5" t="str">
        <f t="shared" si="4"/>
        <v>Extra Theory Load Alloted</v>
      </c>
      <c r="Q121" s="5" t="str">
        <f t="shared" si="5"/>
        <v>Extra Lab Load Alloted</v>
      </c>
    </row>
    <row r="122" ht="27.6" spans="1:17">
      <c r="A122" s="4">
        <v>121</v>
      </c>
      <c r="B122" s="4" t="s">
        <v>396</v>
      </c>
      <c r="C122" s="4" t="s">
        <v>23</v>
      </c>
      <c r="D122" s="4" t="s">
        <v>397</v>
      </c>
      <c r="E122" s="5" t="str">
        <f t="shared" si="3"/>
        <v>Dr.SUBHAPRIYA P</v>
      </c>
      <c r="F122" s="6" t="s">
        <v>367</v>
      </c>
      <c r="G122" s="5" t="s">
        <v>25</v>
      </c>
      <c r="H122" s="5" t="s">
        <v>398</v>
      </c>
      <c r="I12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Col2='""&amp;B122&amp;""'"",0)"),2)</f>
        <v>2</v>
      </c>
      <c r="J122" s="5">
        <f>IFERROR(__xludf.DUMMYFUNCTION("""COMPUTED_VALUE"""),1)</f>
        <v>1</v>
      </c>
      <c r="K122" s="5">
        <f>IFERROR(__xludf.DUMMYFUNCTION("""COMPUTED_VALUE"""),2)</f>
        <v>2</v>
      </c>
      <c r="L122" s="5">
        <f>IFERROR(__xludf.DUMMYFUNCTION("""COMPUTED_VALUE"""),4)</f>
        <v>4</v>
      </c>
      <c r="M122" s="5" t="str">
        <f>IFERROR(__xludf.DUMMYFUNCTION("""COMPUTED_VALUE"""),"Working")</f>
        <v>Working</v>
      </c>
      <c r="N122" s="5" t="str">
        <f>IFERROR(__xludf.DUMMYFUNCTION("""COMPUTED_VALUE"""),"CORRECT")</f>
        <v>CORRECT</v>
      </c>
      <c r="O122" s="5" t="str">
        <f>IFERROR(__xludf.DUMMYFUNCTION("""COMPUTED_VALUE"""),"CORRECT")</f>
        <v>CORRECT</v>
      </c>
      <c r="P122" s="5" t="str">
        <f t="shared" si="4"/>
        <v/>
      </c>
      <c r="Q122" s="5" t="str">
        <f t="shared" si="5"/>
        <v>Extra Lab Load Alloted</v>
      </c>
    </row>
    <row r="123" ht="27.6" spans="1:17">
      <c r="A123" s="4">
        <v>122</v>
      </c>
      <c r="B123" s="4" t="s">
        <v>399</v>
      </c>
      <c r="C123" s="4" t="s">
        <v>23</v>
      </c>
      <c r="D123" s="4" t="s">
        <v>400</v>
      </c>
      <c r="E123" s="5" t="str">
        <f t="shared" si="3"/>
        <v>Dr.VIJAYANAND P S</v>
      </c>
      <c r="F123" s="6" t="s">
        <v>367</v>
      </c>
      <c r="G123" s="5" t="s">
        <v>29</v>
      </c>
      <c r="H123" s="5" t="s">
        <v>401</v>
      </c>
      <c r="I12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Col2='""&amp;B123&amp;""'"",0)"),1)</f>
        <v>1</v>
      </c>
      <c r="J123" s="5">
        <f>IFERROR(__xludf.DUMMYFUNCTION("""COMPUTED_VALUE"""),1)</f>
        <v>1</v>
      </c>
      <c r="K123" s="5">
        <f>IFERROR(__xludf.DUMMYFUNCTION("""COMPUTED_VALUE"""),2)</f>
        <v>2</v>
      </c>
      <c r="L123" s="5">
        <f>IFERROR(__xludf.DUMMYFUNCTION("""COMPUTED_VALUE"""),4)</f>
        <v>4</v>
      </c>
      <c r="M123" s="5" t="str">
        <f>IFERROR(__xludf.DUMMYFUNCTION("""COMPUTED_VALUE"""),"Working")</f>
        <v>Working</v>
      </c>
      <c r="N123" s="5" t="str">
        <f>IFERROR(__xludf.DUMMYFUNCTION("""COMPUTED_VALUE"""),"CORRECT")</f>
        <v>CORRECT</v>
      </c>
      <c r="O123" s="5" t="str">
        <f>IFERROR(__xludf.DUMMYFUNCTION("""COMPUTED_VALUE"""),"CORRECT")</f>
        <v>CORRECT</v>
      </c>
      <c r="P123" s="5" t="str">
        <f t="shared" si="4"/>
        <v>Extra Theory Load Alloted</v>
      </c>
      <c r="Q123" s="5" t="str">
        <f t="shared" si="5"/>
        <v>Extra Lab Load Alloted</v>
      </c>
    </row>
    <row r="124" ht="27.6" spans="1:17">
      <c r="A124" s="4">
        <v>123</v>
      </c>
      <c r="B124" s="4" t="s">
        <v>402</v>
      </c>
      <c r="C124" s="4" t="s">
        <v>23</v>
      </c>
      <c r="D124" s="4" t="s">
        <v>403</v>
      </c>
      <c r="E124" s="5" t="str">
        <f t="shared" si="3"/>
        <v>Dr.PRAVEENA R</v>
      </c>
      <c r="F124" s="6" t="s">
        <v>367</v>
      </c>
      <c r="G124" s="5" t="s">
        <v>25</v>
      </c>
      <c r="H124" s="5" t="s">
        <v>404</v>
      </c>
      <c r="I12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Col2='""&amp;B124&amp;""'"",0)"),1)</f>
        <v>1</v>
      </c>
      <c r="J124" s="5">
        <f>IFERROR(__xludf.DUMMYFUNCTION("""COMPUTED_VALUE"""),0)</f>
        <v>0</v>
      </c>
      <c r="K124" s="5">
        <f>IFERROR(__xludf.DUMMYFUNCTION("""COMPUTED_VALUE"""),2)</f>
        <v>2</v>
      </c>
      <c r="L124" s="5">
        <f>IFERROR(__xludf.DUMMYFUNCTION("""COMPUTED_VALUE"""),4)</f>
        <v>4</v>
      </c>
      <c r="M124" s="5" t="str">
        <f>IFERROR(__xludf.DUMMYFUNCTION("""COMPUTED_VALUE"""),"Working")</f>
        <v>Working</v>
      </c>
      <c r="N124" s="5" t="str">
        <f>IFERROR(__xludf.DUMMYFUNCTION("""COMPUTED_VALUE"""),"CORRECT")</f>
        <v>CORRECT</v>
      </c>
      <c r="O124" s="5" t="str">
        <f>IFERROR(__xludf.DUMMYFUNCTION("""COMPUTED_VALUE"""),"CORRECT")</f>
        <v>CORRECT</v>
      </c>
      <c r="P124" s="5" t="str">
        <f t="shared" si="4"/>
        <v>Extra Theory Load Alloted</v>
      </c>
      <c r="Q124" s="5" t="str">
        <f t="shared" si="5"/>
        <v>Extra Lab Load Alloted</v>
      </c>
    </row>
    <row r="125" ht="27.6" spans="1:17">
      <c r="A125" s="4">
        <v>124</v>
      </c>
      <c r="B125" s="4" t="s">
        <v>405</v>
      </c>
      <c r="C125" s="4" t="s">
        <v>23</v>
      </c>
      <c r="D125" s="4" t="s">
        <v>406</v>
      </c>
      <c r="E125" s="5" t="str">
        <f t="shared" si="3"/>
        <v>Dr.KAVITHA C</v>
      </c>
      <c r="F125" s="6" t="s">
        <v>367</v>
      </c>
      <c r="G125" s="5" t="s">
        <v>25</v>
      </c>
      <c r="H125" s="5" t="s">
        <v>407</v>
      </c>
      <c r="I12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Col2='""&amp;B125&amp;""'"",0)"),2)</f>
        <v>2</v>
      </c>
      <c r="J125" s="5">
        <f>IFERROR(__xludf.DUMMYFUNCTION("""COMPUTED_VALUE"""),1)</f>
        <v>1</v>
      </c>
      <c r="K125" s="5">
        <f>IFERROR(__xludf.DUMMYFUNCTION("""COMPUTED_VALUE"""),2)</f>
        <v>2</v>
      </c>
      <c r="L125" s="5">
        <f>IFERROR(__xludf.DUMMYFUNCTION("""COMPUTED_VALUE"""),4)</f>
        <v>4</v>
      </c>
      <c r="M125" s="5" t="str">
        <f>IFERROR(__xludf.DUMMYFUNCTION("""COMPUTED_VALUE"""),"Working")</f>
        <v>Working</v>
      </c>
      <c r="N125" s="5" t="str">
        <f>IFERROR(__xludf.DUMMYFUNCTION("""COMPUTED_VALUE"""),"CORRECT")</f>
        <v>CORRECT</v>
      </c>
      <c r="O125" s="5" t="str">
        <f>IFERROR(__xludf.DUMMYFUNCTION("""COMPUTED_VALUE"""),"CORRECT")</f>
        <v>CORRECT</v>
      </c>
      <c r="P125" s="5" t="str">
        <f t="shared" si="4"/>
        <v/>
      </c>
      <c r="Q125" s="5" t="str">
        <f t="shared" si="5"/>
        <v>Extra Lab Load Alloted</v>
      </c>
    </row>
    <row r="126" ht="27.6" spans="1:17">
      <c r="A126" s="4">
        <v>125</v>
      </c>
      <c r="B126" s="4" t="s">
        <v>408</v>
      </c>
      <c r="C126" s="4" t="s">
        <v>23</v>
      </c>
      <c r="D126" s="4" t="s">
        <v>409</v>
      </c>
      <c r="E126" s="5" t="str">
        <f t="shared" si="3"/>
        <v>Dr.MALATHI MAHALINGAM</v>
      </c>
      <c r="F126" s="6" t="s">
        <v>367</v>
      </c>
      <c r="G126" s="5" t="s">
        <v>25</v>
      </c>
      <c r="H126" s="5" t="s">
        <v>410</v>
      </c>
      <c r="I12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Col2='""&amp;B126&amp;""'"",0)"),2)</f>
        <v>2</v>
      </c>
      <c r="J126" s="5">
        <f>IFERROR(__xludf.DUMMYFUNCTION("""COMPUTED_VALUE"""),1)</f>
        <v>1</v>
      </c>
      <c r="K126" s="5">
        <f>IFERROR(__xludf.DUMMYFUNCTION("""COMPUTED_VALUE"""),2)</f>
        <v>2</v>
      </c>
      <c r="L126" s="5">
        <f>IFERROR(__xludf.DUMMYFUNCTION("""COMPUTED_VALUE"""),4)</f>
        <v>4</v>
      </c>
      <c r="M126" s="5" t="str">
        <f>IFERROR(__xludf.DUMMYFUNCTION("""COMPUTED_VALUE"""),"Working")</f>
        <v>Working</v>
      </c>
      <c r="N126" s="5" t="str">
        <f>IFERROR(__xludf.DUMMYFUNCTION("""COMPUTED_VALUE"""),"CORRECT")</f>
        <v>CORRECT</v>
      </c>
      <c r="O126" s="5" t="str">
        <f>IFERROR(__xludf.DUMMYFUNCTION("""COMPUTED_VALUE"""),"CORRECT")</f>
        <v>CORRECT</v>
      </c>
      <c r="P126" s="5" t="str">
        <f t="shared" si="4"/>
        <v/>
      </c>
      <c r="Q126" s="5" t="str">
        <f t="shared" si="5"/>
        <v>Extra Lab Load Alloted</v>
      </c>
    </row>
    <row r="127" ht="27.6" spans="1:17">
      <c r="A127" s="4">
        <v>126</v>
      </c>
      <c r="B127" s="4" t="s">
        <v>411</v>
      </c>
      <c r="C127" s="4" t="s">
        <v>17</v>
      </c>
      <c r="D127" s="4" t="s">
        <v>412</v>
      </c>
      <c r="E127" s="5" t="str">
        <f t="shared" si="3"/>
        <v>Mr.DINESH P S</v>
      </c>
      <c r="F127" s="6" t="s">
        <v>413</v>
      </c>
      <c r="G127" s="5" t="s">
        <v>20</v>
      </c>
      <c r="H127" s="5" t="s">
        <v>414</v>
      </c>
      <c r="I12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Col2='""&amp;B127&amp;""'"",0)"),2)</f>
        <v>2</v>
      </c>
      <c r="J127" s="5">
        <f>IFERROR(__xludf.DUMMYFUNCTION("""COMPUTED_VALUE"""),2)</f>
        <v>2</v>
      </c>
      <c r="K127" s="5">
        <f>IFERROR(__xludf.DUMMYFUNCTION("""COMPUTED_VALUE"""),2)</f>
        <v>2</v>
      </c>
      <c r="L127" s="5">
        <f>IFERROR(__xludf.DUMMYFUNCTION("""COMPUTED_VALUE"""),1)</f>
        <v>1</v>
      </c>
      <c r="M127" s="5" t="str">
        <f>IFERROR(__xludf.DUMMYFUNCTION("""COMPUTED_VALUE"""),"Working")</f>
        <v>Working</v>
      </c>
      <c r="N127" s="5" t="str">
        <f>IFERROR(__xludf.DUMMYFUNCTION("""COMPUTED_VALUE"""),"CORRECT")</f>
        <v>CORRECT</v>
      </c>
      <c r="O127" s="5" t="str">
        <f>IFERROR(__xludf.DUMMYFUNCTION("""COMPUTED_VALUE"""),"LOAD PENDING")</f>
        <v>LOAD PENDING</v>
      </c>
      <c r="P127" s="5" t="str">
        <f t="shared" si="4"/>
        <v/>
      </c>
      <c r="Q127" s="5" t="str">
        <f t="shared" si="5"/>
        <v/>
      </c>
    </row>
    <row r="128" ht="14.4" spans="1:17">
      <c r="A128" s="4">
        <v>127</v>
      </c>
      <c r="B128" s="4" t="s">
        <v>415</v>
      </c>
      <c r="C128" s="4" t="s">
        <v>23</v>
      </c>
      <c r="D128" s="4" t="s">
        <v>416</v>
      </c>
      <c r="E128" s="5" t="str">
        <f t="shared" si="3"/>
        <v>Dr.KARTHIGA M</v>
      </c>
      <c r="F128" s="6" t="s">
        <v>413</v>
      </c>
      <c r="G128" s="5" t="s">
        <v>25</v>
      </c>
      <c r="H128" s="5" t="s">
        <v>417</v>
      </c>
      <c r="I12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Col2='""&amp;B128&amp;""'"",0)"),1)</f>
        <v>1</v>
      </c>
      <c r="J128" s="5">
        <f>IFERROR(__xludf.DUMMYFUNCTION("""COMPUTED_VALUE"""),0)</f>
        <v>0</v>
      </c>
      <c r="K128" s="5">
        <f>IFERROR(__xludf.DUMMYFUNCTION("""COMPUTED_VALUE"""),1)</f>
        <v>1</v>
      </c>
      <c r="L128" s="5">
        <f>IFERROR(__xludf.DUMMYFUNCTION("""COMPUTED_VALUE"""),0)</f>
        <v>0</v>
      </c>
      <c r="M128" s="5" t="str">
        <f>IFERROR(__xludf.DUMMYFUNCTION("""COMPUTED_VALUE"""),"Working")</f>
        <v>Working</v>
      </c>
      <c r="N128" s="5" t="str">
        <f>IFERROR(__xludf.DUMMYFUNCTION("""COMPUTED_VALUE"""),"CORRECT")</f>
        <v>CORRECT</v>
      </c>
      <c r="O128" s="5" t="str">
        <f>IFERROR(__xludf.DUMMYFUNCTION("""COMPUTED_VALUE"""),"CORRECT")</f>
        <v>CORRECT</v>
      </c>
      <c r="P128" s="5" t="str">
        <f t="shared" si="4"/>
        <v/>
      </c>
      <c r="Q128" s="5" t="str">
        <f t="shared" si="5"/>
        <v/>
      </c>
    </row>
    <row r="129" ht="27.6" spans="1:17">
      <c r="A129" s="4">
        <v>128</v>
      </c>
      <c r="B129" s="4" t="s">
        <v>418</v>
      </c>
      <c r="C129" s="4" t="s">
        <v>32</v>
      </c>
      <c r="D129" s="4" t="s">
        <v>419</v>
      </c>
      <c r="E129" s="5" t="str">
        <f t="shared" si="3"/>
        <v>Mrs.GANAGAVALLI K</v>
      </c>
      <c r="F129" s="6" t="s">
        <v>413</v>
      </c>
      <c r="G129" s="5" t="s">
        <v>20</v>
      </c>
      <c r="H129" s="5" t="s">
        <v>420</v>
      </c>
      <c r="I12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Col2='""&amp;B129&amp;""'"",0)"),1)</f>
        <v>1</v>
      </c>
      <c r="J129" s="5">
        <f>IFERROR(__xludf.DUMMYFUNCTION("""COMPUTED_VALUE"""),0)</f>
        <v>0</v>
      </c>
      <c r="K129" s="5">
        <f>IFERROR(__xludf.DUMMYFUNCTION("""COMPUTED_VALUE"""),1)</f>
        <v>1</v>
      </c>
      <c r="L129" s="5">
        <f>IFERROR(__xludf.DUMMYFUNCTION("""COMPUTED_VALUE"""),0)</f>
        <v>0</v>
      </c>
      <c r="M129" s="5" t="str">
        <f>IFERROR(__xludf.DUMMYFUNCTION("""COMPUTED_VALUE"""),"Working")</f>
        <v>Working</v>
      </c>
      <c r="N129" s="5" t="str">
        <f>IFERROR(__xludf.DUMMYFUNCTION("""COMPUTED_VALUE"""),"CORRECT")</f>
        <v>CORRECT</v>
      </c>
      <c r="O129" s="5" t="str">
        <f>IFERROR(__xludf.DUMMYFUNCTION("""COMPUTED_VALUE"""),"CORRECT")</f>
        <v>CORRECT</v>
      </c>
      <c r="P129" s="5" t="str">
        <f t="shared" si="4"/>
        <v/>
      </c>
      <c r="Q129" s="5" t="str">
        <f t="shared" si="5"/>
        <v/>
      </c>
    </row>
    <row r="130" ht="27.6" spans="1:17">
      <c r="A130" s="4">
        <v>129</v>
      </c>
      <c r="B130" s="4" t="s">
        <v>421</v>
      </c>
      <c r="C130" s="4" t="s">
        <v>17</v>
      </c>
      <c r="D130" s="4" t="s">
        <v>422</v>
      </c>
      <c r="E130" s="5" t="str">
        <f t="shared" ref="E130:E193" si="6">CONCATENATE(C130,".",D130)</f>
        <v>Mr.MOHAN KUMAR  V</v>
      </c>
      <c r="F130" s="6" t="s">
        <v>413</v>
      </c>
      <c r="G130" s="5" t="s">
        <v>37</v>
      </c>
      <c r="H130" s="5" t="s">
        <v>423</v>
      </c>
      <c r="I13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Col2='""&amp;B130&amp;""'"",0)"),0)</f>
        <v>0</v>
      </c>
      <c r="J130" s="5">
        <f>IFERROR(__xludf.DUMMYFUNCTION("""COMPUTED_VALUE"""),0)</f>
        <v>0</v>
      </c>
      <c r="K130" s="5">
        <f>IFERROR(__xludf.DUMMYFUNCTION("""COMPUTED_VALUE"""),0)</f>
        <v>0</v>
      </c>
      <c r="L130" s="5">
        <f>IFERROR(__xludf.DUMMYFUNCTION("""COMPUTED_VALUE"""),0)</f>
        <v>0</v>
      </c>
      <c r="M130" s="5" t="str">
        <f>IFERROR(__xludf.DUMMYFUNCTION("""COMPUTED_VALUE"""),"Working")</f>
        <v>Working</v>
      </c>
      <c r="N130" s="5" t="str">
        <f>IFERROR(__xludf.DUMMYFUNCTION("""COMPUTED_VALUE"""),"CORRECT")</f>
        <v>CORRECT</v>
      </c>
      <c r="O130" s="5" t="str">
        <f>IFERROR(__xludf.DUMMYFUNCTION("""COMPUTED_VALUE"""),"CORRECT")</f>
        <v>CORRECT</v>
      </c>
      <c r="P130" s="5" t="str">
        <f t="shared" ref="P130:P193" si="7">IF(K130&gt;I130,"Extra Theory Load Alloted","")</f>
        <v/>
      </c>
      <c r="Q130" s="5" t="str">
        <f t="shared" ref="Q130:Q193" si="8">IF(L130&gt;J130,"Extra Lab Load Alloted","")</f>
        <v/>
      </c>
    </row>
    <row r="131" ht="27.6" spans="1:17">
      <c r="A131" s="4">
        <v>130</v>
      </c>
      <c r="B131" s="4" t="s">
        <v>424</v>
      </c>
      <c r="C131" s="4" t="s">
        <v>32</v>
      </c>
      <c r="D131" s="4" t="s">
        <v>425</v>
      </c>
      <c r="E131" s="5" t="str">
        <f t="shared" si="6"/>
        <v>Mrs.PRABHA DEVI D</v>
      </c>
      <c r="F131" s="6" t="s">
        <v>413</v>
      </c>
      <c r="G131" s="5" t="s">
        <v>20</v>
      </c>
      <c r="H131" s="5" t="s">
        <v>426</v>
      </c>
      <c r="I13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Col2='""&amp;B131&amp;""'"",0)"),2)</f>
        <v>2</v>
      </c>
      <c r="J131" s="5">
        <f>IFERROR(__xludf.DUMMYFUNCTION("""COMPUTED_VALUE"""),2)</f>
        <v>2</v>
      </c>
      <c r="K131" s="5">
        <f>IFERROR(__xludf.DUMMYFUNCTION("""COMPUTED_VALUE"""),2)</f>
        <v>2</v>
      </c>
      <c r="L131" s="5">
        <f>IFERROR(__xludf.DUMMYFUNCTION("""COMPUTED_VALUE"""),1)</f>
        <v>1</v>
      </c>
      <c r="M131" s="5" t="str">
        <f>IFERROR(__xludf.DUMMYFUNCTION("""COMPUTED_VALUE"""),"Working")</f>
        <v>Working</v>
      </c>
      <c r="N131" s="5" t="str">
        <f>IFERROR(__xludf.DUMMYFUNCTION("""COMPUTED_VALUE"""),"CORRECT")</f>
        <v>CORRECT</v>
      </c>
      <c r="O131" s="5" t="str">
        <f>IFERROR(__xludf.DUMMYFUNCTION("""COMPUTED_VALUE"""),"LOAD PENDING")</f>
        <v>LOAD PENDING</v>
      </c>
      <c r="P131" s="5" t="str">
        <f t="shared" si="7"/>
        <v/>
      </c>
      <c r="Q131" s="5" t="str">
        <f t="shared" si="8"/>
        <v/>
      </c>
    </row>
    <row r="132" ht="27.6" spans="1:17">
      <c r="A132" s="4">
        <v>131</v>
      </c>
      <c r="B132" s="4" t="s">
        <v>427</v>
      </c>
      <c r="C132" s="4" t="s">
        <v>53</v>
      </c>
      <c r="D132" s="4" t="s">
        <v>428</v>
      </c>
      <c r="E132" s="5" t="str">
        <f t="shared" si="6"/>
        <v>Ms.SOUNDARIYA R S</v>
      </c>
      <c r="F132" s="6" t="s">
        <v>413</v>
      </c>
      <c r="G132" s="5" t="s">
        <v>20</v>
      </c>
      <c r="H132" s="5" t="s">
        <v>429</v>
      </c>
      <c r="I13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Col2='""&amp;B132&amp;""'"",0)"),2)</f>
        <v>2</v>
      </c>
      <c r="J132" s="5">
        <f>IFERROR(__xludf.DUMMYFUNCTION("""COMPUTED_VALUE"""),2)</f>
        <v>2</v>
      </c>
      <c r="K132" s="5">
        <f>IFERROR(__xludf.DUMMYFUNCTION("""COMPUTED_VALUE"""),2)</f>
        <v>2</v>
      </c>
      <c r="L132" s="5">
        <f>IFERROR(__xludf.DUMMYFUNCTION("""COMPUTED_VALUE"""),1)</f>
        <v>1</v>
      </c>
      <c r="M132" s="5" t="str">
        <f>IFERROR(__xludf.DUMMYFUNCTION("""COMPUTED_VALUE"""),"Working")</f>
        <v>Working</v>
      </c>
      <c r="N132" s="5" t="str">
        <f>IFERROR(__xludf.DUMMYFUNCTION("""COMPUTED_VALUE"""),"CORRECT")</f>
        <v>CORRECT</v>
      </c>
      <c r="O132" s="5" t="str">
        <f>IFERROR(__xludf.DUMMYFUNCTION("""COMPUTED_VALUE"""),"LOAD PENDING")</f>
        <v>LOAD PENDING</v>
      </c>
      <c r="P132" s="5" t="str">
        <f t="shared" si="7"/>
        <v/>
      </c>
      <c r="Q132" s="5" t="str">
        <f t="shared" si="8"/>
        <v/>
      </c>
    </row>
    <row r="133" ht="14.4" spans="1:17">
      <c r="A133" s="4">
        <v>132</v>
      </c>
      <c r="B133" s="4" t="s">
        <v>430</v>
      </c>
      <c r="C133" s="4" t="s">
        <v>23</v>
      </c>
      <c r="D133" s="4" t="s">
        <v>431</v>
      </c>
      <c r="E133" s="5" t="str">
        <f t="shared" si="6"/>
        <v>Dr.PRAVEEN V</v>
      </c>
      <c r="F133" s="6" t="s">
        <v>413</v>
      </c>
      <c r="G133" s="5" t="s">
        <v>25</v>
      </c>
      <c r="H133" s="5" t="s">
        <v>432</v>
      </c>
      <c r="I13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Col2='""&amp;B133&amp;""'"",0)"),2)</f>
        <v>2</v>
      </c>
      <c r="J133" s="5">
        <f>IFERROR(__xludf.DUMMYFUNCTION("""COMPUTED_VALUE"""),1)</f>
        <v>1</v>
      </c>
      <c r="K133" s="5">
        <f>IFERROR(__xludf.DUMMYFUNCTION("""COMPUTED_VALUE"""),2)</f>
        <v>2</v>
      </c>
      <c r="L133" s="5">
        <f>IFERROR(__xludf.DUMMYFUNCTION("""COMPUTED_VALUE"""),1)</f>
        <v>1</v>
      </c>
      <c r="M133" s="5" t="str">
        <f>IFERROR(__xludf.DUMMYFUNCTION("""COMPUTED_VALUE"""),"Working")</f>
        <v>Working</v>
      </c>
      <c r="N133" s="5" t="str">
        <f>IFERROR(__xludf.DUMMYFUNCTION("""COMPUTED_VALUE"""),"CORRECT")</f>
        <v>CORRECT</v>
      </c>
      <c r="O133" s="5" t="str">
        <f>IFERROR(__xludf.DUMMYFUNCTION("""COMPUTED_VALUE"""),"CORRECT")</f>
        <v>CORRECT</v>
      </c>
      <c r="P133" s="5" t="str">
        <f t="shared" si="7"/>
        <v/>
      </c>
      <c r="Q133" s="5" t="str">
        <f t="shared" si="8"/>
        <v/>
      </c>
    </row>
    <row r="134" ht="27.6" spans="1:17">
      <c r="A134" s="4">
        <v>133</v>
      </c>
      <c r="B134" s="4" t="s">
        <v>433</v>
      </c>
      <c r="C134" s="4" t="s">
        <v>23</v>
      </c>
      <c r="D134" s="4" t="s">
        <v>434</v>
      </c>
      <c r="E134" s="5" t="str">
        <f t="shared" si="6"/>
        <v>Dr.SWATHYPRIYADHARSINI P</v>
      </c>
      <c r="F134" s="6" t="s">
        <v>413</v>
      </c>
      <c r="G134" s="5" t="s">
        <v>20</v>
      </c>
      <c r="H134" s="5" t="s">
        <v>435</v>
      </c>
      <c r="I13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Col2='""&amp;B134&amp;""'"",0)"),2)</f>
        <v>2</v>
      </c>
      <c r="J134" s="5">
        <f>IFERROR(__xludf.DUMMYFUNCTION("""COMPUTED_VALUE"""),2)</f>
        <v>2</v>
      </c>
      <c r="K134" s="5">
        <f>IFERROR(__xludf.DUMMYFUNCTION("""COMPUTED_VALUE"""),2)</f>
        <v>2</v>
      </c>
      <c r="L134" s="5">
        <f>IFERROR(__xludf.DUMMYFUNCTION("""COMPUTED_VALUE"""),1)</f>
        <v>1</v>
      </c>
      <c r="M134" s="5" t="str">
        <f>IFERROR(__xludf.DUMMYFUNCTION("""COMPUTED_VALUE"""),"Working")</f>
        <v>Working</v>
      </c>
      <c r="N134" s="5" t="str">
        <f>IFERROR(__xludf.DUMMYFUNCTION("""COMPUTED_VALUE"""),"CORRECT")</f>
        <v>CORRECT</v>
      </c>
      <c r="O134" s="5" t="str">
        <f>IFERROR(__xludf.DUMMYFUNCTION("""COMPUTED_VALUE"""),"LOAD PENDING")</f>
        <v>LOAD PENDING</v>
      </c>
      <c r="P134" s="5" t="str">
        <f t="shared" si="7"/>
        <v/>
      </c>
      <c r="Q134" s="5" t="str">
        <f t="shared" si="8"/>
        <v/>
      </c>
    </row>
    <row r="135" ht="27.6" spans="1:17">
      <c r="A135" s="4">
        <v>134</v>
      </c>
      <c r="B135" s="4" t="s">
        <v>436</v>
      </c>
      <c r="C135" s="4" t="s">
        <v>17</v>
      </c>
      <c r="D135" s="4" t="s">
        <v>437</v>
      </c>
      <c r="E135" s="5" t="str">
        <f t="shared" si="6"/>
        <v>Mr.MAGESH KUMAR B</v>
      </c>
      <c r="F135" s="6" t="s">
        <v>413</v>
      </c>
      <c r="G135" s="5" t="s">
        <v>37</v>
      </c>
      <c r="H135" s="5" t="s">
        <v>438</v>
      </c>
      <c r="I13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Col2='""&amp;B135&amp;""'"",0)"),1)</f>
        <v>1</v>
      </c>
      <c r="J135" s="5">
        <f>IFERROR(__xludf.DUMMYFUNCTION("""COMPUTED_VALUE"""),0)</f>
        <v>0</v>
      </c>
      <c r="K135" s="5">
        <f>IFERROR(__xludf.DUMMYFUNCTION("""COMPUTED_VALUE"""),1)</f>
        <v>1</v>
      </c>
      <c r="L135" s="5">
        <f>IFERROR(__xludf.DUMMYFUNCTION("""COMPUTED_VALUE"""),0)</f>
        <v>0</v>
      </c>
      <c r="M135" s="5" t="str">
        <f>IFERROR(__xludf.DUMMYFUNCTION("""COMPUTED_VALUE"""),"Working")</f>
        <v>Working</v>
      </c>
      <c r="N135" s="5" t="str">
        <f>IFERROR(__xludf.DUMMYFUNCTION("""COMPUTED_VALUE"""),"CORRECT")</f>
        <v>CORRECT</v>
      </c>
      <c r="O135" s="5" t="str">
        <f>IFERROR(__xludf.DUMMYFUNCTION("""COMPUTED_VALUE"""),"CORRECT")</f>
        <v>CORRECT</v>
      </c>
      <c r="P135" s="5" t="str">
        <f t="shared" si="7"/>
        <v/>
      </c>
      <c r="Q135" s="5" t="str">
        <f t="shared" si="8"/>
        <v/>
      </c>
    </row>
    <row r="136" ht="27.6" spans="1:17">
      <c r="A136" s="4">
        <v>135</v>
      </c>
      <c r="B136" s="4" t="s">
        <v>439</v>
      </c>
      <c r="C136" s="4" t="s">
        <v>17</v>
      </c>
      <c r="D136" s="4" t="s">
        <v>440</v>
      </c>
      <c r="E136" s="5" t="str">
        <f t="shared" si="6"/>
        <v>Mr.SUSEENDRAN S</v>
      </c>
      <c r="F136" s="6" t="s">
        <v>413</v>
      </c>
      <c r="G136" s="5" t="s">
        <v>20</v>
      </c>
      <c r="H136" s="5" t="s">
        <v>441</v>
      </c>
      <c r="I13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Col2='""&amp;B136&amp;""'"",0)"),2)</f>
        <v>2</v>
      </c>
      <c r="J136" s="5">
        <f>IFERROR(__xludf.DUMMYFUNCTION("""COMPUTED_VALUE"""),2)</f>
        <v>2</v>
      </c>
      <c r="K136" s="5">
        <f>IFERROR(__xludf.DUMMYFUNCTION("""COMPUTED_VALUE"""),2)</f>
        <v>2</v>
      </c>
      <c r="L136" s="5">
        <f>IFERROR(__xludf.DUMMYFUNCTION("""COMPUTED_VALUE"""),1)</f>
        <v>1</v>
      </c>
      <c r="M136" s="5" t="str">
        <f>IFERROR(__xludf.DUMMYFUNCTION("""COMPUTED_VALUE"""),"Working")</f>
        <v>Working</v>
      </c>
      <c r="N136" s="5" t="str">
        <f>IFERROR(__xludf.DUMMYFUNCTION("""COMPUTED_VALUE"""),"CORRECT")</f>
        <v>CORRECT</v>
      </c>
      <c r="O136" s="5" t="str">
        <f>IFERROR(__xludf.DUMMYFUNCTION("""COMPUTED_VALUE"""),"LOAD PENDING")</f>
        <v>LOAD PENDING</v>
      </c>
      <c r="P136" s="5" t="str">
        <f t="shared" si="7"/>
        <v/>
      </c>
      <c r="Q136" s="5" t="str">
        <f t="shared" si="8"/>
        <v/>
      </c>
    </row>
    <row r="137" ht="14.4" spans="1:17">
      <c r="A137" s="4">
        <v>136</v>
      </c>
      <c r="B137" s="4" t="s">
        <v>442</v>
      </c>
      <c r="C137" s="4" t="s">
        <v>23</v>
      </c>
      <c r="D137" s="4" t="s">
        <v>443</v>
      </c>
      <c r="E137" s="5" t="str">
        <f t="shared" si="6"/>
        <v>Dr.PARTHASARATHI P</v>
      </c>
      <c r="F137" s="6" t="s">
        <v>413</v>
      </c>
      <c r="G137" s="5" t="s">
        <v>25</v>
      </c>
      <c r="H137" s="5" t="s">
        <v>444</v>
      </c>
      <c r="I13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Col2='""&amp;B137&amp;""'"",0)"),2)</f>
        <v>2</v>
      </c>
      <c r="J137" s="5">
        <f>IFERROR(__xludf.DUMMYFUNCTION("""COMPUTED_VALUE"""),1)</f>
        <v>1</v>
      </c>
      <c r="K137" s="5">
        <f>IFERROR(__xludf.DUMMYFUNCTION("""COMPUTED_VALUE"""),2)</f>
        <v>2</v>
      </c>
      <c r="L137" s="5">
        <f>IFERROR(__xludf.DUMMYFUNCTION("""COMPUTED_VALUE"""),1)</f>
        <v>1</v>
      </c>
      <c r="M137" s="5" t="str">
        <f>IFERROR(__xludf.DUMMYFUNCTION("""COMPUTED_VALUE"""),"Working")</f>
        <v>Working</v>
      </c>
      <c r="N137" s="5" t="str">
        <f>IFERROR(__xludf.DUMMYFUNCTION("""COMPUTED_VALUE"""),"CORRECT")</f>
        <v>CORRECT</v>
      </c>
      <c r="O137" s="5" t="str">
        <f>IFERROR(__xludf.DUMMYFUNCTION("""COMPUTED_VALUE"""),"CORRECT")</f>
        <v>CORRECT</v>
      </c>
      <c r="P137" s="5" t="str">
        <f t="shared" si="7"/>
        <v/>
      </c>
      <c r="Q137" s="5" t="str">
        <f t="shared" si="8"/>
        <v/>
      </c>
    </row>
    <row r="138" ht="14.4" spans="1:17">
      <c r="A138" s="4">
        <v>137</v>
      </c>
      <c r="B138" s="4" t="s">
        <v>445</v>
      </c>
      <c r="C138" s="4" t="s">
        <v>23</v>
      </c>
      <c r="D138" s="4" t="s">
        <v>446</v>
      </c>
      <c r="E138" s="5" t="str">
        <f t="shared" si="6"/>
        <v>Dr.DHIVYA P</v>
      </c>
      <c r="F138" s="6" t="s">
        <v>413</v>
      </c>
      <c r="G138" s="5" t="s">
        <v>25</v>
      </c>
      <c r="H138" s="5" t="s">
        <v>447</v>
      </c>
      <c r="I13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Col2='""&amp;B138&amp;""'"",0)"),2)</f>
        <v>2</v>
      </c>
      <c r="J138" s="5">
        <f>IFERROR(__xludf.DUMMYFUNCTION("""COMPUTED_VALUE"""),1)</f>
        <v>1</v>
      </c>
      <c r="K138" s="5">
        <f>IFERROR(__xludf.DUMMYFUNCTION("""COMPUTED_VALUE"""),2)</f>
        <v>2</v>
      </c>
      <c r="L138" s="5">
        <f>IFERROR(__xludf.DUMMYFUNCTION("""COMPUTED_VALUE"""),1)</f>
        <v>1</v>
      </c>
      <c r="M138" s="5" t="str">
        <f>IFERROR(__xludf.DUMMYFUNCTION("""COMPUTED_VALUE"""),"Working")</f>
        <v>Working</v>
      </c>
      <c r="N138" s="5" t="str">
        <f>IFERROR(__xludf.DUMMYFUNCTION("""COMPUTED_VALUE"""),"CORRECT")</f>
        <v>CORRECT</v>
      </c>
      <c r="O138" s="5" t="str">
        <f>IFERROR(__xludf.DUMMYFUNCTION("""COMPUTED_VALUE"""),"CORRECT")</f>
        <v>CORRECT</v>
      </c>
      <c r="P138" s="5" t="str">
        <f t="shared" si="7"/>
        <v/>
      </c>
      <c r="Q138" s="5" t="str">
        <f t="shared" si="8"/>
        <v/>
      </c>
    </row>
    <row r="139" ht="14.4" spans="1:17">
      <c r="A139" s="4">
        <v>138</v>
      </c>
      <c r="B139" s="4" t="s">
        <v>448</v>
      </c>
      <c r="C139" s="4" t="s">
        <v>23</v>
      </c>
      <c r="D139" s="4" t="s">
        <v>449</v>
      </c>
      <c r="E139" s="5" t="str">
        <f t="shared" si="6"/>
        <v>Dr.SANGEETHAA SN</v>
      </c>
      <c r="F139" s="6" t="s">
        <v>413</v>
      </c>
      <c r="G139" s="5" t="s">
        <v>29</v>
      </c>
      <c r="H139" s="5" t="s">
        <v>450</v>
      </c>
      <c r="I13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Col2='""&amp;B139&amp;""'"",0)"),1)</f>
        <v>1</v>
      </c>
      <c r="J139" s="5">
        <f>IFERROR(__xludf.DUMMYFUNCTION("""COMPUTED_VALUE"""),1)</f>
        <v>1</v>
      </c>
      <c r="K139" s="5">
        <f>IFERROR(__xludf.DUMMYFUNCTION("""COMPUTED_VALUE"""),2)</f>
        <v>2</v>
      </c>
      <c r="L139" s="5">
        <f>IFERROR(__xludf.DUMMYFUNCTION("""COMPUTED_VALUE"""),1)</f>
        <v>1</v>
      </c>
      <c r="M139" s="5" t="str">
        <f>IFERROR(__xludf.DUMMYFUNCTION("""COMPUTED_VALUE"""),"Working")</f>
        <v>Working</v>
      </c>
      <c r="N139" s="5" t="str">
        <f>IFERROR(__xludf.DUMMYFUNCTION("""COMPUTED_VALUE"""),"CORRECT")</f>
        <v>CORRECT</v>
      </c>
      <c r="O139" s="5" t="str">
        <f>IFERROR(__xludf.DUMMYFUNCTION("""COMPUTED_VALUE"""),"CORRECT")</f>
        <v>CORRECT</v>
      </c>
      <c r="P139" s="5" t="str">
        <f t="shared" si="7"/>
        <v>Extra Theory Load Alloted</v>
      </c>
      <c r="Q139" s="5" t="str">
        <f t="shared" si="8"/>
        <v/>
      </c>
    </row>
    <row r="140" ht="27.6" spans="1:17">
      <c r="A140" s="4">
        <v>139</v>
      </c>
      <c r="B140" s="4" t="s">
        <v>451</v>
      </c>
      <c r="C140" s="4" t="s">
        <v>23</v>
      </c>
      <c r="D140" s="4" t="s">
        <v>452</v>
      </c>
      <c r="E140" s="5" t="str">
        <f t="shared" si="6"/>
        <v>Dr.RAJESH KANNA P</v>
      </c>
      <c r="F140" s="6" t="s">
        <v>413</v>
      </c>
      <c r="G140" s="5" t="s">
        <v>25</v>
      </c>
      <c r="H140" s="5" t="s">
        <v>453</v>
      </c>
      <c r="I14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Col2='""&amp;B140&amp;""'"",0)"),2)</f>
        <v>2</v>
      </c>
      <c r="J140" s="5">
        <f>IFERROR(__xludf.DUMMYFUNCTION("""COMPUTED_VALUE"""),1)</f>
        <v>1</v>
      </c>
      <c r="K140" s="5">
        <f>IFERROR(__xludf.DUMMYFUNCTION("""COMPUTED_VALUE"""),3)</f>
        <v>3</v>
      </c>
      <c r="L140" s="5">
        <f>IFERROR(__xludf.DUMMYFUNCTION("""COMPUTED_VALUE"""),2)</f>
        <v>2</v>
      </c>
      <c r="M140" s="5" t="str">
        <f>IFERROR(__xludf.DUMMYFUNCTION("""COMPUTED_VALUE"""),"Working")</f>
        <v>Working</v>
      </c>
      <c r="N140" s="5" t="str">
        <f>IFERROR(__xludf.DUMMYFUNCTION("""COMPUTED_VALUE"""),"CORRECT")</f>
        <v>CORRECT</v>
      </c>
      <c r="O140" s="5" t="str">
        <f>IFERROR(__xludf.DUMMYFUNCTION("""COMPUTED_VALUE"""),"CORRECT")</f>
        <v>CORRECT</v>
      </c>
      <c r="P140" s="5" t="str">
        <f t="shared" si="7"/>
        <v>Extra Theory Load Alloted</v>
      </c>
      <c r="Q140" s="5" t="str">
        <f t="shared" si="8"/>
        <v>Extra Lab Load Alloted</v>
      </c>
    </row>
    <row r="141" ht="27.6" spans="1:17">
      <c r="A141" s="4">
        <v>140</v>
      </c>
      <c r="B141" s="4" t="s">
        <v>454</v>
      </c>
      <c r="C141" s="4" t="s">
        <v>53</v>
      </c>
      <c r="D141" s="4" t="s">
        <v>455</v>
      </c>
      <c r="E141" s="5" t="str">
        <f t="shared" si="6"/>
        <v>Ms.KIRUTHIKA V R</v>
      </c>
      <c r="F141" s="6" t="s">
        <v>413</v>
      </c>
      <c r="G141" s="5" t="s">
        <v>37</v>
      </c>
      <c r="H141" s="5" t="s">
        <v>456</v>
      </c>
      <c r="I14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Col2='""&amp;B141&amp;""'"",0)"),2)</f>
        <v>2</v>
      </c>
      <c r="J141" s="5">
        <f>IFERROR(__xludf.DUMMYFUNCTION("""COMPUTED_VALUE"""),2)</f>
        <v>2</v>
      </c>
      <c r="K141" s="5">
        <f>IFERROR(__xludf.DUMMYFUNCTION("""COMPUTED_VALUE"""),2)</f>
        <v>2</v>
      </c>
      <c r="L141" s="5">
        <f>IFERROR(__xludf.DUMMYFUNCTION("""COMPUTED_VALUE"""),1)</f>
        <v>1</v>
      </c>
      <c r="M141" s="5" t="str">
        <f>IFERROR(__xludf.DUMMYFUNCTION("""COMPUTED_VALUE"""),"Working")</f>
        <v>Working</v>
      </c>
      <c r="N141" s="5" t="str">
        <f>IFERROR(__xludf.DUMMYFUNCTION("""COMPUTED_VALUE"""),"CORRECT")</f>
        <v>CORRECT</v>
      </c>
      <c r="O141" s="5" t="str">
        <f>IFERROR(__xludf.DUMMYFUNCTION("""COMPUTED_VALUE"""),"LOAD PENDING")</f>
        <v>LOAD PENDING</v>
      </c>
      <c r="P141" s="5" t="str">
        <f t="shared" si="7"/>
        <v/>
      </c>
      <c r="Q141" s="5" t="str">
        <f t="shared" si="8"/>
        <v/>
      </c>
    </row>
    <row r="142" ht="27.6" spans="1:17">
      <c r="A142" s="4">
        <v>141</v>
      </c>
      <c r="B142" s="4" t="s">
        <v>457</v>
      </c>
      <c r="C142" s="4" t="s">
        <v>32</v>
      </c>
      <c r="D142" s="4" t="s">
        <v>458</v>
      </c>
      <c r="E142" s="5" t="str">
        <f t="shared" si="6"/>
        <v>Mrs.NITHYA R</v>
      </c>
      <c r="F142" s="6" t="s">
        <v>413</v>
      </c>
      <c r="G142" s="5" t="s">
        <v>37</v>
      </c>
      <c r="H142" s="5" t="s">
        <v>459</v>
      </c>
      <c r="I14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Col2='""&amp;B142&amp;""'"",0)"),2)</f>
        <v>2</v>
      </c>
      <c r="J142" s="5">
        <f>IFERROR(__xludf.DUMMYFUNCTION("""COMPUTED_VALUE"""),2)</f>
        <v>2</v>
      </c>
      <c r="K142" s="5">
        <f>IFERROR(__xludf.DUMMYFUNCTION("""COMPUTED_VALUE"""),3)</f>
        <v>3</v>
      </c>
      <c r="L142" s="5">
        <f>IFERROR(__xludf.DUMMYFUNCTION("""COMPUTED_VALUE"""),0)</f>
        <v>0</v>
      </c>
      <c r="M142" s="5" t="str">
        <f>IFERROR(__xludf.DUMMYFUNCTION("""COMPUTED_VALUE"""),"Working")</f>
        <v>Working</v>
      </c>
      <c r="N142" s="5" t="str">
        <f>IFERROR(__xludf.DUMMYFUNCTION("""COMPUTED_VALUE"""),"CORRECT")</f>
        <v>CORRECT</v>
      </c>
      <c r="O142" s="5" t="str">
        <f>IFERROR(__xludf.DUMMYFUNCTION("""COMPUTED_VALUE"""),"LOAD PENDING")</f>
        <v>LOAD PENDING</v>
      </c>
      <c r="P142" s="5" t="str">
        <f t="shared" si="7"/>
        <v>Extra Theory Load Alloted</v>
      </c>
      <c r="Q142" s="5" t="str">
        <f t="shared" si="8"/>
        <v/>
      </c>
    </row>
    <row r="143" ht="27.6" spans="1:17">
      <c r="A143" s="4">
        <v>142</v>
      </c>
      <c r="B143" s="4" t="s">
        <v>460</v>
      </c>
      <c r="C143" s="4" t="s">
        <v>53</v>
      </c>
      <c r="D143" s="4" t="s">
        <v>461</v>
      </c>
      <c r="E143" s="5" t="str">
        <f t="shared" si="6"/>
        <v>Ms.SANGAVI N</v>
      </c>
      <c r="F143" s="6" t="s">
        <v>413</v>
      </c>
      <c r="G143" s="5" t="s">
        <v>37</v>
      </c>
      <c r="H143" s="5" t="s">
        <v>462</v>
      </c>
      <c r="I14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Col2='""&amp;B143&amp;""'"",0)"),2)</f>
        <v>2</v>
      </c>
      <c r="J143" s="5">
        <f>IFERROR(__xludf.DUMMYFUNCTION("""COMPUTED_VALUE"""),2)</f>
        <v>2</v>
      </c>
      <c r="K143" s="5">
        <f>IFERROR(__xludf.DUMMYFUNCTION("""COMPUTED_VALUE"""),2)</f>
        <v>2</v>
      </c>
      <c r="L143" s="5">
        <f>IFERROR(__xludf.DUMMYFUNCTION("""COMPUTED_VALUE"""),1)</f>
        <v>1</v>
      </c>
      <c r="M143" s="5" t="str">
        <f>IFERROR(__xludf.DUMMYFUNCTION("""COMPUTED_VALUE"""),"Working")</f>
        <v>Working</v>
      </c>
      <c r="N143" s="5" t="str">
        <f>IFERROR(__xludf.DUMMYFUNCTION("""COMPUTED_VALUE"""),"CORRECT")</f>
        <v>CORRECT</v>
      </c>
      <c r="O143" s="5" t="str">
        <f>IFERROR(__xludf.DUMMYFUNCTION("""COMPUTED_VALUE"""),"LOAD PENDING")</f>
        <v>LOAD PENDING</v>
      </c>
      <c r="P143" s="5" t="str">
        <f t="shared" si="7"/>
        <v/>
      </c>
      <c r="Q143" s="5" t="str">
        <f t="shared" si="8"/>
        <v/>
      </c>
    </row>
    <row r="144" ht="27.6" spans="1:17">
      <c r="A144" s="4">
        <v>143</v>
      </c>
      <c r="B144" s="4" t="s">
        <v>463</v>
      </c>
      <c r="C144" s="4" t="s">
        <v>17</v>
      </c>
      <c r="D144" s="4" t="s">
        <v>464</v>
      </c>
      <c r="E144" s="5" t="str">
        <f t="shared" si="6"/>
        <v>Mr.SATHISHKANNAN R</v>
      </c>
      <c r="F144" s="6" t="s">
        <v>413</v>
      </c>
      <c r="G144" s="5" t="s">
        <v>20</v>
      </c>
      <c r="H144" s="5" t="s">
        <v>465</v>
      </c>
      <c r="I14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Col2='""&amp;B144&amp;""'"",0)"),1)</f>
        <v>1</v>
      </c>
      <c r="J144" s="5">
        <f>IFERROR(__xludf.DUMMYFUNCTION("""COMPUTED_VALUE"""),0)</f>
        <v>0</v>
      </c>
      <c r="K144" s="5">
        <f>IFERROR(__xludf.DUMMYFUNCTION("""COMPUTED_VALUE"""),1)</f>
        <v>1</v>
      </c>
      <c r="L144" s="5">
        <f>IFERROR(__xludf.DUMMYFUNCTION("""COMPUTED_VALUE"""),0)</f>
        <v>0</v>
      </c>
      <c r="M144" s="5" t="str">
        <f>IFERROR(__xludf.DUMMYFUNCTION("""COMPUTED_VALUE"""),"Working")</f>
        <v>Working</v>
      </c>
      <c r="N144" s="5" t="str">
        <f>IFERROR(__xludf.DUMMYFUNCTION("""COMPUTED_VALUE"""),"CORRECT")</f>
        <v>CORRECT</v>
      </c>
      <c r="O144" s="5" t="str">
        <f>IFERROR(__xludf.DUMMYFUNCTION("""COMPUTED_VALUE"""),"CORRECT")</f>
        <v>CORRECT</v>
      </c>
      <c r="P144" s="5" t="str">
        <f t="shared" si="7"/>
        <v/>
      </c>
      <c r="Q144" s="5" t="str">
        <f t="shared" si="8"/>
        <v/>
      </c>
    </row>
    <row r="145" ht="14.4" spans="1:17">
      <c r="A145" s="4">
        <v>144</v>
      </c>
      <c r="B145" s="4" t="s">
        <v>466</v>
      </c>
      <c r="C145" s="4" t="s">
        <v>32</v>
      </c>
      <c r="D145" s="4" t="s">
        <v>467</v>
      </c>
      <c r="E145" s="5" t="str">
        <f t="shared" si="6"/>
        <v>Mrs.KALAIVANI E</v>
      </c>
      <c r="F145" s="6" t="s">
        <v>413</v>
      </c>
      <c r="G145" s="5" t="s">
        <v>47</v>
      </c>
      <c r="H145" s="5" t="s">
        <v>468</v>
      </c>
      <c r="I14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Col2='""&amp;B145&amp;""'"",0)"),2)</f>
        <v>2</v>
      </c>
      <c r="J145" s="5">
        <f>IFERROR(__xludf.DUMMYFUNCTION("""COMPUTED_VALUE"""),2)</f>
        <v>2</v>
      </c>
      <c r="K145" s="5">
        <f>IFERROR(__xludf.DUMMYFUNCTION("""COMPUTED_VALUE"""),2)</f>
        <v>2</v>
      </c>
      <c r="L145" s="5">
        <f>IFERROR(__xludf.DUMMYFUNCTION("""COMPUTED_VALUE"""),1)</f>
        <v>1</v>
      </c>
      <c r="M145" s="5" t="str">
        <f>IFERROR(__xludf.DUMMYFUNCTION("""COMPUTED_VALUE"""),"Working")</f>
        <v>Working</v>
      </c>
      <c r="N145" s="5" t="str">
        <f>IFERROR(__xludf.DUMMYFUNCTION("""COMPUTED_VALUE"""),"CORRECT")</f>
        <v>CORRECT</v>
      </c>
      <c r="O145" s="5" t="str">
        <f>IFERROR(__xludf.DUMMYFUNCTION("""COMPUTED_VALUE"""),"LOAD PENDING")</f>
        <v>LOAD PENDING</v>
      </c>
      <c r="P145" s="5" t="str">
        <f t="shared" si="7"/>
        <v/>
      </c>
      <c r="Q145" s="5" t="str">
        <f t="shared" si="8"/>
        <v/>
      </c>
    </row>
    <row r="146" ht="14.4" spans="1:17">
      <c r="A146" s="4">
        <v>145</v>
      </c>
      <c r="B146" s="4" t="s">
        <v>469</v>
      </c>
      <c r="C146" s="4" t="s">
        <v>23</v>
      </c>
      <c r="D146" s="4" t="s">
        <v>470</v>
      </c>
      <c r="E146" s="5" t="str">
        <f t="shared" si="6"/>
        <v>Dr.SARANYA K</v>
      </c>
      <c r="F146" s="6" t="s">
        <v>413</v>
      </c>
      <c r="G146" s="5" t="s">
        <v>25</v>
      </c>
      <c r="H146" s="5" t="s">
        <v>471</v>
      </c>
      <c r="I14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Col2='""&amp;B146&amp;""'"",0)"),2)</f>
        <v>2</v>
      </c>
      <c r="J146" s="5">
        <f>IFERROR(__xludf.DUMMYFUNCTION("""COMPUTED_VALUE"""),1)</f>
        <v>1</v>
      </c>
      <c r="K146" s="5">
        <f>IFERROR(__xludf.DUMMYFUNCTION("""COMPUTED_VALUE"""),2)</f>
        <v>2</v>
      </c>
      <c r="L146" s="5">
        <f>IFERROR(__xludf.DUMMYFUNCTION("""COMPUTED_VALUE"""),0)</f>
        <v>0</v>
      </c>
      <c r="M146" s="5" t="str">
        <f>IFERROR(__xludf.DUMMYFUNCTION("""COMPUTED_VALUE"""),"Working")</f>
        <v>Working</v>
      </c>
      <c r="N146" s="5" t="str">
        <f>IFERROR(__xludf.DUMMYFUNCTION("""COMPUTED_VALUE"""),"CORRECT")</f>
        <v>CORRECT</v>
      </c>
      <c r="O146" s="5" t="str">
        <f>IFERROR(__xludf.DUMMYFUNCTION("""COMPUTED_VALUE"""),"LOAD PENDING")</f>
        <v>LOAD PENDING</v>
      </c>
      <c r="P146" s="5" t="str">
        <f t="shared" si="7"/>
        <v/>
      </c>
      <c r="Q146" s="5" t="str">
        <f t="shared" si="8"/>
        <v/>
      </c>
    </row>
    <row r="147" ht="27.6" spans="1:17">
      <c r="A147" s="4">
        <v>146</v>
      </c>
      <c r="B147" s="4" t="s">
        <v>472</v>
      </c>
      <c r="C147" s="4" t="s">
        <v>17</v>
      </c>
      <c r="D147" s="4" t="s">
        <v>473</v>
      </c>
      <c r="E147" s="5" t="str">
        <f t="shared" si="6"/>
        <v>Mr.RAMASAMI S</v>
      </c>
      <c r="F147" s="6" t="s">
        <v>413</v>
      </c>
      <c r="G147" s="5" t="s">
        <v>20</v>
      </c>
      <c r="H147" s="5" t="s">
        <v>474</v>
      </c>
      <c r="I14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Col2='""&amp;B147&amp;""'"",0)"),1)</f>
        <v>1</v>
      </c>
      <c r="J147" s="5">
        <f>IFERROR(__xludf.DUMMYFUNCTION("""COMPUTED_VALUE"""),0)</f>
        <v>0</v>
      </c>
      <c r="K147" s="5">
        <f>IFERROR(__xludf.DUMMYFUNCTION("""COMPUTED_VALUE"""),1)</f>
        <v>1</v>
      </c>
      <c r="L147" s="5">
        <f>IFERROR(__xludf.DUMMYFUNCTION("""COMPUTED_VALUE"""),0)</f>
        <v>0</v>
      </c>
      <c r="M147" s="5" t="str">
        <f>IFERROR(__xludf.DUMMYFUNCTION("""COMPUTED_VALUE"""),"Working")</f>
        <v>Working</v>
      </c>
      <c r="N147" s="5" t="str">
        <f>IFERROR(__xludf.DUMMYFUNCTION("""COMPUTED_VALUE"""),"CORRECT")</f>
        <v>CORRECT</v>
      </c>
      <c r="O147" s="5" t="str">
        <f>IFERROR(__xludf.DUMMYFUNCTION("""COMPUTED_VALUE"""),"CORRECT")</f>
        <v>CORRECT</v>
      </c>
      <c r="P147" s="5" t="str">
        <f t="shared" si="7"/>
        <v/>
      </c>
      <c r="Q147" s="5" t="str">
        <f t="shared" si="8"/>
        <v/>
      </c>
    </row>
    <row r="148" ht="14.4" spans="1:17">
      <c r="A148" s="4">
        <v>147</v>
      </c>
      <c r="B148" s="4" t="s">
        <v>475</v>
      </c>
      <c r="C148" s="4" t="s">
        <v>23</v>
      </c>
      <c r="D148" s="4" t="s">
        <v>476</v>
      </c>
      <c r="E148" s="5" t="str">
        <f t="shared" si="6"/>
        <v>Dr.RAJESHKUMAR G</v>
      </c>
      <c r="F148" s="6" t="s">
        <v>413</v>
      </c>
      <c r="G148" s="5" t="s">
        <v>29</v>
      </c>
      <c r="H148" s="5" t="s">
        <v>477</v>
      </c>
      <c r="I14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Col2='""&amp;B148&amp;""'"",0)"),1)</f>
        <v>1</v>
      </c>
      <c r="J148" s="5">
        <f>IFERROR(__xludf.DUMMYFUNCTION("""COMPUTED_VALUE"""),1)</f>
        <v>1</v>
      </c>
      <c r="K148" s="5">
        <f>IFERROR(__xludf.DUMMYFUNCTION("""COMPUTED_VALUE"""),2)</f>
        <v>2</v>
      </c>
      <c r="L148" s="5">
        <f>IFERROR(__xludf.DUMMYFUNCTION("""COMPUTED_VALUE"""),0)</f>
        <v>0</v>
      </c>
      <c r="M148" s="5" t="str">
        <f>IFERROR(__xludf.DUMMYFUNCTION("""COMPUTED_VALUE"""),"Working")</f>
        <v>Working</v>
      </c>
      <c r="N148" s="5" t="str">
        <f>IFERROR(__xludf.DUMMYFUNCTION("""COMPUTED_VALUE"""),"CORRECT")</f>
        <v>CORRECT</v>
      </c>
      <c r="O148" s="5" t="str">
        <f>IFERROR(__xludf.DUMMYFUNCTION("""COMPUTED_VALUE"""),"LOAD PENDING")</f>
        <v>LOAD PENDING</v>
      </c>
      <c r="P148" s="5" t="str">
        <f t="shared" si="7"/>
        <v>Extra Theory Load Alloted</v>
      </c>
      <c r="Q148" s="5" t="str">
        <f t="shared" si="8"/>
        <v/>
      </c>
    </row>
    <row r="149" ht="14.4" spans="1:17">
      <c r="A149" s="4">
        <v>148</v>
      </c>
      <c r="B149" s="4" t="s">
        <v>478</v>
      </c>
      <c r="C149" s="4" t="s">
        <v>17</v>
      </c>
      <c r="D149" s="4" t="s">
        <v>479</v>
      </c>
      <c r="E149" s="5" t="str">
        <f t="shared" si="6"/>
        <v>Mr.STEEPHAN AMALRAJ J</v>
      </c>
      <c r="F149" s="6" t="s">
        <v>413</v>
      </c>
      <c r="G149" s="5" t="s">
        <v>47</v>
      </c>
      <c r="H149" s="5" t="s">
        <v>480</v>
      </c>
      <c r="I14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Col2='""&amp;B149&amp;""'"",0)"),2)</f>
        <v>2</v>
      </c>
      <c r="J149" s="5">
        <f>IFERROR(__xludf.DUMMYFUNCTION("""COMPUTED_VALUE"""),2)</f>
        <v>2</v>
      </c>
      <c r="K149" s="5">
        <f>IFERROR(__xludf.DUMMYFUNCTION("""COMPUTED_VALUE"""),3)</f>
        <v>3</v>
      </c>
      <c r="L149" s="5">
        <f>IFERROR(__xludf.DUMMYFUNCTION("""COMPUTED_VALUE"""),1)</f>
        <v>1</v>
      </c>
      <c r="M149" s="5" t="str">
        <f>IFERROR(__xludf.DUMMYFUNCTION("""COMPUTED_VALUE"""),"Working")</f>
        <v>Working</v>
      </c>
      <c r="N149" s="5" t="str">
        <f>IFERROR(__xludf.DUMMYFUNCTION("""COMPUTED_VALUE"""),"CORRECT")</f>
        <v>CORRECT</v>
      </c>
      <c r="O149" s="5" t="str">
        <f>IFERROR(__xludf.DUMMYFUNCTION("""COMPUTED_VALUE"""),"LOAD PENDING")</f>
        <v>LOAD PENDING</v>
      </c>
      <c r="P149" s="5" t="str">
        <f t="shared" si="7"/>
        <v>Extra Theory Load Alloted</v>
      </c>
      <c r="Q149" s="5" t="str">
        <f t="shared" si="8"/>
        <v/>
      </c>
    </row>
    <row r="150" ht="27.6" spans="1:17">
      <c r="A150" s="4">
        <v>149</v>
      </c>
      <c r="B150" s="4" t="s">
        <v>481</v>
      </c>
      <c r="C150" s="4" t="s">
        <v>32</v>
      </c>
      <c r="D150" s="4" t="s">
        <v>482</v>
      </c>
      <c r="E150" s="5" t="str">
        <f t="shared" si="6"/>
        <v>Mrs.KAVITHA R</v>
      </c>
      <c r="F150" s="6" t="s">
        <v>413</v>
      </c>
      <c r="G150" s="5" t="s">
        <v>20</v>
      </c>
      <c r="H150" s="5" t="s">
        <v>483</v>
      </c>
      <c r="I15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Col2='""&amp;B150&amp;""'"",0)"),1)</f>
        <v>1</v>
      </c>
      <c r="J150" s="5">
        <f>IFERROR(__xludf.DUMMYFUNCTION("""COMPUTED_VALUE"""),1)</f>
        <v>1</v>
      </c>
      <c r="K150" s="5">
        <f>IFERROR(__xludf.DUMMYFUNCTION("""COMPUTED_VALUE"""),1)</f>
        <v>1</v>
      </c>
      <c r="L150" s="5">
        <f>IFERROR(__xludf.DUMMYFUNCTION("""COMPUTED_VALUE"""),0)</f>
        <v>0</v>
      </c>
      <c r="M150" s="5" t="str">
        <f>IFERROR(__xludf.DUMMYFUNCTION("""COMPUTED_VALUE"""),"Working")</f>
        <v>Working</v>
      </c>
      <c r="N150" s="5" t="str">
        <f>IFERROR(__xludf.DUMMYFUNCTION("""COMPUTED_VALUE"""),"CORRECT")</f>
        <v>CORRECT</v>
      </c>
      <c r="O150" s="5" t="str">
        <f>IFERROR(__xludf.DUMMYFUNCTION("""COMPUTED_VALUE"""),"LOAD PENDING")</f>
        <v>LOAD PENDING</v>
      </c>
      <c r="P150" s="5" t="str">
        <f t="shared" si="7"/>
        <v/>
      </c>
      <c r="Q150" s="5" t="str">
        <f t="shared" si="8"/>
        <v/>
      </c>
    </row>
    <row r="151" ht="14.4" spans="1:17">
      <c r="A151" s="4">
        <v>150</v>
      </c>
      <c r="B151" s="4" t="s">
        <v>484</v>
      </c>
      <c r="C151" s="4" t="s">
        <v>17</v>
      </c>
      <c r="D151" s="4" t="s">
        <v>485</v>
      </c>
      <c r="E151" s="5" t="str">
        <f t="shared" si="6"/>
        <v>Mr.SATHYAMOORTHY J</v>
      </c>
      <c r="F151" s="6" t="s">
        <v>413</v>
      </c>
      <c r="G151" s="5" t="s">
        <v>47</v>
      </c>
      <c r="H151" s="5" t="s">
        <v>486</v>
      </c>
      <c r="I15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Col2='""&amp;B151&amp;""'"",0)"),1)</f>
        <v>1</v>
      </c>
      <c r="J151" s="5">
        <f>IFERROR(__xludf.DUMMYFUNCTION("""COMPUTED_VALUE"""),0)</f>
        <v>0</v>
      </c>
      <c r="K151" s="5">
        <f>IFERROR(__xludf.DUMMYFUNCTION("""COMPUTED_VALUE"""),1)</f>
        <v>1</v>
      </c>
      <c r="L151" s="5">
        <f>IFERROR(__xludf.DUMMYFUNCTION("""COMPUTED_VALUE"""),0)</f>
        <v>0</v>
      </c>
      <c r="M151" s="5" t="str">
        <f>IFERROR(__xludf.DUMMYFUNCTION("""COMPUTED_VALUE"""),"Working")</f>
        <v>Working</v>
      </c>
      <c r="N151" s="5" t="str">
        <f>IFERROR(__xludf.DUMMYFUNCTION("""COMPUTED_VALUE"""),"CORRECT")</f>
        <v>CORRECT</v>
      </c>
      <c r="O151" s="5" t="str">
        <f>IFERROR(__xludf.DUMMYFUNCTION("""COMPUTED_VALUE"""),"CORRECT")</f>
        <v>CORRECT</v>
      </c>
      <c r="P151" s="5" t="str">
        <f t="shared" si="7"/>
        <v/>
      </c>
      <c r="Q151" s="5" t="str">
        <f t="shared" si="8"/>
        <v/>
      </c>
    </row>
    <row r="152" ht="14.4" spans="1:17">
      <c r="A152" s="4">
        <v>151</v>
      </c>
      <c r="B152" s="4" t="s">
        <v>487</v>
      </c>
      <c r="C152" s="4" t="s">
        <v>32</v>
      </c>
      <c r="D152" s="4" t="s">
        <v>488</v>
      </c>
      <c r="E152" s="5" t="str">
        <f t="shared" si="6"/>
        <v>Mrs.MOHANAMBAL K</v>
      </c>
      <c r="F152" s="6" t="s">
        <v>413</v>
      </c>
      <c r="G152" s="5" t="s">
        <v>47</v>
      </c>
      <c r="H152" s="5" t="s">
        <v>489</v>
      </c>
      <c r="I15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Col2='""&amp;B152&amp;""'"",0)"),2)</f>
        <v>2</v>
      </c>
      <c r="J152" s="5">
        <f>IFERROR(__xludf.DUMMYFUNCTION("""COMPUTED_VALUE"""),2)</f>
        <v>2</v>
      </c>
      <c r="K152" s="5">
        <f>IFERROR(__xludf.DUMMYFUNCTION("""COMPUTED_VALUE"""),2)</f>
        <v>2</v>
      </c>
      <c r="L152" s="5">
        <f>IFERROR(__xludf.DUMMYFUNCTION("""COMPUTED_VALUE"""),0)</f>
        <v>0</v>
      </c>
      <c r="M152" s="5" t="str">
        <f>IFERROR(__xludf.DUMMYFUNCTION("""COMPUTED_VALUE"""),"Working")</f>
        <v>Working</v>
      </c>
      <c r="N152" s="5" t="str">
        <f>IFERROR(__xludf.DUMMYFUNCTION("""COMPUTED_VALUE"""),"CORRECT")</f>
        <v>CORRECT</v>
      </c>
      <c r="O152" s="5" t="str">
        <f>IFERROR(__xludf.DUMMYFUNCTION("""COMPUTED_VALUE"""),"LOAD PENDING")</f>
        <v>LOAD PENDING</v>
      </c>
      <c r="P152" s="5" t="str">
        <f t="shared" si="7"/>
        <v/>
      </c>
      <c r="Q152" s="5" t="str">
        <f t="shared" si="8"/>
        <v/>
      </c>
    </row>
    <row r="153" ht="27.6" spans="1:17">
      <c r="A153" s="4">
        <v>152</v>
      </c>
      <c r="B153" s="4" t="s">
        <v>490</v>
      </c>
      <c r="C153" s="4" t="s">
        <v>32</v>
      </c>
      <c r="D153" s="4" t="s">
        <v>491</v>
      </c>
      <c r="E153" s="5" t="str">
        <f t="shared" si="6"/>
        <v>Mrs.CHITRADEVI T N</v>
      </c>
      <c r="F153" s="6" t="s">
        <v>413</v>
      </c>
      <c r="G153" s="5" t="s">
        <v>37</v>
      </c>
      <c r="H153" s="5" t="s">
        <v>492</v>
      </c>
      <c r="I15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Col2='""&amp;B153&amp;""'"",0)"),2)</f>
        <v>2</v>
      </c>
      <c r="J153" s="5">
        <f>IFERROR(__xludf.DUMMYFUNCTION("""COMPUTED_VALUE"""),2)</f>
        <v>2</v>
      </c>
      <c r="K153" s="5">
        <f>IFERROR(__xludf.DUMMYFUNCTION("""COMPUTED_VALUE"""),2)</f>
        <v>2</v>
      </c>
      <c r="L153" s="5">
        <f>IFERROR(__xludf.DUMMYFUNCTION("""COMPUTED_VALUE"""),1)</f>
        <v>1</v>
      </c>
      <c r="M153" s="5" t="str">
        <f>IFERROR(__xludf.DUMMYFUNCTION("""COMPUTED_VALUE"""),"Working")</f>
        <v>Working</v>
      </c>
      <c r="N153" s="5" t="str">
        <f>IFERROR(__xludf.DUMMYFUNCTION("""COMPUTED_VALUE"""),"CORRECT")</f>
        <v>CORRECT</v>
      </c>
      <c r="O153" s="5" t="str">
        <f>IFERROR(__xludf.DUMMYFUNCTION("""COMPUTED_VALUE"""),"LOAD PENDING")</f>
        <v>LOAD PENDING</v>
      </c>
      <c r="P153" s="5" t="str">
        <f t="shared" si="7"/>
        <v/>
      </c>
      <c r="Q153" s="5" t="str">
        <f t="shared" si="8"/>
        <v/>
      </c>
    </row>
    <row r="154" ht="27.6" spans="1:17">
      <c r="A154" s="4">
        <v>153</v>
      </c>
      <c r="B154" s="4" t="s">
        <v>493</v>
      </c>
      <c r="C154" s="4" t="s">
        <v>32</v>
      </c>
      <c r="D154" s="4" t="s">
        <v>494</v>
      </c>
      <c r="E154" s="5" t="str">
        <f t="shared" si="6"/>
        <v>Mrs.AMMU V</v>
      </c>
      <c r="F154" s="6" t="s">
        <v>413</v>
      </c>
      <c r="G154" s="5" t="s">
        <v>20</v>
      </c>
      <c r="H154" s="5" t="s">
        <v>495</v>
      </c>
      <c r="I15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Col2='""&amp;B154&amp;""'"",0)"),2)</f>
        <v>2</v>
      </c>
      <c r="J154" s="5">
        <f>IFERROR(__xludf.DUMMYFUNCTION("""COMPUTED_VALUE"""),2)</f>
        <v>2</v>
      </c>
      <c r="K154" s="5">
        <f>IFERROR(__xludf.DUMMYFUNCTION("""COMPUTED_VALUE"""),2)</f>
        <v>2</v>
      </c>
      <c r="L154" s="5">
        <f>IFERROR(__xludf.DUMMYFUNCTION("""COMPUTED_VALUE"""),1)</f>
        <v>1</v>
      </c>
      <c r="M154" s="5" t="str">
        <f>IFERROR(__xludf.DUMMYFUNCTION("""COMPUTED_VALUE"""),"Working")</f>
        <v>Working</v>
      </c>
      <c r="N154" s="5" t="str">
        <f>IFERROR(__xludf.DUMMYFUNCTION("""COMPUTED_VALUE"""),"CORRECT")</f>
        <v>CORRECT</v>
      </c>
      <c r="O154" s="5" t="str">
        <f>IFERROR(__xludf.DUMMYFUNCTION("""COMPUTED_VALUE"""),"LOAD PENDING")</f>
        <v>LOAD PENDING</v>
      </c>
      <c r="P154" s="5" t="str">
        <f t="shared" si="7"/>
        <v/>
      </c>
      <c r="Q154" s="5" t="str">
        <f t="shared" si="8"/>
        <v/>
      </c>
    </row>
    <row r="155" ht="14.4" spans="1:17">
      <c r="A155" s="4">
        <v>154</v>
      </c>
      <c r="B155" s="4" t="s">
        <v>496</v>
      </c>
      <c r="C155" s="4" t="s">
        <v>23</v>
      </c>
      <c r="D155" s="4" t="s">
        <v>497</v>
      </c>
      <c r="E155" s="5" t="str">
        <f t="shared" si="6"/>
        <v>Dr.DEEPA PRIYA B S</v>
      </c>
      <c r="F155" s="6" t="s">
        <v>413</v>
      </c>
      <c r="G155" s="5" t="s">
        <v>25</v>
      </c>
      <c r="H155" s="5" t="s">
        <v>498</v>
      </c>
      <c r="I15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Col2='""&amp;B155&amp;""'"",0)"),2)</f>
        <v>2</v>
      </c>
      <c r="J155" s="5">
        <f>IFERROR(__xludf.DUMMYFUNCTION("""COMPUTED_VALUE"""),1)</f>
        <v>1</v>
      </c>
      <c r="K155" s="5">
        <f>IFERROR(__xludf.DUMMYFUNCTION("""COMPUTED_VALUE"""),2)</f>
        <v>2</v>
      </c>
      <c r="L155" s="5">
        <f>IFERROR(__xludf.DUMMYFUNCTION("""COMPUTED_VALUE"""),1)</f>
        <v>1</v>
      </c>
      <c r="M155" s="5" t="str">
        <f>IFERROR(__xludf.DUMMYFUNCTION("""COMPUTED_VALUE"""),"Working")</f>
        <v>Working</v>
      </c>
      <c r="N155" s="5" t="str">
        <f>IFERROR(__xludf.DUMMYFUNCTION("""COMPUTED_VALUE"""),"CORRECT")</f>
        <v>CORRECT</v>
      </c>
      <c r="O155" s="5" t="str">
        <f>IFERROR(__xludf.DUMMYFUNCTION("""COMPUTED_VALUE"""),"CORRECT")</f>
        <v>CORRECT</v>
      </c>
      <c r="P155" s="5" t="str">
        <f t="shared" si="7"/>
        <v/>
      </c>
      <c r="Q155" s="5" t="str">
        <f t="shared" si="8"/>
        <v/>
      </c>
    </row>
    <row r="156" ht="14.4" spans="1:17">
      <c r="A156" s="4">
        <v>155</v>
      </c>
      <c r="B156" s="4" t="s">
        <v>499</v>
      </c>
      <c r="C156" s="4" t="s">
        <v>32</v>
      </c>
      <c r="D156" s="4" t="s">
        <v>500</v>
      </c>
      <c r="E156" s="5" t="str">
        <f t="shared" si="6"/>
        <v>Mrs.GUNAVARDINI V</v>
      </c>
      <c r="F156" s="6" t="s">
        <v>413</v>
      </c>
      <c r="G156" s="5" t="s">
        <v>47</v>
      </c>
      <c r="H156" s="5" t="s">
        <v>501</v>
      </c>
      <c r="I15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Col2='""&amp;B156&amp;""'"",0)"),2)</f>
        <v>2</v>
      </c>
      <c r="J156" s="5">
        <f>IFERROR(__xludf.DUMMYFUNCTION("""COMPUTED_VALUE"""),2)</f>
        <v>2</v>
      </c>
      <c r="K156" s="5">
        <f>IFERROR(__xludf.DUMMYFUNCTION("""COMPUTED_VALUE"""),2)</f>
        <v>2</v>
      </c>
      <c r="L156" s="5">
        <f>IFERROR(__xludf.DUMMYFUNCTION("""COMPUTED_VALUE"""),0)</f>
        <v>0</v>
      </c>
      <c r="M156" s="5" t="str">
        <f>IFERROR(__xludf.DUMMYFUNCTION("""COMPUTED_VALUE"""),"Working")</f>
        <v>Working</v>
      </c>
      <c r="N156" s="5" t="str">
        <f>IFERROR(__xludf.DUMMYFUNCTION("""COMPUTED_VALUE"""),"CORRECT")</f>
        <v>CORRECT</v>
      </c>
      <c r="O156" s="5" t="str">
        <f>IFERROR(__xludf.DUMMYFUNCTION("""COMPUTED_VALUE"""),"LOAD PENDING")</f>
        <v>LOAD PENDING</v>
      </c>
      <c r="P156" s="5" t="str">
        <f t="shared" si="7"/>
        <v/>
      </c>
      <c r="Q156" s="5" t="str">
        <f t="shared" si="8"/>
        <v/>
      </c>
    </row>
    <row r="157" ht="27.6" spans="1:17">
      <c r="A157" s="4">
        <v>156</v>
      </c>
      <c r="B157" s="4" t="s">
        <v>502</v>
      </c>
      <c r="C157" s="4" t="s">
        <v>32</v>
      </c>
      <c r="D157" s="4" t="s">
        <v>503</v>
      </c>
      <c r="E157" s="5" t="str">
        <f t="shared" si="6"/>
        <v>Mrs.GAYATHRI S</v>
      </c>
      <c r="F157" s="6" t="s">
        <v>413</v>
      </c>
      <c r="G157" s="5" t="s">
        <v>37</v>
      </c>
      <c r="H157" s="5" t="s">
        <v>504</v>
      </c>
      <c r="I15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Col2='""&amp;B157&amp;""'"",0)"),2)</f>
        <v>2</v>
      </c>
      <c r="J157" s="5">
        <f>IFERROR(__xludf.DUMMYFUNCTION("""COMPUTED_VALUE"""),2)</f>
        <v>2</v>
      </c>
      <c r="K157" s="5">
        <f>IFERROR(__xludf.DUMMYFUNCTION("""COMPUTED_VALUE"""),3)</f>
        <v>3</v>
      </c>
      <c r="L157" s="5">
        <f>IFERROR(__xludf.DUMMYFUNCTION("""COMPUTED_VALUE"""),0)</f>
        <v>0</v>
      </c>
      <c r="M157" s="5" t="str">
        <f>IFERROR(__xludf.DUMMYFUNCTION("""COMPUTED_VALUE"""),"Working")</f>
        <v>Working</v>
      </c>
      <c r="N157" s="5" t="str">
        <f>IFERROR(__xludf.DUMMYFUNCTION("""COMPUTED_VALUE"""),"CORRECT")</f>
        <v>CORRECT</v>
      </c>
      <c r="O157" s="5" t="str">
        <f>IFERROR(__xludf.DUMMYFUNCTION("""COMPUTED_VALUE"""),"LOAD PENDING")</f>
        <v>LOAD PENDING</v>
      </c>
      <c r="P157" s="5" t="str">
        <f t="shared" si="7"/>
        <v>Extra Theory Load Alloted</v>
      </c>
      <c r="Q157" s="5" t="str">
        <f t="shared" si="8"/>
        <v/>
      </c>
    </row>
    <row r="158" ht="14.4" spans="1:17">
      <c r="A158" s="4">
        <v>157</v>
      </c>
      <c r="B158" s="4" t="s">
        <v>505</v>
      </c>
      <c r="C158" s="4" t="s">
        <v>32</v>
      </c>
      <c r="D158" s="4" t="s">
        <v>506</v>
      </c>
      <c r="E158" s="5" t="str">
        <f t="shared" si="6"/>
        <v>Mrs.PRIYANGA M A</v>
      </c>
      <c r="F158" s="6" t="s">
        <v>413</v>
      </c>
      <c r="G158" s="5" t="s">
        <v>47</v>
      </c>
      <c r="H158" s="5" t="s">
        <v>507</v>
      </c>
      <c r="I15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Col2='""&amp;B158&amp;""'"",0)"),2)</f>
        <v>2</v>
      </c>
      <c r="J158" s="5">
        <f>IFERROR(__xludf.DUMMYFUNCTION("""COMPUTED_VALUE"""),2)</f>
        <v>2</v>
      </c>
      <c r="K158" s="5">
        <f>IFERROR(__xludf.DUMMYFUNCTION("""COMPUTED_VALUE"""),2)</f>
        <v>2</v>
      </c>
      <c r="L158" s="5">
        <f>IFERROR(__xludf.DUMMYFUNCTION("""COMPUTED_VALUE"""),0)</f>
        <v>0</v>
      </c>
      <c r="M158" s="5" t="str">
        <f>IFERROR(__xludf.DUMMYFUNCTION("""COMPUTED_VALUE"""),"Working")</f>
        <v>Working</v>
      </c>
      <c r="N158" s="5" t="str">
        <f>IFERROR(__xludf.DUMMYFUNCTION("""COMPUTED_VALUE"""),"CORRECT")</f>
        <v>CORRECT</v>
      </c>
      <c r="O158" s="5" t="str">
        <f>IFERROR(__xludf.DUMMYFUNCTION("""COMPUTED_VALUE"""),"LOAD PENDING")</f>
        <v>LOAD PENDING</v>
      </c>
      <c r="P158" s="5" t="str">
        <f t="shared" si="7"/>
        <v/>
      </c>
      <c r="Q158" s="5" t="str">
        <f t="shared" si="8"/>
        <v/>
      </c>
    </row>
    <row r="159" ht="14.4" spans="1:17">
      <c r="A159" s="4">
        <v>158</v>
      </c>
      <c r="B159" s="4" t="s">
        <v>508</v>
      </c>
      <c r="C159" s="4" t="s">
        <v>53</v>
      </c>
      <c r="D159" s="4" t="s">
        <v>509</v>
      </c>
      <c r="E159" s="5" t="str">
        <f t="shared" si="6"/>
        <v>Ms.SATHIYA B</v>
      </c>
      <c r="F159" s="6" t="s">
        <v>413</v>
      </c>
      <c r="G159" s="5" t="s">
        <v>47</v>
      </c>
      <c r="H159" s="5" t="s">
        <v>510</v>
      </c>
      <c r="I15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Col2='""&amp;B159&amp;""'"",0)"),2)</f>
        <v>2</v>
      </c>
      <c r="J159" s="5">
        <f>IFERROR(__xludf.DUMMYFUNCTION("""COMPUTED_VALUE"""),2)</f>
        <v>2</v>
      </c>
      <c r="K159" s="5">
        <f>IFERROR(__xludf.DUMMYFUNCTION("""COMPUTED_VALUE"""),2)</f>
        <v>2</v>
      </c>
      <c r="L159" s="5">
        <f>IFERROR(__xludf.DUMMYFUNCTION("""COMPUTED_VALUE"""),0)</f>
        <v>0</v>
      </c>
      <c r="M159" s="5" t="str">
        <f>IFERROR(__xludf.DUMMYFUNCTION("""COMPUTED_VALUE"""),"Working")</f>
        <v>Working</v>
      </c>
      <c r="N159" s="5" t="str">
        <f>IFERROR(__xludf.DUMMYFUNCTION("""COMPUTED_VALUE"""),"CORRECT")</f>
        <v>CORRECT</v>
      </c>
      <c r="O159" s="5" t="str">
        <f>IFERROR(__xludf.DUMMYFUNCTION("""COMPUTED_VALUE"""),"LOAD PENDING")</f>
        <v>LOAD PENDING</v>
      </c>
      <c r="P159" s="5" t="str">
        <f t="shared" si="7"/>
        <v/>
      </c>
      <c r="Q159" s="5" t="str">
        <f t="shared" si="8"/>
        <v/>
      </c>
    </row>
    <row r="160" ht="14.4" spans="1:17">
      <c r="A160" s="4">
        <v>159</v>
      </c>
      <c r="B160" s="4" t="s">
        <v>511</v>
      </c>
      <c r="C160" s="4" t="s">
        <v>53</v>
      </c>
      <c r="D160" s="4" t="s">
        <v>512</v>
      </c>
      <c r="E160" s="5" t="str">
        <f t="shared" si="6"/>
        <v>Ms.RATHNA S</v>
      </c>
      <c r="F160" s="6" t="s">
        <v>413</v>
      </c>
      <c r="G160" s="5" t="s">
        <v>47</v>
      </c>
      <c r="H160" s="5" t="s">
        <v>513</v>
      </c>
      <c r="I16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Col2='""&amp;B160&amp;""'"",0)"),2)</f>
        <v>2</v>
      </c>
      <c r="J160" s="5">
        <f>IFERROR(__xludf.DUMMYFUNCTION("""COMPUTED_VALUE"""),2)</f>
        <v>2</v>
      </c>
      <c r="K160" s="5">
        <f>IFERROR(__xludf.DUMMYFUNCTION("""COMPUTED_VALUE"""),2)</f>
        <v>2</v>
      </c>
      <c r="L160" s="5">
        <f>IFERROR(__xludf.DUMMYFUNCTION("""COMPUTED_VALUE"""),2)</f>
        <v>2</v>
      </c>
      <c r="M160" s="5" t="str">
        <f>IFERROR(__xludf.DUMMYFUNCTION("""COMPUTED_VALUE"""),"Working")</f>
        <v>Working</v>
      </c>
      <c r="N160" s="5" t="str">
        <f>IFERROR(__xludf.DUMMYFUNCTION("""COMPUTED_VALUE"""),"CORRECT")</f>
        <v>CORRECT</v>
      </c>
      <c r="O160" s="5" t="str">
        <f>IFERROR(__xludf.DUMMYFUNCTION("""COMPUTED_VALUE"""),"CORRECT")</f>
        <v>CORRECT</v>
      </c>
      <c r="P160" s="5" t="str">
        <f t="shared" si="7"/>
        <v/>
      </c>
      <c r="Q160" s="5" t="str">
        <f t="shared" si="8"/>
        <v/>
      </c>
    </row>
    <row r="161" ht="14.4" spans="1:17">
      <c r="A161" s="4">
        <v>160</v>
      </c>
      <c r="B161" s="4" t="s">
        <v>514</v>
      </c>
      <c r="C161" s="4" t="s">
        <v>23</v>
      </c>
      <c r="D161" s="4" t="s">
        <v>515</v>
      </c>
      <c r="E161" s="5" t="str">
        <f t="shared" si="6"/>
        <v>Dr.SASIKALA D</v>
      </c>
      <c r="F161" s="6" t="s">
        <v>413</v>
      </c>
      <c r="G161" s="5" t="s">
        <v>29</v>
      </c>
      <c r="H161" s="5" t="s">
        <v>516</v>
      </c>
      <c r="I16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Col2='""&amp;B161&amp;""'"",0)"),1)</f>
        <v>1</v>
      </c>
      <c r="J161" s="5">
        <f>IFERROR(__xludf.DUMMYFUNCTION("""COMPUTED_VALUE"""),0)</f>
        <v>0</v>
      </c>
      <c r="K161" s="5">
        <f>IFERROR(__xludf.DUMMYFUNCTION("""COMPUTED_VALUE"""),1)</f>
        <v>1</v>
      </c>
      <c r="L161" s="5">
        <f>IFERROR(__xludf.DUMMYFUNCTION("""COMPUTED_VALUE"""),0)</f>
        <v>0</v>
      </c>
      <c r="M161" s="5" t="str">
        <f>IFERROR(__xludf.DUMMYFUNCTION("""COMPUTED_VALUE"""),"Working")</f>
        <v>Working</v>
      </c>
      <c r="N161" s="5" t="str">
        <f>IFERROR(__xludf.DUMMYFUNCTION("""COMPUTED_VALUE"""),"CORRECT")</f>
        <v>CORRECT</v>
      </c>
      <c r="O161" s="5" t="str">
        <f>IFERROR(__xludf.DUMMYFUNCTION("""COMPUTED_VALUE"""),"CORRECT")</f>
        <v>CORRECT</v>
      </c>
      <c r="P161" s="5" t="str">
        <f t="shared" si="7"/>
        <v/>
      </c>
      <c r="Q161" s="5" t="str">
        <f t="shared" si="8"/>
        <v/>
      </c>
    </row>
    <row r="162" ht="27.6" spans="1:17">
      <c r="A162" s="4">
        <v>161</v>
      </c>
      <c r="B162" s="4" t="s">
        <v>517</v>
      </c>
      <c r="C162" s="4" t="s">
        <v>32</v>
      </c>
      <c r="D162" s="4" t="s">
        <v>518</v>
      </c>
      <c r="E162" s="5" t="str">
        <f t="shared" si="6"/>
        <v>Mrs.ALAMELU M</v>
      </c>
      <c r="F162" s="6" t="s">
        <v>413</v>
      </c>
      <c r="G162" s="5" t="s">
        <v>20</v>
      </c>
      <c r="H162" s="5" t="s">
        <v>519</v>
      </c>
      <c r="I16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Col2='""&amp;B162&amp;""'"",0)"),2)</f>
        <v>2</v>
      </c>
      <c r="J162" s="5">
        <f>IFERROR(__xludf.DUMMYFUNCTION("""COMPUTED_VALUE"""),2)</f>
        <v>2</v>
      </c>
      <c r="K162" s="5">
        <f>IFERROR(__xludf.DUMMYFUNCTION("""COMPUTED_VALUE"""),2)</f>
        <v>2</v>
      </c>
      <c r="L162" s="5">
        <f>IFERROR(__xludf.DUMMYFUNCTION("""COMPUTED_VALUE"""),1)</f>
        <v>1</v>
      </c>
      <c r="M162" s="5" t="str">
        <f>IFERROR(__xludf.DUMMYFUNCTION("""COMPUTED_VALUE"""),"Working")</f>
        <v>Working</v>
      </c>
      <c r="N162" s="5" t="str">
        <f>IFERROR(__xludf.DUMMYFUNCTION("""COMPUTED_VALUE"""),"CORRECT")</f>
        <v>CORRECT</v>
      </c>
      <c r="O162" s="5" t="str">
        <f>IFERROR(__xludf.DUMMYFUNCTION("""COMPUTED_VALUE"""),"LOAD PENDING")</f>
        <v>LOAD PENDING</v>
      </c>
      <c r="P162" s="5" t="str">
        <f t="shared" si="7"/>
        <v/>
      </c>
      <c r="Q162" s="5" t="str">
        <f t="shared" si="8"/>
        <v/>
      </c>
    </row>
    <row r="163" ht="14.4" spans="1:17">
      <c r="A163" s="4">
        <v>162</v>
      </c>
      <c r="B163" s="4" t="s">
        <v>520</v>
      </c>
      <c r="C163" s="4" t="s">
        <v>53</v>
      </c>
      <c r="D163" s="4" t="s">
        <v>521</v>
      </c>
      <c r="E163" s="5" t="str">
        <f t="shared" si="6"/>
        <v>Ms.PARKAVI S</v>
      </c>
      <c r="F163" s="6" t="s">
        <v>413</v>
      </c>
      <c r="G163" s="5" t="s">
        <v>47</v>
      </c>
      <c r="H163" s="5" t="s">
        <v>522</v>
      </c>
      <c r="I16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Col2='""&amp;B163&amp;""'"",0)"),2)</f>
        <v>2</v>
      </c>
      <c r="J163" s="5">
        <f>IFERROR(__xludf.DUMMYFUNCTION("""COMPUTED_VALUE"""),2)</f>
        <v>2</v>
      </c>
      <c r="K163" s="5">
        <f>IFERROR(__xludf.DUMMYFUNCTION("""COMPUTED_VALUE"""),4)</f>
        <v>4</v>
      </c>
      <c r="L163" s="5">
        <f>IFERROR(__xludf.DUMMYFUNCTION("""COMPUTED_VALUE"""),0)</f>
        <v>0</v>
      </c>
      <c r="M163" s="5" t="str">
        <f>IFERROR(__xludf.DUMMYFUNCTION("""COMPUTED_VALUE"""),"Working")</f>
        <v>Working</v>
      </c>
      <c r="N163" s="5" t="str">
        <f>IFERROR(__xludf.DUMMYFUNCTION("""COMPUTED_VALUE"""),"CORRECT")</f>
        <v>CORRECT</v>
      </c>
      <c r="O163" s="5" t="str">
        <f>IFERROR(__xludf.DUMMYFUNCTION("""COMPUTED_VALUE"""),"LOAD PENDING")</f>
        <v>LOAD PENDING</v>
      </c>
      <c r="P163" s="5" t="str">
        <f t="shared" si="7"/>
        <v>Extra Theory Load Alloted</v>
      </c>
      <c r="Q163" s="5" t="str">
        <f t="shared" si="8"/>
        <v/>
      </c>
    </row>
    <row r="164" ht="14.4" spans="1:17">
      <c r="A164" s="4">
        <v>163</v>
      </c>
      <c r="B164" s="4" t="s">
        <v>523</v>
      </c>
      <c r="C164" s="4" t="s">
        <v>32</v>
      </c>
      <c r="D164" s="4" t="s">
        <v>524</v>
      </c>
      <c r="E164" s="5" t="str">
        <f t="shared" si="6"/>
        <v>Mrs.MYTHILI G M</v>
      </c>
      <c r="F164" s="6" t="s">
        <v>413</v>
      </c>
      <c r="G164" s="5" t="s">
        <v>47</v>
      </c>
      <c r="H164" s="5" t="s">
        <v>525</v>
      </c>
      <c r="I16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Col2='""&amp;B164&amp;""'"",0)"),2)</f>
        <v>2</v>
      </c>
      <c r="J164" s="5">
        <f>IFERROR(__xludf.DUMMYFUNCTION("""COMPUTED_VALUE"""),2)</f>
        <v>2</v>
      </c>
      <c r="K164" s="5">
        <f>IFERROR(__xludf.DUMMYFUNCTION("""COMPUTED_VALUE"""),3)</f>
        <v>3</v>
      </c>
      <c r="L164" s="5">
        <f>IFERROR(__xludf.DUMMYFUNCTION("""COMPUTED_VALUE"""),0)</f>
        <v>0</v>
      </c>
      <c r="M164" s="5" t="str">
        <f>IFERROR(__xludf.DUMMYFUNCTION("""COMPUTED_VALUE"""),"Working")</f>
        <v>Working</v>
      </c>
      <c r="N164" s="5" t="str">
        <f>IFERROR(__xludf.DUMMYFUNCTION("""COMPUTED_VALUE"""),"CORRECT")</f>
        <v>CORRECT</v>
      </c>
      <c r="O164" s="5" t="str">
        <f>IFERROR(__xludf.DUMMYFUNCTION("""COMPUTED_VALUE"""),"LOAD PENDING")</f>
        <v>LOAD PENDING</v>
      </c>
      <c r="P164" s="5" t="str">
        <f t="shared" si="7"/>
        <v>Extra Theory Load Alloted</v>
      </c>
      <c r="Q164" s="5" t="str">
        <f t="shared" si="8"/>
        <v/>
      </c>
    </row>
    <row r="165" ht="14.4" spans="1:17">
      <c r="A165" s="4">
        <v>164</v>
      </c>
      <c r="B165" s="4" t="s">
        <v>526</v>
      </c>
      <c r="C165" s="4" t="s">
        <v>53</v>
      </c>
      <c r="D165" s="4" t="s">
        <v>527</v>
      </c>
      <c r="E165" s="5" t="str">
        <f t="shared" si="6"/>
        <v>Ms.GAYATHIRI DEVI S</v>
      </c>
      <c r="F165" s="6" t="s">
        <v>413</v>
      </c>
      <c r="G165" s="5" t="s">
        <v>47</v>
      </c>
      <c r="H165" s="5" t="s">
        <v>528</v>
      </c>
      <c r="I16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Col2='""&amp;B165&amp;""'"",0)"),2)</f>
        <v>2</v>
      </c>
      <c r="J165" s="5">
        <f>IFERROR(__xludf.DUMMYFUNCTION("""COMPUTED_VALUE"""),2)</f>
        <v>2</v>
      </c>
      <c r="K165" s="5">
        <f>IFERROR(__xludf.DUMMYFUNCTION("""COMPUTED_VALUE"""),2)</f>
        <v>2</v>
      </c>
      <c r="L165" s="5">
        <f>IFERROR(__xludf.DUMMYFUNCTION("""COMPUTED_VALUE"""),1)</f>
        <v>1</v>
      </c>
      <c r="M165" s="5" t="str">
        <f>IFERROR(__xludf.DUMMYFUNCTION("""COMPUTED_VALUE"""),"Working")</f>
        <v>Working</v>
      </c>
      <c r="N165" s="5" t="str">
        <f>IFERROR(__xludf.DUMMYFUNCTION("""COMPUTED_VALUE"""),"CORRECT")</f>
        <v>CORRECT</v>
      </c>
      <c r="O165" s="5" t="str">
        <f>IFERROR(__xludf.DUMMYFUNCTION("""COMPUTED_VALUE"""),"LOAD PENDING")</f>
        <v>LOAD PENDING</v>
      </c>
      <c r="P165" s="5" t="str">
        <f t="shared" si="7"/>
        <v/>
      </c>
      <c r="Q165" s="5" t="str">
        <f t="shared" si="8"/>
        <v/>
      </c>
    </row>
    <row r="166" ht="14.4" spans="1:17">
      <c r="A166" s="4">
        <v>165</v>
      </c>
      <c r="B166" s="4" t="s">
        <v>529</v>
      </c>
      <c r="C166" s="4" t="s">
        <v>32</v>
      </c>
      <c r="D166" s="4" t="s">
        <v>530</v>
      </c>
      <c r="E166" s="5" t="str">
        <f t="shared" si="6"/>
        <v>Mrs.KAYALVIZHI B</v>
      </c>
      <c r="F166" s="6" t="s">
        <v>413</v>
      </c>
      <c r="G166" s="5" t="s">
        <v>47</v>
      </c>
      <c r="H166" s="5" t="s">
        <v>531</v>
      </c>
      <c r="I16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Col2='""&amp;B166&amp;""'"",0)"),2)</f>
        <v>2</v>
      </c>
      <c r="J166" s="5">
        <f>IFERROR(__xludf.DUMMYFUNCTION("""COMPUTED_VALUE"""),2)</f>
        <v>2</v>
      </c>
      <c r="K166" s="5">
        <f>IFERROR(__xludf.DUMMYFUNCTION("""COMPUTED_VALUE"""),2)</f>
        <v>2</v>
      </c>
      <c r="L166" s="5">
        <f>IFERROR(__xludf.DUMMYFUNCTION("""COMPUTED_VALUE"""),1)</f>
        <v>1</v>
      </c>
      <c r="M166" s="5" t="str">
        <f>IFERROR(__xludf.DUMMYFUNCTION("""COMPUTED_VALUE"""),"Working")</f>
        <v>Working</v>
      </c>
      <c r="N166" s="5" t="str">
        <f>IFERROR(__xludf.DUMMYFUNCTION("""COMPUTED_VALUE"""),"CORRECT")</f>
        <v>CORRECT</v>
      </c>
      <c r="O166" s="5" t="str">
        <f>IFERROR(__xludf.DUMMYFUNCTION("""COMPUTED_VALUE"""),"LOAD PENDING")</f>
        <v>LOAD PENDING</v>
      </c>
      <c r="P166" s="5" t="str">
        <f t="shared" si="7"/>
        <v/>
      </c>
      <c r="Q166" s="5" t="str">
        <f t="shared" si="8"/>
        <v/>
      </c>
    </row>
    <row r="167" ht="14.4" spans="1:17">
      <c r="A167" s="4">
        <v>166</v>
      </c>
      <c r="B167" s="4" t="s">
        <v>532</v>
      </c>
      <c r="C167" s="4" t="s">
        <v>53</v>
      </c>
      <c r="D167" s="4" t="s">
        <v>533</v>
      </c>
      <c r="E167" s="5" t="str">
        <f t="shared" si="6"/>
        <v>Ms.THANGATAMILSELVI S</v>
      </c>
      <c r="F167" s="6" t="s">
        <v>413</v>
      </c>
      <c r="G167" s="5" t="s">
        <v>47</v>
      </c>
      <c r="H167" s="5" t="s">
        <v>534</v>
      </c>
      <c r="I16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Col2='""&amp;B167&amp;""'"",0)"),2)</f>
        <v>2</v>
      </c>
      <c r="J167" s="5">
        <f>IFERROR(__xludf.DUMMYFUNCTION("""COMPUTED_VALUE"""),2)</f>
        <v>2</v>
      </c>
      <c r="K167" s="5">
        <f>IFERROR(__xludf.DUMMYFUNCTION("""COMPUTED_VALUE"""),2)</f>
        <v>2</v>
      </c>
      <c r="L167" s="5">
        <f>IFERROR(__xludf.DUMMYFUNCTION("""COMPUTED_VALUE"""),1)</f>
        <v>1</v>
      </c>
      <c r="M167" s="5" t="str">
        <f>IFERROR(__xludf.DUMMYFUNCTION("""COMPUTED_VALUE"""),"Working")</f>
        <v>Working</v>
      </c>
      <c r="N167" s="5" t="str">
        <f>IFERROR(__xludf.DUMMYFUNCTION("""COMPUTED_VALUE"""),"CORRECT")</f>
        <v>CORRECT</v>
      </c>
      <c r="O167" s="5" t="str">
        <f>IFERROR(__xludf.DUMMYFUNCTION("""COMPUTED_VALUE"""),"LOAD PENDING")</f>
        <v>LOAD PENDING</v>
      </c>
      <c r="P167" s="5" t="str">
        <f t="shared" si="7"/>
        <v/>
      </c>
      <c r="Q167" s="5" t="str">
        <f t="shared" si="8"/>
        <v/>
      </c>
    </row>
    <row r="168" ht="14.4" spans="1:17">
      <c r="A168" s="4">
        <v>167</v>
      </c>
      <c r="B168" s="4" t="s">
        <v>535</v>
      </c>
      <c r="C168" s="4" t="s">
        <v>53</v>
      </c>
      <c r="D168" s="4" t="s">
        <v>536</v>
      </c>
      <c r="E168" s="5" t="str">
        <f t="shared" si="6"/>
        <v>Ms.MAHESH S</v>
      </c>
      <c r="F168" s="6" t="s">
        <v>413</v>
      </c>
      <c r="G168" s="5" t="s">
        <v>47</v>
      </c>
      <c r="H168" s="5" t="s">
        <v>537</v>
      </c>
      <c r="I16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Col2='""&amp;B168&amp;""'"",0)"),2)</f>
        <v>2</v>
      </c>
      <c r="J168" s="5">
        <f>IFERROR(__xludf.DUMMYFUNCTION("""COMPUTED_VALUE"""),2)</f>
        <v>2</v>
      </c>
      <c r="K168" s="5">
        <f>IFERROR(__xludf.DUMMYFUNCTION("""COMPUTED_VALUE"""),2)</f>
        <v>2</v>
      </c>
      <c r="L168" s="5">
        <f>IFERROR(__xludf.DUMMYFUNCTION("""COMPUTED_VALUE"""),0)</f>
        <v>0</v>
      </c>
      <c r="M168" s="5" t="str">
        <f>IFERROR(__xludf.DUMMYFUNCTION("""COMPUTED_VALUE"""),"Working")</f>
        <v>Working</v>
      </c>
      <c r="N168" s="5" t="str">
        <f>IFERROR(__xludf.DUMMYFUNCTION("""COMPUTED_VALUE"""),"CORRECT")</f>
        <v>CORRECT</v>
      </c>
      <c r="O168" s="5" t="str">
        <f>IFERROR(__xludf.DUMMYFUNCTION("""COMPUTED_VALUE"""),"LOAD PENDING")</f>
        <v>LOAD PENDING</v>
      </c>
      <c r="P168" s="5" t="str">
        <f t="shared" si="7"/>
        <v/>
      </c>
      <c r="Q168" s="5" t="str">
        <f t="shared" si="8"/>
        <v/>
      </c>
    </row>
    <row r="169" ht="14.4" spans="1:17">
      <c r="A169" s="4">
        <v>168</v>
      </c>
      <c r="B169" s="4" t="s">
        <v>538</v>
      </c>
      <c r="C169" s="4" t="s">
        <v>17</v>
      </c>
      <c r="D169" s="4" t="s">
        <v>539</v>
      </c>
      <c r="E169" s="5" t="str">
        <f t="shared" si="6"/>
        <v>Mr.JACKSON J</v>
      </c>
      <c r="F169" s="6" t="s">
        <v>413</v>
      </c>
      <c r="G169" s="5" t="s">
        <v>47</v>
      </c>
      <c r="H169" s="5" t="s">
        <v>540</v>
      </c>
      <c r="I16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Col2='""&amp;B169&amp;""'"",0)"),1)</f>
        <v>1</v>
      </c>
      <c r="J169" s="5">
        <f>IFERROR(__xludf.DUMMYFUNCTION("""COMPUTED_VALUE"""),0)</f>
        <v>0</v>
      </c>
      <c r="K169" s="5">
        <f>IFERROR(__xludf.DUMMYFUNCTION("""COMPUTED_VALUE"""),1)</f>
        <v>1</v>
      </c>
      <c r="L169" s="5">
        <f>IFERROR(__xludf.DUMMYFUNCTION("""COMPUTED_VALUE"""),0)</f>
        <v>0</v>
      </c>
      <c r="M169" s="5" t="str">
        <f>IFERROR(__xludf.DUMMYFUNCTION("""COMPUTED_VALUE"""),"Working")</f>
        <v>Working</v>
      </c>
      <c r="N169" s="5" t="str">
        <f>IFERROR(__xludf.DUMMYFUNCTION("""COMPUTED_VALUE"""),"CORRECT")</f>
        <v>CORRECT</v>
      </c>
      <c r="O169" s="5" t="str">
        <f>IFERROR(__xludf.DUMMYFUNCTION("""COMPUTED_VALUE"""),"CORRECT")</f>
        <v>CORRECT</v>
      </c>
      <c r="P169" s="5" t="str">
        <f t="shared" si="7"/>
        <v/>
      </c>
      <c r="Q169" s="5" t="str">
        <f t="shared" si="8"/>
        <v/>
      </c>
    </row>
    <row r="170" ht="14.4" spans="1:17">
      <c r="A170" s="4">
        <v>169</v>
      </c>
      <c r="B170" s="4" t="s">
        <v>541</v>
      </c>
      <c r="C170" s="4" t="s">
        <v>17</v>
      </c>
      <c r="D170" s="4" t="s">
        <v>542</v>
      </c>
      <c r="E170" s="5" t="str">
        <f t="shared" si="6"/>
        <v>Mr.RANGARAJ K</v>
      </c>
      <c r="F170" s="6" t="s">
        <v>413</v>
      </c>
      <c r="G170" s="5" t="s">
        <v>47</v>
      </c>
      <c r="H170" s="5" t="s">
        <v>543</v>
      </c>
      <c r="I17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Col2='""&amp;B170&amp;""'"",0)"),1)</f>
        <v>1</v>
      </c>
      <c r="J170" s="5">
        <f>IFERROR(__xludf.DUMMYFUNCTION("""COMPUTED_VALUE"""),0)</f>
        <v>0</v>
      </c>
      <c r="K170" s="5">
        <f>IFERROR(__xludf.DUMMYFUNCTION("""COMPUTED_VALUE"""),1)</f>
        <v>1</v>
      </c>
      <c r="L170" s="5">
        <f>IFERROR(__xludf.DUMMYFUNCTION("""COMPUTED_VALUE"""),0)</f>
        <v>0</v>
      </c>
      <c r="M170" s="5" t="str">
        <f>IFERROR(__xludf.DUMMYFUNCTION("""COMPUTED_VALUE"""),"Working")</f>
        <v>Working</v>
      </c>
      <c r="N170" s="5" t="str">
        <f>IFERROR(__xludf.DUMMYFUNCTION("""COMPUTED_VALUE"""),"CORRECT")</f>
        <v>CORRECT</v>
      </c>
      <c r="O170" s="5" t="str">
        <f>IFERROR(__xludf.DUMMYFUNCTION("""COMPUTED_VALUE"""),"CORRECT")</f>
        <v>CORRECT</v>
      </c>
      <c r="P170" s="5" t="str">
        <f t="shared" si="7"/>
        <v/>
      </c>
      <c r="Q170" s="5" t="str">
        <f t="shared" si="8"/>
        <v/>
      </c>
    </row>
    <row r="171" ht="14.4" spans="1:17">
      <c r="A171" s="4">
        <v>170</v>
      </c>
      <c r="B171" s="4" t="s">
        <v>544</v>
      </c>
      <c r="C171" s="4" t="s">
        <v>17</v>
      </c>
      <c r="D171" s="4" t="s">
        <v>545</v>
      </c>
      <c r="E171" s="5" t="str">
        <f t="shared" si="6"/>
        <v>Mr.ASWIN JAYA SURYA M J</v>
      </c>
      <c r="F171" s="6" t="s">
        <v>413</v>
      </c>
      <c r="G171" s="5" t="s">
        <v>47</v>
      </c>
      <c r="H171" s="5" t="s">
        <v>546</v>
      </c>
      <c r="I17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Col2='""&amp;B171&amp;""'"",0)"),2)</f>
        <v>2</v>
      </c>
      <c r="J171" s="5">
        <f>IFERROR(__xludf.DUMMYFUNCTION("""COMPUTED_VALUE"""),2)</f>
        <v>2</v>
      </c>
      <c r="K171" s="5">
        <f>IFERROR(__xludf.DUMMYFUNCTION("""COMPUTED_VALUE"""),3)</f>
        <v>3</v>
      </c>
      <c r="L171" s="5">
        <f>IFERROR(__xludf.DUMMYFUNCTION("""COMPUTED_VALUE"""),0)</f>
        <v>0</v>
      </c>
      <c r="M171" s="5" t="str">
        <f>IFERROR(__xludf.DUMMYFUNCTION("""COMPUTED_VALUE"""),"Working")</f>
        <v>Working</v>
      </c>
      <c r="N171" s="5" t="str">
        <f>IFERROR(__xludf.DUMMYFUNCTION("""COMPUTED_VALUE"""),"CORRECT")</f>
        <v>CORRECT</v>
      </c>
      <c r="O171" s="5" t="str">
        <f>IFERROR(__xludf.DUMMYFUNCTION("""COMPUTED_VALUE"""),"LOAD PENDING")</f>
        <v>LOAD PENDING</v>
      </c>
      <c r="P171" s="5" t="str">
        <f t="shared" si="7"/>
        <v>Extra Theory Load Alloted</v>
      </c>
      <c r="Q171" s="5" t="str">
        <f t="shared" si="8"/>
        <v/>
      </c>
    </row>
    <row r="172" ht="14.4" spans="1:17">
      <c r="A172" s="4">
        <v>171</v>
      </c>
      <c r="B172" s="4" t="s">
        <v>547</v>
      </c>
      <c r="C172" s="4" t="s">
        <v>17</v>
      </c>
      <c r="D172" s="4" t="s">
        <v>548</v>
      </c>
      <c r="E172" s="5" t="str">
        <f t="shared" si="6"/>
        <v>Mr.GOKUL M S</v>
      </c>
      <c r="F172" s="6" t="s">
        <v>413</v>
      </c>
      <c r="G172" s="5" t="s">
        <v>47</v>
      </c>
      <c r="H172" s="5" t="s">
        <v>549</v>
      </c>
      <c r="I172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Col2='""&amp;B172&amp;""'"",0)"),"")</f>
        <v/>
      </c>
      <c r="J172" s="5"/>
      <c r="K172" s="5">
        <f>IFERROR(__xludf.DUMMYFUNCTION("""COMPUTED_VALUE"""),0)</f>
        <v>0</v>
      </c>
      <c r="L172" s="5">
        <f>IFERROR(__xludf.DUMMYFUNCTION("""COMPUTED_VALUE"""),0)</f>
        <v>0</v>
      </c>
      <c r="M172" s="5" t="str">
        <f>IFERROR(__xludf.DUMMYFUNCTION("""COMPUTED_VALUE"""),"Working")</f>
        <v>Working</v>
      </c>
      <c r="N172" s="5" t="str">
        <f>IFERROR(__xludf.DUMMYFUNCTION("""COMPUTED_VALUE"""),"#N/A")</f>
        <v>#N/A</v>
      </c>
      <c r="O172" s="5" t="str">
        <f>IFERROR(__xludf.DUMMYFUNCTION("""COMPUTED_VALUE"""),"CORRECT")</f>
        <v>CORRECT</v>
      </c>
      <c r="P172" s="5" t="str">
        <f t="shared" si="7"/>
        <v/>
      </c>
      <c r="Q172" s="5" t="str">
        <f t="shared" si="8"/>
        <v/>
      </c>
    </row>
    <row r="173" ht="14.4" spans="1:17">
      <c r="A173" s="4">
        <v>172</v>
      </c>
      <c r="B173" s="4" t="s">
        <v>550</v>
      </c>
      <c r="C173" s="4" t="s">
        <v>23</v>
      </c>
      <c r="D173" s="4" t="s">
        <v>551</v>
      </c>
      <c r="E173" s="5" t="str">
        <f t="shared" si="6"/>
        <v>Dr.SATHISHKUMAR P</v>
      </c>
      <c r="F173" s="6" t="s">
        <v>413</v>
      </c>
      <c r="G173" s="5" t="s">
        <v>29</v>
      </c>
      <c r="H173" s="5" t="s">
        <v>552</v>
      </c>
      <c r="I17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Col2='""&amp;B173&amp;""'"",0)"),0)</f>
        <v>0</v>
      </c>
      <c r="J173" s="5">
        <f>IFERROR(__xludf.DUMMYFUNCTION("""COMPUTED_VALUE"""),0)</f>
        <v>0</v>
      </c>
      <c r="K173" s="5">
        <f>IFERROR(__xludf.DUMMYFUNCTION("""COMPUTED_VALUE"""),0)</f>
        <v>0</v>
      </c>
      <c r="L173" s="5">
        <f>IFERROR(__xludf.DUMMYFUNCTION("""COMPUTED_VALUE"""),0)</f>
        <v>0</v>
      </c>
      <c r="M173" s="5" t="str">
        <f>IFERROR(__xludf.DUMMYFUNCTION("""COMPUTED_VALUE"""),"Working")</f>
        <v>Working</v>
      </c>
      <c r="N173" s="5" t="str">
        <f>IFERROR(__xludf.DUMMYFUNCTION("""COMPUTED_VALUE"""),"CORRECT")</f>
        <v>CORRECT</v>
      </c>
      <c r="O173" s="5" t="str">
        <f>IFERROR(__xludf.DUMMYFUNCTION("""COMPUTED_VALUE"""),"CORRECT")</f>
        <v>CORRECT</v>
      </c>
      <c r="P173" s="5" t="str">
        <f t="shared" si="7"/>
        <v/>
      </c>
      <c r="Q173" s="5" t="str">
        <f t="shared" si="8"/>
        <v/>
      </c>
    </row>
    <row r="174" ht="14.4" spans="1:17">
      <c r="A174" s="4">
        <v>173</v>
      </c>
      <c r="B174" s="4" t="s">
        <v>553</v>
      </c>
      <c r="C174" s="4" t="s">
        <v>23</v>
      </c>
      <c r="D174" s="4" t="s">
        <v>554</v>
      </c>
      <c r="E174" s="5" t="str">
        <f t="shared" si="6"/>
        <v>Dr.PREMALATHA K</v>
      </c>
      <c r="F174" s="6" t="s">
        <v>413</v>
      </c>
      <c r="G174" s="5" t="s">
        <v>29</v>
      </c>
      <c r="H174" s="5" t="s">
        <v>555</v>
      </c>
      <c r="I17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Col2='""&amp;B174&amp;""'"",0)"),1)</f>
        <v>1</v>
      </c>
      <c r="J174" s="5">
        <f>IFERROR(__xludf.DUMMYFUNCTION("""COMPUTED_VALUE"""),1)</f>
        <v>1</v>
      </c>
      <c r="K174" s="5">
        <f>IFERROR(__xludf.DUMMYFUNCTION("""COMPUTED_VALUE"""),2)</f>
        <v>2</v>
      </c>
      <c r="L174" s="5">
        <f>IFERROR(__xludf.DUMMYFUNCTION("""COMPUTED_VALUE"""),0)</f>
        <v>0</v>
      </c>
      <c r="M174" s="5" t="str">
        <f>IFERROR(__xludf.DUMMYFUNCTION("""COMPUTED_VALUE"""),"Working")</f>
        <v>Working</v>
      </c>
      <c r="N174" s="5" t="str">
        <f>IFERROR(__xludf.DUMMYFUNCTION("""COMPUTED_VALUE"""),"CORRECT")</f>
        <v>CORRECT</v>
      </c>
      <c r="O174" s="5" t="str">
        <f>IFERROR(__xludf.DUMMYFUNCTION("""COMPUTED_VALUE"""),"LOAD PENDING")</f>
        <v>LOAD PENDING</v>
      </c>
      <c r="P174" s="5" t="str">
        <f t="shared" si="7"/>
        <v>Extra Theory Load Alloted</v>
      </c>
      <c r="Q174" s="5" t="str">
        <f t="shared" si="8"/>
        <v/>
      </c>
    </row>
    <row r="175" ht="14.4" spans="1:17">
      <c r="A175" s="4">
        <v>174</v>
      </c>
      <c r="B175" s="4" t="s">
        <v>556</v>
      </c>
      <c r="C175" s="4" t="s">
        <v>23</v>
      </c>
      <c r="D175" s="4" t="s">
        <v>557</v>
      </c>
      <c r="E175" s="5" t="str">
        <f t="shared" si="6"/>
        <v>Dr.RAMYA R</v>
      </c>
      <c r="F175" s="6" t="s">
        <v>413</v>
      </c>
      <c r="G175" s="5" t="s">
        <v>25</v>
      </c>
      <c r="H175" s="5" t="s">
        <v>558</v>
      </c>
      <c r="I17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Col2='""&amp;B175&amp;""'"",0)"),2)</f>
        <v>2</v>
      </c>
      <c r="J175" s="5">
        <f>IFERROR(__xludf.DUMMYFUNCTION("""COMPUTED_VALUE"""),1)</f>
        <v>1</v>
      </c>
      <c r="K175" s="5">
        <f>IFERROR(__xludf.DUMMYFUNCTION("""COMPUTED_VALUE"""),2)</f>
        <v>2</v>
      </c>
      <c r="L175" s="5">
        <f>IFERROR(__xludf.DUMMYFUNCTION("""COMPUTED_VALUE"""),1)</f>
        <v>1</v>
      </c>
      <c r="M175" s="5" t="str">
        <f>IFERROR(__xludf.DUMMYFUNCTION("""COMPUTED_VALUE"""),"Working")</f>
        <v>Working</v>
      </c>
      <c r="N175" s="5" t="str">
        <f>IFERROR(__xludf.DUMMYFUNCTION("""COMPUTED_VALUE"""),"CORRECT")</f>
        <v>CORRECT</v>
      </c>
      <c r="O175" s="5" t="str">
        <f>IFERROR(__xludf.DUMMYFUNCTION("""COMPUTED_VALUE"""),"CORRECT")</f>
        <v>CORRECT</v>
      </c>
      <c r="P175" s="5" t="str">
        <f t="shared" si="7"/>
        <v/>
      </c>
      <c r="Q175" s="5" t="str">
        <f t="shared" si="8"/>
        <v/>
      </c>
    </row>
    <row r="176" ht="14.4" spans="1:17">
      <c r="A176" s="4">
        <v>175</v>
      </c>
      <c r="B176" s="4" t="s">
        <v>559</v>
      </c>
      <c r="C176" s="4" t="s">
        <v>23</v>
      </c>
      <c r="D176" s="4" t="s">
        <v>560</v>
      </c>
      <c r="E176" s="5" t="str">
        <f t="shared" si="6"/>
        <v>Dr.THANGA PARVATHI B</v>
      </c>
      <c r="F176" s="6" t="s">
        <v>561</v>
      </c>
      <c r="G176" s="5" t="s">
        <v>29</v>
      </c>
      <c r="H176" s="5" t="s">
        <v>562</v>
      </c>
      <c r="I17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Col2='""&amp;B176&amp;""'"",0)"),1)</f>
        <v>1</v>
      </c>
      <c r="J176" s="5">
        <f>IFERROR(__xludf.DUMMYFUNCTION("""COMPUTED_VALUE"""),1)</f>
        <v>1</v>
      </c>
      <c r="K176" s="5">
        <f>IFERROR(__xludf.DUMMYFUNCTION("""COMPUTED_VALUE"""),2)</f>
        <v>2</v>
      </c>
      <c r="L176" s="5">
        <f>IFERROR(__xludf.DUMMYFUNCTION("""COMPUTED_VALUE"""),0)</f>
        <v>0</v>
      </c>
      <c r="M176" s="5" t="str">
        <f>IFERROR(__xludf.DUMMYFUNCTION("""COMPUTED_VALUE"""),"Working")</f>
        <v>Working</v>
      </c>
      <c r="N176" s="5" t="str">
        <f>IFERROR(__xludf.DUMMYFUNCTION("""COMPUTED_VALUE"""),"CORRECT")</f>
        <v>CORRECT</v>
      </c>
      <c r="O176" s="5" t="str">
        <f>IFERROR(__xludf.DUMMYFUNCTION("""COMPUTED_VALUE"""),"LOAD PENDING")</f>
        <v>LOAD PENDING</v>
      </c>
      <c r="P176" s="5" t="str">
        <f t="shared" si="7"/>
        <v>Extra Theory Load Alloted</v>
      </c>
      <c r="Q176" s="5" t="str">
        <f t="shared" si="8"/>
        <v/>
      </c>
    </row>
    <row r="177" ht="27.6" spans="1:17">
      <c r="A177" s="4">
        <v>176</v>
      </c>
      <c r="B177" s="4" t="s">
        <v>563</v>
      </c>
      <c r="C177" s="4" t="s">
        <v>32</v>
      </c>
      <c r="D177" s="4" t="s">
        <v>564</v>
      </c>
      <c r="E177" s="5" t="str">
        <f t="shared" si="6"/>
        <v>Mrs.SWEETY PRASANNA KIRUBA G</v>
      </c>
      <c r="F177" s="6" t="s">
        <v>561</v>
      </c>
      <c r="G177" s="5" t="s">
        <v>47</v>
      </c>
      <c r="H177" s="5" t="s">
        <v>565</v>
      </c>
      <c r="I17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Col2='""&amp;B177&amp;""'"",0)"),2)</f>
        <v>2</v>
      </c>
      <c r="J177" s="5">
        <f>IFERROR(__xludf.DUMMYFUNCTION("""COMPUTED_VALUE"""),2)</f>
        <v>2</v>
      </c>
      <c r="K177" s="5">
        <f>IFERROR(__xludf.DUMMYFUNCTION("""COMPUTED_VALUE"""),2)</f>
        <v>2</v>
      </c>
      <c r="L177" s="5">
        <f>IFERROR(__xludf.DUMMYFUNCTION("""COMPUTED_VALUE"""),1)</f>
        <v>1</v>
      </c>
      <c r="M177" s="5" t="str">
        <f>IFERROR(__xludf.DUMMYFUNCTION("""COMPUTED_VALUE"""),"Working")</f>
        <v>Working</v>
      </c>
      <c r="N177" s="5" t="str">
        <f>IFERROR(__xludf.DUMMYFUNCTION("""COMPUTED_VALUE"""),"CORRECT")</f>
        <v>CORRECT</v>
      </c>
      <c r="O177" s="5" t="str">
        <f>IFERROR(__xludf.DUMMYFUNCTION("""COMPUTED_VALUE"""),"LOAD PENDING")</f>
        <v>LOAD PENDING</v>
      </c>
      <c r="P177" s="5" t="str">
        <f t="shared" si="7"/>
        <v/>
      </c>
      <c r="Q177" s="5" t="str">
        <f t="shared" si="8"/>
        <v/>
      </c>
    </row>
    <row r="178" ht="14.4" spans="1:17">
      <c r="A178" s="4">
        <v>177</v>
      </c>
      <c r="B178" s="4" t="s">
        <v>566</v>
      </c>
      <c r="C178" s="4" t="s">
        <v>53</v>
      </c>
      <c r="D178" s="4" t="s">
        <v>567</v>
      </c>
      <c r="E178" s="5" t="str">
        <f t="shared" si="6"/>
        <v>Ms.NITHYA M</v>
      </c>
      <c r="F178" s="6" t="s">
        <v>561</v>
      </c>
      <c r="G178" s="5" t="s">
        <v>47</v>
      </c>
      <c r="H178" s="5" t="s">
        <v>568</v>
      </c>
      <c r="I17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Col2='""&amp;B178&amp;""'"",0)"),2)</f>
        <v>2</v>
      </c>
      <c r="J178" s="5">
        <f>IFERROR(__xludf.DUMMYFUNCTION("""COMPUTED_VALUE"""),2)</f>
        <v>2</v>
      </c>
      <c r="K178" s="5">
        <f>IFERROR(__xludf.DUMMYFUNCTION("""COMPUTED_VALUE"""),2)</f>
        <v>2</v>
      </c>
      <c r="L178" s="5">
        <f>IFERROR(__xludf.DUMMYFUNCTION("""COMPUTED_VALUE"""),1)</f>
        <v>1</v>
      </c>
      <c r="M178" s="5" t="str">
        <f>IFERROR(__xludf.DUMMYFUNCTION("""COMPUTED_VALUE"""),"Working")</f>
        <v>Working</v>
      </c>
      <c r="N178" s="5" t="str">
        <f>IFERROR(__xludf.DUMMYFUNCTION("""COMPUTED_VALUE"""),"CORRECT")</f>
        <v>CORRECT</v>
      </c>
      <c r="O178" s="5" t="str">
        <f>IFERROR(__xludf.DUMMYFUNCTION("""COMPUTED_VALUE"""),"LOAD PENDING")</f>
        <v>LOAD PENDING</v>
      </c>
      <c r="P178" s="5" t="str">
        <f t="shared" si="7"/>
        <v/>
      </c>
      <c r="Q178" s="5" t="str">
        <f t="shared" si="8"/>
        <v/>
      </c>
    </row>
    <row r="179" ht="27.6" spans="1:17">
      <c r="A179" s="4">
        <v>178</v>
      </c>
      <c r="B179" s="4" t="s">
        <v>569</v>
      </c>
      <c r="C179" s="4" t="s">
        <v>17</v>
      </c>
      <c r="D179" s="4" t="s">
        <v>570</v>
      </c>
      <c r="E179" s="5" t="str">
        <f t="shared" si="6"/>
        <v>Mr.GUNALAN K</v>
      </c>
      <c r="F179" s="6" t="s">
        <v>561</v>
      </c>
      <c r="G179" s="5" t="s">
        <v>37</v>
      </c>
      <c r="H179" s="5" t="s">
        <v>571</v>
      </c>
      <c r="I17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Col2='""&amp;B179&amp;""'"",0)"),2)</f>
        <v>2</v>
      </c>
      <c r="J179" s="5">
        <f>IFERROR(__xludf.DUMMYFUNCTION("""COMPUTED_VALUE"""),2)</f>
        <v>2</v>
      </c>
      <c r="K179" s="5">
        <f>IFERROR(__xludf.DUMMYFUNCTION("""COMPUTED_VALUE"""),2)</f>
        <v>2</v>
      </c>
      <c r="L179" s="5">
        <f>IFERROR(__xludf.DUMMYFUNCTION("""COMPUTED_VALUE"""),1)</f>
        <v>1</v>
      </c>
      <c r="M179" s="5" t="str">
        <f>IFERROR(__xludf.DUMMYFUNCTION("""COMPUTED_VALUE"""),"Working")</f>
        <v>Working</v>
      </c>
      <c r="N179" s="5" t="str">
        <f>IFERROR(__xludf.DUMMYFUNCTION("""COMPUTED_VALUE"""),"CORRECT")</f>
        <v>CORRECT</v>
      </c>
      <c r="O179" s="5" t="str">
        <f>IFERROR(__xludf.DUMMYFUNCTION("""COMPUTED_VALUE"""),"LOAD PENDING")</f>
        <v>LOAD PENDING</v>
      </c>
      <c r="P179" s="5" t="str">
        <f t="shared" si="7"/>
        <v/>
      </c>
      <c r="Q179" s="5" t="str">
        <f t="shared" si="8"/>
        <v/>
      </c>
    </row>
    <row r="180" ht="27.6" spans="1:17">
      <c r="A180" s="4">
        <v>179</v>
      </c>
      <c r="B180" s="4" t="s">
        <v>572</v>
      </c>
      <c r="C180" s="4" t="s">
        <v>17</v>
      </c>
      <c r="D180" s="4" t="s">
        <v>573</v>
      </c>
      <c r="E180" s="5" t="str">
        <f t="shared" si="6"/>
        <v>Mr.ANANDAN P</v>
      </c>
      <c r="F180" s="6" t="s">
        <v>561</v>
      </c>
      <c r="G180" s="5" t="s">
        <v>37</v>
      </c>
      <c r="H180" s="5" t="s">
        <v>574</v>
      </c>
      <c r="I18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Col2='""&amp;B180&amp;""'"",0)"),2)</f>
        <v>2</v>
      </c>
      <c r="J180" s="5">
        <f>IFERROR(__xludf.DUMMYFUNCTION("""COMPUTED_VALUE"""),2)</f>
        <v>2</v>
      </c>
      <c r="K180" s="5">
        <f>IFERROR(__xludf.DUMMYFUNCTION("""COMPUTED_VALUE"""),2)</f>
        <v>2</v>
      </c>
      <c r="L180" s="5">
        <f>IFERROR(__xludf.DUMMYFUNCTION("""COMPUTED_VALUE"""),1)</f>
        <v>1</v>
      </c>
      <c r="M180" s="5" t="str">
        <f>IFERROR(__xludf.DUMMYFUNCTION("""COMPUTED_VALUE"""),"Working")</f>
        <v>Working</v>
      </c>
      <c r="N180" s="5" t="str">
        <f>IFERROR(__xludf.DUMMYFUNCTION("""COMPUTED_VALUE"""),"CORRECT")</f>
        <v>CORRECT</v>
      </c>
      <c r="O180" s="5" t="str">
        <f>IFERROR(__xludf.DUMMYFUNCTION("""COMPUTED_VALUE"""),"LOAD PENDING")</f>
        <v>LOAD PENDING</v>
      </c>
      <c r="P180" s="5" t="str">
        <f t="shared" si="7"/>
        <v/>
      </c>
      <c r="Q180" s="5" t="str">
        <f t="shared" si="8"/>
        <v/>
      </c>
    </row>
    <row r="181" ht="27.6" spans="1:17">
      <c r="A181" s="4">
        <v>180</v>
      </c>
      <c r="B181" s="4" t="s">
        <v>575</v>
      </c>
      <c r="C181" s="4" t="s">
        <v>32</v>
      </c>
      <c r="D181" s="4" t="s">
        <v>576</v>
      </c>
      <c r="E181" s="5" t="str">
        <f t="shared" si="6"/>
        <v>Mrs.SAVEETHA R</v>
      </c>
      <c r="F181" s="6" t="s">
        <v>561</v>
      </c>
      <c r="G181" s="5" t="s">
        <v>20</v>
      </c>
      <c r="H181" s="5" t="s">
        <v>577</v>
      </c>
      <c r="I18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Col2='""&amp;B181&amp;""'"",0)"),2)</f>
        <v>2</v>
      </c>
      <c r="J181" s="5">
        <f>IFERROR(__xludf.DUMMYFUNCTION("""COMPUTED_VALUE"""),2)</f>
        <v>2</v>
      </c>
      <c r="K181" s="5">
        <f>IFERROR(__xludf.DUMMYFUNCTION("""COMPUTED_VALUE"""),2)</f>
        <v>2</v>
      </c>
      <c r="L181" s="5">
        <f>IFERROR(__xludf.DUMMYFUNCTION("""COMPUTED_VALUE"""),1)</f>
        <v>1</v>
      </c>
      <c r="M181" s="5" t="str">
        <f>IFERROR(__xludf.DUMMYFUNCTION("""COMPUTED_VALUE"""),"Working")</f>
        <v>Working</v>
      </c>
      <c r="N181" s="5" t="str">
        <f>IFERROR(__xludf.DUMMYFUNCTION("""COMPUTED_VALUE"""),"CORRECT")</f>
        <v>CORRECT</v>
      </c>
      <c r="O181" s="5" t="str">
        <f>IFERROR(__xludf.DUMMYFUNCTION("""COMPUTED_VALUE"""),"LOAD PENDING")</f>
        <v>LOAD PENDING</v>
      </c>
      <c r="P181" s="5" t="str">
        <f t="shared" si="7"/>
        <v/>
      </c>
      <c r="Q181" s="5" t="str">
        <f t="shared" si="8"/>
        <v/>
      </c>
    </row>
    <row r="182" ht="27.6" spans="1:17">
      <c r="A182" s="4">
        <v>181</v>
      </c>
      <c r="B182" s="4" t="s">
        <v>578</v>
      </c>
      <c r="C182" s="4" t="s">
        <v>23</v>
      </c>
      <c r="D182" s="4" t="s">
        <v>579</v>
      </c>
      <c r="E182" s="5" t="str">
        <f t="shared" si="6"/>
        <v>Dr.MURUGESAN P</v>
      </c>
      <c r="F182" s="6" t="s">
        <v>561</v>
      </c>
      <c r="G182" s="5" t="s">
        <v>20</v>
      </c>
      <c r="H182" s="5" t="s">
        <v>580</v>
      </c>
      <c r="I18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Col2='""&amp;B182&amp;""'"",0)"),1)</f>
        <v>1</v>
      </c>
      <c r="J182" s="5">
        <f>IFERROR(__xludf.DUMMYFUNCTION("""COMPUTED_VALUE"""),0)</f>
        <v>0</v>
      </c>
      <c r="K182" s="5">
        <f>IFERROR(__xludf.DUMMYFUNCTION("""COMPUTED_VALUE"""),1)</f>
        <v>1</v>
      </c>
      <c r="L182" s="5">
        <f>IFERROR(__xludf.DUMMYFUNCTION("""COMPUTED_VALUE"""),0)</f>
        <v>0</v>
      </c>
      <c r="M182" s="5" t="str">
        <f>IFERROR(__xludf.DUMMYFUNCTION("""COMPUTED_VALUE"""),"Working")</f>
        <v>Working</v>
      </c>
      <c r="N182" s="5" t="str">
        <f>IFERROR(__xludf.DUMMYFUNCTION("""COMPUTED_VALUE"""),"CORRECT")</f>
        <v>CORRECT</v>
      </c>
      <c r="O182" s="5" t="str">
        <f>IFERROR(__xludf.DUMMYFUNCTION("""COMPUTED_VALUE"""),"CORRECT")</f>
        <v>CORRECT</v>
      </c>
      <c r="P182" s="5" t="str">
        <f t="shared" si="7"/>
        <v/>
      </c>
      <c r="Q182" s="5" t="str">
        <f t="shared" si="8"/>
        <v/>
      </c>
    </row>
    <row r="183" ht="27.6" spans="1:17">
      <c r="A183" s="4">
        <v>182</v>
      </c>
      <c r="B183" s="4" t="s">
        <v>581</v>
      </c>
      <c r="C183" s="4" t="s">
        <v>23</v>
      </c>
      <c r="D183" s="4" t="s">
        <v>582</v>
      </c>
      <c r="E183" s="5" t="str">
        <f t="shared" si="6"/>
        <v>Dr.SANNASI CHAKRAVARTHY S R</v>
      </c>
      <c r="F183" s="6" t="s">
        <v>583</v>
      </c>
      <c r="G183" s="5" t="s">
        <v>25</v>
      </c>
      <c r="H183" s="5" t="s">
        <v>584</v>
      </c>
      <c r="I18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Col2='""&amp;B183&amp;""'"",0)"),1)</f>
        <v>1</v>
      </c>
      <c r="J183" s="5">
        <f>IFERROR(__xludf.DUMMYFUNCTION("""COMPUTED_VALUE"""),0)</f>
        <v>0</v>
      </c>
      <c r="K183" s="5">
        <f>IFERROR(__xludf.DUMMYFUNCTION("""COMPUTED_VALUE"""),1)</f>
        <v>1</v>
      </c>
      <c r="L183" s="5">
        <f>IFERROR(__xludf.DUMMYFUNCTION("""COMPUTED_VALUE"""),0)</f>
        <v>0</v>
      </c>
      <c r="M183" s="5" t="str">
        <f>IFERROR(__xludf.DUMMYFUNCTION("""COMPUTED_VALUE"""),"Working")</f>
        <v>Working</v>
      </c>
      <c r="N183" s="5" t="str">
        <f>IFERROR(__xludf.DUMMYFUNCTION("""COMPUTED_VALUE"""),"CORRECT")</f>
        <v>CORRECT</v>
      </c>
      <c r="O183" s="5" t="str">
        <f>IFERROR(__xludf.DUMMYFUNCTION("""COMPUTED_VALUE"""),"CORRECT")</f>
        <v>CORRECT</v>
      </c>
      <c r="P183" s="5" t="str">
        <f t="shared" si="7"/>
        <v/>
      </c>
      <c r="Q183" s="5" t="str">
        <f t="shared" si="8"/>
        <v/>
      </c>
    </row>
    <row r="184" ht="14.4" spans="1:17">
      <c r="A184" s="4">
        <v>183</v>
      </c>
      <c r="B184" s="4" t="s">
        <v>585</v>
      </c>
      <c r="C184" s="4" t="s">
        <v>23</v>
      </c>
      <c r="D184" s="4" t="s">
        <v>586</v>
      </c>
      <c r="E184" s="5" t="str">
        <f t="shared" si="6"/>
        <v>Dr.SAMPOORNAM K P</v>
      </c>
      <c r="F184" s="6" t="s">
        <v>583</v>
      </c>
      <c r="G184" s="5" t="s">
        <v>29</v>
      </c>
      <c r="H184" s="5" t="s">
        <v>587</v>
      </c>
      <c r="I18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Col2='""&amp;B184&amp;""'"",0)"),1)</f>
        <v>1</v>
      </c>
      <c r="J184" s="5">
        <f>IFERROR(__xludf.DUMMYFUNCTION("""COMPUTED_VALUE"""),1)</f>
        <v>1</v>
      </c>
      <c r="K184" s="5">
        <f>IFERROR(__xludf.DUMMYFUNCTION("""COMPUTED_VALUE"""),2)</f>
        <v>2</v>
      </c>
      <c r="L184" s="5">
        <f>IFERROR(__xludf.DUMMYFUNCTION("""COMPUTED_VALUE"""),0)</f>
        <v>0</v>
      </c>
      <c r="M184" s="5" t="str">
        <f>IFERROR(__xludf.DUMMYFUNCTION("""COMPUTED_VALUE"""),"Working")</f>
        <v>Working</v>
      </c>
      <c r="N184" s="5" t="str">
        <f>IFERROR(__xludf.DUMMYFUNCTION("""COMPUTED_VALUE"""),"CORRECT")</f>
        <v>CORRECT</v>
      </c>
      <c r="O184" s="5" t="str">
        <f>IFERROR(__xludf.DUMMYFUNCTION("""COMPUTED_VALUE"""),"LOAD PENDING")</f>
        <v>LOAD PENDING</v>
      </c>
      <c r="P184" s="5" t="str">
        <f t="shared" si="7"/>
        <v>Extra Theory Load Alloted</v>
      </c>
      <c r="Q184" s="5" t="str">
        <f t="shared" si="8"/>
        <v/>
      </c>
    </row>
    <row r="185" ht="27.6" spans="1:17">
      <c r="A185" s="4">
        <v>184</v>
      </c>
      <c r="B185" s="4" t="s">
        <v>588</v>
      </c>
      <c r="C185" s="4" t="s">
        <v>17</v>
      </c>
      <c r="D185" s="4" t="s">
        <v>589</v>
      </c>
      <c r="E185" s="5" t="str">
        <f t="shared" si="6"/>
        <v>Mr.KARTHIKEYAN S</v>
      </c>
      <c r="F185" s="6" t="s">
        <v>583</v>
      </c>
      <c r="G185" s="5" t="s">
        <v>20</v>
      </c>
      <c r="H185" s="5" t="s">
        <v>590</v>
      </c>
      <c r="I18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Col2='""&amp;B185&amp;""'"",0)"),2)</f>
        <v>2</v>
      </c>
      <c r="J185" s="5">
        <f>IFERROR(__xludf.DUMMYFUNCTION("""COMPUTED_VALUE"""),2)</f>
        <v>2</v>
      </c>
      <c r="K185" s="5">
        <f>IFERROR(__xludf.DUMMYFUNCTION("""COMPUTED_VALUE"""),2)</f>
        <v>2</v>
      </c>
      <c r="L185" s="5">
        <f>IFERROR(__xludf.DUMMYFUNCTION("""COMPUTED_VALUE"""),1)</f>
        <v>1</v>
      </c>
      <c r="M185" s="5" t="str">
        <f>IFERROR(__xludf.DUMMYFUNCTION("""COMPUTED_VALUE"""),"Working")</f>
        <v>Working</v>
      </c>
      <c r="N185" s="5" t="str">
        <f>IFERROR(__xludf.DUMMYFUNCTION("""COMPUTED_VALUE"""),"CORRECT")</f>
        <v>CORRECT</v>
      </c>
      <c r="O185" s="5" t="str">
        <f>IFERROR(__xludf.DUMMYFUNCTION("""COMPUTED_VALUE"""),"LOAD PENDING")</f>
        <v>LOAD PENDING</v>
      </c>
      <c r="P185" s="5" t="str">
        <f t="shared" si="7"/>
        <v/>
      </c>
      <c r="Q185" s="5" t="str">
        <f t="shared" si="8"/>
        <v/>
      </c>
    </row>
    <row r="186" ht="27.6" spans="1:17">
      <c r="A186" s="4">
        <v>185</v>
      </c>
      <c r="B186" s="4" t="s">
        <v>591</v>
      </c>
      <c r="C186" s="4" t="s">
        <v>32</v>
      </c>
      <c r="D186" s="4" t="s">
        <v>309</v>
      </c>
      <c r="E186" s="5" t="str">
        <f t="shared" si="6"/>
        <v>Mrs.SARANYA N</v>
      </c>
      <c r="F186" s="6" t="s">
        <v>583</v>
      </c>
      <c r="G186" s="5" t="s">
        <v>20</v>
      </c>
      <c r="H186" s="5" t="s">
        <v>592</v>
      </c>
      <c r="I18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Col2='""&amp;B186&amp;""'"",0)"),2)</f>
        <v>2</v>
      </c>
      <c r="J186" s="5">
        <f>IFERROR(__xludf.DUMMYFUNCTION("""COMPUTED_VALUE"""),2)</f>
        <v>2</v>
      </c>
      <c r="K186" s="5">
        <f>IFERROR(__xludf.DUMMYFUNCTION("""COMPUTED_VALUE"""),2)</f>
        <v>2</v>
      </c>
      <c r="L186" s="5">
        <f>IFERROR(__xludf.DUMMYFUNCTION("""COMPUTED_VALUE"""),2)</f>
        <v>2</v>
      </c>
      <c r="M186" s="5" t="str">
        <f>IFERROR(__xludf.DUMMYFUNCTION("""COMPUTED_VALUE"""),"Working")</f>
        <v>Working</v>
      </c>
      <c r="N186" s="5" t="str">
        <f>IFERROR(__xludf.DUMMYFUNCTION("""COMPUTED_VALUE"""),"CORRECT")</f>
        <v>CORRECT</v>
      </c>
      <c r="O186" s="5" t="str">
        <f>IFERROR(__xludf.DUMMYFUNCTION("""COMPUTED_VALUE"""),"CORRECT")</f>
        <v>CORRECT</v>
      </c>
      <c r="P186" s="5" t="str">
        <f t="shared" si="7"/>
        <v/>
      </c>
      <c r="Q186" s="5" t="str">
        <f t="shared" si="8"/>
        <v/>
      </c>
    </row>
    <row r="187" ht="27.6" spans="1:17">
      <c r="A187" s="4">
        <v>186</v>
      </c>
      <c r="B187" s="4" t="s">
        <v>593</v>
      </c>
      <c r="C187" s="4" t="s">
        <v>17</v>
      </c>
      <c r="D187" s="4" t="s">
        <v>594</v>
      </c>
      <c r="E187" s="5" t="str">
        <f t="shared" si="6"/>
        <v>Mr.BARANIDHARAN V</v>
      </c>
      <c r="F187" s="6" t="s">
        <v>583</v>
      </c>
      <c r="G187" s="5" t="s">
        <v>20</v>
      </c>
      <c r="H187" s="5" t="s">
        <v>595</v>
      </c>
      <c r="I18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Col2='""&amp;B187&amp;""'"",0)"),1)</f>
        <v>1</v>
      </c>
      <c r="J187" s="5">
        <f>IFERROR(__xludf.DUMMYFUNCTION("""COMPUTED_VALUE"""),0)</f>
        <v>0</v>
      </c>
      <c r="K187" s="5">
        <f>IFERROR(__xludf.DUMMYFUNCTION("""COMPUTED_VALUE"""),1)</f>
        <v>1</v>
      </c>
      <c r="L187" s="5">
        <f>IFERROR(__xludf.DUMMYFUNCTION("""COMPUTED_VALUE"""),0)</f>
        <v>0</v>
      </c>
      <c r="M187" s="5" t="str">
        <f>IFERROR(__xludf.DUMMYFUNCTION("""COMPUTED_VALUE"""),"Working")</f>
        <v>Working</v>
      </c>
      <c r="N187" s="5" t="str">
        <f>IFERROR(__xludf.DUMMYFUNCTION("""COMPUTED_VALUE"""),"CORRECT")</f>
        <v>CORRECT</v>
      </c>
      <c r="O187" s="5" t="str">
        <f>IFERROR(__xludf.DUMMYFUNCTION("""COMPUTED_VALUE"""),"CORRECT")</f>
        <v>CORRECT</v>
      </c>
      <c r="P187" s="5" t="str">
        <f t="shared" si="7"/>
        <v/>
      </c>
      <c r="Q187" s="5" t="str">
        <f t="shared" si="8"/>
        <v/>
      </c>
    </row>
    <row r="188" ht="27.6" spans="1:17">
      <c r="A188" s="4">
        <v>187</v>
      </c>
      <c r="B188" s="4" t="s">
        <v>596</v>
      </c>
      <c r="C188" s="4" t="s">
        <v>17</v>
      </c>
      <c r="D188" s="4" t="s">
        <v>597</v>
      </c>
      <c r="E188" s="5" t="str">
        <f t="shared" si="6"/>
        <v>Mr.TAMILSELVAN S</v>
      </c>
      <c r="F188" s="6" t="s">
        <v>583</v>
      </c>
      <c r="G188" s="5" t="s">
        <v>20</v>
      </c>
      <c r="H188" s="5" t="s">
        <v>598</v>
      </c>
      <c r="I18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Col2='""&amp;B188&amp;""'"",0)"),2)</f>
        <v>2</v>
      </c>
      <c r="J188" s="5">
        <f>IFERROR(__xludf.DUMMYFUNCTION("""COMPUTED_VALUE"""),2)</f>
        <v>2</v>
      </c>
      <c r="K188" s="5">
        <f>IFERROR(__xludf.DUMMYFUNCTION("""COMPUTED_VALUE"""),2)</f>
        <v>2</v>
      </c>
      <c r="L188" s="5">
        <f>IFERROR(__xludf.DUMMYFUNCTION("""COMPUTED_VALUE"""),2)</f>
        <v>2</v>
      </c>
      <c r="M188" s="5" t="str">
        <f>IFERROR(__xludf.DUMMYFUNCTION("""COMPUTED_VALUE"""),"Working")</f>
        <v>Working</v>
      </c>
      <c r="N188" s="5" t="str">
        <f>IFERROR(__xludf.DUMMYFUNCTION("""COMPUTED_VALUE"""),"CORRECT")</f>
        <v>CORRECT</v>
      </c>
      <c r="O188" s="5" t="str">
        <f>IFERROR(__xludf.DUMMYFUNCTION("""COMPUTED_VALUE"""),"CORRECT")</f>
        <v>CORRECT</v>
      </c>
      <c r="P188" s="5" t="str">
        <f t="shared" si="7"/>
        <v/>
      </c>
      <c r="Q188" s="5" t="str">
        <f t="shared" si="8"/>
        <v/>
      </c>
    </row>
    <row r="189" ht="27.6" spans="1:17">
      <c r="A189" s="4">
        <v>188</v>
      </c>
      <c r="B189" s="4" t="s">
        <v>599</v>
      </c>
      <c r="C189" s="4" t="s">
        <v>17</v>
      </c>
      <c r="D189" s="4" t="s">
        <v>600</v>
      </c>
      <c r="E189" s="5" t="str">
        <f t="shared" si="6"/>
        <v>Mr.RAJA SEKAR S</v>
      </c>
      <c r="F189" s="6" t="s">
        <v>583</v>
      </c>
      <c r="G189" s="5" t="s">
        <v>20</v>
      </c>
      <c r="H189" s="5" t="s">
        <v>601</v>
      </c>
      <c r="I18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Col2='""&amp;B189&amp;""'"",0)"),1)</f>
        <v>1</v>
      </c>
      <c r="J189" s="5">
        <f>IFERROR(__xludf.DUMMYFUNCTION("""COMPUTED_VALUE"""),1)</f>
        <v>1</v>
      </c>
      <c r="K189" s="5">
        <f>IFERROR(__xludf.DUMMYFUNCTION("""COMPUTED_VALUE"""),2)</f>
        <v>2</v>
      </c>
      <c r="L189" s="5">
        <f>IFERROR(__xludf.DUMMYFUNCTION("""COMPUTED_VALUE"""),1)</f>
        <v>1</v>
      </c>
      <c r="M189" s="5" t="str">
        <f>IFERROR(__xludf.DUMMYFUNCTION("""COMPUTED_VALUE"""),"Working")</f>
        <v>Working</v>
      </c>
      <c r="N189" s="5" t="str">
        <f>IFERROR(__xludf.DUMMYFUNCTION("""COMPUTED_VALUE"""),"CORRECT")</f>
        <v>CORRECT</v>
      </c>
      <c r="O189" s="5" t="str">
        <f>IFERROR(__xludf.DUMMYFUNCTION("""COMPUTED_VALUE"""),"CORRECT")</f>
        <v>CORRECT</v>
      </c>
      <c r="P189" s="5" t="str">
        <f t="shared" si="7"/>
        <v>Extra Theory Load Alloted</v>
      </c>
      <c r="Q189" s="5" t="str">
        <f t="shared" si="8"/>
        <v/>
      </c>
    </row>
    <row r="190" ht="14.4" spans="1:17">
      <c r="A190" s="4">
        <v>189</v>
      </c>
      <c r="B190" s="4" t="s">
        <v>602</v>
      </c>
      <c r="C190" s="4" t="s">
        <v>23</v>
      </c>
      <c r="D190" s="4" t="s">
        <v>603</v>
      </c>
      <c r="E190" s="5" t="str">
        <f t="shared" si="6"/>
        <v>Dr.LEEBAN MOSES M</v>
      </c>
      <c r="F190" s="6" t="s">
        <v>583</v>
      </c>
      <c r="G190" s="5" t="s">
        <v>25</v>
      </c>
      <c r="H190" s="5" t="s">
        <v>604</v>
      </c>
      <c r="I19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Col2='""&amp;B190&amp;""'"",0)"),2)</f>
        <v>2</v>
      </c>
      <c r="J190" s="5">
        <f>IFERROR(__xludf.DUMMYFUNCTION("""COMPUTED_VALUE"""),1)</f>
        <v>1</v>
      </c>
      <c r="K190" s="5">
        <f>IFERROR(__xludf.DUMMYFUNCTION("""COMPUTED_VALUE"""),2)</f>
        <v>2</v>
      </c>
      <c r="L190" s="5">
        <f>IFERROR(__xludf.DUMMYFUNCTION("""COMPUTED_VALUE"""),1)</f>
        <v>1</v>
      </c>
      <c r="M190" s="5" t="str">
        <f>IFERROR(__xludf.DUMMYFUNCTION("""COMPUTED_VALUE"""),"Working")</f>
        <v>Working</v>
      </c>
      <c r="N190" s="5" t="str">
        <f>IFERROR(__xludf.DUMMYFUNCTION("""COMPUTED_VALUE"""),"CORRECT")</f>
        <v>CORRECT</v>
      </c>
      <c r="O190" s="5" t="str">
        <f>IFERROR(__xludf.DUMMYFUNCTION("""COMPUTED_VALUE"""),"CORRECT")</f>
        <v>CORRECT</v>
      </c>
      <c r="P190" s="5" t="str">
        <f t="shared" si="7"/>
        <v/>
      </c>
      <c r="Q190" s="5" t="str">
        <f t="shared" si="8"/>
        <v/>
      </c>
    </row>
    <row r="191" ht="14.4" spans="1:17">
      <c r="A191" s="4">
        <v>190</v>
      </c>
      <c r="B191" s="4" t="s">
        <v>605</v>
      </c>
      <c r="C191" s="4" t="s">
        <v>23</v>
      </c>
      <c r="D191" s="4" t="s">
        <v>606</v>
      </c>
      <c r="E191" s="5" t="str">
        <f t="shared" si="6"/>
        <v>Dr.PERARASI T</v>
      </c>
      <c r="F191" s="6" t="s">
        <v>583</v>
      </c>
      <c r="G191" s="5" t="s">
        <v>29</v>
      </c>
      <c r="H191" s="5" t="s">
        <v>607</v>
      </c>
      <c r="I19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Col2='""&amp;B191&amp;""'"",0)"),1)</f>
        <v>1</v>
      </c>
      <c r="J191" s="5">
        <f>IFERROR(__xludf.DUMMYFUNCTION("""COMPUTED_VALUE"""),1)</f>
        <v>1</v>
      </c>
      <c r="K191" s="5">
        <f>IFERROR(__xludf.DUMMYFUNCTION("""COMPUTED_VALUE"""),1)</f>
        <v>1</v>
      </c>
      <c r="L191" s="5">
        <f>IFERROR(__xludf.DUMMYFUNCTION("""COMPUTED_VALUE"""),1)</f>
        <v>1</v>
      </c>
      <c r="M191" s="5" t="str">
        <f>IFERROR(__xludf.DUMMYFUNCTION("""COMPUTED_VALUE"""),"Working")</f>
        <v>Working</v>
      </c>
      <c r="N191" s="5" t="str">
        <f>IFERROR(__xludf.DUMMYFUNCTION("""COMPUTED_VALUE"""),"CORRECT")</f>
        <v>CORRECT</v>
      </c>
      <c r="O191" s="5" t="str">
        <f>IFERROR(__xludf.DUMMYFUNCTION("""COMPUTED_VALUE"""),"CORRECT")</f>
        <v>CORRECT</v>
      </c>
      <c r="P191" s="5" t="str">
        <f t="shared" si="7"/>
        <v/>
      </c>
      <c r="Q191" s="5" t="str">
        <f t="shared" si="8"/>
        <v/>
      </c>
    </row>
    <row r="192" ht="27.6" spans="1:17">
      <c r="A192" s="4">
        <v>191</v>
      </c>
      <c r="B192" s="4" t="s">
        <v>608</v>
      </c>
      <c r="C192" s="4" t="s">
        <v>32</v>
      </c>
      <c r="D192" s="4" t="s">
        <v>609</v>
      </c>
      <c r="E192" s="5" t="str">
        <f t="shared" si="6"/>
        <v>Mrs.GAYATHRI R</v>
      </c>
      <c r="F192" s="6" t="s">
        <v>583</v>
      </c>
      <c r="G192" s="5" t="s">
        <v>37</v>
      </c>
      <c r="H192" s="5" t="s">
        <v>610</v>
      </c>
      <c r="I19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Col2='""&amp;B192&amp;""'"",0)"),1)</f>
        <v>1</v>
      </c>
      <c r="J192" s="5">
        <f>IFERROR(__xludf.DUMMYFUNCTION("""COMPUTED_VALUE"""),1)</f>
        <v>1</v>
      </c>
      <c r="K192" s="5">
        <f>IFERROR(__xludf.DUMMYFUNCTION("""COMPUTED_VALUE"""),1)</f>
        <v>1</v>
      </c>
      <c r="L192" s="5">
        <f>IFERROR(__xludf.DUMMYFUNCTION("""COMPUTED_VALUE"""),1)</f>
        <v>1</v>
      </c>
      <c r="M192" s="5" t="str">
        <f>IFERROR(__xludf.DUMMYFUNCTION("""COMPUTED_VALUE"""),"Working")</f>
        <v>Working</v>
      </c>
      <c r="N192" s="5" t="str">
        <f>IFERROR(__xludf.DUMMYFUNCTION("""COMPUTED_VALUE"""),"CORRECT")</f>
        <v>CORRECT</v>
      </c>
      <c r="O192" s="5" t="str">
        <f>IFERROR(__xludf.DUMMYFUNCTION("""COMPUTED_VALUE"""),"CORRECT")</f>
        <v>CORRECT</v>
      </c>
      <c r="P192" s="5" t="str">
        <f t="shared" si="7"/>
        <v/>
      </c>
      <c r="Q192" s="5" t="str">
        <f t="shared" si="8"/>
        <v/>
      </c>
    </row>
    <row r="193" ht="14.4" spans="1:17">
      <c r="A193" s="4">
        <v>192</v>
      </c>
      <c r="B193" s="4" t="s">
        <v>611</v>
      </c>
      <c r="C193" s="4" t="s">
        <v>23</v>
      </c>
      <c r="D193" s="4" t="s">
        <v>612</v>
      </c>
      <c r="E193" s="5" t="str">
        <f t="shared" si="6"/>
        <v>Dr.POONGODI C</v>
      </c>
      <c r="F193" s="6" t="s">
        <v>583</v>
      </c>
      <c r="G193" s="5" t="s">
        <v>29</v>
      </c>
      <c r="H193" s="5" t="s">
        <v>613</v>
      </c>
      <c r="I19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Col2='""&amp;B193&amp;""'"",0)"),0)</f>
        <v>0</v>
      </c>
      <c r="J193" s="5">
        <f>IFERROR(__xludf.DUMMYFUNCTION("""COMPUTED_VALUE"""),0)</f>
        <v>0</v>
      </c>
      <c r="K193" s="5">
        <f>IFERROR(__xludf.DUMMYFUNCTION("""COMPUTED_VALUE"""),1)</f>
        <v>1</v>
      </c>
      <c r="L193" s="5">
        <f>IFERROR(__xludf.DUMMYFUNCTION("""COMPUTED_VALUE"""),0)</f>
        <v>0</v>
      </c>
      <c r="M193" s="5" t="str">
        <f>IFERROR(__xludf.DUMMYFUNCTION("""COMPUTED_VALUE"""),"Working")</f>
        <v>Working</v>
      </c>
      <c r="N193" s="5" t="str">
        <f>IFERROR(__xludf.DUMMYFUNCTION("""COMPUTED_VALUE"""),"CORRECT")</f>
        <v>CORRECT</v>
      </c>
      <c r="O193" s="5" t="str">
        <f>IFERROR(__xludf.DUMMYFUNCTION("""COMPUTED_VALUE"""),"CORRECT")</f>
        <v>CORRECT</v>
      </c>
      <c r="P193" s="5" t="str">
        <f t="shared" si="7"/>
        <v>Extra Theory Load Alloted</v>
      </c>
      <c r="Q193" s="5" t="str">
        <f t="shared" si="8"/>
        <v/>
      </c>
    </row>
    <row r="194" ht="27.6" spans="1:17">
      <c r="A194" s="4">
        <v>193</v>
      </c>
      <c r="B194" s="4" t="s">
        <v>614</v>
      </c>
      <c r="C194" s="4" t="s">
        <v>32</v>
      </c>
      <c r="D194" s="4" t="s">
        <v>615</v>
      </c>
      <c r="E194" s="5" t="str">
        <f t="shared" ref="E194:E257" si="9">CONCATENATE(C194,".",D194)</f>
        <v>Mrs.ABINAYA M</v>
      </c>
      <c r="F194" s="6" t="s">
        <v>583</v>
      </c>
      <c r="G194" s="5" t="s">
        <v>37</v>
      </c>
      <c r="H194" s="5" t="s">
        <v>616</v>
      </c>
      <c r="I19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Col2='""&amp;B194&amp;""'"",0)"),2)</f>
        <v>2</v>
      </c>
      <c r="J194" s="5">
        <f>IFERROR(__xludf.DUMMYFUNCTION("""COMPUTED_VALUE"""),2)</f>
        <v>2</v>
      </c>
      <c r="K194" s="5">
        <f>IFERROR(__xludf.DUMMYFUNCTION("""COMPUTED_VALUE"""),2)</f>
        <v>2</v>
      </c>
      <c r="L194" s="5">
        <f>IFERROR(__xludf.DUMMYFUNCTION("""COMPUTED_VALUE"""),2)</f>
        <v>2</v>
      </c>
      <c r="M194" s="5" t="str">
        <f>IFERROR(__xludf.DUMMYFUNCTION("""COMPUTED_VALUE"""),"Working")</f>
        <v>Working</v>
      </c>
      <c r="N194" s="5" t="str">
        <f>IFERROR(__xludf.DUMMYFUNCTION("""COMPUTED_VALUE"""),"CORRECT")</f>
        <v>CORRECT</v>
      </c>
      <c r="O194" s="5" t="str">
        <f>IFERROR(__xludf.DUMMYFUNCTION("""COMPUTED_VALUE"""),"CORRECT")</f>
        <v>CORRECT</v>
      </c>
      <c r="P194" s="5" t="str">
        <f t="shared" ref="P194:P257" si="10">IF(K194&gt;I194,"Extra Theory Load Alloted","")</f>
        <v/>
      </c>
      <c r="Q194" s="5" t="str">
        <f t="shared" ref="Q194:Q257" si="11">IF(L194&gt;J194,"Extra Lab Load Alloted","")</f>
        <v/>
      </c>
    </row>
    <row r="195" ht="14.4" spans="1:17">
      <c r="A195" s="4">
        <v>194</v>
      </c>
      <c r="B195" s="4" t="s">
        <v>617</v>
      </c>
      <c r="C195" s="4" t="s">
        <v>23</v>
      </c>
      <c r="D195" s="4" t="s">
        <v>618</v>
      </c>
      <c r="E195" s="5" t="str">
        <f t="shared" si="9"/>
        <v>Dr.ARULMURUGAN L</v>
      </c>
      <c r="F195" s="6" t="s">
        <v>583</v>
      </c>
      <c r="G195" s="5" t="s">
        <v>25</v>
      </c>
      <c r="H195" s="5" t="s">
        <v>619</v>
      </c>
      <c r="I19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Col2='""&amp;B195&amp;""'"",0)"),2)</f>
        <v>2</v>
      </c>
      <c r="J195" s="5">
        <f>IFERROR(__xludf.DUMMYFUNCTION("""COMPUTED_VALUE"""),1)</f>
        <v>1</v>
      </c>
      <c r="K195" s="5">
        <f>IFERROR(__xludf.DUMMYFUNCTION("""COMPUTED_VALUE"""),2)</f>
        <v>2</v>
      </c>
      <c r="L195" s="5">
        <f>IFERROR(__xludf.DUMMYFUNCTION("""COMPUTED_VALUE"""),1)</f>
        <v>1</v>
      </c>
      <c r="M195" s="5" t="str">
        <f>IFERROR(__xludf.DUMMYFUNCTION("""COMPUTED_VALUE"""),"Working")</f>
        <v>Working</v>
      </c>
      <c r="N195" s="5" t="str">
        <f>IFERROR(__xludf.DUMMYFUNCTION("""COMPUTED_VALUE"""),"CORRECT")</f>
        <v>CORRECT</v>
      </c>
      <c r="O195" s="5" t="str">
        <f>IFERROR(__xludf.DUMMYFUNCTION("""COMPUTED_VALUE"""),"CORRECT")</f>
        <v>CORRECT</v>
      </c>
      <c r="P195" s="5" t="str">
        <f t="shared" si="10"/>
        <v/>
      </c>
      <c r="Q195" s="5" t="str">
        <f t="shared" si="11"/>
        <v/>
      </c>
    </row>
    <row r="196" ht="27.6" spans="1:17">
      <c r="A196" s="4">
        <v>195</v>
      </c>
      <c r="B196" s="4" t="s">
        <v>620</v>
      </c>
      <c r="C196" s="4" t="s">
        <v>32</v>
      </c>
      <c r="D196" s="4" t="s">
        <v>621</v>
      </c>
      <c r="E196" s="5" t="str">
        <f t="shared" si="9"/>
        <v>Mrs.SOUNDARYA B</v>
      </c>
      <c r="F196" s="6" t="s">
        <v>583</v>
      </c>
      <c r="G196" s="5" t="s">
        <v>37</v>
      </c>
      <c r="H196" s="5" t="s">
        <v>622</v>
      </c>
      <c r="I19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Col2='""&amp;B196&amp;""'"",0)"),2)</f>
        <v>2</v>
      </c>
      <c r="J196" s="5">
        <f>IFERROR(__xludf.DUMMYFUNCTION("""COMPUTED_VALUE"""),2)</f>
        <v>2</v>
      </c>
      <c r="K196" s="5">
        <f>IFERROR(__xludf.DUMMYFUNCTION("""COMPUTED_VALUE"""),2)</f>
        <v>2</v>
      </c>
      <c r="L196" s="5">
        <f>IFERROR(__xludf.DUMMYFUNCTION("""COMPUTED_VALUE"""),2)</f>
        <v>2</v>
      </c>
      <c r="M196" s="5" t="str">
        <f>IFERROR(__xludf.DUMMYFUNCTION("""COMPUTED_VALUE"""),"Working")</f>
        <v>Working</v>
      </c>
      <c r="N196" s="5" t="str">
        <f>IFERROR(__xludf.DUMMYFUNCTION("""COMPUTED_VALUE"""),"CORRECT")</f>
        <v>CORRECT</v>
      </c>
      <c r="O196" s="5" t="str">
        <f>IFERROR(__xludf.DUMMYFUNCTION("""COMPUTED_VALUE"""),"CORRECT")</f>
        <v>CORRECT</v>
      </c>
      <c r="P196" s="5" t="str">
        <f t="shared" si="10"/>
        <v/>
      </c>
      <c r="Q196" s="5" t="str">
        <f t="shared" si="11"/>
        <v/>
      </c>
    </row>
    <row r="197" ht="27.6" spans="1:17">
      <c r="A197" s="4">
        <v>196</v>
      </c>
      <c r="B197" s="4" t="s">
        <v>623</v>
      </c>
      <c r="C197" s="4" t="s">
        <v>17</v>
      </c>
      <c r="D197" s="4" t="s">
        <v>624</v>
      </c>
      <c r="E197" s="5" t="str">
        <f t="shared" si="9"/>
        <v>Mr.KRISHNARAJ R</v>
      </c>
      <c r="F197" s="6" t="s">
        <v>583</v>
      </c>
      <c r="G197" s="5" t="s">
        <v>37</v>
      </c>
      <c r="H197" s="5" t="s">
        <v>625</v>
      </c>
      <c r="I19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Col2='""&amp;B197&amp;""'"",0)"),2)</f>
        <v>2</v>
      </c>
      <c r="J197" s="5">
        <f>IFERROR(__xludf.DUMMYFUNCTION("""COMPUTED_VALUE"""),2)</f>
        <v>2</v>
      </c>
      <c r="K197" s="5">
        <f>IFERROR(__xludf.DUMMYFUNCTION("""COMPUTED_VALUE"""),2)</f>
        <v>2</v>
      </c>
      <c r="L197" s="5">
        <f>IFERROR(__xludf.DUMMYFUNCTION("""COMPUTED_VALUE"""),2)</f>
        <v>2</v>
      </c>
      <c r="M197" s="5" t="str">
        <f>IFERROR(__xludf.DUMMYFUNCTION("""COMPUTED_VALUE"""),"Working")</f>
        <v>Working</v>
      </c>
      <c r="N197" s="5" t="str">
        <f>IFERROR(__xludf.DUMMYFUNCTION("""COMPUTED_VALUE"""),"CORRECT")</f>
        <v>CORRECT</v>
      </c>
      <c r="O197" s="5" t="str">
        <f>IFERROR(__xludf.DUMMYFUNCTION("""COMPUTED_VALUE"""),"CORRECT")</f>
        <v>CORRECT</v>
      </c>
      <c r="P197" s="5" t="str">
        <f t="shared" si="10"/>
        <v/>
      </c>
      <c r="Q197" s="5" t="str">
        <f t="shared" si="11"/>
        <v/>
      </c>
    </row>
    <row r="198" ht="27.6" spans="1:17">
      <c r="A198" s="4">
        <v>197</v>
      </c>
      <c r="B198" s="4" t="s">
        <v>626</v>
      </c>
      <c r="C198" s="4" t="s">
        <v>32</v>
      </c>
      <c r="D198" s="4" t="s">
        <v>627</v>
      </c>
      <c r="E198" s="5" t="str">
        <f t="shared" si="9"/>
        <v>Mrs.MYTHILI S</v>
      </c>
      <c r="F198" s="6" t="s">
        <v>583</v>
      </c>
      <c r="G198" s="5" t="s">
        <v>37</v>
      </c>
      <c r="H198" s="5" t="s">
        <v>628</v>
      </c>
      <c r="I19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Col2='""&amp;B198&amp;""'"",0)"),1)</f>
        <v>1</v>
      </c>
      <c r="J198" s="5">
        <f>IFERROR(__xludf.DUMMYFUNCTION("""COMPUTED_VALUE"""),1)</f>
        <v>1</v>
      </c>
      <c r="K198" s="5">
        <f>IFERROR(__xludf.DUMMYFUNCTION("""COMPUTED_VALUE"""),2)</f>
        <v>2</v>
      </c>
      <c r="L198" s="5">
        <f>IFERROR(__xludf.DUMMYFUNCTION("""COMPUTED_VALUE"""),0)</f>
        <v>0</v>
      </c>
      <c r="M198" s="5" t="str">
        <f>IFERROR(__xludf.DUMMYFUNCTION("""COMPUTED_VALUE"""),"Working")</f>
        <v>Working</v>
      </c>
      <c r="N198" s="5" t="str">
        <f>IFERROR(__xludf.DUMMYFUNCTION("""COMPUTED_VALUE"""),"CORRECT")</f>
        <v>CORRECT</v>
      </c>
      <c r="O198" s="5" t="str">
        <f>IFERROR(__xludf.DUMMYFUNCTION("""COMPUTED_VALUE"""),"LOAD PENDING")</f>
        <v>LOAD PENDING</v>
      </c>
      <c r="P198" s="5" t="str">
        <f t="shared" si="10"/>
        <v>Extra Theory Load Alloted</v>
      </c>
      <c r="Q198" s="5" t="str">
        <f t="shared" si="11"/>
        <v/>
      </c>
    </row>
    <row r="199" ht="27.6" spans="1:17">
      <c r="A199" s="4">
        <v>198</v>
      </c>
      <c r="B199" s="4" t="s">
        <v>629</v>
      </c>
      <c r="C199" s="4" t="s">
        <v>53</v>
      </c>
      <c r="D199" s="4" t="s">
        <v>630</v>
      </c>
      <c r="E199" s="5" t="str">
        <f t="shared" si="9"/>
        <v>Ms.POUSIA S</v>
      </c>
      <c r="F199" s="6" t="s">
        <v>583</v>
      </c>
      <c r="G199" s="5" t="s">
        <v>37</v>
      </c>
      <c r="H199" s="5" t="s">
        <v>631</v>
      </c>
      <c r="I19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Col2='""&amp;B199&amp;""'"",0)"),1)</f>
        <v>1</v>
      </c>
      <c r="J199" s="5">
        <f>IFERROR(__xludf.DUMMYFUNCTION("""COMPUTED_VALUE"""),0)</f>
        <v>0</v>
      </c>
      <c r="K199" s="5">
        <f>IFERROR(__xludf.DUMMYFUNCTION("""COMPUTED_VALUE"""),0)</f>
        <v>0</v>
      </c>
      <c r="L199" s="5">
        <f>IFERROR(__xludf.DUMMYFUNCTION("""COMPUTED_VALUE"""),0)</f>
        <v>0</v>
      </c>
      <c r="M199" s="5" t="str">
        <f>IFERROR(__xludf.DUMMYFUNCTION("""COMPUTED_VALUE"""),"Working")</f>
        <v>Working</v>
      </c>
      <c r="N199" s="5" t="str">
        <f>IFERROR(__xludf.DUMMYFUNCTION("""COMPUTED_VALUE"""),"LOAD PENDING")</f>
        <v>LOAD PENDING</v>
      </c>
      <c r="O199" s="5" t="str">
        <f>IFERROR(__xludf.DUMMYFUNCTION("""COMPUTED_VALUE"""),"CORRECT")</f>
        <v>CORRECT</v>
      </c>
      <c r="P199" s="5" t="str">
        <f t="shared" si="10"/>
        <v/>
      </c>
      <c r="Q199" s="5" t="str">
        <f t="shared" si="11"/>
        <v/>
      </c>
    </row>
    <row r="200" ht="27.6" spans="1:17">
      <c r="A200" s="4">
        <v>199</v>
      </c>
      <c r="B200" s="4" t="s">
        <v>632</v>
      </c>
      <c r="C200" s="4" t="s">
        <v>53</v>
      </c>
      <c r="D200" s="4" t="s">
        <v>633</v>
      </c>
      <c r="E200" s="5" t="str">
        <f t="shared" si="9"/>
        <v>Ms.SHARMILA A</v>
      </c>
      <c r="F200" s="6" t="s">
        <v>583</v>
      </c>
      <c r="G200" s="5" t="s">
        <v>37</v>
      </c>
      <c r="H200" s="5" t="s">
        <v>634</v>
      </c>
      <c r="I20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Col2='""&amp;B200&amp;""'"",0)"),2)</f>
        <v>2</v>
      </c>
      <c r="J200" s="5">
        <f>IFERROR(__xludf.DUMMYFUNCTION("""COMPUTED_VALUE"""),2)</f>
        <v>2</v>
      </c>
      <c r="K200" s="5">
        <f>IFERROR(__xludf.DUMMYFUNCTION("""COMPUTED_VALUE"""),2)</f>
        <v>2</v>
      </c>
      <c r="L200" s="5">
        <f>IFERROR(__xludf.DUMMYFUNCTION("""COMPUTED_VALUE"""),2)</f>
        <v>2</v>
      </c>
      <c r="M200" s="5" t="str">
        <f>IFERROR(__xludf.DUMMYFUNCTION("""COMPUTED_VALUE"""),"Working")</f>
        <v>Working</v>
      </c>
      <c r="N200" s="5" t="str">
        <f>IFERROR(__xludf.DUMMYFUNCTION("""COMPUTED_VALUE"""),"CORRECT")</f>
        <v>CORRECT</v>
      </c>
      <c r="O200" s="5" t="str">
        <f>IFERROR(__xludf.DUMMYFUNCTION("""COMPUTED_VALUE"""),"CORRECT")</f>
        <v>CORRECT</v>
      </c>
      <c r="P200" s="5" t="str">
        <f t="shared" si="10"/>
        <v/>
      </c>
      <c r="Q200" s="5" t="str">
        <f t="shared" si="11"/>
        <v/>
      </c>
    </row>
    <row r="201" ht="14.4" spans="1:17">
      <c r="A201" s="4">
        <v>200</v>
      </c>
      <c r="B201" s="4" t="s">
        <v>635</v>
      </c>
      <c r="C201" s="4" t="s">
        <v>23</v>
      </c>
      <c r="D201" s="4" t="s">
        <v>636</v>
      </c>
      <c r="E201" s="5" t="str">
        <f t="shared" si="9"/>
        <v>Dr.MURUGAN K</v>
      </c>
      <c r="F201" s="6" t="s">
        <v>583</v>
      </c>
      <c r="G201" s="5" t="s">
        <v>25</v>
      </c>
      <c r="H201" s="5" t="s">
        <v>637</v>
      </c>
      <c r="I20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Col2='""&amp;B201&amp;""'"",0)"),2)</f>
        <v>2</v>
      </c>
      <c r="J201" s="5">
        <f>IFERROR(__xludf.DUMMYFUNCTION("""COMPUTED_VALUE"""),1)</f>
        <v>1</v>
      </c>
      <c r="K201" s="5">
        <f>IFERROR(__xludf.DUMMYFUNCTION("""COMPUTED_VALUE"""),2)</f>
        <v>2</v>
      </c>
      <c r="L201" s="5">
        <f>IFERROR(__xludf.DUMMYFUNCTION("""COMPUTED_VALUE"""),1)</f>
        <v>1</v>
      </c>
      <c r="M201" s="5" t="str">
        <f>IFERROR(__xludf.DUMMYFUNCTION("""COMPUTED_VALUE"""),"Working")</f>
        <v>Working</v>
      </c>
      <c r="N201" s="5" t="str">
        <f>IFERROR(__xludf.DUMMYFUNCTION("""COMPUTED_VALUE"""),"CORRECT")</f>
        <v>CORRECT</v>
      </c>
      <c r="O201" s="5" t="str">
        <f>IFERROR(__xludf.DUMMYFUNCTION("""COMPUTED_VALUE"""),"CORRECT")</f>
        <v>CORRECT</v>
      </c>
      <c r="P201" s="5" t="str">
        <f t="shared" si="10"/>
        <v/>
      </c>
      <c r="Q201" s="5" t="str">
        <f t="shared" si="11"/>
        <v/>
      </c>
    </row>
    <row r="202" ht="27.6" spans="1:17">
      <c r="A202" s="4">
        <v>201</v>
      </c>
      <c r="B202" s="4" t="s">
        <v>638</v>
      </c>
      <c r="C202" s="4" t="s">
        <v>23</v>
      </c>
      <c r="D202" s="4" t="s">
        <v>639</v>
      </c>
      <c r="E202" s="5" t="str">
        <f t="shared" si="9"/>
        <v>Dr.STEPHEN SAGAYARAJ A</v>
      </c>
      <c r="F202" s="6" t="s">
        <v>583</v>
      </c>
      <c r="G202" s="5" t="s">
        <v>20</v>
      </c>
      <c r="H202" s="5" t="s">
        <v>640</v>
      </c>
      <c r="I20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Col2='""&amp;B202&amp;""'"",0)"),2)</f>
        <v>2</v>
      </c>
      <c r="J202" s="5">
        <f>IFERROR(__xludf.DUMMYFUNCTION("""COMPUTED_VALUE"""),2)</f>
        <v>2</v>
      </c>
      <c r="K202" s="5">
        <f>IFERROR(__xludf.DUMMYFUNCTION("""COMPUTED_VALUE"""),2)</f>
        <v>2</v>
      </c>
      <c r="L202" s="5">
        <f>IFERROR(__xludf.DUMMYFUNCTION("""COMPUTED_VALUE"""),2)</f>
        <v>2</v>
      </c>
      <c r="M202" s="5" t="str">
        <f>IFERROR(__xludf.DUMMYFUNCTION("""COMPUTED_VALUE"""),"Working")</f>
        <v>Working</v>
      </c>
      <c r="N202" s="5" t="str">
        <f>IFERROR(__xludf.DUMMYFUNCTION("""COMPUTED_VALUE"""),"CORRECT")</f>
        <v>CORRECT</v>
      </c>
      <c r="O202" s="5" t="str">
        <f>IFERROR(__xludf.DUMMYFUNCTION("""COMPUTED_VALUE"""),"CORRECT")</f>
        <v>CORRECT</v>
      </c>
      <c r="P202" s="5" t="str">
        <f t="shared" si="10"/>
        <v/>
      </c>
      <c r="Q202" s="5" t="str">
        <f t="shared" si="11"/>
        <v/>
      </c>
    </row>
    <row r="203" ht="27.6" spans="1:17">
      <c r="A203" s="4">
        <v>202</v>
      </c>
      <c r="B203" s="4" t="s">
        <v>641</v>
      </c>
      <c r="C203" s="4" t="s">
        <v>32</v>
      </c>
      <c r="D203" s="4" t="s">
        <v>416</v>
      </c>
      <c r="E203" s="5" t="str">
        <f t="shared" si="9"/>
        <v>Mrs.KARTHIGA M</v>
      </c>
      <c r="F203" s="6" t="s">
        <v>583</v>
      </c>
      <c r="G203" s="5" t="s">
        <v>37</v>
      </c>
      <c r="H203" s="5" t="s">
        <v>642</v>
      </c>
      <c r="I20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Col2='""&amp;B203&amp;""'"",0)"),1)</f>
        <v>1</v>
      </c>
      <c r="J203" s="5">
        <f>IFERROR(__xludf.DUMMYFUNCTION("""COMPUTED_VALUE"""),0)</f>
        <v>0</v>
      </c>
      <c r="K203" s="5">
        <f>IFERROR(__xludf.DUMMYFUNCTION("""COMPUTED_VALUE"""),1)</f>
        <v>1</v>
      </c>
      <c r="L203" s="5">
        <f>IFERROR(__xludf.DUMMYFUNCTION("""COMPUTED_VALUE"""),1)</f>
        <v>1</v>
      </c>
      <c r="M203" s="5" t="str">
        <f>IFERROR(__xludf.DUMMYFUNCTION("""COMPUTED_VALUE"""),"Working")</f>
        <v>Working</v>
      </c>
      <c r="N203" s="5" t="str">
        <f>IFERROR(__xludf.DUMMYFUNCTION("""COMPUTED_VALUE"""),"CORRECT")</f>
        <v>CORRECT</v>
      </c>
      <c r="O203" s="5" t="str">
        <f>IFERROR(__xludf.DUMMYFUNCTION("""COMPUTED_VALUE"""),"CORRECT")</f>
        <v>CORRECT</v>
      </c>
      <c r="P203" s="5" t="str">
        <f t="shared" si="10"/>
        <v/>
      </c>
      <c r="Q203" s="5" t="str">
        <f t="shared" si="11"/>
        <v>Extra Lab Load Alloted</v>
      </c>
    </row>
    <row r="204" ht="14.4" spans="1:17">
      <c r="A204" s="4">
        <v>203</v>
      </c>
      <c r="B204" s="4" t="s">
        <v>643</v>
      </c>
      <c r="C204" s="4" t="s">
        <v>23</v>
      </c>
      <c r="D204" s="4" t="s">
        <v>644</v>
      </c>
      <c r="E204" s="5" t="str">
        <f t="shared" si="9"/>
        <v>Dr.VENKATESHKUMAR U</v>
      </c>
      <c r="F204" s="6" t="s">
        <v>583</v>
      </c>
      <c r="G204" s="5" t="s">
        <v>25</v>
      </c>
      <c r="H204" s="5" t="s">
        <v>645</v>
      </c>
      <c r="I20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Col2='""&amp;B204&amp;""'"",0)"),2)</f>
        <v>2</v>
      </c>
      <c r="J204" s="5">
        <f>IFERROR(__xludf.DUMMYFUNCTION("""COMPUTED_VALUE"""),1)</f>
        <v>1</v>
      </c>
      <c r="K204" s="5">
        <f>IFERROR(__xludf.DUMMYFUNCTION("""COMPUTED_VALUE"""),2)</f>
        <v>2</v>
      </c>
      <c r="L204" s="5">
        <f>IFERROR(__xludf.DUMMYFUNCTION("""COMPUTED_VALUE"""),1)</f>
        <v>1</v>
      </c>
      <c r="M204" s="5" t="str">
        <f>IFERROR(__xludf.DUMMYFUNCTION("""COMPUTED_VALUE"""),"Working")</f>
        <v>Working</v>
      </c>
      <c r="N204" s="5" t="str">
        <f>IFERROR(__xludf.DUMMYFUNCTION("""COMPUTED_VALUE"""),"CORRECT")</f>
        <v>CORRECT</v>
      </c>
      <c r="O204" s="5" t="str">
        <f>IFERROR(__xludf.DUMMYFUNCTION("""COMPUTED_VALUE"""),"CORRECT")</f>
        <v>CORRECT</v>
      </c>
      <c r="P204" s="5" t="str">
        <f t="shared" si="10"/>
        <v/>
      </c>
      <c r="Q204" s="5" t="str">
        <f t="shared" si="11"/>
        <v/>
      </c>
    </row>
    <row r="205" ht="27.6" spans="1:17">
      <c r="A205" s="4">
        <v>204</v>
      </c>
      <c r="B205" s="4" t="s">
        <v>646</v>
      </c>
      <c r="C205" s="4" t="s">
        <v>17</v>
      </c>
      <c r="D205" s="4" t="s">
        <v>647</v>
      </c>
      <c r="E205" s="5" t="str">
        <f t="shared" si="9"/>
        <v>Mr.VELLINGIRI A</v>
      </c>
      <c r="F205" s="6" t="s">
        <v>583</v>
      </c>
      <c r="G205" s="5" t="s">
        <v>20</v>
      </c>
      <c r="H205" s="5" t="s">
        <v>648</v>
      </c>
      <c r="I20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Col2='""&amp;B205&amp;""'"",0)"),2)</f>
        <v>2</v>
      </c>
      <c r="J205" s="5">
        <f>IFERROR(__xludf.DUMMYFUNCTION("""COMPUTED_VALUE"""),2)</f>
        <v>2</v>
      </c>
      <c r="K205" s="5">
        <f>IFERROR(__xludf.DUMMYFUNCTION("""COMPUTED_VALUE"""),2)</f>
        <v>2</v>
      </c>
      <c r="L205" s="5">
        <f>IFERROR(__xludf.DUMMYFUNCTION("""COMPUTED_VALUE"""),2)</f>
        <v>2</v>
      </c>
      <c r="M205" s="5" t="str">
        <f>IFERROR(__xludf.DUMMYFUNCTION("""COMPUTED_VALUE"""),"Working")</f>
        <v>Working</v>
      </c>
      <c r="N205" s="5" t="str">
        <f>IFERROR(__xludf.DUMMYFUNCTION("""COMPUTED_VALUE"""),"CORRECT")</f>
        <v>CORRECT</v>
      </c>
      <c r="O205" s="5" t="str">
        <f>IFERROR(__xludf.DUMMYFUNCTION("""COMPUTED_VALUE"""),"CORRECT")</f>
        <v>CORRECT</v>
      </c>
      <c r="P205" s="5" t="str">
        <f t="shared" si="10"/>
        <v/>
      </c>
      <c r="Q205" s="5" t="str">
        <f t="shared" si="11"/>
        <v/>
      </c>
    </row>
    <row r="206" ht="14.4" spans="1:17">
      <c r="A206" s="4">
        <v>205</v>
      </c>
      <c r="B206" s="4" t="s">
        <v>649</v>
      </c>
      <c r="C206" s="4" t="s">
        <v>32</v>
      </c>
      <c r="D206" s="4" t="s">
        <v>650</v>
      </c>
      <c r="E206" s="5" t="str">
        <f t="shared" si="9"/>
        <v>Mrs.MARIAAMUTHA R</v>
      </c>
      <c r="F206" s="6" t="s">
        <v>583</v>
      </c>
      <c r="G206" s="5" t="s">
        <v>47</v>
      </c>
      <c r="H206" s="5" t="s">
        <v>651</v>
      </c>
      <c r="I20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Col2='""&amp;B206&amp;""'"",0)"),2)</f>
        <v>2</v>
      </c>
      <c r="J206" s="5">
        <f>IFERROR(__xludf.DUMMYFUNCTION("""COMPUTED_VALUE"""),2)</f>
        <v>2</v>
      </c>
      <c r="K206" s="5">
        <f>IFERROR(__xludf.DUMMYFUNCTION("""COMPUTED_VALUE"""),2)</f>
        <v>2</v>
      </c>
      <c r="L206" s="5">
        <f>IFERROR(__xludf.DUMMYFUNCTION("""COMPUTED_VALUE"""),2)</f>
        <v>2</v>
      </c>
      <c r="M206" s="5" t="str">
        <f>IFERROR(__xludf.DUMMYFUNCTION("""COMPUTED_VALUE"""),"Working")</f>
        <v>Working</v>
      </c>
      <c r="N206" s="5" t="str">
        <f>IFERROR(__xludf.DUMMYFUNCTION("""COMPUTED_VALUE"""),"CORRECT")</f>
        <v>CORRECT</v>
      </c>
      <c r="O206" s="5" t="str">
        <f>IFERROR(__xludf.DUMMYFUNCTION("""COMPUTED_VALUE"""),"CORRECT")</f>
        <v>CORRECT</v>
      </c>
      <c r="P206" s="5" t="str">
        <f t="shared" si="10"/>
        <v/>
      </c>
      <c r="Q206" s="5" t="str">
        <f t="shared" si="11"/>
        <v/>
      </c>
    </row>
    <row r="207" ht="14.4" spans="1:17">
      <c r="A207" s="4">
        <v>206</v>
      </c>
      <c r="B207" s="4" t="s">
        <v>652</v>
      </c>
      <c r="C207" s="4" t="s">
        <v>23</v>
      </c>
      <c r="D207" s="4" t="s">
        <v>653</v>
      </c>
      <c r="E207" s="5" t="str">
        <f t="shared" si="9"/>
        <v>Dr.SATHIYAMURTHI P</v>
      </c>
      <c r="F207" s="6" t="s">
        <v>583</v>
      </c>
      <c r="G207" s="5" t="s">
        <v>25</v>
      </c>
      <c r="H207" s="5" t="s">
        <v>654</v>
      </c>
      <c r="I20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Col2='""&amp;B207&amp;""'"",0)"),2)</f>
        <v>2</v>
      </c>
      <c r="J207" s="5">
        <f>IFERROR(__xludf.DUMMYFUNCTION("""COMPUTED_VALUE"""),1)</f>
        <v>1</v>
      </c>
      <c r="K207" s="5">
        <f>IFERROR(__xludf.DUMMYFUNCTION("""COMPUTED_VALUE"""),2)</f>
        <v>2</v>
      </c>
      <c r="L207" s="5">
        <f>IFERROR(__xludf.DUMMYFUNCTION("""COMPUTED_VALUE"""),1)</f>
        <v>1</v>
      </c>
      <c r="M207" s="5" t="str">
        <f>IFERROR(__xludf.DUMMYFUNCTION("""COMPUTED_VALUE"""),"Working")</f>
        <v>Working</v>
      </c>
      <c r="N207" s="5" t="str">
        <f>IFERROR(__xludf.DUMMYFUNCTION("""COMPUTED_VALUE"""),"CORRECT")</f>
        <v>CORRECT</v>
      </c>
      <c r="O207" s="5" t="str">
        <f>IFERROR(__xludf.DUMMYFUNCTION("""COMPUTED_VALUE"""),"CORRECT")</f>
        <v>CORRECT</v>
      </c>
      <c r="P207" s="5" t="str">
        <f t="shared" si="10"/>
        <v/>
      </c>
      <c r="Q207" s="5" t="str">
        <f t="shared" si="11"/>
        <v/>
      </c>
    </row>
    <row r="208" ht="14.4" spans="1:17">
      <c r="A208" s="4">
        <v>207</v>
      </c>
      <c r="B208" s="4" t="s">
        <v>655</v>
      </c>
      <c r="C208" s="4" t="s">
        <v>32</v>
      </c>
      <c r="D208" s="4" t="s">
        <v>656</v>
      </c>
      <c r="E208" s="5" t="str">
        <f t="shared" si="9"/>
        <v>Mrs.NIVETHA G</v>
      </c>
      <c r="F208" s="6" t="s">
        <v>583</v>
      </c>
      <c r="G208" s="5" t="s">
        <v>47</v>
      </c>
      <c r="H208" s="5" t="s">
        <v>657</v>
      </c>
      <c r="I20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Col2='""&amp;B208&amp;""'"",0)"),2)</f>
        <v>2</v>
      </c>
      <c r="J208" s="5">
        <f>IFERROR(__xludf.DUMMYFUNCTION("""COMPUTED_VALUE"""),2)</f>
        <v>2</v>
      </c>
      <c r="K208" s="5">
        <f>IFERROR(__xludf.DUMMYFUNCTION("""COMPUTED_VALUE"""),2)</f>
        <v>2</v>
      </c>
      <c r="L208" s="5">
        <f>IFERROR(__xludf.DUMMYFUNCTION("""COMPUTED_VALUE"""),2)</f>
        <v>2</v>
      </c>
      <c r="M208" s="5" t="str">
        <f>IFERROR(__xludf.DUMMYFUNCTION("""COMPUTED_VALUE"""),"Working")</f>
        <v>Working</v>
      </c>
      <c r="N208" s="5" t="str">
        <f>IFERROR(__xludf.DUMMYFUNCTION("""COMPUTED_VALUE"""),"CORRECT")</f>
        <v>CORRECT</v>
      </c>
      <c r="O208" s="5" t="str">
        <f>IFERROR(__xludf.DUMMYFUNCTION("""COMPUTED_VALUE"""),"CORRECT")</f>
        <v>CORRECT</v>
      </c>
      <c r="P208" s="5" t="str">
        <f t="shared" si="10"/>
        <v/>
      </c>
      <c r="Q208" s="5" t="str">
        <f t="shared" si="11"/>
        <v/>
      </c>
    </row>
    <row r="209" ht="27.6" spans="1:17">
      <c r="A209" s="4">
        <v>208</v>
      </c>
      <c r="B209" s="4" t="s">
        <v>658</v>
      </c>
      <c r="C209" s="4" t="s">
        <v>17</v>
      </c>
      <c r="D209" s="4" t="s">
        <v>659</v>
      </c>
      <c r="E209" s="5" t="str">
        <f t="shared" si="9"/>
        <v>Mr.HARISH KUMAAR P</v>
      </c>
      <c r="F209" s="6" t="s">
        <v>583</v>
      </c>
      <c r="G209" s="5" t="s">
        <v>37</v>
      </c>
      <c r="H209" s="5" t="s">
        <v>660</v>
      </c>
      <c r="I20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Col2='""&amp;B209&amp;""'"",0)"),2)</f>
        <v>2</v>
      </c>
      <c r="J209" s="5">
        <f>IFERROR(__xludf.DUMMYFUNCTION("""COMPUTED_VALUE"""),2)</f>
        <v>2</v>
      </c>
      <c r="K209" s="5">
        <f>IFERROR(__xludf.DUMMYFUNCTION("""COMPUTED_VALUE"""),2)</f>
        <v>2</v>
      </c>
      <c r="L209" s="5">
        <f>IFERROR(__xludf.DUMMYFUNCTION("""COMPUTED_VALUE"""),2)</f>
        <v>2</v>
      </c>
      <c r="M209" s="5" t="str">
        <f>IFERROR(__xludf.DUMMYFUNCTION("""COMPUTED_VALUE"""),"Working")</f>
        <v>Working</v>
      </c>
      <c r="N209" s="5" t="str">
        <f>IFERROR(__xludf.DUMMYFUNCTION("""COMPUTED_VALUE"""),"CORRECT")</f>
        <v>CORRECT</v>
      </c>
      <c r="O209" s="5" t="str">
        <f>IFERROR(__xludf.DUMMYFUNCTION("""COMPUTED_VALUE"""),"CORRECT")</f>
        <v>CORRECT</v>
      </c>
      <c r="P209" s="5" t="str">
        <f t="shared" si="10"/>
        <v/>
      </c>
      <c r="Q209" s="5" t="str">
        <f t="shared" si="11"/>
        <v/>
      </c>
    </row>
    <row r="210" ht="27.6" spans="1:17">
      <c r="A210" s="4">
        <v>209</v>
      </c>
      <c r="B210" s="4" t="s">
        <v>661</v>
      </c>
      <c r="C210" s="4" t="s">
        <v>32</v>
      </c>
      <c r="D210" s="4" t="s">
        <v>662</v>
      </c>
      <c r="E210" s="5" t="str">
        <f t="shared" si="9"/>
        <v>Mrs.DHANALAKSHMI S</v>
      </c>
      <c r="F210" s="6" t="s">
        <v>583</v>
      </c>
      <c r="G210" s="5" t="s">
        <v>20</v>
      </c>
      <c r="H210" s="5" t="s">
        <v>663</v>
      </c>
      <c r="I21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Col2='""&amp;B210&amp;""'"",0)"),2)</f>
        <v>2</v>
      </c>
      <c r="J210" s="5">
        <f>IFERROR(__xludf.DUMMYFUNCTION("""COMPUTED_VALUE"""),2)</f>
        <v>2</v>
      </c>
      <c r="K210" s="5">
        <f>IFERROR(__xludf.DUMMYFUNCTION("""COMPUTED_VALUE"""),2)</f>
        <v>2</v>
      </c>
      <c r="L210" s="5">
        <f>IFERROR(__xludf.DUMMYFUNCTION("""COMPUTED_VALUE"""),2)</f>
        <v>2</v>
      </c>
      <c r="M210" s="5" t="str">
        <f>IFERROR(__xludf.DUMMYFUNCTION("""COMPUTED_VALUE"""),"Working")</f>
        <v>Working</v>
      </c>
      <c r="N210" s="5" t="str">
        <f>IFERROR(__xludf.DUMMYFUNCTION("""COMPUTED_VALUE"""),"CORRECT")</f>
        <v>CORRECT</v>
      </c>
      <c r="O210" s="5" t="str">
        <f>IFERROR(__xludf.DUMMYFUNCTION("""COMPUTED_VALUE"""),"CORRECT")</f>
        <v>CORRECT</v>
      </c>
      <c r="P210" s="5" t="str">
        <f t="shared" si="10"/>
        <v/>
      </c>
      <c r="Q210" s="5" t="str">
        <f t="shared" si="11"/>
        <v/>
      </c>
    </row>
    <row r="211" ht="14.4" spans="1:17">
      <c r="A211" s="4">
        <v>210</v>
      </c>
      <c r="B211" s="4" t="s">
        <v>664</v>
      </c>
      <c r="C211" s="4" t="s">
        <v>17</v>
      </c>
      <c r="D211" s="4" t="s">
        <v>665</v>
      </c>
      <c r="E211" s="5" t="str">
        <f t="shared" si="9"/>
        <v>Mr.RAMESH R</v>
      </c>
      <c r="F211" s="6" t="s">
        <v>583</v>
      </c>
      <c r="G211" s="5" t="s">
        <v>47</v>
      </c>
      <c r="H211" s="5" t="s">
        <v>666</v>
      </c>
      <c r="I21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Col2='""&amp;B211&amp;""'"",0)"),1)</f>
        <v>1</v>
      </c>
      <c r="J211" s="5">
        <f>IFERROR(__xludf.DUMMYFUNCTION("""COMPUTED_VALUE"""),0)</f>
        <v>0</v>
      </c>
      <c r="K211" s="5">
        <f>IFERROR(__xludf.DUMMYFUNCTION("""COMPUTED_VALUE"""),2)</f>
        <v>2</v>
      </c>
      <c r="L211" s="5">
        <f>IFERROR(__xludf.DUMMYFUNCTION("""COMPUTED_VALUE"""),0)</f>
        <v>0</v>
      </c>
      <c r="M211" s="5" t="str">
        <f>IFERROR(__xludf.DUMMYFUNCTION("""COMPUTED_VALUE"""),"Working")</f>
        <v>Working</v>
      </c>
      <c r="N211" s="5" t="str">
        <f>IFERROR(__xludf.DUMMYFUNCTION("""COMPUTED_VALUE"""),"CORRECT")</f>
        <v>CORRECT</v>
      </c>
      <c r="O211" s="5" t="str">
        <f>IFERROR(__xludf.DUMMYFUNCTION("""COMPUTED_VALUE"""),"CORRECT")</f>
        <v>CORRECT</v>
      </c>
      <c r="P211" s="5" t="str">
        <f t="shared" si="10"/>
        <v>Extra Theory Load Alloted</v>
      </c>
      <c r="Q211" s="5" t="str">
        <f t="shared" si="11"/>
        <v/>
      </c>
    </row>
    <row r="212" ht="14.4" spans="1:17">
      <c r="A212" s="4">
        <v>211</v>
      </c>
      <c r="B212" s="4" t="s">
        <v>667</v>
      </c>
      <c r="C212" s="4" t="s">
        <v>32</v>
      </c>
      <c r="D212" s="4" t="s">
        <v>668</v>
      </c>
      <c r="E212" s="5" t="str">
        <f t="shared" si="9"/>
        <v>Mrs.SANDHIYADEVI P</v>
      </c>
      <c r="F212" s="6" t="s">
        <v>583</v>
      </c>
      <c r="G212" s="5" t="s">
        <v>47</v>
      </c>
      <c r="H212" s="5" t="s">
        <v>669</v>
      </c>
      <c r="I21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Col2='""&amp;B212&amp;""'"",0)"),2)</f>
        <v>2</v>
      </c>
      <c r="J212" s="5">
        <f>IFERROR(__xludf.DUMMYFUNCTION("""COMPUTED_VALUE"""),2)</f>
        <v>2</v>
      </c>
      <c r="K212" s="5">
        <f>IFERROR(__xludf.DUMMYFUNCTION("""COMPUTED_VALUE"""),2)</f>
        <v>2</v>
      </c>
      <c r="L212" s="5">
        <f>IFERROR(__xludf.DUMMYFUNCTION("""COMPUTED_VALUE"""),2)</f>
        <v>2</v>
      </c>
      <c r="M212" s="5" t="str">
        <f>IFERROR(__xludf.DUMMYFUNCTION("""COMPUTED_VALUE"""),"Working")</f>
        <v>Working</v>
      </c>
      <c r="N212" s="5" t="str">
        <f>IFERROR(__xludf.DUMMYFUNCTION("""COMPUTED_VALUE"""),"CORRECT")</f>
        <v>CORRECT</v>
      </c>
      <c r="O212" s="5" t="str">
        <f>IFERROR(__xludf.DUMMYFUNCTION("""COMPUTED_VALUE"""),"CORRECT")</f>
        <v>CORRECT</v>
      </c>
      <c r="P212" s="5" t="str">
        <f t="shared" si="10"/>
        <v/>
      </c>
      <c r="Q212" s="5" t="str">
        <f t="shared" si="11"/>
        <v/>
      </c>
    </row>
    <row r="213" ht="27.6" spans="1:17">
      <c r="A213" s="4">
        <v>212</v>
      </c>
      <c r="B213" s="4" t="s">
        <v>670</v>
      </c>
      <c r="C213" s="4" t="s">
        <v>23</v>
      </c>
      <c r="D213" s="4" t="s">
        <v>671</v>
      </c>
      <c r="E213" s="5" t="str">
        <f t="shared" si="9"/>
        <v>Dr.SANKARANANTH S</v>
      </c>
      <c r="F213" s="6" t="s">
        <v>583</v>
      </c>
      <c r="G213" s="5" t="s">
        <v>20</v>
      </c>
      <c r="H213" s="5" t="s">
        <v>672</v>
      </c>
      <c r="I21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Col2='""&amp;B213&amp;""'"",0)"),2)</f>
        <v>2</v>
      </c>
      <c r="J213" s="5">
        <f>IFERROR(__xludf.DUMMYFUNCTION("""COMPUTED_VALUE"""),2)</f>
        <v>2</v>
      </c>
      <c r="K213" s="5">
        <f>IFERROR(__xludf.DUMMYFUNCTION("""COMPUTED_VALUE"""),2)</f>
        <v>2</v>
      </c>
      <c r="L213" s="5">
        <f>IFERROR(__xludf.DUMMYFUNCTION("""COMPUTED_VALUE"""),2)</f>
        <v>2</v>
      </c>
      <c r="M213" s="5" t="str">
        <f>IFERROR(__xludf.DUMMYFUNCTION("""COMPUTED_VALUE"""),"Working")</f>
        <v>Working</v>
      </c>
      <c r="N213" s="5" t="str">
        <f>IFERROR(__xludf.DUMMYFUNCTION("""COMPUTED_VALUE"""),"CORRECT")</f>
        <v>CORRECT</v>
      </c>
      <c r="O213" s="5" t="str">
        <f>IFERROR(__xludf.DUMMYFUNCTION("""COMPUTED_VALUE"""),"CORRECT")</f>
        <v>CORRECT</v>
      </c>
      <c r="P213" s="5" t="str">
        <f t="shared" si="10"/>
        <v/>
      </c>
      <c r="Q213" s="5" t="str">
        <f t="shared" si="11"/>
        <v/>
      </c>
    </row>
    <row r="214" ht="14.4" spans="1:17">
      <c r="A214" s="4">
        <v>213</v>
      </c>
      <c r="B214" s="4" t="s">
        <v>673</v>
      </c>
      <c r="C214" s="4" t="s">
        <v>32</v>
      </c>
      <c r="D214" s="4" t="s">
        <v>674</v>
      </c>
      <c r="E214" s="5" t="str">
        <f t="shared" si="9"/>
        <v>Mrs.RAGAVI M</v>
      </c>
      <c r="F214" s="6" t="s">
        <v>583</v>
      </c>
      <c r="G214" s="5" t="s">
        <v>47</v>
      </c>
      <c r="H214" s="5" t="s">
        <v>675</v>
      </c>
      <c r="I21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Col2='""&amp;B214&amp;""'"",0)"),2)</f>
        <v>2</v>
      </c>
      <c r="J214" s="5">
        <f>IFERROR(__xludf.DUMMYFUNCTION("""COMPUTED_VALUE"""),2)</f>
        <v>2</v>
      </c>
      <c r="K214" s="5">
        <f>IFERROR(__xludf.DUMMYFUNCTION("""COMPUTED_VALUE"""),2)</f>
        <v>2</v>
      </c>
      <c r="L214" s="5">
        <f>IFERROR(__xludf.DUMMYFUNCTION("""COMPUTED_VALUE"""),2)</f>
        <v>2</v>
      </c>
      <c r="M214" s="5" t="str">
        <f>IFERROR(__xludf.DUMMYFUNCTION("""COMPUTED_VALUE"""),"Working")</f>
        <v>Working</v>
      </c>
      <c r="N214" s="5" t="str">
        <f>IFERROR(__xludf.DUMMYFUNCTION("""COMPUTED_VALUE"""),"CORRECT")</f>
        <v>CORRECT</v>
      </c>
      <c r="O214" s="5" t="str">
        <f>IFERROR(__xludf.DUMMYFUNCTION("""COMPUTED_VALUE"""),"CORRECT")</f>
        <v>CORRECT</v>
      </c>
      <c r="P214" s="5" t="str">
        <f t="shared" si="10"/>
        <v/>
      </c>
      <c r="Q214" s="5" t="str">
        <f t="shared" si="11"/>
        <v/>
      </c>
    </row>
    <row r="215" ht="27.6" spans="1:17">
      <c r="A215" s="4">
        <v>214</v>
      </c>
      <c r="B215" s="4" t="s">
        <v>676</v>
      </c>
      <c r="C215" s="4" t="s">
        <v>23</v>
      </c>
      <c r="D215" s="4" t="s">
        <v>677</v>
      </c>
      <c r="E215" s="5" t="str">
        <f t="shared" si="9"/>
        <v>Dr.TAMILARASI R</v>
      </c>
      <c r="F215" s="6" t="s">
        <v>583</v>
      </c>
      <c r="G215" s="5" t="s">
        <v>20</v>
      </c>
      <c r="H215" s="5" t="s">
        <v>678</v>
      </c>
      <c r="I215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Col2='""&amp;B215&amp;""'"",0)"),"")</f>
        <v/>
      </c>
      <c r="J215" s="5"/>
      <c r="K215" s="5">
        <f>IFERROR(__xludf.DUMMYFUNCTION("""COMPUTED_VALUE"""),0)</f>
        <v>0</v>
      </c>
      <c r="L215" s="5">
        <f>IFERROR(__xludf.DUMMYFUNCTION("""COMPUTED_VALUE"""),0)</f>
        <v>0</v>
      </c>
      <c r="M215" s="5" t="str">
        <f>IFERROR(__xludf.DUMMYFUNCTION("""COMPUTED_VALUE"""),"Working")</f>
        <v>Working</v>
      </c>
      <c r="N215" s="5" t="str">
        <f>IFERROR(__xludf.DUMMYFUNCTION("""COMPUTED_VALUE"""),"#N/A")</f>
        <v>#N/A</v>
      </c>
      <c r="O215" s="5" t="str">
        <f>IFERROR(__xludf.DUMMYFUNCTION("""COMPUTED_VALUE"""),"CORRECT")</f>
        <v>CORRECT</v>
      </c>
      <c r="P215" s="5" t="str">
        <f t="shared" si="10"/>
        <v/>
      </c>
      <c r="Q215" s="5" t="str">
        <f t="shared" si="11"/>
        <v/>
      </c>
    </row>
    <row r="216" ht="14.4" spans="1:17">
      <c r="A216" s="4">
        <v>215</v>
      </c>
      <c r="B216" s="4" t="s">
        <v>679</v>
      </c>
      <c r="C216" s="4" t="s">
        <v>32</v>
      </c>
      <c r="D216" s="4" t="s">
        <v>680</v>
      </c>
      <c r="E216" s="5" t="str">
        <f t="shared" si="9"/>
        <v>Mrs.NALIFABEGAM J</v>
      </c>
      <c r="F216" s="6" t="s">
        <v>583</v>
      </c>
      <c r="G216" s="5" t="s">
        <v>47</v>
      </c>
      <c r="H216" s="5" t="s">
        <v>681</v>
      </c>
      <c r="I216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Col2='""&amp;B216&amp;""'"",0)"),"")</f>
        <v/>
      </c>
      <c r="J216" s="5"/>
      <c r="K216" s="5">
        <f>IFERROR(__xludf.DUMMYFUNCTION("""COMPUTED_VALUE"""),0)</f>
        <v>0</v>
      </c>
      <c r="L216" s="5">
        <f>IFERROR(__xludf.DUMMYFUNCTION("""COMPUTED_VALUE"""),0)</f>
        <v>0</v>
      </c>
      <c r="M216" s="5" t="str">
        <f>IFERROR(__xludf.DUMMYFUNCTION("""COMPUTED_VALUE"""),"Working")</f>
        <v>Working</v>
      </c>
      <c r="N216" s="5" t="str">
        <f>IFERROR(__xludf.DUMMYFUNCTION("""COMPUTED_VALUE"""),"#N/A")</f>
        <v>#N/A</v>
      </c>
      <c r="O216" s="5" t="str">
        <f>IFERROR(__xludf.DUMMYFUNCTION("""COMPUTED_VALUE"""),"CORRECT")</f>
        <v>CORRECT</v>
      </c>
      <c r="P216" s="5" t="str">
        <f t="shared" si="10"/>
        <v/>
      </c>
      <c r="Q216" s="5" t="str">
        <f t="shared" si="11"/>
        <v/>
      </c>
    </row>
    <row r="217" ht="27.6" spans="1:17">
      <c r="A217" s="4">
        <v>216</v>
      </c>
      <c r="B217" s="4" t="s">
        <v>682</v>
      </c>
      <c r="C217" s="4" t="s">
        <v>23</v>
      </c>
      <c r="D217" s="4" t="s">
        <v>683</v>
      </c>
      <c r="E217" s="5" t="str">
        <f t="shared" si="9"/>
        <v>Dr.LINO L</v>
      </c>
      <c r="F217" s="6" t="s">
        <v>583</v>
      </c>
      <c r="G217" s="5" t="s">
        <v>341</v>
      </c>
      <c r="H217" s="5" t="s">
        <v>684</v>
      </c>
      <c r="I217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Col2='""&amp;B217&amp;""'"",0)"),"")</f>
        <v/>
      </c>
      <c r="J217" s="5"/>
      <c r="K217" s="5">
        <f>IFERROR(__xludf.DUMMYFUNCTION("""COMPUTED_VALUE"""),0)</f>
        <v>0</v>
      </c>
      <c r="L217" s="5">
        <f>IFERROR(__xludf.DUMMYFUNCTION("""COMPUTED_VALUE"""),0)</f>
        <v>0</v>
      </c>
      <c r="M217" s="5" t="str">
        <f>IFERROR(__xludf.DUMMYFUNCTION("""COMPUTED_VALUE"""),"Working")</f>
        <v>Working</v>
      </c>
      <c r="N217" s="5" t="str">
        <f>IFERROR(__xludf.DUMMYFUNCTION("""COMPUTED_VALUE"""),"#N/A")</f>
        <v>#N/A</v>
      </c>
      <c r="O217" s="5" t="str">
        <f>IFERROR(__xludf.DUMMYFUNCTION("""COMPUTED_VALUE"""),"CORRECT")</f>
        <v>CORRECT</v>
      </c>
      <c r="P217" s="5" t="str">
        <f t="shared" si="10"/>
        <v/>
      </c>
      <c r="Q217" s="5" t="str">
        <f t="shared" si="11"/>
        <v/>
      </c>
    </row>
    <row r="218" ht="14.4" spans="1:17">
      <c r="A218" s="4">
        <v>217</v>
      </c>
      <c r="B218" s="4" t="s">
        <v>685</v>
      </c>
      <c r="C218" s="4" t="s">
        <v>23</v>
      </c>
      <c r="D218" s="4" t="s">
        <v>686</v>
      </c>
      <c r="E218" s="5" t="str">
        <f t="shared" si="9"/>
        <v>Dr.HARIKUMAR R</v>
      </c>
      <c r="F218" s="6" t="s">
        <v>583</v>
      </c>
      <c r="G218" s="5" t="s">
        <v>29</v>
      </c>
      <c r="H218" s="5" t="s">
        <v>687</v>
      </c>
      <c r="I21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Col2='""&amp;B218&amp;""'"",0)"),1)</f>
        <v>1</v>
      </c>
      <c r="J218" s="5">
        <f>IFERROR(__xludf.DUMMYFUNCTION("""COMPUTED_VALUE"""),1)</f>
        <v>1</v>
      </c>
      <c r="K218" s="5">
        <f>IFERROR(__xludf.DUMMYFUNCTION("""COMPUTED_VALUE"""),2)</f>
        <v>2</v>
      </c>
      <c r="L218" s="5">
        <f>IFERROR(__xludf.DUMMYFUNCTION("""COMPUTED_VALUE"""),0)</f>
        <v>0</v>
      </c>
      <c r="M218" s="5" t="str">
        <f>IFERROR(__xludf.DUMMYFUNCTION("""COMPUTED_VALUE"""),"Working")</f>
        <v>Working</v>
      </c>
      <c r="N218" s="5" t="str">
        <f>IFERROR(__xludf.DUMMYFUNCTION("""COMPUTED_VALUE"""),"CORRECT")</f>
        <v>CORRECT</v>
      </c>
      <c r="O218" s="5" t="str">
        <f>IFERROR(__xludf.DUMMYFUNCTION("""COMPUTED_VALUE"""),"LOAD PENDING")</f>
        <v>LOAD PENDING</v>
      </c>
      <c r="P218" s="5" t="str">
        <f t="shared" si="10"/>
        <v>Extra Theory Load Alloted</v>
      </c>
      <c r="Q218" s="5" t="str">
        <f t="shared" si="11"/>
        <v/>
      </c>
    </row>
    <row r="219" ht="14.4" spans="1:17">
      <c r="A219" s="4">
        <v>218</v>
      </c>
      <c r="B219" s="4" t="s">
        <v>688</v>
      </c>
      <c r="C219" s="4" t="s">
        <v>23</v>
      </c>
      <c r="D219" s="4" t="s">
        <v>689</v>
      </c>
      <c r="E219" s="5" t="str">
        <f t="shared" si="9"/>
        <v>Dr.PRAKASH S P</v>
      </c>
      <c r="F219" s="6" t="s">
        <v>583</v>
      </c>
      <c r="G219" s="5" t="s">
        <v>25</v>
      </c>
      <c r="H219" s="5" t="s">
        <v>690</v>
      </c>
      <c r="I21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Col2='""&amp;B219&amp;""'"",0)"),1)</f>
        <v>1</v>
      </c>
      <c r="J219" s="5">
        <f>IFERROR(__xludf.DUMMYFUNCTION("""COMPUTED_VALUE"""),0)</f>
        <v>0</v>
      </c>
      <c r="K219" s="5">
        <f>IFERROR(__xludf.DUMMYFUNCTION("""COMPUTED_VALUE"""),1)</f>
        <v>1</v>
      </c>
      <c r="L219" s="5">
        <f>IFERROR(__xludf.DUMMYFUNCTION("""COMPUTED_VALUE"""),0)</f>
        <v>0</v>
      </c>
      <c r="M219" s="5" t="str">
        <f>IFERROR(__xludf.DUMMYFUNCTION("""COMPUTED_VALUE"""),"Working")</f>
        <v>Working</v>
      </c>
      <c r="N219" s="5" t="str">
        <f>IFERROR(__xludf.DUMMYFUNCTION("""COMPUTED_VALUE"""),"CORRECT")</f>
        <v>CORRECT</v>
      </c>
      <c r="O219" s="5" t="str">
        <f>IFERROR(__xludf.DUMMYFUNCTION("""COMPUTED_VALUE"""),"CORRECT")</f>
        <v>CORRECT</v>
      </c>
      <c r="P219" s="5" t="str">
        <f t="shared" si="10"/>
        <v/>
      </c>
      <c r="Q219" s="5" t="str">
        <f t="shared" si="11"/>
        <v/>
      </c>
    </row>
    <row r="220" ht="14.4" spans="1:17">
      <c r="A220" s="4">
        <v>219</v>
      </c>
      <c r="B220" s="4" t="s">
        <v>691</v>
      </c>
      <c r="C220" s="4" t="s">
        <v>23</v>
      </c>
      <c r="D220" s="4" t="s">
        <v>692</v>
      </c>
      <c r="E220" s="5" t="str">
        <f t="shared" si="9"/>
        <v>Dr.PUSHPAVALLI M</v>
      </c>
      <c r="F220" s="6" t="s">
        <v>583</v>
      </c>
      <c r="G220" s="5" t="s">
        <v>25</v>
      </c>
      <c r="H220" s="5" t="s">
        <v>693</v>
      </c>
      <c r="I22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Col2='""&amp;B220&amp;""'"",0)"),2)</f>
        <v>2</v>
      </c>
      <c r="J220" s="5">
        <f>IFERROR(__xludf.DUMMYFUNCTION("""COMPUTED_VALUE"""),1)</f>
        <v>1</v>
      </c>
      <c r="K220" s="5">
        <f>IFERROR(__xludf.DUMMYFUNCTION("""COMPUTED_VALUE"""),2)</f>
        <v>2</v>
      </c>
      <c r="L220" s="5">
        <f>IFERROR(__xludf.DUMMYFUNCTION("""COMPUTED_VALUE"""),1)</f>
        <v>1</v>
      </c>
      <c r="M220" s="5" t="str">
        <f>IFERROR(__xludf.DUMMYFUNCTION("""COMPUTED_VALUE"""),"Working")</f>
        <v>Working</v>
      </c>
      <c r="N220" s="5" t="str">
        <f>IFERROR(__xludf.DUMMYFUNCTION("""COMPUTED_VALUE"""),"CORRECT")</f>
        <v>CORRECT</v>
      </c>
      <c r="O220" s="5" t="str">
        <f>IFERROR(__xludf.DUMMYFUNCTION("""COMPUTED_VALUE"""),"CORRECT")</f>
        <v>CORRECT</v>
      </c>
      <c r="P220" s="5" t="str">
        <f t="shared" si="10"/>
        <v/>
      </c>
      <c r="Q220" s="5" t="str">
        <f t="shared" si="11"/>
        <v/>
      </c>
    </row>
    <row r="221" ht="27.6" spans="1:17">
      <c r="A221" s="4">
        <v>220</v>
      </c>
      <c r="B221" s="4" t="s">
        <v>694</v>
      </c>
      <c r="C221" s="4" t="s">
        <v>17</v>
      </c>
      <c r="D221" s="4" t="s">
        <v>695</v>
      </c>
      <c r="E221" s="5" t="str">
        <f t="shared" si="9"/>
        <v>Mr.NIRMAL KUMAR R</v>
      </c>
      <c r="F221" s="6" t="s">
        <v>583</v>
      </c>
      <c r="G221" s="5" t="s">
        <v>20</v>
      </c>
      <c r="H221" s="5" t="s">
        <v>696</v>
      </c>
      <c r="I22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Col2='""&amp;B221&amp;""'"",0)"),0)</f>
        <v>0</v>
      </c>
      <c r="J221" s="5">
        <f>IFERROR(__xludf.DUMMYFUNCTION("""COMPUTED_VALUE"""),0)</f>
        <v>0</v>
      </c>
      <c r="K221" s="5">
        <f>IFERROR(__xludf.DUMMYFUNCTION("""COMPUTED_VALUE"""),0)</f>
        <v>0</v>
      </c>
      <c r="L221" s="5">
        <f>IFERROR(__xludf.DUMMYFUNCTION("""COMPUTED_VALUE"""),0)</f>
        <v>0</v>
      </c>
      <c r="M221" s="5" t="str">
        <f>IFERROR(__xludf.DUMMYFUNCTION("""COMPUTED_VALUE"""),"Working")</f>
        <v>Working</v>
      </c>
      <c r="N221" s="5" t="str">
        <f>IFERROR(__xludf.DUMMYFUNCTION("""COMPUTED_VALUE"""),"CORRECT")</f>
        <v>CORRECT</v>
      </c>
      <c r="O221" s="5" t="str">
        <f>IFERROR(__xludf.DUMMYFUNCTION("""COMPUTED_VALUE"""),"CORRECT")</f>
        <v>CORRECT</v>
      </c>
      <c r="P221" s="5" t="str">
        <f t="shared" si="10"/>
        <v/>
      </c>
      <c r="Q221" s="5" t="str">
        <f t="shared" si="11"/>
        <v/>
      </c>
    </row>
    <row r="222" ht="14.4" spans="1:17">
      <c r="A222" s="4">
        <v>221</v>
      </c>
      <c r="B222" s="4" t="s">
        <v>697</v>
      </c>
      <c r="C222" s="4" t="s">
        <v>23</v>
      </c>
      <c r="D222" s="4" t="s">
        <v>698</v>
      </c>
      <c r="E222" s="5" t="str">
        <f t="shared" si="9"/>
        <v>Dr.RAMYA P</v>
      </c>
      <c r="F222" s="6" t="s">
        <v>583</v>
      </c>
      <c r="G222" s="5" t="s">
        <v>25</v>
      </c>
      <c r="H222" s="5" t="s">
        <v>699</v>
      </c>
      <c r="I22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Col2='""&amp;B222&amp;""'"",0)"),2)</f>
        <v>2</v>
      </c>
      <c r="J222" s="5">
        <f>IFERROR(__xludf.DUMMYFUNCTION("""COMPUTED_VALUE"""),1)</f>
        <v>1</v>
      </c>
      <c r="K222" s="5">
        <f>IFERROR(__xludf.DUMMYFUNCTION("""COMPUTED_VALUE"""),2)</f>
        <v>2</v>
      </c>
      <c r="L222" s="5">
        <f>IFERROR(__xludf.DUMMYFUNCTION("""COMPUTED_VALUE"""),1)</f>
        <v>1</v>
      </c>
      <c r="M222" s="5" t="str">
        <f>IFERROR(__xludf.DUMMYFUNCTION("""COMPUTED_VALUE"""),"Working")</f>
        <v>Working</v>
      </c>
      <c r="N222" s="5" t="str">
        <f>IFERROR(__xludf.DUMMYFUNCTION("""COMPUTED_VALUE"""),"CORRECT")</f>
        <v>CORRECT</v>
      </c>
      <c r="O222" s="5" t="str">
        <f>IFERROR(__xludf.DUMMYFUNCTION("""COMPUTED_VALUE"""),"CORRECT")</f>
        <v>CORRECT</v>
      </c>
      <c r="P222" s="5" t="str">
        <f t="shared" si="10"/>
        <v/>
      </c>
      <c r="Q222" s="5" t="str">
        <f t="shared" si="11"/>
        <v/>
      </c>
    </row>
    <row r="223" ht="14.4" spans="1:17">
      <c r="A223" s="4">
        <v>222</v>
      </c>
      <c r="B223" s="4" t="s">
        <v>700</v>
      </c>
      <c r="C223" s="4" t="s">
        <v>23</v>
      </c>
      <c r="D223" s="4" t="s">
        <v>701</v>
      </c>
      <c r="E223" s="5" t="str">
        <f t="shared" si="9"/>
        <v>Dr.SANJOY DEB</v>
      </c>
      <c r="F223" s="6" t="s">
        <v>583</v>
      </c>
      <c r="G223" s="5" t="s">
        <v>29</v>
      </c>
      <c r="H223" s="5" t="s">
        <v>702</v>
      </c>
      <c r="I22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Col2='""&amp;B223&amp;""'"",0)"),1)</f>
        <v>1</v>
      </c>
      <c r="J223" s="5">
        <f>IFERROR(__xludf.DUMMYFUNCTION("""COMPUTED_VALUE"""),1)</f>
        <v>1</v>
      </c>
      <c r="K223" s="5">
        <f>IFERROR(__xludf.DUMMYFUNCTION("""COMPUTED_VALUE"""),2)</f>
        <v>2</v>
      </c>
      <c r="L223" s="5">
        <f>IFERROR(__xludf.DUMMYFUNCTION("""COMPUTED_VALUE"""),0)</f>
        <v>0</v>
      </c>
      <c r="M223" s="5" t="str">
        <f>IFERROR(__xludf.DUMMYFUNCTION("""COMPUTED_VALUE"""),"Working")</f>
        <v>Working</v>
      </c>
      <c r="N223" s="5" t="str">
        <f>IFERROR(__xludf.DUMMYFUNCTION("""COMPUTED_VALUE"""),"CORRECT")</f>
        <v>CORRECT</v>
      </c>
      <c r="O223" s="5" t="str">
        <f>IFERROR(__xludf.DUMMYFUNCTION("""COMPUTED_VALUE"""),"LOAD PENDING")</f>
        <v>LOAD PENDING</v>
      </c>
      <c r="P223" s="5" t="str">
        <f t="shared" si="10"/>
        <v>Extra Theory Load Alloted</v>
      </c>
      <c r="Q223" s="5" t="str">
        <f t="shared" si="11"/>
        <v/>
      </c>
    </row>
    <row r="224" ht="14.4" spans="1:17">
      <c r="A224" s="4">
        <v>223</v>
      </c>
      <c r="B224" s="4" t="s">
        <v>703</v>
      </c>
      <c r="C224" s="4" t="s">
        <v>23</v>
      </c>
      <c r="D224" s="4" t="s">
        <v>704</v>
      </c>
      <c r="E224" s="5" t="str">
        <f t="shared" si="9"/>
        <v>Dr.ELANGO S</v>
      </c>
      <c r="F224" s="6" t="s">
        <v>583</v>
      </c>
      <c r="G224" s="5" t="s">
        <v>25</v>
      </c>
      <c r="H224" s="5" t="s">
        <v>705</v>
      </c>
      <c r="I22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Col2='""&amp;B224&amp;""'"",0)"),1)</f>
        <v>1</v>
      </c>
      <c r="J224" s="5">
        <f>IFERROR(__xludf.DUMMYFUNCTION("""COMPUTED_VALUE"""),0)</f>
        <v>0</v>
      </c>
      <c r="K224" s="5">
        <f>IFERROR(__xludf.DUMMYFUNCTION("""COMPUTED_VALUE"""),2)</f>
        <v>2</v>
      </c>
      <c r="L224" s="5">
        <f>IFERROR(__xludf.DUMMYFUNCTION("""COMPUTED_VALUE"""),0)</f>
        <v>0</v>
      </c>
      <c r="M224" s="5" t="str">
        <f>IFERROR(__xludf.DUMMYFUNCTION("""COMPUTED_VALUE"""),"Working")</f>
        <v>Working</v>
      </c>
      <c r="N224" s="5" t="str">
        <f>IFERROR(__xludf.DUMMYFUNCTION("""COMPUTED_VALUE"""),"CORRECT")</f>
        <v>CORRECT</v>
      </c>
      <c r="O224" s="5" t="str">
        <f>IFERROR(__xludf.DUMMYFUNCTION("""COMPUTED_VALUE"""),"CORRECT")</f>
        <v>CORRECT</v>
      </c>
      <c r="P224" s="5" t="str">
        <f t="shared" si="10"/>
        <v>Extra Theory Load Alloted</v>
      </c>
      <c r="Q224" s="5" t="str">
        <f t="shared" si="11"/>
        <v/>
      </c>
    </row>
    <row r="225" ht="14.4" spans="1:17">
      <c r="A225" s="4">
        <v>224</v>
      </c>
      <c r="B225" s="4" t="s">
        <v>706</v>
      </c>
      <c r="C225" s="4" t="s">
        <v>23</v>
      </c>
      <c r="D225" s="4" t="s">
        <v>707</v>
      </c>
      <c r="E225" s="5" t="str">
        <f t="shared" si="9"/>
        <v>Dr.DANIEL RAJ A</v>
      </c>
      <c r="F225" s="6" t="s">
        <v>583</v>
      </c>
      <c r="G225" s="5" t="s">
        <v>25</v>
      </c>
      <c r="H225" s="5" t="s">
        <v>708</v>
      </c>
      <c r="I22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Col2='""&amp;B225&amp;""'"",0)"),1)</f>
        <v>1</v>
      </c>
      <c r="J225" s="5">
        <f>IFERROR(__xludf.DUMMYFUNCTION("""COMPUTED_VALUE"""),0)</f>
        <v>0</v>
      </c>
      <c r="K225" s="5">
        <f>IFERROR(__xludf.DUMMYFUNCTION("""COMPUTED_VALUE"""),2)</f>
        <v>2</v>
      </c>
      <c r="L225" s="5">
        <f>IFERROR(__xludf.DUMMYFUNCTION("""COMPUTED_VALUE"""),0)</f>
        <v>0</v>
      </c>
      <c r="M225" s="5" t="str">
        <f>IFERROR(__xludf.DUMMYFUNCTION("""COMPUTED_VALUE"""),"Working")</f>
        <v>Working</v>
      </c>
      <c r="N225" s="5" t="str">
        <f>IFERROR(__xludf.DUMMYFUNCTION("""COMPUTED_VALUE"""),"CORRECT")</f>
        <v>CORRECT</v>
      </c>
      <c r="O225" s="5" t="str">
        <f>IFERROR(__xludf.DUMMYFUNCTION("""COMPUTED_VALUE"""),"CORRECT")</f>
        <v>CORRECT</v>
      </c>
      <c r="P225" s="5" t="str">
        <f t="shared" si="10"/>
        <v>Extra Theory Load Alloted</v>
      </c>
      <c r="Q225" s="5" t="str">
        <f t="shared" si="11"/>
        <v/>
      </c>
    </row>
    <row r="226" ht="14.4" spans="1:17">
      <c r="A226" s="4">
        <v>225</v>
      </c>
      <c r="B226" s="4" t="s">
        <v>709</v>
      </c>
      <c r="C226" s="4" t="s">
        <v>23</v>
      </c>
      <c r="D226" s="4" t="s">
        <v>710</v>
      </c>
      <c r="E226" s="5" t="str">
        <f t="shared" si="9"/>
        <v>Dr.SAJAN P PHILIP</v>
      </c>
      <c r="F226" s="6" t="s">
        <v>583</v>
      </c>
      <c r="G226" s="5" t="s">
        <v>25</v>
      </c>
      <c r="H226" s="5" t="s">
        <v>711</v>
      </c>
      <c r="I22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Col2='""&amp;B226&amp;""'"",0)"),1)</f>
        <v>1</v>
      </c>
      <c r="J226" s="5">
        <f>IFERROR(__xludf.DUMMYFUNCTION("""COMPUTED_VALUE"""),0)</f>
        <v>0</v>
      </c>
      <c r="K226" s="5">
        <f>IFERROR(__xludf.DUMMYFUNCTION("""COMPUTED_VALUE"""),1)</f>
        <v>1</v>
      </c>
      <c r="L226" s="5">
        <f>IFERROR(__xludf.DUMMYFUNCTION("""COMPUTED_VALUE"""),0)</f>
        <v>0</v>
      </c>
      <c r="M226" s="5" t="str">
        <f>IFERROR(__xludf.DUMMYFUNCTION("""COMPUTED_VALUE"""),"Working")</f>
        <v>Working</v>
      </c>
      <c r="N226" s="5" t="str">
        <f>IFERROR(__xludf.DUMMYFUNCTION("""COMPUTED_VALUE"""),"CORRECT")</f>
        <v>CORRECT</v>
      </c>
      <c r="O226" s="5" t="str">
        <f>IFERROR(__xludf.DUMMYFUNCTION("""COMPUTED_VALUE"""),"CORRECT")</f>
        <v>CORRECT</v>
      </c>
      <c r="P226" s="5" t="str">
        <f t="shared" si="10"/>
        <v/>
      </c>
      <c r="Q226" s="5" t="str">
        <f t="shared" si="11"/>
        <v/>
      </c>
    </row>
    <row r="227" ht="14.4" spans="1:17">
      <c r="A227" s="4">
        <v>226</v>
      </c>
      <c r="B227" s="4" t="s">
        <v>712</v>
      </c>
      <c r="C227" s="4" t="s">
        <v>23</v>
      </c>
      <c r="D227" s="4" t="s">
        <v>713</v>
      </c>
      <c r="E227" s="5" t="str">
        <f t="shared" si="9"/>
        <v>Dr.RAMKUMAR R</v>
      </c>
      <c r="F227" s="6" t="s">
        <v>583</v>
      </c>
      <c r="G227" s="5" t="s">
        <v>25</v>
      </c>
      <c r="H227" s="5" t="s">
        <v>714</v>
      </c>
      <c r="I22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Col2='""&amp;B227&amp;""'"",0)"),1)</f>
        <v>1</v>
      </c>
      <c r="J227" s="5">
        <f>IFERROR(__xludf.DUMMYFUNCTION("""COMPUTED_VALUE"""),0)</f>
        <v>0</v>
      </c>
      <c r="K227" s="5">
        <f>IFERROR(__xludf.DUMMYFUNCTION("""COMPUTED_VALUE"""),2)</f>
        <v>2</v>
      </c>
      <c r="L227" s="5">
        <f>IFERROR(__xludf.DUMMYFUNCTION("""COMPUTED_VALUE"""),0)</f>
        <v>0</v>
      </c>
      <c r="M227" s="5" t="str">
        <f>IFERROR(__xludf.DUMMYFUNCTION("""COMPUTED_VALUE"""),"Working")</f>
        <v>Working</v>
      </c>
      <c r="N227" s="5" t="str">
        <f>IFERROR(__xludf.DUMMYFUNCTION("""COMPUTED_VALUE"""),"CORRECT")</f>
        <v>CORRECT</v>
      </c>
      <c r="O227" s="5" t="str">
        <f>IFERROR(__xludf.DUMMYFUNCTION("""COMPUTED_VALUE"""),"CORRECT")</f>
        <v>CORRECT</v>
      </c>
      <c r="P227" s="5" t="str">
        <f t="shared" si="10"/>
        <v>Extra Theory Load Alloted</v>
      </c>
      <c r="Q227" s="5" t="str">
        <f t="shared" si="11"/>
        <v/>
      </c>
    </row>
    <row r="228" ht="27.6" spans="1:17">
      <c r="A228" s="4">
        <v>227</v>
      </c>
      <c r="B228" s="4" t="s">
        <v>715</v>
      </c>
      <c r="C228" s="4" t="s">
        <v>23</v>
      </c>
      <c r="D228" s="4" t="s">
        <v>716</v>
      </c>
      <c r="E228" s="5" t="str">
        <f t="shared" si="9"/>
        <v>Dr.ALEX STANLEY RAJA T</v>
      </c>
      <c r="F228" s="6" t="s">
        <v>717</v>
      </c>
      <c r="G228" s="5" t="s">
        <v>20</v>
      </c>
      <c r="H228" s="5" t="s">
        <v>718</v>
      </c>
      <c r="I22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Col2='""&amp;B228&amp;""'"",0)"),1)</f>
        <v>1</v>
      </c>
      <c r="J228" s="5">
        <f>IFERROR(__xludf.DUMMYFUNCTION("""COMPUTED_VALUE"""),0)</f>
        <v>0</v>
      </c>
      <c r="K228" s="5">
        <f>IFERROR(__xludf.DUMMYFUNCTION("""COMPUTED_VALUE"""),2)</f>
        <v>2</v>
      </c>
      <c r="L228" s="5">
        <f>IFERROR(__xludf.DUMMYFUNCTION("""COMPUTED_VALUE"""),1)</f>
        <v>1</v>
      </c>
      <c r="M228" s="5" t="str">
        <f>IFERROR(__xludf.DUMMYFUNCTION("""COMPUTED_VALUE"""),"Working")</f>
        <v>Working</v>
      </c>
      <c r="N228" s="5" t="str">
        <f>IFERROR(__xludf.DUMMYFUNCTION("""COMPUTED_VALUE"""),"CORRECT")</f>
        <v>CORRECT</v>
      </c>
      <c r="O228" s="5" t="str">
        <f>IFERROR(__xludf.DUMMYFUNCTION("""COMPUTED_VALUE"""),"CORRECT")</f>
        <v>CORRECT</v>
      </c>
      <c r="P228" s="5" t="str">
        <f t="shared" si="10"/>
        <v>Extra Theory Load Alloted</v>
      </c>
      <c r="Q228" s="5" t="str">
        <f t="shared" si="11"/>
        <v>Extra Lab Load Alloted</v>
      </c>
    </row>
    <row r="229" ht="27.6" spans="1:17">
      <c r="A229" s="4">
        <v>228</v>
      </c>
      <c r="B229" s="4" t="s">
        <v>719</v>
      </c>
      <c r="C229" s="4" t="s">
        <v>17</v>
      </c>
      <c r="D229" s="4" t="s">
        <v>720</v>
      </c>
      <c r="E229" s="5" t="str">
        <f t="shared" si="9"/>
        <v>Mr.ARUN CHENDHURAN R</v>
      </c>
      <c r="F229" s="6" t="s">
        <v>717</v>
      </c>
      <c r="G229" s="5" t="s">
        <v>20</v>
      </c>
      <c r="H229" s="5" t="s">
        <v>721</v>
      </c>
      <c r="I22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Col2='""&amp;B229&amp;""'"",0)"),2)</f>
        <v>2</v>
      </c>
      <c r="J229" s="5">
        <f>IFERROR(__xludf.DUMMYFUNCTION("""COMPUTED_VALUE"""),2)</f>
        <v>2</v>
      </c>
      <c r="K229" s="5">
        <f>IFERROR(__xludf.DUMMYFUNCTION("""COMPUTED_VALUE"""),2)</f>
        <v>2</v>
      </c>
      <c r="L229" s="5">
        <f>IFERROR(__xludf.DUMMYFUNCTION("""COMPUTED_VALUE"""),2)</f>
        <v>2</v>
      </c>
      <c r="M229" s="5" t="str">
        <f>IFERROR(__xludf.DUMMYFUNCTION("""COMPUTED_VALUE"""),"Working")</f>
        <v>Working</v>
      </c>
      <c r="N229" s="5" t="str">
        <f>IFERROR(__xludf.DUMMYFUNCTION("""COMPUTED_VALUE"""),"CORRECT")</f>
        <v>CORRECT</v>
      </c>
      <c r="O229" s="5" t="str">
        <f>IFERROR(__xludf.DUMMYFUNCTION("""COMPUTED_VALUE"""),"CORRECT")</f>
        <v>CORRECT</v>
      </c>
      <c r="P229" s="5" t="str">
        <f t="shared" si="10"/>
        <v/>
      </c>
      <c r="Q229" s="5" t="str">
        <f t="shared" si="11"/>
        <v/>
      </c>
    </row>
    <row r="230" ht="14.4" spans="1:17">
      <c r="A230" s="4">
        <v>229</v>
      </c>
      <c r="B230" s="4" t="s">
        <v>722</v>
      </c>
      <c r="C230" s="4" t="s">
        <v>23</v>
      </c>
      <c r="D230" s="4" t="s">
        <v>723</v>
      </c>
      <c r="E230" s="5" t="str">
        <f t="shared" si="9"/>
        <v>Dr.SATHISHKUMAR S</v>
      </c>
      <c r="F230" s="6" t="s">
        <v>717</v>
      </c>
      <c r="G230" s="5" t="s">
        <v>25</v>
      </c>
      <c r="H230" s="5" t="s">
        <v>724</v>
      </c>
      <c r="I23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Col2='""&amp;B230&amp;""'"",0)"),1)</f>
        <v>1</v>
      </c>
      <c r="J230" s="5">
        <f>IFERROR(__xludf.DUMMYFUNCTION("""COMPUTED_VALUE"""),0)</f>
        <v>0</v>
      </c>
      <c r="K230" s="5">
        <f>IFERROR(__xludf.DUMMYFUNCTION("""COMPUTED_VALUE"""),2)</f>
        <v>2</v>
      </c>
      <c r="L230" s="5">
        <f>IFERROR(__xludf.DUMMYFUNCTION("""COMPUTED_VALUE"""),0)</f>
        <v>0</v>
      </c>
      <c r="M230" s="5" t="str">
        <f>IFERROR(__xludf.DUMMYFUNCTION("""COMPUTED_VALUE"""),"Working")</f>
        <v>Working</v>
      </c>
      <c r="N230" s="5" t="str">
        <f>IFERROR(__xludf.DUMMYFUNCTION("""COMPUTED_VALUE"""),"CORRECT")</f>
        <v>CORRECT</v>
      </c>
      <c r="O230" s="5" t="str">
        <f>IFERROR(__xludf.DUMMYFUNCTION("""COMPUTED_VALUE"""),"CORRECT")</f>
        <v>CORRECT</v>
      </c>
      <c r="P230" s="5" t="str">
        <f t="shared" si="10"/>
        <v>Extra Theory Load Alloted</v>
      </c>
      <c r="Q230" s="5" t="str">
        <f t="shared" si="11"/>
        <v/>
      </c>
    </row>
    <row r="231" ht="14.4" spans="1:17">
      <c r="A231" s="4">
        <v>230</v>
      </c>
      <c r="B231" s="4" t="s">
        <v>725</v>
      </c>
      <c r="C231" s="4" t="s">
        <v>23</v>
      </c>
      <c r="D231" s="4" t="s">
        <v>726</v>
      </c>
      <c r="E231" s="5" t="str">
        <f t="shared" si="9"/>
        <v>Dr.BHARANI KUMAR R</v>
      </c>
      <c r="F231" s="6" t="s">
        <v>717</v>
      </c>
      <c r="G231" s="5" t="s">
        <v>29</v>
      </c>
      <c r="H231" s="5" t="s">
        <v>727</v>
      </c>
      <c r="I23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Col2='""&amp;B231&amp;""'"",0)"),0)</f>
        <v>0</v>
      </c>
      <c r="J231" s="5">
        <f>IFERROR(__xludf.DUMMYFUNCTION("""COMPUTED_VALUE"""),0)</f>
        <v>0</v>
      </c>
      <c r="K231" s="5">
        <f>IFERROR(__xludf.DUMMYFUNCTION("""COMPUTED_VALUE"""),1)</f>
        <v>1</v>
      </c>
      <c r="L231" s="5">
        <f>IFERROR(__xludf.DUMMYFUNCTION("""COMPUTED_VALUE"""),0)</f>
        <v>0</v>
      </c>
      <c r="M231" s="5" t="str">
        <f>IFERROR(__xludf.DUMMYFUNCTION("""COMPUTED_VALUE"""),"Working")</f>
        <v>Working</v>
      </c>
      <c r="N231" s="5" t="str">
        <f>IFERROR(__xludf.DUMMYFUNCTION("""COMPUTED_VALUE"""),"CORRECT")</f>
        <v>CORRECT</v>
      </c>
      <c r="O231" s="5" t="str">
        <f>IFERROR(__xludf.DUMMYFUNCTION("""COMPUTED_VALUE"""),"CORRECT")</f>
        <v>CORRECT</v>
      </c>
      <c r="P231" s="5" t="str">
        <f t="shared" si="10"/>
        <v>Extra Theory Load Alloted</v>
      </c>
      <c r="Q231" s="5" t="str">
        <f t="shared" si="11"/>
        <v/>
      </c>
    </row>
    <row r="232" ht="27.6" spans="1:17">
      <c r="A232" s="4">
        <v>231</v>
      </c>
      <c r="B232" s="4" t="s">
        <v>728</v>
      </c>
      <c r="C232" s="4" t="s">
        <v>32</v>
      </c>
      <c r="D232" s="4" t="s">
        <v>729</v>
      </c>
      <c r="E232" s="5" t="str">
        <f t="shared" si="9"/>
        <v>Mrs.NITHYA G</v>
      </c>
      <c r="F232" s="6" t="s">
        <v>717</v>
      </c>
      <c r="G232" s="5" t="s">
        <v>20</v>
      </c>
      <c r="H232" s="5" t="s">
        <v>730</v>
      </c>
      <c r="I23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Col2='""&amp;B232&amp;""'"",0)"),2)</f>
        <v>2</v>
      </c>
      <c r="J232" s="5">
        <f>IFERROR(__xludf.DUMMYFUNCTION("""COMPUTED_VALUE"""),2)</f>
        <v>2</v>
      </c>
      <c r="K232" s="5">
        <f>IFERROR(__xludf.DUMMYFUNCTION("""COMPUTED_VALUE"""),2)</f>
        <v>2</v>
      </c>
      <c r="L232" s="5">
        <f>IFERROR(__xludf.DUMMYFUNCTION("""COMPUTED_VALUE"""),2)</f>
        <v>2</v>
      </c>
      <c r="M232" s="5" t="str">
        <f>IFERROR(__xludf.DUMMYFUNCTION("""COMPUTED_VALUE"""),"Working")</f>
        <v>Working</v>
      </c>
      <c r="N232" s="5" t="str">
        <f>IFERROR(__xludf.DUMMYFUNCTION("""COMPUTED_VALUE"""),"CORRECT")</f>
        <v>CORRECT</v>
      </c>
      <c r="O232" s="5" t="str">
        <f>IFERROR(__xludf.DUMMYFUNCTION("""COMPUTED_VALUE"""),"CORRECT")</f>
        <v>CORRECT</v>
      </c>
      <c r="P232" s="5" t="str">
        <f t="shared" si="10"/>
        <v/>
      </c>
      <c r="Q232" s="5" t="str">
        <f t="shared" si="11"/>
        <v/>
      </c>
    </row>
    <row r="233" ht="27.6" spans="1:17">
      <c r="A233" s="4">
        <v>232</v>
      </c>
      <c r="B233" s="4" t="s">
        <v>731</v>
      </c>
      <c r="C233" s="4" t="s">
        <v>32</v>
      </c>
      <c r="D233" s="4" t="s">
        <v>732</v>
      </c>
      <c r="E233" s="5" t="str">
        <f t="shared" si="9"/>
        <v>Mrs.MADHUMITHA J</v>
      </c>
      <c r="F233" s="6" t="s">
        <v>717</v>
      </c>
      <c r="G233" s="5" t="s">
        <v>47</v>
      </c>
      <c r="H233" s="5" t="s">
        <v>733</v>
      </c>
      <c r="I23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Col2='""&amp;B233&amp;""'"",0)"),0)</f>
        <v>0</v>
      </c>
      <c r="J233" s="5">
        <f>IFERROR(__xludf.DUMMYFUNCTION("""COMPUTED_VALUE"""),0)</f>
        <v>0</v>
      </c>
      <c r="K233" s="5">
        <f>IFERROR(__xludf.DUMMYFUNCTION("""COMPUTED_VALUE"""),2)</f>
        <v>2</v>
      </c>
      <c r="L233" s="5">
        <f>IFERROR(__xludf.DUMMYFUNCTION("""COMPUTED_VALUE"""),2)</f>
        <v>2</v>
      </c>
      <c r="M233" s="5" t="str">
        <f>IFERROR(__xludf.DUMMYFUNCTION("""COMPUTED_VALUE"""),"Working")</f>
        <v>Working</v>
      </c>
      <c r="N233" s="5" t="str">
        <f>IFERROR(__xludf.DUMMYFUNCTION("""COMPUTED_VALUE"""),"CORRECT")</f>
        <v>CORRECT</v>
      </c>
      <c r="O233" s="5" t="str">
        <f>IFERROR(__xludf.DUMMYFUNCTION("""COMPUTED_VALUE"""),"CORRECT")</f>
        <v>CORRECT</v>
      </c>
      <c r="P233" s="5" t="str">
        <f t="shared" si="10"/>
        <v>Extra Theory Load Alloted</v>
      </c>
      <c r="Q233" s="5" t="str">
        <f t="shared" si="11"/>
        <v>Extra Lab Load Alloted</v>
      </c>
    </row>
    <row r="234" ht="27.6" spans="1:17">
      <c r="A234" s="4">
        <v>233</v>
      </c>
      <c r="B234" s="4" t="s">
        <v>734</v>
      </c>
      <c r="C234" s="4" t="s">
        <v>23</v>
      </c>
      <c r="D234" s="4" t="s">
        <v>735</v>
      </c>
      <c r="E234" s="5" t="str">
        <f t="shared" si="9"/>
        <v>Dr.SENTHIL KUMAR J</v>
      </c>
      <c r="F234" s="6" t="s">
        <v>717</v>
      </c>
      <c r="G234" s="5" t="s">
        <v>20</v>
      </c>
      <c r="H234" s="5" t="s">
        <v>736</v>
      </c>
      <c r="I23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Col2='""&amp;B234&amp;""'"",0)"),2)</f>
        <v>2</v>
      </c>
      <c r="J234" s="5">
        <f>IFERROR(__xludf.DUMMYFUNCTION("""COMPUTED_VALUE"""),2)</f>
        <v>2</v>
      </c>
      <c r="K234" s="5">
        <f>IFERROR(__xludf.DUMMYFUNCTION("""COMPUTED_VALUE"""),2)</f>
        <v>2</v>
      </c>
      <c r="L234" s="5">
        <f>IFERROR(__xludf.DUMMYFUNCTION("""COMPUTED_VALUE"""),1)</f>
        <v>1</v>
      </c>
      <c r="M234" s="5" t="str">
        <f>IFERROR(__xludf.DUMMYFUNCTION("""COMPUTED_VALUE"""),"Working")</f>
        <v>Working</v>
      </c>
      <c r="N234" s="5" t="str">
        <f>IFERROR(__xludf.DUMMYFUNCTION("""COMPUTED_VALUE"""),"CORRECT")</f>
        <v>CORRECT</v>
      </c>
      <c r="O234" s="5" t="str">
        <f>IFERROR(__xludf.DUMMYFUNCTION("""COMPUTED_VALUE"""),"LOAD PENDING")</f>
        <v>LOAD PENDING</v>
      </c>
      <c r="P234" s="5" t="str">
        <f t="shared" si="10"/>
        <v/>
      </c>
      <c r="Q234" s="5" t="str">
        <f t="shared" si="11"/>
        <v/>
      </c>
    </row>
    <row r="235" ht="27.6" spans="1:17">
      <c r="A235" s="4">
        <v>234</v>
      </c>
      <c r="B235" s="4" t="s">
        <v>737</v>
      </c>
      <c r="C235" s="4" t="s">
        <v>17</v>
      </c>
      <c r="D235" s="4" t="s">
        <v>738</v>
      </c>
      <c r="E235" s="5" t="str">
        <f t="shared" si="9"/>
        <v>Mr.RISHIKESH N</v>
      </c>
      <c r="F235" s="6" t="s">
        <v>717</v>
      </c>
      <c r="G235" s="5" t="s">
        <v>20</v>
      </c>
      <c r="H235" s="5" t="s">
        <v>739</v>
      </c>
      <c r="I23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Col2='""&amp;B235&amp;""'"",0)"),1)</f>
        <v>1</v>
      </c>
      <c r="J235" s="5">
        <f>IFERROR(__xludf.DUMMYFUNCTION("""COMPUTED_VALUE"""),0)</f>
        <v>0</v>
      </c>
      <c r="K235" s="5">
        <f>IFERROR(__xludf.DUMMYFUNCTION("""COMPUTED_VALUE"""),2)</f>
        <v>2</v>
      </c>
      <c r="L235" s="5">
        <f>IFERROR(__xludf.DUMMYFUNCTION("""COMPUTED_VALUE"""),2)</f>
        <v>2</v>
      </c>
      <c r="M235" s="5" t="str">
        <f>IFERROR(__xludf.DUMMYFUNCTION("""COMPUTED_VALUE"""),"Working")</f>
        <v>Working</v>
      </c>
      <c r="N235" s="5" t="str">
        <f>IFERROR(__xludf.DUMMYFUNCTION("""COMPUTED_VALUE"""),"CORRECT")</f>
        <v>CORRECT</v>
      </c>
      <c r="O235" s="5" t="str">
        <f>IFERROR(__xludf.DUMMYFUNCTION("""COMPUTED_VALUE"""),"CORRECT")</f>
        <v>CORRECT</v>
      </c>
      <c r="P235" s="5" t="str">
        <f t="shared" si="10"/>
        <v>Extra Theory Load Alloted</v>
      </c>
      <c r="Q235" s="5" t="str">
        <f t="shared" si="11"/>
        <v>Extra Lab Load Alloted</v>
      </c>
    </row>
    <row r="236" ht="27.6" spans="1:17">
      <c r="A236" s="4">
        <v>235</v>
      </c>
      <c r="B236" s="4" t="s">
        <v>740</v>
      </c>
      <c r="C236" s="4" t="s">
        <v>32</v>
      </c>
      <c r="D236" s="4" t="s">
        <v>741</v>
      </c>
      <c r="E236" s="5" t="str">
        <f t="shared" si="9"/>
        <v>Mrs.GOPIKA N P</v>
      </c>
      <c r="F236" s="6" t="s">
        <v>717</v>
      </c>
      <c r="G236" s="5" t="s">
        <v>37</v>
      </c>
      <c r="H236" s="5" t="s">
        <v>742</v>
      </c>
      <c r="I23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Col2='""&amp;B236&amp;""'"",0)"),2)</f>
        <v>2</v>
      </c>
      <c r="J236" s="5">
        <f>IFERROR(__xludf.DUMMYFUNCTION("""COMPUTED_VALUE"""),2)</f>
        <v>2</v>
      </c>
      <c r="K236" s="5">
        <f>IFERROR(__xludf.DUMMYFUNCTION("""COMPUTED_VALUE"""),2)</f>
        <v>2</v>
      </c>
      <c r="L236" s="5">
        <f>IFERROR(__xludf.DUMMYFUNCTION("""COMPUTED_VALUE"""),2)</f>
        <v>2</v>
      </c>
      <c r="M236" s="5" t="str">
        <f>IFERROR(__xludf.DUMMYFUNCTION("""COMPUTED_VALUE"""),"Working")</f>
        <v>Working</v>
      </c>
      <c r="N236" s="5" t="str">
        <f>IFERROR(__xludf.DUMMYFUNCTION("""COMPUTED_VALUE"""),"CORRECT")</f>
        <v>CORRECT</v>
      </c>
      <c r="O236" s="5" t="str">
        <f>IFERROR(__xludf.DUMMYFUNCTION("""COMPUTED_VALUE"""),"CORRECT")</f>
        <v>CORRECT</v>
      </c>
      <c r="P236" s="5" t="str">
        <f t="shared" si="10"/>
        <v/>
      </c>
      <c r="Q236" s="5" t="str">
        <f t="shared" si="11"/>
        <v/>
      </c>
    </row>
    <row r="237" ht="27.6" spans="1:17">
      <c r="A237" s="4">
        <v>236</v>
      </c>
      <c r="B237" s="4" t="s">
        <v>743</v>
      </c>
      <c r="C237" s="4" t="s">
        <v>23</v>
      </c>
      <c r="D237" s="4" t="s">
        <v>744</v>
      </c>
      <c r="E237" s="5" t="str">
        <f t="shared" si="9"/>
        <v>Dr.MANOJKUMAR P</v>
      </c>
      <c r="F237" s="6" t="s">
        <v>717</v>
      </c>
      <c r="G237" s="5" t="s">
        <v>25</v>
      </c>
      <c r="H237" s="5" t="s">
        <v>745</v>
      </c>
      <c r="I23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Col2='""&amp;B237&amp;""'"",0)"),1)</f>
        <v>1</v>
      </c>
      <c r="J237" s="5">
        <f>IFERROR(__xludf.DUMMYFUNCTION("""COMPUTED_VALUE"""),0)</f>
        <v>0</v>
      </c>
      <c r="K237" s="5">
        <f>IFERROR(__xludf.DUMMYFUNCTION("""COMPUTED_VALUE"""),2)</f>
        <v>2</v>
      </c>
      <c r="L237" s="5">
        <f>IFERROR(__xludf.DUMMYFUNCTION("""COMPUTED_VALUE"""),1)</f>
        <v>1</v>
      </c>
      <c r="M237" s="5" t="str">
        <f>IFERROR(__xludf.DUMMYFUNCTION("""COMPUTED_VALUE"""),"Working")</f>
        <v>Working</v>
      </c>
      <c r="N237" s="5" t="str">
        <f>IFERROR(__xludf.DUMMYFUNCTION("""COMPUTED_VALUE"""),"CORRECT")</f>
        <v>CORRECT</v>
      </c>
      <c r="O237" s="5" t="str">
        <f>IFERROR(__xludf.DUMMYFUNCTION("""COMPUTED_VALUE"""),"CORRECT")</f>
        <v>CORRECT</v>
      </c>
      <c r="P237" s="5" t="str">
        <f t="shared" si="10"/>
        <v>Extra Theory Load Alloted</v>
      </c>
      <c r="Q237" s="5" t="str">
        <f t="shared" si="11"/>
        <v>Extra Lab Load Alloted</v>
      </c>
    </row>
    <row r="238" ht="27.6" spans="1:17">
      <c r="A238" s="4">
        <v>237</v>
      </c>
      <c r="B238" s="4" t="s">
        <v>746</v>
      </c>
      <c r="C238" s="4" t="s">
        <v>23</v>
      </c>
      <c r="D238" s="4" t="s">
        <v>747</v>
      </c>
      <c r="E238" s="5" t="str">
        <f t="shared" si="9"/>
        <v>Dr.CHINNADURRAI CL</v>
      </c>
      <c r="F238" s="6" t="s">
        <v>717</v>
      </c>
      <c r="G238" s="5" t="s">
        <v>20</v>
      </c>
      <c r="H238" s="5" t="s">
        <v>748</v>
      </c>
      <c r="I23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Col2='""&amp;B238&amp;""'"",0)"),1)</f>
        <v>1</v>
      </c>
      <c r="J238" s="5">
        <f>IFERROR(__xludf.DUMMYFUNCTION("""COMPUTED_VALUE"""),0)</f>
        <v>0</v>
      </c>
      <c r="K238" s="5">
        <f>IFERROR(__xludf.DUMMYFUNCTION("""COMPUTED_VALUE"""),2)</f>
        <v>2</v>
      </c>
      <c r="L238" s="5">
        <f>IFERROR(__xludf.DUMMYFUNCTION("""COMPUTED_VALUE"""),1)</f>
        <v>1</v>
      </c>
      <c r="M238" s="5" t="str">
        <f>IFERROR(__xludf.DUMMYFUNCTION("""COMPUTED_VALUE"""),"Working")</f>
        <v>Working</v>
      </c>
      <c r="N238" s="5" t="str">
        <f>IFERROR(__xludf.DUMMYFUNCTION("""COMPUTED_VALUE"""),"CORRECT")</f>
        <v>CORRECT</v>
      </c>
      <c r="O238" s="5" t="str">
        <f>IFERROR(__xludf.DUMMYFUNCTION("""COMPUTED_VALUE"""),"CORRECT")</f>
        <v>CORRECT</v>
      </c>
      <c r="P238" s="5" t="str">
        <f t="shared" si="10"/>
        <v>Extra Theory Load Alloted</v>
      </c>
      <c r="Q238" s="5" t="str">
        <f t="shared" si="11"/>
        <v>Extra Lab Load Alloted</v>
      </c>
    </row>
    <row r="239" ht="27.6" spans="1:17">
      <c r="A239" s="4">
        <v>238</v>
      </c>
      <c r="B239" s="4" t="s">
        <v>749</v>
      </c>
      <c r="C239" s="4" t="s">
        <v>23</v>
      </c>
      <c r="D239" s="4" t="s">
        <v>750</v>
      </c>
      <c r="E239" s="5" t="str">
        <f t="shared" si="9"/>
        <v>Dr.GOLDVIN SUGIRTHA DHAS B</v>
      </c>
      <c r="F239" s="6" t="s">
        <v>717</v>
      </c>
      <c r="G239" s="5" t="s">
        <v>20</v>
      </c>
      <c r="H239" s="5" t="s">
        <v>751</v>
      </c>
      <c r="I23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Col2='""&amp;B239&amp;""'"",0)"),2)</f>
        <v>2</v>
      </c>
      <c r="J239" s="5">
        <f>IFERROR(__xludf.DUMMYFUNCTION("""COMPUTED_VALUE"""),2)</f>
        <v>2</v>
      </c>
      <c r="K239" s="5">
        <f>IFERROR(__xludf.DUMMYFUNCTION("""COMPUTED_VALUE"""),2)</f>
        <v>2</v>
      </c>
      <c r="L239" s="5">
        <f>IFERROR(__xludf.DUMMYFUNCTION("""COMPUTED_VALUE"""),2)</f>
        <v>2</v>
      </c>
      <c r="M239" s="5" t="str">
        <f>IFERROR(__xludf.DUMMYFUNCTION("""COMPUTED_VALUE"""),"Working")</f>
        <v>Working</v>
      </c>
      <c r="N239" s="5" t="str">
        <f>IFERROR(__xludf.DUMMYFUNCTION("""COMPUTED_VALUE"""),"CORRECT")</f>
        <v>CORRECT</v>
      </c>
      <c r="O239" s="5" t="str">
        <f>IFERROR(__xludf.DUMMYFUNCTION("""COMPUTED_VALUE"""),"CORRECT")</f>
        <v>CORRECT</v>
      </c>
      <c r="P239" s="5" t="str">
        <f t="shared" si="10"/>
        <v/>
      </c>
      <c r="Q239" s="5" t="str">
        <f t="shared" si="11"/>
        <v/>
      </c>
    </row>
    <row r="240" ht="14.4" spans="1:17">
      <c r="A240" s="4">
        <v>239</v>
      </c>
      <c r="B240" s="4" t="s">
        <v>752</v>
      </c>
      <c r="C240" s="4" t="s">
        <v>32</v>
      </c>
      <c r="D240" s="4" t="s">
        <v>753</v>
      </c>
      <c r="E240" s="5" t="str">
        <f t="shared" si="9"/>
        <v>Mrs.KIRUTHIKA M</v>
      </c>
      <c r="F240" s="6" t="s">
        <v>717</v>
      </c>
      <c r="G240" s="5" t="s">
        <v>47</v>
      </c>
      <c r="H240" s="5" t="s">
        <v>754</v>
      </c>
      <c r="I240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Col2='""&amp;B240&amp;""'"",0)"),"")</f>
        <v/>
      </c>
      <c r="J240" s="5"/>
      <c r="K240" s="5">
        <f>IFERROR(__xludf.DUMMYFUNCTION("""COMPUTED_VALUE"""),0)</f>
        <v>0</v>
      </c>
      <c r="L240" s="5">
        <f>IFERROR(__xludf.DUMMYFUNCTION("""COMPUTED_VALUE"""),0)</f>
        <v>0</v>
      </c>
      <c r="M240" s="5" t="str">
        <f>IFERROR(__xludf.DUMMYFUNCTION("""COMPUTED_VALUE"""),"Working")</f>
        <v>Working</v>
      </c>
      <c r="N240" s="5" t="str">
        <f>IFERROR(__xludf.DUMMYFUNCTION("""COMPUTED_VALUE"""),"#N/A")</f>
        <v>#N/A</v>
      </c>
      <c r="O240" s="5" t="str">
        <f>IFERROR(__xludf.DUMMYFUNCTION("""COMPUTED_VALUE"""),"CORRECT")</f>
        <v>CORRECT</v>
      </c>
      <c r="P240" s="5" t="str">
        <f t="shared" si="10"/>
        <v/>
      </c>
      <c r="Q240" s="5" t="str">
        <f t="shared" si="11"/>
        <v/>
      </c>
    </row>
    <row r="241" ht="27.6" spans="1:17">
      <c r="A241" s="4">
        <v>240</v>
      </c>
      <c r="B241" s="4" t="s">
        <v>755</v>
      </c>
      <c r="C241" s="4" t="s">
        <v>23</v>
      </c>
      <c r="D241" s="4" t="s">
        <v>756</v>
      </c>
      <c r="E241" s="5" t="str">
        <f t="shared" si="9"/>
        <v>Dr.SURESH N S</v>
      </c>
      <c r="F241" s="6" t="s">
        <v>717</v>
      </c>
      <c r="G241" s="5" t="s">
        <v>20</v>
      </c>
      <c r="H241" s="5" t="s">
        <v>757</v>
      </c>
      <c r="I241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Col2='""&amp;B241&amp;""'"",0)"),"")</f>
        <v/>
      </c>
      <c r="J241" s="5"/>
      <c r="K241" s="5">
        <f>IFERROR(__xludf.DUMMYFUNCTION("""COMPUTED_VALUE"""),0)</f>
        <v>0</v>
      </c>
      <c r="L241" s="5">
        <f>IFERROR(__xludf.DUMMYFUNCTION("""COMPUTED_VALUE"""),0)</f>
        <v>0</v>
      </c>
      <c r="M241" s="5" t="str">
        <f>IFERROR(__xludf.DUMMYFUNCTION("""COMPUTED_VALUE"""),"Working")</f>
        <v>Working</v>
      </c>
      <c r="N241" s="5" t="str">
        <f>IFERROR(__xludf.DUMMYFUNCTION("""COMPUTED_VALUE"""),"#N/A")</f>
        <v>#N/A</v>
      </c>
      <c r="O241" s="5" t="str">
        <f>IFERROR(__xludf.DUMMYFUNCTION("""COMPUTED_VALUE"""),"CORRECT")</f>
        <v>CORRECT</v>
      </c>
      <c r="P241" s="5" t="str">
        <f t="shared" si="10"/>
        <v/>
      </c>
      <c r="Q241" s="5" t="str">
        <f t="shared" si="11"/>
        <v/>
      </c>
    </row>
    <row r="242" ht="14.4" spans="1:17">
      <c r="A242" s="4">
        <v>241</v>
      </c>
      <c r="B242" s="4" t="s">
        <v>758</v>
      </c>
      <c r="C242" s="4" t="s">
        <v>23</v>
      </c>
      <c r="D242" s="4" t="s">
        <v>759</v>
      </c>
      <c r="E242" s="5" t="str">
        <f t="shared" si="9"/>
        <v>Dr.SRINIVASAN M</v>
      </c>
      <c r="F242" s="6" t="s">
        <v>717</v>
      </c>
      <c r="G242" s="5" t="s">
        <v>25</v>
      </c>
      <c r="H242" s="5" t="s">
        <v>760</v>
      </c>
      <c r="I24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Col2='""&amp;B242&amp;""'"",0)"),2)</f>
        <v>2</v>
      </c>
      <c r="J242" s="5">
        <f>IFERROR(__xludf.DUMMYFUNCTION("""COMPUTED_VALUE"""),1)</f>
        <v>1</v>
      </c>
      <c r="K242" s="5">
        <f>IFERROR(__xludf.DUMMYFUNCTION("""COMPUTED_VALUE"""),2)</f>
        <v>2</v>
      </c>
      <c r="L242" s="5">
        <f>IFERROR(__xludf.DUMMYFUNCTION("""COMPUTED_VALUE"""),1)</f>
        <v>1</v>
      </c>
      <c r="M242" s="5" t="str">
        <f>IFERROR(__xludf.DUMMYFUNCTION("""COMPUTED_VALUE"""),"Working")</f>
        <v>Working</v>
      </c>
      <c r="N242" s="5" t="str">
        <f>IFERROR(__xludf.DUMMYFUNCTION("""COMPUTED_VALUE"""),"CORRECT")</f>
        <v>CORRECT</v>
      </c>
      <c r="O242" s="5" t="str">
        <f>IFERROR(__xludf.DUMMYFUNCTION("""COMPUTED_VALUE"""),"CORRECT")</f>
        <v>CORRECT</v>
      </c>
      <c r="P242" s="5" t="str">
        <f t="shared" si="10"/>
        <v/>
      </c>
      <c r="Q242" s="5" t="str">
        <f t="shared" si="11"/>
        <v/>
      </c>
    </row>
    <row r="243" ht="27.6" spans="1:17">
      <c r="A243" s="4">
        <v>242</v>
      </c>
      <c r="B243" s="4" t="s">
        <v>761</v>
      </c>
      <c r="C243" s="4" t="s">
        <v>23</v>
      </c>
      <c r="D243" s="4" t="s">
        <v>762</v>
      </c>
      <c r="E243" s="5" t="str">
        <f t="shared" si="9"/>
        <v>Dr.RAJALASHMI K</v>
      </c>
      <c r="F243" s="6" t="s">
        <v>717</v>
      </c>
      <c r="G243" s="5" t="s">
        <v>20</v>
      </c>
      <c r="H243" s="5" t="s">
        <v>763</v>
      </c>
      <c r="I24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Col2='""&amp;B243&amp;""'"",0)"),2)</f>
        <v>2</v>
      </c>
      <c r="J243" s="5">
        <f>IFERROR(__xludf.DUMMYFUNCTION("""COMPUTED_VALUE"""),2)</f>
        <v>2</v>
      </c>
      <c r="K243" s="5">
        <f>IFERROR(__xludf.DUMMYFUNCTION("""COMPUTED_VALUE"""),2)</f>
        <v>2</v>
      </c>
      <c r="L243" s="5">
        <f>IFERROR(__xludf.DUMMYFUNCTION("""COMPUTED_VALUE"""),1)</f>
        <v>1</v>
      </c>
      <c r="M243" s="5" t="str">
        <f>IFERROR(__xludf.DUMMYFUNCTION("""COMPUTED_VALUE"""),"Working")</f>
        <v>Working</v>
      </c>
      <c r="N243" s="5" t="str">
        <f>IFERROR(__xludf.DUMMYFUNCTION("""COMPUTED_VALUE"""),"CORRECT")</f>
        <v>CORRECT</v>
      </c>
      <c r="O243" s="5" t="str">
        <f>IFERROR(__xludf.DUMMYFUNCTION("""COMPUTED_VALUE"""),"LOAD PENDING")</f>
        <v>LOAD PENDING</v>
      </c>
      <c r="P243" s="5" t="str">
        <f t="shared" si="10"/>
        <v/>
      </c>
      <c r="Q243" s="5" t="str">
        <f t="shared" si="11"/>
        <v/>
      </c>
    </row>
    <row r="244" ht="14.4" spans="1:17">
      <c r="A244" s="4">
        <v>243</v>
      </c>
      <c r="B244" s="4" t="s">
        <v>764</v>
      </c>
      <c r="C244" s="4" t="s">
        <v>23</v>
      </c>
      <c r="D244" s="4" t="s">
        <v>765</v>
      </c>
      <c r="E244" s="5" t="str">
        <f t="shared" si="9"/>
        <v>Dr.SIVARAMAN P</v>
      </c>
      <c r="F244" s="6" t="s">
        <v>717</v>
      </c>
      <c r="G244" s="5" t="s">
        <v>29</v>
      </c>
      <c r="H244" s="5" t="s">
        <v>766</v>
      </c>
      <c r="I24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Col2='""&amp;B244&amp;""'"",0)"),1)</f>
        <v>1</v>
      </c>
      <c r="J244" s="5">
        <f>IFERROR(__xludf.DUMMYFUNCTION("""COMPUTED_VALUE"""),1)</f>
        <v>1</v>
      </c>
      <c r="K244" s="5">
        <f>IFERROR(__xludf.DUMMYFUNCTION("""COMPUTED_VALUE"""),2)</f>
        <v>2</v>
      </c>
      <c r="L244" s="5">
        <f>IFERROR(__xludf.DUMMYFUNCTION("""COMPUTED_VALUE"""),1)</f>
        <v>1</v>
      </c>
      <c r="M244" s="5" t="str">
        <f>IFERROR(__xludf.DUMMYFUNCTION("""COMPUTED_VALUE"""),"Working")</f>
        <v>Working</v>
      </c>
      <c r="N244" s="5" t="str">
        <f>IFERROR(__xludf.DUMMYFUNCTION("""COMPUTED_VALUE"""),"CORRECT")</f>
        <v>CORRECT</v>
      </c>
      <c r="O244" s="5" t="str">
        <f>IFERROR(__xludf.DUMMYFUNCTION("""COMPUTED_VALUE"""),"CORRECT")</f>
        <v>CORRECT</v>
      </c>
      <c r="P244" s="5" t="str">
        <f t="shared" si="10"/>
        <v>Extra Theory Load Alloted</v>
      </c>
      <c r="Q244" s="5" t="str">
        <f t="shared" si="11"/>
        <v/>
      </c>
    </row>
    <row r="245" ht="27.6" spans="1:17">
      <c r="A245" s="4">
        <v>244</v>
      </c>
      <c r="B245" s="4" t="s">
        <v>767</v>
      </c>
      <c r="C245" s="4" t="s">
        <v>23</v>
      </c>
      <c r="D245" s="4" t="s">
        <v>768</v>
      </c>
      <c r="E245" s="5" t="str">
        <f t="shared" si="9"/>
        <v>Dr.VEERAKUMAR S</v>
      </c>
      <c r="F245" s="6" t="s">
        <v>717</v>
      </c>
      <c r="G245" s="5" t="s">
        <v>25</v>
      </c>
      <c r="H245" s="5" t="s">
        <v>769</v>
      </c>
      <c r="I24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Col2='""&amp;B245&amp;""'"",0)"),1)</f>
        <v>1</v>
      </c>
      <c r="J245" s="5">
        <f>IFERROR(__xludf.DUMMYFUNCTION("""COMPUTED_VALUE"""),0)</f>
        <v>0</v>
      </c>
      <c r="K245" s="5">
        <f>IFERROR(__xludf.DUMMYFUNCTION("""COMPUTED_VALUE"""),2)</f>
        <v>2</v>
      </c>
      <c r="L245" s="5">
        <f>IFERROR(__xludf.DUMMYFUNCTION("""COMPUTED_VALUE"""),1)</f>
        <v>1</v>
      </c>
      <c r="M245" s="5" t="str">
        <f>IFERROR(__xludf.DUMMYFUNCTION("""COMPUTED_VALUE"""),"Working")</f>
        <v>Working</v>
      </c>
      <c r="N245" s="5" t="str">
        <f>IFERROR(__xludf.DUMMYFUNCTION("""COMPUTED_VALUE"""),"CORRECT")</f>
        <v>CORRECT</v>
      </c>
      <c r="O245" s="5" t="str">
        <f>IFERROR(__xludf.DUMMYFUNCTION("""COMPUTED_VALUE"""),"CORRECT")</f>
        <v>CORRECT</v>
      </c>
      <c r="P245" s="5" t="str">
        <f t="shared" si="10"/>
        <v>Extra Theory Load Alloted</v>
      </c>
      <c r="Q245" s="5" t="str">
        <f t="shared" si="11"/>
        <v>Extra Lab Load Alloted</v>
      </c>
    </row>
    <row r="246" ht="14.4" spans="1:17">
      <c r="A246" s="4">
        <v>245</v>
      </c>
      <c r="B246" s="4" t="s">
        <v>770</v>
      </c>
      <c r="C246" s="4" t="s">
        <v>23</v>
      </c>
      <c r="D246" s="4" t="s">
        <v>771</v>
      </c>
      <c r="E246" s="5" t="str">
        <f t="shared" si="9"/>
        <v>Dr.MAHESWARI K T</v>
      </c>
      <c r="F246" s="6" t="s">
        <v>717</v>
      </c>
      <c r="G246" s="5" t="s">
        <v>25</v>
      </c>
      <c r="H246" s="5" t="s">
        <v>772</v>
      </c>
      <c r="I24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Col2='""&amp;B246&amp;""'"",0)"),1)</f>
        <v>1</v>
      </c>
      <c r="J246" s="5">
        <f>IFERROR(__xludf.DUMMYFUNCTION("""COMPUTED_VALUE"""),0)</f>
        <v>0</v>
      </c>
      <c r="K246" s="5">
        <f>IFERROR(__xludf.DUMMYFUNCTION("""COMPUTED_VALUE"""),2)</f>
        <v>2</v>
      </c>
      <c r="L246" s="5">
        <f>IFERROR(__xludf.DUMMYFUNCTION("""COMPUTED_VALUE"""),0)</f>
        <v>0</v>
      </c>
      <c r="M246" s="5" t="str">
        <f>IFERROR(__xludf.DUMMYFUNCTION("""COMPUTED_VALUE"""),"Working")</f>
        <v>Working</v>
      </c>
      <c r="N246" s="5" t="str">
        <f>IFERROR(__xludf.DUMMYFUNCTION("""COMPUTED_VALUE"""),"CORRECT")</f>
        <v>CORRECT</v>
      </c>
      <c r="O246" s="5" t="str">
        <f>IFERROR(__xludf.DUMMYFUNCTION("""COMPUTED_VALUE"""),"CORRECT")</f>
        <v>CORRECT</v>
      </c>
      <c r="P246" s="5" t="str">
        <f t="shared" si="10"/>
        <v>Extra Theory Load Alloted</v>
      </c>
      <c r="Q246" s="5" t="str">
        <f t="shared" si="11"/>
        <v/>
      </c>
    </row>
    <row r="247" ht="27.6" spans="1:17">
      <c r="A247" s="4">
        <v>246</v>
      </c>
      <c r="B247" s="4" t="s">
        <v>773</v>
      </c>
      <c r="C247" s="4" t="s">
        <v>23</v>
      </c>
      <c r="D247" s="4" t="s">
        <v>774</v>
      </c>
      <c r="E247" s="5" t="str">
        <f t="shared" si="9"/>
        <v>Dr.NANDHAKUMAR A</v>
      </c>
      <c r="F247" s="6" t="s">
        <v>717</v>
      </c>
      <c r="G247" s="5" t="s">
        <v>20</v>
      </c>
      <c r="H247" s="5" t="s">
        <v>775</v>
      </c>
      <c r="I24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Col2='""&amp;B247&amp;""'"",0)"),2)</f>
        <v>2</v>
      </c>
      <c r="J247" s="5">
        <f>IFERROR(__xludf.DUMMYFUNCTION("""COMPUTED_VALUE"""),2)</f>
        <v>2</v>
      </c>
      <c r="K247" s="5">
        <f>IFERROR(__xludf.DUMMYFUNCTION("""COMPUTED_VALUE"""),3)</f>
        <v>3</v>
      </c>
      <c r="L247" s="5">
        <f>IFERROR(__xludf.DUMMYFUNCTION("""COMPUTED_VALUE"""),3)</f>
        <v>3</v>
      </c>
      <c r="M247" s="5" t="str">
        <f>IFERROR(__xludf.DUMMYFUNCTION("""COMPUTED_VALUE"""),"Working")</f>
        <v>Working</v>
      </c>
      <c r="N247" s="5" t="str">
        <f>IFERROR(__xludf.DUMMYFUNCTION("""COMPUTED_VALUE"""),"CORRECT")</f>
        <v>CORRECT</v>
      </c>
      <c r="O247" s="5" t="str">
        <f>IFERROR(__xludf.DUMMYFUNCTION("""COMPUTED_VALUE"""),"CORRECT")</f>
        <v>CORRECT</v>
      </c>
      <c r="P247" s="5" t="str">
        <f t="shared" si="10"/>
        <v>Extra Theory Load Alloted</v>
      </c>
      <c r="Q247" s="5" t="str">
        <f t="shared" si="11"/>
        <v>Extra Lab Load Alloted</v>
      </c>
    </row>
    <row r="248" ht="27.6" spans="1:17">
      <c r="A248" s="4">
        <v>247</v>
      </c>
      <c r="B248" s="4" t="s">
        <v>776</v>
      </c>
      <c r="C248" s="4" t="s">
        <v>23</v>
      </c>
      <c r="D248" s="4" t="s">
        <v>777</v>
      </c>
      <c r="E248" s="5" t="str">
        <f t="shared" si="9"/>
        <v>Dr.SRITHA P</v>
      </c>
      <c r="F248" s="6" t="s">
        <v>717</v>
      </c>
      <c r="G248" s="5" t="s">
        <v>20</v>
      </c>
      <c r="H248" s="5" t="s">
        <v>778</v>
      </c>
      <c r="I24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Col2='""&amp;B248&amp;""'"",0)"),2)</f>
        <v>2</v>
      </c>
      <c r="J248" s="5">
        <f>IFERROR(__xludf.DUMMYFUNCTION("""COMPUTED_VALUE"""),2)</f>
        <v>2</v>
      </c>
      <c r="K248" s="5">
        <f>IFERROR(__xludf.DUMMYFUNCTION("""COMPUTED_VALUE"""),2)</f>
        <v>2</v>
      </c>
      <c r="L248" s="5">
        <f>IFERROR(__xludf.DUMMYFUNCTION("""COMPUTED_VALUE"""),2)</f>
        <v>2</v>
      </c>
      <c r="M248" s="5" t="str">
        <f>IFERROR(__xludf.DUMMYFUNCTION("""COMPUTED_VALUE"""),"Working")</f>
        <v>Working</v>
      </c>
      <c r="N248" s="5" t="str">
        <f>IFERROR(__xludf.DUMMYFUNCTION("""COMPUTED_VALUE"""),"CORRECT")</f>
        <v>CORRECT</v>
      </c>
      <c r="O248" s="5" t="str">
        <f>IFERROR(__xludf.DUMMYFUNCTION("""COMPUTED_VALUE"""),"CORRECT")</f>
        <v>CORRECT</v>
      </c>
      <c r="P248" s="5" t="str">
        <f t="shared" si="10"/>
        <v/>
      </c>
      <c r="Q248" s="5" t="str">
        <f t="shared" si="11"/>
        <v/>
      </c>
    </row>
    <row r="249" ht="27.6" spans="1:17">
      <c r="A249" s="4">
        <v>248</v>
      </c>
      <c r="B249" s="4" t="s">
        <v>779</v>
      </c>
      <c r="C249" s="4" t="s">
        <v>32</v>
      </c>
      <c r="D249" s="4" t="s">
        <v>780</v>
      </c>
      <c r="E249" s="5" t="str">
        <f t="shared" si="9"/>
        <v>Mrs.MOHANAPRIYA V</v>
      </c>
      <c r="F249" s="6" t="s">
        <v>717</v>
      </c>
      <c r="G249" s="5" t="s">
        <v>20</v>
      </c>
      <c r="H249" s="5" t="s">
        <v>781</v>
      </c>
      <c r="I24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Col2='""&amp;B249&amp;""'"",0)"),2)</f>
        <v>2</v>
      </c>
      <c r="J249" s="5">
        <f>IFERROR(__xludf.DUMMYFUNCTION("""COMPUTED_VALUE"""),2)</f>
        <v>2</v>
      </c>
      <c r="K249" s="5">
        <f>IFERROR(__xludf.DUMMYFUNCTION("""COMPUTED_VALUE"""),2)</f>
        <v>2</v>
      </c>
      <c r="L249" s="5">
        <f>IFERROR(__xludf.DUMMYFUNCTION("""COMPUTED_VALUE"""),2)</f>
        <v>2</v>
      </c>
      <c r="M249" s="5" t="str">
        <f>IFERROR(__xludf.DUMMYFUNCTION("""COMPUTED_VALUE"""),"Working")</f>
        <v>Working</v>
      </c>
      <c r="N249" s="5" t="str">
        <f>IFERROR(__xludf.DUMMYFUNCTION("""COMPUTED_VALUE"""),"CORRECT")</f>
        <v>CORRECT</v>
      </c>
      <c r="O249" s="5" t="str">
        <f>IFERROR(__xludf.DUMMYFUNCTION("""COMPUTED_VALUE"""),"CORRECT")</f>
        <v>CORRECT</v>
      </c>
      <c r="P249" s="5" t="str">
        <f t="shared" si="10"/>
        <v/>
      </c>
      <c r="Q249" s="5" t="str">
        <f t="shared" si="11"/>
        <v/>
      </c>
    </row>
    <row r="250" ht="27.6" spans="1:17">
      <c r="A250" s="4">
        <v>249</v>
      </c>
      <c r="B250" s="4" t="s">
        <v>782</v>
      </c>
      <c r="C250" s="4" t="s">
        <v>17</v>
      </c>
      <c r="D250" s="4" t="s">
        <v>783</v>
      </c>
      <c r="E250" s="5" t="str">
        <f t="shared" si="9"/>
        <v>Mr.SUNDAR S</v>
      </c>
      <c r="F250" s="6" t="s">
        <v>717</v>
      </c>
      <c r="G250" s="5" t="s">
        <v>20</v>
      </c>
      <c r="H250" s="5" t="s">
        <v>784</v>
      </c>
      <c r="I25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Col2='""&amp;B250&amp;""'"",0)"),2)</f>
        <v>2</v>
      </c>
      <c r="J250" s="5">
        <f>IFERROR(__xludf.DUMMYFUNCTION("""COMPUTED_VALUE"""),2)</f>
        <v>2</v>
      </c>
      <c r="K250" s="5">
        <f>IFERROR(__xludf.DUMMYFUNCTION("""COMPUTED_VALUE"""),1)</f>
        <v>1</v>
      </c>
      <c r="L250" s="5">
        <f>IFERROR(__xludf.DUMMYFUNCTION("""COMPUTED_VALUE"""),1)</f>
        <v>1</v>
      </c>
      <c r="M250" s="5" t="str">
        <f>IFERROR(__xludf.DUMMYFUNCTION("""COMPUTED_VALUE"""),"Working")</f>
        <v>Working</v>
      </c>
      <c r="N250" s="5" t="str">
        <f>IFERROR(__xludf.DUMMYFUNCTION("""COMPUTED_VALUE"""),"LOAD PENDING")</f>
        <v>LOAD PENDING</v>
      </c>
      <c r="O250" s="5" t="str">
        <f>IFERROR(__xludf.DUMMYFUNCTION("""COMPUTED_VALUE"""),"LOAD PENDING")</f>
        <v>LOAD PENDING</v>
      </c>
      <c r="P250" s="5" t="str">
        <f t="shared" si="10"/>
        <v/>
      </c>
      <c r="Q250" s="5" t="str">
        <f t="shared" si="11"/>
        <v/>
      </c>
    </row>
    <row r="251" ht="14.4" spans="1:17">
      <c r="A251" s="4">
        <v>250</v>
      </c>
      <c r="B251" s="4" t="s">
        <v>785</v>
      </c>
      <c r="C251" s="4" t="s">
        <v>23</v>
      </c>
      <c r="D251" s="4" t="s">
        <v>786</v>
      </c>
      <c r="E251" s="5" t="str">
        <f t="shared" si="9"/>
        <v>Dr.BALAMURUGAN V T</v>
      </c>
      <c r="F251" s="6" t="s">
        <v>787</v>
      </c>
      <c r="G251" s="5" t="s">
        <v>29</v>
      </c>
      <c r="H251" s="5" t="s">
        <v>788</v>
      </c>
      <c r="I25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Col2='""&amp;B251&amp;""'"",0)"),1)</f>
        <v>1</v>
      </c>
      <c r="J251" s="5">
        <f>IFERROR(__xludf.DUMMYFUNCTION("""COMPUTED_VALUE"""),0)</f>
        <v>0</v>
      </c>
      <c r="K251" s="5">
        <f>IFERROR(__xludf.DUMMYFUNCTION("""COMPUTED_VALUE"""),1)</f>
        <v>1</v>
      </c>
      <c r="L251" s="5">
        <f>IFERROR(__xludf.DUMMYFUNCTION("""COMPUTED_VALUE"""),0)</f>
        <v>0</v>
      </c>
      <c r="M251" s="5" t="str">
        <f>IFERROR(__xludf.DUMMYFUNCTION("""COMPUTED_VALUE"""),"Working")</f>
        <v>Working</v>
      </c>
      <c r="N251" s="5" t="str">
        <f>IFERROR(__xludf.DUMMYFUNCTION("""COMPUTED_VALUE"""),"CORRECT")</f>
        <v>CORRECT</v>
      </c>
      <c r="O251" s="5" t="str">
        <f>IFERROR(__xludf.DUMMYFUNCTION("""COMPUTED_VALUE"""),"CORRECT")</f>
        <v>CORRECT</v>
      </c>
      <c r="P251" s="5" t="str">
        <f t="shared" si="10"/>
        <v/>
      </c>
      <c r="Q251" s="5" t="str">
        <f t="shared" si="11"/>
        <v/>
      </c>
    </row>
    <row r="252" ht="27.6" spans="1:17">
      <c r="A252" s="4">
        <v>251</v>
      </c>
      <c r="B252" s="4" t="s">
        <v>789</v>
      </c>
      <c r="C252" s="4" t="s">
        <v>23</v>
      </c>
      <c r="D252" s="4" t="s">
        <v>790</v>
      </c>
      <c r="E252" s="5" t="str">
        <f t="shared" si="9"/>
        <v>Dr.DHANASEKAR R</v>
      </c>
      <c r="F252" s="6" t="s">
        <v>787</v>
      </c>
      <c r="G252" s="5" t="s">
        <v>20</v>
      </c>
      <c r="H252" s="5" t="s">
        <v>791</v>
      </c>
      <c r="I25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Col2='""&amp;B252&amp;""'"",0)"),1)</f>
        <v>1</v>
      </c>
      <c r="J252" s="5">
        <f>IFERROR(__xludf.DUMMYFUNCTION("""COMPUTED_VALUE"""),0)</f>
        <v>0</v>
      </c>
      <c r="K252" s="5">
        <f>IFERROR(__xludf.DUMMYFUNCTION("""COMPUTED_VALUE"""),1)</f>
        <v>1</v>
      </c>
      <c r="L252" s="5">
        <f>IFERROR(__xludf.DUMMYFUNCTION("""COMPUTED_VALUE"""),0)</f>
        <v>0</v>
      </c>
      <c r="M252" s="5" t="str">
        <f>IFERROR(__xludf.DUMMYFUNCTION("""COMPUTED_VALUE"""),"Working")</f>
        <v>Working</v>
      </c>
      <c r="N252" s="5" t="str">
        <f>IFERROR(__xludf.DUMMYFUNCTION("""COMPUTED_VALUE"""),"CORRECT")</f>
        <v>CORRECT</v>
      </c>
      <c r="O252" s="5" t="str">
        <f>IFERROR(__xludf.DUMMYFUNCTION("""COMPUTED_VALUE"""),"CORRECT")</f>
        <v>CORRECT</v>
      </c>
      <c r="P252" s="5" t="str">
        <f t="shared" si="10"/>
        <v/>
      </c>
      <c r="Q252" s="5" t="str">
        <f t="shared" si="11"/>
        <v/>
      </c>
    </row>
    <row r="253" ht="27.6" spans="1:17">
      <c r="A253" s="4">
        <v>252</v>
      </c>
      <c r="B253" s="4" t="s">
        <v>792</v>
      </c>
      <c r="C253" s="4" t="s">
        <v>23</v>
      </c>
      <c r="D253" s="4" t="s">
        <v>793</v>
      </c>
      <c r="E253" s="5" t="str">
        <f t="shared" si="9"/>
        <v>Dr.HARITHA J</v>
      </c>
      <c r="F253" s="6" t="s">
        <v>787</v>
      </c>
      <c r="G253" s="5" t="s">
        <v>20</v>
      </c>
      <c r="H253" s="5" t="s">
        <v>794</v>
      </c>
      <c r="I25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Col2='""&amp;B253&amp;""'"",0)"),1)</f>
        <v>1</v>
      </c>
      <c r="J253" s="5">
        <f>IFERROR(__xludf.DUMMYFUNCTION("""COMPUTED_VALUE"""),0)</f>
        <v>0</v>
      </c>
      <c r="K253" s="5">
        <f>IFERROR(__xludf.DUMMYFUNCTION("""COMPUTED_VALUE"""),1)</f>
        <v>1</v>
      </c>
      <c r="L253" s="5">
        <f>IFERROR(__xludf.DUMMYFUNCTION("""COMPUTED_VALUE"""),0)</f>
        <v>0</v>
      </c>
      <c r="M253" s="5" t="str">
        <f>IFERROR(__xludf.DUMMYFUNCTION("""COMPUTED_VALUE"""),"Working")</f>
        <v>Working</v>
      </c>
      <c r="N253" s="5" t="str">
        <f>IFERROR(__xludf.DUMMYFUNCTION("""COMPUTED_VALUE"""),"CORRECT")</f>
        <v>CORRECT</v>
      </c>
      <c r="O253" s="5" t="str">
        <f>IFERROR(__xludf.DUMMYFUNCTION("""COMPUTED_VALUE"""),"CORRECT")</f>
        <v>CORRECT</v>
      </c>
      <c r="P253" s="5" t="str">
        <f t="shared" si="10"/>
        <v/>
      </c>
      <c r="Q253" s="5" t="str">
        <f t="shared" si="11"/>
        <v/>
      </c>
    </row>
    <row r="254" ht="27.6" spans="1:17">
      <c r="A254" s="4">
        <v>253</v>
      </c>
      <c r="B254" s="4" t="s">
        <v>795</v>
      </c>
      <c r="C254" s="4" t="s">
        <v>23</v>
      </c>
      <c r="D254" s="4" t="s">
        <v>796</v>
      </c>
      <c r="E254" s="5" t="str">
        <f t="shared" si="9"/>
        <v>Dr.NANDHINI K M</v>
      </c>
      <c r="F254" s="6" t="s">
        <v>787</v>
      </c>
      <c r="G254" s="5" t="s">
        <v>20</v>
      </c>
      <c r="H254" s="5" t="s">
        <v>797</v>
      </c>
      <c r="I25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Col2='""&amp;B254&amp;""'"",0)"),1)</f>
        <v>1</v>
      </c>
      <c r="J254" s="5">
        <f>IFERROR(__xludf.DUMMYFUNCTION("""COMPUTED_VALUE"""),0)</f>
        <v>0</v>
      </c>
      <c r="K254" s="5">
        <f>IFERROR(__xludf.DUMMYFUNCTION("""COMPUTED_VALUE"""),0)</f>
        <v>0</v>
      </c>
      <c r="L254" s="5">
        <f>IFERROR(__xludf.DUMMYFUNCTION("""COMPUTED_VALUE"""),0)</f>
        <v>0</v>
      </c>
      <c r="M254" s="5" t="str">
        <f>IFERROR(__xludf.DUMMYFUNCTION("""COMPUTED_VALUE"""),"Working")</f>
        <v>Working</v>
      </c>
      <c r="N254" s="5" t="str">
        <f>IFERROR(__xludf.DUMMYFUNCTION("""COMPUTED_VALUE"""),"LOAD PENDING")</f>
        <v>LOAD PENDING</v>
      </c>
      <c r="O254" s="5" t="str">
        <f>IFERROR(__xludf.DUMMYFUNCTION("""COMPUTED_VALUE"""),"CORRECT")</f>
        <v>CORRECT</v>
      </c>
      <c r="P254" s="5" t="str">
        <f t="shared" si="10"/>
        <v/>
      </c>
      <c r="Q254" s="5" t="str">
        <f t="shared" si="11"/>
        <v/>
      </c>
    </row>
    <row r="255" ht="27.6" spans="1:17">
      <c r="A255" s="4">
        <v>254</v>
      </c>
      <c r="B255" s="4" t="s">
        <v>798</v>
      </c>
      <c r="C255" s="4" t="s">
        <v>23</v>
      </c>
      <c r="D255" s="4" t="s">
        <v>799</v>
      </c>
      <c r="E255" s="5" t="str">
        <f t="shared" si="9"/>
        <v>Dr.SAKTHIYA RAM S</v>
      </c>
      <c r="F255" s="6" t="s">
        <v>787</v>
      </c>
      <c r="G255" s="5" t="s">
        <v>20</v>
      </c>
      <c r="H255" s="5" t="s">
        <v>800</v>
      </c>
      <c r="I25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Col2='""&amp;B255&amp;""'"",0)"),0)</f>
        <v>0</v>
      </c>
      <c r="J255" s="5">
        <f>IFERROR(__xludf.DUMMYFUNCTION("""COMPUTED_VALUE"""),0)</f>
        <v>0</v>
      </c>
      <c r="K255" s="5">
        <f>IFERROR(__xludf.DUMMYFUNCTION("""COMPUTED_VALUE"""),0)</f>
        <v>0</v>
      </c>
      <c r="L255" s="5">
        <f>IFERROR(__xludf.DUMMYFUNCTION("""COMPUTED_VALUE"""),0)</f>
        <v>0</v>
      </c>
      <c r="M255" s="5" t="str">
        <f>IFERROR(__xludf.DUMMYFUNCTION("""COMPUTED_VALUE"""),"Working")</f>
        <v>Working</v>
      </c>
      <c r="N255" s="5" t="str">
        <f>IFERROR(__xludf.DUMMYFUNCTION("""COMPUTED_VALUE"""),"CORRECT")</f>
        <v>CORRECT</v>
      </c>
      <c r="O255" s="5" t="str">
        <f>IFERROR(__xludf.DUMMYFUNCTION("""COMPUTED_VALUE"""),"CORRECT")</f>
        <v>CORRECT</v>
      </c>
      <c r="P255" s="5" t="str">
        <f t="shared" si="10"/>
        <v/>
      </c>
      <c r="Q255" s="5" t="str">
        <f t="shared" si="11"/>
        <v/>
      </c>
    </row>
    <row r="256" ht="14.4" spans="1:17">
      <c r="A256" s="4">
        <v>255</v>
      </c>
      <c r="B256" s="4" t="s">
        <v>801</v>
      </c>
      <c r="C256" s="4" t="s">
        <v>23</v>
      </c>
      <c r="D256" s="4" t="s">
        <v>802</v>
      </c>
      <c r="E256" s="5" t="str">
        <f t="shared" si="9"/>
        <v>Dr.KALAIYARASI M</v>
      </c>
      <c r="F256" s="6" t="s">
        <v>787</v>
      </c>
      <c r="G256" s="5" t="s">
        <v>25</v>
      </c>
      <c r="H256" s="5" t="s">
        <v>803</v>
      </c>
      <c r="I25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Col2='""&amp;B256&amp;""'"",0)"),0)</f>
        <v>0</v>
      </c>
      <c r="J256" s="5">
        <f>IFERROR(__xludf.DUMMYFUNCTION("""COMPUTED_VALUE"""),0)</f>
        <v>0</v>
      </c>
      <c r="K256" s="5">
        <f>IFERROR(__xludf.DUMMYFUNCTION("""COMPUTED_VALUE"""),0)</f>
        <v>0</v>
      </c>
      <c r="L256" s="5">
        <f>IFERROR(__xludf.DUMMYFUNCTION("""COMPUTED_VALUE"""),0)</f>
        <v>0</v>
      </c>
      <c r="M256" s="5" t="str">
        <f>IFERROR(__xludf.DUMMYFUNCTION("""COMPUTED_VALUE"""),"Working")</f>
        <v>Working</v>
      </c>
      <c r="N256" s="5" t="str">
        <f>IFERROR(__xludf.DUMMYFUNCTION("""COMPUTED_VALUE"""),"CORRECT")</f>
        <v>CORRECT</v>
      </c>
      <c r="O256" s="5" t="str">
        <f>IFERROR(__xludf.DUMMYFUNCTION("""COMPUTED_VALUE"""),"CORRECT")</f>
        <v>CORRECT</v>
      </c>
      <c r="P256" s="5" t="str">
        <f t="shared" si="10"/>
        <v/>
      </c>
      <c r="Q256" s="5" t="str">
        <f t="shared" si="11"/>
        <v/>
      </c>
    </row>
    <row r="257" ht="27.6" spans="1:17">
      <c r="A257" s="4">
        <v>256</v>
      </c>
      <c r="B257" s="4" t="s">
        <v>804</v>
      </c>
      <c r="C257" s="4" t="s">
        <v>17</v>
      </c>
      <c r="D257" s="4" t="s">
        <v>805</v>
      </c>
      <c r="E257" s="5" t="str">
        <f t="shared" si="9"/>
        <v>Mr.PRAVIN SAVARIDASS M</v>
      </c>
      <c r="F257" s="6" t="s">
        <v>787</v>
      </c>
      <c r="G257" s="5" t="s">
        <v>20</v>
      </c>
      <c r="H257" s="5" t="s">
        <v>806</v>
      </c>
      <c r="I25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Col2='""&amp;B257&amp;""'"",0)"),2)</f>
        <v>2</v>
      </c>
      <c r="J257" s="5">
        <f>IFERROR(__xludf.DUMMYFUNCTION("""COMPUTED_VALUE"""),2)</f>
        <v>2</v>
      </c>
      <c r="K257" s="5">
        <f>IFERROR(__xludf.DUMMYFUNCTION("""COMPUTED_VALUE"""),2)</f>
        <v>2</v>
      </c>
      <c r="L257" s="5">
        <f>IFERROR(__xludf.DUMMYFUNCTION("""COMPUTED_VALUE"""),1)</f>
        <v>1</v>
      </c>
      <c r="M257" s="5" t="str">
        <f>IFERROR(__xludf.DUMMYFUNCTION("""COMPUTED_VALUE"""),"Working")</f>
        <v>Working</v>
      </c>
      <c r="N257" s="5" t="str">
        <f>IFERROR(__xludf.DUMMYFUNCTION("""COMPUTED_VALUE"""),"CORRECT")</f>
        <v>CORRECT</v>
      </c>
      <c r="O257" s="5" t="str">
        <f>IFERROR(__xludf.DUMMYFUNCTION("""COMPUTED_VALUE"""),"LOAD PENDING")</f>
        <v>LOAD PENDING</v>
      </c>
      <c r="P257" s="5" t="str">
        <f t="shared" si="10"/>
        <v/>
      </c>
      <c r="Q257" s="5" t="str">
        <f t="shared" si="11"/>
        <v/>
      </c>
    </row>
    <row r="258" ht="27.6" spans="1:17">
      <c r="A258" s="4">
        <v>257</v>
      </c>
      <c r="B258" s="4" t="s">
        <v>807</v>
      </c>
      <c r="C258" s="4" t="s">
        <v>17</v>
      </c>
      <c r="D258" s="4" t="s">
        <v>808</v>
      </c>
      <c r="E258" s="5" t="str">
        <f t="shared" ref="E258:E321" si="12">CONCATENATE(C258,".",D258)</f>
        <v>Mr.PRATHAP M R</v>
      </c>
      <c r="F258" s="6" t="s">
        <v>787</v>
      </c>
      <c r="G258" s="5" t="s">
        <v>37</v>
      </c>
      <c r="H258" s="5" t="s">
        <v>809</v>
      </c>
      <c r="I25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Col2='""&amp;B258&amp;""'"",0)"),2)</f>
        <v>2</v>
      </c>
      <c r="J258" s="5">
        <f>IFERROR(__xludf.DUMMYFUNCTION("""COMPUTED_VALUE"""),2)</f>
        <v>2</v>
      </c>
      <c r="K258" s="5">
        <f>IFERROR(__xludf.DUMMYFUNCTION("""COMPUTED_VALUE"""),2)</f>
        <v>2</v>
      </c>
      <c r="L258" s="5">
        <f>IFERROR(__xludf.DUMMYFUNCTION("""COMPUTED_VALUE"""),1)</f>
        <v>1</v>
      </c>
      <c r="M258" s="5" t="str">
        <f>IFERROR(__xludf.DUMMYFUNCTION("""COMPUTED_VALUE"""),"Working")</f>
        <v>Working</v>
      </c>
      <c r="N258" s="5" t="str">
        <f>IFERROR(__xludf.DUMMYFUNCTION("""COMPUTED_VALUE"""),"CORRECT")</f>
        <v>CORRECT</v>
      </c>
      <c r="O258" s="5" t="str">
        <f>IFERROR(__xludf.DUMMYFUNCTION("""COMPUTED_VALUE"""),"LOAD PENDING")</f>
        <v>LOAD PENDING</v>
      </c>
      <c r="P258" s="5" t="str">
        <f t="shared" ref="P258:P321" si="13">IF(K258&gt;I258,"Extra Theory Load Alloted","")</f>
        <v/>
      </c>
      <c r="Q258" s="5" t="str">
        <f t="shared" ref="Q258:Q321" si="14">IF(L258&gt;J258,"Extra Lab Load Alloted","")</f>
        <v/>
      </c>
    </row>
    <row r="259" ht="14.4" spans="1:17">
      <c r="A259" s="4">
        <v>258</v>
      </c>
      <c r="B259" s="4" t="s">
        <v>810</v>
      </c>
      <c r="C259" s="4" t="s">
        <v>17</v>
      </c>
      <c r="D259" s="4" t="s">
        <v>811</v>
      </c>
      <c r="E259" s="5" t="str">
        <f t="shared" si="12"/>
        <v>Mr.KUMARESAN K</v>
      </c>
      <c r="F259" s="6" t="s">
        <v>787</v>
      </c>
      <c r="G259" s="5" t="s">
        <v>47</v>
      </c>
      <c r="H259" s="5" t="s">
        <v>812</v>
      </c>
      <c r="I25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Col2='""&amp;B259&amp;""'"",0)"),1)</f>
        <v>1</v>
      </c>
      <c r="J259" s="5">
        <f>IFERROR(__xludf.DUMMYFUNCTION("""COMPUTED_VALUE"""),0)</f>
        <v>0</v>
      </c>
      <c r="K259" s="5">
        <f>IFERROR(__xludf.DUMMYFUNCTION("""COMPUTED_VALUE"""),1)</f>
        <v>1</v>
      </c>
      <c r="L259" s="5">
        <f>IFERROR(__xludf.DUMMYFUNCTION("""COMPUTED_VALUE"""),0)</f>
        <v>0</v>
      </c>
      <c r="M259" s="5" t="str">
        <f>IFERROR(__xludf.DUMMYFUNCTION("""COMPUTED_VALUE"""),"Working")</f>
        <v>Working</v>
      </c>
      <c r="N259" s="5" t="str">
        <f>IFERROR(__xludf.DUMMYFUNCTION("""COMPUTED_VALUE"""),"CORRECT")</f>
        <v>CORRECT</v>
      </c>
      <c r="O259" s="5" t="str">
        <f>IFERROR(__xludf.DUMMYFUNCTION("""COMPUTED_VALUE"""),"CORRECT")</f>
        <v>CORRECT</v>
      </c>
      <c r="P259" s="5" t="str">
        <f t="shared" si="13"/>
        <v/>
      </c>
      <c r="Q259" s="5" t="str">
        <f t="shared" si="14"/>
        <v/>
      </c>
    </row>
    <row r="260" ht="14.4" spans="1:17">
      <c r="A260" s="4">
        <v>259</v>
      </c>
      <c r="B260" s="4" t="s">
        <v>813</v>
      </c>
      <c r="C260" s="4" t="s">
        <v>23</v>
      </c>
      <c r="D260" s="4" t="s">
        <v>814</v>
      </c>
      <c r="E260" s="5" t="str">
        <f t="shared" si="12"/>
        <v>Dr.GANESH BABU C</v>
      </c>
      <c r="F260" s="6" t="s">
        <v>787</v>
      </c>
      <c r="G260" s="5" t="s">
        <v>29</v>
      </c>
      <c r="H260" s="5" t="s">
        <v>815</v>
      </c>
      <c r="I26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Col2='""&amp;B260&amp;""'"",0)"),1)</f>
        <v>1</v>
      </c>
      <c r="J260" s="5">
        <f>IFERROR(__xludf.DUMMYFUNCTION("""COMPUTED_VALUE"""),1)</f>
        <v>1</v>
      </c>
      <c r="K260" s="5">
        <f>IFERROR(__xludf.DUMMYFUNCTION("""COMPUTED_VALUE"""),2)</f>
        <v>2</v>
      </c>
      <c r="L260" s="5">
        <f>IFERROR(__xludf.DUMMYFUNCTION("""COMPUTED_VALUE"""),0)</f>
        <v>0</v>
      </c>
      <c r="M260" s="5" t="str">
        <f>IFERROR(__xludf.DUMMYFUNCTION("""COMPUTED_VALUE"""),"Working")</f>
        <v>Working</v>
      </c>
      <c r="N260" s="5" t="str">
        <f>IFERROR(__xludf.DUMMYFUNCTION("""COMPUTED_VALUE"""),"CORRECT")</f>
        <v>CORRECT</v>
      </c>
      <c r="O260" s="5" t="str">
        <f>IFERROR(__xludf.DUMMYFUNCTION("""COMPUTED_VALUE"""),"LOAD PENDING")</f>
        <v>LOAD PENDING</v>
      </c>
      <c r="P260" s="5" t="str">
        <f t="shared" si="13"/>
        <v>Extra Theory Load Alloted</v>
      </c>
      <c r="Q260" s="5" t="str">
        <f t="shared" si="14"/>
        <v/>
      </c>
    </row>
    <row r="261" ht="14.4" spans="1:17">
      <c r="A261" s="4">
        <v>260</v>
      </c>
      <c r="B261" s="4" t="s">
        <v>816</v>
      </c>
      <c r="C261" s="4" t="s">
        <v>23</v>
      </c>
      <c r="D261" s="4" t="s">
        <v>817</v>
      </c>
      <c r="E261" s="5" t="str">
        <f t="shared" si="12"/>
        <v>Dr.VAIRAVEL K S</v>
      </c>
      <c r="F261" s="6" t="s">
        <v>787</v>
      </c>
      <c r="G261" s="5" t="s">
        <v>25</v>
      </c>
      <c r="H261" s="5" t="s">
        <v>818</v>
      </c>
      <c r="I26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Col2='""&amp;B261&amp;""'"",0)"),1)</f>
        <v>1</v>
      </c>
      <c r="J261" s="5">
        <f>IFERROR(__xludf.DUMMYFUNCTION("""COMPUTED_VALUE"""),0)</f>
        <v>0</v>
      </c>
      <c r="K261" s="5">
        <f>IFERROR(__xludf.DUMMYFUNCTION("""COMPUTED_VALUE"""),1)</f>
        <v>1</v>
      </c>
      <c r="L261" s="5">
        <f>IFERROR(__xludf.DUMMYFUNCTION("""COMPUTED_VALUE"""),0)</f>
        <v>0</v>
      </c>
      <c r="M261" s="5" t="str">
        <f>IFERROR(__xludf.DUMMYFUNCTION("""COMPUTED_VALUE"""),"Working")</f>
        <v>Working</v>
      </c>
      <c r="N261" s="5" t="str">
        <f>IFERROR(__xludf.DUMMYFUNCTION("""COMPUTED_VALUE"""),"CORRECT")</f>
        <v>CORRECT</v>
      </c>
      <c r="O261" s="5" t="str">
        <f>IFERROR(__xludf.DUMMYFUNCTION("""COMPUTED_VALUE"""),"CORRECT")</f>
        <v>CORRECT</v>
      </c>
      <c r="P261" s="5" t="str">
        <f t="shared" si="13"/>
        <v/>
      </c>
      <c r="Q261" s="5" t="str">
        <f t="shared" si="14"/>
        <v/>
      </c>
    </row>
    <row r="262" ht="14.4" spans="1:17">
      <c r="A262" s="4">
        <v>261</v>
      </c>
      <c r="B262" s="4" t="s">
        <v>819</v>
      </c>
      <c r="C262" s="4" t="s">
        <v>23</v>
      </c>
      <c r="D262" s="4" t="s">
        <v>820</v>
      </c>
      <c r="E262" s="5" t="str">
        <f t="shared" si="12"/>
        <v>Dr.SUDHAHAR S</v>
      </c>
      <c r="F262" s="6" t="s">
        <v>787</v>
      </c>
      <c r="G262" s="5" t="s">
        <v>25</v>
      </c>
      <c r="H262" s="5" t="s">
        <v>821</v>
      </c>
      <c r="I26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Col2='""&amp;B262&amp;""'"",0)"),2)</f>
        <v>2</v>
      </c>
      <c r="J262" s="5">
        <f>IFERROR(__xludf.DUMMYFUNCTION("""COMPUTED_VALUE"""),1)</f>
        <v>1</v>
      </c>
      <c r="K262" s="5">
        <f>IFERROR(__xludf.DUMMYFUNCTION("""COMPUTED_VALUE"""),2)</f>
        <v>2</v>
      </c>
      <c r="L262" s="5">
        <f>IFERROR(__xludf.DUMMYFUNCTION("""COMPUTED_VALUE"""),1)</f>
        <v>1</v>
      </c>
      <c r="M262" s="5" t="str">
        <f>IFERROR(__xludf.DUMMYFUNCTION("""COMPUTED_VALUE"""),"Working")</f>
        <v>Working</v>
      </c>
      <c r="N262" s="5" t="str">
        <f>IFERROR(__xludf.DUMMYFUNCTION("""COMPUTED_VALUE"""),"CORRECT")</f>
        <v>CORRECT</v>
      </c>
      <c r="O262" s="5" t="str">
        <f>IFERROR(__xludf.DUMMYFUNCTION("""COMPUTED_VALUE"""),"CORRECT")</f>
        <v>CORRECT</v>
      </c>
      <c r="P262" s="5" t="str">
        <f t="shared" si="13"/>
        <v/>
      </c>
      <c r="Q262" s="5" t="str">
        <f t="shared" si="14"/>
        <v/>
      </c>
    </row>
    <row r="263" ht="14.4" spans="1:17">
      <c r="A263" s="4">
        <v>262</v>
      </c>
      <c r="B263" s="4" t="s">
        <v>822</v>
      </c>
      <c r="C263" s="4" t="s">
        <v>23</v>
      </c>
      <c r="D263" s="4" t="s">
        <v>823</v>
      </c>
      <c r="E263" s="5" t="str">
        <f t="shared" si="12"/>
        <v>Dr.ARUN JAYAKAR S</v>
      </c>
      <c r="F263" s="6" t="s">
        <v>787</v>
      </c>
      <c r="G263" s="5" t="s">
        <v>25</v>
      </c>
      <c r="H263" s="5" t="s">
        <v>824</v>
      </c>
      <c r="I26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Col2='""&amp;B263&amp;""'"",0)"),1)</f>
        <v>1</v>
      </c>
      <c r="J263" s="5">
        <f>IFERROR(__xludf.DUMMYFUNCTION("""COMPUTED_VALUE"""),0)</f>
        <v>0</v>
      </c>
      <c r="K263" s="5">
        <f>IFERROR(__xludf.DUMMYFUNCTION("""COMPUTED_VALUE"""),1)</f>
        <v>1</v>
      </c>
      <c r="L263" s="5">
        <f>IFERROR(__xludf.DUMMYFUNCTION("""COMPUTED_VALUE"""),0)</f>
        <v>0</v>
      </c>
      <c r="M263" s="5" t="str">
        <f>IFERROR(__xludf.DUMMYFUNCTION("""COMPUTED_VALUE"""),"Working")</f>
        <v>Working</v>
      </c>
      <c r="N263" s="5" t="str">
        <f>IFERROR(__xludf.DUMMYFUNCTION("""COMPUTED_VALUE"""),"CORRECT")</f>
        <v>CORRECT</v>
      </c>
      <c r="O263" s="5" t="str">
        <f>IFERROR(__xludf.DUMMYFUNCTION("""COMPUTED_VALUE"""),"CORRECT")</f>
        <v>CORRECT</v>
      </c>
      <c r="P263" s="5" t="str">
        <f t="shared" si="13"/>
        <v/>
      </c>
      <c r="Q263" s="5" t="str">
        <f t="shared" si="14"/>
        <v/>
      </c>
    </row>
    <row r="264" ht="27.6" spans="1:17">
      <c r="A264" s="4">
        <v>263</v>
      </c>
      <c r="B264" s="4" t="s">
        <v>825</v>
      </c>
      <c r="C264" s="4" t="s">
        <v>17</v>
      </c>
      <c r="D264" s="4" t="s">
        <v>826</v>
      </c>
      <c r="E264" s="5" t="str">
        <f t="shared" si="12"/>
        <v>Mr.GOWRISHANKAR L</v>
      </c>
      <c r="F264" s="6" t="s">
        <v>827</v>
      </c>
      <c r="G264" s="5" t="s">
        <v>20</v>
      </c>
      <c r="H264" s="5" t="s">
        <v>828</v>
      </c>
      <c r="I26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Col2='""&amp;B264&amp;""'"",0)"),1)</f>
        <v>1</v>
      </c>
      <c r="J264" s="5">
        <f>IFERROR(__xludf.DUMMYFUNCTION("""COMPUTED_VALUE"""),0)</f>
        <v>0</v>
      </c>
      <c r="K264" s="5">
        <f>IFERROR(__xludf.DUMMYFUNCTION("""COMPUTED_VALUE"""),1)</f>
        <v>1</v>
      </c>
      <c r="L264" s="5">
        <f>IFERROR(__xludf.DUMMYFUNCTION("""COMPUTED_VALUE"""),0)</f>
        <v>0</v>
      </c>
      <c r="M264" s="5" t="str">
        <f>IFERROR(__xludf.DUMMYFUNCTION("""COMPUTED_VALUE"""),"Working")</f>
        <v>Working</v>
      </c>
      <c r="N264" s="5" t="str">
        <f>IFERROR(__xludf.DUMMYFUNCTION("""COMPUTED_VALUE"""),"CORRECT")</f>
        <v>CORRECT</v>
      </c>
      <c r="O264" s="5" t="str">
        <f>IFERROR(__xludf.DUMMYFUNCTION("""COMPUTED_VALUE"""),"CORRECT")</f>
        <v>CORRECT</v>
      </c>
      <c r="P264" s="5" t="str">
        <f t="shared" si="13"/>
        <v/>
      </c>
      <c r="Q264" s="5" t="str">
        <f t="shared" si="14"/>
        <v/>
      </c>
    </row>
    <row r="265" ht="14.4" spans="1:17">
      <c r="A265" s="4">
        <v>264</v>
      </c>
      <c r="B265" s="4" t="s">
        <v>829</v>
      </c>
      <c r="C265" s="4" t="s">
        <v>53</v>
      </c>
      <c r="D265" s="4" t="s">
        <v>830</v>
      </c>
      <c r="E265" s="5" t="str">
        <f t="shared" si="12"/>
        <v>Ms.PIDATHALA SAHITYA</v>
      </c>
      <c r="F265" s="6" t="s">
        <v>827</v>
      </c>
      <c r="G265" s="5" t="s">
        <v>47</v>
      </c>
      <c r="H265" s="5" t="s">
        <v>831</v>
      </c>
      <c r="I26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Col2='""&amp;B265&amp;""'"",0)"),2)</f>
        <v>2</v>
      </c>
      <c r="J265" s="5">
        <f>IFERROR(__xludf.DUMMYFUNCTION("""COMPUTED_VALUE"""),2)</f>
        <v>2</v>
      </c>
      <c r="K265" s="5">
        <f>IFERROR(__xludf.DUMMYFUNCTION("""COMPUTED_VALUE"""),3)</f>
        <v>3</v>
      </c>
      <c r="L265" s="5">
        <f>IFERROR(__xludf.DUMMYFUNCTION("""COMPUTED_VALUE"""),0)</f>
        <v>0</v>
      </c>
      <c r="M265" s="5" t="str">
        <f>IFERROR(__xludf.DUMMYFUNCTION("""COMPUTED_VALUE"""),"Working")</f>
        <v>Working</v>
      </c>
      <c r="N265" s="5" t="str">
        <f>IFERROR(__xludf.DUMMYFUNCTION("""COMPUTED_VALUE"""),"CORRECT")</f>
        <v>CORRECT</v>
      </c>
      <c r="O265" s="5" t="str">
        <f>IFERROR(__xludf.DUMMYFUNCTION("""COMPUTED_VALUE"""),"LOAD PENDING")</f>
        <v>LOAD PENDING</v>
      </c>
      <c r="P265" s="5" t="str">
        <f t="shared" si="13"/>
        <v>Extra Theory Load Alloted</v>
      </c>
      <c r="Q265" s="5" t="str">
        <f t="shared" si="14"/>
        <v/>
      </c>
    </row>
    <row r="266" ht="14.4" spans="1:17">
      <c r="A266" s="4">
        <v>265</v>
      </c>
      <c r="B266" s="4" t="s">
        <v>832</v>
      </c>
      <c r="C266" s="4" t="s">
        <v>53</v>
      </c>
      <c r="D266" s="4" t="s">
        <v>833</v>
      </c>
      <c r="E266" s="5" t="str">
        <f t="shared" si="12"/>
        <v>Ms.NITHIYA PRIYA B T</v>
      </c>
      <c r="F266" s="6" t="s">
        <v>827</v>
      </c>
      <c r="G266" s="5" t="s">
        <v>47</v>
      </c>
      <c r="H266" s="5" t="s">
        <v>834</v>
      </c>
      <c r="I26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Col2='""&amp;B266&amp;""'"",0)"),2)</f>
        <v>2</v>
      </c>
      <c r="J266" s="5">
        <f>IFERROR(__xludf.DUMMYFUNCTION("""COMPUTED_VALUE"""),2)</f>
        <v>2</v>
      </c>
      <c r="K266" s="5">
        <f>IFERROR(__xludf.DUMMYFUNCTION("""COMPUTED_VALUE"""),2)</f>
        <v>2</v>
      </c>
      <c r="L266" s="5">
        <f>IFERROR(__xludf.DUMMYFUNCTION("""COMPUTED_VALUE"""),1)</f>
        <v>1</v>
      </c>
      <c r="M266" s="5" t="str">
        <f>IFERROR(__xludf.DUMMYFUNCTION("""COMPUTED_VALUE"""),"Working")</f>
        <v>Working</v>
      </c>
      <c r="N266" s="5" t="str">
        <f>IFERROR(__xludf.DUMMYFUNCTION("""COMPUTED_VALUE"""),"CORRECT")</f>
        <v>CORRECT</v>
      </c>
      <c r="O266" s="5" t="str">
        <f>IFERROR(__xludf.DUMMYFUNCTION("""COMPUTED_VALUE"""),"LOAD PENDING")</f>
        <v>LOAD PENDING</v>
      </c>
      <c r="P266" s="5" t="str">
        <f t="shared" si="13"/>
        <v/>
      </c>
      <c r="Q266" s="5" t="str">
        <f t="shared" si="14"/>
        <v/>
      </c>
    </row>
    <row r="267" ht="27.6" spans="1:17">
      <c r="A267" s="4">
        <v>266</v>
      </c>
      <c r="B267" s="4" t="s">
        <v>835</v>
      </c>
      <c r="C267" s="4" t="s">
        <v>23</v>
      </c>
      <c r="D267" s="4" t="s">
        <v>836</v>
      </c>
      <c r="E267" s="5" t="str">
        <f t="shared" si="12"/>
        <v>Dr.ARUNASREE TNA</v>
      </c>
      <c r="F267" s="6" t="s">
        <v>827</v>
      </c>
      <c r="G267" s="5" t="s">
        <v>37</v>
      </c>
      <c r="H267" s="5" t="s">
        <v>837</v>
      </c>
      <c r="I26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Col2='""&amp;B267&amp;""'"",0)"),1)</f>
        <v>1</v>
      </c>
      <c r="J267" s="5">
        <f>IFERROR(__xludf.DUMMYFUNCTION("""COMPUTED_VALUE"""),0)</f>
        <v>0</v>
      </c>
      <c r="K267" s="5">
        <f>IFERROR(__xludf.DUMMYFUNCTION("""COMPUTED_VALUE"""),1)</f>
        <v>1</v>
      </c>
      <c r="L267" s="5">
        <f>IFERROR(__xludf.DUMMYFUNCTION("""COMPUTED_VALUE"""),0)</f>
        <v>0</v>
      </c>
      <c r="M267" s="5" t="str">
        <f>IFERROR(__xludf.DUMMYFUNCTION("""COMPUTED_VALUE"""),"Working")</f>
        <v>Working</v>
      </c>
      <c r="N267" s="5" t="str">
        <f>IFERROR(__xludf.DUMMYFUNCTION("""COMPUTED_VALUE"""),"CORRECT")</f>
        <v>CORRECT</v>
      </c>
      <c r="O267" s="5" t="str">
        <f>IFERROR(__xludf.DUMMYFUNCTION("""COMPUTED_VALUE"""),"CORRECT")</f>
        <v>CORRECT</v>
      </c>
      <c r="P267" s="5" t="str">
        <f t="shared" si="13"/>
        <v/>
      </c>
      <c r="Q267" s="5" t="str">
        <f t="shared" si="14"/>
        <v/>
      </c>
    </row>
    <row r="268" ht="14.4" spans="1:17">
      <c r="A268" s="4">
        <v>267</v>
      </c>
      <c r="B268" s="4" t="s">
        <v>838</v>
      </c>
      <c r="C268" s="4" t="s">
        <v>53</v>
      </c>
      <c r="D268" s="4" t="s">
        <v>839</v>
      </c>
      <c r="E268" s="5" t="str">
        <f t="shared" si="12"/>
        <v>Ms.SIVARAHINI K</v>
      </c>
      <c r="F268" s="6" t="s">
        <v>827</v>
      </c>
      <c r="G268" s="5" t="s">
        <v>47</v>
      </c>
      <c r="H268" s="5" t="s">
        <v>840</v>
      </c>
      <c r="I26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Col2='""&amp;B268&amp;""'"",0)"),2)</f>
        <v>2</v>
      </c>
      <c r="J268" s="5">
        <f>IFERROR(__xludf.DUMMYFUNCTION("""COMPUTED_VALUE"""),2)</f>
        <v>2</v>
      </c>
      <c r="K268" s="5">
        <f>IFERROR(__xludf.DUMMYFUNCTION("""COMPUTED_VALUE"""),3)</f>
        <v>3</v>
      </c>
      <c r="L268" s="5">
        <f>IFERROR(__xludf.DUMMYFUNCTION("""COMPUTED_VALUE"""),0)</f>
        <v>0</v>
      </c>
      <c r="M268" s="5" t="str">
        <f>IFERROR(__xludf.DUMMYFUNCTION("""COMPUTED_VALUE"""),"Working")</f>
        <v>Working</v>
      </c>
      <c r="N268" s="5" t="str">
        <f>IFERROR(__xludf.DUMMYFUNCTION("""COMPUTED_VALUE"""),"CORRECT")</f>
        <v>CORRECT</v>
      </c>
      <c r="O268" s="5" t="str">
        <f>IFERROR(__xludf.DUMMYFUNCTION("""COMPUTED_VALUE"""),"LOAD PENDING")</f>
        <v>LOAD PENDING</v>
      </c>
      <c r="P268" s="5" t="str">
        <f t="shared" si="13"/>
        <v>Extra Theory Load Alloted</v>
      </c>
      <c r="Q268" s="5" t="str">
        <f t="shared" si="14"/>
        <v/>
      </c>
    </row>
    <row r="269" ht="27.6" spans="1:17">
      <c r="A269" s="4">
        <v>268</v>
      </c>
      <c r="B269" s="4" t="s">
        <v>841</v>
      </c>
      <c r="C269" s="4" t="s">
        <v>17</v>
      </c>
      <c r="D269" s="4" t="s">
        <v>842</v>
      </c>
      <c r="E269" s="5" t="str">
        <f t="shared" si="12"/>
        <v>Mr.EDAMAKANTI RAMANJI REDDY</v>
      </c>
      <c r="F269" s="6" t="s">
        <v>827</v>
      </c>
      <c r="G269" s="5" t="s">
        <v>47</v>
      </c>
      <c r="H269" s="5" t="s">
        <v>843</v>
      </c>
      <c r="I26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Col2='""&amp;B269&amp;""'"",0)"),1)</f>
        <v>1</v>
      </c>
      <c r="J269" s="5">
        <f>IFERROR(__xludf.DUMMYFUNCTION("""COMPUTED_VALUE"""),1)</f>
        <v>1</v>
      </c>
      <c r="K269" s="5">
        <f>IFERROR(__xludf.DUMMYFUNCTION("""COMPUTED_VALUE"""),1)</f>
        <v>1</v>
      </c>
      <c r="L269" s="5">
        <f>IFERROR(__xludf.DUMMYFUNCTION("""COMPUTED_VALUE"""),1)</f>
        <v>1</v>
      </c>
      <c r="M269" s="5" t="str">
        <f>IFERROR(__xludf.DUMMYFUNCTION("""COMPUTED_VALUE"""),"Working")</f>
        <v>Working</v>
      </c>
      <c r="N269" s="5" t="str">
        <f>IFERROR(__xludf.DUMMYFUNCTION("""COMPUTED_VALUE"""),"CORRECT")</f>
        <v>CORRECT</v>
      </c>
      <c r="O269" s="5" t="str">
        <f>IFERROR(__xludf.DUMMYFUNCTION("""COMPUTED_VALUE"""),"CORRECT")</f>
        <v>CORRECT</v>
      </c>
      <c r="P269" s="5" t="str">
        <f t="shared" si="13"/>
        <v/>
      </c>
      <c r="Q269" s="5" t="str">
        <f t="shared" si="14"/>
        <v/>
      </c>
    </row>
    <row r="270" ht="27.6" spans="1:17">
      <c r="A270" s="4">
        <v>269</v>
      </c>
      <c r="B270" s="4" t="s">
        <v>844</v>
      </c>
      <c r="C270" s="4" t="s">
        <v>32</v>
      </c>
      <c r="D270" s="4" t="s">
        <v>845</v>
      </c>
      <c r="E270" s="5" t="str">
        <f t="shared" si="12"/>
        <v>Mrs.SARANYA D V</v>
      </c>
      <c r="F270" s="6" t="s">
        <v>846</v>
      </c>
      <c r="G270" s="5" t="s">
        <v>20</v>
      </c>
      <c r="H270" s="5" t="s">
        <v>847</v>
      </c>
      <c r="I27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Col2='""&amp;B270&amp;""'"",0)"),1)</f>
        <v>1</v>
      </c>
      <c r="J270" s="5">
        <f>IFERROR(__xludf.DUMMYFUNCTION("""COMPUTED_VALUE"""),0)</f>
        <v>0</v>
      </c>
      <c r="K270" s="5">
        <f>IFERROR(__xludf.DUMMYFUNCTION("""COMPUTED_VALUE"""),1)</f>
        <v>1</v>
      </c>
      <c r="L270" s="5">
        <f>IFERROR(__xludf.DUMMYFUNCTION("""COMPUTED_VALUE"""),0)</f>
        <v>0</v>
      </c>
      <c r="M270" s="5" t="str">
        <f>IFERROR(__xludf.DUMMYFUNCTION("""COMPUTED_VALUE"""),"Working")</f>
        <v>Working</v>
      </c>
      <c r="N270" s="5" t="str">
        <f>IFERROR(__xludf.DUMMYFUNCTION("""COMPUTED_VALUE"""),"CORRECT")</f>
        <v>CORRECT</v>
      </c>
      <c r="O270" s="5" t="str">
        <f>IFERROR(__xludf.DUMMYFUNCTION("""COMPUTED_VALUE"""),"CORRECT")</f>
        <v>CORRECT</v>
      </c>
      <c r="P270" s="5" t="str">
        <f t="shared" si="13"/>
        <v/>
      </c>
      <c r="Q270" s="5" t="str">
        <f t="shared" si="14"/>
        <v/>
      </c>
    </row>
    <row r="271" ht="27.6" spans="1:17">
      <c r="A271" s="4">
        <v>270</v>
      </c>
      <c r="B271" s="4" t="s">
        <v>848</v>
      </c>
      <c r="C271" s="4" t="s">
        <v>32</v>
      </c>
      <c r="D271" s="4" t="s">
        <v>849</v>
      </c>
      <c r="E271" s="5" t="str">
        <f t="shared" si="12"/>
        <v>Mrs.MEKALA N</v>
      </c>
      <c r="F271" s="6" t="s">
        <v>846</v>
      </c>
      <c r="G271" s="5" t="s">
        <v>37</v>
      </c>
      <c r="H271" s="5" t="s">
        <v>850</v>
      </c>
      <c r="I27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Col2='""&amp;B271&amp;""'"",0)"),2)</f>
        <v>2</v>
      </c>
      <c r="J271" s="5">
        <f>IFERROR(__xludf.DUMMYFUNCTION("""COMPUTED_VALUE"""),2)</f>
        <v>2</v>
      </c>
      <c r="K271" s="5">
        <f>IFERROR(__xludf.DUMMYFUNCTION("""COMPUTED_VALUE"""),2)</f>
        <v>2</v>
      </c>
      <c r="L271" s="5">
        <f>IFERROR(__xludf.DUMMYFUNCTION("""COMPUTED_VALUE"""),0)</f>
        <v>0</v>
      </c>
      <c r="M271" s="5" t="str">
        <f>IFERROR(__xludf.DUMMYFUNCTION("""COMPUTED_VALUE"""),"Working")</f>
        <v>Working</v>
      </c>
      <c r="N271" s="5" t="str">
        <f>IFERROR(__xludf.DUMMYFUNCTION("""COMPUTED_VALUE"""),"CORRECT")</f>
        <v>CORRECT</v>
      </c>
      <c r="O271" s="5" t="str">
        <f>IFERROR(__xludf.DUMMYFUNCTION("""COMPUTED_VALUE"""),"LOAD PENDING")</f>
        <v>LOAD PENDING</v>
      </c>
      <c r="P271" s="5" t="str">
        <f t="shared" si="13"/>
        <v/>
      </c>
      <c r="Q271" s="5" t="str">
        <f t="shared" si="14"/>
        <v/>
      </c>
    </row>
    <row r="272" ht="27.6" spans="1:17">
      <c r="A272" s="4">
        <v>271</v>
      </c>
      <c r="B272" s="4" t="s">
        <v>851</v>
      </c>
      <c r="C272" s="4" t="s">
        <v>23</v>
      </c>
      <c r="D272" s="4" t="s">
        <v>852</v>
      </c>
      <c r="E272" s="5" t="str">
        <f t="shared" si="12"/>
        <v>Dr.MOHAN BHARATHI C</v>
      </c>
      <c r="F272" s="6" t="s">
        <v>846</v>
      </c>
      <c r="G272" s="5" t="s">
        <v>20</v>
      </c>
      <c r="H272" s="5" t="s">
        <v>853</v>
      </c>
      <c r="I27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Col2='""&amp;B272&amp;""'"",0)"),2)</f>
        <v>2</v>
      </c>
      <c r="J272" s="5">
        <f>IFERROR(__xludf.DUMMYFUNCTION("""COMPUTED_VALUE"""),2)</f>
        <v>2</v>
      </c>
      <c r="K272" s="5">
        <f>IFERROR(__xludf.DUMMYFUNCTION("""COMPUTED_VALUE"""),2)</f>
        <v>2</v>
      </c>
      <c r="L272" s="5">
        <f>IFERROR(__xludf.DUMMYFUNCTION("""COMPUTED_VALUE"""),0)</f>
        <v>0</v>
      </c>
      <c r="M272" s="5" t="str">
        <f>IFERROR(__xludf.DUMMYFUNCTION("""COMPUTED_VALUE"""),"Working")</f>
        <v>Working</v>
      </c>
      <c r="N272" s="5" t="str">
        <f>IFERROR(__xludf.DUMMYFUNCTION("""COMPUTED_VALUE"""),"CORRECT")</f>
        <v>CORRECT</v>
      </c>
      <c r="O272" s="5" t="str">
        <f>IFERROR(__xludf.DUMMYFUNCTION("""COMPUTED_VALUE"""),"LOAD PENDING")</f>
        <v>LOAD PENDING</v>
      </c>
      <c r="P272" s="5" t="str">
        <f t="shared" si="13"/>
        <v/>
      </c>
      <c r="Q272" s="5" t="str">
        <f t="shared" si="14"/>
        <v/>
      </c>
    </row>
    <row r="273" ht="27.6" spans="1:17">
      <c r="A273" s="4">
        <v>272</v>
      </c>
      <c r="B273" s="4" t="s">
        <v>854</v>
      </c>
      <c r="C273" s="4" t="s">
        <v>23</v>
      </c>
      <c r="D273" s="4" t="s">
        <v>855</v>
      </c>
      <c r="E273" s="5" t="str">
        <f t="shared" si="12"/>
        <v>Dr.AJAI A</v>
      </c>
      <c r="F273" s="6" t="s">
        <v>856</v>
      </c>
      <c r="G273" s="5" t="s">
        <v>47</v>
      </c>
      <c r="H273" s="5" t="s">
        <v>857</v>
      </c>
      <c r="I27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Col2='""&amp;B273&amp;""'"",0)"),1)</f>
        <v>1</v>
      </c>
      <c r="J273" s="5">
        <f>IFERROR(__xludf.DUMMYFUNCTION("""COMPUTED_VALUE"""),0)</f>
        <v>0</v>
      </c>
      <c r="K273" s="5">
        <f>IFERROR(__xludf.DUMMYFUNCTION("""COMPUTED_VALUE"""),0)</f>
        <v>0</v>
      </c>
      <c r="L273" s="5">
        <f>IFERROR(__xludf.DUMMYFUNCTION("""COMPUTED_VALUE"""),3)</f>
        <v>3</v>
      </c>
      <c r="M273" s="5" t="str">
        <f>IFERROR(__xludf.DUMMYFUNCTION("""COMPUTED_VALUE"""),"Working")</f>
        <v>Working</v>
      </c>
      <c r="N273" s="5" t="str">
        <f>IFERROR(__xludf.DUMMYFUNCTION("""COMPUTED_VALUE"""),"LOAD PENDING")</f>
        <v>LOAD PENDING</v>
      </c>
      <c r="O273" s="5" t="str">
        <f>IFERROR(__xludf.DUMMYFUNCTION("""COMPUTED_VALUE"""),"CORRECT")</f>
        <v>CORRECT</v>
      </c>
      <c r="P273" s="5" t="str">
        <f t="shared" si="13"/>
        <v/>
      </c>
      <c r="Q273" s="5" t="str">
        <f t="shared" si="14"/>
        <v>Extra Lab Load Alloted</v>
      </c>
    </row>
    <row r="274" ht="27.6" spans="1:17">
      <c r="A274" s="4">
        <v>273</v>
      </c>
      <c r="B274" s="4" t="s">
        <v>858</v>
      </c>
      <c r="C274" s="4" t="s">
        <v>23</v>
      </c>
      <c r="D274" s="4" t="s">
        <v>859</v>
      </c>
      <c r="E274" s="5" t="str">
        <f t="shared" si="12"/>
        <v>Dr.SAGUNTHALA DEVI P</v>
      </c>
      <c r="F274" s="6" t="s">
        <v>856</v>
      </c>
      <c r="G274" s="5" t="s">
        <v>47</v>
      </c>
      <c r="H274" s="5" t="s">
        <v>860</v>
      </c>
      <c r="I27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Col2='""&amp;B274&amp;""'"",0)"),2)</f>
        <v>2</v>
      </c>
      <c r="J274" s="5">
        <f>IFERROR(__xludf.DUMMYFUNCTION("""COMPUTED_VALUE"""),2)</f>
        <v>2</v>
      </c>
      <c r="K274" s="5">
        <f>IFERROR(__xludf.DUMMYFUNCTION("""COMPUTED_VALUE"""),0)</f>
        <v>0</v>
      </c>
      <c r="L274" s="5">
        <f>IFERROR(__xludf.DUMMYFUNCTION("""COMPUTED_VALUE"""),11)</f>
        <v>11</v>
      </c>
      <c r="M274" s="5" t="str">
        <f>IFERROR(__xludf.DUMMYFUNCTION("""COMPUTED_VALUE"""),"Working")</f>
        <v>Working</v>
      </c>
      <c r="N274" s="5" t="str">
        <f>IFERROR(__xludf.DUMMYFUNCTION("""COMPUTED_VALUE"""),"LOAD PENDING")</f>
        <v>LOAD PENDING</v>
      </c>
      <c r="O274" s="5" t="str">
        <f>IFERROR(__xludf.DUMMYFUNCTION("""COMPUTED_VALUE"""),"CORRECT")</f>
        <v>CORRECT</v>
      </c>
      <c r="P274" s="5" t="str">
        <f t="shared" si="13"/>
        <v/>
      </c>
      <c r="Q274" s="5" t="str">
        <f t="shared" si="14"/>
        <v>Extra Lab Load Alloted</v>
      </c>
    </row>
    <row r="275" ht="27.6" spans="1:17">
      <c r="A275" s="4">
        <v>274</v>
      </c>
      <c r="B275" s="4" t="s">
        <v>861</v>
      </c>
      <c r="C275" s="4" t="s">
        <v>53</v>
      </c>
      <c r="D275" s="4" t="s">
        <v>862</v>
      </c>
      <c r="E275" s="5" t="str">
        <f t="shared" si="12"/>
        <v>Ms.KAMALI D</v>
      </c>
      <c r="F275" s="6" t="s">
        <v>856</v>
      </c>
      <c r="G275" s="5" t="s">
        <v>47</v>
      </c>
      <c r="H275" s="5" t="s">
        <v>863</v>
      </c>
      <c r="I27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Col2='""&amp;B275&amp;""'"",0)"),2)</f>
        <v>2</v>
      </c>
      <c r="J275" s="5">
        <f>IFERROR(__xludf.DUMMYFUNCTION("""COMPUTED_VALUE"""),2)</f>
        <v>2</v>
      </c>
      <c r="K275" s="5">
        <f>IFERROR(__xludf.DUMMYFUNCTION("""COMPUTED_VALUE"""),0)</f>
        <v>0</v>
      </c>
      <c r="L275" s="5">
        <f>IFERROR(__xludf.DUMMYFUNCTION("""COMPUTED_VALUE"""),12)</f>
        <v>12</v>
      </c>
      <c r="M275" s="5" t="str">
        <f>IFERROR(__xludf.DUMMYFUNCTION("""COMPUTED_VALUE"""),"Working")</f>
        <v>Working</v>
      </c>
      <c r="N275" s="5" t="str">
        <f>IFERROR(__xludf.DUMMYFUNCTION("""COMPUTED_VALUE"""),"LOAD PENDING")</f>
        <v>LOAD PENDING</v>
      </c>
      <c r="O275" s="5" t="str">
        <f>IFERROR(__xludf.DUMMYFUNCTION("""COMPUTED_VALUE"""),"CORRECT")</f>
        <v>CORRECT</v>
      </c>
      <c r="P275" s="5" t="str">
        <f t="shared" si="13"/>
        <v/>
      </c>
      <c r="Q275" s="5" t="str">
        <f t="shared" si="14"/>
        <v>Extra Lab Load Alloted</v>
      </c>
    </row>
    <row r="276" ht="27.6" spans="1:17">
      <c r="A276" s="4">
        <v>275</v>
      </c>
      <c r="B276" s="7" t="s">
        <v>864</v>
      </c>
      <c r="C276" s="7" t="s">
        <v>23</v>
      </c>
      <c r="D276" s="7" t="s">
        <v>865</v>
      </c>
      <c r="E276" s="5" t="str">
        <f t="shared" si="12"/>
        <v>Dr.GAYATHRI G M</v>
      </c>
      <c r="F276" s="6" t="s">
        <v>856</v>
      </c>
      <c r="G276" s="5" t="s">
        <v>47</v>
      </c>
      <c r="H276" s="5" t="s">
        <v>866</v>
      </c>
      <c r="I27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Col2='""&amp;B276&amp;""'"",0)"),2)</f>
        <v>2</v>
      </c>
      <c r="J276" s="5">
        <f>IFERROR(__xludf.DUMMYFUNCTION("""COMPUTED_VALUE"""),2)</f>
        <v>2</v>
      </c>
      <c r="K276" s="5">
        <f>IFERROR(__xludf.DUMMYFUNCTION("""COMPUTED_VALUE"""),0)</f>
        <v>0</v>
      </c>
      <c r="L276" s="5">
        <f>IFERROR(__xludf.DUMMYFUNCTION("""COMPUTED_VALUE"""),7)</f>
        <v>7</v>
      </c>
      <c r="M276" s="5" t="str">
        <f>IFERROR(__xludf.DUMMYFUNCTION("""COMPUTED_VALUE"""),"Working")</f>
        <v>Working</v>
      </c>
      <c r="N276" s="5" t="str">
        <f>IFERROR(__xludf.DUMMYFUNCTION("""COMPUTED_VALUE"""),"LOAD PENDING")</f>
        <v>LOAD PENDING</v>
      </c>
      <c r="O276" s="5" t="str">
        <f>IFERROR(__xludf.DUMMYFUNCTION("""COMPUTED_VALUE"""),"CORRECT")</f>
        <v>CORRECT</v>
      </c>
      <c r="P276" s="5" t="str">
        <f t="shared" si="13"/>
        <v/>
      </c>
      <c r="Q276" s="5" t="str">
        <f t="shared" si="14"/>
        <v>Extra Lab Load Alloted</v>
      </c>
    </row>
    <row r="277" ht="27.6" spans="1:17">
      <c r="A277" s="4">
        <v>276</v>
      </c>
      <c r="B277" s="4" t="s">
        <v>867</v>
      </c>
      <c r="C277" s="4" t="s">
        <v>23</v>
      </c>
      <c r="D277" s="4" t="s">
        <v>868</v>
      </c>
      <c r="E277" s="5" t="str">
        <f t="shared" si="12"/>
        <v>Dr.ASLIN JERUSHA D</v>
      </c>
      <c r="F277" s="6" t="s">
        <v>856</v>
      </c>
      <c r="G277" s="5" t="s">
        <v>47</v>
      </c>
      <c r="H277" s="5" t="s">
        <v>869</v>
      </c>
      <c r="I27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Col2='""&amp;B277&amp;""'"",0)"),2)</f>
        <v>2</v>
      </c>
      <c r="J277" s="5">
        <f>IFERROR(__xludf.DUMMYFUNCTION("""COMPUTED_VALUE"""),2)</f>
        <v>2</v>
      </c>
      <c r="K277" s="5">
        <f>IFERROR(__xludf.DUMMYFUNCTION("""COMPUTED_VALUE"""),0)</f>
        <v>0</v>
      </c>
      <c r="L277" s="5">
        <f>IFERROR(__xludf.DUMMYFUNCTION("""COMPUTED_VALUE"""),7)</f>
        <v>7</v>
      </c>
      <c r="M277" s="5" t="str">
        <f>IFERROR(__xludf.DUMMYFUNCTION("""COMPUTED_VALUE"""),"Working")</f>
        <v>Working</v>
      </c>
      <c r="N277" s="5" t="str">
        <f>IFERROR(__xludf.DUMMYFUNCTION("""COMPUTED_VALUE"""),"LOAD PENDING")</f>
        <v>LOAD PENDING</v>
      </c>
      <c r="O277" s="5" t="str">
        <f>IFERROR(__xludf.DUMMYFUNCTION("""COMPUTED_VALUE"""),"CORRECT")</f>
        <v>CORRECT</v>
      </c>
      <c r="P277" s="5" t="str">
        <f t="shared" si="13"/>
        <v/>
      </c>
      <c r="Q277" s="5" t="str">
        <f t="shared" si="14"/>
        <v>Extra Lab Load Alloted</v>
      </c>
    </row>
    <row r="278" ht="27.6" spans="1:17">
      <c r="A278" s="4">
        <v>277</v>
      </c>
      <c r="B278" s="4" t="s">
        <v>870</v>
      </c>
      <c r="C278" s="4" t="s">
        <v>23</v>
      </c>
      <c r="D278" s="4" t="s">
        <v>871</v>
      </c>
      <c r="E278" s="5" t="str">
        <f t="shared" si="12"/>
        <v>Dr.EZHIL G</v>
      </c>
      <c r="F278" s="6" t="s">
        <v>856</v>
      </c>
      <c r="G278" s="5" t="s">
        <v>47</v>
      </c>
      <c r="H278" s="5" t="s">
        <v>872</v>
      </c>
      <c r="I27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Col2='""&amp;B278&amp;""'"",0)"),2)</f>
        <v>2</v>
      </c>
      <c r="J278" s="5">
        <f>IFERROR(__xludf.DUMMYFUNCTION("""COMPUTED_VALUE"""),2)</f>
        <v>2</v>
      </c>
      <c r="K278" s="5">
        <f>IFERROR(__xludf.DUMMYFUNCTION("""COMPUTED_VALUE"""),0)</f>
        <v>0</v>
      </c>
      <c r="L278" s="5">
        <f>IFERROR(__xludf.DUMMYFUNCTION("""COMPUTED_VALUE"""),5)</f>
        <v>5</v>
      </c>
      <c r="M278" s="5" t="str">
        <f>IFERROR(__xludf.DUMMYFUNCTION("""COMPUTED_VALUE"""),"Working")</f>
        <v>Working</v>
      </c>
      <c r="N278" s="5" t="str">
        <f>IFERROR(__xludf.DUMMYFUNCTION("""COMPUTED_VALUE"""),"LOAD PENDING")</f>
        <v>LOAD PENDING</v>
      </c>
      <c r="O278" s="5" t="str">
        <f>IFERROR(__xludf.DUMMYFUNCTION("""COMPUTED_VALUE"""),"CORRECT")</f>
        <v>CORRECT</v>
      </c>
      <c r="P278" s="5" t="str">
        <f t="shared" si="13"/>
        <v/>
      </c>
      <c r="Q278" s="5" t="str">
        <f t="shared" si="14"/>
        <v>Extra Lab Load Alloted</v>
      </c>
    </row>
    <row r="279" ht="27.6" spans="1:17">
      <c r="A279" s="4">
        <v>278</v>
      </c>
      <c r="B279" s="4" t="s">
        <v>873</v>
      </c>
      <c r="C279" s="4" t="s">
        <v>23</v>
      </c>
      <c r="D279" s="4" t="s">
        <v>874</v>
      </c>
      <c r="E279" s="5" t="str">
        <f t="shared" si="12"/>
        <v>Dr.NITHYA S</v>
      </c>
      <c r="F279" s="6" t="s">
        <v>856</v>
      </c>
      <c r="G279" s="5" t="s">
        <v>47</v>
      </c>
      <c r="H279" s="5" t="s">
        <v>875</v>
      </c>
      <c r="I27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Col2='""&amp;B279&amp;""'"",0)"),2)</f>
        <v>2</v>
      </c>
      <c r="J279" s="5">
        <f>IFERROR(__xludf.DUMMYFUNCTION("""COMPUTED_VALUE"""),2)</f>
        <v>2</v>
      </c>
      <c r="K279" s="5">
        <f>IFERROR(__xludf.DUMMYFUNCTION("""COMPUTED_VALUE"""),0)</f>
        <v>0</v>
      </c>
      <c r="L279" s="5">
        <f>IFERROR(__xludf.DUMMYFUNCTION("""COMPUTED_VALUE"""),10)</f>
        <v>10</v>
      </c>
      <c r="M279" s="5" t="str">
        <f>IFERROR(__xludf.DUMMYFUNCTION("""COMPUTED_VALUE"""),"Working")</f>
        <v>Working</v>
      </c>
      <c r="N279" s="5" t="str">
        <f>IFERROR(__xludf.DUMMYFUNCTION("""COMPUTED_VALUE"""),"LOAD PENDING")</f>
        <v>LOAD PENDING</v>
      </c>
      <c r="O279" s="5" t="str">
        <f>IFERROR(__xludf.DUMMYFUNCTION("""COMPUTED_VALUE"""),"CORRECT")</f>
        <v>CORRECT</v>
      </c>
      <c r="P279" s="5" t="str">
        <f t="shared" si="13"/>
        <v/>
      </c>
      <c r="Q279" s="5" t="str">
        <f t="shared" si="14"/>
        <v>Extra Lab Load Alloted</v>
      </c>
    </row>
    <row r="280" ht="27.6" spans="1:17">
      <c r="A280" s="4">
        <v>279</v>
      </c>
      <c r="B280" s="4" t="s">
        <v>876</v>
      </c>
      <c r="C280" s="4" t="s">
        <v>17</v>
      </c>
      <c r="D280" s="4" t="s">
        <v>877</v>
      </c>
      <c r="E280" s="5" t="str">
        <f t="shared" si="12"/>
        <v>Mr.SHYAMSUNDAR S</v>
      </c>
      <c r="F280" s="6" t="s">
        <v>856</v>
      </c>
      <c r="G280" s="5" t="s">
        <v>47</v>
      </c>
      <c r="H280" s="5" t="s">
        <v>878</v>
      </c>
      <c r="I28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Col2='""&amp;B280&amp;""'"",0)"),2)</f>
        <v>2</v>
      </c>
      <c r="J280" s="5">
        <f>IFERROR(__xludf.DUMMYFUNCTION("""COMPUTED_VALUE"""),2)</f>
        <v>2</v>
      </c>
      <c r="K280" s="5">
        <f>IFERROR(__xludf.DUMMYFUNCTION("""COMPUTED_VALUE"""),0)</f>
        <v>0</v>
      </c>
      <c r="L280" s="5">
        <f>IFERROR(__xludf.DUMMYFUNCTION("""COMPUTED_VALUE"""),9)</f>
        <v>9</v>
      </c>
      <c r="M280" s="5" t="str">
        <f>IFERROR(__xludf.DUMMYFUNCTION("""COMPUTED_VALUE"""),"Working")</f>
        <v>Working</v>
      </c>
      <c r="N280" s="5" t="str">
        <f>IFERROR(__xludf.DUMMYFUNCTION("""COMPUTED_VALUE"""),"LOAD PENDING")</f>
        <v>LOAD PENDING</v>
      </c>
      <c r="O280" s="5" t="str">
        <f>IFERROR(__xludf.DUMMYFUNCTION("""COMPUTED_VALUE"""),"CORRECT")</f>
        <v>CORRECT</v>
      </c>
      <c r="P280" s="5" t="str">
        <f t="shared" si="13"/>
        <v/>
      </c>
      <c r="Q280" s="5" t="str">
        <f t="shared" si="14"/>
        <v>Extra Lab Load Alloted</v>
      </c>
    </row>
    <row r="281" ht="27.6" spans="1:17">
      <c r="A281" s="4">
        <v>280</v>
      </c>
      <c r="B281" s="4" t="s">
        <v>879</v>
      </c>
      <c r="C281" s="4" t="s">
        <v>23</v>
      </c>
      <c r="D281" s="4" t="s">
        <v>880</v>
      </c>
      <c r="E281" s="5" t="str">
        <f t="shared" si="12"/>
        <v>Dr.JAYA K</v>
      </c>
      <c r="F281" s="6" t="s">
        <v>856</v>
      </c>
      <c r="G281" s="5" t="s">
        <v>47</v>
      </c>
      <c r="H281" s="5" t="s">
        <v>881</v>
      </c>
      <c r="I28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Col2='""&amp;B281&amp;""'"",0)"),2)</f>
        <v>2</v>
      </c>
      <c r="J281" s="5">
        <f>IFERROR(__xludf.DUMMYFUNCTION("""COMPUTED_VALUE"""),2)</f>
        <v>2</v>
      </c>
      <c r="K281" s="5">
        <f>IFERROR(__xludf.DUMMYFUNCTION("""COMPUTED_VALUE"""),0)</f>
        <v>0</v>
      </c>
      <c r="L281" s="5">
        <f>IFERROR(__xludf.DUMMYFUNCTION("""COMPUTED_VALUE"""),10)</f>
        <v>10</v>
      </c>
      <c r="M281" s="5" t="str">
        <f>IFERROR(__xludf.DUMMYFUNCTION("""COMPUTED_VALUE"""),"Working")</f>
        <v>Working</v>
      </c>
      <c r="N281" s="5" t="str">
        <f>IFERROR(__xludf.DUMMYFUNCTION("""COMPUTED_VALUE"""),"LOAD PENDING")</f>
        <v>LOAD PENDING</v>
      </c>
      <c r="O281" s="5" t="str">
        <f>IFERROR(__xludf.DUMMYFUNCTION("""COMPUTED_VALUE"""),"CORRECT")</f>
        <v>CORRECT</v>
      </c>
      <c r="P281" s="5" t="str">
        <f t="shared" si="13"/>
        <v/>
      </c>
      <c r="Q281" s="5" t="str">
        <f t="shared" si="14"/>
        <v>Extra Lab Load Alloted</v>
      </c>
    </row>
    <row r="282" ht="14.4" spans="1:17">
      <c r="A282" s="4">
        <v>281</v>
      </c>
      <c r="B282" s="4" t="s">
        <v>882</v>
      </c>
      <c r="C282" s="4" t="s">
        <v>17</v>
      </c>
      <c r="D282" s="4" t="s">
        <v>883</v>
      </c>
      <c r="E282" s="5" t="str">
        <f t="shared" si="12"/>
        <v>Mr.RANGANATHAN A</v>
      </c>
      <c r="F282" s="6" t="s">
        <v>856</v>
      </c>
      <c r="G282" s="5" t="s">
        <v>884</v>
      </c>
      <c r="H282" s="5" t="s">
        <v>885</v>
      </c>
      <c r="I28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Col2='""&amp;B282&amp;""'"",0)"),2)</f>
        <v>2</v>
      </c>
      <c r="J282" s="5">
        <f>IFERROR(__xludf.DUMMYFUNCTION("""COMPUTED_VALUE"""),2)</f>
        <v>2</v>
      </c>
      <c r="K282" s="5">
        <f>IFERROR(__xludf.DUMMYFUNCTION("""COMPUTED_VALUE"""),0)</f>
        <v>0</v>
      </c>
      <c r="L282" s="5">
        <f>IFERROR(__xludf.DUMMYFUNCTION("""COMPUTED_VALUE"""),0)</f>
        <v>0</v>
      </c>
      <c r="M282" s="5" t="str">
        <f>IFERROR(__xludf.DUMMYFUNCTION("""COMPUTED_VALUE"""),"Working")</f>
        <v>Working</v>
      </c>
      <c r="N282" s="5" t="str">
        <f>IFERROR(__xludf.DUMMYFUNCTION("""COMPUTED_VALUE"""),"LOAD PENDING")</f>
        <v>LOAD PENDING</v>
      </c>
      <c r="O282" s="5" t="str">
        <f>IFERROR(__xludf.DUMMYFUNCTION("""COMPUTED_VALUE"""),"LOAD PENDING")</f>
        <v>LOAD PENDING</v>
      </c>
      <c r="P282" s="5" t="str">
        <f t="shared" si="13"/>
        <v/>
      </c>
      <c r="Q282" s="5" t="str">
        <f t="shared" si="14"/>
        <v/>
      </c>
    </row>
    <row r="283" ht="27.6" spans="1:17">
      <c r="A283" s="4">
        <v>282</v>
      </c>
      <c r="B283" s="4" t="s">
        <v>886</v>
      </c>
      <c r="C283" s="4" t="s">
        <v>17</v>
      </c>
      <c r="D283" s="4" t="s">
        <v>887</v>
      </c>
      <c r="E283" s="5" t="str">
        <f t="shared" si="12"/>
        <v>Mr.GOPAL R</v>
      </c>
      <c r="F283" s="6" t="s">
        <v>888</v>
      </c>
      <c r="G283" s="5" t="s">
        <v>20</v>
      </c>
      <c r="H283" s="5" t="s">
        <v>889</v>
      </c>
      <c r="I28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Col2='""&amp;B283&amp;""'"",0)"),1)</f>
        <v>1</v>
      </c>
      <c r="J283" s="5">
        <f>IFERROR(__xludf.DUMMYFUNCTION("""COMPUTED_VALUE"""),1)</f>
        <v>1</v>
      </c>
      <c r="K283" s="5">
        <f>IFERROR(__xludf.DUMMYFUNCTION("""COMPUTED_VALUE"""),1)</f>
        <v>1</v>
      </c>
      <c r="L283" s="5">
        <f>IFERROR(__xludf.DUMMYFUNCTION("""COMPUTED_VALUE"""),1)</f>
        <v>1</v>
      </c>
      <c r="M283" s="5" t="str">
        <f>IFERROR(__xludf.DUMMYFUNCTION("""COMPUTED_VALUE"""),"Working")</f>
        <v>Working</v>
      </c>
      <c r="N283" s="5" t="str">
        <f>IFERROR(__xludf.DUMMYFUNCTION("""COMPUTED_VALUE"""),"CORRECT")</f>
        <v>CORRECT</v>
      </c>
      <c r="O283" s="5" t="str">
        <f>IFERROR(__xludf.DUMMYFUNCTION("""COMPUTED_VALUE"""),"CORRECT")</f>
        <v>CORRECT</v>
      </c>
      <c r="P283" s="5" t="str">
        <f t="shared" si="13"/>
        <v/>
      </c>
      <c r="Q283" s="5" t="str">
        <f t="shared" si="14"/>
        <v/>
      </c>
    </row>
    <row r="284" ht="27.6" spans="1:17">
      <c r="A284" s="4">
        <v>283</v>
      </c>
      <c r="B284" s="4" t="s">
        <v>890</v>
      </c>
      <c r="C284" s="4" t="s">
        <v>17</v>
      </c>
      <c r="D284" s="4" t="s">
        <v>891</v>
      </c>
      <c r="E284" s="5" t="str">
        <f t="shared" si="12"/>
        <v>Mr.PANDIYAN M</v>
      </c>
      <c r="F284" s="6" t="s">
        <v>888</v>
      </c>
      <c r="G284" s="5" t="s">
        <v>20</v>
      </c>
      <c r="H284" s="5" t="s">
        <v>892</v>
      </c>
      <c r="I28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Col2='""&amp;B284&amp;""'"",0)"),1)</f>
        <v>1</v>
      </c>
      <c r="J284" s="5">
        <f>IFERROR(__xludf.DUMMYFUNCTION("""COMPUTED_VALUE"""),0)</f>
        <v>0</v>
      </c>
      <c r="K284" s="5">
        <f>IFERROR(__xludf.DUMMYFUNCTION("""COMPUTED_VALUE"""),1)</f>
        <v>1</v>
      </c>
      <c r="L284" s="5">
        <f>IFERROR(__xludf.DUMMYFUNCTION("""COMPUTED_VALUE"""),0)</f>
        <v>0</v>
      </c>
      <c r="M284" s="5" t="str">
        <f>IFERROR(__xludf.DUMMYFUNCTION("""COMPUTED_VALUE"""),"Working")</f>
        <v>Working</v>
      </c>
      <c r="N284" s="5" t="str">
        <f>IFERROR(__xludf.DUMMYFUNCTION("""COMPUTED_VALUE"""),"CORRECT")</f>
        <v>CORRECT</v>
      </c>
      <c r="O284" s="5" t="str">
        <f>IFERROR(__xludf.DUMMYFUNCTION("""COMPUTED_VALUE"""),"CORRECT")</f>
        <v>CORRECT</v>
      </c>
      <c r="P284" s="5" t="str">
        <f t="shared" si="13"/>
        <v/>
      </c>
      <c r="Q284" s="5" t="str">
        <f t="shared" si="14"/>
        <v/>
      </c>
    </row>
    <row r="285" ht="14.4" spans="1:17">
      <c r="A285" s="4">
        <v>284</v>
      </c>
      <c r="B285" s="4" t="s">
        <v>893</v>
      </c>
      <c r="C285" s="4" t="s">
        <v>53</v>
      </c>
      <c r="D285" s="4" t="s">
        <v>894</v>
      </c>
      <c r="E285" s="5" t="str">
        <f t="shared" si="12"/>
        <v>Ms.POORNIMA A</v>
      </c>
      <c r="F285" s="6" t="s">
        <v>888</v>
      </c>
      <c r="G285" s="5" t="s">
        <v>47</v>
      </c>
      <c r="H285" s="5" t="s">
        <v>895</v>
      </c>
      <c r="I28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Col2='""&amp;B285&amp;""'"",0)"),2)</f>
        <v>2</v>
      </c>
      <c r="J285" s="5">
        <f>IFERROR(__xludf.DUMMYFUNCTION("""COMPUTED_VALUE"""),2)</f>
        <v>2</v>
      </c>
      <c r="K285" s="5">
        <f>IFERROR(__xludf.DUMMYFUNCTION("""COMPUTED_VALUE"""),1)</f>
        <v>1</v>
      </c>
      <c r="L285" s="5">
        <f>IFERROR(__xludf.DUMMYFUNCTION("""COMPUTED_VALUE"""),0)</f>
        <v>0</v>
      </c>
      <c r="M285" s="5" t="str">
        <f>IFERROR(__xludf.DUMMYFUNCTION("""COMPUTED_VALUE"""),"Working")</f>
        <v>Working</v>
      </c>
      <c r="N285" s="5" t="str">
        <f>IFERROR(__xludf.DUMMYFUNCTION("""COMPUTED_VALUE"""),"LOAD PENDING")</f>
        <v>LOAD PENDING</v>
      </c>
      <c r="O285" s="5" t="str">
        <f>IFERROR(__xludf.DUMMYFUNCTION("""COMPUTED_VALUE"""),"LOAD PENDING")</f>
        <v>LOAD PENDING</v>
      </c>
      <c r="P285" s="5" t="str">
        <f t="shared" si="13"/>
        <v/>
      </c>
      <c r="Q285" s="5" t="str">
        <f t="shared" si="14"/>
        <v/>
      </c>
    </row>
    <row r="286" ht="27.6" spans="1:17">
      <c r="A286" s="4">
        <v>285</v>
      </c>
      <c r="B286" s="4" t="s">
        <v>896</v>
      </c>
      <c r="C286" s="4" t="s">
        <v>17</v>
      </c>
      <c r="D286" s="4" t="s">
        <v>897</v>
      </c>
      <c r="E286" s="5" t="str">
        <f t="shared" si="12"/>
        <v>Mr.SOMASUNDARAM K</v>
      </c>
      <c r="F286" s="6" t="s">
        <v>888</v>
      </c>
      <c r="G286" s="5" t="s">
        <v>20</v>
      </c>
      <c r="H286" s="5" t="s">
        <v>898</v>
      </c>
      <c r="I28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Col2='""&amp;B286&amp;""'"",0)"),1)</f>
        <v>1</v>
      </c>
      <c r="J286" s="5">
        <f>IFERROR(__xludf.DUMMYFUNCTION("""COMPUTED_VALUE"""),0)</f>
        <v>0</v>
      </c>
      <c r="K286" s="5">
        <f>IFERROR(__xludf.DUMMYFUNCTION("""COMPUTED_VALUE"""),1)</f>
        <v>1</v>
      </c>
      <c r="L286" s="5">
        <f>IFERROR(__xludf.DUMMYFUNCTION("""COMPUTED_VALUE"""),0)</f>
        <v>0</v>
      </c>
      <c r="M286" s="5" t="str">
        <f>IFERROR(__xludf.DUMMYFUNCTION("""COMPUTED_VALUE"""),"Working")</f>
        <v>Working</v>
      </c>
      <c r="N286" s="5" t="str">
        <f>IFERROR(__xludf.DUMMYFUNCTION("""COMPUTED_VALUE"""),"CORRECT")</f>
        <v>CORRECT</v>
      </c>
      <c r="O286" s="5" t="str">
        <f>IFERROR(__xludf.DUMMYFUNCTION("""COMPUTED_VALUE"""),"CORRECT")</f>
        <v>CORRECT</v>
      </c>
      <c r="P286" s="5" t="str">
        <f t="shared" si="13"/>
        <v/>
      </c>
      <c r="Q286" s="5" t="str">
        <f t="shared" si="14"/>
        <v/>
      </c>
    </row>
    <row r="287" ht="27.6" spans="1:17">
      <c r="A287" s="4">
        <v>286</v>
      </c>
      <c r="B287" s="4" t="s">
        <v>899</v>
      </c>
      <c r="C287" s="4" t="s">
        <v>23</v>
      </c>
      <c r="D287" s="4" t="s">
        <v>900</v>
      </c>
      <c r="E287" s="5" t="str">
        <f t="shared" si="12"/>
        <v>Dr.ANANDAKUMAR K</v>
      </c>
      <c r="F287" s="6" t="s">
        <v>888</v>
      </c>
      <c r="G287" s="5" t="s">
        <v>20</v>
      </c>
      <c r="H287" s="5" t="s">
        <v>901</v>
      </c>
      <c r="I28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Col2='""&amp;B287&amp;""'"",0)"),2)</f>
        <v>2</v>
      </c>
      <c r="J287" s="5">
        <f>IFERROR(__xludf.DUMMYFUNCTION("""COMPUTED_VALUE"""),2)</f>
        <v>2</v>
      </c>
      <c r="K287" s="5">
        <f>IFERROR(__xludf.DUMMYFUNCTION("""COMPUTED_VALUE"""),2)</f>
        <v>2</v>
      </c>
      <c r="L287" s="5">
        <f>IFERROR(__xludf.DUMMYFUNCTION("""COMPUTED_VALUE"""),1)</f>
        <v>1</v>
      </c>
      <c r="M287" s="5" t="str">
        <f>IFERROR(__xludf.DUMMYFUNCTION("""COMPUTED_VALUE"""),"Working")</f>
        <v>Working</v>
      </c>
      <c r="N287" s="5" t="str">
        <f>IFERROR(__xludf.DUMMYFUNCTION("""COMPUTED_VALUE"""),"CORRECT")</f>
        <v>CORRECT</v>
      </c>
      <c r="O287" s="5" t="str">
        <f>IFERROR(__xludf.DUMMYFUNCTION("""COMPUTED_VALUE"""),"LOAD PENDING")</f>
        <v>LOAD PENDING</v>
      </c>
      <c r="P287" s="5" t="str">
        <f t="shared" si="13"/>
        <v/>
      </c>
      <c r="Q287" s="5" t="str">
        <f t="shared" si="14"/>
        <v/>
      </c>
    </row>
    <row r="288" ht="27.6" spans="1:17">
      <c r="A288" s="4">
        <v>287</v>
      </c>
      <c r="B288" s="4" t="s">
        <v>902</v>
      </c>
      <c r="C288" s="4" t="s">
        <v>53</v>
      </c>
      <c r="D288" s="4" t="s">
        <v>903</v>
      </c>
      <c r="E288" s="5" t="str">
        <f t="shared" si="12"/>
        <v>Ms.SABARMATHI K R</v>
      </c>
      <c r="F288" s="6" t="s">
        <v>904</v>
      </c>
      <c r="G288" s="5" t="s">
        <v>20</v>
      </c>
      <c r="H288" s="5" t="s">
        <v>905</v>
      </c>
      <c r="I28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Col2='""&amp;B288&amp;""'"",0)"),2)</f>
        <v>2</v>
      </c>
      <c r="J288" s="5">
        <f>IFERROR(__xludf.DUMMYFUNCTION("""COMPUTED_VALUE"""),2)</f>
        <v>2</v>
      </c>
      <c r="K288" s="5">
        <f>IFERROR(__xludf.DUMMYFUNCTION("""COMPUTED_VALUE"""),2)</f>
        <v>2</v>
      </c>
      <c r="L288" s="5">
        <f>IFERROR(__xludf.DUMMYFUNCTION("""COMPUTED_VALUE"""),1)</f>
        <v>1</v>
      </c>
      <c r="M288" s="5" t="str">
        <f>IFERROR(__xludf.DUMMYFUNCTION("""COMPUTED_VALUE"""),"Working")</f>
        <v>Working</v>
      </c>
      <c r="N288" s="5" t="str">
        <f>IFERROR(__xludf.DUMMYFUNCTION("""COMPUTED_VALUE"""),"CORRECT")</f>
        <v>CORRECT</v>
      </c>
      <c r="O288" s="5" t="str">
        <f>IFERROR(__xludf.DUMMYFUNCTION("""COMPUTED_VALUE"""),"LOAD PENDING")</f>
        <v>LOAD PENDING</v>
      </c>
      <c r="P288" s="5" t="str">
        <f t="shared" si="13"/>
        <v/>
      </c>
      <c r="Q288" s="5" t="str">
        <f t="shared" si="14"/>
        <v/>
      </c>
    </row>
    <row r="289" ht="14.4" spans="1:17">
      <c r="A289" s="4">
        <v>288</v>
      </c>
      <c r="B289" s="4" t="s">
        <v>906</v>
      </c>
      <c r="C289" s="4" t="s">
        <v>23</v>
      </c>
      <c r="D289" s="4" t="s">
        <v>907</v>
      </c>
      <c r="E289" s="5" t="str">
        <f t="shared" si="12"/>
        <v>Dr.SRI VINITHA V</v>
      </c>
      <c r="F289" s="6" t="s">
        <v>904</v>
      </c>
      <c r="G289" s="5" t="s">
        <v>25</v>
      </c>
      <c r="H289" s="5" t="s">
        <v>908</v>
      </c>
      <c r="I28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Col2='""&amp;B289&amp;""'"",0)"),2)</f>
        <v>2</v>
      </c>
      <c r="J289" s="5">
        <f>IFERROR(__xludf.DUMMYFUNCTION("""COMPUTED_VALUE"""),1)</f>
        <v>1</v>
      </c>
      <c r="K289" s="5">
        <f>IFERROR(__xludf.DUMMYFUNCTION("""COMPUTED_VALUE"""),2)</f>
        <v>2</v>
      </c>
      <c r="L289" s="5">
        <f>IFERROR(__xludf.DUMMYFUNCTION("""COMPUTED_VALUE"""),1)</f>
        <v>1</v>
      </c>
      <c r="M289" s="5" t="str">
        <f>IFERROR(__xludf.DUMMYFUNCTION("""COMPUTED_VALUE"""),"Working")</f>
        <v>Working</v>
      </c>
      <c r="N289" s="5" t="str">
        <f>IFERROR(__xludf.DUMMYFUNCTION("""COMPUTED_VALUE"""),"CORRECT")</f>
        <v>CORRECT</v>
      </c>
      <c r="O289" s="5" t="str">
        <f>IFERROR(__xludf.DUMMYFUNCTION("""COMPUTED_VALUE"""),"CORRECT")</f>
        <v>CORRECT</v>
      </c>
      <c r="P289" s="5" t="str">
        <f t="shared" si="13"/>
        <v/>
      </c>
      <c r="Q289" s="5" t="str">
        <f t="shared" si="14"/>
        <v/>
      </c>
    </row>
    <row r="290" ht="27.6" spans="1:17">
      <c r="A290" s="4">
        <v>289</v>
      </c>
      <c r="B290" s="4" t="s">
        <v>909</v>
      </c>
      <c r="C290" s="4" t="s">
        <v>17</v>
      </c>
      <c r="D290" s="4" t="s">
        <v>910</v>
      </c>
      <c r="E290" s="5" t="str">
        <f t="shared" si="12"/>
        <v>Mr.VINOTH M</v>
      </c>
      <c r="F290" s="6" t="s">
        <v>904</v>
      </c>
      <c r="G290" s="5" t="s">
        <v>20</v>
      </c>
      <c r="H290" s="5" t="s">
        <v>911</v>
      </c>
      <c r="I29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Col2='""&amp;B290&amp;""'"",0)"),0)</f>
        <v>0</v>
      </c>
      <c r="J290" s="5">
        <f>IFERROR(__xludf.DUMMYFUNCTION("""COMPUTED_VALUE"""),0)</f>
        <v>0</v>
      </c>
      <c r="K290" s="5">
        <f>IFERROR(__xludf.DUMMYFUNCTION("""COMPUTED_VALUE"""),0)</f>
        <v>0</v>
      </c>
      <c r="L290" s="5">
        <f>IFERROR(__xludf.DUMMYFUNCTION("""COMPUTED_VALUE"""),0)</f>
        <v>0</v>
      </c>
      <c r="M290" s="5" t="str">
        <f>IFERROR(__xludf.DUMMYFUNCTION("""COMPUTED_VALUE"""),"Working")</f>
        <v>Working</v>
      </c>
      <c r="N290" s="5" t="str">
        <f>IFERROR(__xludf.DUMMYFUNCTION("""COMPUTED_VALUE"""),"CORRECT")</f>
        <v>CORRECT</v>
      </c>
      <c r="O290" s="5" t="str">
        <f>IFERROR(__xludf.DUMMYFUNCTION("""COMPUTED_VALUE"""),"CORRECT")</f>
        <v>CORRECT</v>
      </c>
      <c r="P290" s="5" t="str">
        <f t="shared" si="13"/>
        <v/>
      </c>
      <c r="Q290" s="5" t="str">
        <f t="shared" si="14"/>
        <v/>
      </c>
    </row>
    <row r="291" ht="27.6" spans="1:17">
      <c r="A291" s="4">
        <v>290</v>
      </c>
      <c r="B291" s="4" t="s">
        <v>912</v>
      </c>
      <c r="C291" s="4" t="s">
        <v>32</v>
      </c>
      <c r="D291" s="4" t="s">
        <v>913</v>
      </c>
      <c r="E291" s="5" t="str">
        <f t="shared" si="12"/>
        <v>Mrs.SOBIYAA P</v>
      </c>
      <c r="F291" s="6" t="s">
        <v>904</v>
      </c>
      <c r="G291" s="5" t="s">
        <v>20</v>
      </c>
      <c r="H291" s="5" t="s">
        <v>914</v>
      </c>
      <c r="I29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Col2='""&amp;B291&amp;""'"",0)"),1)</f>
        <v>1</v>
      </c>
      <c r="J291" s="5">
        <f>IFERROR(__xludf.DUMMYFUNCTION("""COMPUTED_VALUE"""),0)</f>
        <v>0</v>
      </c>
      <c r="K291" s="5">
        <f>IFERROR(__xludf.DUMMYFUNCTION("""COMPUTED_VALUE"""),1)</f>
        <v>1</v>
      </c>
      <c r="L291" s="5">
        <f>IFERROR(__xludf.DUMMYFUNCTION("""COMPUTED_VALUE"""),0)</f>
        <v>0</v>
      </c>
      <c r="M291" s="5" t="str">
        <f>IFERROR(__xludf.DUMMYFUNCTION("""COMPUTED_VALUE"""),"Working")</f>
        <v>Working</v>
      </c>
      <c r="N291" s="5" t="str">
        <f>IFERROR(__xludf.DUMMYFUNCTION("""COMPUTED_VALUE"""),"CORRECT")</f>
        <v>CORRECT</v>
      </c>
      <c r="O291" s="5" t="str">
        <f>IFERROR(__xludf.DUMMYFUNCTION("""COMPUTED_VALUE"""),"CORRECT")</f>
        <v>CORRECT</v>
      </c>
      <c r="P291" s="5" t="str">
        <f t="shared" si="13"/>
        <v/>
      </c>
      <c r="Q291" s="5" t="str">
        <f t="shared" si="14"/>
        <v/>
      </c>
    </row>
    <row r="292" ht="27.6" spans="1:17">
      <c r="A292" s="4">
        <v>291</v>
      </c>
      <c r="B292" s="4" t="s">
        <v>915</v>
      </c>
      <c r="C292" s="4" t="s">
        <v>32</v>
      </c>
      <c r="D292" s="4" t="s">
        <v>916</v>
      </c>
      <c r="E292" s="5" t="str">
        <f t="shared" si="12"/>
        <v>Mrs.JANANI T</v>
      </c>
      <c r="F292" s="6" t="s">
        <v>904</v>
      </c>
      <c r="G292" s="5" t="s">
        <v>37</v>
      </c>
      <c r="H292" s="5" t="s">
        <v>917</v>
      </c>
      <c r="I29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Col2='""&amp;B292&amp;""'"",0)"),2)</f>
        <v>2</v>
      </c>
      <c r="J292" s="5">
        <f>IFERROR(__xludf.DUMMYFUNCTION("""COMPUTED_VALUE"""),2)</f>
        <v>2</v>
      </c>
      <c r="K292" s="5">
        <f>IFERROR(__xludf.DUMMYFUNCTION("""COMPUTED_VALUE"""),2)</f>
        <v>2</v>
      </c>
      <c r="L292" s="5">
        <f>IFERROR(__xludf.DUMMYFUNCTION("""COMPUTED_VALUE"""),1)</f>
        <v>1</v>
      </c>
      <c r="M292" s="5" t="str">
        <f>IFERROR(__xludf.DUMMYFUNCTION("""COMPUTED_VALUE"""),"Working")</f>
        <v>Working</v>
      </c>
      <c r="N292" s="5" t="str">
        <f>IFERROR(__xludf.DUMMYFUNCTION("""COMPUTED_VALUE"""),"CORRECT")</f>
        <v>CORRECT</v>
      </c>
      <c r="O292" s="5" t="str">
        <f>IFERROR(__xludf.DUMMYFUNCTION("""COMPUTED_VALUE"""),"LOAD PENDING")</f>
        <v>LOAD PENDING</v>
      </c>
      <c r="P292" s="5" t="str">
        <f t="shared" si="13"/>
        <v/>
      </c>
      <c r="Q292" s="5" t="str">
        <f t="shared" si="14"/>
        <v/>
      </c>
    </row>
    <row r="293" ht="27.6" spans="1:17">
      <c r="A293" s="4">
        <v>292</v>
      </c>
      <c r="B293" s="4" t="s">
        <v>918</v>
      </c>
      <c r="C293" s="4" t="s">
        <v>32</v>
      </c>
      <c r="D293" s="4" t="s">
        <v>919</v>
      </c>
      <c r="E293" s="5" t="str">
        <f t="shared" si="12"/>
        <v>Mrs.PRIYA L</v>
      </c>
      <c r="F293" s="6" t="s">
        <v>904</v>
      </c>
      <c r="G293" s="5" t="s">
        <v>20</v>
      </c>
      <c r="H293" s="5" t="s">
        <v>920</v>
      </c>
      <c r="I29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Col2='""&amp;B293&amp;""'"",0)"),1)</f>
        <v>1</v>
      </c>
      <c r="J293" s="5">
        <f>IFERROR(__xludf.DUMMYFUNCTION("""COMPUTED_VALUE"""),0)</f>
        <v>0</v>
      </c>
      <c r="K293" s="5">
        <f>IFERROR(__xludf.DUMMYFUNCTION("""COMPUTED_VALUE"""),1)</f>
        <v>1</v>
      </c>
      <c r="L293" s="5">
        <f>IFERROR(__xludf.DUMMYFUNCTION("""COMPUTED_VALUE"""),0)</f>
        <v>0</v>
      </c>
      <c r="M293" s="5" t="str">
        <f>IFERROR(__xludf.DUMMYFUNCTION("""COMPUTED_VALUE"""),"Working")</f>
        <v>Working</v>
      </c>
      <c r="N293" s="5" t="str">
        <f>IFERROR(__xludf.DUMMYFUNCTION("""COMPUTED_VALUE"""),"CORRECT")</f>
        <v>CORRECT</v>
      </c>
      <c r="O293" s="5" t="str">
        <f>IFERROR(__xludf.DUMMYFUNCTION("""COMPUTED_VALUE"""),"CORRECT")</f>
        <v>CORRECT</v>
      </c>
      <c r="P293" s="5" t="str">
        <f t="shared" si="13"/>
        <v/>
      </c>
      <c r="Q293" s="5" t="str">
        <f t="shared" si="14"/>
        <v/>
      </c>
    </row>
    <row r="294" ht="14.4" spans="1:17">
      <c r="A294" s="4">
        <v>293</v>
      </c>
      <c r="B294" s="4" t="s">
        <v>921</v>
      </c>
      <c r="C294" s="4" t="s">
        <v>23</v>
      </c>
      <c r="D294" s="4" t="s">
        <v>922</v>
      </c>
      <c r="E294" s="5" t="str">
        <f t="shared" si="12"/>
        <v>Dr.CHANDRAPRABHA K</v>
      </c>
      <c r="F294" s="6" t="s">
        <v>904</v>
      </c>
      <c r="G294" s="5" t="s">
        <v>25</v>
      </c>
      <c r="H294" s="5" t="s">
        <v>923</v>
      </c>
      <c r="I29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Col2='""&amp;B294&amp;""'"",0)"),2)</f>
        <v>2</v>
      </c>
      <c r="J294" s="5">
        <f>IFERROR(__xludf.DUMMYFUNCTION("""COMPUTED_VALUE"""),1)</f>
        <v>1</v>
      </c>
      <c r="K294" s="5">
        <f>IFERROR(__xludf.DUMMYFUNCTION("""COMPUTED_VALUE"""),2)</f>
        <v>2</v>
      </c>
      <c r="L294" s="5">
        <f>IFERROR(__xludf.DUMMYFUNCTION("""COMPUTED_VALUE"""),1)</f>
        <v>1</v>
      </c>
      <c r="M294" s="5" t="str">
        <f>IFERROR(__xludf.DUMMYFUNCTION("""COMPUTED_VALUE"""),"Working")</f>
        <v>Working</v>
      </c>
      <c r="N294" s="5" t="str">
        <f>IFERROR(__xludf.DUMMYFUNCTION("""COMPUTED_VALUE"""),"CORRECT")</f>
        <v>CORRECT</v>
      </c>
      <c r="O294" s="5" t="str">
        <f>IFERROR(__xludf.DUMMYFUNCTION("""COMPUTED_VALUE"""),"CORRECT")</f>
        <v>CORRECT</v>
      </c>
      <c r="P294" s="5" t="str">
        <f t="shared" si="13"/>
        <v/>
      </c>
      <c r="Q294" s="5" t="str">
        <f t="shared" si="14"/>
        <v/>
      </c>
    </row>
    <row r="295" ht="14.4" spans="1:17">
      <c r="A295" s="4">
        <v>294</v>
      </c>
      <c r="B295" s="4" t="s">
        <v>924</v>
      </c>
      <c r="C295" s="4" t="s">
        <v>23</v>
      </c>
      <c r="D295" s="4" t="s">
        <v>925</v>
      </c>
      <c r="E295" s="5" t="str">
        <f t="shared" si="12"/>
        <v>Dr.VENKATESAN R</v>
      </c>
      <c r="F295" s="6" t="s">
        <v>904</v>
      </c>
      <c r="G295" s="5" t="s">
        <v>25</v>
      </c>
      <c r="H295" s="5" t="s">
        <v>926</v>
      </c>
      <c r="I29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Col2='""&amp;B295&amp;""'"",0)"),1)</f>
        <v>1</v>
      </c>
      <c r="J295" s="5">
        <f>IFERROR(__xludf.DUMMYFUNCTION("""COMPUTED_VALUE"""),0)</f>
        <v>0</v>
      </c>
      <c r="K295" s="5">
        <f>IFERROR(__xludf.DUMMYFUNCTION("""COMPUTED_VALUE"""),1)</f>
        <v>1</v>
      </c>
      <c r="L295" s="5">
        <f>IFERROR(__xludf.DUMMYFUNCTION("""COMPUTED_VALUE"""),0)</f>
        <v>0</v>
      </c>
      <c r="M295" s="5" t="str">
        <f>IFERROR(__xludf.DUMMYFUNCTION("""COMPUTED_VALUE"""),"Working")</f>
        <v>Working</v>
      </c>
      <c r="N295" s="5" t="str">
        <f>IFERROR(__xludf.DUMMYFUNCTION("""COMPUTED_VALUE"""),"CORRECT")</f>
        <v>CORRECT</v>
      </c>
      <c r="O295" s="5" t="str">
        <f>IFERROR(__xludf.DUMMYFUNCTION("""COMPUTED_VALUE"""),"CORRECT")</f>
        <v>CORRECT</v>
      </c>
      <c r="P295" s="5" t="str">
        <f t="shared" si="13"/>
        <v/>
      </c>
      <c r="Q295" s="5" t="str">
        <f t="shared" si="14"/>
        <v/>
      </c>
    </row>
    <row r="296" ht="27.6" spans="1:17">
      <c r="A296" s="4">
        <v>295</v>
      </c>
      <c r="B296" s="4" t="s">
        <v>927</v>
      </c>
      <c r="C296" s="4" t="s">
        <v>17</v>
      </c>
      <c r="D296" s="4" t="s">
        <v>928</v>
      </c>
      <c r="E296" s="5" t="str">
        <f t="shared" si="12"/>
        <v>Mr.SELVAKUMAR M</v>
      </c>
      <c r="F296" s="6" t="s">
        <v>904</v>
      </c>
      <c r="G296" s="5" t="s">
        <v>20</v>
      </c>
      <c r="H296" s="5" t="s">
        <v>929</v>
      </c>
      <c r="I29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Col2='""&amp;B296&amp;""'"",0)"),2)</f>
        <v>2</v>
      </c>
      <c r="J296" s="5">
        <f>IFERROR(__xludf.DUMMYFUNCTION("""COMPUTED_VALUE"""),2)</f>
        <v>2</v>
      </c>
      <c r="K296" s="5">
        <f>IFERROR(__xludf.DUMMYFUNCTION("""COMPUTED_VALUE"""),2)</f>
        <v>2</v>
      </c>
      <c r="L296" s="5">
        <f>IFERROR(__xludf.DUMMYFUNCTION("""COMPUTED_VALUE"""),1)</f>
        <v>1</v>
      </c>
      <c r="M296" s="5" t="str">
        <f>IFERROR(__xludf.DUMMYFUNCTION("""COMPUTED_VALUE"""),"Working")</f>
        <v>Working</v>
      </c>
      <c r="N296" s="5" t="str">
        <f>IFERROR(__xludf.DUMMYFUNCTION("""COMPUTED_VALUE"""),"CORRECT")</f>
        <v>CORRECT</v>
      </c>
      <c r="O296" s="5" t="str">
        <f>IFERROR(__xludf.DUMMYFUNCTION("""COMPUTED_VALUE"""),"LOAD PENDING")</f>
        <v>LOAD PENDING</v>
      </c>
      <c r="P296" s="5" t="str">
        <f t="shared" si="13"/>
        <v/>
      </c>
      <c r="Q296" s="5" t="str">
        <f t="shared" si="14"/>
        <v/>
      </c>
    </row>
    <row r="297" ht="27.6" spans="1:17">
      <c r="A297" s="4">
        <v>296</v>
      </c>
      <c r="B297" s="4" t="s">
        <v>930</v>
      </c>
      <c r="C297" s="4" t="s">
        <v>53</v>
      </c>
      <c r="D297" s="4" t="s">
        <v>931</v>
      </c>
      <c r="E297" s="5" t="str">
        <f t="shared" si="12"/>
        <v>Ms.NIKITHA M</v>
      </c>
      <c r="F297" s="6" t="s">
        <v>904</v>
      </c>
      <c r="G297" s="5" t="s">
        <v>37</v>
      </c>
      <c r="H297" s="5" t="s">
        <v>932</v>
      </c>
      <c r="I29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Col2='""&amp;B297&amp;""'"",0)"),1)</f>
        <v>1</v>
      </c>
      <c r="J297" s="5">
        <f>IFERROR(__xludf.DUMMYFUNCTION("""COMPUTED_VALUE"""),0)</f>
        <v>0</v>
      </c>
      <c r="K297" s="5">
        <f>IFERROR(__xludf.DUMMYFUNCTION("""COMPUTED_VALUE"""),1)</f>
        <v>1</v>
      </c>
      <c r="L297" s="5">
        <f>IFERROR(__xludf.DUMMYFUNCTION("""COMPUTED_VALUE"""),0)</f>
        <v>0</v>
      </c>
      <c r="M297" s="5" t="str">
        <f>IFERROR(__xludf.DUMMYFUNCTION("""COMPUTED_VALUE"""),"Working")</f>
        <v>Working</v>
      </c>
      <c r="N297" s="5" t="str">
        <f>IFERROR(__xludf.DUMMYFUNCTION("""COMPUTED_VALUE"""),"CORRECT")</f>
        <v>CORRECT</v>
      </c>
      <c r="O297" s="5" t="str">
        <f>IFERROR(__xludf.DUMMYFUNCTION("""COMPUTED_VALUE"""),"CORRECT")</f>
        <v>CORRECT</v>
      </c>
      <c r="P297" s="5" t="str">
        <f t="shared" si="13"/>
        <v/>
      </c>
      <c r="Q297" s="5" t="str">
        <f t="shared" si="14"/>
        <v/>
      </c>
    </row>
    <row r="298" ht="14.4" spans="1:17">
      <c r="A298" s="4">
        <v>297</v>
      </c>
      <c r="B298" s="4" t="s">
        <v>933</v>
      </c>
      <c r="C298" s="4" t="s">
        <v>23</v>
      </c>
      <c r="D298" s="4" t="s">
        <v>934</v>
      </c>
      <c r="E298" s="5" t="str">
        <f t="shared" si="12"/>
        <v>Dr.PRIYA J</v>
      </c>
      <c r="F298" s="6" t="s">
        <v>904</v>
      </c>
      <c r="G298" s="5" t="s">
        <v>25</v>
      </c>
      <c r="H298" s="5" t="s">
        <v>935</v>
      </c>
      <c r="I29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Col2='""&amp;B298&amp;""'"",0)"),2)</f>
        <v>2</v>
      </c>
      <c r="J298" s="5">
        <f>IFERROR(__xludf.DUMMYFUNCTION("""COMPUTED_VALUE"""),1)</f>
        <v>1</v>
      </c>
      <c r="K298" s="5">
        <f>IFERROR(__xludf.DUMMYFUNCTION("""COMPUTED_VALUE"""),2)</f>
        <v>2</v>
      </c>
      <c r="L298" s="5">
        <f>IFERROR(__xludf.DUMMYFUNCTION("""COMPUTED_VALUE"""),1)</f>
        <v>1</v>
      </c>
      <c r="M298" s="5" t="str">
        <f>IFERROR(__xludf.DUMMYFUNCTION("""COMPUTED_VALUE"""),"Working")</f>
        <v>Working</v>
      </c>
      <c r="N298" s="5" t="str">
        <f>IFERROR(__xludf.DUMMYFUNCTION("""COMPUTED_VALUE"""),"CORRECT")</f>
        <v>CORRECT</v>
      </c>
      <c r="O298" s="5" t="str">
        <f>IFERROR(__xludf.DUMMYFUNCTION("""COMPUTED_VALUE"""),"CORRECT")</f>
        <v>CORRECT</v>
      </c>
      <c r="P298" s="5" t="str">
        <f t="shared" si="13"/>
        <v/>
      </c>
      <c r="Q298" s="5" t="str">
        <f t="shared" si="14"/>
        <v/>
      </c>
    </row>
    <row r="299" ht="14.4" spans="1:17">
      <c r="A299" s="4">
        <v>298</v>
      </c>
      <c r="B299" s="4" t="s">
        <v>936</v>
      </c>
      <c r="C299" s="4" t="s">
        <v>23</v>
      </c>
      <c r="D299" s="4" t="s">
        <v>937</v>
      </c>
      <c r="E299" s="5" t="str">
        <f t="shared" si="12"/>
        <v>Dr.SADHASIVAM N</v>
      </c>
      <c r="F299" s="6" t="s">
        <v>904</v>
      </c>
      <c r="G299" s="5" t="s">
        <v>29</v>
      </c>
      <c r="H299" s="5" t="s">
        <v>938</v>
      </c>
      <c r="I29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Col2='""&amp;B299&amp;""'"",0)"),1)</f>
        <v>1</v>
      </c>
      <c r="J299" s="5">
        <f>IFERROR(__xludf.DUMMYFUNCTION("""COMPUTED_VALUE"""),1)</f>
        <v>1</v>
      </c>
      <c r="K299" s="5">
        <f>IFERROR(__xludf.DUMMYFUNCTION("""COMPUTED_VALUE"""),2)</f>
        <v>2</v>
      </c>
      <c r="L299" s="5">
        <f>IFERROR(__xludf.DUMMYFUNCTION("""COMPUTED_VALUE"""),0)</f>
        <v>0</v>
      </c>
      <c r="M299" s="5" t="str">
        <f>IFERROR(__xludf.DUMMYFUNCTION("""COMPUTED_VALUE"""),"Working")</f>
        <v>Working</v>
      </c>
      <c r="N299" s="5" t="str">
        <f>IFERROR(__xludf.DUMMYFUNCTION("""COMPUTED_VALUE"""),"CORRECT")</f>
        <v>CORRECT</v>
      </c>
      <c r="O299" s="5" t="str">
        <f>IFERROR(__xludf.DUMMYFUNCTION("""COMPUTED_VALUE"""),"LOAD PENDING")</f>
        <v>LOAD PENDING</v>
      </c>
      <c r="P299" s="5" t="str">
        <f t="shared" si="13"/>
        <v>Extra Theory Load Alloted</v>
      </c>
      <c r="Q299" s="5" t="str">
        <f t="shared" si="14"/>
        <v/>
      </c>
    </row>
    <row r="300" ht="14.4" spans="1:17">
      <c r="A300" s="4">
        <v>299</v>
      </c>
      <c r="B300" s="4" t="s">
        <v>939</v>
      </c>
      <c r="C300" s="4" t="s">
        <v>32</v>
      </c>
      <c r="D300" s="4" t="s">
        <v>940</v>
      </c>
      <c r="E300" s="5" t="str">
        <f t="shared" si="12"/>
        <v>Mrs.SANTHIYA B</v>
      </c>
      <c r="F300" s="6" t="s">
        <v>904</v>
      </c>
      <c r="G300" s="5" t="s">
        <v>47</v>
      </c>
      <c r="H300" s="5" t="s">
        <v>941</v>
      </c>
      <c r="I30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Col2='""&amp;B300&amp;""'"",0)"),2)</f>
        <v>2</v>
      </c>
      <c r="J300" s="5">
        <f>IFERROR(__xludf.DUMMYFUNCTION("""COMPUTED_VALUE"""),2)</f>
        <v>2</v>
      </c>
      <c r="K300" s="5">
        <f>IFERROR(__xludf.DUMMYFUNCTION("""COMPUTED_VALUE"""),2)</f>
        <v>2</v>
      </c>
      <c r="L300" s="5">
        <f>IFERROR(__xludf.DUMMYFUNCTION("""COMPUTED_VALUE"""),1)</f>
        <v>1</v>
      </c>
      <c r="M300" s="5" t="str">
        <f>IFERROR(__xludf.DUMMYFUNCTION("""COMPUTED_VALUE"""),"Working")</f>
        <v>Working</v>
      </c>
      <c r="N300" s="5" t="str">
        <f>IFERROR(__xludf.DUMMYFUNCTION("""COMPUTED_VALUE"""),"CORRECT")</f>
        <v>CORRECT</v>
      </c>
      <c r="O300" s="5" t="str">
        <f>IFERROR(__xludf.DUMMYFUNCTION("""COMPUTED_VALUE"""),"LOAD PENDING")</f>
        <v>LOAD PENDING</v>
      </c>
      <c r="P300" s="5" t="str">
        <f t="shared" si="13"/>
        <v/>
      </c>
      <c r="Q300" s="5" t="str">
        <f t="shared" si="14"/>
        <v/>
      </c>
    </row>
    <row r="301" ht="14.4" spans="1:17">
      <c r="A301" s="4">
        <v>300</v>
      </c>
      <c r="B301" s="4" t="s">
        <v>942</v>
      </c>
      <c r="C301" s="4" t="s">
        <v>53</v>
      </c>
      <c r="D301" s="4" t="s">
        <v>943</v>
      </c>
      <c r="E301" s="5" t="str">
        <f t="shared" si="12"/>
        <v>Ms.MUTHUMEENA S</v>
      </c>
      <c r="F301" s="6" t="s">
        <v>904</v>
      </c>
      <c r="G301" s="5" t="s">
        <v>47</v>
      </c>
      <c r="H301" s="5" t="s">
        <v>944</v>
      </c>
      <c r="I30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Col2='""&amp;B301&amp;""'"",0)"),2)</f>
        <v>2</v>
      </c>
      <c r="J301" s="5">
        <f>IFERROR(__xludf.DUMMYFUNCTION("""COMPUTED_VALUE"""),2)</f>
        <v>2</v>
      </c>
      <c r="K301" s="5">
        <f>IFERROR(__xludf.DUMMYFUNCTION("""COMPUTED_VALUE"""),2)</f>
        <v>2</v>
      </c>
      <c r="L301" s="5">
        <f>IFERROR(__xludf.DUMMYFUNCTION("""COMPUTED_VALUE"""),1)</f>
        <v>1</v>
      </c>
      <c r="M301" s="5" t="str">
        <f>IFERROR(__xludf.DUMMYFUNCTION("""COMPUTED_VALUE"""),"Working")</f>
        <v>Working</v>
      </c>
      <c r="N301" s="5" t="str">
        <f>IFERROR(__xludf.DUMMYFUNCTION("""COMPUTED_VALUE"""),"CORRECT")</f>
        <v>CORRECT</v>
      </c>
      <c r="O301" s="5" t="str">
        <f>IFERROR(__xludf.DUMMYFUNCTION("""COMPUTED_VALUE"""),"LOAD PENDING")</f>
        <v>LOAD PENDING</v>
      </c>
      <c r="P301" s="5" t="str">
        <f t="shared" si="13"/>
        <v/>
      </c>
      <c r="Q301" s="5" t="str">
        <f t="shared" si="14"/>
        <v/>
      </c>
    </row>
    <row r="302" ht="27.6" spans="1:17">
      <c r="A302" s="4">
        <v>301</v>
      </c>
      <c r="B302" s="4" t="s">
        <v>945</v>
      </c>
      <c r="C302" s="4" t="s">
        <v>23</v>
      </c>
      <c r="D302" s="4" t="s">
        <v>946</v>
      </c>
      <c r="E302" s="5" t="str">
        <f t="shared" si="12"/>
        <v>Dr.TAMILTHENDRAL M</v>
      </c>
      <c r="F302" s="6" t="s">
        <v>904</v>
      </c>
      <c r="G302" s="5" t="s">
        <v>20</v>
      </c>
      <c r="H302" s="5" t="s">
        <v>947</v>
      </c>
      <c r="I30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Col2='""&amp;B302&amp;""'"",0)"),2)</f>
        <v>2</v>
      </c>
      <c r="J302" s="5">
        <f>IFERROR(__xludf.DUMMYFUNCTION("""COMPUTED_VALUE"""),2)</f>
        <v>2</v>
      </c>
      <c r="K302" s="5">
        <f>IFERROR(__xludf.DUMMYFUNCTION("""COMPUTED_VALUE"""),2)</f>
        <v>2</v>
      </c>
      <c r="L302" s="5">
        <f>IFERROR(__xludf.DUMMYFUNCTION("""COMPUTED_VALUE"""),1)</f>
        <v>1</v>
      </c>
      <c r="M302" s="5" t="str">
        <f>IFERROR(__xludf.DUMMYFUNCTION("""COMPUTED_VALUE"""),"Working")</f>
        <v>Working</v>
      </c>
      <c r="N302" s="5" t="str">
        <f>IFERROR(__xludf.DUMMYFUNCTION("""COMPUTED_VALUE"""),"CORRECT")</f>
        <v>CORRECT</v>
      </c>
      <c r="O302" s="5" t="str">
        <f>IFERROR(__xludf.DUMMYFUNCTION("""COMPUTED_VALUE"""),"LOAD PENDING")</f>
        <v>LOAD PENDING</v>
      </c>
      <c r="P302" s="5" t="str">
        <f t="shared" si="13"/>
        <v/>
      </c>
      <c r="Q302" s="5" t="str">
        <f t="shared" si="14"/>
        <v/>
      </c>
    </row>
    <row r="303" ht="27.6" spans="1:17">
      <c r="A303" s="4">
        <v>302</v>
      </c>
      <c r="B303" s="4" t="s">
        <v>948</v>
      </c>
      <c r="C303" s="4" t="s">
        <v>23</v>
      </c>
      <c r="D303" s="4" t="s">
        <v>949</v>
      </c>
      <c r="E303" s="5" t="str">
        <f t="shared" si="12"/>
        <v>Dr.NIVEDHA S</v>
      </c>
      <c r="F303" s="6" t="s">
        <v>904</v>
      </c>
      <c r="G303" s="5" t="s">
        <v>20</v>
      </c>
      <c r="H303" s="5" t="s">
        <v>950</v>
      </c>
      <c r="I30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Col2='""&amp;B303&amp;""'"",0)"),1)</f>
        <v>1</v>
      </c>
      <c r="J303" s="5">
        <f>IFERROR(__xludf.DUMMYFUNCTION("""COMPUTED_VALUE"""),1)</f>
        <v>1</v>
      </c>
      <c r="K303" s="5">
        <f>IFERROR(__xludf.DUMMYFUNCTION("""COMPUTED_VALUE"""),1)</f>
        <v>1</v>
      </c>
      <c r="L303" s="5">
        <f>IFERROR(__xludf.DUMMYFUNCTION("""COMPUTED_VALUE"""),1)</f>
        <v>1</v>
      </c>
      <c r="M303" s="5" t="str">
        <f>IFERROR(__xludf.DUMMYFUNCTION("""COMPUTED_VALUE"""),"Working")</f>
        <v>Working</v>
      </c>
      <c r="N303" s="5" t="str">
        <f>IFERROR(__xludf.DUMMYFUNCTION("""COMPUTED_VALUE"""),"CORRECT")</f>
        <v>CORRECT</v>
      </c>
      <c r="O303" s="5" t="str">
        <f>IFERROR(__xludf.DUMMYFUNCTION("""COMPUTED_VALUE"""),"CORRECT")</f>
        <v>CORRECT</v>
      </c>
      <c r="P303" s="5" t="str">
        <f t="shared" si="13"/>
        <v/>
      </c>
      <c r="Q303" s="5" t="str">
        <f t="shared" si="14"/>
        <v/>
      </c>
    </row>
    <row r="304" ht="14.4" spans="1:17">
      <c r="A304" s="4">
        <v>303</v>
      </c>
      <c r="B304" s="4" t="s">
        <v>951</v>
      </c>
      <c r="C304" s="4" t="s">
        <v>32</v>
      </c>
      <c r="D304" s="4" t="s">
        <v>952</v>
      </c>
      <c r="E304" s="5" t="str">
        <f t="shared" si="12"/>
        <v>Mrs.KAVITHA V</v>
      </c>
      <c r="F304" s="6" t="s">
        <v>904</v>
      </c>
      <c r="G304" s="5" t="s">
        <v>47</v>
      </c>
      <c r="H304" s="5" t="s">
        <v>953</v>
      </c>
      <c r="I30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Col2='""&amp;B304&amp;""'"",0)"),2)</f>
        <v>2</v>
      </c>
      <c r="J304" s="5">
        <f>IFERROR(__xludf.DUMMYFUNCTION("""COMPUTED_VALUE"""),2)</f>
        <v>2</v>
      </c>
      <c r="K304" s="5">
        <f>IFERROR(__xludf.DUMMYFUNCTION("""COMPUTED_VALUE"""),2)</f>
        <v>2</v>
      </c>
      <c r="L304" s="5">
        <f>IFERROR(__xludf.DUMMYFUNCTION("""COMPUTED_VALUE"""),1)</f>
        <v>1</v>
      </c>
      <c r="M304" s="5" t="str">
        <f>IFERROR(__xludf.DUMMYFUNCTION("""COMPUTED_VALUE"""),"Working")</f>
        <v>Working</v>
      </c>
      <c r="N304" s="5" t="str">
        <f>IFERROR(__xludf.DUMMYFUNCTION("""COMPUTED_VALUE"""),"CORRECT")</f>
        <v>CORRECT</v>
      </c>
      <c r="O304" s="5" t="str">
        <f>IFERROR(__xludf.DUMMYFUNCTION("""COMPUTED_VALUE"""),"LOAD PENDING")</f>
        <v>LOAD PENDING</v>
      </c>
      <c r="P304" s="5" t="str">
        <f t="shared" si="13"/>
        <v/>
      </c>
      <c r="Q304" s="5" t="str">
        <f t="shared" si="14"/>
        <v/>
      </c>
    </row>
    <row r="305" ht="14.4" spans="1:17">
      <c r="A305" s="4">
        <v>304</v>
      </c>
      <c r="B305" s="4" t="s">
        <v>954</v>
      </c>
      <c r="C305" s="4" t="s">
        <v>32</v>
      </c>
      <c r="D305" s="4" t="s">
        <v>955</v>
      </c>
      <c r="E305" s="5" t="str">
        <f t="shared" si="12"/>
        <v>Mrs.PRIYA A</v>
      </c>
      <c r="F305" s="6" t="s">
        <v>904</v>
      </c>
      <c r="G305" s="5" t="s">
        <v>47</v>
      </c>
      <c r="H305" s="5" t="s">
        <v>956</v>
      </c>
      <c r="I30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Col2='""&amp;B305&amp;""'"",0)"),2)</f>
        <v>2</v>
      </c>
      <c r="J305" s="5">
        <f>IFERROR(__xludf.DUMMYFUNCTION("""COMPUTED_VALUE"""),2)</f>
        <v>2</v>
      </c>
      <c r="K305" s="5">
        <f>IFERROR(__xludf.DUMMYFUNCTION("""COMPUTED_VALUE"""),2)</f>
        <v>2</v>
      </c>
      <c r="L305" s="5">
        <f>IFERROR(__xludf.DUMMYFUNCTION("""COMPUTED_VALUE"""),2)</f>
        <v>2</v>
      </c>
      <c r="M305" s="5" t="str">
        <f>IFERROR(__xludf.DUMMYFUNCTION("""COMPUTED_VALUE"""),"Working")</f>
        <v>Working</v>
      </c>
      <c r="N305" s="5" t="str">
        <f>IFERROR(__xludf.DUMMYFUNCTION("""COMPUTED_VALUE"""),"CORRECT")</f>
        <v>CORRECT</v>
      </c>
      <c r="O305" s="5" t="str">
        <f>IFERROR(__xludf.DUMMYFUNCTION("""COMPUTED_VALUE"""),"CORRECT")</f>
        <v>CORRECT</v>
      </c>
      <c r="P305" s="5" t="str">
        <f t="shared" si="13"/>
        <v/>
      </c>
      <c r="Q305" s="5" t="str">
        <f t="shared" si="14"/>
        <v/>
      </c>
    </row>
    <row r="306" ht="27.6" spans="1:17">
      <c r="A306" s="4">
        <v>305</v>
      </c>
      <c r="B306" s="4" t="s">
        <v>957</v>
      </c>
      <c r="C306" s="4" t="s">
        <v>32</v>
      </c>
      <c r="D306" s="4" t="s">
        <v>958</v>
      </c>
      <c r="E306" s="5" t="str">
        <f t="shared" si="12"/>
        <v>Mrs.KEERTHANA K</v>
      </c>
      <c r="F306" s="6" t="s">
        <v>904</v>
      </c>
      <c r="G306" s="5" t="s">
        <v>37</v>
      </c>
      <c r="H306" s="5" t="s">
        <v>959</v>
      </c>
      <c r="I30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Col2='""&amp;B306&amp;""'"",0)"),2)</f>
        <v>2</v>
      </c>
      <c r="J306" s="5">
        <f>IFERROR(__xludf.DUMMYFUNCTION("""COMPUTED_VALUE"""),2)</f>
        <v>2</v>
      </c>
      <c r="K306" s="5">
        <f>IFERROR(__xludf.DUMMYFUNCTION("""COMPUTED_VALUE"""),2)</f>
        <v>2</v>
      </c>
      <c r="L306" s="5">
        <f>IFERROR(__xludf.DUMMYFUNCTION("""COMPUTED_VALUE"""),1)</f>
        <v>1</v>
      </c>
      <c r="M306" s="5" t="str">
        <f>IFERROR(__xludf.DUMMYFUNCTION("""COMPUTED_VALUE"""),"Working")</f>
        <v>Working</v>
      </c>
      <c r="N306" s="5" t="str">
        <f>IFERROR(__xludf.DUMMYFUNCTION("""COMPUTED_VALUE"""),"CORRECT")</f>
        <v>CORRECT</v>
      </c>
      <c r="O306" s="5" t="str">
        <f>IFERROR(__xludf.DUMMYFUNCTION("""COMPUTED_VALUE"""),"LOAD PENDING")</f>
        <v>LOAD PENDING</v>
      </c>
      <c r="P306" s="5" t="str">
        <f t="shared" si="13"/>
        <v/>
      </c>
      <c r="Q306" s="5" t="str">
        <f t="shared" si="14"/>
        <v/>
      </c>
    </row>
    <row r="307" ht="27.6" spans="1:17">
      <c r="A307" s="4">
        <v>306</v>
      </c>
      <c r="B307" s="4" t="s">
        <v>960</v>
      </c>
      <c r="C307" s="4" t="s">
        <v>32</v>
      </c>
      <c r="D307" s="4" t="s">
        <v>961</v>
      </c>
      <c r="E307" s="5" t="str">
        <f t="shared" si="12"/>
        <v>Mrs.SHANGARA NARAYANEE N P</v>
      </c>
      <c r="F307" s="6" t="s">
        <v>904</v>
      </c>
      <c r="G307" s="5" t="s">
        <v>47</v>
      </c>
      <c r="H307" s="5" t="s">
        <v>962</v>
      </c>
      <c r="I30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Col2='""&amp;B307&amp;""'"",0)"),2)</f>
        <v>2</v>
      </c>
      <c r="J307" s="5">
        <f>IFERROR(__xludf.DUMMYFUNCTION("""COMPUTED_VALUE"""),2)</f>
        <v>2</v>
      </c>
      <c r="K307" s="5">
        <f>IFERROR(__xludf.DUMMYFUNCTION("""COMPUTED_VALUE"""),2)</f>
        <v>2</v>
      </c>
      <c r="L307" s="5">
        <f>IFERROR(__xludf.DUMMYFUNCTION("""COMPUTED_VALUE"""),1)</f>
        <v>1</v>
      </c>
      <c r="M307" s="5" t="str">
        <f>IFERROR(__xludf.DUMMYFUNCTION("""COMPUTED_VALUE"""),"Working")</f>
        <v>Working</v>
      </c>
      <c r="N307" s="5" t="str">
        <f>IFERROR(__xludf.DUMMYFUNCTION("""COMPUTED_VALUE"""),"CORRECT")</f>
        <v>CORRECT</v>
      </c>
      <c r="O307" s="5" t="str">
        <f>IFERROR(__xludf.DUMMYFUNCTION("""COMPUTED_VALUE"""),"LOAD PENDING")</f>
        <v>LOAD PENDING</v>
      </c>
      <c r="P307" s="5" t="str">
        <f t="shared" si="13"/>
        <v/>
      </c>
      <c r="Q307" s="5" t="str">
        <f t="shared" si="14"/>
        <v/>
      </c>
    </row>
    <row r="308" ht="14.4" spans="1:17">
      <c r="A308" s="4">
        <v>307</v>
      </c>
      <c r="B308" s="4" t="s">
        <v>963</v>
      </c>
      <c r="C308" s="4" t="s">
        <v>53</v>
      </c>
      <c r="D308" s="4" t="s">
        <v>964</v>
      </c>
      <c r="E308" s="5" t="str">
        <f t="shared" si="12"/>
        <v>Ms.INDHU BHASHINI V</v>
      </c>
      <c r="F308" s="6" t="s">
        <v>904</v>
      </c>
      <c r="G308" s="5" t="s">
        <v>47</v>
      </c>
      <c r="H308" s="5" t="s">
        <v>965</v>
      </c>
      <c r="I30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Col2='""&amp;B308&amp;""'"",0)"),2)</f>
        <v>2</v>
      </c>
      <c r="J308" s="5">
        <f>IFERROR(__xludf.DUMMYFUNCTION("""COMPUTED_VALUE"""),2)</f>
        <v>2</v>
      </c>
      <c r="K308" s="5">
        <f>IFERROR(__xludf.DUMMYFUNCTION("""COMPUTED_VALUE"""),2)</f>
        <v>2</v>
      </c>
      <c r="L308" s="5">
        <f>IFERROR(__xludf.DUMMYFUNCTION("""COMPUTED_VALUE"""),1)</f>
        <v>1</v>
      </c>
      <c r="M308" s="5" t="str">
        <f>IFERROR(__xludf.DUMMYFUNCTION("""COMPUTED_VALUE"""),"Working")</f>
        <v>Working</v>
      </c>
      <c r="N308" s="5" t="str">
        <f>IFERROR(__xludf.DUMMYFUNCTION("""COMPUTED_VALUE"""),"CORRECT")</f>
        <v>CORRECT</v>
      </c>
      <c r="O308" s="5" t="str">
        <f>IFERROR(__xludf.DUMMYFUNCTION("""COMPUTED_VALUE"""),"LOAD PENDING")</f>
        <v>LOAD PENDING</v>
      </c>
      <c r="P308" s="5" t="str">
        <f t="shared" si="13"/>
        <v/>
      </c>
      <c r="Q308" s="5" t="str">
        <f t="shared" si="14"/>
        <v/>
      </c>
    </row>
    <row r="309" ht="27.6" spans="1:17">
      <c r="A309" s="4">
        <v>308</v>
      </c>
      <c r="B309" s="4" t="s">
        <v>966</v>
      </c>
      <c r="C309" s="4" t="s">
        <v>17</v>
      </c>
      <c r="D309" s="4" t="s">
        <v>967</v>
      </c>
      <c r="E309" s="5" t="str">
        <f t="shared" si="12"/>
        <v>Mr.MOHEMMED YOUSUF</v>
      </c>
      <c r="F309" s="6" t="s">
        <v>904</v>
      </c>
      <c r="G309" s="5" t="s">
        <v>37</v>
      </c>
      <c r="H309" s="5" t="s">
        <v>968</v>
      </c>
      <c r="I30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Col2='""&amp;B309&amp;""'"",0)"),2)</f>
        <v>2</v>
      </c>
      <c r="J309" s="5">
        <f>IFERROR(__xludf.DUMMYFUNCTION("""COMPUTED_VALUE"""),2)</f>
        <v>2</v>
      </c>
      <c r="K309" s="5">
        <f>IFERROR(__xludf.DUMMYFUNCTION("""COMPUTED_VALUE"""),2)</f>
        <v>2</v>
      </c>
      <c r="L309" s="5">
        <f>IFERROR(__xludf.DUMMYFUNCTION("""COMPUTED_VALUE"""),1)</f>
        <v>1</v>
      </c>
      <c r="M309" s="5" t="str">
        <f>IFERROR(__xludf.DUMMYFUNCTION("""COMPUTED_VALUE"""),"Working")</f>
        <v>Working</v>
      </c>
      <c r="N309" s="5" t="str">
        <f>IFERROR(__xludf.DUMMYFUNCTION("""COMPUTED_VALUE"""),"CORRECT")</f>
        <v>CORRECT</v>
      </c>
      <c r="O309" s="5" t="str">
        <f>IFERROR(__xludf.DUMMYFUNCTION("""COMPUTED_VALUE"""),"LOAD PENDING")</f>
        <v>LOAD PENDING</v>
      </c>
      <c r="P309" s="5" t="str">
        <f t="shared" si="13"/>
        <v/>
      </c>
      <c r="Q309" s="5" t="str">
        <f t="shared" si="14"/>
        <v/>
      </c>
    </row>
    <row r="310" ht="27.6" spans="1:17">
      <c r="A310" s="4">
        <v>309</v>
      </c>
      <c r="B310" s="4" t="s">
        <v>969</v>
      </c>
      <c r="C310" s="4" t="s">
        <v>17</v>
      </c>
      <c r="D310" s="4" t="s">
        <v>970</v>
      </c>
      <c r="E310" s="5" t="str">
        <f t="shared" si="12"/>
        <v>Mr.SENTHILNATHAN S</v>
      </c>
      <c r="F310" s="6" t="s">
        <v>904</v>
      </c>
      <c r="G310" s="5" t="s">
        <v>37</v>
      </c>
      <c r="H310" s="5" t="s">
        <v>971</v>
      </c>
      <c r="I31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Col2='""&amp;B310&amp;""'"",0)"),2)</f>
        <v>2</v>
      </c>
      <c r="J310" s="5">
        <f>IFERROR(__xludf.DUMMYFUNCTION("""COMPUTED_VALUE"""),2)</f>
        <v>2</v>
      </c>
      <c r="K310" s="5">
        <f>IFERROR(__xludf.DUMMYFUNCTION("""COMPUTED_VALUE"""),2)</f>
        <v>2</v>
      </c>
      <c r="L310" s="5">
        <f>IFERROR(__xludf.DUMMYFUNCTION("""COMPUTED_VALUE"""),1)</f>
        <v>1</v>
      </c>
      <c r="M310" s="5" t="str">
        <f>IFERROR(__xludf.DUMMYFUNCTION("""COMPUTED_VALUE"""),"Working")</f>
        <v>Working</v>
      </c>
      <c r="N310" s="5" t="str">
        <f>IFERROR(__xludf.DUMMYFUNCTION("""COMPUTED_VALUE"""),"CORRECT")</f>
        <v>CORRECT</v>
      </c>
      <c r="O310" s="5" t="str">
        <f>IFERROR(__xludf.DUMMYFUNCTION("""COMPUTED_VALUE"""),"LOAD PENDING")</f>
        <v>LOAD PENDING</v>
      </c>
      <c r="P310" s="5" t="str">
        <f t="shared" si="13"/>
        <v/>
      </c>
      <c r="Q310" s="5" t="str">
        <f t="shared" si="14"/>
        <v/>
      </c>
    </row>
    <row r="311" ht="14.4" spans="1:17">
      <c r="A311" s="4">
        <v>310</v>
      </c>
      <c r="B311" s="4" t="s">
        <v>972</v>
      </c>
      <c r="C311" s="4" t="s">
        <v>32</v>
      </c>
      <c r="D311" s="4" t="s">
        <v>973</v>
      </c>
      <c r="E311" s="5" t="str">
        <f t="shared" si="12"/>
        <v>Mrs.DEEPA SUMATHI M</v>
      </c>
      <c r="F311" s="6" t="s">
        <v>904</v>
      </c>
      <c r="G311" s="5" t="s">
        <v>47</v>
      </c>
      <c r="H311" s="5" t="s">
        <v>974</v>
      </c>
      <c r="I31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Col2='""&amp;B311&amp;""'"",0)"),2)</f>
        <v>2</v>
      </c>
      <c r="J311" s="5">
        <f>IFERROR(__xludf.DUMMYFUNCTION("""COMPUTED_VALUE"""),2)</f>
        <v>2</v>
      </c>
      <c r="K311" s="5">
        <f>IFERROR(__xludf.DUMMYFUNCTION("""COMPUTED_VALUE"""),2)</f>
        <v>2</v>
      </c>
      <c r="L311" s="5">
        <f>IFERROR(__xludf.DUMMYFUNCTION("""COMPUTED_VALUE"""),1)</f>
        <v>1</v>
      </c>
      <c r="M311" s="5" t="str">
        <f>IFERROR(__xludf.DUMMYFUNCTION("""COMPUTED_VALUE"""),"Working")</f>
        <v>Working</v>
      </c>
      <c r="N311" s="5" t="str">
        <f>IFERROR(__xludf.DUMMYFUNCTION("""COMPUTED_VALUE"""),"CORRECT")</f>
        <v>CORRECT</v>
      </c>
      <c r="O311" s="5" t="str">
        <f>IFERROR(__xludf.DUMMYFUNCTION("""COMPUTED_VALUE"""),"LOAD PENDING")</f>
        <v>LOAD PENDING</v>
      </c>
      <c r="P311" s="5" t="str">
        <f t="shared" si="13"/>
        <v/>
      </c>
      <c r="Q311" s="5" t="str">
        <f t="shared" si="14"/>
        <v/>
      </c>
    </row>
    <row r="312" ht="14.4" spans="1:17">
      <c r="A312" s="4">
        <v>311</v>
      </c>
      <c r="B312" s="4" t="s">
        <v>975</v>
      </c>
      <c r="C312" s="4" t="s">
        <v>32</v>
      </c>
      <c r="D312" s="4" t="s">
        <v>976</v>
      </c>
      <c r="E312" s="5" t="str">
        <f t="shared" si="12"/>
        <v>Mrs.ELAVARASI T</v>
      </c>
      <c r="F312" s="6" t="s">
        <v>904</v>
      </c>
      <c r="G312" s="5" t="s">
        <v>47</v>
      </c>
      <c r="H312" s="5" t="s">
        <v>977</v>
      </c>
      <c r="I31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Col2='""&amp;B312&amp;""'"",0)"),2)</f>
        <v>2</v>
      </c>
      <c r="J312" s="5">
        <f>IFERROR(__xludf.DUMMYFUNCTION("""COMPUTED_VALUE"""),2)</f>
        <v>2</v>
      </c>
      <c r="K312" s="5">
        <f>IFERROR(__xludf.DUMMYFUNCTION("""COMPUTED_VALUE"""),2)</f>
        <v>2</v>
      </c>
      <c r="L312" s="5">
        <f>IFERROR(__xludf.DUMMYFUNCTION("""COMPUTED_VALUE"""),1)</f>
        <v>1</v>
      </c>
      <c r="M312" s="5" t="str">
        <f>IFERROR(__xludf.DUMMYFUNCTION("""COMPUTED_VALUE"""),"Working")</f>
        <v>Working</v>
      </c>
      <c r="N312" s="5" t="str">
        <f>IFERROR(__xludf.DUMMYFUNCTION("""COMPUTED_VALUE"""),"CORRECT")</f>
        <v>CORRECT</v>
      </c>
      <c r="O312" s="5" t="str">
        <f>IFERROR(__xludf.DUMMYFUNCTION("""COMPUTED_VALUE"""),"LOAD PENDING")</f>
        <v>LOAD PENDING</v>
      </c>
      <c r="P312" s="5" t="str">
        <f t="shared" si="13"/>
        <v/>
      </c>
      <c r="Q312" s="5" t="str">
        <f t="shared" si="14"/>
        <v/>
      </c>
    </row>
    <row r="313" ht="14.4" spans="1:17">
      <c r="A313" s="4">
        <v>312</v>
      </c>
      <c r="B313" s="4" t="s">
        <v>978</v>
      </c>
      <c r="C313" s="4" t="s">
        <v>32</v>
      </c>
      <c r="D313" s="4" t="s">
        <v>979</v>
      </c>
      <c r="E313" s="5" t="str">
        <f t="shared" si="12"/>
        <v>Mrs.SHOBANA K B</v>
      </c>
      <c r="F313" s="6" t="s">
        <v>904</v>
      </c>
      <c r="G313" s="5" t="s">
        <v>47</v>
      </c>
      <c r="H313" s="5" t="s">
        <v>980</v>
      </c>
      <c r="I31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Col2='""&amp;B313&amp;""'"",0)"),2)</f>
        <v>2</v>
      </c>
      <c r="J313" s="5">
        <f>IFERROR(__xludf.DUMMYFUNCTION("""COMPUTED_VALUE"""),2)</f>
        <v>2</v>
      </c>
      <c r="K313" s="5">
        <f>IFERROR(__xludf.DUMMYFUNCTION("""COMPUTED_VALUE"""),0)</f>
        <v>0</v>
      </c>
      <c r="L313" s="5">
        <f>IFERROR(__xludf.DUMMYFUNCTION("""COMPUTED_VALUE"""),0)</f>
        <v>0</v>
      </c>
      <c r="M313" s="5" t="str">
        <f>IFERROR(__xludf.DUMMYFUNCTION("""COMPUTED_VALUE"""),"Working")</f>
        <v>Working</v>
      </c>
      <c r="N313" s="5" t="str">
        <f>IFERROR(__xludf.DUMMYFUNCTION("""COMPUTED_VALUE"""),"LOAD PENDING")</f>
        <v>LOAD PENDING</v>
      </c>
      <c r="O313" s="5" t="str">
        <f>IFERROR(__xludf.DUMMYFUNCTION("""COMPUTED_VALUE"""),"LOAD PENDING")</f>
        <v>LOAD PENDING</v>
      </c>
      <c r="P313" s="5" t="str">
        <f t="shared" si="13"/>
        <v/>
      </c>
      <c r="Q313" s="5" t="str">
        <f t="shared" si="14"/>
        <v/>
      </c>
    </row>
    <row r="314" ht="14.4" spans="1:17">
      <c r="A314" s="4">
        <v>313</v>
      </c>
      <c r="B314" s="4" t="s">
        <v>981</v>
      </c>
      <c r="C314" s="4" t="s">
        <v>32</v>
      </c>
      <c r="D314" s="4" t="s">
        <v>982</v>
      </c>
      <c r="E314" s="5" t="str">
        <f t="shared" si="12"/>
        <v>Mrs.GAYATHRI D</v>
      </c>
      <c r="F314" s="6" t="s">
        <v>904</v>
      </c>
      <c r="G314" s="5" t="s">
        <v>47</v>
      </c>
      <c r="H314" s="5" t="s">
        <v>983</v>
      </c>
      <c r="I31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Col2='""&amp;B314&amp;""'"",0)"),2)</f>
        <v>2</v>
      </c>
      <c r="J314" s="5">
        <f>IFERROR(__xludf.DUMMYFUNCTION("""COMPUTED_VALUE"""),2)</f>
        <v>2</v>
      </c>
      <c r="K314" s="5">
        <f>IFERROR(__xludf.DUMMYFUNCTION("""COMPUTED_VALUE"""),2)</f>
        <v>2</v>
      </c>
      <c r="L314" s="5">
        <f>IFERROR(__xludf.DUMMYFUNCTION("""COMPUTED_VALUE"""),1)</f>
        <v>1</v>
      </c>
      <c r="M314" s="5" t="str">
        <f>IFERROR(__xludf.DUMMYFUNCTION("""COMPUTED_VALUE"""),"Working")</f>
        <v>Working</v>
      </c>
      <c r="N314" s="5" t="str">
        <f>IFERROR(__xludf.DUMMYFUNCTION("""COMPUTED_VALUE"""),"CORRECT")</f>
        <v>CORRECT</v>
      </c>
      <c r="O314" s="5" t="str">
        <f>IFERROR(__xludf.DUMMYFUNCTION("""COMPUTED_VALUE"""),"LOAD PENDING")</f>
        <v>LOAD PENDING</v>
      </c>
      <c r="P314" s="5" t="str">
        <f t="shared" si="13"/>
        <v/>
      </c>
      <c r="Q314" s="5" t="str">
        <f t="shared" si="14"/>
        <v/>
      </c>
    </row>
    <row r="315" ht="27.6" spans="1:17">
      <c r="A315" s="4">
        <v>314</v>
      </c>
      <c r="B315" s="4" t="s">
        <v>984</v>
      </c>
      <c r="C315" s="4" t="s">
        <v>17</v>
      </c>
      <c r="D315" s="4" t="s">
        <v>985</v>
      </c>
      <c r="E315" s="5" t="str">
        <f t="shared" si="12"/>
        <v>Mr.SATHYARAJ S</v>
      </c>
      <c r="F315" s="6" t="s">
        <v>904</v>
      </c>
      <c r="G315" s="5" t="s">
        <v>37</v>
      </c>
      <c r="H315" s="5" t="s">
        <v>986</v>
      </c>
      <c r="I315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Col2='""&amp;B315&amp;""'"",0)"),"")</f>
        <v/>
      </c>
      <c r="J315" s="5"/>
      <c r="K315" s="5">
        <f>IFERROR(__xludf.DUMMYFUNCTION("""COMPUTED_VALUE"""),0)</f>
        <v>0</v>
      </c>
      <c r="L315" s="5">
        <f>IFERROR(__xludf.DUMMYFUNCTION("""COMPUTED_VALUE"""),0)</f>
        <v>0</v>
      </c>
      <c r="M315" s="5" t="str">
        <f>IFERROR(__xludf.DUMMYFUNCTION("""COMPUTED_VALUE"""),"Working")</f>
        <v>Working</v>
      </c>
      <c r="N315" s="5" t="str">
        <f>IFERROR(__xludf.DUMMYFUNCTION("""COMPUTED_VALUE"""),"#N/A")</f>
        <v>#N/A</v>
      </c>
      <c r="O315" s="5" t="str">
        <f>IFERROR(__xludf.DUMMYFUNCTION("""COMPUTED_VALUE"""),"CORRECT")</f>
        <v>CORRECT</v>
      </c>
      <c r="P315" s="5" t="str">
        <f t="shared" si="13"/>
        <v/>
      </c>
      <c r="Q315" s="5" t="str">
        <f t="shared" si="14"/>
        <v/>
      </c>
    </row>
    <row r="316" ht="14.4" spans="1:17">
      <c r="A316" s="4">
        <v>315</v>
      </c>
      <c r="B316" s="4" t="s">
        <v>987</v>
      </c>
      <c r="C316" s="4" t="s">
        <v>53</v>
      </c>
      <c r="D316" s="4" t="s">
        <v>988</v>
      </c>
      <c r="E316" s="5" t="str">
        <f t="shared" si="12"/>
        <v>Ms.MANISHA G</v>
      </c>
      <c r="F316" s="6" t="s">
        <v>904</v>
      </c>
      <c r="G316" s="5" t="s">
        <v>47</v>
      </c>
      <c r="H316" s="5" t="s">
        <v>989</v>
      </c>
      <c r="I316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Col2='""&amp;B316&amp;""'"",0)"),"")</f>
        <v/>
      </c>
      <c r="J316" s="5"/>
      <c r="K316" s="5">
        <f>IFERROR(__xludf.DUMMYFUNCTION("""COMPUTED_VALUE"""),0)</f>
        <v>0</v>
      </c>
      <c r="L316" s="5">
        <f>IFERROR(__xludf.DUMMYFUNCTION("""COMPUTED_VALUE"""),0)</f>
        <v>0</v>
      </c>
      <c r="M316" s="5" t="str">
        <f>IFERROR(__xludf.DUMMYFUNCTION("""COMPUTED_VALUE"""),"Working")</f>
        <v>Working</v>
      </c>
      <c r="N316" s="5" t="str">
        <f>IFERROR(__xludf.DUMMYFUNCTION("""COMPUTED_VALUE"""),"#N/A")</f>
        <v>#N/A</v>
      </c>
      <c r="O316" s="5" t="str">
        <f>IFERROR(__xludf.DUMMYFUNCTION("""COMPUTED_VALUE"""),"CORRECT")</f>
        <v>CORRECT</v>
      </c>
      <c r="P316" s="5" t="str">
        <f t="shared" si="13"/>
        <v/>
      </c>
      <c r="Q316" s="5" t="str">
        <f t="shared" si="14"/>
        <v/>
      </c>
    </row>
    <row r="317" ht="14.4" spans="1:17">
      <c r="A317" s="4">
        <v>316</v>
      </c>
      <c r="B317" s="4" t="s">
        <v>990</v>
      </c>
      <c r="C317" s="4" t="s">
        <v>23</v>
      </c>
      <c r="D317" s="4" t="s">
        <v>991</v>
      </c>
      <c r="E317" s="5" t="str">
        <f t="shared" si="12"/>
        <v>Dr.PAARIVALLAL RA</v>
      </c>
      <c r="F317" s="6" t="s">
        <v>904</v>
      </c>
      <c r="G317" s="5" t="s">
        <v>25</v>
      </c>
      <c r="H317" s="4" t="s">
        <v>992</v>
      </c>
      <c r="I31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Col2='""&amp;B317&amp;""'"",0)"),2)</f>
        <v>2</v>
      </c>
      <c r="J317" s="5">
        <f>IFERROR(__xludf.DUMMYFUNCTION("""COMPUTED_VALUE"""),1)</f>
        <v>1</v>
      </c>
      <c r="K317" s="5">
        <f>IFERROR(__xludf.DUMMYFUNCTION("""COMPUTED_VALUE"""),0)</f>
        <v>0</v>
      </c>
      <c r="L317" s="5">
        <f>IFERROR(__xludf.DUMMYFUNCTION("""COMPUTED_VALUE"""),0)</f>
        <v>0</v>
      </c>
      <c r="M317" s="5" t="str">
        <f>IFERROR(__xludf.DUMMYFUNCTION("""COMPUTED_VALUE"""),"Working")</f>
        <v>Working</v>
      </c>
      <c r="N317" s="5" t="str">
        <f>IFERROR(__xludf.DUMMYFUNCTION("""COMPUTED_VALUE"""),"LOAD PENDING")</f>
        <v>LOAD PENDING</v>
      </c>
      <c r="O317" s="5" t="str">
        <f>IFERROR(__xludf.DUMMYFUNCTION("""COMPUTED_VALUE"""),"LOAD PENDING")</f>
        <v>LOAD PENDING</v>
      </c>
      <c r="P317" s="5" t="str">
        <f t="shared" si="13"/>
        <v/>
      </c>
      <c r="Q317" s="5" t="str">
        <f t="shared" si="14"/>
        <v/>
      </c>
    </row>
    <row r="318" ht="14.4" spans="1:17">
      <c r="A318" s="4">
        <v>317</v>
      </c>
      <c r="B318" s="4" t="s">
        <v>993</v>
      </c>
      <c r="C318" s="4" t="s">
        <v>23</v>
      </c>
      <c r="D318" s="4" t="s">
        <v>994</v>
      </c>
      <c r="E318" s="5" t="str">
        <f t="shared" si="12"/>
        <v>Dr.PALANISAMY C</v>
      </c>
      <c r="F318" s="6" t="s">
        <v>904</v>
      </c>
      <c r="G318" s="5" t="s">
        <v>29</v>
      </c>
      <c r="H318" s="5" t="s">
        <v>995</v>
      </c>
      <c r="I31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Col2='""&amp;B318&amp;""'"",0)"),1)</f>
        <v>1</v>
      </c>
      <c r="J318" s="4">
        <f>IFERROR(__xludf.DUMMYFUNCTION("""COMPUTED_VALUE"""),1)</f>
        <v>1</v>
      </c>
      <c r="K318" s="5">
        <f>IFERROR(__xludf.DUMMYFUNCTION("""COMPUTED_VALUE"""),0)</f>
        <v>0</v>
      </c>
      <c r="L318" s="5">
        <f>IFERROR(__xludf.DUMMYFUNCTION("""COMPUTED_VALUE"""),0)</f>
        <v>0</v>
      </c>
      <c r="M318" s="5" t="str">
        <f>IFERROR(__xludf.DUMMYFUNCTION("""COMPUTED_VALUE"""),"Working")</f>
        <v>Working</v>
      </c>
      <c r="N318" s="5" t="str">
        <f>IFERROR(__xludf.DUMMYFUNCTION("""COMPUTED_VALUE"""),"LOAD PENDING")</f>
        <v>LOAD PENDING</v>
      </c>
      <c r="O318" s="4" t="str">
        <f>IFERROR(__xludf.DUMMYFUNCTION("""COMPUTED_VALUE"""),"LOAD PENDING")</f>
        <v>LOAD PENDING</v>
      </c>
      <c r="P318" s="5" t="str">
        <f t="shared" si="13"/>
        <v/>
      </c>
      <c r="Q318" s="5" t="str">
        <f t="shared" si="14"/>
        <v/>
      </c>
    </row>
    <row r="319" ht="14.4" spans="1:17">
      <c r="A319" s="4">
        <v>318</v>
      </c>
      <c r="B319" s="4" t="s">
        <v>996</v>
      </c>
      <c r="C319" s="4" t="s">
        <v>23</v>
      </c>
      <c r="D319" s="4" t="s">
        <v>997</v>
      </c>
      <c r="E319" s="5" t="str">
        <f t="shared" si="12"/>
        <v>Dr.SATHIS KUMAR K</v>
      </c>
      <c r="F319" s="6" t="s">
        <v>904</v>
      </c>
      <c r="G319" s="5" t="s">
        <v>25</v>
      </c>
      <c r="H319" s="5" t="s">
        <v>998</v>
      </c>
      <c r="I31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Col2='""&amp;B319&amp;""'"",0)"),1)</f>
        <v>1</v>
      </c>
      <c r="J319" s="5">
        <f>IFERROR(__xludf.DUMMYFUNCTION("""COMPUTED_VALUE"""),0)</f>
        <v>0</v>
      </c>
      <c r="K319" s="5">
        <f>IFERROR(__xludf.DUMMYFUNCTION("""COMPUTED_VALUE"""),1)</f>
        <v>1</v>
      </c>
      <c r="L319" s="5">
        <f>IFERROR(__xludf.DUMMYFUNCTION("""COMPUTED_VALUE"""),0)</f>
        <v>0</v>
      </c>
      <c r="M319" s="5" t="str">
        <f>IFERROR(__xludf.DUMMYFUNCTION("""COMPUTED_VALUE"""),"Working")</f>
        <v>Working</v>
      </c>
      <c r="N319" s="5" t="str">
        <f>IFERROR(__xludf.DUMMYFUNCTION("""COMPUTED_VALUE"""),"CORRECT")</f>
        <v>CORRECT</v>
      </c>
      <c r="O319" s="5" t="str">
        <f>IFERROR(__xludf.DUMMYFUNCTION("""COMPUTED_VALUE"""),"CORRECT")</f>
        <v>CORRECT</v>
      </c>
      <c r="P319" s="5" t="str">
        <f t="shared" si="13"/>
        <v/>
      </c>
      <c r="Q319" s="5" t="str">
        <f t="shared" si="14"/>
        <v/>
      </c>
    </row>
    <row r="320" ht="14.4" spans="1:17">
      <c r="A320" s="4">
        <v>319</v>
      </c>
      <c r="B320" s="4" t="s">
        <v>999</v>
      </c>
      <c r="C320" s="4" t="s">
        <v>23</v>
      </c>
      <c r="D320" s="4" t="s">
        <v>1000</v>
      </c>
      <c r="E320" s="5" t="str">
        <f t="shared" si="12"/>
        <v>Dr.NAVEENA S</v>
      </c>
      <c r="F320" s="6" t="s">
        <v>904</v>
      </c>
      <c r="G320" s="5" t="s">
        <v>25</v>
      </c>
      <c r="H320" s="5" t="s">
        <v>1001</v>
      </c>
      <c r="I32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Col2='""&amp;B320&amp;""'"",0)"),1)</f>
        <v>1</v>
      </c>
      <c r="J320" s="5">
        <f>IFERROR(__xludf.DUMMYFUNCTION("""COMPUTED_VALUE"""),0)</f>
        <v>0</v>
      </c>
      <c r="K320" s="5">
        <f>IFERROR(__xludf.DUMMYFUNCTION("""COMPUTED_VALUE"""),1)</f>
        <v>1</v>
      </c>
      <c r="L320" s="5">
        <f>IFERROR(__xludf.DUMMYFUNCTION("""COMPUTED_VALUE"""),0)</f>
        <v>0</v>
      </c>
      <c r="M320" s="5" t="str">
        <f>IFERROR(__xludf.DUMMYFUNCTION("""COMPUTED_VALUE"""),"Working")</f>
        <v>Working</v>
      </c>
      <c r="N320" s="5" t="str">
        <f>IFERROR(__xludf.DUMMYFUNCTION("""COMPUTED_VALUE"""),"CORRECT")</f>
        <v>CORRECT</v>
      </c>
      <c r="O320" s="5" t="str">
        <f>IFERROR(__xludf.DUMMYFUNCTION("""COMPUTED_VALUE"""),"CORRECT")</f>
        <v>CORRECT</v>
      </c>
      <c r="P320" s="5" t="str">
        <f t="shared" si="13"/>
        <v/>
      </c>
      <c r="Q320" s="5" t="str">
        <f t="shared" si="14"/>
        <v/>
      </c>
    </row>
    <row r="321" ht="27.6" spans="1:17">
      <c r="A321" s="4">
        <v>320</v>
      </c>
      <c r="B321" s="4" t="s">
        <v>1002</v>
      </c>
      <c r="C321" s="4" t="s">
        <v>17</v>
      </c>
      <c r="D321" s="4" t="s">
        <v>1003</v>
      </c>
      <c r="E321" s="5" t="str">
        <f t="shared" si="12"/>
        <v>Mr.PRABHU P S</v>
      </c>
      <c r="F321" s="6" t="s">
        <v>904</v>
      </c>
      <c r="G321" s="5" t="s">
        <v>37</v>
      </c>
      <c r="H321" s="5" t="s">
        <v>1004</v>
      </c>
      <c r="I32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Col2='""&amp;B321&amp;""'"",0)"),2)</f>
        <v>2</v>
      </c>
      <c r="J321" s="5">
        <f>IFERROR(__xludf.DUMMYFUNCTION("""COMPUTED_VALUE"""),2)</f>
        <v>2</v>
      </c>
      <c r="K321" s="5">
        <f>IFERROR(__xludf.DUMMYFUNCTION("""COMPUTED_VALUE"""),1)</f>
        <v>1</v>
      </c>
      <c r="L321" s="5">
        <f>IFERROR(__xludf.DUMMYFUNCTION("""COMPUTED_VALUE"""),0)</f>
        <v>0</v>
      </c>
      <c r="M321" s="5" t="str">
        <f>IFERROR(__xludf.DUMMYFUNCTION("""COMPUTED_VALUE"""),"Working")</f>
        <v>Working</v>
      </c>
      <c r="N321" s="5" t="str">
        <f>IFERROR(__xludf.DUMMYFUNCTION("""COMPUTED_VALUE"""),"LOAD PENDING")</f>
        <v>LOAD PENDING</v>
      </c>
      <c r="O321" s="5" t="str">
        <f>IFERROR(__xludf.DUMMYFUNCTION("""COMPUTED_VALUE"""),"LOAD PENDING")</f>
        <v>LOAD PENDING</v>
      </c>
      <c r="P321" s="5" t="str">
        <f t="shared" si="13"/>
        <v/>
      </c>
      <c r="Q321" s="5" t="str">
        <f t="shared" si="14"/>
        <v/>
      </c>
    </row>
    <row r="322" ht="14.4" spans="1:17">
      <c r="A322" s="4">
        <v>321</v>
      </c>
      <c r="B322" s="4" t="s">
        <v>1005</v>
      </c>
      <c r="C322" s="4" t="s">
        <v>23</v>
      </c>
      <c r="D322" s="4" t="s">
        <v>1006</v>
      </c>
      <c r="E322" s="5" t="str">
        <f t="shared" ref="E322:E385" si="15">CONCATENATE(C322,".",D322)</f>
        <v>Dr.NATARAJ N</v>
      </c>
      <c r="F322" s="6" t="s">
        <v>904</v>
      </c>
      <c r="G322" s="5" t="s">
        <v>25</v>
      </c>
      <c r="H322" s="5" t="s">
        <v>1007</v>
      </c>
      <c r="I32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Col2='""&amp;B322&amp;""'"",0)"),1)</f>
        <v>1</v>
      </c>
      <c r="J322" s="5">
        <f>IFERROR(__xludf.DUMMYFUNCTION("""COMPUTED_VALUE"""),0)</f>
        <v>0</v>
      </c>
      <c r="K322" s="5">
        <f>IFERROR(__xludf.DUMMYFUNCTION("""COMPUTED_VALUE"""),1)</f>
        <v>1</v>
      </c>
      <c r="L322" s="5">
        <f>IFERROR(__xludf.DUMMYFUNCTION("""COMPUTED_VALUE"""),0)</f>
        <v>0</v>
      </c>
      <c r="M322" s="5" t="str">
        <f>IFERROR(__xludf.DUMMYFUNCTION("""COMPUTED_VALUE"""),"Working")</f>
        <v>Working</v>
      </c>
      <c r="N322" s="5" t="str">
        <f>IFERROR(__xludf.DUMMYFUNCTION("""COMPUTED_VALUE"""),"CORRECT")</f>
        <v>CORRECT</v>
      </c>
      <c r="O322" s="5" t="str">
        <f>IFERROR(__xludf.DUMMYFUNCTION("""COMPUTED_VALUE"""),"CORRECT")</f>
        <v>CORRECT</v>
      </c>
      <c r="P322" s="5" t="str">
        <f t="shared" ref="P322:P385" si="16">IF(K322&gt;I322,"Extra Theory Load Alloted","")</f>
        <v/>
      </c>
      <c r="Q322" s="5" t="str">
        <f t="shared" ref="Q322:Q385" si="17">IF(L322&gt;J322,"Extra Lab Load Alloted","")</f>
        <v/>
      </c>
    </row>
    <row r="323" ht="27.6" spans="1:17">
      <c r="A323" s="4">
        <v>322</v>
      </c>
      <c r="B323" s="4" t="s">
        <v>1008</v>
      </c>
      <c r="C323" s="4" t="s">
        <v>32</v>
      </c>
      <c r="D323" s="4" t="s">
        <v>1009</v>
      </c>
      <c r="E323" s="5" t="str">
        <f t="shared" si="15"/>
        <v>Mrs.PREETHA R</v>
      </c>
      <c r="F323" s="6" t="s">
        <v>1010</v>
      </c>
      <c r="G323" s="5" t="s">
        <v>20</v>
      </c>
      <c r="H323" s="5" t="s">
        <v>1011</v>
      </c>
      <c r="I32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Col2='""&amp;B323&amp;""'"",0)"),2)</f>
        <v>2</v>
      </c>
      <c r="J323" s="5">
        <f>IFERROR(__xludf.DUMMYFUNCTION("""COMPUTED_VALUE"""),2)</f>
        <v>2</v>
      </c>
      <c r="K323" s="5">
        <f>IFERROR(__xludf.DUMMYFUNCTION("""COMPUTED_VALUE"""),3)</f>
        <v>3</v>
      </c>
      <c r="L323" s="5">
        <f>IFERROR(__xludf.DUMMYFUNCTION("""COMPUTED_VALUE"""),0)</f>
        <v>0</v>
      </c>
      <c r="M323" s="5" t="str">
        <f>IFERROR(__xludf.DUMMYFUNCTION("""COMPUTED_VALUE"""),"Working")</f>
        <v>Working</v>
      </c>
      <c r="N323" s="5" t="str">
        <f>IFERROR(__xludf.DUMMYFUNCTION("""COMPUTED_VALUE"""),"CORRECT")</f>
        <v>CORRECT</v>
      </c>
      <c r="O323" s="5" t="str">
        <f>IFERROR(__xludf.DUMMYFUNCTION("""COMPUTED_VALUE"""),"LOAD PENDING")</f>
        <v>LOAD PENDING</v>
      </c>
      <c r="P323" s="5" t="str">
        <f t="shared" si="16"/>
        <v>Extra Theory Load Alloted</v>
      </c>
      <c r="Q323" s="5" t="str">
        <f t="shared" si="17"/>
        <v/>
      </c>
    </row>
    <row r="324" ht="27.6" spans="1:17">
      <c r="A324" s="4">
        <v>323</v>
      </c>
      <c r="B324" s="4" t="s">
        <v>1012</v>
      </c>
      <c r="C324" s="4" t="s">
        <v>23</v>
      </c>
      <c r="D324" s="4" t="s">
        <v>1013</v>
      </c>
      <c r="E324" s="5" t="str">
        <f t="shared" si="15"/>
        <v>Dr.SARANYA D</v>
      </c>
      <c r="F324" s="6" t="s">
        <v>1010</v>
      </c>
      <c r="G324" s="5" t="s">
        <v>20</v>
      </c>
      <c r="H324" s="5" t="s">
        <v>1014</v>
      </c>
      <c r="I32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Col2='""&amp;B324&amp;""'"",0)"),2)</f>
        <v>2</v>
      </c>
      <c r="J324" s="5">
        <f>IFERROR(__xludf.DUMMYFUNCTION("""COMPUTED_VALUE"""),2)</f>
        <v>2</v>
      </c>
      <c r="K324" s="5">
        <f>IFERROR(__xludf.DUMMYFUNCTION("""COMPUTED_VALUE"""),3)</f>
        <v>3</v>
      </c>
      <c r="L324" s="5">
        <f>IFERROR(__xludf.DUMMYFUNCTION("""COMPUTED_VALUE"""),0)</f>
        <v>0</v>
      </c>
      <c r="M324" s="5" t="str">
        <f>IFERROR(__xludf.DUMMYFUNCTION("""COMPUTED_VALUE"""),"Working")</f>
        <v>Working</v>
      </c>
      <c r="N324" s="5" t="str">
        <f>IFERROR(__xludf.DUMMYFUNCTION("""COMPUTED_VALUE"""),"CORRECT")</f>
        <v>CORRECT</v>
      </c>
      <c r="O324" s="5" t="str">
        <f>IFERROR(__xludf.DUMMYFUNCTION("""COMPUTED_VALUE"""),"LOAD PENDING")</f>
        <v>LOAD PENDING</v>
      </c>
      <c r="P324" s="5" t="str">
        <f t="shared" si="16"/>
        <v>Extra Theory Load Alloted</v>
      </c>
      <c r="Q324" s="5" t="str">
        <f t="shared" si="17"/>
        <v/>
      </c>
    </row>
    <row r="325" ht="27.6" spans="1:17">
      <c r="A325" s="4">
        <v>324</v>
      </c>
      <c r="B325" s="7" t="s">
        <v>1015</v>
      </c>
      <c r="C325" s="7" t="s">
        <v>17</v>
      </c>
      <c r="D325" s="4" t="s">
        <v>1016</v>
      </c>
      <c r="E325" s="5" t="str">
        <f t="shared" si="15"/>
        <v>Mr.KARUPPUSAMY M</v>
      </c>
      <c r="F325" s="6" t="s">
        <v>1010</v>
      </c>
      <c r="G325" s="5" t="s">
        <v>20</v>
      </c>
      <c r="H325" s="5" t="s">
        <v>1017</v>
      </c>
      <c r="I32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Col2='""&amp;B325&amp;""'"",0)"),1)</f>
        <v>1</v>
      </c>
      <c r="J325" s="5">
        <f>IFERROR(__xludf.DUMMYFUNCTION("""COMPUTED_VALUE"""),0)</f>
        <v>0</v>
      </c>
      <c r="K325" s="5">
        <f>IFERROR(__xludf.DUMMYFUNCTION("""COMPUTED_VALUE"""),1)</f>
        <v>1</v>
      </c>
      <c r="L325" s="5">
        <f>IFERROR(__xludf.DUMMYFUNCTION("""COMPUTED_VALUE"""),0)</f>
        <v>0</v>
      </c>
      <c r="M325" s="5" t="str">
        <f>IFERROR(__xludf.DUMMYFUNCTION("""COMPUTED_VALUE"""),"Working")</f>
        <v>Working</v>
      </c>
      <c r="N325" s="5" t="str">
        <f>IFERROR(__xludf.DUMMYFUNCTION("""COMPUTED_VALUE"""),"CORRECT")</f>
        <v>CORRECT</v>
      </c>
      <c r="O325" s="5" t="str">
        <f>IFERROR(__xludf.DUMMYFUNCTION("""COMPUTED_VALUE"""),"CORRECT")</f>
        <v>CORRECT</v>
      </c>
      <c r="P325" s="5" t="str">
        <f t="shared" si="16"/>
        <v/>
      </c>
      <c r="Q325" s="5" t="str">
        <f t="shared" si="17"/>
        <v/>
      </c>
    </row>
    <row r="326" ht="27.6" spans="1:17">
      <c r="A326" s="4">
        <v>325</v>
      </c>
      <c r="B326" s="4" t="s">
        <v>1018</v>
      </c>
      <c r="C326" s="4" t="s">
        <v>32</v>
      </c>
      <c r="D326" s="4" t="s">
        <v>1019</v>
      </c>
      <c r="E326" s="5" t="str">
        <f t="shared" si="15"/>
        <v>Mrs.KARTHIKA M</v>
      </c>
      <c r="F326" s="6" t="s">
        <v>1010</v>
      </c>
      <c r="G326" s="5" t="s">
        <v>20</v>
      </c>
      <c r="H326" s="5" t="s">
        <v>1020</v>
      </c>
      <c r="I32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Col2='""&amp;B326&amp;""'"",0)"),1)</f>
        <v>1</v>
      </c>
      <c r="J326" s="5">
        <f>IFERROR(__xludf.DUMMYFUNCTION("""COMPUTED_VALUE"""),0)</f>
        <v>0</v>
      </c>
      <c r="K326" s="5">
        <f>IFERROR(__xludf.DUMMYFUNCTION("""COMPUTED_VALUE"""),1)</f>
        <v>1</v>
      </c>
      <c r="L326" s="5">
        <f>IFERROR(__xludf.DUMMYFUNCTION("""COMPUTED_VALUE"""),0)</f>
        <v>0</v>
      </c>
      <c r="M326" s="5" t="str">
        <f>IFERROR(__xludf.DUMMYFUNCTION("""COMPUTED_VALUE"""),"Working")</f>
        <v>Working</v>
      </c>
      <c r="N326" s="5" t="str">
        <f>IFERROR(__xludf.DUMMYFUNCTION("""COMPUTED_VALUE"""),"CORRECT")</f>
        <v>CORRECT</v>
      </c>
      <c r="O326" s="5" t="str">
        <f>IFERROR(__xludf.DUMMYFUNCTION("""COMPUTED_VALUE"""),"CORRECT")</f>
        <v>CORRECT</v>
      </c>
      <c r="P326" s="5" t="str">
        <f t="shared" si="16"/>
        <v/>
      </c>
      <c r="Q326" s="5" t="str">
        <f t="shared" si="17"/>
        <v/>
      </c>
    </row>
    <row r="327" ht="27.6" spans="1:17">
      <c r="A327" s="4">
        <v>326</v>
      </c>
      <c r="B327" s="4" t="s">
        <v>1021</v>
      </c>
      <c r="C327" s="4" t="s">
        <v>17</v>
      </c>
      <c r="D327" s="4" t="s">
        <v>1022</v>
      </c>
      <c r="E327" s="5" t="str">
        <f t="shared" si="15"/>
        <v>Mr.KALAISELVAN S</v>
      </c>
      <c r="F327" s="6" t="s">
        <v>1010</v>
      </c>
      <c r="G327" s="5" t="s">
        <v>20</v>
      </c>
      <c r="H327" s="5" t="s">
        <v>1023</v>
      </c>
      <c r="I32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Col2='""&amp;B327&amp;""'"",0)"),2)</f>
        <v>2</v>
      </c>
      <c r="J327" s="5">
        <f>IFERROR(__xludf.DUMMYFUNCTION("""COMPUTED_VALUE"""),2)</f>
        <v>2</v>
      </c>
      <c r="K327" s="5">
        <f>IFERROR(__xludf.DUMMYFUNCTION("""COMPUTED_VALUE"""),3)</f>
        <v>3</v>
      </c>
      <c r="L327" s="5">
        <f>IFERROR(__xludf.DUMMYFUNCTION("""COMPUTED_VALUE"""),0)</f>
        <v>0</v>
      </c>
      <c r="M327" s="5" t="str">
        <f>IFERROR(__xludf.DUMMYFUNCTION("""COMPUTED_VALUE"""),"Working")</f>
        <v>Working</v>
      </c>
      <c r="N327" s="5" t="str">
        <f>IFERROR(__xludf.DUMMYFUNCTION("""COMPUTED_VALUE"""),"CORRECT")</f>
        <v>CORRECT</v>
      </c>
      <c r="O327" s="5" t="str">
        <f>IFERROR(__xludf.DUMMYFUNCTION("""COMPUTED_VALUE"""),"LOAD PENDING")</f>
        <v>LOAD PENDING</v>
      </c>
      <c r="P327" s="5" t="str">
        <f t="shared" si="16"/>
        <v>Extra Theory Load Alloted</v>
      </c>
      <c r="Q327" s="5" t="str">
        <f t="shared" si="17"/>
        <v/>
      </c>
    </row>
    <row r="328" ht="27.6" spans="1:17">
      <c r="A328" s="4">
        <v>327</v>
      </c>
      <c r="B328" s="4" t="s">
        <v>1024</v>
      </c>
      <c r="C328" s="4" t="s">
        <v>23</v>
      </c>
      <c r="D328" s="4" t="s">
        <v>1025</v>
      </c>
      <c r="E328" s="5" t="str">
        <f t="shared" si="15"/>
        <v>Dr.PRABAKARAN P</v>
      </c>
      <c r="F328" s="6" t="s">
        <v>1010</v>
      </c>
      <c r="G328" s="5" t="s">
        <v>20</v>
      </c>
      <c r="H328" s="5" t="s">
        <v>1026</v>
      </c>
      <c r="I32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Col2='""&amp;B328&amp;""'"",0)"),2)</f>
        <v>2</v>
      </c>
      <c r="J328" s="5">
        <f>IFERROR(__xludf.DUMMYFUNCTION("""COMPUTED_VALUE"""),2)</f>
        <v>2</v>
      </c>
      <c r="K328" s="5">
        <f>IFERROR(__xludf.DUMMYFUNCTION("""COMPUTED_VALUE"""),2)</f>
        <v>2</v>
      </c>
      <c r="L328" s="5">
        <f>IFERROR(__xludf.DUMMYFUNCTION("""COMPUTED_VALUE"""),0)</f>
        <v>0</v>
      </c>
      <c r="M328" s="5" t="str">
        <f>IFERROR(__xludf.DUMMYFUNCTION("""COMPUTED_VALUE"""),"Working")</f>
        <v>Working</v>
      </c>
      <c r="N328" s="5" t="str">
        <f>IFERROR(__xludf.DUMMYFUNCTION("""COMPUTED_VALUE"""),"CORRECT")</f>
        <v>CORRECT</v>
      </c>
      <c r="O328" s="5" t="str">
        <f>IFERROR(__xludf.DUMMYFUNCTION("""COMPUTED_VALUE"""),"LOAD PENDING")</f>
        <v>LOAD PENDING</v>
      </c>
      <c r="P328" s="5" t="str">
        <f t="shared" si="16"/>
        <v/>
      </c>
      <c r="Q328" s="5" t="str">
        <f t="shared" si="17"/>
        <v/>
      </c>
    </row>
    <row r="329" ht="27.6" spans="1:17">
      <c r="A329" s="4">
        <v>328</v>
      </c>
      <c r="B329" s="4" t="s">
        <v>1027</v>
      </c>
      <c r="C329" s="4" t="s">
        <v>23</v>
      </c>
      <c r="D329" s="4" t="s">
        <v>1028</v>
      </c>
      <c r="E329" s="5" t="str">
        <f t="shared" si="15"/>
        <v>Dr.REVATHI V M</v>
      </c>
      <c r="F329" s="6" t="s">
        <v>1010</v>
      </c>
      <c r="G329" s="5" t="s">
        <v>20</v>
      </c>
      <c r="H329" s="5" t="s">
        <v>1029</v>
      </c>
      <c r="I32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Col2='""&amp;B329&amp;""'"",0)"),2)</f>
        <v>2</v>
      </c>
      <c r="J329" s="5">
        <f>IFERROR(__xludf.DUMMYFUNCTION("""COMPUTED_VALUE"""),2)</f>
        <v>2</v>
      </c>
      <c r="K329" s="5">
        <f>IFERROR(__xludf.DUMMYFUNCTION("""COMPUTED_VALUE"""),3)</f>
        <v>3</v>
      </c>
      <c r="L329" s="5">
        <f>IFERROR(__xludf.DUMMYFUNCTION("""COMPUTED_VALUE"""),0)</f>
        <v>0</v>
      </c>
      <c r="M329" s="5" t="str">
        <f>IFERROR(__xludf.DUMMYFUNCTION("""COMPUTED_VALUE"""),"Working")</f>
        <v>Working</v>
      </c>
      <c r="N329" s="5" t="str">
        <f>IFERROR(__xludf.DUMMYFUNCTION("""COMPUTED_VALUE"""),"CORRECT")</f>
        <v>CORRECT</v>
      </c>
      <c r="O329" s="5" t="str">
        <f>IFERROR(__xludf.DUMMYFUNCTION("""COMPUTED_VALUE"""),"LOAD PENDING")</f>
        <v>LOAD PENDING</v>
      </c>
      <c r="P329" s="5" t="str">
        <f t="shared" si="16"/>
        <v>Extra Theory Load Alloted</v>
      </c>
      <c r="Q329" s="5" t="str">
        <f t="shared" si="17"/>
        <v/>
      </c>
    </row>
    <row r="330" ht="27.6" spans="1:17">
      <c r="A330" s="4">
        <v>329</v>
      </c>
      <c r="B330" s="4" t="s">
        <v>1030</v>
      </c>
      <c r="C330" s="4" t="s">
        <v>23</v>
      </c>
      <c r="D330" s="4" t="s">
        <v>1031</v>
      </c>
      <c r="E330" s="5" t="str">
        <f t="shared" si="15"/>
        <v>Dr.GOMATHI M</v>
      </c>
      <c r="F330" s="6" t="s">
        <v>1010</v>
      </c>
      <c r="G330" s="5" t="s">
        <v>37</v>
      </c>
      <c r="H330" s="5" t="s">
        <v>1032</v>
      </c>
      <c r="I33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Col2='""&amp;B330&amp;""'"",0)"),2)</f>
        <v>2</v>
      </c>
      <c r="J330" s="5">
        <f>IFERROR(__xludf.DUMMYFUNCTION("""COMPUTED_VALUE"""),2)</f>
        <v>2</v>
      </c>
      <c r="K330" s="5">
        <f>IFERROR(__xludf.DUMMYFUNCTION("""COMPUTED_VALUE"""),3)</f>
        <v>3</v>
      </c>
      <c r="L330" s="5">
        <f>IFERROR(__xludf.DUMMYFUNCTION("""COMPUTED_VALUE"""),0)</f>
        <v>0</v>
      </c>
      <c r="M330" s="5" t="str">
        <f>IFERROR(__xludf.DUMMYFUNCTION("""COMPUTED_VALUE"""),"Working")</f>
        <v>Working</v>
      </c>
      <c r="N330" s="5" t="str">
        <f>IFERROR(__xludf.DUMMYFUNCTION("""COMPUTED_VALUE"""),"CORRECT")</f>
        <v>CORRECT</v>
      </c>
      <c r="O330" s="5" t="str">
        <f>IFERROR(__xludf.DUMMYFUNCTION("""COMPUTED_VALUE"""),"LOAD PENDING")</f>
        <v>LOAD PENDING</v>
      </c>
      <c r="P330" s="5" t="str">
        <f t="shared" si="16"/>
        <v>Extra Theory Load Alloted</v>
      </c>
      <c r="Q330" s="5" t="str">
        <f t="shared" si="17"/>
        <v/>
      </c>
    </row>
    <row r="331" ht="27.6" spans="1:17">
      <c r="A331" s="4">
        <v>330</v>
      </c>
      <c r="B331" s="4" t="s">
        <v>1033</v>
      </c>
      <c r="C331" s="4" t="s">
        <v>23</v>
      </c>
      <c r="D331" s="4" t="s">
        <v>1034</v>
      </c>
      <c r="E331" s="5" t="str">
        <f t="shared" si="15"/>
        <v>Dr.GAYATHIRI B</v>
      </c>
      <c r="F331" s="6" t="s">
        <v>1010</v>
      </c>
      <c r="G331" s="5" t="s">
        <v>20</v>
      </c>
      <c r="H331" s="5" t="s">
        <v>1035</v>
      </c>
      <c r="I33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Col2='""&amp;B331&amp;""'"",0)"),2)</f>
        <v>2</v>
      </c>
      <c r="J331" s="5">
        <f>IFERROR(__xludf.DUMMYFUNCTION("""COMPUTED_VALUE"""),2)</f>
        <v>2</v>
      </c>
      <c r="K331" s="5">
        <f>IFERROR(__xludf.DUMMYFUNCTION("""COMPUTED_VALUE"""),2)</f>
        <v>2</v>
      </c>
      <c r="L331" s="5">
        <f>IFERROR(__xludf.DUMMYFUNCTION("""COMPUTED_VALUE"""),0)</f>
        <v>0</v>
      </c>
      <c r="M331" s="5" t="str">
        <f>IFERROR(__xludf.DUMMYFUNCTION("""COMPUTED_VALUE"""),"Working")</f>
        <v>Working</v>
      </c>
      <c r="N331" s="5" t="str">
        <f>IFERROR(__xludf.DUMMYFUNCTION("""COMPUTED_VALUE"""),"CORRECT")</f>
        <v>CORRECT</v>
      </c>
      <c r="O331" s="5" t="str">
        <f>IFERROR(__xludf.DUMMYFUNCTION("""COMPUTED_VALUE"""),"LOAD PENDING")</f>
        <v>LOAD PENDING</v>
      </c>
      <c r="P331" s="5" t="str">
        <f t="shared" si="16"/>
        <v/>
      </c>
      <c r="Q331" s="5" t="str">
        <f t="shared" si="17"/>
        <v/>
      </c>
    </row>
    <row r="332" ht="27.6" spans="1:17">
      <c r="A332" s="4">
        <v>331</v>
      </c>
      <c r="B332" s="4" t="s">
        <v>1036</v>
      </c>
      <c r="C332" s="4" t="s">
        <v>17</v>
      </c>
      <c r="D332" s="4" t="s">
        <v>1037</v>
      </c>
      <c r="E332" s="5" t="str">
        <f t="shared" si="15"/>
        <v>Mr.SURESH R</v>
      </c>
      <c r="F332" s="6" t="s">
        <v>1010</v>
      </c>
      <c r="G332" s="5" t="s">
        <v>37</v>
      </c>
      <c r="H332" s="5" t="s">
        <v>1038</v>
      </c>
      <c r="I33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Col2='""&amp;B332&amp;""'"",0)"),2)</f>
        <v>2</v>
      </c>
      <c r="J332" s="5">
        <f>IFERROR(__xludf.DUMMYFUNCTION("""COMPUTED_VALUE"""),2)</f>
        <v>2</v>
      </c>
      <c r="K332" s="5">
        <f>IFERROR(__xludf.DUMMYFUNCTION("""COMPUTED_VALUE"""),3)</f>
        <v>3</v>
      </c>
      <c r="L332" s="5">
        <f>IFERROR(__xludf.DUMMYFUNCTION("""COMPUTED_VALUE"""),0)</f>
        <v>0</v>
      </c>
      <c r="M332" s="5" t="str">
        <f>IFERROR(__xludf.DUMMYFUNCTION("""COMPUTED_VALUE"""),"Working")</f>
        <v>Working</v>
      </c>
      <c r="N332" s="5" t="str">
        <f>IFERROR(__xludf.DUMMYFUNCTION("""COMPUTED_VALUE"""),"CORRECT")</f>
        <v>CORRECT</v>
      </c>
      <c r="O332" s="5" t="str">
        <f>IFERROR(__xludf.DUMMYFUNCTION("""COMPUTED_VALUE"""),"LOAD PENDING")</f>
        <v>LOAD PENDING</v>
      </c>
      <c r="P332" s="5" t="str">
        <f t="shared" si="16"/>
        <v>Extra Theory Load Alloted</v>
      </c>
      <c r="Q332" s="5" t="str">
        <f t="shared" si="17"/>
        <v/>
      </c>
    </row>
    <row r="333" ht="27.6" spans="1:17">
      <c r="A333" s="4">
        <v>332</v>
      </c>
      <c r="B333" s="4" t="s">
        <v>1039</v>
      </c>
      <c r="C333" s="4" t="s">
        <v>23</v>
      </c>
      <c r="D333" s="4" t="s">
        <v>1040</v>
      </c>
      <c r="E333" s="5" t="str">
        <f t="shared" si="15"/>
        <v>Dr.MALATHI M</v>
      </c>
      <c r="F333" s="6" t="s">
        <v>1010</v>
      </c>
      <c r="G333" s="5" t="s">
        <v>37</v>
      </c>
      <c r="H333" s="5" t="s">
        <v>1041</v>
      </c>
      <c r="I33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Col2='""&amp;B333&amp;""'"",0)"),2)</f>
        <v>2</v>
      </c>
      <c r="J333" s="5">
        <f>IFERROR(__xludf.DUMMYFUNCTION("""COMPUTED_VALUE"""),2)</f>
        <v>2</v>
      </c>
      <c r="K333" s="5">
        <f>IFERROR(__xludf.DUMMYFUNCTION("""COMPUTED_VALUE"""),3)</f>
        <v>3</v>
      </c>
      <c r="L333" s="5">
        <f>IFERROR(__xludf.DUMMYFUNCTION("""COMPUTED_VALUE"""),0)</f>
        <v>0</v>
      </c>
      <c r="M333" s="5" t="str">
        <f>IFERROR(__xludf.DUMMYFUNCTION("""COMPUTED_VALUE"""),"Working")</f>
        <v>Working</v>
      </c>
      <c r="N333" s="5" t="str">
        <f>IFERROR(__xludf.DUMMYFUNCTION("""COMPUTED_VALUE"""),"CORRECT")</f>
        <v>CORRECT</v>
      </c>
      <c r="O333" s="5" t="str">
        <f>IFERROR(__xludf.DUMMYFUNCTION("""COMPUTED_VALUE"""),"LOAD PENDING")</f>
        <v>LOAD PENDING</v>
      </c>
      <c r="P333" s="5" t="str">
        <f t="shared" si="16"/>
        <v>Extra Theory Load Alloted</v>
      </c>
      <c r="Q333" s="5" t="str">
        <f t="shared" si="17"/>
        <v/>
      </c>
    </row>
    <row r="334" ht="27.6" spans="1:17">
      <c r="A334" s="4">
        <v>333</v>
      </c>
      <c r="B334" s="4" t="s">
        <v>1042</v>
      </c>
      <c r="C334" s="4" t="s">
        <v>23</v>
      </c>
      <c r="D334" s="4" t="s">
        <v>1043</v>
      </c>
      <c r="E334" s="5" t="str">
        <f t="shared" si="15"/>
        <v>Dr.AKALYADEVI K</v>
      </c>
      <c r="F334" s="6" t="s">
        <v>1010</v>
      </c>
      <c r="G334" s="5" t="s">
        <v>37</v>
      </c>
      <c r="H334" s="5" t="s">
        <v>1044</v>
      </c>
      <c r="I33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Col2='""&amp;B334&amp;""'"",0)"),2)</f>
        <v>2</v>
      </c>
      <c r="J334" s="5">
        <f>IFERROR(__xludf.DUMMYFUNCTION("""COMPUTED_VALUE"""),2)</f>
        <v>2</v>
      </c>
      <c r="K334" s="5">
        <f>IFERROR(__xludf.DUMMYFUNCTION("""COMPUTED_VALUE"""),3)</f>
        <v>3</v>
      </c>
      <c r="L334" s="5">
        <f>IFERROR(__xludf.DUMMYFUNCTION("""COMPUTED_VALUE"""),0)</f>
        <v>0</v>
      </c>
      <c r="M334" s="5" t="str">
        <f>IFERROR(__xludf.DUMMYFUNCTION("""COMPUTED_VALUE"""),"Working")</f>
        <v>Working</v>
      </c>
      <c r="N334" s="5" t="str">
        <f>IFERROR(__xludf.DUMMYFUNCTION("""COMPUTED_VALUE"""),"CORRECT")</f>
        <v>CORRECT</v>
      </c>
      <c r="O334" s="5" t="str">
        <f>IFERROR(__xludf.DUMMYFUNCTION("""COMPUTED_VALUE"""),"LOAD PENDING")</f>
        <v>LOAD PENDING</v>
      </c>
      <c r="P334" s="5" t="str">
        <f t="shared" si="16"/>
        <v>Extra Theory Load Alloted</v>
      </c>
      <c r="Q334" s="5" t="str">
        <f t="shared" si="17"/>
        <v/>
      </c>
    </row>
    <row r="335" ht="14.4" spans="1:17">
      <c r="A335" s="4">
        <v>334</v>
      </c>
      <c r="B335" s="4" t="s">
        <v>1045</v>
      </c>
      <c r="C335" s="4" t="s">
        <v>23</v>
      </c>
      <c r="D335" s="4" t="s">
        <v>1046</v>
      </c>
      <c r="E335" s="5" t="str">
        <f t="shared" si="15"/>
        <v>Dr.HEMALATHA B</v>
      </c>
      <c r="F335" s="6" t="s">
        <v>1010</v>
      </c>
      <c r="G335" s="5" t="s">
        <v>47</v>
      </c>
      <c r="H335" s="5" t="s">
        <v>1047</v>
      </c>
      <c r="I33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Col2='""&amp;B335&amp;""'"",0)"),2)</f>
        <v>2</v>
      </c>
      <c r="J335" s="5">
        <f>IFERROR(__xludf.DUMMYFUNCTION("""COMPUTED_VALUE"""),2)</f>
        <v>2</v>
      </c>
      <c r="K335" s="5">
        <f>IFERROR(__xludf.DUMMYFUNCTION("""COMPUTED_VALUE"""),3)</f>
        <v>3</v>
      </c>
      <c r="L335" s="5">
        <f>IFERROR(__xludf.DUMMYFUNCTION("""COMPUTED_VALUE"""),0)</f>
        <v>0</v>
      </c>
      <c r="M335" s="5" t="str">
        <f>IFERROR(__xludf.DUMMYFUNCTION("""COMPUTED_VALUE"""),"Working")</f>
        <v>Working</v>
      </c>
      <c r="N335" s="5" t="str">
        <f>IFERROR(__xludf.DUMMYFUNCTION("""COMPUTED_VALUE"""),"CORRECT")</f>
        <v>CORRECT</v>
      </c>
      <c r="O335" s="5" t="str">
        <f>IFERROR(__xludf.DUMMYFUNCTION("""COMPUTED_VALUE"""),"LOAD PENDING")</f>
        <v>LOAD PENDING</v>
      </c>
      <c r="P335" s="5" t="str">
        <f t="shared" si="16"/>
        <v>Extra Theory Load Alloted</v>
      </c>
      <c r="Q335" s="5" t="str">
        <f t="shared" si="17"/>
        <v/>
      </c>
    </row>
    <row r="336" ht="27.6" spans="1:17">
      <c r="A336" s="4">
        <v>335</v>
      </c>
      <c r="B336" s="4" t="s">
        <v>1048</v>
      </c>
      <c r="C336" s="4" t="s">
        <v>23</v>
      </c>
      <c r="D336" s="4" t="s">
        <v>1049</v>
      </c>
      <c r="E336" s="5" t="str">
        <f t="shared" si="15"/>
        <v>Dr.INDIRANI C</v>
      </c>
      <c r="F336" s="6" t="s">
        <v>1010</v>
      </c>
      <c r="G336" s="5" t="s">
        <v>20</v>
      </c>
      <c r="H336" s="5" t="s">
        <v>1050</v>
      </c>
      <c r="I33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Col2='""&amp;B336&amp;""'"",0)"),2)</f>
        <v>2</v>
      </c>
      <c r="J336" s="5">
        <f>IFERROR(__xludf.DUMMYFUNCTION("""COMPUTED_VALUE"""),2)</f>
        <v>2</v>
      </c>
      <c r="K336" s="5">
        <f>IFERROR(__xludf.DUMMYFUNCTION("""COMPUTED_VALUE"""),2)</f>
        <v>2</v>
      </c>
      <c r="L336" s="5">
        <f>IFERROR(__xludf.DUMMYFUNCTION("""COMPUTED_VALUE"""),0)</f>
        <v>0</v>
      </c>
      <c r="M336" s="5" t="str">
        <f>IFERROR(__xludf.DUMMYFUNCTION("""COMPUTED_VALUE"""),"Working")</f>
        <v>Working</v>
      </c>
      <c r="N336" s="5" t="str">
        <f>IFERROR(__xludf.DUMMYFUNCTION("""COMPUTED_VALUE"""),"CORRECT")</f>
        <v>CORRECT</v>
      </c>
      <c r="O336" s="5" t="str">
        <f>IFERROR(__xludf.DUMMYFUNCTION("""COMPUTED_VALUE"""),"LOAD PENDING")</f>
        <v>LOAD PENDING</v>
      </c>
      <c r="P336" s="5" t="str">
        <f t="shared" si="16"/>
        <v/>
      </c>
      <c r="Q336" s="5" t="str">
        <f t="shared" si="17"/>
        <v/>
      </c>
    </row>
    <row r="337" ht="14.4" spans="1:17">
      <c r="A337" s="4">
        <v>336</v>
      </c>
      <c r="B337" s="4" t="s">
        <v>1051</v>
      </c>
      <c r="C337" s="4" t="s">
        <v>23</v>
      </c>
      <c r="D337" s="4" t="s">
        <v>1052</v>
      </c>
      <c r="E337" s="5" t="str">
        <f t="shared" si="15"/>
        <v>Dr.THULASIMANI T</v>
      </c>
      <c r="F337" s="6" t="s">
        <v>1010</v>
      </c>
      <c r="G337" s="5" t="s">
        <v>25</v>
      </c>
      <c r="H337" s="5" t="s">
        <v>1053</v>
      </c>
      <c r="I33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Col2='""&amp;B337&amp;""'"",0)"),2)</f>
        <v>2</v>
      </c>
      <c r="J337" s="5">
        <f>IFERROR(__xludf.DUMMYFUNCTION("""COMPUTED_VALUE"""),1)</f>
        <v>1</v>
      </c>
      <c r="K337" s="5">
        <f>IFERROR(__xludf.DUMMYFUNCTION("""COMPUTED_VALUE"""),2)</f>
        <v>2</v>
      </c>
      <c r="L337" s="5">
        <f>IFERROR(__xludf.DUMMYFUNCTION("""COMPUTED_VALUE"""),0)</f>
        <v>0</v>
      </c>
      <c r="M337" s="5" t="str">
        <f>IFERROR(__xludf.DUMMYFUNCTION("""COMPUTED_VALUE"""),"Working")</f>
        <v>Working</v>
      </c>
      <c r="N337" s="5" t="str">
        <f>IFERROR(__xludf.DUMMYFUNCTION("""COMPUTED_VALUE"""),"CORRECT")</f>
        <v>CORRECT</v>
      </c>
      <c r="O337" s="5" t="str">
        <f>IFERROR(__xludf.DUMMYFUNCTION("""COMPUTED_VALUE"""),"LOAD PENDING")</f>
        <v>LOAD PENDING</v>
      </c>
      <c r="P337" s="5" t="str">
        <f t="shared" si="16"/>
        <v/>
      </c>
      <c r="Q337" s="5" t="str">
        <f t="shared" si="17"/>
        <v/>
      </c>
    </row>
    <row r="338" ht="27.6" spans="1:17">
      <c r="A338" s="4">
        <v>337</v>
      </c>
      <c r="B338" s="4" t="s">
        <v>1054</v>
      </c>
      <c r="C338" s="4" t="s">
        <v>23</v>
      </c>
      <c r="D338" s="4" t="s">
        <v>1055</v>
      </c>
      <c r="E338" s="5" t="str">
        <f t="shared" si="15"/>
        <v>Dr.PRABHAVATHI K</v>
      </c>
      <c r="F338" s="6" t="s">
        <v>1010</v>
      </c>
      <c r="G338" s="5" t="s">
        <v>20</v>
      </c>
      <c r="H338" s="5" t="s">
        <v>1056</v>
      </c>
      <c r="I33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Col2='""&amp;B338&amp;""'"",0)"),2)</f>
        <v>2</v>
      </c>
      <c r="J338" s="5">
        <f>IFERROR(__xludf.DUMMYFUNCTION("""COMPUTED_VALUE"""),2)</f>
        <v>2</v>
      </c>
      <c r="K338" s="5">
        <f>IFERROR(__xludf.DUMMYFUNCTION("""COMPUTED_VALUE"""),2)</f>
        <v>2</v>
      </c>
      <c r="L338" s="5">
        <f>IFERROR(__xludf.DUMMYFUNCTION("""COMPUTED_VALUE"""),0)</f>
        <v>0</v>
      </c>
      <c r="M338" s="5" t="str">
        <f>IFERROR(__xludf.DUMMYFUNCTION("""COMPUTED_VALUE"""),"Working")</f>
        <v>Working</v>
      </c>
      <c r="N338" s="5" t="str">
        <f>IFERROR(__xludf.DUMMYFUNCTION("""COMPUTED_VALUE"""),"CORRECT")</f>
        <v>CORRECT</v>
      </c>
      <c r="O338" s="5" t="str">
        <f>IFERROR(__xludf.DUMMYFUNCTION("""COMPUTED_VALUE"""),"LOAD PENDING")</f>
        <v>LOAD PENDING</v>
      </c>
      <c r="P338" s="5" t="str">
        <f t="shared" si="16"/>
        <v/>
      </c>
      <c r="Q338" s="5" t="str">
        <f t="shared" si="17"/>
        <v/>
      </c>
    </row>
    <row r="339" ht="27.6" spans="1:17">
      <c r="A339" s="4">
        <v>338</v>
      </c>
      <c r="B339" s="4" t="s">
        <v>1057</v>
      </c>
      <c r="C339" s="4" t="s">
        <v>23</v>
      </c>
      <c r="D339" s="4" t="s">
        <v>1058</v>
      </c>
      <c r="E339" s="5" t="str">
        <f t="shared" si="15"/>
        <v>Dr.VINOTHINI V R</v>
      </c>
      <c r="F339" s="6" t="s">
        <v>1010</v>
      </c>
      <c r="G339" s="5" t="s">
        <v>20</v>
      </c>
      <c r="H339" s="5" t="s">
        <v>1059</v>
      </c>
      <c r="I33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Col2='""&amp;B339&amp;""'"",0)"),2)</f>
        <v>2</v>
      </c>
      <c r="J339" s="5">
        <f>IFERROR(__xludf.DUMMYFUNCTION("""COMPUTED_VALUE"""),2)</f>
        <v>2</v>
      </c>
      <c r="K339" s="5">
        <f>IFERROR(__xludf.DUMMYFUNCTION("""COMPUTED_VALUE"""),2)</f>
        <v>2</v>
      </c>
      <c r="L339" s="5">
        <f>IFERROR(__xludf.DUMMYFUNCTION("""COMPUTED_VALUE"""),1)</f>
        <v>1</v>
      </c>
      <c r="M339" s="5" t="str">
        <f>IFERROR(__xludf.DUMMYFUNCTION("""COMPUTED_VALUE"""),"Working")</f>
        <v>Working</v>
      </c>
      <c r="N339" s="5" t="str">
        <f>IFERROR(__xludf.DUMMYFUNCTION("""COMPUTED_VALUE"""),"CORRECT")</f>
        <v>CORRECT</v>
      </c>
      <c r="O339" s="5" t="str">
        <f>IFERROR(__xludf.DUMMYFUNCTION("""COMPUTED_VALUE"""),"LOAD PENDING")</f>
        <v>LOAD PENDING</v>
      </c>
      <c r="P339" s="5" t="str">
        <f t="shared" si="16"/>
        <v/>
      </c>
      <c r="Q339" s="5" t="str">
        <f t="shared" si="17"/>
        <v/>
      </c>
    </row>
    <row r="340" ht="27.6" spans="1:17">
      <c r="A340" s="4">
        <v>339</v>
      </c>
      <c r="B340" s="4" t="s">
        <v>1060</v>
      </c>
      <c r="C340" s="4" t="s">
        <v>23</v>
      </c>
      <c r="D340" s="4" t="s">
        <v>1061</v>
      </c>
      <c r="E340" s="5" t="str">
        <f t="shared" si="15"/>
        <v>Dr.SARAVANA MOORTHI P</v>
      </c>
      <c r="F340" s="6" t="s">
        <v>1010</v>
      </c>
      <c r="G340" s="5" t="s">
        <v>20</v>
      </c>
      <c r="H340" s="5" t="s">
        <v>1062</v>
      </c>
      <c r="I34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Col2='""&amp;B340&amp;""'"",0)"),2)</f>
        <v>2</v>
      </c>
      <c r="J340" s="5">
        <f>IFERROR(__xludf.DUMMYFUNCTION("""COMPUTED_VALUE"""),2)</f>
        <v>2</v>
      </c>
      <c r="K340" s="5">
        <f>IFERROR(__xludf.DUMMYFUNCTION("""COMPUTED_VALUE"""),2)</f>
        <v>2</v>
      </c>
      <c r="L340" s="5">
        <f>IFERROR(__xludf.DUMMYFUNCTION("""COMPUTED_VALUE"""),0)</f>
        <v>0</v>
      </c>
      <c r="M340" s="5" t="str">
        <f>IFERROR(__xludf.DUMMYFUNCTION("""COMPUTED_VALUE"""),"Working")</f>
        <v>Working</v>
      </c>
      <c r="N340" s="5" t="str">
        <f>IFERROR(__xludf.DUMMYFUNCTION("""COMPUTED_VALUE"""),"CORRECT")</f>
        <v>CORRECT</v>
      </c>
      <c r="O340" s="5" t="str">
        <f>IFERROR(__xludf.DUMMYFUNCTION("""COMPUTED_VALUE"""),"LOAD PENDING")</f>
        <v>LOAD PENDING</v>
      </c>
      <c r="P340" s="5" t="str">
        <f t="shared" si="16"/>
        <v/>
      </c>
      <c r="Q340" s="5" t="str">
        <f t="shared" si="17"/>
        <v/>
      </c>
    </row>
    <row r="341" ht="27.6" spans="1:17">
      <c r="A341" s="4">
        <v>340</v>
      </c>
      <c r="B341" s="4" t="s">
        <v>1063</v>
      </c>
      <c r="C341" s="4" t="s">
        <v>23</v>
      </c>
      <c r="D341" s="4" t="s">
        <v>1064</v>
      </c>
      <c r="E341" s="5" t="str">
        <f t="shared" si="15"/>
        <v>Dr.PRAKASH K</v>
      </c>
      <c r="F341" s="6" t="s">
        <v>1010</v>
      </c>
      <c r="G341" s="5" t="s">
        <v>20</v>
      </c>
      <c r="H341" s="5" t="s">
        <v>1065</v>
      </c>
      <c r="I34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Col2='""&amp;B341&amp;""'"",0)"),2)</f>
        <v>2</v>
      </c>
      <c r="J341" s="5">
        <f>IFERROR(__xludf.DUMMYFUNCTION("""COMPUTED_VALUE"""),2)</f>
        <v>2</v>
      </c>
      <c r="K341" s="5">
        <f>IFERROR(__xludf.DUMMYFUNCTION("""COMPUTED_VALUE"""),3)</f>
        <v>3</v>
      </c>
      <c r="L341" s="5">
        <f>IFERROR(__xludf.DUMMYFUNCTION("""COMPUTED_VALUE"""),0)</f>
        <v>0</v>
      </c>
      <c r="M341" s="5" t="str">
        <f>IFERROR(__xludf.DUMMYFUNCTION("""COMPUTED_VALUE"""),"Working")</f>
        <v>Working</v>
      </c>
      <c r="N341" s="5" t="str">
        <f>IFERROR(__xludf.DUMMYFUNCTION("""COMPUTED_VALUE"""),"CORRECT")</f>
        <v>CORRECT</v>
      </c>
      <c r="O341" s="5" t="str">
        <f>IFERROR(__xludf.DUMMYFUNCTION("""COMPUTED_VALUE"""),"LOAD PENDING")</f>
        <v>LOAD PENDING</v>
      </c>
      <c r="P341" s="5" t="str">
        <f t="shared" si="16"/>
        <v>Extra Theory Load Alloted</v>
      </c>
      <c r="Q341" s="5" t="str">
        <f t="shared" si="17"/>
        <v/>
      </c>
    </row>
    <row r="342" ht="14.4" spans="1:17">
      <c r="A342" s="4">
        <v>341</v>
      </c>
      <c r="B342" s="4" t="s">
        <v>1066</v>
      </c>
      <c r="C342" s="4" t="s">
        <v>23</v>
      </c>
      <c r="D342" s="4" t="s">
        <v>1067</v>
      </c>
      <c r="E342" s="5" t="str">
        <f t="shared" si="15"/>
        <v>Dr.PARIMALA M</v>
      </c>
      <c r="F342" s="6" t="s">
        <v>1010</v>
      </c>
      <c r="G342" s="5" t="s">
        <v>25</v>
      </c>
      <c r="H342" s="5" t="s">
        <v>1068</v>
      </c>
      <c r="I34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Col2='""&amp;B342&amp;""'"",0)"),1)</f>
        <v>1</v>
      </c>
      <c r="J342" s="5">
        <f>IFERROR(__xludf.DUMMYFUNCTION("""COMPUTED_VALUE"""),0)</f>
        <v>0</v>
      </c>
      <c r="K342" s="5">
        <f>IFERROR(__xludf.DUMMYFUNCTION("""COMPUTED_VALUE"""),1)</f>
        <v>1</v>
      </c>
      <c r="L342" s="5">
        <f>IFERROR(__xludf.DUMMYFUNCTION("""COMPUTED_VALUE"""),0)</f>
        <v>0</v>
      </c>
      <c r="M342" s="5" t="str">
        <f>IFERROR(__xludf.DUMMYFUNCTION("""COMPUTED_VALUE"""),"Working")</f>
        <v>Working</v>
      </c>
      <c r="N342" s="5" t="str">
        <f>IFERROR(__xludf.DUMMYFUNCTION("""COMPUTED_VALUE"""),"CORRECT")</f>
        <v>CORRECT</v>
      </c>
      <c r="O342" s="5" t="str">
        <f>IFERROR(__xludf.DUMMYFUNCTION("""COMPUTED_VALUE"""),"CORRECT")</f>
        <v>CORRECT</v>
      </c>
      <c r="P342" s="5" t="str">
        <f t="shared" si="16"/>
        <v/>
      </c>
      <c r="Q342" s="5" t="str">
        <f t="shared" si="17"/>
        <v/>
      </c>
    </row>
    <row r="343" ht="27.6" spans="1:17">
      <c r="A343" s="4">
        <v>342</v>
      </c>
      <c r="B343" s="4" t="s">
        <v>1069</v>
      </c>
      <c r="C343" s="4" t="s">
        <v>23</v>
      </c>
      <c r="D343" s="4" t="s">
        <v>1070</v>
      </c>
      <c r="E343" s="5" t="str">
        <f t="shared" si="15"/>
        <v>Dr.UMAMAGESWARI D</v>
      </c>
      <c r="F343" s="6" t="s">
        <v>1010</v>
      </c>
      <c r="G343" s="5" t="s">
        <v>20</v>
      </c>
      <c r="H343" s="5" t="s">
        <v>1071</v>
      </c>
      <c r="I34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Col2='""&amp;B343&amp;""'"",0)"),2)</f>
        <v>2</v>
      </c>
      <c r="J343" s="5">
        <f>IFERROR(__xludf.DUMMYFUNCTION("""COMPUTED_VALUE"""),2)</f>
        <v>2</v>
      </c>
      <c r="K343" s="5">
        <f>IFERROR(__xludf.DUMMYFUNCTION("""COMPUTED_VALUE"""),3)</f>
        <v>3</v>
      </c>
      <c r="L343" s="5">
        <f>IFERROR(__xludf.DUMMYFUNCTION("""COMPUTED_VALUE"""),0)</f>
        <v>0</v>
      </c>
      <c r="M343" s="5" t="str">
        <f>IFERROR(__xludf.DUMMYFUNCTION("""COMPUTED_VALUE"""),"Working")</f>
        <v>Working</v>
      </c>
      <c r="N343" s="5" t="str">
        <f>IFERROR(__xludf.DUMMYFUNCTION("""COMPUTED_VALUE"""),"CORRECT")</f>
        <v>CORRECT</v>
      </c>
      <c r="O343" s="5" t="str">
        <f>IFERROR(__xludf.DUMMYFUNCTION("""COMPUTED_VALUE"""),"LOAD PENDING")</f>
        <v>LOAD PENDING</v>
      </c>
      <c r="P343" s="5" t="str">
        <f t="shared" si="16"/>
        <v>Extra Theory Load Alloted</v>
      </c>
      <c r="Q343" s="5" t="str">
        <f t="shared" si="17"/>
        <v/>
      </c>
    </row>
    <row r="344" ht="27.6" spans="1:17">
      <c r="A344" s="4">
        <v>343</v>
      </c>
      <c r="B344" s="4" t="s">
        <v>1072</v>
      </c>
      <c r="C344" s="4" t="s">
        <v>23</v>
      </c>
      <c r="D344" s="4" t="s">
        <v>1073</v>
      </c>
      <c r="E344" s="5" t="str">
        <f t="shared" si="15"/>
        <v>Dr.SIVABALAKRISHNAN R</v>
      </c>
      <c r="F344" s="6" t="s">
        <v>1074</v>
      </c>
      <c r="G344" s="5" t="s">
        <v>25</v>
      </c>
      <c r="H344" s="5" t="s">
        <v>1075</v>
      </c>
      <c r="I34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Col2='""&amp;B344&amp;""'"",0)"),1)</f>
        <v>1</v>
      </c>
      <c r="J344" s="5">
        <f>IFERROR(__xludf.DUMMYFUNCTION("""COMPUTED_VALUE"""),0)</f>
        <v>0</v>
      </c>
      <c r="K344" s="5">
        <f>IFERROR(__xludf.DUMMYFUNCTION("""COMPUTED_VALUE"""),1)</f>
        <v>1</v>
      </c>
      <c r="L344" s="5">
        <f>IFERROR(__xludf.DUMMYFUNCTION("""COMPUTED_VALUE"""),1)</f>
        <v>1</v>
      </c>
      <c r="M344" s="5" t="str">
        <f>IFERROR(__xludf.DUMMYFUNCTION("""COMPUTED_VALUE"""),"Working")</f>
        <v>Working</v>
      </c>
      <c r="N344" s="5" t="str">
        <f>IFERROR(__xludf.DUMMYFUNCTION("""COMPUTED_VALUE"""),"CORRECT")</f>
        <v>CORRECT</v>
      </c>
      <c r="O344" s="5" t="str">
        <f>IFERROR(__xludf.DUMMYFUNCTION("""COMPUTED_VALUE"""),"CORRECT")</f>
        <v>CORRECT</v>
      </c>
      <c r="P344" s="5" t="str">
        <f t="shared" si="16"/>
        <v/>
      </c>
      <c r="Q344" s="5" t="str">
        <f t="shared" si="17"/>
        <v>Extra Lab Load Alloted</v>
      </c>
    </row>
    <row r="345" ht="27.6" spans="1:17">
      <c r="A345" s="4">
        <v>344</v>
      </c>
      <c r="B345" s="4" t="s">
        <v>1076</v>
      </c>
      <c r="C345" s="4" t="s">
        <v>17</v>
      </c>
      <c r="D345" s="4" t="s">
        <v>1077</v>
      </c>
      <c r="E345" s="5" t="str">
        <f t="shared" si="15"/>
        <v>Mr.VIGNESH S</v>
      </c>
      <c r="F345" s="6" t="s">
        <v>1074</v>
      </c>
      <c r="G345" s="5" t="s">
        <v>20</v>
      </c>
      <c r="H345" s="5" t="s">
        <v>1078</v>
      </c>
      <c r="I34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Col2='""&amp;B345&amp;""'"",0)"),2)</f>
        <v>2</v>
      </c>
      <c r="J345" s="5">
        <f>IFERROR(__xludf.DUMMYFUNCTION("""COMPUTED_VALUE"""),2)</f>
        <v>2</v>
      </c>
      <c r="K345" s="5">
        <f>IFERROR(__xludf.DUMMYFUNCTION("""COMPUTED_VALUE"""),2)</f>
        <v>2</v>
      </c>
      <c r="L345" s="5">
        <f>IFERROR(__xludf.DUMMYFUNCTION("""COMPUTED_VALUE"""),1)</f>
        <v>1</v>
      </c>
      <c r="M345" s="5" t="str">
        <f>IFERROR(__xludf.DUMMYFUNCTION("""COMPUTED_VALUE"""),"Working")</f>
        <v>Working</v>
      </c>
      <c r="N345" s="5" t="str">
        <f>IFERROR(__xludf.DUMMYFUNCTION("""COMPUTED_VALUE"""),"CORRECT")</f>
        <v>CORRECT</v>
      </c>
      <c r="O345" s="5" t="str">
        <f>IFERROR(__xludf.DUMMYFUNCTION("""COMPUTED_VALUE"""),"LOAD PENDING")</f>
        <v>LOAD PENDING</v>
      </c>
      <c r="P345" s="5" t="str">
        <f t="shared" si="16"/>
        <v/>
      </c>
      <c r="Q345" s="5" t="str">
        <f t="shared" si="17"/>
        <v/>
      </c>
    </row>
    <row r="346" ht="27.6" spans="1:17">
      <c r="A346" s="4">
        <v>345</v>
      </c>
      <c r="B346" s="4" t="s">
        <v>1079</v>
      </c>
      <c r="C346" s="4" t="s">
        <v>23</v>
      </c>
      <c r="D346" s="4" t="s">
        <v>1080</v>
      </c>
      <c r="E346" s="5" t="str">
        <f t="shared" si="15"/>
        <v>Dr.NIJANDHAN K</v>
      </c>
      <c r="F346" s="6" t="s">
        <v>1074</v>
      </c>
      <c r="G346" s="5" t="s">
        <v>20</v>
      </c>
      <c r="H346" s="5" t="s">
        <v>1081</v>
      </c>
      <c r="I34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Col2='""&amp;B346&amp;""'"",0)"),2)</f>
        <v>2</v>
      </c>
      <c r="J346" s="5">
        <f>IFERROR(__xludf.DUMMYFUNCTION("""COMPUTED_VALUE"""),2)</f>
        <v>2</v>
      </c>
      <c r="K346" s="5">
        <f>IFERROR(__xludf.DUMMYFUNCTION("""COMPUTED_VALUE"""),2)</f>
        <v>2</v>
      </c>
      <c r="L346" s="5">
        <f>IFERROR(__xludf.DUMMYFUNCTION("""COMPUTED_VALUE"""),1)</f>
        <v>1</v>
      </c>
      <c r="M346" s="5" t="str">
        <f>IFERROR(__xludf.DUMMYFUNCTION("""COMPUTED_VALUE"""),"Working")</f>
        <v>Working</v>
      </c>
      <c r="N346" s="5" t="str">
        <f>IFERROR(__xludf.DUMMYFUNCTION("""COMPUTED_VALUE"""),"CORRECT")</f>
        <v>CORRECT</v>
      </c>
      <c r="O346" s="5" t="str">
        <f>IFERROR(__xludf.DUMMYFUNCTION("""COMPUTED_VALUE"""),"LOAD PENDING")</f>
        <v>LOAD PENDING</v>
      </c>
      <c r="P346" s="5" t="str">
        <f t="shared" si="16"/>
        <v/>
      </c>
      <c r="Q346" s="5" t="str">
        <f t="shared" si="17"/>
        <v/>
      </c>
    </row>
    <row r="347" ht="14.4" spans="1:17">
      <c r="A347" s="4">
        <v>346</v>
      </c>
      <c r="B347" s="4" t="s">
        <v>1082</v>
      </c>
      <c r="C347" s="4" t="s">
        <v>17</v>
      </c>
      <c r="D347" s="4" t="s">
        <v>1083</v>
      </c>
      <c r="E347" s="5" t="str">
        <f t="shared" si="15"/>
        <v>Mr.RAGHUNATH M</v>
      </c>
      <c r="F347" s="6" t="s">
        <v>1074</v>
      </c>
      <c r="G347" s="5" t="s">
        <v>25</v>
      </c>
      <c r="H347" s="5" t="s">
        <v>1084</v>
      </c>
      <c r="I34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Col2='""&amp;B347&amp;""'"",0)"),1)</f>
        <v>1</v>
      </c>
      <c r="J347" s="5">
        <f>IFERROR(__xludf.DUMMYFUNCTION("""COMPUTED_VALUE"""),0)</f>
        <v>0</v>
      </c>
      <c r="K347" s="5">
        <f>IFERROR(__xludf.DUMMYFUNCTION("""COMPUTED_VALUE"""),1)</f>
        <v>1</v>
      </c>
      <c r="L347" s="5">
        <f>IFERROR(__xludf.DUMMYFUNCTION("""COMPUTED_VALUE"""),0)</f>
        <v>0</v>
      </c>
      <c r="M347" s="5" t="str">
        <f>IFERROR(__xludf.DUMMYFUNCTION("""COMPUTED_VALUE"""),"Working")</f>
        <v>Working</v>
      </c>
      <c r="N347" s="5" t="str">
        <f>IFERROR(__xludf.DUMMYFUNCTION("""COMPUTED_VALUE"""),"CORRECT")</f>
        <v>CORRECT</v>
      </c>
      <c r="O347" s="5" t="str">
        <f>IFERROR(__xludf.DUMMYFUNCTION("""COMPUTED_VALUE"""),"CORRECT")</f>
        <v>CORRECT</v>
      </c>
      <c r="P347" s="5" t="str">
        <f t="shared" si="16"/>
        <v/>
      </c>
      <c r="Q347" s="5" t="str">
        <f t="shared" si="17"/>
        <v/>
      </c>
    </row>
    <row r="348" ht="14.4" spans="1:17">
      <c r="A348" s="4">
        <v>347</v>
      </c>
      <c r="B348" s="4" t="s">
        <v>1085</v>
      </c>
      <c r="C348" s="4" t="s">
        <v>23</v>
      </c>
      <c r="D348" s="4" t="s">
        <v>1086</v>
      </c>
      <c r="E348" s="5" t="str">
        <f t="shared" si="15"/>
        <v>Dr.DHINESH S K</v>
      </c>
      <c r="F348" s="6" t="s">
        <v>1074</v>
      </c>
      <c r="G348" s="5" t="s">
        <v>25</v>
      </c>
      <c r="H348" s="5" t="s">
        <v>1087</v>
      </c>
      <c r="I34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Col2='""&amp;B348&amp;""'"",0)"),0)</f>
        <v>0</v>
      </c>
      <c r="J348" s="5">
        <f>IFERROR(__xludf.DUMMYFUNCTION("""COMPUTED_VALUE"""),0)</f>
        <v>0</v>
      </c>
      <c r="K348" s="5">
        <f>IFERROR(__xludf.DUMMYFUNCTION("""COMPUTED_VALUE"""),0)</f>
        <v>0</v>
      </c>
      <c r="L348" s="5">
        <f>IFERROR(__xludf.DUMMYFUNCTION("""COMPUTED_VALUE"""),0)</f>
        <v>0</v>
      </c>
      <c r="M348" s="5" t="str">
        <f>IFERROR(__xludf.DUMMYFUNCTION("""COMPUTED_VALUE"""),"Working")</f>
        <v>Working</v>
      </c>
      <c r="N348" s="5" t="str">
        <f>IFERROR(__xludf.DUMMYFUNCTION("""COMPUTED_VALUE"""),"CORRECT")</f>
        <v>CORRECT</v>
      </c>
      <c r="O348" s="5" t="str">
        <f>IFERROR(__xludf.DUMMYFUNCTION("""COMPUTED_VALUE"""),"CORRECT")</f>
        <v>CORRECT</v>
      </c>
      <c r="P348" s="5" t="str">
        <f t="shared" si="16"/>
        <v/>
      </c>
      <c r="Q348" s="5" t="str">
        <f t="shared" si="17"/>
        <v/>
      </c>
    </row>
    <row r="349" ht="27.6" spans="1:17">
      <c r="A349" s="4">
        <v>348</v>
      </c>
      <c r="B349" s="4" t="s">
        <v>1088</v>
      </c>
      <c r="C349" s="4" t="s">
        <v>23</v>
      </c>
      <c r="D349" s="4" t="s">
        <v>1089</v>
      </c>
      <c r="E349" s="5" t="str">
        <f t="shared" si="15"/>
        <v>Dr.RAGHAVENDRA PRABHU S</v>
      </c>
      <c r="F349" s="6" t="s">
        <v>1074</v>
      </c>
      <c r="G349" s="5" t="s">
        <v>20</v>
      </c>
      <c r="H349" s="5" t="s">
        <v>1090</v>
      </c>
      <c r="I34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Col2='""&amp;B349&amp;""'"",0)"),2)</f>
        <v>2</v>
      </c>
      <c r="J349" s="5">
        <f>IFERROR(__xludf.DUMMYFUNCTION("""COMPUTED_VALUE"""),2)</f>
        <v>2</v>
      </c>
      <c r="K349" s="5">
        <f>IFERROR(__xludf.DUMMYFUNCTION("""COMPUTED_VALUE"""),2)</f>
        <v>2</v>
      </c>
      <c r="L349" s="5">
        <f>IFERROR(__xludf.DUMMYFUNCTION("""COMPUTED_VALUE"""),2)</f>
        <v>2</v>
      </c>
      <c r="M349" s="5" t="str">
        <f>IFERROR(__xludf.DUMMYFUNCTION("""COMPUTED_VALUE"""),"Working")</f>
        <v>Working</v>
      </c>
      <c r="N349" s="5" t="str">
        <f>IFERROR(__xludf.DUMMYFUNCTION("""COMPUTED_VALUE"""),"CORRECT")</f>
        <v>CORRECT</v>
      </c>
      <c r="O349" s="5" t="str">
        <f>IFERROR(__xludf.DUMMYFUNCTION("""COMPUTED_VALUE"""),"CORRECT")</f>
        <v>CORRECT</v>
      </c>
      <c r="P349" s="5" t="str">
        <f t="shared" si="16"/>
        <v/>
      </c>
      <c r="Q349" s="5" t="str">
        <f t="shared" si="17"/>
        <v/>
      </c>
    </row>
    <row r="350" ht="27.6" spans="1:17">
      <c r="A350" s="4">
        <v>349</v>
      </c>
      <c r="B350" s="4" t="s">
        <v>1091</v>
      </c>
      <c r="C350" s="4" t="s">
        <v>23</v>
      </c>
      <c r="D350" s="4" t="s">
        <v>1092</v>
      </c>
      <c r="E350" s="5" t="str">
        <f t="shared" si="15"/>
        <v>Dr.SIDDHARTHAN B</v>
      </c>
      <c r="F350" s="6" t="s">
        <v>1074</v>
      </c>
      <c r="G350" s="5" t="s">
        <v>20</v>
      </c>
      <c r="H350" s="5" t="s">
        <v>1093</v>
      </c>
      <c r="I35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Col2='""&amp;B350&amp;""'"",0)"),1)</f>
        <v>1</v>
      </c>
      <c r="J350" s="5">
        <f>IFERROR(__xludf.DUMMYFUNCTION("""COMPUTED_VALUE"""),0)</f>
        <v>0</v>
      </c>
      <c r="K350" s="5">
        <f>IFERROR(__xludf.DUMMYFUNCTION("""COMPUTED_VALUE"""),1)</f>
        <v>1</v>
      </c>
      <c r="L350" s="5">
        <f>IFERROR(__xludf.DUMMYFUNCTION("""COMPUTED_VALUE"""),0)</f>
        <v>0</v>
      </c>
      <c r="M350" s="5" t="str">
        <f>IFERROR(__xludf.DUMMYFUNCTION("""COMPUTED_VALUE"""),"Working")</f>
        <v>Working</v>
      </c>
      <c r="N350" s="5" t="str">
        <f>IFERROR(__xludf.DUMMYFUNCTION("""COMPUTED_VALUE"""),"CORRECT")</f>
        <v>CORRECT</v>
      </c>
      <c r="O350" s="5" t="str">
        <f>IFERROR(__xludf.DUMMYFUNCTION("""COMPUTED_VALUE"""),"CORRECT")</f>
        <v>CORRECT</v>
      </c>
      <c r="P350" s="5" t="str">
        <f t="shared" si="16"/>
        <v/>
      </c>
      <c r="Q350" s="5" t="str">
        <f t="shared" si="17"/>
        <v/>
      </c>
    </row>
    <row r="351" ht="14.4" spans="1:17">
      <c r="A351" s="4">
        <v>350</v>
      </c>
      <c r="B351" s="4" t="s">
        <v>1094</v>
      </c>
      <c r="C351" s="4" t="s">
        <v>23</v>
      </c>
      <c r="D351" s="4" t="s">
        <v>1095</v>
      </c>
      <c r="E351" s="5" t="str">
        <f t="shared" si="15"/>
        <v>Dr.BHARATHIRAJA M</v>
      </c>
      <c r="F351" s="6" t="s">
        <v>1074</v>
      </c>
      <c r="G351" s="5" t="s">
        <v>29</v>
      </c>
      <c r="H351" s="5" t="s">
        <v>1096</v>
      </c>
      <c r="I35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Col2='""&amp;B351&amp;""'"",0)"),1)</f>
        <v>1</v>
      </c>
      <c r="J351" s="5">
        <f>IFERROR(__xludf.DUMMYFUNCTION("""COMPUTED_VALUE"""),1)</f>
        <v>1</v>
      </c>
      <c r="K351" s="5">
        <f>IFERROR(__xludf.DUMMYFUNCTION("""COMPUTED_VALUE"""),0)</f>
        <v>0</v>
      </c>
      <c r="L351" s="5">
        <f>IFERROR(__xludf.DUMMYFUNCTION("""COMPUTED_VALUE"""),0)</f>
        <v>0</v>
      </c>
      <c r="M351" s="5" t="str">
        <f>IFERROR(__xludf.DUMMYFUNCTION("""COMPUTED_VALUE"""),"Working")</f>
        <v>Working</v>
      </c>
      <c r="N351" s="5" t="str">
        <f>IFERROR(__xludf.DUMMYFUNCTION("""COMPUTED_VALUE"""),"LOAD PENDING")</f>
        <v>LOAD PENDING</v>
      </c>
      <c r="O351" s="5" t="str">
        <f>IFERROR(__xludf.DUMMYFUNCTION("""COMPUTED_VALUE"""),"LOAD PENDING")</f>
        <v>LOAD PENDING</v>
      </c>
      <c r="P351" s="5" t="str">
        <f t="shared" si="16"/>
        <v/>
      </c>
      <c r="Q351" s="5" t="str">
        <f t="shared" si="17"/>
        <v/>
      </c>
    </row>
    <row r="352" ht="27.6" spans="1:17">
      <c r="A352" s="4">
        <v>351</v>
      </c>
      <c r="B352" s="4" t="s">
        <v>1097</v>
      </c>
      <c r="C352" s="4" t="s">
        <v>23</v>
      </c>
      <c r="D352" s="4" t="s">
        <v>1098</v>
      </c>
      <c r="E352" s="5" t="str">
        <f t="shared" si="15"/>
        <v>Dr.VADIVEL VIVEK V</v>
      </c>
      <c r="F352" s="6" t="s">
        <v>1074</v>
      </c>
      <c r="G352" s="5" t="s">
        <v>20</v>
      </c>
      <c r="H352" s="5" t="s">
        <v>1099</v>
      </c>
      <c r="I35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Col2='""&amp;B352&amp;""'"",0)"),1)</f>
        <v>1</v>
      </c>
      <c r="J352" s="5">
        <f>IFERROR(__xludf.DUMMYFUNCTION("""COMPUTED_VALUE"""),0)</f>
        <v>0</v>
      </c>
      <c r="K352" s="5">
        <f>IFERROR(__xludf.DUMMYFUNCTION("""COMPUTED_VALUE"""),1)</f>
        <v>1</v>
      </c>
      <c r="L352" s="5">
        <f>IFERROR(__xludf.DUMMYFUNCTION("""COMPUTED_VALUE"""),0)</f>
        <v>0</v>
      </c>
      <c r="M352" s="5" t="str">
        <f>IFERROR(__xludf.DUMMYFUNCTION("""COMPUTED_VALUE"""),"Working")</f>
        <v>Working</v>
      </c>
      <c r="N352" s="5" t="str">
        <f>IFERROR(__xludf.DUMMYFUNCTION("""COMPUTED_VALUE"""),"CORRECT")</f>
        <v>CORRECT</v>
      </c>
      <c r="O352" s="5" t="str">
        <f>IFERROR(__xludf.DUMMYFUNCTION("""COMPUTED_VALUE"""),"CORRECT")</f>
        <v>CORRECT</v>
      </c>
      <c r="P352" s="5" t="str">
        <f t="shared" si="16"/>
        <v/>
      </c>
      <c r="Q352" s="5" t="str">
        <f t="shared" si="17"/>
        <v/>
      </c>
    </row>
    <row r="353" ht="14.4" spans="1:17">
      <c r="A353" s="4">
        <v>352</v>
      </c>
      <c r="B353" s="4" t="s">
        <v>1100</v>
      </c>
      <c r="C353" s="4" t="s">
        <v>23</v>
      </c>
      <c r="D353" s="4" t="s">
        <v>1101</v>
      </c>
      <c r="E353" s="5" t="str">
        <f t="shared" si="15"/>
        <v>Dr.SENTHIL KUMAR K L</v>
      </c>
      <c r="F353" s="6" t="s">
        <v>1074</v>
      </c>
      <c r="G353" s="5" t="s">
        <v>29</v>
      </c>
      <c r="H353" s="5" t="s">
        <v>1102</v>
      </c>
      <c r="I35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Col2='""&amp;B353&amp;""'"",0)"),1)</f>
        <v>1</v>
      </c>
      <c r="J353" s="5">
        <f>IFERROR(__xludf.DUMMYFUNCTION("""COMPUTED_VALUE"""),0)</f>
        <v>0</v>
      </c>
      <c r="K353" s="5">
        <f>IFERROR(__xludf.DUMMYFUNCTION("""COMPUTED_VALUE"""),1)</f>
        <v>1</v>
      </c>
      <c r="L353" s="5">
        <f>IFERROR(__xludf.DUMMYFUNCTION("""COMPUTED_VALUE"""),0)</f>
        <v>0</v>
      </c>
      <c r="M353" s="5" t="str">
        <f>IFERROR(__xludf.DUMMYFUNCTION("""COMPUTED_VALUE"""),"Working")</f>
        <v>Working</v>
      </c>
      <c r="N353" s="5" t="str">
        <f>IFERROR(__xludf.DUMMYFUNCTION("""COMPUTED_VALUE"""),"CORRECT")</f>
        <v>CORRECT</v>
      </c>
      <c r="O353" s="5" t="str">
        <f>IFERROR(__xludf.DUMMYFUNCTION("""COMPUTED_VALUE"""),"CORRECT")</f>
        <v>CORRECT</v>
      </c>
      <c r="P353" s="5" t="str">
        <f t="shared" si="16"/>
        <v/>
      </c>
      <c r="Q353" s="5" t="str">
        <f t="shared" si="17"/>
        <v/>
      </c>
    </row>
    <row r="354" ht="14.4" spans="1:17">
      <c r="A354" s="4">
        <v>353</v>
      </c>
      <c r="B354" s="4" t="s">
        <v>1103</v>
      </c>
      <c r="C354" s="4" t="s">
        <v>23</v>
      </c>
      <c r="D354" s="4" t="s">
        <v>1104</v>
      </c>
      <c r="E354" s="5" t="str">
        <f t="shared" si="15"/>
        <v>Dr.NAGARAJAN P</v>
      </c>
      <c r="F354" s="6" t="s">
        <v>1074</v>
      </c>
      <c r="G354" s="5" t="s">
        <v>25</v>
      </c>
      <c r="H354" s="5" t="s">
        <v>1105</v>
      </c>
      <c r="I35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Col2='""&amp;B354&amp;""'"",0)"),1)</f>
        <v>1</v>
      </c>
      <c r="J354" s="5">
        <f>IFERROR(__xludf.DUMMYFUNCTION("""COMPUTED_VALUE"""),0)</f>
        <v>0</v>
      </c>
      <c r="K354" s="5">
        <f>IFERROR(__xludf.DUMMYFUNCTION("""COMPUTED_VALUE"""),1)</f>
        <v>1</v>
      </c>
      <c r="L354" s="5">
        <f>IFERROR(__xludf.DUMMYFUNCTION("""COMPUTED_VALUE"""),0)</f>
        <v>0</v>
      </c>
      <c r="M354" s="5" t="str">
        <f>IFERROR(__xludf.DUMMYFUNCTION("""COMPUTED_VALUE"""),"Working")</f>
        <v>Working</v>
      </c>
      <c r="N354" s="5" t="str">
        <f>IFERROR(__xludf.DUMMYFUNCTION("""COMPUTED_VALUE"""),"CORRECT")</f>
        <v>CORRECT</v>
      </c>
      <c r="O354" s="5" t="str">
        <f>IFERROR(__xludf.DUMMYFUNCTION("""COMPUTED_VALUE"""),"CORRECT")</f>
        <v>CORRECT</v>
      </c>
      <c r="P354" s="5" t="str">
        <f t="shared" si="16"/>
        <v/>
      </c>
      <c r="Q354" s="5" t="str">
        <f t="shared" si="17"/>
        <v/>
      </c>
    </row>
    <row r="355" ht="14.4" spans="1:17">
      <c r="A355" s="4">
        <v>354</v>
      </c>
      <c r="B355" s="4" t="s">
        <v>1106</v>
      </c>
      <c r="C355" s="4" t="s">
        <v>23</v>
      </c>
      <c r="D355" s="4" t="s">
        <v>1107</v>
      </c>
      <c r="E355" s="5" t="str">
        <f t="shared" si="15"/>
        <v>Dr.RAJIEV R</v>
      </c>
      <c r="F355" s="6" t="s">
        <v>1074</v>
      </c>
      <c r="G355" s="5" t="s">
        <v>25</v>
      </c>
      <c r="H355" s="5" t="s">
        <v>1108</v>
      </c>
      <c r="I35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Col2='""&amp;B355&amp;""'"",0)"),1)</f>
        <v>1</v>
      </c>
      <c r="J355" s="5">
        <f>IFERROR(__xludf.DUMMYFUNCTION("""COMPUTED_VALUE"""),0)</f>
        <v>0</v>
      </c>
      <c r="K355" s="5">
        <f>IFERROR(__xludf.DUMMYFUNCTION("""COMPUTED_VALUE"""),1)</f>
        <v>1</v>
      </c>
      <c r="L355" s="5">
        <f>IFERROR(__xludf.DUMMYFUNCTION("""COMPUTED_VALUE"""),0)</f>
        <v>0</v>
      </c>
      <c r="M355" s="5" t="str">
        <f>IFERROR(__xludf.DUMMYFUNCTION("""COMPUTED_VALUE"""),"Working")</f>
        <v>Working</v>
      </c>
      <c r="N355" s="5" t="str">
        <f>IFERROR(__xludf.DUMMYFUNCTION("""COMPUTED_VALUE"""),"CORRECT")</f>
        <v>CORRECT</v>
      </c>
      <c r="O355" s="5" t="str">
        <f>IFERROR(__xludf.DUMMYFUNCTION("""COMPUTED_VALUE"""),"CORRECT")</f>
        <v>CORRECT</v>
      </c>
      <c r="P355" s="5" t="str">
        <f t="shared" si="16"/>
        <v/>
      </c>
      <c r="Q355" s="5" t="str">
        <f t="shared" si="17"/>
        <v/>
      </c>
    </row>
    <row r="356" ht="27.6" spans="1:17">
      <c r="A356" s="4">
        <v>355</v>
      </c>
      <c r="B356" s="4" t="s">
        <v>1109</v>
      </c>
      <c r="C356" s="4" t="s">
        <v>23</v>
      </c>
      <c r="D356" s="4" t="s">
        <v>1110</v>
      </c>
      <c r="E356" s="5" t="str">
        <f t="shared" si="15"/>
        <v>Dr.SENTHILKUMAR P</v>
      </c>
      <c r="F356" s="6" t="s">
        <v>1074</v>
      </c>
      <c r="G356" s="5" t="s">
        <v>25</v>
      </c>
      <c r="H356" s="5" t="s">
        <v>1111</v>
      </c>
      <c r="I35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Col2='""&amp;B356&amp;""'"",0)"),1)</f>
        <v>1</v>
      </c>
      <c r="J356" s="5">
        <f>IFERROR(__xludf.DUMMYFUNCTION("""COMPUTED_VALUE"""),0)</f>
        <v>0</v>
      </c>
      <c r="K356" s="5">
        <f>IFERROR(__xludf.DUMMYFUNCTION("""COMPUTED_VALUE"""),1)</f>
        <v>1</v>
      </c>
      <c r="L356" s="5">
        <f>IFERROR(__xludf.DUMMYFUNCTION("""COMPUTED_VALUE"""),1)</f>
        <v>1</v>
      </c>
      <c r="M356" s="5" t="str">
        <f>IFERROR(__xludf.DUMMYFUNCTION("""COMPUTED_VALUE"""),"Working")</f>
        <v>Working</v>
      </c>
      <c r="N356" s="5" t="str">
        <f>IFERROR(__xludf.DUMMYFUNCTION("""COMPUTED_VALUE"""),"CORRECT")</f>
        <v>CORRECT</v>
      </c>
      <c r="O356" s="5" t="str">
        <f>IFERROR(__xludf.DUMMYFUNCTION("""COMPUTED_VALUE"""),"CORRECT")</f>
        <v>CORRECT</v>
      </c>
      <c r="P356" s="5" t="str">
        <f t="shared" si="16"/>
        <v/>
      </c>
      <c r="Q356" s="5" t="str">
        <f t="shared" si="17"/>
        <v>Extra Lab Load Alloted</v>
      </c>
    </row>
    <row r="357" ht="27.6" spans="1:17">
      <c r="A357" s="4">
        <v>356</v>
      </c>
      <c r="B357" s="4" t="s">
        <v>1112</v>
      </c>
      <c r="C357" s="4" t="s">
        <v>23</v>
      </c>
      <c r="D357" s="4" t="s">
        <v>1113</v>
      </c>
      <c r="E357" s="5" t="str">
        <f t="shared" si="15"/>
        <v>Dr.JEGADHEESWARAN S</v>
      </c>
      <c r="F357" s="6" t="s">
        <v>1074</v>
      </c>
      <c r="G357" s="5" t="s">
        <v>29</v>
      </c>
      <c r="H357" s="5" t="s">
        <v>1114</v>
      </c>
      <c r="I35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Col2='""&amp;B357&amp;""'"",0)"),1)</f>
        <v>1</v>
      </c>
      <c r="J357" s="5">
        <f>IFERROR(__xludf.DUMMYFUNCTION("""COMPUTED_VALUE"""),1)</f>
        <v>1</v>
      </c>
      <c r="K357" s="5">
        <f>IFERROR(__xludf.DUMMYFUNCTION("""COMPUTED_VALUE"""),1)</f>
        <v>1</v>
      </c>
      <c r="L357" s="5">
        <f>IFERROR(__xludf.DUMMYFUNCTION("""COMPUTED_VALUE"""),2)</f>
        <v>2</v>
      </c>
      <c r="M357" s="5" t="str">
        <f>IFERROR(__xludf.DUMMYFUNCTION("""COMPUTED_VALUE"""),"Working")</f>
        <v>Working</v>
      </c>
      <c r="N357" s="5" t="str">
        <f>IFERROR(__xludf.DUMMYFUNCTION("""COMPUTED_VALUE"""),"CORRECT")</f>
        <v>CORRECT</v>
      </c>
      <c r="O357" s="5" t="str">
        <f>IFERROR(__xludf.DUMMYFUNCTION("""COMPUTED_VALUE"""),"CORRECT")</f>
        <v>CORRECT</v>
      </c>
      <c r="P357" s="5" t="str">
        <f t="shared" si="16"/>
        <v/>
      </c>
      <c r="Q357" s="5" t="str">
        <f t="shared" si="17"/>
        <v>Extra Lab Load Alloted</v>
      </c>
    </row>
    <row r="358" ht="14.4" spans="1:17">
      <c r="A358" s="4">
        <v>357</v>
      </c>
      <c r="B358" s="4" t="s">
        <v>1115</v>
      </c>
      <c r="C358" s="4" t="s">
        <v>23</v>
      </c>
      <c r="D358" s="4" t="s">
        <v>1116</v>
      </c>
      <c r="E358" s="5" t="str">
        <f t="shared" si="15"/>
        <v>Dr.KUMARESAN G</v>
      </c>
      <c r="F358" s="6" t="s">
        <v>1117</v>
      </c>
      <c r="G358" s="5" t="s">
        <v>29</v>
      </c>
      <c r="H358" s="5" t="s">
        <v>1118</v>
      </c>
      <c r="I35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Col2='""&amp;B358&amp;""'"",0)"),1)</f>
        <v>1</v>
      </c>
      <c r="J358" s="5">
        <f>IFERROR(__xludf.DUMMYFUNCTION("""COMPUTED_VALUE"""),1)</f>
        <v>1</v>
      </c>
      <c r="K358" s="5">
        <f>IFERROR(__xludf.DUMMYFUNCTION("""COMPUTED_VALUE"""),2)</f>
        <v>2</v>
      </c>
      <c r="L358" s="5">
        <f>IFERROR(__xludf.DUMMYFUNCTION("""COMPUTED_VALUE"""),0)</f>
        <v>0</v>
      </c>
      <c r="M358" s="5" t="str">
        <f>IFERROR(__xludf.DUMMYFUNCTION("""COMPUTED_VALUE"""),"Working")</f>
        <v>Working</v>
      </c>
      <c r="N358" s="5" t="str">
        <f>IFERROR(__xludf.DUMMYFUNCTION("""COMPUTED_VALUE"""),"CORRECT")</f>
        <v>CORRECT</v>
      </c>
      <c r="O358" s="5" t="str">
        <f>IFERROR(__xludf.DUMMYFUNCTION("""COMPUTED_VALUE"""),"LOAD PENDING")</f>
        <v>LOAD PENDING</v>
      </c>
      <c r="P358" s="5" t="str">
        <f t="shared" si="16"/>
        <v>Extra Theory Load Alloted</v>
      </c>
      <c r="Q358" s="5" t="str">
        <f t="shared" si="17"/>
        <v/>
      </c>
    </row>
    <row r="359" ht="27.6" spans="1:17">
      <c r="A359" s="4">
        <v>358</v>
      </c>
      <c r="B359" s="4" t="s">
        <v>1119</v>
      </c>
      <c r="C359" s="4" t="s">
        <v>23</v>
      </c>
      <c r="D359" s="4" t="s">
        <v>1120</v>
      </c>
      <c r="E359" s="5" t="str">
        <f t="shared" si="15"/>
        <v>Dr.PRADEEP A D</v>
      </c>
      <c r="F359" s="6" t="s">
        <v>1117</v>
      </c>
      <c r="G359" s="5" t="s">
        <v>20</v>
      </c>
      <c r="H359" s="5" t="s">
        <v>1121</v>
      </c>
      <c r="I35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Col2='""&amp;B359&amp;""'"",0)"),2)</f>
        <v>2</v>
      </c>
      <c r="J359" s="5">
        <f>IFERROR(__xludf.DUMMYFUNCTION("""COMPUTED_VALUE"""),2)</f>
        <v>2</v>
      </c>
      <c r="K359" s="5">
        <f>IFERROR(__xludf.DUMMYFUNCTION("""COMPUTED_VALUE"""),1)</f>
        <v>1</v>
      </c>
      <c r="L359" s="5">
        <f>IFERROR(__xludf.DUMMYFUNCTION("""COMPUTED_VALUE"""),3)</f>
        <v>3</v>
      </c>
      <c r="M359" s="5" t="str">
        <f>IFERROR(__xludf.DUMMYFUNCTION("""COMPUTED_VALUE"""),"Working")</f>
        <v>Working</v>
      </c>
      <c r="N359" s="5" t="str">
        <f>IFERROR(__xludf.DUMMYFUNCTION("""COMPUTED_VALUE"""),"LOAD PENDING")</f>
        <v>LOAD PENDING</v>
      </c>
      <c r="O359" s="5" t="str">
        <f>IFERROR(__xludf.DUMMYFUNCTION("""COMPUTED_VALUE"""),"CORRECT")</f>
        <v>CORRECT</v>
      </c>
      <c r="P359" s="5" t="str">
        <f t="shared" si="16"/>
        <v/>
      </c>
      <c r="Q359" s="5" t="str">
        <f t="shared" si="17"/>
        <v>Extra Lab Load Alloted</v>
      </c>
    </row>
    <row r="360" ht="27.6" spans="1:17">
      <c r="A360" s="4">
        <v>359</v>
      </c>
      <c r="B360" s="4" t="s">
        <v>1122</v>
      </c>
      <c r="C360" s="4" t="s">
        <v>23</v>
      </c>
      <c r="D360" s="4" t="s">
        <v>1123</v>
      </c>
      <c r="E360" s="5" t="str">
        <f t="shared" si="15"/>
        <v>Dr.MADHESWARAN S</v>
      </c>
      <c r="F360" s="6" t="s">
        <v>1117</v>
      </c>
      <c r="G360" s="5" t="s">
        <v>20</v>
      </c>
      <c r="H360" s="5" t="s">
        <v>1124</v>
      </c>
      <c r="I36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Col2='""&amp;B360&amp;""'"",0)"),1)</f>
        <v>1</v>
      </c>
      <c r="J360" s="5">
        <f>IFERROR(__xludf.DUMMYFUNCTION("""COMPUTED_VALUE"""),0)</f>
        <v>0</v>
      </c>
      <c r="K360" s="5">
        <f>IFERROR(__xludf.DUMMYFUNCTION("""COMPUTED_VALUE"""),1)</f>
        <v>1</v>
      </c>
      <c r="L360" s="5">
        <f>IFERROR(__xludf.DUMMYFUNCTION("""COMPUTED_VALUE"""),0)</f>
        <v>0</v>
      </c>
      <c r="M360" s="5" t="str">
        <f>IFERROR(__xludf.DUMMYFUNCTION("""COMPUTED_VALUE"""),"Working")</f>
        <v>Working</v>
      </c>
      <c r="N360" s="5" t="str">
        <f>IFERROR(__xludf.DUMMYFUNCTION("""COMPUTED_VALUE"""),"CORRECT")</f>
        <v>CORRECT</v>
      </c>
      <c r="O360" s="5" t="str">
        <f>IFERROR(__xludf.DUMMYFUNCTION("""COMPUTED_VALUE"""),"CORRECT")</f>
        <v>CORRECT</v>
      </c>
      <c r="P360" s="5" t="str">
        <f t="shared" si="16"/>
        <v/>
      </c>
      <c r="Q360" s="5" t="str">
        <f t="shared" si="17"/>
        <v/>
      </c>
    </row>
    <row r="361" ht="27.6" spans="1:17">
      <c r="A361" s="4">
        <v>360</v>
      </c>
      <c r="B361" s="4" t="s">
        <v>1125</v>
      </c>
      <c r="C361" s="4" t="s">
        <v>23</v>
      </c>
      <c r="D361" s="4" t="s">
        <v>1126</v>
      </c>
      <c r="E361" s="5" t="str">
        <f t="shared" si="15"/>
        <v>Dr.SUBRAMANIYAN C</v>
      </c>
      <c r="F361" s="6" t="s">
        <v>1117</v>
      </c>
      <c r="G361" s="5" t="s">
        <v>20</v>
      </c>
      <c r="H361" s="5" t="s">
        <v>1127</v>
      </c>
      <c r="I36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Col2='""&amp;B361&amp;""'"",0)"),1)</f>
        <v>1</v>
      </c>
      <c r="J361" s="5">
        <f>IFERROR(__xludf.DUMMYFUNCTION("""COMPUTED_VALUE"""),0)</f>
        <v>0</v>
      </c>
      <c r="K361" s="5">
        <f>IFERROR(__xludf.DUMMYFUNCTION("""COMPUTED_VALUE"""),0)</f>
        <v>0</v>
      </c>
      <c r="L361" s="5">
        <f>IFERROR(__xludf.DUMMYFUNCTION("""COMPUTED_VALUE"""),0)</f>
        <v>0</v>
      </c>
      <c r="M361" s="5" t="str">
        <f>IFERROR(__xludf.DUMMYFUNCTION("""COMPUTED_VALUE"""),"Working")</f>
        <v>Working</v>
      </c>
      <c r="N361" s="5" t="str">
        <f>IFERROR(__xludf.DUMMYFUNCTION("""COMPUTED_VALUE"""),"LOAD PENDING")</f>
        <v>LOAD PENDING</v>
      </c>
      <c r="O361" s="5" t="str">
        <f>IFERROR(__xludf.DUMMYFUNCTION("""COMPUTED_VALUE"""),"CORRECT")</f>
        <v>CORRECT</v>
      </c>
      <c r="P361" s="5" t="str">
        <f t="shared" si="16"/>
        <v/>
      </c>
      <c r="Q361" s="5" t="str">
        <f t="shared" si="17"/>
        <v/>
      </c>
    </row>
    <row r="362" ht="27.6" spans="1:17">
      <c r="A362" s="4">
        <v>361</v>
      </c>
      <c r="B362" s="4" t="s">
        <v>1128</v>
      </c>
      <c r="C362" s="4" t="s">
        <v>23</v>
      </c>
      <c r="D362" s="4" t="s">
        <v>1129</v>
      </c>
      <c r="E362" s="5" t="str">
        <f t="shared" si="15"/>
        <v>Dr.BHUVANESH N</v>
      </c>
      <c r="F362" s="6" t="s">
        <v>1117</v>
      </c>
      <c r="G362" s="5" t="s">
        <v>20</v>
      </c>
      <c r="H362" s="5" t="s">
        <v>1130</v>
      </c>
      <c r="I36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Col2='""&amp;B362&amp;""'"",0)"),1)</f>
        <v>1</v>
      </c>
      <c r="J362" s="5">
        <f>IFERROR(__xludf.DUMMYFUNCTION("""COMPUTED_VALUE"""),0)</f>
        <v>0</v>
      </c>
      <c r="K362" s="5">
        <f>IFERROR(__xludf.DUMMYFUNCTION("""COMPUTED_VALUE"""),0)</f>
        <v>0</v>
      </c>
      <c r="L362" s="5">
        <f>IFERROR(__xludf.DUMMYFUNCTION("""COMPUTED_VALUE"""),1)</f>
        <v>1</v>
      </c>
      <c r="M362" s="5" t="str">
        <f>IFERROR(__xludf.DUMMYFUNCTION("""COMPUTED_VALUE"""),"Working")</f>
        <v>Working</v>
      </c>
      <c r="N362" s="5" t="str">
        <f>IFERROR(__xludf.DUMMYFUNCTION("""COMPUTED_VALUE"""),"LOAD PENDING")</f>
        <v>LOAD PENDING</v>
      </c>
      <c r="O362" s="5" t="str">
        <f>IFERROR(__xludf.DUMMYFUNCTION("""COMPUTED_VALUE"""),"CORRECT")</f>
        <v>CORRECT</v>
      </c>
      <c r="P362" s="5" t="str">
        <f t="shared" si="16"/>
        <v/>
      </c>
      <c r="Q362" s="5" t="str">
        <f t="shared" si="17"/>
        <v>Extra Lab Load Alloted</v>
      </c>
    </row>
    <row r="363" ht="27.6" spans="1:17">
      <c r="A363" s="4">
        <v>362</v>
      </c>
      <c r="B363" s="4" t="s">
        <v>1131</v>
      </c>
      <c r="C363" s="4" t="s">
        <v>23</v>
      </c>
      <c r="D363" s="4" t="s">
        <v>1132</v>
      </c>
      <c r="E363" s="5" t="str">
        <f t="shared" si="15"/>
        <v>Dr.MUTHUKUMAR K</v>
      </c>
      <c r="F363" s="6" t="s">
        <v>1133</v>
      </c>
      <c r="G363" s="5" t="s">
        <v>29</v>
      </c>
      <c r="H363" s="5" t="s">
        <v>1134</v>
      </c>
      <c r="I36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Col2='""&amp;B363&amp;""'"",0)"),1)</f>
        <v>1</v>
      </c>
      <c r="J363" s="5">
        <f>IFERROR(__xludf.DUMMYFUNCTION("""COMPUTED_VALUE"""),1)</f>
        <v>1</v>
      </c>
      <c r="K363" s="5">
        <f>IFERROR(__xludf.DUMMYFUNCTION("""COMPUTED_VALUE"""),2)</f>
        <v>2</v>
      </c>
      <c r="L363" s="5">
        <f>IFERROR(__xludf.DUMMYFUNCTION("""COMPUTED_VALUE"""),2)</f>
        <v>2</v>
      </c>
      <c r="M363" s="5" t="str">
        <f>IFERROR(__xludf.DUMMYFUNCTION("""COMPUTED_VALUE"""),"Working")</f>
        <v>Working</v>
      </c>
      <c r="N363" s="5" t="str">
        <f>IFERROR(__xludf.DUMMYFUNCTION("""COMPUTED_VALUE"""),"CORRECT")</f>
        <v>CORRECT</v>
      </c>
      <c r="O363" s="5" t="str">
        <f>IFERROR(__xludf.DUMMYFUNCTION("""COMPUTED_VALUE"""),"CORRECT")</f>
        <v>CORRECT</v>
      </c>
      <c r="P363" s="5" t="str">
        <f t="shared" si="16"/>
        <v>Extra Theory Load Alloted</v>
      </c>
      <c r="Q363" s="5" t="str">
        <f t="shared" si="17"/>
        <v>Extra Lab Load Alloted</v>
      </c>
    </row>
    <row r="364" ht="27.6" spans="1:17">
      <c r="A364" s="4">
        <v>363</v>
      </c>
      <c r="B364" s="4" t="s">
        <v>1135</v>
      </c>
      <c r="C364" s="4" t="s">
        <v>17</v>
      </c>
      <c r="D364" s="4" t="s">
        <v>1136</v>
      </c>
      <c r="E364" s="5" t="str">
        <f t="shared" si="15"/>
        <v>Mr.RAMACHANDRA RAJU K</v>
      </c>
      <c r="F364" s="6" t="s">
        <v>1117</v>
      </c>
      <c r="G364" s="5" t="s">
        <v>20</v>
      </c>
      <c r="H364" s="5" t="s">
        <v>1137</v>
      </c>
      <c r="I36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Col2='""&amp;B364&amp;""'"",0)"),2)</f>
        <v>2</v>
      </c>
      <c r="J364" s="5">
        <f>IFERROR(__xludf.DUMMYFUNCTION("""COMPUTED_VALUE"""),2)</f>
        <v>2</v>
      </c>
      <c r="K364" s="5">
        <f>IFERROR(__xludf.DUMMYFUNCTION("""COMPUTED_VALUE"""),1)</f>
        <v>1</v>
      </c>
      <c r="L364" s="5">
        <f>IFERROR(__xludf.DUMMYFUNCTION("""COMPUTED_VALUE"""),3)</f>
        <v>3</v>
      </c>
      <c r="M364" s="5" t="str">
        <f>IFERROR(__xludf.DUMMYFUNCTION("""COMPUTED_VALUE"""),"Working")</f>
        <v>Working</v>
      </c>
      <c r="N364" s="5" t="str">
        <f>IFERROR(__xludf.DUMMYFUNCTION("""COMPUTED_VALUE"""),"LOAD PENDING")</f>
        <v>LOAD PENDING</v>
      </c>
      <c r="O364" s="5" t="str">
        <f>IFERROR(__xludf.DUMMYFUNCTION("""COMPUTED_VALUE"""),"CORRECT")</f>
        <v>CORRECT</v>
      </c>
      <c r="P364" s="5" t="str">
        <f t="shared" si="16"/>
        <v/>
      </c>
      <c r="Q364" s="5" t="str">
        <f t="shared" si="17"/>
        <v>Extra Lab Load Alloted</v>
      </c>
    </row>
    <row r="365" ht="27.6" spans="1:17">
      <c r="A365" s="4">
        <v>364</v>
      </c>
      <c r="B365" s="4" t="s">
        <v>1138</v>
      </c>
      <c r="C365" s="4" t="s">
        <v>17</v>
      </c>
      <c r="D365" s="4" t="s">
        <v>1139</v>
      </c>
      <c r="E365" s="5" t="str">
        <f t="shared" si="15"/>
        <v>Mr.KAMAL BASHA K</v>
      </c>
      <c r="F365" s="6" t="s">
        <v>1117</v>
      </c>
      <c r="G365" s="5" t="s">
        <v>37</v>
      </c>
      <c r="H365" s="5" t="s">
        <v>1140</v>
      </c>
      <c r="I36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Col2='""&amp;B365&amp;""'"",0)"),2)</f>
        <v>2</v>
      </c>
      <c r="J365" s="5">
        <f>IFERROR(__xludf.DUMMYFUNCTION("""COMPUTED_VALUE"""),2)</f>
        <v>2</v>
      </c>
      <c r="K365" s="5">
        <f>IFERROR(__xludf.DUMMYFUNCTION("""COMPUTED_VALUE"""),1)</f>
        <v>1</v>
      </c>
      <c r="L365" s="5">
        <f>IFERROR(__xludf.DUMMYFUNCTION("""COMPUTED_VALUE"""),3)</f>
        <v>3</v>
      </c>
      <c r="M365" s="5" t="str">
        <f>IFERROR(__xludf.DUMMYFUNCTION("""COMPUTED_VALUE"""),"Working")</f>
        <v>Working</v>
      </c>
      <c r="N365" s="5" t="str">
        <f>IFERROR(__xludf.DUMMYFUNCTION("""COMPUTED_VALUE"""),"LOAD PENDING")</f>
        <v>LOAD PENDING</v>
      </c>
      <c r="O365" s="5" t="str">
        <f>IFERROR(__xludf.DUMMYFUNCTION("""COMPUTED_VALUE"""),"CORRECT")</f>
        <v>CORRECT</v>
      </c>
      <c r="P365" s="5" t="str">
        <f t="shared" si="16"/>
        <v/>
      </c>
      <c r="Q365" s="5" t="str">
        <f t="shared" si="17"/>
        <v>Extra Lab Load Alloted</v>
      </c>
    </row>
    <row r="366" ht="27.6" spans="1:17">
      <c r="A366" s="4">
        <v>365</v>
      </c>
      <c r="B366" s="4" t="s">
        <v>1141</v>
      </c>
      <c r="C366" s="4" t="s">
        <v>23</v>
      </c>
      <c r="D366" s="4" t="s">
        <v>1142</v>
      </c>
      <c r="E366" s="5" t="str">
        <f t="shared" si="15"/>
        <v>Dr.PRAKASH K B</v>
      </c>
      <c r="F366" s="6" t="s">
        <v>1117</v>
      </c>
      <c r="G366" s="5" t="s">
        <v>20</v>
      </c>
      <c r="H366" s="5" t="s">
        <v>1143</v>
      </c>
      <c r="I36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Col2='""&amp;B366&amp;""'"",0)"),1)</f>
        <v>1</v>
      </c>
      <c r="J366" s="5">
        <f>IFERROR(__xludf.DUMMYFUNCTION("""COMPUTED_VALUE"""),1)</f>
        <v>1</v>
      </c>
      <c r="K366" s="5">
        <f>IFERROR(__xludf.DUMMYFUNCTION("""COMPUTED_VALUE"""),1)</f>
        <v>1</v>
      </c>
      <c r="L366" s="5">
        <f>IFERROR(__xludf.DUMMYFUNCTION("""COMPUTED_VALUE"""),1)</f>
        <v>1</v>
      </c>
      <c r="M366" s="5" t="str">
        <f>IFERROR(__xludf.DUMMYFUNCTION("""COMPUTED_VALUE"""),"Working")</f>
        <v>Working</v>
      </c>
      <c r="N366" s="5" t="str">
        <f>IFERROR(__xludf.DUMMYFUNCTION("""COMPUTED_VALUE"""),"CORRECT")</f>
        <v>CORRECT</v>
      </c>
      <c r="O366" s="5" t="str">
        <f>IFERROR(__xludf.DUMMYFUNCTION("""COMPUTED_VALUE"""),"CORRECT")</f>
        <v>CORRECT</v>
      </c>
      <c r="P366" s="5" t="str">
        <f t="shared" si="16"/>
        <v/>
      </c>
      <c r="Q366" s="5" t="str">
        <f t="shared" si="17"/>
        <v/>
      </c>
    </row>
    <row r="367" ht="27.6" spans="1:17">
      <c r="A367" s="4">
        <v>366</v>
      </c>
      <c r="B367" s="4" t="s">
        <v>1144</v>
      </c>
      <c r="C367" s="4" t="s">
        <v>17</v>
      </c>
      <c r="D367" s="4" t="s">
        <v>1145</v>
      </c>
      <c r="E367" s="5" t="str">
        <f t="shared" si="15"/>
        <v>Mr.BOOPATHIRAJA K P</v>
      </c>
      <c r="F367" s="6" t="s">
        <v>1117</v>
      </c>
      <c r="G367" s="5" t="s">
        <v>20</v>
      </c>
      <c r="H367" s="5" t="s">
        <v>1146</v>
      </c>
      <c r="I36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Col2='""&amp;B367&amp;""'"",0)"),1)</f>
        <v>1</v>
      </c>
      <c r="J367" s="5">
        <f>IFERROR(__xludf.DUMMYFUNCTION("""COMPUTED_VALUE"""),0)</f>
        <v>0</v>
      </c>
      <c r="K367" s="5">
        <f>IFERROR(__xludf.DUMMYFUNCTION("""COMPUTED_VALUE"""),1)</f>
        <v>1</v>
      </c>
      <c r="L367" s="5">
        <f>IFERROR(__xludf.DUMMYFUNCTION("""COMPUTED_VALUE"""),0)</f>
        <v>0</v>
      </c>
      <c r="M367" s="5" t="str">
        <f>IFERROR(__xludf.DUMMYFUNCTION("""COMPUTED_VALUE"""),"Working")</f>
        <v>Working</v>
      </c>
      <c r="N367" s="5" t="str">
        <f>IFERROR(__xludf.DUMMYFUNCTION("""COMPUTED_VALUE"""),"CORRECT")</f>
        <v>CORRECT</v>
      </c>
      <c r="O367" s="5" t="str">
        <f>IFERROR(__xludf.DUMMYFUNCTION("""COMPUTED_VALUE"""),"CORRECT")</f>
        <v>CORRECT</v>
      </c>
      <c r="P367" s="5" t="str">
        <f t="shared" si="16"/>
        <v/>
      </c>
      <c r="Q367" s="5" t="str">
        <f t="shared" si="17"/>
        <v/>
      </c>
    </row>
    <row r="368" ht="14.4" spans="1:17">
      <c r="A368" s="4">
        <v>367</v>
      </c>
      <c r="B368" s="4" t="s">
        <v>1147</v>
      </c>
      <c r="C368" s="4" t="s">
        <v>23</v>
      </c>
      <c r="D368" s="4" t="s">
        <v>1148</v>
      </c>
      <c r="E368" s="5" t="str">
        <f t="shared" si="15"/>
        <v>Dr.PRAVIN M C</v>
      </c>
      <c r="F368" s="6" t="s">
        <v>1117</v>
      </c>
      <c r="G368" s="5" t="s">
        <v>25</v>
      </c>
      <c r="H368" s="5" t="s">
        <v>1149</v>
      </c>
      <c r="I36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Col2='""&amp;B368&amp;""'"",0)"),0)</f>
        <v>0</v>
      </c>
      <c r="J368" s="5">
        <f>IFERROR(__xludf.DUMMYFUNCTION("""COMPUTED_VALUE"""),1)</f>
        <v>1</v>
      </c>
      <c r="K368" s="5">
        <f>IFERROR(__xludf.DUMMYFUNCTION("""COMPUTED_VALUE"""),0)</f>
        <v>0</v>
      </c>
      <c r="L368" s="5">
        <f>IFERROR(__xludf.DUMMYFUNCTION("""COMPUTED_VALUE"""),1)</f>
        <v>1</v>
      </c>
      <c r="M368" s="5" t="str">
        <f>IFERROR(__xludf.DUMMYFUNCTION("""COMPUTED_VALUE"""),"Working")</f>
        <v>Working</v>
      </c>
      <c r="N368" s="5" t="str">
        <f>IFERROR(__xludf.DUMMYFUNCTION("""COMPUTED_VALUE"""),"CORRECT")</f>
        <v>CORRECT</v>
      </c>
      <c r="O368" s="5" t="str">
        <f>IFERROR(__xludf.DUMMYFUNCTION("""COMPUTED_VALUE"""),"CORRECT")</f>
        <v>CORRECT</v>
      </c>
      <c r="P368" s="5" t="str">
        <f t="shared" si="16"/>
        <v/>
      </c>
      <c r="Q368" s="5" t="str">
        <f t="shared" si="17"/>
        <v/>
      </c>
    </row>
    <row r="369" ht="27.6" spans="1:17">
      <c r="A369" s="4">
        <v>368</v>
      </c>
      <c r="B369" s="4" t="s">
        <v>1150</v>
      </c>
      <c r="C369" s="4" t="s">
        <v>17</v>
      </c>
      <c r="D369" s="4" t="s">
        <v>1151</v>
      </c>
      <c r="E369" s="5" t="str">
        <f t="shared" si="15"/>
        <v>Mr.CHANDRASEKARAN M</v>
      </c>
      <c r="F369" s="6" t="s">
        <v>1117</v>
      </c>
      <c r="G369" s="5" t="s">
        <v>37</v>
      </c>
      <c r="H369" s="5" t="s">
        <v>1152</v>
      </c>
      <c r="I36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Col2='""&amp;B369&amp;""'"",0)"),1)</f>
        <v>1</v>
      </c>
      <c r="J369" s="5">
        <f>IFERROR(__xludf.DUMMYFUNCTION("""COMPUTED_VALUE"""),0)</f>
        <v>0</v>
      </c>
      <c r="K369" s="5">
        <f>IFERROR(__xludf.DUMMYFUNCTION("""COMPUTED_VALUE"""),1)</f>
        <v>1</v>
      </c>
      <c r="L369" s="5">
        <f>IFERROR(__xludf.DUMMYFUNCTION("""COMPUTED_VALUE"""),0)</f>
        <v>0</v>
      </c>
      <c r="M369" s="5" t="str">
        <f>IFERROR(__xludf.DUMMYFUNCTION("""COMPUTED_VALUE"""),"Working")</f>
        <v>Working</v>
      </c>
      <c r="N369" s="5" t="str">
        <f>IFERROR(__xludf.DUMMYFUNCTION("""COMPUTED_VALUE"""),"CORRECT")</f>
        <v>CORRECT</v>
      </c>
      <c r="O369" s="5" t="str">
        <f>IFERROR(__xludf.DUMMYFUNCTION("""COMPUTED_VALUE"""),"CORRECT")</f>
        <v>CORRECT</v>
      </c>
      <c r="P369" s="5" t="str">
        <f t="shared" si="16"/>
        <v/>
      </c>
      <c r="Q369" s="5" t="str">
        <f t="shared" si="17"/>
        <v/>
      </c>
    </row>
    <row r="370" ht="14.4" spans="1:17">
      <c r="A370" s="4">
        <v>369</v>
      </c>
      <c r="B370" s="4" t="s">
        <v>1153</v>
      </c>
      <c r="C370" s="4" t="s">
        <v>23</v>
      </c>
      <c r="D370" s="4" t="s">
        <v>1154</v>
      </c>
      <c r="E370" s="5" t="str">
        <f t="shared" si="15"/>
        <v>Dr.RAVI KUMAR M</v>
      </c>
      <c r="F370" s="6" t="s">
        <v>1117</v>
      </c>
      <c r="G370" s="5" t="s">
        <v>29</v>
      </c>
      <c r="H370" s="5" t="s">
        <v>1155</v>
      </c>
      <c r="I37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Col2='""&amp;B370&amp;""'"",0)"),1)</f>
        <v>1</v>
      </c>
      <c r="J370" s="5">
        <f>IFERROR(__xludf.DUMMYFUNCTION("""COMPUTED_VALUE"""),0)</f>
        <v>0</v>
      </c>
      <c r="K370" s="5">
        <f>IFERROR(__xludf.DUMMYFUNCTION("""COMPUTED_VALUE"""),1)</f>
        <v>1</v>
      </c>
      <c r="L370" s="5">
        <f>IFERROR(__xludf.DUMMYFUNCTION("""COMPUTED_VALUE"""),0)</f>
        <v>0</v>
      </c>
      <c r="M370" s="5" t="str">
        <f>IFERROR(__xludf.DUMMYFUNCTION("""COMPUTED_VALUE"""),"Working")</f>
        <v>Working</v>
      </c>
      <c r="N370" s="5" t="str">
        <f>IFERROR(__xludf.DUMMYFUNCTION("""COMPUTED_VALUE"""),"CORRECT")</f>
        <v>CORRECT</v>
      </c>
      <c r="O370" s="5" t="str">
        <f>IFERROR(__xludf.DUMMYFUNCTION("""COMPUTED_VALUE"""),"CORRECT")</f>
        <v>CORRECT</v>
      </c>
      <c r="P370" s="5" t="str">
        <f t="shared" si="16"/>
        <v/>
      </c>
      <c r="Q370" s="5" t="str">
        <f t="shared" si="17"/>
        <v/>
      </c>
    </row>
    <row r="371" ht="14.4" spans="1:17">
      <c r="A371" s="4">
        <v>370</v>
      </c>
      <c r="B371" s="4" t="s">
        <v>1156</v>
      </c>
      <c r="C371" s="4" t="s">
        <v>23</v>
      </c>
      <c r="D371" s="4" t="s">
        <v>1157</v>
      </c>
      <c r="E371" s="5" t="str">
        <f t="shared" si="15"/>
        <v>Dr.SENTHILKUMAR G</v>
      </c>
      <c r="F371" s="6" t="s">
        <v>1117</v>
      </c>
      <c r="G371" s="5" t="s">
        <v>29</v>
      </c>
      <c r="H371" s="5" t="s">
        <v>1158</v>
      </c>
      <c r="I37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Col2='""&amp;B371&amp;""'"",0)"),1)</f>
        <v>1</v>
      </c>
      <c r="J371" s="5">
        <f>IFERROR(__xludf.DUMMYFUNCTION("""COMPUTED_VALUE"""),0)</f>
        <v>0</v>
      </c>
      <c r="K371" s="5">
        <f>IFERROR(__xludf.DUMMYFUNCTION("""COMPUTED_VALUE"""),1)</f>
        <v>1</v>
      </c>
      <c r="L371" s="5">
        <f>IFERROR(__xludf.DUMMYFUNCTION("""COMPUTED_VALUE"""),0)</f>
        <v>0</v>
      </c>
      <c r="M371" s="5" t="str">
        <f>IFERROR(__xludf.DUMMYFUNCTION("""COMPUTED_VALUE"""),"Working")</f>
        <v>Working</v>
      </c>
      <c r="N371" s="5" t="str">
        <f>IFERROR(__xludf.DUMMYFUNCTION("""COMPUTED_VALUE"""),"CORRECT")</f>
        <v>CORRECT</v>
      </c>
      <c r="O371" s="5" t="str">
        <f>IFERROR(__xludf.DUMMYFUNCTION("""COMPUTED_VALUE"""),"CORRECT")</f>
        <v>CORRECT</v>
      </c>
      <c r="P371" s="5" t="str">
        <f t="shared" si="16"/>
        <v/>
      </c>
      <c r="Q371" s="5" t="str">
        <f t="shared" si="17"/>
        <v/>
      </c>
    </row>
    <row r="372" ht="14.4" spans="1:17">
      <c r="A372" s="4">
        <v>371</v>
      </c>
      <c r="B372" s="4" t="s">
        <v>1159</v>
      </c>
      <c r="C372" s="4" t="s">
        <v>23</v>
      </c>
      <c r="D372" s="4" t="s">
        <v>1160</v>
      </c>
      <c r="E372" s="5" t="str">
        <f t="shared" si="15"/>
        <v>Dr.SASIKUMAR C</v>
      </c>
      <c r="F372" s="6" t="s">
        <v>1117</v>
      </c>
      <c r="G372" s="5" t="s">
        <v>29</v>
      </c>
      <c r="H372" s="5" t="s">
        <v>1161</v>
      </c>
      <c r="I37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Col2='""&amp;B372&amp;""'"",0)"),0)</f>
        <v>0</v>
      </c>
      <c r="J372" s="5">
        <f>IFERROR(__xludf.DUMMYFUNCTION("""COMPUTED_VALUE"""),0)</f>
        <v>0</v>
      </c>
      <c r="K372" s="5">
        <f>IFERROR(__xludf.DUMMYFUNCTION("""COMPUTED_VALUE"""),0)</f>
        <v>0</v>
      </c>
      <c r="L372" s="5">
        <f>IFERROR(__xludf.DUMMYFUNCTION("""COMPUTED_VALUE"""),0)</f>
        <v>0</v>
      </c>
      <c r="M372" s="5" t="str">
        <f>IFERROR(__xludf.DUMMYFUNCTION("""COMPUTED_VALUE"""),"Working")</f>
        <v>Working</v>
      </c>
      <c r="N372" s="5" t="str">
        <f>IFERROR(__xludf.DUMMYFUNCTION("""COMPUTED_VALUE"""),"CORRECT")</f>
        <v>CORRECT</v>
      </c>
      <c r="O372" s="5" t="str">
        <f>IFERROR(__xludf.DUMMYFUNCTION("""COMPUTED_VALUE"""),"CORRECT")</f>
        <v>CORRECT</v>
      </c>
      <c r="P372" s="5" t="str">
        <f t="shared" si="16"/>
        <v/>
      </c>
      <c r="Q372" s="5" t="str">
        <f t="shared" si="17"/>
        <v/>
      </c>
    </row>
    <row r="373" ht="27.6" spans="1:17">
      <c r="A373" s="4">
        <v>372</v>
      </c>
      <c r="B373" s="4" t="s">
        <v>1162</v>
      </c>
      <c r="C373" s="4" t="s">
        <v>17</v>
      </c>
      <c r="D373" s="4" t="s">
        <v>1163</v>
      </c>
      <c r="E373" s="5" t="str">
        <f t="shared" si="15"/>
        <v>Mr.JOSEPH SILVESTER K</v>
      </c>
      <c r="F373" s="6" t="s">
        <v>1133</v>
      </c>
      <c r="G373" s="5" t="s">
        <v>37</v>
      </c>
      <c r="H373" s="5" t="s">
        <v>1164</v>
      </c>
      <c r="I37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Col2='""&amp;B373&amp;""'"",0)"),2)</f>
        <v>2</v>
      </c>
      <c r="J373" s="5">
        <f>IFERROR(__xludf.DUMMYFUNCTION("""COMPUTED_VALUE"""),2)</f>
        <v>2</v>
      </c>
      <c r="K373" s="5">
        <f>IFERROR(__xludf.DUMMYFUNCTION("""COMPUTED_VALUE"""),2)</f>
        <v>2</v>
      </c>
      <c r="L373" s="5">
        <f>IFERROR(__xludf.DUMMYFUNCTION("""COMPUTED_VALUE"""),1)</f>
        <v>1</v>
      </c>
      <c r="M373" s="5" t="str">
        <f>IFERROR(__xludf.DUMMYFUNCTION("""COMPUTED_VALUE"""),"Working")</f>
        <v>Working</v>
      </c>
      <c r="N373" s="5" t="str">
        <f>IFERROR(__xludf.DUMMYFUNCTION("""COMPUTED_VALUE"""),"CORRECT")</f>
        <v>CORRECT</v>
      </c>
      <c r="O373" s="5" t="str">
        <f>IFERROR(__xludf.DUMMYFUNCTION("""COMPUTED_VALUE"""),"LOAD PENDING")</f>
        <v>LOAD PENDING</v>
      </c>
      <c r="P373" s="5" t="str">
        <f t="shared" si="16"/>
        <v/>
      </c>
      <c r="Q373" s="5" t="str">
        <f t="shared" si="17"/>
        <v/>
      </c>
    </row>
    <row r="374" ht="14.4" spans="1:17">
      <c r="A374" s="4">
        <v>373</v>
      </c>
      <c r="B374" s="4" t="s">
        <v>1165</v>
      </c>
      <c r="C374" s="4" t="s">
        <v>23</v>
      </c>
      <c r="D374" s="4" t="s">
        <v>1166</v>
      </c>
      <c r="E374" s="5" t="str">
        <f t="shared" si="15"/>
        <v>Dr.PAVANADITYA BADIDA</v>
      </c>
      <c r="F374" s="6" t="s">
        <v>1133</v>
      </c>
      <c r="G374" s="5" t="s">
        <v>47</v>
      </c>
      <c r="H374" s="5" t="s">
        <v>1167</v>
      </c>
      <c r="I37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Col2='""&amp;B374&amp;""'"",0)"),2)</f>
        <v>2</v>
      </c>
      <c r="J374" s="5">
        <f>IFERROR(__xludf.DUMMYFUNCTION("""COMPUTED_VALUE"""),2)</f>
        <v>2</v>
      </c>
      <c r="K374" s="5">
        <f>IFERROR(__xludf.DUMMYFUNCTION("""COMPUTED_VALUE"""),3)</f>
        <v>3</v>
      </c>
      <c r="L374" s="5">
        <f>IFERROR(__xludf.DUMMYFUNCTION("""COMPUTED_VALUE"""),0)</f>
        <v>0</v>
      </c>
      <c r="M374" s="5" t="str">
        <f>IFERROR(__xludf.DUMMYFUNCTION("""COMPUTED_VALUE"""),"Working")</f>
        <v>Working</v>
      </c>
      <c r="N374" s="5" t="str">
        <f>IFERROR(__xludf.DUMMYFUNCTION("""COMPUTED_VALUE"""),"CORRECT")</f>
        <v>CORRECT</v>
      </c>
      <c r="O374" s="5" t="str">
        <f>IFERROR(__xludf.DUMMYFUNCTION("""COMPUTED_VALUE"""),"LOAD PENDING")</f>
        <v>LOAD PENDING</v>
      </c>
      <c r="P374" s="5" t="str">
        <f t="shared" si="16"/>
        <v>Extra Theory Load Alloted</v>
      </c>
      <c r="Q374" s="5" t="str">
        <f t="shared" si="17"/>
        <v/>
      </c>
    </row>
    <row r="375" ht="14.4" spans="1:17">
      <c r="A375" s="4">
        <v>374</v>
      </c>
      <c r="B375" s="4" t="s">
        <v>1168</v>
      </c>
      <c r="C375" s="4" t="s">
        <v>23</v>
      </c>
      <c r="D375" s="4" t="s">
        <v>1169</v>
      </c>
      <c r="E375" s="5" t="str">
        <f t="shared" si="15"/>
        <v>Dr.AMARKARTHIK A</v>
      </c>
      <c r="F375" s="6" t="s">
        <v>1117</v>
      </c>
      <c r="G375" s="5" t="s">
        <v>29</v>
      </c>
      <c r="H375" s="5" t="s">
        <v>1170</v>
      </c>
      <c r="I37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Col2='""&amp;B375&amp;""'"",0)"),1)</f>
        <v>1</v>
      </c>
      <c r="J375" s="5">
        <f>IFERROR(__xludf.DUMMYFUNCTION("""COMPUTED_VALUE"""),1)</f>
        <v>1</v>
      </c>
      <c r="K375" s="5">
        <f>IFERROR(__xludf.DUMMYFUNCTION("""COMPUTED_VALUE"""),0)</f>
        <v>0</v>
      </c>
      <c r="L375" s="5">
        <f>IFERROR(__xludf.DUMMYFUNCTION("""COMPUTED_VALUE"""),0)</f>
        <v>0</v>
      </c>
      <c r="M375" s="5" t="str">
        <f>IFERROR(__xludf.DUMMYFUNCTION("""COMPUTED_VALUE"""),"Working")</f>
        <v>Working</v>
      </c>
      <c r="N375" s="5" t="str">
        <f>IFERROR(__xludf.DUMMYFUNCTION("""COMPUTED_VALUE"""),"LOAD PENDING")</f>
        <v>LOAD PENDING</v>
      </c>
      <c r="O375" s="5" t="str">
        <f>IFERROR(__xludf.DUMMYFUNCTION("""COMPUTED_VALUE"""),"LOAD PENDING")</f>
        <v>LOAD PENDING</v>
      </c>
      <c r="P375" s="5" t="str">
        <f t="shared" si="16"/>
        <v/>
      </c>
      <c r="Q375" s="5" t="str">
        <f t="shared" si="17"/>
        <v/>
      </c>
    </row>
    <row r="376" ht="14.4" spans="1:17">
      <c r="A376" s="4">
        <v>375</v>
      </c>
      <c r="B376" s="4" t="s">
        <v>1171</v>
      </c>
      <c r="C376" s="4" t="s">
        <v>23</v>
      </c>
      <c r="D376" s="4" t="s">
        <v>1172</v>
      </c>
      <c r="E376" s="5" t="str">
        <f t="shared" si="15"/>
        <v>Dr.RAMESH KUMAR T</v>
      </c>
      <c r="F376" s="6" t="s">
        <v>1117</v>
      </c>
      <c r="G376" s="5" t="s">
        <v>29</v>
      </c>
      <c r="H376" s="5" t="s">
        <v>1173</v>
      </c>
      <c r="I37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Col2='""&amp;B376&amp;""'"",0)"),0)</f>
        <v>0</v>
      </c>
      <c r="J376" s="5">
        <f>IFERROR(__xludf.DUMMYFUNCTION("""COMPUTED_VALUE"""),0)</f>
        <v>0</v>
      </c>
      <c r="K376" s="5">
        <f>IFERROR(__xludf.DUMMYFUNCTION("""COMPUTED_VALUE"""),0)</f>
        <v>0</v>
      </c>
      <c r="L376" s="5">
        <f>IFERROR(__xludf.DUMMYFUNCTION("""COMPUTED_VALUE"""),0)</f>
        <v>0</v>
      </c>
      <c r="M376" s="5" t="str">
        <f>IFERROR(__xludf.DUMMYFUNCTION("""COMPUTED_VALUE"""),"Working")</f>
        <v>Working</v>
      </c>
      <c r="N376" s="5" t="str">
        <f>IFERROR(__xludf.DUMMYFUNCTION("""COMPUTED_VALUE"""),"CORRECT")</f>
        <v>CORRECT</v>
      </c>
      <c r="O376" s="5" t="str">
        <f>IFERROR(__xludf.DUMMYFUNCTION("""COMPUTED_VALUE"""),"CORRECT")</f>
        <v>CORRECT</v>
      </c>
      <c r="P376" s="5" t="str">
        <f t="shared" si="16"/>
        <v/>
      </c>
      <c r="Q376" s="5" t="str">
        <f t="shared" si="17"/>
        <v/>
      </c>
    </row>
    <row r="377" ht="14.4" spans="1:17">
      <c r="A377" s="4">
        <v>376</v>
      </c>
      <c r="B377" s="4" t="s">
        <v>1174</v>
      </c>
      <c r="C377" s="4" t="s">
        <v>23</v>
      </c>
      <c r="D377" s="4" t="s">
        <v>1175</v>
      </c>
      <c r="E377" s="5" t="str">
        <f t="shared" si="15"/>
        <v>Dr.SIVAKUMAR K</v>
      </c>
      <c r="F377" s="6" t="s">
        <v>1117</v>
      </c>
      <c r="G377" s="5" t="s">
        <v>1176</v>
      </c>
      <c r="H377" s="5" t="s">
        <v>1177</v>
      </c>
      <c r="I37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Col2='""&amp;B377&amp;""'"",0)"),1)</f>
        <v>1</v>
      </c>
      <c r="J377" s="5">
        <f>IFERROR(__xludf.DUMMYFUNCTION("""COMPUTED_VALUE"""),1)</f>
        <v>1</v>
      </c>
      <c r="K377" s="5">
        <f>IFERROR(__xludf.DUMMYFUNCTION("""COMPUTED_VALUE"""),0)</f>
        <v>0</v>
      </c>
      <c r="L377" s="5">
        <f>IFERROR(__xludf.DUMMYFUNCTION("""COMPUTED_VALUE"""),0)</f>
        <v>0</v>
      </c>
      <c r="M377" s="5" t="str">
        <f>IFERROR(__xludf.DUMMYFUNCTION("""COMPUTED_VALUE"""),"Working")</f>
        <v>Working</v>
      </c>
      <c r="N377" s="5" t="str">
        <f>IFERROR(__xludf.DUMMYFUNCTION("""COMPUTED_VALUE"""),"LOAD PENDING")</f>
        <v>LOAD PENDING</v>
      </c>
      <c r="O377" s="5" t="str">
        <f>IFERROR(__xludf.DUMMYFUNCTION("""COMPUTED_VALUE"""),"LOAD PENDING")</f>
        <v>LOAD PENDING</v>
      </c>
      <c r="P377" s="5" t="str">
        <f t="shared" si="16"/>
        <v/>
      </c>
      <c r="Q377" s="5" t="str">
        <f t="shared" si="17"/>
        <v/>
      </c>
    </row>
    <row r="378" ht="14.4" spans="1:17">
      <c r="A378" s="4">
        <v>377</v>
      </c>
      <c r="B378" s="4" t="s">
        <v>1178</v>
      </c>
      <c r="C378" s="4" t="s">
        <v>23</v>
      </c>
      <c r="D378" s="4" t="s">
        <v>1179</v>
      </c>
      <c r="E378" s="5" t="str">
        <f t="shared" si="15"/>
        <v>Dr.ANANDHA MOORTHY A</v>
      </c>
      <c r="F378" s="6" t="s">
        <v>1117</v>
      </c>
      <c r="G378" s="5" t="s">
        <v>25</v>
      </c>
      <c r="H378" s="5" t="s">
        <v>1180</v>
      </c>
      <c r="I37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Col2='""&amp;B378&amp;""'"",0)"),1)</f>
        <v>1</v>
      </c>
      <c r="J378" s="5">
        <f>IFERROR(__xludf.DUMMYFUNCTION("""COMPUTED_VALUE"""),0)</f>
        <v>0</v>
      </c>
      <c r="K378" s="5">
        <f>IFERROR(__xludf.DUMMYFUNCTION("""COMPUTED_VALUE"""),1)</f>
        <v>1</v>
      </c>
      <c r="L378" s="5">
        <f>IFERROR(__xludf.DUMMYFUNCTION("""COMPUTED_VALUE"""),0)</f>
        <v>0</v>
      </c>
      <c r="M378" s="5" t="str">
        <f>IFERROR(__xludf.DUMMYFUNCTION("""COMPUTED_VALUE"""),"Working")</f>
        <v>Working</v>
      </c>
      <c r="N378" s="5" t="str">
        <f>IFERROR(__xludf.DUMMYFUNCTION("""COMPUTED_VALUE"""),"CORRECT")</f>
        <v>CORRECT</v>
      </c>
      <c r="O378" s="5" t="str">
        <f>IFERROR(__xludf.DUMMYFUNCTION("""COMPUTED_VALUE"""),"CORRECT")</f>
        <v>CORRECT</v>
      </c>
      <c r="P378" s="5" t="str">
        <f t="shared" si="16"/>
        <v/>
      </c>
      <c r="Q378" s="5" t="str">
        <f t="shared" si="17"/>
        <v/>
      </c>
    </row>
    <row r="379" ht="27.6" spans="1:17">
      <c r="A379" s="4">
        <v>378</v>
      </c>
      <c r="B379" s="4" t="s">
        <v>1181</v>
      </c>
      <c r="C379" s="4" t="s">
        <v>23</v>
      </c>
      <c r="D379" s="4" t="s">
        <v>1182</v>
      </c>
      <c r="E379" s="5" t="str">
        <f t="shared" si="15"/>
        <v>Dr.DINESH D</v>
      </c>
      <c r="F379" s="6" t="s">
        <v>1117</v>
      </c>
      <c r="G379" s="5" t="s">
        <v>20</v>
      </c>
      <c r="H379" s="5" t="s">
        <v>1183</v>
      </c>
      <c r="I37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Col2='""&amp;B379&amp;""'"",0)"),2)</f>
        <v>2</v>
      </c>
      <c r="J379" s="5">
        <f>IFERROR(__xludf.DUMMYFUNCTION("""COMPUTED_VALUE"""),2)</f>
        <v>2</v>
      </c>
      <c r="K379" s="5">
        <f>IFERROR(__xludf.DUMMYFUNCTION("""COMPUTED_VALUE"""),1)</f>
        <v>1</v>
      </c>
      <c r="L379" s="5">
        <f>IFERROR(__xludf.DUMMYFUNCTION("""COMPUTED_VALUE"""),2)</f>
        <v>2</v>
      </c>
      <c r="M379" s="5" t="str">
        <f>IFERROR(__xludf.DUMMYFUNCTION("""COMPUTED_VALUE"""),"Working")</f>
        <v>Working</v>
      </c>
      <c r="N379" s="5" t="str">
        <f>IFERROR(__xludf.DUMMYFUNCTION("""COMPUTED_VALUE"""),"LOAD PENDING")</f>
        <v>LOAD PENDING</v>
      </c>
      <c r="O379" s="5" t="str">
        <f>IFERROR(__xludf.DUMMYFUNCTION("""COMPUTED_VALUE"""),"CORRECT")</f>
        <v>CORRECT</v>
      </c>
      <c r="P379" s="5" t="str">
        <f t="shared" si="16"/>
        <v/>
      </c>
      <c r="Q379" s="5" t="str">
        <f t="shared" si="17"/>
        <v/>
      </c>
    </row>
    <row r="380" ht="14.4" spans="1:17">
      <c r="A380" s="4">
        <v>379</v>
      </c>
      <c r="B380" s="4" t="s">
        <v>1184</v>
      </c>
      <c r="C380" s="4" t="s">
        <v>23</v>
      </c>
      <c r="D380" s="4" t="s">
        <v>1185</v>
      </c>
      <c r="E380" s="5" t="str">
        <f t="shared" si="15"/>
        <v>Dr.MATHANKUMAR P</v>
      </c>
      <c r="F380" s="6" t="s">
        <v>1117</v>
      </c>
      <c r="G380" s="5" t="s">
        <v>25</v>
      </c>
      <c r="H380" s="5" t="s">
        <v>1186</v>
      </c>
      <c r="I38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Col2='""&amp;B380&amp;""'"",0)"),0)</f>
        <v>0</v>
      </c>
      <c r="J380" s="5">
        <f>IFERROR(__xludf.DUMMYFUNCTION("""COMPUTED_VALUE"""),0)</f>
        <v>0</v>
      </c>
      <c r="K380" s="5">
        <f>IFERROR(__xludf.DUMMYFUNCTION("""COMPUTED_VALUE"""),0)</f>
        <v>0</v>
      </c>
      <c r="L380" s="5">
        <f>IFERROR(__xludf.DUMMYFUNCTION("""COMPUTED_VALUE"""),0)</f>
        <v>0</v>
      </c>
      <c r="M380" s="5" t="str">
        <f>IFERROR(__xludf.DUMMYFUNCTION("""COMPUTED_VALUE"""),"Working")</f>
        <v>Working</v>
      </c>
      <c r="N380" s="5" t="str">
        <f>IFERROR(__xludf.DUMMYFUNCTION("""COMPUTED_VALUE"""),"CORRECT")</f>
        <v>CORRECT</v>
      </c>
      <c r="O380" s="5" t="str">
        <f>IFERROR(__xludf.DUMMYFUNCTION("""COMPUTED_VALUE"""),"CORRECT")</f>
        <v>CORRECT</v>
      </c>
      <c r="P380" s="5" t="str">
        <f t="shared" si="16"/>
        <v/>
      </c>
      <c r="Q380" s="5" t="str">
        <f t="shared" si="17"/>
        <v/>
      </c>
    </row>
    <row r="381" ht="27.6" spans="1:17">
      <c r="A381" s="4">
        <v>380</v>
      </c>
      <c r="B381" s="4" t="s">
        <v>1187</v>
      </c>
      <c r="C381" s="4" t="s">
        <v>23</v>
      </c>
      <c r="D381" s="4" t="s">
        <v>1188</v>
      </c>
      <c r="E381" s="5" t="str">
        <f t="shared" si="15"/>
        <v>Dr.VELMURUGAN S</v>
      </c>
      <c r="F381" s="6" t="s">
        <v>1117</v>
      </c>
      <c r="G381" s="5" t="s">
        <v>20</v>
      </c>
      <c r="H381" s="5" t="s">
        <v>1189</v>
      </c>
      <c r="I38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Col2='""&amp;B381&amp;""'"",0)"),1)</f>
        <v>1</v>
      </c>
      <c r="J381" s="5">
        <f>IFERROR(__xludf.DUMMYFUNCTION("""COMPUTED_VALUE"""),0)</f>
        <v>0</v>
      </c>
      <c r="K381" s="5">
        <f>IFERROR(__xludf.DUMMYFUNCTION("""COMPUTED_VALUE"""),1)</f>
        <v>1</v>
      </c>
      <c r="L381" s="5">
        <f>IFERROR(__xludf.DUMMYFUNCTION("""COMPUTED_VALUE"""),0)</f>
        <v>0</v>
      </c>
      <c r="M381" s="5" t="str">
        <f>IFERROR(__xludf.DUMMYFUNCTION("""COMPUTED_VALUE"""),"Working")</f>
        <v>Working</v>
      </c>
      <c r="N381" s="5" t="str">
        <f>IFERROR(__xludf.DUMMYFUNCTION("""COMPUTED_VALUE"""),"CORRECT")</f>
        <v>CORRECT</v>
      </c>
      <c r="O381" s="5" t="str">
        <f>IFERROR(__xludf.DUMMYFUNCTION("""COMPUTED_VALUE"""),"CORRECT")</f>
        <v>CORRECT</v>
      </c>
      <c r="P381" s="5" t="str">
        <f t="shared" si="16"/>
        <v/>
      </c>
      <c r="Q381" s="5" t="str">
        <f t="shared" si="17"/>
        <v/>
      </c>
    </row>
    <row r="382" ht="27.6" spans="1:17">
      <c r="A382" s="4">
        <v>381</v>
      </c>
      <c r="B382" s="4" t="s">
        <v>1190</v>
      </c>
      <c r="C382" s="4" t="s">
        <v>17</v>
      </c>
      <c r="D382" s="4" t="s">
        <v>1191</v>
      </c>
      <c r="E382" s="5" t="str">
        <f t="shared" si="15"/>
        <v>Mr.SATHISHKUMAR C</v>
      </c>
      <c r="F382" s="6" t="s">
        <v>1117</v>
      </c>
      <c r="G382" s="5" t="s">
        <v>20</v>
      </c>
      <c r="H382" s="5" t="s">
        <v>1192</v>
      </c>
      <c r="I38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Col2='""&amp;B382&amp;""'"",0)"),1)</f>
        <v>1</v>
      </c>
      <c r="J382" s="5">
        <f>IFERROR(__xludf.DUMMYFUNCTION("""COMPUTED_VALUE"""),0)</f>
        <v>0</v>
      </c>
      <c r="K382" s="5">
        <f>IFERROR(__xludf.DUMMYFUNCTION("""COMPUTED_VALUE"""),1)</f>
        <v>1</v>
      </c>
      <c r="L382" s="5">
        <f>IFERROR(__xludf.DUMMYFUNCTION("""COMPUTED_VALUE"""),0)</f>
        <v>0</v>
      </c>
      <c r="M382" s="5" t="str">
        <f>IFERROR(__xludf.DUMMYFUNCTION("""COMPUTED_VALUE"""),"Working")</f>
        <v>Working</v>
      </c>
      <c r="N382" s="5" t="str">
        <f>IFERROR(__xludf.DUMMYFUNCTION("""COMPUTED_VALUE"""),"CORRECT")</f>
        <v>CORRECT</v>
      </c>
      <c r="O382" s="5" t="str">
        <f>IFERROR(__xludf.DUMMYFUNCTION("""COMPUTED_VALUE"""),"CORRECT")</f>
        <v>CORRECT</v>
      </c>
      <c r="P382" s="5" t="str">
        <f t="shared" si="16"/>
        <v/>
      </c>
      <c r="Q382" s="5" t="str">
        <f t="shared" si="17"/>
        <v/>
      </c>
    </row>
    <row r="383" ht="14.4" spans="1:17">
      <c r="A383" s="4">
        <v>382</v>
      </c>
      <c r="B383" s="4" t="s">
        <v>1193</v>
      </c>
      <c r="C383" s="4" t="s">
        <v>23</v>
      </c>
      <c r="D383" s="4" t="s">
        <v>1194</v>
      </c>
      <c r="E383" s="5" t="str">
        <f t="shared" si="15"/>
        <v>Dr.SURESHKUMAR M</v>
      </c>
      <c r="F383" s="6" t="s">
        <v>1117</v>
      </c>
      <c r="G383" s="5" t="s">
        <v>25</v>
      </c>
      <c r="H383" s="5" t="s">
        <v>1195</v>
      </c>
      <c r="I38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Col2='""&amp;B383&amp;""'"",0)"),2)</f>
        <v>2</v>
      </c>
      <c r="J383" s="5">
        <f>IFERROR(__xludf.DUMMYFUNCTION("""COMPUTED_VALUE"""),1)</f>
        <v>1</v>
      </c>
      <c r="K383" s="5">
        <f>IFERROR(__xludf.DUMMYFUNCTION("""COMPUTED_VALUE"""),2)</f>
        <v>2</v>
      </c>
      <c r="L383" s="5">
        <f>IFERROR(__xludf.DUMMYFUNCTION("""COMPUTED_VALUE"""),1)</f>
        <v>1</v>
      </c>
      <c r="M383" s="5" t="str">
        <f>IFERROR(__xludf.DUMMYFUNCTION("""COMPUTED_VALUE"""),"Working")</f>
        <v>Working</v>
      </c>
      <c r="N383" s="5" t="str">
        <f>IFERROR(__xludf.DUMMYFUNCTION("""COMPUTED_VALUE"""),"CORRECT")</f>
        <v>CORRECT</v>
      </c>
      <c r="O383" s="5" t="str">
        <f>IFERROR(__xludf.DUMMYFUNCTION("""COMPUTED_VALUE"""),"CORRECT")</f>
        <v>CORRECT</v>
      </c>
      <c r="P383" s="5" t="str">
        <f t="shared" si="16"/>
        <v/>
      </c>
      <c r="Q383" s="5" t="str">
        <f t="shared" si="17"/>
        <v/>
      </c>
    </row>
    <row r="384" ht="27.6" spans="1:17">
      <c r="A384" s="4">
        <v>383</v>
      </c>
      <c r="B384" s="4" t="s">
        <v>1196</v>
      </c>
      <c r="C384" s="4" t="s">
        <v>23</v>
      </c>
      <c r="D384" s="4" t="s">
        <v>1197</v>
      </c>
      <c r="E384" s="5" t="str">
        <f t="shared" si="15"/>
        <v>Dr.SUNDARRAJU G</v>
      </c>
      <c r="F384" s="6" t="s">
        <v>1117</v>
      </c>
      <c r="G384" s="5" t="s">
        <v>25</v>
      </c>
      <c r="H384" s="5" t="s">
        <v>1198</v>
      </c>
      <c r="I38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Col2='""&amp;B384&amp;""'"",0)"),2)</f>
        <v>2</v>
      </c>
      <c r="J384" s="5">
        <f>IFERROR(__xludf.DUMMYFUNCTION("""COMPUTED_VALUE"""),1)</f>
        <v>1</v>
      </c>
      <c r="K384" s="5">
        <f>IFERROR(__xludf.DUMMYFUNCTION("""COMPUTED_VALUE"""),1)</f>
        <v>1</v>
      </c>
      <c r="L384" s="5">
        <f>IFERROR(__xludf.DUMMYFUNCTION("""COMPUTED_VALUE"""),3)</f>
        <v>3</v>
      </c>
      <c r="M384" s="5" t="str">
        <f>IFERROR(__xludf.DUMMYFUNCTION("""COMPUTED_VALUE"""),"Working")</f>
        <v>Working</v>
      </c>
      <c r="N384" s="5" t="str">
        <f>IFERROR(__xludf.DUMMYFUNCTION("""COMPUTED_VALUE"""),"LOAD PENDING")</f>
        <v>LOAD PENDING</v>
      </c>
      <c r="O384" s="5" t="str">
        <f>IFERROR(__xludf.DUMMYFUNCTION("""COMPUTED_VALUE"""),"CORRECT")</f>
        <v>CORRECT</v>
      </c>
      <c r="P384" s="5" t="str">
        <f t="shared" si="16"/>
        <v/>
      </c>
      <c r="Q384" s="5" t="str">
        <f t="shared" si="17"/>
        <v>Extra Lab Load Alloted</v>
      </c>
    </row>
    <row r="385" ht="27.6" spans="1:17">
      <c r="A385" s="4">
        <v>384</v>
      </c>
      <c r="B385" s="4" t="s">
        <v>1199</v>
      </c>
      <c r="C385" s="4" t="s">
        <v>17</v>
      </c>
      <c r="D385" s="4" t="s">
        <v>1200</v>
      </c>
      <c r="E385" s="5" t="str">
        <f t="shared" si="15"/>
        <v>Mr.RAMAKRISHNAN A</v>
      </c>
      <c r="F385" s="6" t="s">
        <v>1117</v>
      </c>
      <c r="G385" s="5" t="s">
        <v>20</v>
      </c>
      <c r="H385" s="5" t="s">
        <v>1201</v>
      </c>
      <c r="I38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Col2='""&amp;B385&amp;""'"",0)"),2)</f>
        <v>2</v>
      </c>
      <c r="J385" s="5">
        <f>IFERROR(__xludf.DUMMYFUNCTION("""COMPUTED_VALUE"""),2)</f>
        <v>2</v>
      </c>
      <c r="K385" s="5">
        <f>IFERROR(__xludf.DUMMYFUNCTION("""COMPUTED_VALUE"""),2)</f>
        <v>2</v>
      </c>
      <c r="L385" s="5">
        <f>IFERROR(__xludf.DUMMYFUNCTION("""COMPUTED_VALUE"""),1)</f>
        <v>1</v>
      </c>
      <c r="M385" s="5" t="str">
        <f>IFERROR(__xludf.DUMMYFUNCTION("""COMPUTED_VALUE"""),"Working")</f>
        <v>Working</v>
      </c>
      <c r="N385" s="5" t="str">
        <f>IFERROR(__xludf.DUMMYFUNCTION("""COMPUTED_VALUE"""),"CORRECT")</f>
        <v>CORRECT</v>
      </c>
      <c r="O385" s="5" t="str">
        <f>IFERROR(__xludf.DUMMYFUNCTION("""COMPUTED_VALUE"""),"LOAD PENDING")</f>
        <v>LOAD PENDING</v>
      </c>
      <c r="P385" s="5" t="str">
        <f t="shared" si="16"/>
        <v/>
      </c>
      <c r="Q385" s="5" t="str">
        <f t="shared" si="17"/>
        <v/>
      </c>
    </row>
    <row r="386" ht="27.6" spans="1:17">
      <c r="A386" s="4">
        <v>385</v>
      </c>
      <c r="B386" s="4" t="s">
        <v>1202</v>
      </c>
      <c r="C386" s="4" t="s">
        <v>17</v>
      </c>
      <c r="D386" s="4" t="s">
        <v>1203</v>
      </c>
      <c r="E386" s="5" t="str">
        <f t="shared" ref="E386:E419" si="18">CONCATENATE(C386,".",D386)</f>
        <v>Mr.SAKTHIVEL MURUGAN E</v>
      </c>
      <c r="F386" s="6" t="s">
        <v>1117</v>
      </c>
      <c r="G386" s="5" t="s">
        <v>20</v>
      </c>
      <c r="H386" s="5" t="s">
        <v>1204</v>
      </c>
      <c r="I38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Col2='""&amp;B386&amp;""'"",0)"),2)</f>
        <v>2</v>
      </c>
      <c r="J386" s="5">
        <f>IFERROR(__xludf.DUMMYFUNCTION("""COMPUTED_VALUE"""),2)</f>
        <v>2</v>
      </c>
      <c r="K386" s="5">
        <f>IFERROR(__xludf.DUMMYFUNCTION("""COMPUTED_VALUE"""),1)</f>
        <v>1</v>
      </c>
      <c r="L386" s="5">
        <f>IFERROR(__xludf.DUMMYFUNCTION("""COMPUTED_VALUE"""),2)</f>
        <v>2</v>
      </c>
      <c r="M386" s="5" t="str">
        <f>IFERROR(__xludf.DUMMYFUNCTION("""COMPUTED_VALUE"""),"Working")</f>
        <v>Working</v>
      </c>
      <c r="N386" s="5" t="str">
        <f>IFERROR(__xludf.DUMMYFUNCTION("""COMPUTED_VALUE"""),"LOAD PENDING")</f>
        <v>LOAD PENDING</v>
      </c>
      <c r="O386" s="5" t="str">
        <f>IFERROR(__xludf.DUMMYFUNCTION("""COMPUTED_VALUE"""),"CORRECT")</f>
        <v>CORRECT</v>
      </c>
      <c r="P386" s="5" t="str">
        <f t="shared" ref="P386:P419" si="19">IF(K386&gt;I386,"Extra Theory Load Alloted","")</f>
        <v/>
      </c>
      <c r="Q386" s="5" t="str">
        <f t="shared" ref="Q386:Q419" si="20">IF(L386&gt;J386,"Extra Lab Load Alloted","")</f>
        <v/>
      </c>
    </row>
    <row r="387" ht="27.6" spans="1:17">
      <c r="A387" s="4">
        <v>386</v>
      </c>
      <c r="B387" s="4" t="s">
        <v>1205</v>
      </c>
      <c r="C387" s="4" t="s">
        <v>23</v>
      </c>
      <c r="D387" s="4" t="s">
        <v>1206</v>
      </c>
      <c r="E387" s="5" t="str">
        <f t="shared" si="18"/>
        <v>Dr.TAJDEEN A</v>
      </c>
      <c r="F387" s="6" t="s">
        <v>1117</v>
      </c>
      <c r="G387" s="5" t="s">
        <v>20</v>
      </c>
      <c r="H387" s="5" t="s">
        <v>1207</v>
      </c>
      <c r="I38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Col2='""&amp;B387&amp;""'"",0)"),1)</f>
        <v>1</v>
      </c>
      <c r="J387" s="5">
        <f>IFERROR(__xludf.DUMMYFUNCTION("""COMPUTED_VALUE"""),0)</f>
        <v>0</v>
      </c>
      <c r="K387" s="5">
        <f>IFERROR(__xludf.DUMMYFUNCTION("""COMPUTED_VALUE"""),1)</f>
        <v>1</v>
      </c>
      <c r="L387" s="5">
        <f>IFERROR(__xludf.DUMMYFUNCTION("""COMPUTED_VALUE"""),0)</f>
        <v>0</v>
      </c>
      <c r="M387" s="5" t="str">
        <f>IFERROR(__xludf.DUMMYFUNCTION("""COMPUTED_VALUE"""),"Working")</f>
        <v>Working</v>
      </c>
      <c r="N387" s="5" t="str">
        <f>IFERROR(__xludf.DUMMYFUNCTION("""COMPUTED_VALUE"""),"CORRECT")</f>
        <v>CORRECT</v>
      </c>
      <c r="O387" s="5" t="str">
        <f>IFERROR(__xludf.DUMMYFUNCTION("""COMPUTED_VALUE"""),"CORRECT")</f>
        <v>CORRECT</v>
      </c>
      <c r="P387" s="5" t="str">
        <f t="shared" si="19"/>
        <v/>
      </c>
      <c r="Q387" s="5" t="str">
        <f t="shared" si="20"/>
        <v/>
      </c>
    </row>
    <row r="388" ht="27.6" spans="1:17">
      <c r="A388" s="4">
        <v>387</v>
      </c>
      <c r="B388" s="4" t="s">
        <v>1208</v>
      </c>
      <c r="C388" s="4" t="s">
        <v>23</v>
      </c>
      <c r="D388" s="4" t="s">
        <v>1209</v>
      </c>
      <c r="E388" s="5" t="str">
        <f t="shared" si="18"/>
        <v>Dr.PARASURAMAN P</v>
      </c>
      <c r="F388" s="6" t="s">
        <v>1210</v>
      </c>
      <c r="G388" s="5" t="s">
        <v>20</v>
      </c>
      <c r="H388" s="5" t="s">
        <v>1211</v>
      </c>
      <c r="I38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Col2='""&amp;B388&amp;""'"",0)"),2)</f>
        <v>2</v>
      </c>
      <c r="J388" s="5">
        <f>IFERROR(__xludf.DUMMYFUNCTION("""COMPUTED_VALUE"""),2)</f>
        <v>2</v>
      </c>
      <c r="K388" s="5">
        <f>IFERROR(__xludf.DUMMYFUNCTION("""COMPUTED_VALUE"""),2)</f>
        <v>2</v>
      </c>
      <c r="L388" s="5">
        <f>IFERROR(__xludf.DUMMYFUNCTION("""COMPUTED_VALUE"""),2)</f>
        <v>2</v>
      </c>
      <c r="M388" s="5" t="str">
        <f>IFERROR(__xludf.DUMMYFUNCTION("""COMPUTED_VALUE"""),"Working")</f>
        <v>Working</v>
      </c>
      <c r="N388" s="5" t="str">
        <f>IFERROR(__xludf.DUMMYFUNCTION("""COMPUTED_VALUE"""),"CORRECT")</f>
        <v>CORRECT</v>
      </c>
      <c r="O388" s="5" t="str">
        <f>IFERROR(__xludf.DUMMYFUNCTION("""COMPUTED_VALUE"""),"CORRECT")</f>
        <v>CORRECT</v>
      </c>
      <c r="P388" s="5" t="str">
        <f t="shared" si="19"/>
        <v/>
      </c>
      <c r="Q388" s="5" t="str">
        <f t="shared" si="20"/>
        <v/>
      </c>
    </row>
    <row r="389" ht="27.6" spans="1:17">
      <c r="A389" s="4">
        <v>388</v>
      </c>
      <c r="B389" s="4" t="s">
        <v>1212</v>
      </c>
      <c r="C389" s="4" t="s">
        <v>23</v>
      </c>
      <c r="D389" s="4" t="s">
        <v>1213</v>
      </c>
      <c r="E389" s="5" t="str">
        <f t="shared" si="18"/>
        <v>Dr.ASHOKAN S</v>
      </c>
      <c r="F389" s="6" t="s">
        <v>1210</v>
      </c>
      <c r="G389" s="5" t="s">
        <v>20</v>
      </c>
      <c r="H389" s="5" t="s">
        <v>1214</v>
      </c>
      <c r="I38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Col2='""&amp;B389&amp;""'"",0)"),2)</f>
        <v>2</v>
      </c>
      <c r="J389" s="5">
        <f>IFERROR(__xludf.DUMMYFUNCTION("""COMPUTED_VALUE"""),2)</f>
        <v>2</v>
      </c>
      <c r="K389" s="5">
        <f>IFERROR(__xludf.DUMMYFUNCTION("""COMPUTED_VALUE"""),2)</f>
        <v>2</v>
      </c>
      <c r="L389" s="5">
        <f>IFERROR(__xludf.DUMMYFUNCTION("""COMPUTED_VALUE"""),1)</f>
        <v>1</v>
      </c>
      <c r="M389" s="5" t="str">
        <f>IFERROR(__xludf.DUMMYFUNCTION("""COMPUTED_VALUE"""),"Working")</f>
        <v>Working</v>
      </c>
      <c r="N389" s="5" t="str">
        <f>IFERROR(__xludf.DUMMYFUNCTION("""COMPUTED_VALUE"""),"CORRECT")</f>
        <v>CORRECT</v>
      </c>
      <c r="O389" s="5" t="str">
        <f>IFERROR(__xludf.DUMMYFUNCTION("""COMPUTED_VALUE"""),"LOAD PENDING")</f>
        <v>LOAD PENDING</v>
      </c>
      <c r="P389" s="5" t="str">
        <f t="shared" si="19"/>
        <v/>
      </c>
      <c r="Q389" s="5" t="str">
        <f t="shared" si="20"/>
        <v/>
      </c>
    </row>
    <row r="390" ht="27.6" spans="1:17">
      <c r="A390" s="4">
        <v>389</v>
      </c>
      <c r="B390" s="4" t="s">
        <v>1215</v>
      </c>
      <c r="C390" s="4" t="s">
        <v>23</v>
      </c>
      <c r="D390" s="4" t="s">
        <v>1216</v>
      </c>
      <c r="E390" s="5" t="str">
        <f t="shared" si="18"/>
        <v>Dr.SELVAKUMAR K</v>
      </c>
      <c r="F390" s="6" t="s">
        <v>1210</v>
      </c>
      <c r="G390" s="5" t="s">
        <v>20</v>
      </c>
      <c r="H390" s="5" t="s">
        <v>1217</v>
      </c>
      <c r="I39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Col2='""&amp;B390&amp;""'"",0)"),2)</f>
        <v>2</v>
      </c>
      <c r="J390" s="5">
        <f>IFERROR(__xludf.DUMMYFUNCTION("""COMPUTED_VALUE"""),2)</f>
        <v>2</v>
      </c>
      <c r="K390" s="5">
        <f>IFERROR(__xludf.DUMMYFUNCTION("""COMPUTED_VALUE"""),2)</f>
        <v>2</v>
      </c>
      <c r="L390" s="5">
        <f>IFERROR(__xludf.DUMMYFUNCTION("""COMPUTED_VALUE"""),2)</f>
        <v>2</v>
      </c>
      <c r="M390" s="5" t="str">
        <f>IFERROR(__xludf.DUMMYFUNCTION("""COMPUTED_VALUE"""),"Working")</f>
        <v>Working</v>
      </c>
      <c r="N390" s="5" t="str">
        <f>IFERROR(__xludf.DUMMYFUNCTION("""COMPUTED_VALUE"""),"CORRECT")</f>
        <v>CORRECT</v>
      </c>
      <c r="O390" s="5" t="str">
        <f>IFERROR(__xludf.DUMMYFUNCTION("""COMPUTED_VALUE"""),"CORRECT")</f>
        <v>CORRECT</v>
      </c>
      <c r="P390" s="5" t="str">
        <f t="shared" si="19"/>
        <v/>
      </c>
      <c r="Q390" s="5" t="str">
        <f t="shared" si="20"/>
        <v/>
      </c>
    </row>
    <row r="391" ht="27.6" spans="1:17">
      <c r="A391" s="4">
        <v>390</v>
      </c>
      <c r="B391" s="4" t="s">
        <v>1218</v>
      </c>
      <c r="C391" s="4" t="s">
        <v>23</v>
      </c>
      <c r="D391" s="4" t="s">
        <v>1219</v>
      </c>
      <c r="E391" s="5" t="str">
        <f t="shared" si="18"/>
        <v>Dr.THIRUMOORTHY M</v>
      </c>
      <c r="F391" s="6" t="s">
        <v>1210</v>
      </c>
      <c r="G391" s="5" t="s">
        <v>20</v>
      </c>
      <c r="H391" s="5" t="s">
        <v>1220</v>
      </c>
      <c r="I39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Col2='""&amp;B391&amp;""'"",0)"),2)</f>
        <v>2</v>
      </c>
      <c r="J391" s="5">
        <f>IFERROR(__xludf.DUMMYFUNCTION("""COMPUTED_VALUE"""),2)</f>
        <v>2</v>
      </c>
      <c r="K391" s="5">
        <f>IFERROR(__xludf.DUMMYFUNCTION("""COMPUTED_VALUE"""),2)</f>
        <v>2</v>
      </c>
      <c r="L391" s="5">
        <f>IFERROR(__xludf.DUMMYFUNCTION("""COMPUTED_VALUE"""),2)</f>
        <v>2</v>
      </c>
      <c r="M391" s="5" t="str">
        <f>IFERROR(__xludf.DUMMYFUNCTION("""COMPUTED_VALUE"""),"Working")</f>
        <v>Working</v>
      </c>
      <c r="N391" s="5" t="str">
        <f>IFERROR(__xludf.DUMMYFUNCTION("""COMPUTED_VALUE"""),"CORRECT")</f>
        <v>CORRECT</v>
      </c>
      <c r="O391" s="5" t="str">
        <f>IFERROR(__xludf.DUMMYFUNCTION("""COMPUTED_VALUE"""),"CORRECT")</f>
        <v>CORRECT</v>
      </c>
      <c r="P391" s="5" t="str">
        <f t="shared" si="19"/>
        <v/>
      </c>
      <c r="Q391" s="5" t="str">
        <f t="shared" si="20"/>
        <v/>
      </c>
    </row>
    <row r="392" ht="27.6" spans="1:17">
      <c r="A392" s="4">
        <v>391</v>
      </c>
      <c r="B392" s="4" t="s">
        <v>1221</v>
      </c>
      <c r="C392" s="4" t="s">
        <v>23</v>
      </c>
      <c r="D392" s="4" t="s">
        <v>1222</v>
      </c>
      <c r="E392" s="5" t="str">
        <f t="shared" si="18"/>
        <v>Dr.SADASIVAM K</v>
      </c>
      <c r="F392" s="6" t="s">
        <v>1210</v>
      </c>
      <c r="G392" s="5" t="s">
        <v>29</v>
      </c>
      <c r="H392" s="5" t="s">
        <v>1223</v>
      </c>
      <c r="I39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Col2='""&amp;B392&amp;""'"",0)"),1)</f>
        <v>1</v>
      </c>
      <c r="J392" s="5">
        <f>IFERROR(__xludf.DUMMYFUNCTION("""COMPUTED_VALUE"""),0)</f>
        <v>0</v>
      </c>
      <c r="K392" s="5">
        <f>IFERROR(__xludf.DUMMYFUNCTION("""COMPUTED_VALUE"""),1)</f>
        <v>1</v>
      </c>
      <c r="L392" s="5">
        <f>IFERROR(__xludf.DUMMYFUNCTION("""COMPUTED_VALUE"""),1)</f>
        <v>1</v>
      </c>
      <c r="M392" s="5" t="str">
        <f>IFERROR(__xludf.DUMMYFUNCTION("""COMPUTED_VALUE"""),"Working")</f>
        <v>Working</v>
      </c>
      <c r="N392" s="5" t="str">
        <f>IFERROR(__xludf.DUMMYFUNCTION("""COMPUTED_VALUE"""),"CORRECT")</f>
        <v>CORRECT</v>
      </c>
      <c r="O392" s="5" t="str">
        <f>IFERROR(__xludf.DUMMYFUNCTION("""COMPUTED_VALUE"""),"CORRECT")</f>
        <v>CORRECT</v>
      </c>
      <c r="P392" s="5" t="str">
        <f t="shared" si="19"/>
        <v/>
      </c>
      <c r="Q392" s="5" t="str">
        <f t="shared" si="20"/>
        <v>Extra Lab Load Alloted</v>
      </c>
    </row>
    <row r="393" ht="27.6" spans="1:17">
      <c r="A393" s="4">
        <v>392</v>
      </c>
      <c r="B393" s="4" t="s">
        <v>1224</v>
      </c>
      <c r="C393" s="4" t="s">
        <v>23</v>
      </c>
      <c r="D393" s="4" t="s">
        <v>1225</v>
      </c>
      <c r="E393" s="5" t="str">
        <f t="shared" si="18"/>
        <v>Dr.VANITHA K</v>
      </c>
      <c r="F393" s="6" t="s">
        <v>1210</v>
      </c>
      <c r="G393" s="5" t="s">
        <v>20</v>
      </c>
      <c r="H393" s="5" t="s">
        <v>1226</v>
      </c>
      <c r="I39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Col2='""&amp;B393&amp;""'"",0)"),2)</f>
        <v>2</v>
      </c>
      <c r="J393" s="5">
        <f>IFERROR(__xludf.DUMMYFUNCTION("""COMPUTED_VALUE"""),2)</f>
        <v>2</v>
      </c>
      <c r="K393" s="5">
        <f>IFERROR(__xludf.DUMMYFUNCTION("""COMPUTED_VALUE"""),2)</f>
        <v>2</v>
      </c>
      <c r="L393" s="5">
        <f>IFERROR(__xludf.DUMMYFUNCTION("""COMPUTED_VALUE"""),2)</f>
        <v>2</v>
      </c>
      <c r="M393" s="5" t="str">
        <f>IFERROR(__xludf.DUMMYFUNCTION("""COMPUTED_VALUE"""),"Working")</f>
        <v>Working</v>
      </c>
      <c r="N393" s="5" t="str">
        <f>IFERROR(__xludf.DUMMYFUNCTION("""COMPUTED_VALUE"""),"CORRECT")</f>
        <v>CORRECT</v>
      </c>
      <c r="O393" s="5" t="str">
        <f>IFERROR(__xludf.DUMMYFUNCTION("""COMPUTED_VALUE"""),"CORRECT")</f>
        <v>CORRECT</v>
      </c>
      <c r="P393" s="5" t="str">
        <f t="shared" si="19"/>
        <v/>
      </c>
      <c r="Q393" s="5" t="str">
        <f t="shared" si="20"/>
        <v/>
      </c>
    </row>
    <row r="394" ht="27.6" spans="1:17">
      <c r="A394" s="4">
        <v>393</v>
      </c>
      <c r="B394" s="4" t="s">
        <v>1227</v>
      </c>
      <c r="C394" s="4" t="s">
        <v>23</v>
      </c>
      <c r="D394" s="4" t="s">
        <v>1228</v>
      </c>
      <c r="E394" s="5" t="str">
        <f t="shared" si="18"/>
        <v>Dr.SUNDARAM S</v>
      </c>
      <c r="F394" s="6" t="s">
        <v>1210</v>
      </c>
      <c r="G394" s="5" t="s">
        <v>37</v>
      </c>
      <c r="H394" s="5" t="s">
        <v>1229</v>
      </c>
      <c r="I39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Col2='""&amp;B394&amp;""'"",0)"),2)</f>
        <v>2</v>
      </c>
      <c r="J394" s="5">
        <f>IFERROR(__xludf.DUMMYFUNCTION("""COMPUTED_VALUE"""),2)</f>
        <v>2</v>
      </c>
      <c r="K394" s="5">
        <f>IFERROR(__xludf.DUMMYFUNCTION("""COMPUTED_VALUE"""),2)</f>
        <v>2</v>
      </c>
      <c r="L394" s="5">
        <f>IFERROR(__xludf.DUMMYFUNCTION("""COMPUTED_VALUE"""),2)</f>
        <v>2</v>
      </c>
      <c r="M394" s="5" t="str">
        <f>IFERROR(__xludf.DUMMYFUNCTION("""COMPUTED_VALUE"""),"Working")</f>
        <v>Working</v>
      </c>
      <c r="N394" s="5" t="str">
        <f>IFERROR(__xludf.DUMMYFUNCTION("""COMPUTED_VALUE"""),"CORRECT")</f>
        <v>CORRECT</v>
      </c>
      <c r="O394" s="5" t="str">
        <f>IFERROR(__xludf.DUMMYFUNCTION("""COMPUTED_VALUE"""),"CORRECT")</f>
        <v>CORRECT</v>
      </c>
      <c r="P394" s="5" t="str">
        <f t="shared" si="19"/>
        <v/>
      </c>
      <c r="Q394" s="5" t="str">
        <f t="shared" si="20"/>
        <v/>
      </c>
    </row>
    <row r="395" ht="27.6" spans="1:17">
      <c r="A395" s="4">
        <v>394</v>
      </c>
      <c r="B395" s="4" t="s">
        <v>1230</v>
      </c>
      <c r="C395" s="4" t="s">
        <v>23</v>
      </c>
      <c r="D395" s="4" t="s">
        <v>1231</v>
      </c>
      <c r="E395" s="5" t="str">
        <f t="shared" si="18"/>
        <v>Dr.ANANDHA BABU G</v>
      </c>
      <c r="F395" s="6" t="s">
        <v>1210</v>
      </c>
      <c r="G395" s="5" t="s">
        <v>37</v>
      </c>
      <c r="H395" s="5" t="s">
        <v>1232</v>
      </c>
      <c r="I39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Col2='""&amp;B395&amp;""'"",0)"),2)</f>
        <v>2</v>
      </c>
      <c r="J395" s="5">
        <f>IFERROR(__xludf.DUMMYFUNCTION("""COMPUTED_VALUE"""),2)</f>
        <v>2</v>
      </c>
      <c r="K395" s="5">
        <f>IFERROR(__xludf.DUMMYFUNCTION("""COMPUTED_VALUE"""),2)</f>
        <v>2</v>
      </c>
      <c r="L395" s="5">
        <f>IFERROR(__xludf.DUMMYFUNCTION("""COMPUTED_VALUE"""),2)</f>
        <v>2</v>
      </c>
      <c r="M395" s="5" t="str">
        <f>IFERROR(__xludf.DUMMYFUNCTION("""COMPUTED_VALUE"""),"Working")</f>
        <v>Working</v>
      </c>
      <c r="N395" s="5" t="str">
        <f>IFERROR(__xludf.DUMMYFUNCTION("""COMPUTED_VALUE"""),"CORRECT")</f>
        <v>CORRECT</v>
      </c>
      <c r="O395" s="5" t="str">
        <f>IFERROR(__xludf.DUMMYFUNCTION("""COMPUTED_VALUE"""),"CORRECT")</f>
        <v>CORRECT</v>
      </c>
      <c r="P395" s="5" t="str">
        <f t="shared" si="19"/>
        <v/>
      </c>
      <c r="Q395" s="5" t="str">
        <f t="shared" si="20"/>
        <v/>
      </c>
    </row>
    <row r="396" ht="14.4" spans="1:17">
      <c r="A396" s="4">
        <v>395</v>
      </c>
      <c r="B396" s="4" t="s">
        <v>1233</v>
      </c>
      <c r="C396" s="4" t="s">
        <v>23</v>
      </c>
      <c r="D396" s="4" t="s">
        <v>1234</v>
      </c>
      <c r="E396" s="5" t="str">
        <f t="shared" si="18"/>
        <v>Dr.GOPI G</v>
      </c>
      <c r="F396" s="6" t="s">
        <v>1210</v>
      </c>
      <c r="G396" s="5" t="s">
        <v>47</v>
      </c>
      <c r="H396" s="5" t="s">
        <v>1235</v>
      </c>
      <c r="I39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Col2='""&amp;B396&amp;""'"",0)"),2)</f>
        <v>2</v>
      </c>
      <c r="J396" s="5">
        <f>IFERROR(__xludf.DUMMYFUNCTION("""COMPUTED_VALUE"""),2)</f>
        <v>2</v>
      </c>
      <c r="K396" s="5">
        <f>IFERROR(__xludf.DUMMYFUNCTION("""COMPUTED_VALUE"""),2)</f>
        <v>2</v>
      </c>
      <c r="L396" s="5">
        <f>IFERROR(__xludf.DUMMYFUNCTION("""COMPUTED_VALUE"""),2)</f>
        <v>2</v>
      </c>
      <c r="M396" s="5" t="str">
        <f>IFERROR(__xludf.DUMMYFUNCTION("""COMPUTED_VALUE"""),"Working")</f>
        <v>Working</v>
      </c>
      <c r="N396" s="5" t="str">
        <f>IFERROR(__xludf.DUMMYFUNCTION("""COMPUTED_VALUE"""),"CORRECT")</f>
        <v>CORRECT</v>
      </c>
      <c r="O396" s="5" t="str">
        <f>IFERROR(__xludf.DUMMYFUNCTION("""COMPUTED_VALUE"""),"CORRECT")</f>
        <v>CORRECT</v>
      </c>
      <c r="P396" s="5" t="str">
        <f t="shared" si="19"/>
        <v/>
      </c>
      <c r="Q396" s="5" t="str">
        <f t="shared" si="20"/>
        <v/>
      </c>
    </row>
    <row r="397" ht="27.6" spans="1:17">
      <c r="A397" s="4">
        <v>396</v>
      </c>
      <c r="B397" s="4" t="s">
        <v>1236</v>
      </c>
      <c r="C397" s="4" t="s">
        <v>23</v>
      </c>
      <c r="D397" s="4" t="s">
        <v>1237</v>
      </c>
      <c r="E397" s="5" t="str">
        <f t="shared" si="18"/>
        <v>Dr.SIVA G</v>
      </c>
      <c r="F397" s="6" t="s">
        <v>1210</v>
      </c>
      <c r="G397" s="5" t="s">
        <v>37</v>
      </c>
      <c r="H397" s="5" t="s">
        <v>1238</v>
      </c>
      <c r="I39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Col2='""&amp;B397&amp;""'"",0)"),2)</f>
        <v>2</v>
      </c>
      <c r="J397" s="5">
        <f>IFERROR(__xludf.DUMMYFUNCTION("""COMPUTED_VALUE"""),2)</f>
        <v>2</v>
      </c>
      <c r="K397" s="5">
        <f>IFERROR(__xludf.DUMMYFUNCTION("""COMPUTED_VALUE"""),1)</f>
        <v>1</v>
      </c>
      <c r="L397" s="5">
        <f>IFERROR(__xludf.DUMMYFUNCTION("""COMPUTED_VALUE"""),2)</f>
        <v>2</v>
      </c>
      <c r="M397" s="5" t="str">
        <f>IFERROR(__xludf.DUMMYFUNCTION("""COMPUTED_VALUE"""),"Working")</f>
        <v>Working</v>
      </c>
      <c r="N397" s="5" t="str">
        <f>IFERROR(__xludf.DUMMYFUNCTION("""COMPUTED_VALUE"""),"LOAD PENDING")</f>
        <v>LOAD PENDING</v>
      </c>
      <c r="O397" s="5" t="str">
        <f>IFERROR(__xludf.DUMMYFUNCTION("""COMPUTED_VALUE"""),"CORRECT")</f>
        <v>CORRECT</v>
      </c>
      <c r="P397" s="5" t="str">
        <f t="shared" si="19"/>
        <v/>
      </c>
      <c r="Q397" s="5" t="str">
        <f t="shared" si="20"/>
        <v/>
      </c>
    </row>
    <row r="398" ht="14.4" spans="1:17">
      <c r="A398" s="4">
        <v>397</v>
      </c>
      <c r="B398" s="4" t="s">
        <v>1239</v>
      </c>
      <c r="C398" s="4" t="s">
        <v>23</v>
      </c>
      <c r="D398" s="4" t="s">
        <v>1240</v>
      </c>
      <c r="E398" s="5" t="str">
        <f t="shared" si="18"/>
        <v>Dr.BASKARAN P</v>
      </c>
      <c r="F398" s="6" t="s">
        <v>1210</v>
      </c>
      <c r="G398" s="5" t="s">
        <v>47</v>
      </c>
      <c r="H398" s="5" t="s">
        <v>1241</v>
      </c>
      <c r="I39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Col2='""&amp;B398&amp;""'"",0)"),2)</f>
        <v>2</v>
      </c>
      <c r="J398" s="5">
        <f>IFERROR(__xludf.DUMMYFUNCTION("""COMPUTED_VALUE"""),2)</f>
        <v>2</v>
      </c>
      <c r="K398" s="5">
        <f>IFERROR(__xludf.DUMMYFUNCTION("""COMPUTED_VALUE"""),2)</f>
        <v>2</v>
      </c>
      <c r="L398" s="5">
        <f>IFERROR(__xludf.DUMMYFUNCTION("""COMPUTED_VALUE"""),2)</f>
        <v>2</v>
      </c>
      <c r="M398" s="5" t="str">
        <f>IFERROR(__xludf.DUMMYFUNCTION("""COMPUTED_VALUE"""),"Working")</f>
        <v>Working</v>
      </c>
      <c r="N398" s="5" t="str">
        <f>IFERROR(__xludf.DUMMYFUNCTION("""COMPUTED_VALUE"""),"CORRECT")</f>
        <v>CORRECT</v>
      </c>
      <c r="O398" s="5" t="str">
        <f>IFERROR(__xludf.DUMMYFUNCTION("""COMPUTED_VALUE"""),"CORRECT")</f>
        <v>CORRECT</v>
      </c>
      <c r="P398" s="5" t="str">
        <f t="shared" si="19"/>
        <v/>
      </c>
      <c r="Q398" s="5" t="str">
        <f t="shared" si="20"/>
        <v/>
      </c>
    </row>
    <row r="399" ht="14.4" spans="1:17">
      <c r="A399" s="4">
        <v>398</v>
      </c>
      <c r="B399" s="4" t="s">
        <v>1242</v>
      </c>
      <c r="C399" s="4" t="s">
        <v>23</v>
      </c>
      <c r="D399" s="4" t="s">
        <v>1243</v>
      </c>
      <c r="E399" s="5" t="str">
        <f t="shared" si="18"/>
        <v>Dr.PRIYADHARSINI A</v>
      </c>
      <c r="F399" s="6" t="s">
        <v>1210</v>
      </c>
      <c r="G399" s="5" t="s">
        <v>47</v>
      </c>
      <c r="H399" s="5" t="s">
        <v>1244</v>
      </c>
      <c r="I39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Col2='""&amp;B399&amp;""'"",0)"),2)</f>
        <v>2</v>
      </c>
      <c r="J399" s="5">
        <f>IFERROR(__xludf.DUMMYFUNCTION("""COMPUTED_VALUE"""),2)</f>
        <v>2</v>
      </c>
      <c r="K399" s="5">
        <f>IFERROR(__xludf.DUMMYFUNCTION("""COMPUTED_VALUE"""),2)</f>
        <v>2</v>
      </c>
      <c r="L399" s="5">
        <f>IFERROR(__xludf.DUMMYFUNCTION("""COMPUTED_VALUE"""),2)</f>
        <v>2</v>
      </c>
      <c r="M399" s="5" t="str">
        <f>IFERROR(__xludf.DUMMYFUNCTION("""COMPUTED_VALUE"""),"Working")</f>
        <v>Working</v>
      </c>
      <c r="N399" s="5" t="str">
        <f>IFERROR(__xludf.DUMMYFUNCTION("""COMPUTED_VALUE"""),"CORRECT")</f>
        <v>CORRECT</v>
      </c>
      <c r="O399" s="5" t="str">
        <f>IFERROR(__xludf.DUMMYFUNCTION("""COMPUTED_VALUE"""),"CORRECT")</f>
        <v>CORRECT</v>
      </c>
      <c r="P399" s="5" t="str">
        <f t="shared" si="19"/>
        <v/>
      </c>
      <c r="Q399" s="5" t="str">
        <f t="shared" si="20"/>
        <v/>
      </c>
    </row>
    <row r="400" ht="27.6" spans="1:17">
      <c r="A400" s="4">
        <v>399</v>
      </c>
      <c r="B400" s="4" t="s">
        <v>1245</v>
      </c>
      <c r="C400" s="4" t="s">
        <v>23</v>
      </c>
      <c r="D400" s="4" t="s">
        <v>1246</v>
      </c>
      <c r="E400" s="5" t="str">
        <f t="shared" si="18"/>
        <v>Dr.SANGEETHA K</v>
      </c>
      <c r="F400" s="6" t="s">
        <v>1210</v>
      </c>
      <c r="G400" s="5" t="s">
        <v>20</v>
      </c>
      <c r="H400" s="5" t="s">
        <v>1247</v>
      </c>
      <c r="I40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Col2='""&amp;B400&amp;""'"",0)"),2)</f>
        <v>2</v>
      </c>
      <c r="J400" s="5">
        <f>IFERROR(__xludf.DUMMYFUNCTION("""COMPUTED_VALUE"""),2)</f>
        <v>2</v>
      </c>
      <c r="K400" s="5">
        <f>IFERROR(__xludf.DUMMYFUNCTION("""COMPUTED_VALUE"""),2)</f>
        <v>2</v>
      </c>
      <c r="L400" s="5">
        <f>IFERROR(__xludf.DUMMYFUNCTION("""COMPUTED_VALUE"""),2)</f>
        <v>2</v>
      </c>
      <c r="M400" s="5" t="str">
        <f>IFERROR(__xludf.DUMMYFUNCTION("""COMPUTED_VALUE"""),"Working")</f>
        <v>Working</v>
      </c>
      <c r="N400" s="5" t="str">
        <f>IFERROR(__xludf.DUMMYFUNCTION("""COMPUTED_VALUE"""),"CORRECT")</f>
        <v>CORRECT</v>
      </c>
      <c r="O400" s="5" t="str">
        <f>IFERROR(__xludf.DUMMYFUNCTION("""COMPUTED_VALUE"""),"CORRECT")</f>
        <v>CORRECT</v>
      </c>
      <c r="P400" s="5" t="str">
        <f t="shared" si="19"/>
        <v/>
      </c>
      <c r="Q400" s="5" t="str">
        <f t="shared" si="20"/>
        <v/>
      </c>
    </row>
    <row r="401" ht="27.6" spans="1:17">
      <c r="A401" s="4">
        <v>400</v>
      </c>
      <c r="B401" s="4" t="s">
        <v>1248</v>
      </c>
      <c r="C401" s="4" t="s">
        <v>23</v>
      </c>
      <c r="D401" s="4" t="s">
        <v>1249</v>
      </c>
      <c r="E401" s="5" t="str">
        <f t="shared" si="18"/>
        <v>Dr.VIJAYAKUMAR V N</v>
      </c>
      <c r="F401" s="6" t="s">
        <v>1210</v>
      </c>
      <c r="G401" s="5" t="s">
        <v>29</v>
      </c>
      <c r="H401" s="5" t="s">
        <v>1250</v>
      </c>
      <c r="I40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Col2='""&amp;B401&amp;""'"",0)"),1)</f>
        <v>1</v>
      </c>
      <c r="J401" s="5">
        <f>IFERROR(__xludf.DUMMYFUNCTION("""COMPUTED_VALUE"""),1)</f>
        <v>1</v>
      </c>
      <c r="K401" s="5">
        <f>IFERROR(__xludf.DUMMYFUNCTION("""COMPUTED_VALUE"""),2)</f>
        <v>2</v>
      </c>
      <c r="L401" s="5">
        <f>IFERROR(__xludf.DUMMYFUNCTION("""COMPUTED_VALUE"""),2)</f>
        <v>2</v>
      </c>
      <c r="M401" s="5" t="str">
        <f>IFERROR(__xludf.DUMMYFUNCTION("""COMPUTED_VALUE"""),"Working")</f>
        <v>Working</v>
      </c>
      <c r="N401" s="5" t="str">
        <f>IFERROR(__xludf.DUMMYFUNCTION("""COMPUTED_VALUE"""),"CORRECT")</f>
        <v>CORRECT</v>
      </c>
      <c r="O401" s="5" t="str">
        <f>IFERROR(__xludf.DUMMYFUNCTION("""COMPUTED_VALUE"""),"CORRECT")</f>
        <v>CORRECT</v>
      </c>
      <c r="P401" s="5" t="str">
        <f t="shared" si="19"/>
        <v>Extra Theory Load Alloted</v>
      </c>
      <c r="Q401" s="5" t="str">
        <f t="shared" si="20"/>
        <v>Extra Lab Load Alloted</v>
      </c>
    </row>
    <row r="402" ht="27.6" spans="1:17">
      <c r="A402" s="4">
        <v>401</v>
      </c>
      <c r="B402" s="4" t="s">
        <v>1251</v>
      </c>
      <c r="C402" s="4" t="s">
        <v>23</v>
      </c>
      <c r="D402" s="4" t="s">
        <v>1252</v>
      </c>
      <c r="E402" s="5" t="str">
        <f t="shared" si="18"/>
        <v>Dr.PONGALI SATHYA PRABU N</v>
      </c>
      <c r="F402" s="6" t="s">
        <v>1210</v>
      </c>
      <c r="G402" s="5" t="s">
        <v>25</v>
      </c>
      <c r="H402" s="5" t="s">
        <v>1253</v>
      </c>
      <c r="I40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Col2='""&amp;B402&amp;""'"",0)"),2)</f>
        <v>2</v>
      </c>
      <c r="J402" s="5">
        <f>IFERROR(__xludf.DUMMYFUNCTION("""COMPUTED_VALUE"""),1)</f>
        <v>1</v>
      </c>
      <c r="K402" s="5">
        <f>IFERROR(__xludf.DUMMYFUNCTION("""COMPUTED_VALUE"""),2)</f>
        <v>2</v>
      </c>
      <c r="L402" s="5">
        <f>IFERROR(__xludf.DUMMYFUNCTION("""COMPUTED_VALUE"""),2)</f>
        <v>2</v>
      </c>
      <c r="M402" s="5" t="str">
        <f>IFERROR(__xludf.DUMMYFUNCTION("""COMPUTED_VALUE"""),"Working")</f>
        <v>Working</v>
      </c>
      <c r="N402" s="5" t="str">
        <f>IFERROR(__xludf.DUMMYFUNCTION("""COMPUTED_VALUE"""),"CORRECT")</f>
        <v>CORRECT</v>
      </c>
      <c r="O402" s="5" t="str">
        <f>IFERROR(__xludf.DUMMYFUNCTION("""COMPUTED_VALUE"""),"CORRECT")</f>
        <v>CORRECT</v>
      </c>
      <c r="P402" s="5" t="str">
        <f t="shared" si="19"/>
        <v/>
      </c>
      <c r="Q402" s="5" t="str">
        <f t="shared" si="20"/>
        <v>Extra Lab Load Alloted</v>
      </c>
    </row>
    <row r="403" ht="27.6" spans="1:17">
      <c r="A403" s="4">
        <v>402</v>
      </c>
      <c r="B403" s="4" t="s">
        <v>1254</v>
      </c>
      <c r="C403" s="4" t="s">
        <v>23</v>
      </c>
      <c r="D403" s="4" t="s">
        <v>1255</v>
      </c>
      <c r="E403" s="5" t="str">
        <f t="shared" si="18"/>
        <v>Dr.ROHINI P</v>
      </c>
      <c r="F403" s="6" t="s">
        <v>1210</v>
      </c>
      <c r="G403" s="5" t="s">
        <v>20</v>
      </c>
      <c r="H403" s="5" t="s">
        <v>1256</v>
      </c>
      <c r="I40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Col2='""&amp;B403&amp;""'"",0)"),2)</f>
        <v>2</v>
      </c>
      <c r="J403" s="5">
        <f>IFERROR(__xludf.DUMMYFUNCTION("""COMPUTED_VALUE"""),2)</f>
        <v>2</v>
      </c>
      <c r="K403" s="5">
        <f>IFERROR(__xludf.DUMMYFUNCTION("""COMPUTED_VALUE"""),3)</f>
        <v>3</v>
      </c>
      <c r="L403" s="5">
        <f>IFERROR(__xludf.DUMMYFUNCTION("""COMPUTED_VALUE"""),3)</f>
        <v>3</v>
      </c>
      <c r="M403" s="5" t="str">
        <f>IFERROR(__xludf.DUMMYFUNCTION("""COMPUTED_VALUE"""),"Working")</f>
        <v>Working</v>
      </c>
      <c r="N403" s="5" t="str">
        <f>IFERROR(__xludf.DUMMYFUNCTION("""COMPUTED_VALUE"""),"CORRECT")</f>
        <v>CORRECT</v>
      </c>
      <c r="O403" s="5" t="str">
        <f>IFERROR(__xludf.DUMMYFUNCTION("""COMPUTED_VALUE"""),"CORRECT")</f>
        <v>CORRECT</v>
      </c>
      <c r="P403" s="5" t="str">
        <f t="shared" si="19"/>
        <v>Extra Theory Load Alloted</v>
      </c>
      <c r="Q403" s="5" t="str">
        <f t="shared" si="20"/>
        <v>Extra Lab Load Alloted</v>
      </c>
    </row>
    <row r="404" ht="27.6" spans="1:17">
      <c r="A404" s="4">
        <v>403</v>
      </c>
      <c r="B404" s="4" t="s">
        <v>1257</v>
      </c>
      <c r="C404" s="4" t="s">
        <v>32</v>
      </c>
      <c r="D404" s="4" t="s">
        <v>1258</v>
      </c>
      <c r="E404" s="5" t="str">
        <f t="shared" si="18"/>
        <v>Mrs.NANDHINI B</v>
      </c>
      <c r="F404" s="6" t="s">
        <v>1259</v>
      </c>
      <c r="G404" s="5" t="s">
        <v>37</v>
      </c>
      <c r="H404" s="5" t="s">
        <v>1260</v>
      </c>
      <c r="I404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Col2='""&amp;B404&amp;""'"",0)"),2)</f>
        <v>2</v>
      </c>
      <c r="J404" s="5">
        <f>IFERROR(__xludf.DUMMYFUNCTION("""COMPUTED_VALUE"""),2)</f>
        <v>2</v>
      </c>
      <c r="K404" s="5">
        <f>IFERROR(__xludf.DUMMYFUNCTION("""COMPUTED_VALUE"""),2)</f>
        <v>2</v>
      </c>
      <c r="L404" s="5">
        <f>IFERROR(__xludf.DUMMYFUNCTION("""COMPUTED_VALUE"""),1)</f>
        <v>1</v>
      </c>
      <c r="M404" s="5" t="str">
        <f>IFERROR(__xludf.DUMMYFUNCTION("""COMPUTED_VALUE"""),"Working")</f>
        <v>Working</v>
      </c>
      <c r="N404" s="5" t="str">
        <f>IFERROR(__xludf.DUMMYFUNCTION("""COMPUTED_VALUE"""),"CORRECT")</f>
        <v>CORRECT</v>
      </c>
      <c r="O404" s="5" t="str">
        <f>IFERROR(__xludf.DUMMYFUNCTION("""COMPUTED_VALUE"""),"LOAD PENDING")</f>
        <v>LOAD PENDING</v>
      </c>
      <c r="P404" s="5" t="str">
        <f t="shared" si="19"/>
        <v/>
      </c>
      <c r="Q404" s="5" t="str">
        <f t="shared" si="20"/>
        <v/>
      </c>
    </row>
    <row r="405" ht="27.6" spans="1:17">
      <c r="A405" s="4">
        <v>404</v>
      </c>
      <c r="B405" s="4" t="s">
        <v>1261</v>
      </c>
      <c r="C405" s="4" t="s">
        <v>17</v>
      </c>
      <c r="D405" s="4" t="s">
        <v>1262</v>
      </c>
      <c r="E405" s="5" t="str">
        <f t="shared" si="18"/>
        <v>Mr.SIBI JOHN A</v>
      </c>
      <c r="F405" s="6" t="s">
        <v>1259</v>
      </c>
      <c r="G405" s="5" t="s">
        <v>20</v>
      </c>
      <c r="H405" s="5" t="s">
        <v>1263</v>
      </c>
      <c r="I40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Col2='""&amp;B405&amp;""'"",0)"),2)</f>
        <v>2</v>
      </c>
      <c r="J405" s="5">
        <f>IFERROR(__xludf.DUMMYFUNCTION("""COMPUTED_VALUE"""),2)</f>
        <v>2</v>
      </c>
      <c r="K405" s="5">
        <f>IFERROR(__xludf.DUMMYFUNCTION("""COMPUTED_VALUE"""),0)</f>
        <v>0</v>
      </c>
      <c r="L405" s="5">
        <f>IFERROR(__xludf.DUMMYFUNCTION("""COMPUTED_VALUE"""),0)</f>
        <v>0</v>
      </c>
      <c r="M405" s="5" t="str">
        <f>IFERROR(__xludf.DUMMYFUNCTION("""COMPUTED_VALUE"""),"Working")</f>
        <v>Working</v>
      </c>
      <c r="N405" s="5" t="str">
        <f>IFERROR(__xludf.DUMMYFUNCTION("""COMPUTED_VALUE"""),"LOAD PENDING")</f>
        <v>LOAD PENDING</v>
      </c>
      <c r="O405" s="5" t="str">
        <f>IFERROR(__xludf.DUMMYFUNCTION("""COMPUTED_VALUE"""),"LOAD PENDING")</f>
        <v>LOAD PENDING</v>
      </c>
      <c r="P405" s="5" t="str">
        <f t="shared" si="19"/>
        <v/>
      </c>
      <c r="Q405" s="5" t="str">
        <f t="shared" si="20"/>
        <v/>
      </c>
    </row>
    <row r="406" ht="27.6" spans="1:17">
      <c r="A406" s="8">
        <v>405</v>
      </c>
      <c r="B406" s="9" t="s">
        <v>1264</v>
      </c>
      <c r="C406" s="4" t="s">
        <v>17</v>
      </c>
      <c r="D406" s="4" t="s">
        <v>1265</v>
      </c>
      <c r="E406" s="5" t="str">
        <f t="shared" si="18"/>
        <v>Mr.SENTHIL KUMAR N</v>
      </c>
      <c r="F406" s="6" t="s">
        <v>1259</v>
      </c>
      <c r="G406" s="5" t="s">
        <v>20</v>
      </c>
      <c r="H406" s="5" t="s">
        <v>1266</v>
      </c>
      <c r="I40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Col2='""&amp;B406&amp;""'"",0)"),2)</f>
        <v>2</v>
      </c>
      <c r="J406" s="5">
        <f>IFERROR(__xludf.DUMMYFUNCTION("""COMPUTED_VALUE"""),2)</f>
        <v>2</v>
      </c>
      <c r="K406" s="5">
        <f>IFERROR(__xludf.DUMMYFUNCTION("""COMPUTED_VALUE"""),2)</f>
        <v>2</v>
      </c>
      <c r="L406" s="5">
        <f>IFERROR(__xludf.DUMMYFUNCTION("""COMPUTED_VALUE"""),1)</f>
        <v>1</v>
      </c>
      <c r="M406" s="5" t="str">
        <f>IFERROR(__xludf.DUMMYFUNCTION("""COMPUTED_VALUE"""),"Working")</f>
        <v>Working</v>
      </c>
      <c r="N406" s="5" t="str">
        <f>IFERROR(__xludf.DUMMYFUNCTION("""COMPUTED_VALUE"""),"CORRECT")</f>
        <v>CORRECT</v>
      </c>
      <c r="O406" s="5" t="str">
        <f>IFERROR(__xludf.DUMMYFUNCTION("""COMPUTED_VALUE"""),"LOAD PENDING")</f>
        <v>LOAD PENDING</v>
      </c>
      <c r="P406" s="5" t="str">
        <f t="shared" si="19"/>
        <v/>
      </c>
      <c r="Q406" s="5" t="str">
        <f t="shared" si="20"/>
        <v/>
      </c>
    </row>
    <row r="407" ht="14.4" spans="1:17">
      <c r="A407" s="8">
        <v>406</v>
      </c>
      <c r="B407" s="9" t="s">
        <v>1267</v>
      </c>
      <c r="C407" s="4" t="s">
        <v>32</v>
      </c>
      <c r="D407" s="4" t="s">
        <v>1268</v>
      </c>
      <c r="E407" s="5" t="str">
        <f t="shared" si="18"/>
        <v>Mrs.AISHWARIYA M R</v>
      </c>
      <c r="F407" s="6" t="s">
        <v>1259</v>
      </c>
      <c r="G407" s="5" t="s">
        <v>47</v>
      </c>
      <c r="H407" s="5" t="s">
        <v>1269</v>
      </c>
      <c r="I40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Col2='""&amp;B407&amp;""'"",0)"),2)</f>
        <v>2</v>
      </c>
      <c r="J407" s="5">
        <f>IFERROR(__xludf.DUMMYFUNCTION("""COMPUTED_VALUE"""),2)</f>
        <v>2</v>
      </c>
      <c r="K407" s="5">
        <f>IFERROR(__xludf.DUMMYFUNCTION("""COMPUTED_VALUE"""),1)</f>
        <v>1</v>
      </c>
      <c r="L407" s="5">
        <f>IFERROR(__xludf.DUMMYFUNCTION("""COMPUTED_VALUE"""),2)</f>
        <v>2</v>
      </c>
      <c r="M407" s="5" t="str">
        <f>IFERROR(__xludf.DUMMYFUNCTION("""COMPUTED_VALUE"""),"Working")</f>
        <v>Working</v>
      </c>
      <c r="N407" s="5" t="str">
        <f>IFERROR(__xludf.DUMMYFUNCTION("""COMPUTED_VALUE"""),"LOAD PENDING")</f>
        <v>LOAD PENDING</v>
      </c>
      <c r="O407" s="5" t="str">
        <f>IFERROR(__xludf.DUMMYFUNCTION("""COMPUTED_VALUE"""),"CORRECT")</f>
        <v>CORRECT</v>
      </c>
      <c r="P407" s="5" t="str">
        <f t="shared" si="19"/>
        <v/>
      </c>
      <c r="Q407" s="5" t="str">
        <f t="shared" si="20"/>
        <v/>
      </c>
    </row>
    <row r="408" ht="27.6" spans="1:17">
      <c r="A408" s="8">
        <v>407</v>
      </c>
      <c r="B408" s="9" t="s">
        <v>1270</v>
      </c>
      <c r="C408" s="4" t="s">
        <v>23</v>
      </c>
      <c r="D408" s="4" t="s">
        <v>1271</v>
      </c>
      <c r="E408" s="5" t="str">
        <f t="shared" si="18"/>
        <v>Dr.VIDHYA S</v>
      </c>
      <c r="F408" s="6" t="s">
        <v>1259</v>
      </c>
      <c r="G408" s="5" t="s">
        <v>20</v>
      </c>
      <c r="H408" s="5" t="s">
        <v>1272</v>
      </c>
      <c r="I40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Col2='""&amp;B408&amp;""'"",0)"),2)</f>
        <v>2</v>
      </c>
      <c r="J408" s="5">
        <f>IFERROR(__xludf.DUMMYFUNCTION("""COMPUTED_VALUE"""),2)</f>
        <v>2</v>
      </c>
      <c r="K408" s="5">
        <f>IFERROR(__xludf.DUMMYFUNCTION("""COMPUTED_VALUE"""),2)</f>
        <v>2</v>
      </c>
      <c r="L408" s="5">
        <f>IFERROR(__xludf.DUMMYFUNCTION("""COMPUTED_VALUE"""),0)</f>
        <v>0</v>
      </c>
      <c r="M408" s="5" t="str">
        <f>IFERROR(__xludf.DUMMYFUNCTION("""COMPUTED_VALUE"""),"Working")</f>
        <v>Working</v>
      </c>
      <c r="N408" s="5" t="str">
        <f>IFERROR(__xludf.DUMMYFUNCTION("""COMPUTED_VALUE"""),"CORRECT")</f>
        <v>CORRECT</v>
      </c>
      <c r="O408" s="5" t="str">
        <f>IFERROR(__xludf.DUMMYFUNCTION("""COMPUTED_VALUE"""),"LOAD PENDING")</f>
        <v>LOAD PENDING</v>
      </c>
      <c r="P408" s="5" t="str">
        <f t="shared" si="19"/>
        <v/>
      </c>
      <c r="Q408" s="5" t="str">
        <f t="shared" si="20"/>
        <v/>
      </c>
    </row>
    <row r="409" ht="27.6" spans="1:17">
      <c r="A409" s="8">
        <v>408</v>
      </c>
      <c r="B409" s="9" t="s">
        <v>1273</v>
      </c>
      <c r="C409" s="4" t="s">
        <v>17</v>
      </c>
      <c r="D409" s="4" t="s">
        <v>1274</v>
      </c>
      <c r="E409" s="5" t="str">
        <f t="shared" si="18"/>
        <v>Mr.MAGESWARAN J</v>
      </c>
      <c r="F409" s="6" t="s">
        <v>1259</v>
      </c>
      <c r="G409" s="5" t="s">
        <v>37</v>
      </c>
      <c r="H409" s="5" t="s">
        <v>1275</v>
      </c>
      <c r="I40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Col2='""&amp;B409&amp;""'"",0)"),2)</f>
        <v>2</v>
      </c>
      <c r="J409" s="5">
        <f>IFERROR(__xludf.DUMMYFUNCTION("""COMPUTED_VALUE"""),2)</f>
        <v>2</v>
      </c>
      <c r="K409" s="5">
        <f>IFERROR(__xludf.DUMMYFUNCTION("""COMPUTED_VALUE"""),2)</f>
        <v>2</v>
      </c>
      <c r="L409" s="5">
        <f>IFERROR(__xludf.DUMMYFUNCTION("""COMPUTED_VALUE"""),0)</f>
        <v>0</v>
      </c>
      <c r="M409" s="5" t="str">
        <f>IFERROR(__xludf.DUMMYFUNCTION("""COMPUTED_VALUE"""),"Working")</f>
        <v>Working</v>
      </c>
      <c r="N409" s="5" t="str">
        <f>IFERROR(__xludf.DUMMYFUNCTION("""COMPUTED_VALUE"""),"CORRECT")</f>
        <v>CORRECT</v>
      </c>
      <c r="O409" s="5" t="str">
        <f>IFERROR(__xludf.DUMMYFUNCTION("""COMPUTED_VALUE"""),"LOAD PENDING")</f>
        <v>LOAD PENDING</v>
      </c>
      <c r="P409" s="5" t="str">
        <f t="shared" si="19"/>
        <v/>
      </c>
      <c r="Q409" s="5" t="str">
        <f t="shared" si="20"/>
        <v/>
      </c>
    </row>
    <row r="410" ht="14.4" spans="1:17">
      <c r="A410" s="8">
        <v>409</v>
      </c>
      <c r="B410" s="10" t="s">
        <v>1276</v>
      </c>
      <c r="C410" s="4" t="s">
        <v>17</v>
      </c>
      <c r="D410" s="4" t="s">
        <v>1277</v>
      </c>
      <c r="E410" s="5" t="str">
        <f t="shared" si="18"/>
        <v>Mr.SUGANESH S</v>
      </c>
      <c r="F410" s="6" t="s">
        <v>1259</v>
      </c>
      <c r="G410" s="5" t="s">
        <v>47</v>
      </c>
      <c r="H410" s="5" t="s">
        <v>1278</v>
      </c>
      <c r="I410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Col2='""&amp;B410&amp;""'"",0)"),2)</f>
        <v>2</v>
      </c>
      <c r="J410" s="5">
        <f>IFERROR(__xludf.DUMMYFUNCTION("""COMPUTED_VALUE"""),2)</f>
        <v>2</v>
      </c>
      <c r="K410" s="5">
        <f>IFERROR(__xludf.DUMMYFUNCTION("""COMPUTED_VALUE"""),2)</f>
        <v>2</v>
      </c>
      <c r="L410" s="5">
        <f>IFERROR(__xludf.DUMMYFUNCTION("""COMPUTED_VALUE"""),0)</f>
        <v>0</v>
      </c>
      <c r="M410" s="5" t="str">
        <f>IFERROR(__xludf.DUMMYFUNCTION("""COMPUTED_VALUE"""),"Working")</f>
        <v>Working</v>
      </c>
      <c r="N410" s="5" t="str">
        <f>IFERROR(__xludf.DUMMYFUNCTION("""COMPUTED_VALUE"""),"CORRECT")</f>
        <v>CORRECT</v>
      </c>
      <c r="O410" s="5" t="str">
        <f>IFERROR(__xludf.DUMMYFUNCTION("""COMPUTED_VALUE"""),"LOAD PENDING")</f>
        <v>LOAD PENDING</v>
      </c>
      <c r="P410" s="5" t="str">
        <f t="shared" si="19"/>
        <v/>
      </c>
      <c r="Q410" s="5" t="str">
        <f t="shared" si="20"/>
        <v/>
      </c>
    </row>
    <row r="411" ht="27.6" spans="1:17">
      <c r="A411" s="8">
        <v>410</v>
      </c>
      <c r="B411" s="10" t="s">
        <v>1279</v>
      </c>
      <c r="C411" s="4" t="s">
        <v>17</v>
      </c>
      <c r="D411" s="4" t="s">
        <v>1280</v>
      </c>
      <c r="E411" s="5" t="str">
        <f t="shared" si="18"/>
        <v>Mr.DHANABALU S N</v>
      </c>
      <c r="F411" s="6" t="s">
        <v>1259</v>
      </c>
      <c r="G411" s="5" t="s">
        <v>37</v>
      </c>
      <c r="H411" s="5" t="s">
        <v>1281</v>
      </c>
      <c r="I411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Col2='""&amp;B411&amp;""'"",0)"),2)</f>
        <v>2</v>
      </c>
      <c r="J411" s="5">
        <f>IFERROR(__xludf.DUMMYFUNCTION("""COMPUTED_VALUE"""),2)</f>
        <v>2</v>
      </c>
      <c r="K411" s="5">
        <f>IFERROR(__xludf.DUMMYFUNCTION("""COMPUTED_VALUE"""),2)</f>
        <v>2</v>
      </c>
      <c r="L411" s="5">
        <f>IFERROR(__xludf.DUMMYFUNCTION("""COMPUTED_VALUE"""),0)</f>
        <v>0</v>
      </c>
      <c r="M411" s="5" t="str">
        <f>IFERROR(__xludf.DUMMYFUNCTION("""COMPUTED_VALUE"""),"Working")</f>
        <v>Working</v>
      </c>
      <c r="N411" s="5" t="str">
        <f>IFERROR(__xludf.DUMMYFUNCTION("""COMPUTED_VALUE"""),"CORRECT")</f>
        <v>CORRECT</v>
      </c>
      <c r="O411" s="5" t="str">
        <f>IFERROR(__xludf.DUMMYFUNCTION("""COMPUTED_VALUE"""),"LOAD PENDING")</f>
        <v>LOAD PENDING</v>
      </c>
      <c r="P411" s="5" t="str">
        <f t="shared" si="19"/>
        <v/>
      </c>
      <c r="Q411" s="5" t="str">
        <f t="shared" si="20"/>
        <v/>
      </c>
    </row>
    <row r="412" ht="14.4" spans="1:17">
      <c r="A412" s="8">
        <v>411</v>
      </c>
      <c r="B412" s="10" t="s">
        <v>1282</v>
      </c>
      <c r="C412" s="4" t="s">
        <v>23</v>
      </c>
      <c r="D412" s="4" t="s">
        <v>1283</v>
      </c>
      <c r="E412" s="5" t="str">
        <f t="shared" si="18"/>
        <v>Dr.ADHINARAYANAN B</v>
      </c>
      <c r="F412" s="6" t="s">
        <v>1259</v>
      </c>
      <c r="G412" s="5" t="s">
        <v>25</v>
      </c>
      <c r="H412" s="5" t="s">
        <v>1284</v>
      </c>
      <c r="I412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Col2='""&amp;B412&amp;""'"",0)"),2)</f>
        <v>2</v>
      </c>
      <c r="J412" s="5">
        <f>IFERROR(__xludf.DUMMYFUNCTION("""COMPUTED_VALUE"""),1)</f>
        <v>1</v>
      </c>
      <c r="K412" s="5">
        <f>IFERROR(__xludf.DUMMYFUNCTION("""COMPUTED_VALUE"""),2)</f>
        <v>2</v>
      </c>
      <c r="L412" s="5">
        <f>IFERROR(__xludf.DUMMYFUNCTION("""COMPUTED_VALUE"""),0)</f>
        <v>0</v>
      </c>
      <c r="M412" s="5" t="str">
        <f>IFERROR(__xludf.DUMMYFUNCTION("""COMPUTED_VALUE"""),"Working")</f>
        <v>Working</v>
      </c>
      <c r="N412" s="5" t="str">
        <f>IFERROR(__xludf.DUMMYFUNCTION("""COMPUTED_VALUE"""),"CORRECT")</f>
        <v>CORRECT</v>
      </c>
      <c r="O412" s="5" t="str">
        <f>IFERROR(__xludf.DUMMYFUNCTION("""COMPUTED_VALUE"""),"LOAD PENDING")</f>
        <v>LOAD PENDING</v>
      </c>
      <c r="P412" s="5" t="str">
        <f t="shared" si="19"/>
        <v/>
      </c>
      <c r="Q412" s="5" t="str">
        <f t="shared" si="20"/>
        <v/>
      </c>
    </row>
    <row r="413" ht="27.6" spans="1:17">
      <c r="A413" s="8">
        <v>412</v>
      </c>
      <c r="B413" s="10" t="s">
        <v>1285</v>
      </c>
      <c r="C413" s="4" t="s">
        <v>32</v>
      </c>
      <c r="D413" s="4" t="s">
        <v>278</v>
      </c>
      <c r="E413" s="5" t="str">
        <f t="shared" si="18"/>
        <v>Mrs.SARANYA S</v>
      </c>
      <c r="F413" s="6" t="s">
        <v>1259</v>
      </c>
      <c r="G413" s="5" t="s">
        <v>37</v>
      </c>
      <c r="H413" s="5" t="s">
        <v>1286</v>
      </c>
      <c r="I413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Col2='""&amp;B413&amp;""'"",0)"),2)</f>
        <v>2</v>
      </c>
      <c r="J413" s="5">
        <f>IFERROR(__xludf.DUMMYFUNCTION("""COMPUTED_VALUE"""),2)</f>
        <v>2</v>
      </c>
      <c r="K413" s="5">
        <f>IFERROR(__xludf.DUMMYFUNCTION("""COMPUTED_VALUE"""),0)</f>
        <v>0</v>
      </c>
      <c r="L413" s="5">
        <f>IFERROR(__xludf.DUMMYFUNCTION("""COMPUTED_VALUE"""),0)</f>
        <v>0</v>
      </c>
      <c r="M413" s="5" t="str">
        <f>IFERROR(__xludf.DUMMYFUNCTION("""COMPUTED_VALUE"""),"Working")</f>
        <v>Working</v>
      </c>
      <c r="N413" s="5" t="str">
        <f>IFERROR(__xludf.DUMMYFUNCTION("""COMPUTED_VALUE"""),"LOAD PENDING")</f>
        <v>LOAD PENDING</v>
      </c>
      <c r="O413" s="5" t="str">
        <f>IFERROR(__xludf.DUMMYFUNCTION("""COMPUTED_VALUE"""),"LOAD PENDING")</f>
        <v>LOAD PENDING</v>
      </c>
      <c r="P413" s="5" t="str">
        <f t="shared" si="19"/>
        <v/>
      </c>
      <c r="Q413" s="5" t="str">
        <f t="shared" si="20"/>
        <v/>
      </c>
    </row>
    <row r="414" ht="14.4" spans="1:17">
      <c r="A414" s="8">
        <v>413</v>
      </c>
      <c r="B414" s="10" t="s">
        <v>1287</v>
      </c>
      <c r="C414" s="4" t="s">
        <v>23</v>
      </c>
      <c r="D414" s="4" t="s">
        <v>1288</v>
      </c>
      <c r="E414" s="5" t="str">
        <f t="shared" si="18"/>
        <v>Dr.SATHEESH KUMAR T</v>
      </c>
      <c r="F414" s="6" t="s">
        <v>1259</v>
      </c>
      <c r="G414" s="5" t="s">
        <v>25</v>
      </c>
      <c r="H414" s="5" t="s">
        <v>1289</v>
      </c>
      <c r="I414" s="5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Col2='""&amp;B414&amp;""'"",0)"),"")</f>
        <v/>
      </c>
      <c r="J414" s="5"/>
      <c r="K414" s="5">
        <f>IFERROR(__xludf.DUMMYFUNCTION("""COMPUTED_VALUE"""),0)</f>
        <v>0</v>
      </c>
      <c r="L414" s="5">
        <f>IFERROR(__xludf.DUMMYFUNCTION("""COMPUTED_VALUE"""),0)</f>
        <v>0</v>
      </c>
      <c r="M414" s="5" t="str">
        <f>IFERROR(__xludf.DUMMYFUNCTION("""COMPUTED_VALUE"""),"Working")</f>
        <v>Working</v>
      </c>
      <c r="N414" s="5" t="str">
        <f>IFERROR(__xludf.DUMMYFUNCTION("""COMPUTED_VALUE"""),"#N/A")</f>
        <v>#N/A</v>
      </c>
      <c r="O414" s="5" t="str">
        <f>IFERROR(__xludf.DUMMYFUNCTION("""COMPUTED_VALUE"""),"CORRECT")</f>
        <v>CORRECT</v>
      </c>
      <c r="P414" s="5" t="str">
        <f t="shared" si="19"/>
        <v/>
      </c>
      <c r="Q414" s="5" t="str">
        <f t="shared" si="20"/>
        <v/>
      </c>
    </row>
    <row r="415" ht="27.6" spans="1:17">
      <c r="A415" s="8">
        <v>414</v>
      </c>
      <c r="B415" s="10" t="s">
        <v>1290</v>
      </c>
      <c r="C415" s="4" t="s">
        <v>23</v>
      </c>
      <c r="D415" s="4" t="s">
        <v>1291</v>
      </c>
      <c r="E415" s="5" t="str">
        <f t="shared" si="18"/>
        <v>Dr.MURUGAPPAN S</v>
      </c>
      <c r="F415" s="6" t="s">
        <v>1259</v>
      </c>
      <c r="G415" s="5" t="s">
        <v>29</v>
      </c>
      <c r="H415" s="5" t="s">
        <v>1292</v>
      </c>
      <c r="I415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Col2='""&amp;B415&amp;""'"",0)"),1)</f>
        <v>1</v>
      </c>
      <c r="J415" s="5">
        <f>IFERROR(__xludf.DUMMYFUNCTION("""COMPUTED_VALUE"""),0)</f>
        <v>0</v>
      </c>
      <c r="K415" s="5">
        <f>IFERROR(__xludf.DUMMYFUNCTION("""COMPUTED_VALUE"""),1)</f>
        <v>1</v>
      </c>
      <c r="L415" s="5">
        <f>IFERROR(__xludf.DUMMYFUNCTION("""COMPUTED_VALUE"""),2)</f>
        <v>2</v>
      </c>
      <c r="M415" s="5" t="str">
        <f>IFERROR(__xludf.DUMMYFUNCTION("""COMPUTED_VALUE"""),"Working")</f>
        <v>Working</v>
      </c>
      <c r="N415" s="5" t="str">
        <f>IFERROR(__xludf.DUMMYFUNCTION("""COMPUTED_VALUE"""),"CORRECT")</f>
        <v>CORRECT</v>
      </c>
      <c r="O415" s="5" t="str">
        <f>IFERROR(__xludf.DUMMYFUNCTION("""COMPUTED_VALUE"""),"CORRECT")</f>
        <v>CORRECT</v>
      </c>
      <c r="P415" s="5" t="str">
        <f t="shared" si="19"/>
        <v/>
      </c>
      <c r="Q415" s="5" t="str">
        <f t="shared" si="20"/>
        <v>Extra Lab Load Alloted</v>
      </c>
    </row>
    <row r="416" ht="27.6" spans="1:17">
      <c r="A416" s="8">
        <v>415</v>
      </c>
      <c r="B416" s="10" t="s">
        <v>1293</v>
      </c>
      <c r="C416" s="4" t="s">
        <v>23</v>
      </c>
      <c r="D416" s="4" t="s">
        <v>1294</v>
      </c>
      <c r="E416" s="5" t="str">
        <f t="shared" si="18"/>
        <v>Dr.SARASWATHI C</v>
      </c>
      <c r="F416" s="6" t="s">
        <v>1259</v>
      </c>
      <c r="G416" s="5" t="s">
        <v>20</v>
      </c>
      <c r="H416" s="5" t="s">
        <v>1295</v>
      </c>
      <c r="I416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Col2='""&amp;B416&amp;""'"",0)"),1)</f>
        <v>1</v>
      </c>
      <c r="J416" s="5">
        <f>IFERROR(__xludf.DUMMYFUNCTION("""COMPUTED_VALUE"""),0)</f>
        <v>0</v>
      </c>
      <c r="K416" s="5">
        <f>IFERROR(__xludf.DUMMYFUNCTION("""COMPUTED_VALUE"""),0)</f>
        <v>0</v>
      </c>
      <c r="L416" s="5">
        <f>IFERROR(__xludf.DUMMYFUNCTION("""COMPUTED_VALUE"""),0)</f>
        <v>0</v>
      </c>
      <c r="M416" s="5" t="str">
        <f>IFERROR(__xludf.DUMMYFUNCTION("""COMPUTED_VALUE"""),"Working")</f>
        <v>Working</v>
      </c>
      <c r="N416" s="5" t="str">
        <f>IFERROR(__xludf.DUMMYFUNCTION("""COMPUTED_VALUE"""),"LOAD PENDING")</f>
        <v>LOAD PENDING</v>
      </c>
      <c r="O416" s="5" t="str">
        <f>IFERROR(__xludf.DUMMYFUNCTION("""COMPUTED_VALUE"""),"CORRECT")</f>
        <v>CORRECT</v>
      </c>
      <c r="P416" s="5" t="str">
        <f t="shared" si="19"/>
        <v/>
      </c>
      <c r="Q416" s="5" t="str">
        <f t="shared" si="20"/>
        <v/>
      </c>
    </row>
    <row r="417" ht="27.6" spans="1:17">
      <c r="A417" s="8">
        <v>416</v>
      </c>
      <c r="B417" s="10" t="s">
        <v>1296</v>
      </c>
      <c r="C417" s="4" t="s">
        <v>23</v>
      </c>
      <c r="D417" s="4" t="s">
        <v>1297</v>
      </c>
      <c r="E417" s="5" t="str">
        <f t="shared" si="18"/>
        <v>Dr.JANARTHANAN M</v>
      </c>
      <c r="F417" s="6" t="s">
        <v>1298</v>
      </c>
      <c r="G417" s="5" t="s">
        <v>20</v>
      </c>
      <c r="H417" s="5" t="s">
        <v>1299</v>
      </c>
      <c r="I417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Col2='""&amp;B417&amp;""'"",0)"),1)</f>
        <v>1</v>
      </c>
      <c r="J417" s="5">
        <f>IFERROR(__xludf.DUMMYFUNCTION("""COMPUTED_VALUE"""),0)</f>
        <v>0</v>
      </c>
      <c r="K417" s="5">
        <f>IFERROR(__xludf.DUMMYFUNCTION("""COMPUTED_VALUE"""),1)</f>
        <v>1</v>
      </c>
      <c r="L417" s="5">
        <f>IFERROR(__xludf.DUMMYFUNCTION("""COMPUTED_VALUE"""),0)</f>
        <v>0</v>
      </c>
      <c r="M417" s="5" t="str">
        <f>IFERROR(__xludf.DUMMYFUNCTION("""COMPUTED_VALUE"""),"Working")</f>
        <v>Working</v>
      </c>
      <c r="N417" s="5" t="str">
        <f>IFERROR(__xludf.DUMMYFUNCTION("""COMPUTED_VALUE"""),"CORRECT")</f>
        <v>CORRECT</v>
      </c>
      <c r="O417" s="5" t="str">
        <f>IFERROR(__xludf.DUMMYFUNCTION("""COMPUTED_VALUE"""),"CORRECT")</f>
        <v>CORRECT</v>
      </c>
      <c r="P417" s="5" t="str">
        <f t="shared" si="19"/>
        <v/>
      </c>
      <c r="Q417" s="5" t="str">
        <f t="shared" si="20"/>
        <v/>
      </c>
    </row>
    <row r="418" ht="14.4" spans="1:17">
      <c r="A418" s="8">
        <v>417</v>
      </c>
      <c r="B418" s="10" t="s">
        <v>1300</v>
      </c>
      <c r="C418" s="4" t="s">
        <v>32</v>
      </c>
      <c r="D418" s="4" t="s">
        <v>1301</v>
      </c>
      <c r="E418" s="5" t="str">
        <f t="shared" si="18"/>
        <v>Mrs.MOUNIKA S</v>
      </c>
      <c r="F418" s="6" t="s">
        <v>1298</v>
      </c>
      <c r="G418" s="5" t="s">
        <v>47</v>
      </c>
      <c r="H418" s="5" t="s">
        <v>1302</v>
      </c>
      <c r="I418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Col2='""&amp;B418&amp;""'"",0)"),2)</f>
        <v>2</v>
      </c>
      <c r="J418" s="5">
        <f>IFERROR(__xludf.DUMMYFUNCTION("""COMPUTED_VALUE"""),2)</f>
        <v>2</v>
      </c>
      <c r="K418" s="5">
        <f>IFERROR(__xludf.DUMMYFUNCTION("""COMPUTED_VALUE"""),1)</f>
        <v>1</v>
      </c>
      <c r="L418" s="5">
        <f>IFERROR(__xludf.DUMMYFUNCTION("""COMPUTED_VALUE"""),0)</f>
        <v>0</v>
      </c>
      <c r="M418" s="5" t="str">
        <f>IFERROR(__xludf.DUMMYFUNCTION("""COMPUTED_VALUE"""),"Working")</f>
        <v>Working</v>
      </c>
      <c r="N418" s="5" t="str">
        <f>IFERROR(__xludf.DUMMYFUNCTION("""COMPUTED_VALUE"""),"LOAD PENDING")</f>
        <v>LOAD PENDING</v>
      </c>
      <c r="O418" s="5" t="str">
        <f>IFERROR(__xludf.DUMMYFUNCTION("""COMPUTED_VALUE"""),"LOAD PENDING")</f>
        <v>LOAD PENDING</v>
      </c>
      <c r="P418" s="5" t="str">
        <f t="shared" si="19"/>
        <v/>
      </c>
      <c r="Q418" s="5" t="str">
        <f t="shared" si="20"/>
        <v/>
      </c>
    </row>
    <row r="419" ht="27.6" spans="1:17">
      <c r="A419" s="8">
        <v>418</v>
      </c>
      <c r="B419" s="10" t="s">
        <v>1303</v>
      </c>
      <c r="C419" s="4" t="s">
        <v>32</v>
      </c>
      <c r="D419" s="4" t="s">
        <v>609</v>
      </c>
      <c r="E419" s="5" t="str">
        <f t="shared" si="18"/>
        <v>Mrs.GAYATHRI R</v>
      </c>
      <c r="F419" s="6" t="s">
        <v>1298</v>
      </c>
      <c r="G419" s="5" t="s">
        <v>341</v>
      </c>
      <c r="H419" s="5" t="s">
        <v>1304</v>
      </c>
      <c r="I419" s="5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Col2='""&amp;B419&amp;""'"",0)"),2)</f>
        <v>2</v>
      </c>
      <c r="J419" s="5">
        <f>IFERROR(__xludf.DUMMYFUNCTION("""COMPUTED_VALUE"""),2)</f>
        <v>2</v>
      </c>
      <c r="K419" s="5">
        <f>IFERROR(__xludf.DUMMYFUNCTION("""COMPUTED_VALUE"""),1)</f>
        <v>1</v>
      </c>
      <c r="L419" s="5">
        <f>IFERROR(__xludf.DUMMYFUNCTION("""COMPUTED_VALUE"""),0)</f>
        <v>0</v>
      </c>
      <c r="M419" s="5" t="str">
        <f>IFERROR(__xludf.DUMMYFUNCTION("""COMPUTED_VALUE"""),"Working")</f>
        <v>Working</v>
      </c>
      <c r="N419" s="5" t="str">
        <f>IFERROR(__xludf.DUMMYFUNCTION("""COMPUTED_VALUE"""),"LOAD PENDING")</f>
        <v>LOAD PENDING</v>
      </c>
      <c r="O419" s="5" t="str">
        <f>IFERROR(__xludf.DUMMYFUNCTION("""COMPUTED_VALUE"""),"LOAD PENDING")</f>
        <v>LOAD PENDING</v>
      </c>
      <c r="P419" s="5" t="str">
        <f t="shared" si="19"/>
        <v/>
      </c>
      <c r="Q419" s="5" t="str">
        <f t="shared" si="20"/>
        <v/>
      </c>
    </row>
    <row r="420" ht="13.8" spans="1:17">
      <c r="A420" s="11"/>
      <c r="B420" s="12"/>
      <c r="C420" s="13"/>
      <c r="D420" s="13"/>
      <c r="E420" s="14"/>
      <c r="F420" s="15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</row>
    <row r="421" ht="13.8" spans="1:17">
      <c r="A421" s="11"/>
      <c r="B421" s="12"/>
      <c r="C421" s="13"/>
      <c r="D421" s="13"/>
      <c r="E421" s="14"/>
      <c r="F421" s="15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</row>
    <row r="422" ht="13.8" spans="1:17">
      <c r="A422" s="11"/>
      <c r="B422" s="12"/>
      <c r="C422" s="13"/>
      <c r="D422" s="13"/>
      <c r="E422" s="14"/>
      <c r="F422" s="15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</row>
    <row r="423" ht="13.8" spans="1:17">
      <c r="A423" s="11"/>
      <c r="B423" s="12"/>
      <c r="C423" s="13"/>
      <c r="D423" s="13"/>
      <c r="E423" s="14"/>
      <c r="F423" s="15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</row>
    <row r="424" ht="13.8" spans="1:17">
      <c r="A424" s="11"/>
      <c r="B424" s="12"/>
      <c r="C424" s="13"/>
      <c r="D424" s="13"/>
      <c r="E424" s="14"/>
      <c r="F424" s="15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</row>
    <row r="425" ht="13.8" spans="1:17">
      <c r="A425" s="11"/>
      <c r="B425" s="12"/>
      <c r="C425" s="13"/>
      <c r="D425" s="13"/>
      <c r="E425" s="14"/>
      <c r="F425" s="15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</row>
    <row r="426" ht="13.8" spans="1:17">
      <c r="A426" s="11"/>
      <c r="B426" s="12"/>
      <c r="C426" s="13"/>
      <c r="D426" s="13"/>
      <c r="E426" s="14"/>
      <c r="F426" s="15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</row>
    <row r="427" ht="13.8" spans="1:17">
      <c r="A427" s="11"/>
      <c r="B427" s="12"/>
      <c r="C427" s="13"/>
      <c r="D427" s="13"/>
      <c r="E427" s="14"/>
      <c r="F427" s="15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</row>
    <row r="428" ht="13.8" spans="1:17">
      <c r="A428" s="11"/>
      <c r="B428" s="12"/>
      <c r="C428" s="13"/>
      <c r="D428" s="13"/>
      <c r="E428" s="14"/>
      <c r="F428" s="15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</row>
    <row r="429" ht="13.8" spans="1:17">
      <c r="A429" s="11"/>
      <c r="B429" s="12"/>
      <c r="C429" s="13"/>
      <c r="D429" s="13"/>
      <c r="E429" s="14"/>
      <c r="F429" s="15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</row>
    <row r="430" ht="13.8" spans="1:17">
      <c r="A430" s="11"/>
      <c r="B430" s="12"/>
      <c r="C430" s="13"/>
      <c r="D430" s="13"/>
      <c r="E430" s="14"/>
      <c r="F430" s="15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</row>
    <row r="431" ht="13.8" spans="1:17">
      <c r="A431" s="11"/>
      <c r="B431" s="12"/>
      <c r="C431" s="13"/>
      <c r="D431" s="13"/>
      <c r="E431" s="14"/>
      <c r="F431" s="15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</row>
    <row r="432" ht="13.8" spans="1:17">
      <c r="A432" s="11"/>
      <c r="B432" s="12"/>
      <c r="C432" s="13"/>
      <c r="D432" s="13"/>
      <c r="E432" s="14"/>
      <c r="F432" s="15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</row>
    <row r="433" ht="13.8" spans="1:17">
      <c r="A433" s="11"/>
      <c r="B433" s="12"/>
      <c r="C433" s="13"/>
      <c r="D433" s="13"/>
      <c r="E433" s="14"/>
      <c r="F433" s="15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</row>
    <row r="434" ht="13.8" spans="1:17">
      <c r="A434" s="11"/>
      <c r="B434" s="12"/>
      <c r="C434" s="13"/>
      <c r="D434" s="13"/>
      <c r="E434" s="14"/>
      <c r="F434" s="15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</row>
    <row r="435" ht="13.8" spans="1:17">
      <c r="A435" s="11"/>
      <c r="B435" s="12"/>
      <c r="C435" s="13"/>
      <c r="D435" s="13"/>
      <c r="E435" s="14"/>
      <c r="F435" s="15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</row>
    <row r="436" ht="13.8" spans="1:17">
      <c r="A436" s="11"/>
      <c r="B436" s="12"/>
      <c r="C436" s="13"/>
      <c r="D436" s="13"/>
      <c r="E436" s="14"/>
      <c r="F436" s="15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</row>
    <row r="437" ht="13.8" spans="1:17">
      <c r="A437" s="11"/>
      <c r="B437" s="12"/>
      <c r="C437" s="13"/>
      <c r="D437" s="13"/>
      <c r="E437" s="14"/>
      <c r="F437" s="15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</row>
    <row r="438" ht="13.8" spans="1:17">
      <c r="A438" s="11"/>
      <c r="B438" s="12"/>
      <c r="C438" s="13"/>
      <c r="D438" s="13"/>
      <c r="E438" s="14"/>
      <c r="F438" s="15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</row>
    <row r="439" ht="13.8" spans="1:17">
      <c r="A439" s="11"/>
      <c r="B439" s="12"/>
      <c r="C439" s="13"/>
      <c r="D439" s="13"/>
      <c r="E439" s="14"/>
      <c r="F439" s="15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</row>
    <row r="440" ht="13.8" spans="1:17">
      <c r="A440" s="11"/>
      <c r="B440" s="12"/>
      <c r="C440" s="13"/>
      <c r="D440" s="13"/>
      <c r="E440" s="14"/>
      <c r="F440" s="15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</row>
    <row r="441" ht="13.8" spans="1:17">
      <c r="A441" s="11"/>
      <c r="B441" s="12"/>
      <c r="C441" s="13"/>
      <c r="D441" s="13"/>
      <c r="E441" s="14"/>
      <c r="F441" s="15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</row>
    <row r="442" ht="13.8" spans="1:17">
      <c r="A442" s="11"/>
      <c r="B442" s="12"/>
      <c r="C442" s="13"/>
      <c r="D442" s="13"/>
      <c r="E442" s="14"/>
      <c r="F442" s="15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</row>
    <row r="443" ht="13.8" spans="1:17">
      <c r="A443" s="11"/>
      <c r="B443" s="12"/>
      <c r="C443" s="13"/>
      <c r="D443" s="13"/>
      <c r="E443" s="14"/>
      <c r="F443" s="15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</row>
    <row r="444" ht="13.8" spans="1:17">
      <c r="A444" s="11"/>
      <c r="B444" s="12"/>
      <c r="C444" s="13"/>
      <c r="D444" s="13"/>
      <c r="E444" s="14"/>
      <c r="F444" s="15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</row>
    <row r="445" ht="13.8" spans="1:17">
      <c r="A445" s="11"/>
      <c r="B445" s="12"/>
      <c r="C445" s="13"/>
      <c r="D445" s="13"/>
      <c r="E445" s="14"/>
      <c r="F445" s="15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</row>
    <row r="446" ht="13.8" spans="1:17">
      <c r="A446" s="11"/>
      <c r="B446" s="12"/>
      <c r="C446" s="13"/>
      <c r="D446" s="13"/>
      <c r="E446" s="14"/>
      <c r="F446" s="15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</row>
    <row r="447" ht="13.8" spans="1:17">
      <c r="A447" s="11"/>
      <c r="B447" s="12"/>
      <c r="C447" s="13"/>
      <c r="D447" s="13"/>
      <c r="E447" s="14"/>
      <c r="F447" s="15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</row>
    <row r="448" ht="13.8" spans="1:17">
      <c r="A448" s="11"/>
      <c r="B448" s="12"/>
      <c r="C448" s="13"/>
      <c r="D448" s="13"/>
      <c r="E448" s="14"/>
      <c r="F448" s="15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</row>
    <row r="449" ht="13.8" spans="1:17">
      <c r="A449" s="11"/>
      <c r="B449" s="12"/>
      <c r="C449" s="13"/>
      <c r="D449" s="13"/>
      <c r="E449" s="14"/>
      <c r="F449" s="15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</row>
    <row r="450" ht="13.8" spans="1:17">
      <c r="A450" s="11"/>
      <c r="B450" s="12"/>
      <c r="C450" s="13"/>
      <c r="D450" s="13"/>
      <c r="E450" s="14"/>
      <c r="F450" s="15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</row>
    <row r="451" ht="13.8" spans="1:17">
      <c r="A451" s="11"/>
      <c r="B451" s="12"/>
      <c r="C451" s="13"/>
      <c r="D451" s="13"/>
      <c r="E451" s="14"/>
      <c r="F451" s="15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</row>
    <row r="452" ht="13.8" spans="1:17">
      <c r="A452" s="11"/>
      <c r="B452" s="12"/>
      <c r="C452" s="13"/>
      <c r="D452" s="13"/>
      <c r="E452" s="14"/>
      <c r="F452" s="15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</row>
    <row r="453" ht="13.8" spans="1:17">
      <c r="A453" s="11"/>
      <c r="B453" s="12"/>
      <c r="C453" s="13"/>
      <c r="D453" s="13"/>
      <c r="E453" s="14"/>
      <c r="F453" s="15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</row>
    <row r="454" ht="13.8" spans="1:17">
      <c r="A454" s="11"/>
      <c r="B454" s="12"/>
      <c r="C454" s="13"/>
      <c r="D454" s="13"/>
      <c r="E454" s="14"/>
      <c r="F454" s="15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</row>
    <row r="455" ht="13.8" spans="1:17">
      <c r="A455" s="11"/>
      <c r="B455" s="12"/>
      <c r="C455" s="13"/>
      <c r="D455" s="13"/>
      <c r="E455" s="14"/>
      <c r="F455" s="15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</row>
    <row r="456" ht="13.8" spans="1:17">
      <c r="A456" s="11"/>
      <c r="B456" s="12"/>
      <c r="C456" s="13"/>
      <c r="D456" s="13"/>
      <c r="E456" s="14"/>
      <c r="F456" s="15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</row>
    <row r="457" ht="13.8" spans="1:17">
      <c r="A457" s="11"/>
      <c r="B457" s="12"/>
      <c r="C457" s="13"/>
      <c r="D457" s="13"/>
      <c r="E457" s="14"/>
      <c r="F457" s="15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</row>
    <row r="458" ht="13.8" spans="1:17">
      <c r="A458" s="11"/>
      <c r="B458" s="12"/>
      <c r="C458" s="13"/>
      <c r="D458" s="13"/>
      <c r="E458" s="14"/>
      <c r="F458" s="15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</row>
    <row r="459" ht="13.8" spans="1:17">
      <c r="A459" s="11"/>
      <c r="B459" s="12"/>
      <c r="C459" s="13"/>
      <c r="D459" s="13"/>
      <c r="E459" s="14"/>
      <c r="F459" s="15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</row>
    <row r="460" ht="13.8" spans="1:17">
      <c r="A460" s="11"/>
      <c r="B460" s="12"/>
      <c r="C460" s="13"/>
      <c r="D460" s="13"/>
      <c r="E460" s="14"/>
      <c r="F460" s="15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</row>
    <row r="461" ht="13.8" spans="1:17">
      <c r="A461" s="11"/>
      <c r="B461" s="12"/>
      <c r="C461" s="13"/>
      <c r="D461" s="13"/>
      <c r="E461" s="14"/>
      <c r="F461" s="15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</row>
    <row r="462" ht="13.8" spans="1:17">
      <c r="A462" s="11"/>
      <c r="B462" s="12"/>
      <c r="C462" s="13"/>
      <c r="D462" s="13"/>
      <c r="E462" s="14"/>
      <c r="F462" s="15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</row>
    <row r="463" ht="13.8" spans="1:17">
      <c r="A463" s="11"/>
      <c r="B463" s="12"/>
      <c r="C463" s="13"/>
      <c r="D463" s="13"/>
      <c r="E463" s="14"/>
      <c r="F463" s="15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</row>
    <row r="464" ht="13.8" spans="1:17">
      <c r="A464" s="11"/>
      <c r="B464" s="12"/>
      <c r="C464" s="13"/>
      <c r="D464" s="13"/>
      <c r="E464" s="14"/>
      <c r="F464" s="15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</row>
    <row r="465" ht="13.8" spans="1:17">
      <c r="A465" s="11"/>
      <c r="B465" s="12"/>
      <c r="C465" s="13"/>
      <c r="D465" s="13"/>
      <c r="E465" s="14"/>
      <c r="F465" s="15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</row>
    <row r="466" ht="13.8" spans="1:17">
      <c r="A466" s="11"/>
      <c r="B466" s="12"/>
      <c r="C466" s="13"/>
      <c r="D466" s="13"/>
      <c r="E466" s="14"/>
      <c r="F466" s="15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</row>
    <row r="467" ht="13.8" spans="1:17">
      <c r="A467" s="11"/>
      <c r="B467" s="12"/>
      <c r="C467" s="13"/>
      <c r="D467" s="13"/>
      <c r="E467" s="14"/>
      <c r="F467" s="15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</row>
    <row r="468" ht="13.8" spans="1:17">
      <c r="A468" s="11"/>
      <c r="B468" s="12"/>
      <c r="C468" s="13"/>
      <c r="D468" s="13"/>
      <c r="E468" s="14"/>
      <c r="F468" s="15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</row>
    <row r="469" ht="13.8" spans="1:17">
      <c r="A469" s="11"/>
      <c r="B469" s="12"/>
      <c r="C469" s="13"/>
      <c r="D469" s="13"/>
      <c r="E469" s="14"/>
      <c r="F469" s="15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</row>
    <row r="470" ht="13.8" spans="1:17">
      <c r="A470" s="11"/>
      <c r="B470" s="12"/>
      <c r="C470" s="13"/>
      <c r="D470" s="13"/>
      <c r="E470" s="14"/>
      <c r="F470" s="15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</row>
    <row r="471" ht="13.8" spans="1:17">
      <c r="A471" s="11"/>
      <c r="B471" s="12"/>
      <c r="C471" s="13"/>
      <c r="D471" s="13"/>
      <c r="E471" s="14"/>
      <c r="F471" s="15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</row>
    <row r="472" ht="13.8" spans="1:17">
      <c r="A472" s="11"/>
      <c r="B472" s="12"/>
      <c r="C472" s="13"/>
      <c r="D472" s="13"/>
      <c r="E472" s="14"/>
      <c r="F472" s="15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</row>
    <row r="473" ht="13.8" spans="1:17">
      <c r="A473" s="11"/>
      <c r="B473" s="12"/>
      <c r="C473" s="13"/>
      <c r="D473" s="13"/>
      <c r="E473" s="14"/>
      <c r="F473" s="15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</row>
    <row r="474" ht="13.8" spans="1:17">
      <c r="A474" s="11"/>
      <c r="B474" s="12"/>
      <c r="C474" s="13"/>
      <c r="D474" s="13"/>
      <c r="E474" s="14"/>
      <c r="F474" s="15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</row>
    <row r="475" ht="13.8" spans="1:17">
      <c r="A475" s="11"/>
      <c r="B475" s="12"/>
      <c r="C475" s="13"/>
      <c r="D475" s="13"/>
      <c r="E475" s="14"/>
      <c r="F475" s="15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</row>
    <row r="476" ht="13.8" spans="1:17">
      <c r="A476" s="11"/>
      <c r="B476" s="12"/>
      <c r="C476" s="13"/>
      <c r="D476" s="13"/>
      <c r="E476" s="14"/>
      <c r="F476" s="15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</row>
    <row r="477" ht="13.8" spans="1:17">
      <c r="A477" s="11"/>
      <c r="B477" s="12"/>
      <c r="C477" s="13"/>
      <c r="D477" s="13"/>
      <c r="E477" s="14"/>
      <c r="F477" s="15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</row>
    <row r="478" ht="13.8" spans="1:17">
      <c r="A478" s="11"/>
      <c r="B478" s="12"/>
      <c r="C478" s="13"/>
      <c r="D478" s="13"/>
      <c r="E478" s="14"/>
      <c r="F478" s="15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</row>
    <row r="479" ht="13.8" spans="1:17">
      <c r="A479" s="11"/>
      <c r="B479" s="12"/>
      <c r="C479" s="13"/>
      <c r="D479" s="13"/>
      <c r="E479" s="14"/>
      <c r="F479" s="15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</row>
    <row r="480" ht="13.8" spans="1:17">
      <c r="A480" s="11"/>
      <c r="B480" s="12"/>
      <c r="C480" s="13"/>
      <c r="D480" s="13"/>
      <c r="E480" s="14"/>
      <c r="F480" s="15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</row>
    <row r="481" ht="13.8" spans="1:17">
      <c r="A481" s="11"/>
      <c r="B481" s="12"/>
      <c r="C481" s="13"/>
      <c r="D481" s="13"/>
      <c r="E481" s="14"/>
      <c r="F481" s="15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</row>
    <row r="482" ht="13.8" spans="1:17">
      <c r="A482" s="11"/>
      <c r="B482" s="12"/>
      <c r="C482" s="13"/>
      <c r="D482" s="13"/>
      <c r="E482" s="14"/>
      <c r="F482" s="15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</row>
    <row r="483" ht="13.8" spans="1:17">
      <c r="A483" s="11"/>
      <c r="B483" s="12"/>
      <c r="C483" s="13"/>
      <c r="D483" s="13"/>
      <c r="E483" s="14"/>
      <c r="F483" s="15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</row>
    <row r="484" ht="13.8" spans="1:17">
      <c r="A484" s="11"/>
      <c r="B484" s="12"/>
      <c r="C484" s="13"/>
      <c r="D484" s="13"/>
      <c r="E484" s="14"/>
      <c r="F484" s="15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</row>
    <row r="485" ht="13.8" spans="1:17">
      <c r="A485" s="11"/>
      <c r="B485" s="12"/>
      <c r="C485" s="13"/>
      <c r="D485" s="13"/>
      <c r="E485" s="14"/>
      <c r="F485" s="15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</row>
    <row r="486" ht="13.8" spans="1:17">
      <c r="A486" s="11"/>
      <c r="B486" s="12"/>
      <c r="C486" s="13"/>
      <c r="D486" s="13"/>
      <c r="E486" s="14"/>
      <c r="F486" s="15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</row>
    <row r="487" ht="13.8" spans="1:17">
      <c r="A487" s="11"/>
      <c r="B487" s="12"/>
      <c r="C487" s="13"/>
      <c r="D487" s="13"/>
      <c r="E487" s="14"/>
      <c r="F487" s="15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</row>
    <row r="488" ht="13.8" spans="1:17">
      <c r="A488" s="11"/>
      <c r="B488" s="12"/>
      <c r="C488" s="13"/>
      <c r="D488" s="13"/>
      <c r="E488" s="14"/>
      <c r="F488" s="15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</row>
    <row r="489" ht="13.8" spans="1:17">
      <c r="A489" s="11"/>
      <c r="B489" s="12"/>
      <c r="C489" s="13"/>
      <c r="D489" s="13"/>
      <c r="E489" s="14"/>
      <c r="F489" s="15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</row>
    <row r="490" ht="13.8" spans="1:17">
      <c r="A490" s="11"/>
      <c r="B490" s="12"/>
      <c r="C490" s="13"/>
      <c r="D490" s="13"/>
      <c r="E490" s="14"/>
      <c r="F490" s="15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</row>
    <row r="491" ht="13.8" spans="1:17">
      <c r="A491" s="11"/>
      <c r="B491" s="12"/>
      <c r="C491" s="13"/>
      <c r="D491" s="13"/>
      <c r="E491" s="14"/>
      <c r="F491" s="15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</row>
    <row r="492" ht="13.8" spans="1:17">
      <c r="A492" s="11"/>
      <c r="B492" s="12"/>
      <c r="C492" s="13"/>
      <c r="D492" s="13"/>
      <c r="E492" s="14"/>
      <c r="F492" s="15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</row>
    <row r="493" ht="13.8" spans="1:17">
      <c r="A493" s="11"/>
      <c r="B493" s="12"/>
      <c r="C493" s="13"/>
      <c r="D493" s="13"/>
      <c r="E493" s="14"/>
      <c r="F493" s="15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</row>
    <row r="494" ht="13.8" spans="1:17">
      <c r="A494" s="11"/>
      <c r="B494" s="12"/>
      <c r="C494" s="13"/>
      <c r="D494" s="13"/>
      <c r="E494" s="14"/>
      <c r="F494" s="15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</row>
    <row r="495" ht="13.8" spans="1:17">
      <c r="A495" s="11"/>
      <c r="B495" s="12"/>
      <c r="C495" s="13"/>
      <c r="D495" s="13"/>
      <c r="E495" s="14"/>
      <c r="F495" s="15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</row>
    <row r="496" ht="13.8" spans="1:17">
      <c r="A496" s="11"/>
      <c r="B496" s="12"/>
      <c r="C496" s="13"/>
      <c r="D496" s="13"/>
      <c r="E496" s="14"/>
      <c r="F496" s="15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</row>
    <row r="497" ht="13.8" spans="1:17">
      <c r="A497" s="11"/>
      <c r="B497" s="12"/>
      <c r="C497" s="13"/>
      <c r="D497" s="13"/>
      <c r="E497" s="14"/>
      <c r="F497" s="15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</row>
    <row r="498" ht="13.8" spans="1:17">
      <c r="A498" s="11"/>
      <c r="B498" s="12"/>
      <c r="C498" s="13"/>
      <c r="D498" s="13"/>
      <c r="E498" s="14"/>
      <c r="F498" s="15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</row>
    <row r="499" ht="13.8" spans="1:17">
      <c r="A499" s="11"/>
      <c r="B499" s="12"/>
      <c r="C499" s="13"/>
      <c r="D499" s="13"/>
      <c r="E499" s="14"/>
      <c r="F499" s="15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</row>
    <row r="500" ht="13.8" spans="1:17">
      <c r="A500" s="11"/>
      <c r="B500" s="12"/>
      <c r="C500" s="13"/>
      <c r="D500" s="13"/>
      <c r="E500" s="14"/>
      <c r="F500" s="15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</row>
    <row r="501" ht="13.8" spans="1:17">
      <c r="A501" s="11"/>
      <c r="B501" s="12"/>
      <c r="C501" s="13"/>
      <c r="D501" s="13"/>
      <c r="E501" s="14"/>
      <c r="F501" s="15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</row>
    <row r="502" ht="13.8" spans="1:17">
      <c r="A502" s="11"/>
      <c r="B502" s="12"/>
      <c r="C502" s="13"/>
      <c r="D502" s="13"/>
      <c r="E502" s="14"/>
      <c r="F502" s="15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</row>
    <row r="503" ht="13.8" spans="1:17">
      <c r="A503" s="11"/>
      <c r="B503" s="12"/>
      <c r="C503" s="13"/>
      <c r="D503" s="13"/>
      <c r="E503" s="14"/>
      <c r="F503" s="15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</row>
    <row r="504" ht="13.8" spans="1:17">
      <c r="A504" s="11"/>
      <c r="B504" s="12"/>
      <c r="C504" s="13"/>
      <c r="D504" s="13"/>
      <c r="E504" s="14"/>
      <c r="F504" s="15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</row>
    <row r="505" ht="13.8" spans="1:17">
      <c r="A505" s="11"/>
      <c r="B505" s="12"/>
      <c r="C505" s="13"/>
      <c r="D505" s="13"/>
      <c r="E505" s="14"/>
      <c r="F505" s="15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</row>
    <row r="506" ht="13.8" spans="1:17">
      <c r="A506" s="11"/>
      <c r="B506" s="12"/>
      <c r="C506" s="13"/>
      <c r="D506" s="13"/>
      <c r="E506" s="14"/>
      <c r="F506" s="15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</row>
    <row r="507" ht="13.8" spans="1:17">
      <c r="A507" s="11"/>
      <c r="B507" s="12"/>
      <c r="C507" s="13"/>
      <c r="D507" s="13"/>
      <c r="E507" s="14"/>
      <c r="F507" s="15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</row>
    <row r="508" ht="13.8" spans="1:17">
      <c r="A508" s="11"/>
      <c r="B508" s="12"/>
      <c r="C508" s="13"/>
      <c r="D508" s="13"/>
      <c r="E508" s="14"/>
      <c r="F508" s="15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</row>
    <row r="509" ht="13.8" spans="1:17">
      <c r="A509" s="11"/>
      <c r="B509" s="12"/>
      <c r="C509" s="13"/>
      <c r="D509" s="13"/>
      <c r="E509" s="14"/>
      <c r="F509" s="15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</row>
    <row r="510" ht="13.8" spans="1:17">
      <c r="A510" s="11"/>
      <c r="B510" s="12"/>
      <c r="C510" s="13"/>
      <c r="D510" s="13"/>
      <c r="E510" s="14"/>
      <c r="F510" s="15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</row>
    <row r="511" ht="13.8" spans="1:17">
      <c r="A511" s="11"/>
      <c r="B511" s="12"/>
      <c r="C511" s="13"/>
      <c r="D511" s="13"/>
      <c r="E511" s="14"/>
      <c r="F511" s="15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</row>
    <row r="512" ht="13.8" spans="1:17">
      <c r="A512" s="11"/>
      <c r="B512" s="12"/>
      <c r="C512" s="13"/>
      <c r="D512" s="13"/>
      <c r="E512" s="14"/>
      <c r="F512" s="15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</row>
    <row r="513" ht="13.8" spans="1:17">
      <c r="A513" s="11"/>
      <c r="B513" s="12"/>
      <c r="C513" s="13"/>
      <c r="D513" s="13"/>
      <c r="E513" s="14"/>
      <c r="F513" s="15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</row>
    <row r="514" ht="13.8" spans="1:17">
      <c r="A514" s="11"/>
      <c r="B514" s="12"/>
      <c r="C514" s="13"/>
      <c r="D514" s="13"/>
      <c r="E514" s="14"/>
      <c r="F514" s="15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</row>
    <row r="515" ht="13.8" spans="1:17">
      <c r="A515" s="11"/>
      <c r="B515" s="12"/>
      <c r="C515" s="13"/>
      <c r="D515" s="13"/>
      <c r="E515" s="14"/>
      <c r="F515" s="15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</row>
    <row r="516" ht="13.8" spans="1:17">
      <c r="A516" s="11"/>
      <c r="B516" s="12"/>
      <c r="C516" s="13"/>
      <c r="D516" s="13"/>
      <c r="E516" s="14"/>
      <c r="F516" s="15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</row>
    <row r="517" ht="13.8" spans="1:17">
      <c r="A517" s="11"/>
      <c r="B517" s="12"/>
      <c r="C517" s="13"/>
      <c r="D517" s="13"/>
      <c r="E517" s="14"/>
      <c r="F517" s="15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</row>
    <row r="518" ht="13.8" spans="1:17">
      <c r="A518" s="11"/>
      <c r="B518" s="12"/>
      <c r="C518" s="13"/>
      <c r="D518" s="13"/>
      <c r="E518" s="14"/>
      <c r="F518" s="15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</row>
    <row r="519" ht="13.8" spans="1:17">
      <c r="A519" s="11"/>
      <c r="B519" s="12"/>
      <c r="C519" s="13"/>
      <c r="D519" s="13"/>
      <c r="E519" s="14"/>
      <c r="F519" s="15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</row>
    <row r="520" ht="13.8" spans="1:17">
      <c r="A520" s="11"/>
      <c r="B520" s="12"/>
      <c r="C520" s="13"/>
      <c r="D520" s="13"/>
      <c r="E520" s="14"/>
      <c r="F520" s="15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</row>
    <row r="521" ht="13.8" spans="1:17">
      <c r="A521" s="11"/>
      <c r="B521" s="12"/>
      <c r="C521" s="13"/>
      <c r="D521" s="13"/>
      <c r="E521" s="14"/>
      <c r="F521" s="15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</row>
    <row r="522" ht="13.8" spans="1:17">
      <c r="A522" s="11"/>
      <c r="B522" s="12"/>
      <c r="C522" s="13"/>
      <c r="D522" s="13"/>
      <c r="E522" s="14"/>
      <c r="F522" s="15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</row>
    <row r="523" ht="13.8" spans="1:17">
      <c r="A523" s="11"/>
      <c r="B523" s="12"/>
      <c r="C523" s="13"/>
      <c r="D523" s="13"/>
      <c r="E523" s="14"/>
      <c r="F523" s="15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</row>
    <row r="524" ht="13.8" spans="1:17">
      <c r="A524" s="11"/>
      <c r="B524" s="12"/>
      <c r="C524" s="13"/>
      <c r="D524" s="13"/>
      <c r="E524" s="14"/>
      <c r="F524" s="15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</row>
    <row r="525" ht="13.8" spans="1:17">
      <c r="A525" s="11"/>
      <c r="B525" s="12"/>
      <c r="C525" s="13"/>
      <c r="D525" s="13"/>
      <c r="E525" s="14"/>
      <c r="F525" s="15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</row>
    <row r="526" ht="13.8" spans="1:17">
      <c r="A526" s="11"/>
      <c r="B526" s="12"/>
      <c r="C526" s="13"/>
      <c r="D526" s="13"/>
      <c r="E526" s="14"/>
      <c r="F526" s="15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</row>
    <row r="527" ht="13.8" spans="1:17">
      <c r="A527" s="11"/>
      <c r="B527" s="12"/>
      <c r="C527" s="13"/>
      <c r="D527" s="13"/>
      <c r="E527" s="14"/>
      <c r="F527" s="15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</row>
    <row r="528" ht="13.8" spans="1:17">
      <c r="A528" s="11"/>
      <c r="B528" s="12"/>
      <c r="C528" s="13"/>
      <c r="D528" s="13"/>
      <c r="E528" s="14"/>
      <c r="F528" s="15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</row>
    <row r="529" ht="13.8" spans="1:17">
      <c r="A529" s="11"/>
      <c r="B529" s="12"/>
      <c r="C529" s="13"/>
      <c r="D529" s="13"/>
      <c r="E529" s="14"/>
      <c r="F529" s="15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</row>
    <row r="530" ht="13.8" spans="1:17">
      <c r="A530" s="11"/>
      <c r="B530" s="12"/>
      <c r="C530" s="13"/>
      <c r="D530" s="13"/>
      <c r="E530" s="14"/>
      <c r="F530" s="15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</row>
    <row r="531" ht="13.8" spans="1:17">
      <c r="A531" s="11"/>
      <c r="B531" s="12"/>
      <c r="C531" s="13"/>
      <c r="D531" s="13"/>
      <c r="E531" s="14"/>
      <c r="F531" s="15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</row>
    <row r="532" ht="13.8" spans="1:17">
      <c r="A532" s="11"/>
      <c r="B532" s="12"/>
      <c r="C532" s="13"/>
      <c r="D532" s="13"/>
      <c r="E532" s="14"/>
      <c r="F532" s="15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</row>
    <row r="533" ht="13.8" spans="1:17">
      <c r="A533" s="11"/>
      <c r="B533" s="12"/>
      <c r="C533" s="13"/>
      <c r="D533" s="13"/>
      <c r="E533" s="14"/>
      <c r="F533" s="15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</row>
    <row r="534" ht="13.8" spans="1:17">
      <c r="A534" s="11"/>
      <c r="B534" s="12"/>
      <c r="C534" s="13"/>
      <c r="D534" s="13"/>
      <c r="E534" s="14"/>
      <c r="F534" s="15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</row>
    <row r="535" ht="13.8" spans="1:17">
      <c r="A535" s="11"/>
      <c r="B535" s="12"/>
      <c r="C535" s="13"/>
      <c r="D535" s="13"/>
      <c r="E535" s="14"/>
      <c r="F535" s="15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</row>
    <row r="536" ht="13.8" spans="1:17">
      <c r="A536" s="11"/>
      <c r="B536" s="12"/>
      <c r="C536" s="13"/>
      <c r="D536" s="13"/>
      <c r="E536" s="14"/>
      <c r="F536" s="15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</row>
    <row r="537" ht="13.8" spans="1:17">
      <c r="A537" s="11"/>
      <c r="B537" s="12"/>
      <c r="C537" s="13"/>
      <c r="D537" s="13"/>
      <c r="E537" s="14"/>
      <c r="F537" s="15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</row>
    <row r="538" ht="13.8" spans="1:17">
      <c r="A538" s="11"/>
      <c r="B538" s="12"/>
      <c r="C538" s="13"/>
      <c r="D538" s="13"/>
      <c r="E538" s="14"/>
      <c r="F538" s="15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</row>
    <row r="539" ht="13.8" spans="1:17">
      <c r="A539" s="11"/>
      <c r="B539" s="12"/>
      <c r="C539" s="13"/>
      <c r="D539" s="13"/>
      <c r="E539" s="14"/>
      <c r="F539" s="15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</row>
    <row r="540" ht="13.8" spans="1:17">
      <c r="A540" s="11"/>
      <c r="B540" s="12"/>
      <c r="C540" s="13"/>
      <c r="D540" s="13"/>
      <c r="E540" s="14"/>
      <c r="F540" s="15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</row>
    <row r="541" ht="13.8" spans="1:17">
      <c r="A541" s="11"/>
      <c r="B541" s="12"/>
      <c r="C541" s="13"/>
      <c r="D541" s="13"/>
      <c r="E541" s="14"/>
      <c r="F541" s="15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</row>
    <row r="542" ht="13.8" spans="1:17">
      <c r="A542" s="11"/>
      <c r="B542" s="12"/>
      <c r="C542" s="13"/>
      <c r="D542" s="13"/>
      <c r="E542" s="14"/>
      <c r="F542" s="15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</row>
    <row r="543" ht="13.8" spans="1:17">
      <c r="A543" s="11"/>
      <c r="B543" s="12"/>
      <c r="C543" s="13"/>
      <c r="D543" s="13"/>
      <c r="E543" s="14"/>
      <c r="F543" s="15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</row>
    <row r="544" ht="13.8" spans="1:17">
      <c r="A544" s="11"/>
      <c r="B544" s="12"/>
      <c r="C544" s="13"/>
      <c r="D544" s="13"/>
      <c r="E544" s="14"/>
      <c r="F544" s="15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</row>
    <row r="545" ht="13.8" spans="1:17">
      <c r="A545" s="11"/>
      <c r="B545" s="12"/>
      <c r="C545" s="13"/>
      <c r="D545" s="13"/>
      <c r="E545" s="14"/>
      <c r="F545" s="15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</row>
    <row r="546" ht="13.8" spans="1:17">
      <c r="A546" s="11"/>
      <c r="B546" s="12"/>
      <c r="C546" s="13"/>
      <c r="D546" s="13"/>
      <c r="E546" s="14"/>
      <c r="F546" s="15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</row>
    <row r="547" ht="13.8" spans="1:17">
      <c r="A547" s="11"/>
      <c r="B547" s="12"/>
      <c r="C547" s="13"/>
      <c r="D547" s="13"/>
      <c r="E547" s="14"/>
      <c r="F547" s="15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</row>
    <row r="548" ht="13.8" spans="1:17">
      <c r="A548" s="11"/>
      <c r="B548" s="12"/>
      <c r="C548" s="13"/>
      <c r="D548" s="13"/>
      <c r="E548" s="14"/>
      <c r="F548" s="15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</row>
    <row r="549" ht="13.8" spans="1:17">
      <c r="A549" s="11"/>
      <c r="B549" s="12"/>
      <c r="C549" s="13"/>
      <c r="D549" s="13"/>
      <c r="E549" s="14"/>
      <c r="F549" s="15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</row>
    <row r="550" ht="13.8" spans="1:17">
      <c r="A550" s="11"/>
      <c r="B550" s="12"/>
      <c r="C550" s="13"/>
      <c r="D550" s="13"/>
      <c r="E550" s="14"/>
      <c r="F550" s="15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</row>
    <row r="551" ht="13.8" spans="1:17">
      <c r="A551" s="11"/>
      <c r="B551" s="12"/>
      <c r="C551" s="13"/>
      <c r="D551" s="13"/>
      <c r="E551" s="14"/>
      <c r="F551" s="15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</row>
    <row r="552" ht="13.8" spans="1:17">
      <c r="A552" s="11"/>
      <c r="B552" s="12"/>
      <c r="C552" s="13"/>
      <c r="D552" s="13"/>
      <c r="E552" s="14"/>
      <c r="F552" s="15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</row>
    <row r="553" ht="13.8" spans="1:17">
      <c r="A553" s="11"/>
      <c r="B553" s="12"/>
      <c r="C553" s="13"/>
      <c r="D553" s="13"/>
      <c r="E553" s="14"/>
      <c r="F553" s="15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</row>
    <row r="554" ht="13.8" spans="1:17">
      <c r="A554" s="11"/>
      <c r="B554" s="12"/>
      <c r="C554" s="13"/>
      <c r="D554" s="13"/>
      <c r="E554" s="14"/>
      <c r="F554" s="15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</row>
    <row r="555" ht="13.8" spans="1:17">
      <c r="A555" s="11"/>
      <c r="B555" s="12"/>
      <c r="C555" s="13"/>
      <c r="D555" s="13"/>
      <c r="E555" s="14"/>
      <c r="F555" s="15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</row>
    <row r="556" ht="13.8" spans="1:17">
      <c r="A556" s="11"/>
      <c r="B556" s="12"/>
      <c r="C556" s="13"/>
      <c r="D556" s="13"/>
      <c r="E556" s="14"/>
      <c r="F556" s="15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</row>
    <row r="557" ht="13.8" spans="1:17">
      <c r="A557" s="11"/>
      <c r="B557" s="12"/>
      <c r="C557" s="13"/>
      <c r="D557" s="13"/>
      <c r="E557" s="14"/>
      <c r="F557" s="15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</row>
    <row r="558" ht="13.8" spans="1:17">
      <c r="A558" s="11"/>
      <c r="B558" s="12"/>
      <c r="C558" s="13"/>
      <c r="D558" s="13"/>
      <c r="E558" s="14"/>
      <c r="F558" s="15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</row>
    <row r="559" ht="13.8" spans="1:17">
      <c r="A559" s="11"/>
      <c r="B559" s="12"/>
      <c r="C559" s="13"/>
      <c r="D559" s="13"/>
      <c r="E559" s="14"/>
      <c r="F559" s="15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</row>
    <row r="560" ht="13.8" spans="1:17">
      <c r="A560" s="11"/>
      <c r="B560" s="12"/>
      <c r="C560" s="13"/>
      <c r="D560" s="13"/>
      <c r="E560" s="14"/>
      <c r="F560" s="15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</row>
    <row r="561" ht="13.8" spans="1:17">
      <c r="A561" s="11"/>
      <c r="B561" s="12"/>
      <c r="C561" s="13"/>
      <c r="D561" s="13"/>
      <c r="E561" s="14"/>
      <c r="F561" s="15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</row>
    <row r="562" ht="13.8" spans="1:17">
      <c r="A562" s="11"/>
      <c r="B562" s="12"/>
      <c r="C562" s="13"/>
      <c r="D562" s="13"/>
      <c r="E562" s="14"/>
      <c r="F562" s="15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</row>
    <row r="563" ht="13.8" spans="1:17">
      <c r="A563" s="11"/>
      <c r="B563" s="12"/>
      <c r="C563" s="13"/>
      <c r="D563" s="13"/>
      <c r="E563" s="14"/>
      <c r="F563" s="15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</row>
    <row r="564" ht="13.8" spans="1:17">
      <c r="A564" s="11"/>
      <c r="B564" s="12"/>
      <c r="C564" s="13"/>
      <c r="D564" s="13"/>
      <c r="E564" s="14"/>
      <c r="F564" s="15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</row>
    <row r="565" ht="13.8" spans="1:17">
      <c r="A565" s="11"/>
      <c r="B565" s="12"/>
      <c r="C565" s="13"/>
      <c r="D565" s="13"/>
      <c r="E565" s="14"/>
      <c r="F565" s="15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</row>
    <row r="566" ht="13.8" spans="1:17">
      <c r="A566" s="11"/>
      <c r="B566" s="12"/>
      <c r="C566" s="13"/>
      <c r="D566" s="13"/>
      <c r="E566" s="14"/>
      <c r="F566" s="15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</row>
    <row r="567" ht="13.8" spans="1:17">
      <c r="A567" s="11"/>
      <c r="B567" s="12"/>
      <c r="C567" s="13"/>
      <c r="D567" s="13"/>
      <c r="E567" s="14"/>
      <c r="F567" s="15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</row>
    <row r="568" ht="13.8" spans="1:17">
      <c r="A568" s="11"/>
      <c r="B568" s="12"/>
      <c r="C568" s="13"/>
      <c r="D568" s="13"/>
      <c r="E568" s="14"/>
      <c r="F568" s="15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</row>
    <row r="569" ht="13.8" spans="1:17">
      <c r="A569" s="11"/>
      <c r="B569" s="12"/>
      <c r="C569" s="13"/>
      <c r="D569" s="13"/>
      <c r="E569" s="14"/>
      <c r="F569" s="15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</row>
    <row r="570" ht="13.8" spans="1:17">
      <c r="A570" s="11"/>
      <c r="B570" s="12"/>
      <c r="C570" s="13"/>
      <c r="D570" s="13"/>
      <c r="E570" s="14"/>
      <c r="F570" s="15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</row>
    <row r="571" ht="13.8" spans="1:17">
      <c r="A571" s="11"/>
      <c r="B571" s="12"/>
      <c r="C571" s="13"/>
      <c r="D571" s="13"/>
      <c r="E571" s="14"/>
      <c r="F571" s="15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</row>
    <row r="572" ht="13.8" spans="1:17">
      <c r="A572" s="11"/>
      <c r="B572" s="12"/>
      <c r="C572" s="13"/>
      <c r="D572" s="13"/>
      <c r="E572" s="14"/>
      <c r="F572" s="15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</row>
    <row r="573" ht="13.8" spans="1:17">
      <c r="A573" s="11"/>
      <c r="B573" s="12"/>
      <c r="C573" s="13"/>
      <c r="D573" s="13"/>
      <c r="E573" s="14"/>
      <c r="F573" s="15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</row>
    <row r="574" ht="13.8" spans="1:17">
      <c r="A574" s="11"/>
      <c r="B574" s="12"/>
      <c r="C574" s="13"/>
      <c r="D574" s="13"/>
      <c r="E574" s="14"/>
      <c r="F574" s="15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</row>
    <row r="575" ht="13.8" spans="1:17">
      <c r="A575" s="11"/>
      <c r="B575" s="12"/>
      <c r="C575" s="13"/>
      <c r="D575" s="13"/>
      <c r="E575" s="14"/>
      <c r="F575" s="15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</row>
    <row r="576" ht="13.8" spans="1:17">
      <c r="A576" s="11"/>
      <c r="B576" s="12"/>
      <c r="C576" s="13"/>
      <c r="D576" s="13"/>
      <c r="E576" s="14"/>
      <c r="F576" s="15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</row>
    <row r="577" ht="13.8" spans="1:17">
      <c r="A577" s="11"/>
      <c r="B577" s="12"/>
      <c r="C577" s="13"/>
      <c r="D577" s="13"/>
      <c r="E577" s="14"/>
      <c r="F577" s="15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</row>
    <row r="578" ht="13.8" spans="1:17">
      <c r="A578" s="11"/>
      <c r="B578" s="12"/>
      <c r="C578" s="13"/>
      <c r="D578" s="13"/>
      <c r="E578" s="14"/>
      <c r="F578" s="15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</row>
    <row r="579" ht="13.8" spans="1:17">
      <c r="A579" s="11"/>
      <c r="B579" s="12"/>
      <c r="C579" s="13"/>
      <c r="D579" s="13"/>
      <c r="E579" s="14"/>
      <c r="F579" s="15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</row>
    <row r="580" ht="13.8" spans="1:17">
      <c r="A580" s="11"/>
      <c r="B580" s="12"/>
      <c r="C580" s="13"/>
      <c r="D580" s="13"/>
      <c r="E580" s="14"/>
      <c r="F580" s="15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</row>
    <row r="581" ht="13.8" spans="1:17">
      <c r="A581" s="11"/>
      <c r="B581" s="12"/>
      <c r="C581" s="13"/>
      <c r="D581" s="13"/>
      <c r="E581" s="14"/>
      <c r="F581" s="15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</row>
    <row r="582" ht="13.8" spans="1:17">
      <c r="A582" s="11"/>
      <c r="B582" s="12"/>
      <c r="C582" s="13"/>
      <c r="D582" s="13"/>
      <c r="E582" s="14"/>
      <c r="F582" s="15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</row>
    <row r="583" ht="13.8" spans="1:17">
      <c r="A583" s="11"/>
      <c r="B583" s="12"/>
      <c r="C583" s="13"/>
      <c r="D583" s="13"/>
      <c r="E583" s="14"/>
      <c r="F583" s="15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</row>
    <row r="584" ht="13.8" spans="1:17">
      <c r="A584" s="11"/>
      <c r="B584" s="12"/>
      <c r="C584" s="13"/>
      <c r="D584" s="13"/>
      <c r="E584" s="14"/>
      <c r="F584" s="15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</row>
    <row r="585" ht="13.8" spans="1:17">
      <c r="A585" s="11"/>
      <c r="B585" s="12"/>
      <c r="C585" s="13"/>
      <c r="D585" s="13"/>
      <c r="E585" s="14"/>
      <c r="F585" s="15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</row>
    <row r="586" ht="13.8" spans="1:17">
      <c r="A586" s="11"/>
      <c r="B586" s="12"/>
      <c r="C586" s="13"/>
      <c r="D586" s="13"/>
      <c r="E586" s="14"/>
      <c r="F586" s="15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</row>
    <row r="587" ht="13.8" spans="1:17">
      <c r="A587" s="11"/>
      <c r="B587" s="12"/>
      <c r="C587" s="13"/>
      <c r="D587" s="13"/>
      <c r="E587" s="14"/>
      <c r="F587" s="15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</row>
    <row r="588" ht="13.8" spans="1:17">
      <c r="A588" s="11"/>
      <c r="B588" s="12"/>
      <c r="C588" s="13"/>
      <c r="D588" s="13"/>
      <c r="E588" s="14"/>
      <c r="F588" s="15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</row>
    <row r="589" ht="13.8" spans="1:17">
      <c r="A589" s="11"/>
      <c r="B589" s="12"/>
      <c r="C589" s="13"/>
      <c r="D589" s="13"/>
      <c r="E589" s="14"/>
      <c r="F589" s="15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</row>
    <row r="590" ht="13.8" spans="1:17">
      <c r="A590" s="11"/>
      <c r="B590" s="12"/>
      <c r="C590" s="13"/>
      <c r="D590" s="13"/>
      <c r="E590" s="14"/>
      <c r="F590" s="15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</row>
    <row r="591" ht="13.8" spans="1:17">
      <c r="A591" s="11"/>
      <c r="B591" s="12"/>
      <c r="C591" s="13"/>
      <c r="D591" s="13"/>
      <c r="E591" s="14"/>
      <c r="F591" s="15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</row>
    <row r="592" ht="13.8" spans="1:17">
      <c r="A592" s="11"/>
      <c r="B592" s="12"/>
      <c r="C592" s="13"/>
      <c r="D592" s="13"/>
      <c r="E592" s="14"/>
      <c r="F592" s="15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</row>
    <row r="593" ht="13.8" spans="1:17">
      <c r="A593" s="11"/>
      <c r="B593" s="12"/>
      <c r="C593" s="13"/>
      <c r="D593" s="13"/>
      <c r="E593" s="14"/>
      <c r="F593" s="15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</row>
    <row r="594" ht="13.8" spans="1:17">
      <c r="A594" s="11"/>
      <c r="B594" s="12"/>
      <c r="C594" s="13"/>
      <c r="D594" s="13"/>
      <c r="E594" s="14"/>
      <c r="F594" s="15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</row>
    <row r="595" ht="13.8" spans="1:17">
      <c r="A595" s="11"/>
      <c r="B595" s="12"/>
      <c r="C595" s="13"/>
      <c r="D595" s="13"/>
      <c r="E595" s="14"/>
      <c r="F595" s="15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</row>
    <row r="596" ht="13.8" spans="1:17">
      <c r="A596" s="11"/>
      <c r="B596" s="12"/>
      <c r="C596" s="13"/>
      <c r="D596" s="13"/>
      <c r="E596" s="14"/>
      <c r="F596" s="15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</row>
    <row r="597" ht="13.8" spans="1:17">
      <c r="A597" s="11"/>
      <c r="B597" s="12"/>
      <c r="C597" s="13"/>
      <c r="D597" s="13"/>
      <c r="E597" s="14"/>
      <c r="F597" s="15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</row>
    <row r="598" ht="13.8" spans="1:17">
      <c r="A598" s="11"/>
      <c r="B598" s="12"/>
      <c r="C598" s="13"/>
      <c r="D598" s="13"/>
      <c r="E598" s="14"/>
      <c r="F598" s="15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</row>
    <row r="599" ht="13.8" spans="1:17">
      <c r="A599" s="11"/>
      <c r="B599" s="12"/>
      <c r="C599" s="13"/>
      <c r="D599" s="13"/>
      <c r="E599" s="14"/>
      <c r="F599" s="15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</row>
    <row r="600" ht="13.8" spans="1:17">
      <c r="A600" s="11"/>
      <c r="B600" s="12"/>
      <c r="C600" s="13"/>
      <c r="D600" s="13"/>
      <c r="E600" s="14"/>
      <c r="F600" s="15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</row>
    <row r="601" ht="13.8" spans="1:17">
      <c r="A601" s="11"/>
      <c r="B601" s="12"/>
      <c r="C601" s="13"/>
      <c r="D601" s="13"/>
      <c r="E601" s="14"/>
      <c r="F601" s="15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</row>
    <row r="602" ht="13.8" spans="1:17">
      <c r="A602" s="11"/>
      <c r="B602" s="12"/>
      <c r="C602" s="13"/>
      <c r="D602" s="13"/>
      <c r="E602" s="14"/>
      <c r="F602" s="15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</row>
    <row r="603" ht="13.8" spans="1:17">
      <c r="A603" s="11"/>
      <c r="B603" s="12"/>
      <c r="C603" s="13"/>
      <c r="D603" s="13"/>
      <c r="E603" s="14"/>
      <c r="F603" s="15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</row>
    <row r="604" ht="13.8" spans="1:17">
      <c r="A604" s="11"/>
      <c r="B604" s="12"/>
      <c r="C604" s="13"/>
      <c r="D604" s="13"/>
      <c r="E604" s="14"/>
      <c r="F604" s="15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</row>
    <row r="605" ht="13.8" spans="1:17">
      <c r="A605" s="11"/>
      <c r="B605" s="12"/>
      <c r="C605" s="13"/>
      <c r="D605" s="13"/>
      <c r="E605" s="14"/>
      <c r="F605" s="15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</row>
    <row r="606" ht="13.8" spans="1:17">
      <c r="A606" s="11"/>
      <c r="B606" s="12"/>
      <c r="C606" s="13"/>
      <c r="D606" s="13"/>
      <c r="E606" s="14"/>
      <c r="F606" s="15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</row>
    <row r="607" ht="13.8" spans="1:17">
      <c r="A607" s="11"/>
      <c r="B607" s="12"/>
      <c r="C607" s="13"/>
      <c r="D607" s="13"/>
      <c r="E607" s="14"/>
      <c r="F607" s="15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</row>
    <row r="608" ht="13.8" spans="1:17">
      <c r="A608" s="11"/>
      <c r="B608" s="12"/>
      <c r="C608" s="13"/>
      <c r="D608" s="13"/>
      <c r="E608" s="14"/>
      <c r="F608" s="15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</row>
    <row r="609" ht="13.8" spans="1:17">
      <c r="A609" s="11"/>
      <c r="B609" s="12"/>
      <c r="C609" s="13"/>
      <c r="D609" s="13"/>
      <c r="E609" s="14"/>
      <c r="F609" s="15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</row>
    <row r="610" ht="13.8" spans="1:17">
      <c r="A610" s="11"/>
      <c r="B610" s="12"/>
      <c r="C610" s="13"/>
      <c r="D610" s="13"/>
      <c r="E610" s="14"/>
      <c r="F610" s="15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</row>
    <row r="611" ht="13.8" spans="1:17">
      <c r="A611" s="11"/>
      <c r="B611" s="12"/>
      <c r="C611" s="13"/>
      <c r="D611" s="13"/>
      <c r="E611" s="14"/>
      <c r="F611" s="15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</row>
    <row r="612" ht="13.8" spans="1:17">
      <c r="A612" s="11"/>
      <c r="B612" s="12"/>
      <c r="C612" s="13"/>
      <c r="D612" s="13"/>
      <c r="E612" s="14"/>
      <c r="F612" s="15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</row>
    <row r="613" ht="13.8" spans="1:17">
      <c r="A613" s="11"/>
      <c r="B613" s="12"/>
      <c r="C613" s="13"/>
      <c r="D613" s="13"/>
      <c r="E613" s="14"/>
      <c r="F613" s="15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</row>
    <row r="614" ht="13.8" spans="1:17">
      <c r="A614" s="11"/>
      <c r="B614" s="12"/>
      <c r="C614" s="13"/>
      <c r="D614" s="13"/>
      <c r="E614" s="14"/>
      <c r="F614" s="15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</row>
    <row r="615" ht="13.8" spans="1:17">
      <c r="A615" s="11"/>
      <c r="B615" s="12"/>
      <c r="C615" s="13"/>
      <c r="D615" s="13"/>
      <c r="E615" s="14"/>
      <c r="F615" s="15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</row>
    <row r="616" ht="13.8" spans="1:17">
      <c r="A616" s="11"/>
      <c r="B616" s="12"/>
      <c r="C616" s="13"/>
      <c r="D616" s="13"/>
      <c r="E616" s="14"/>
      <c r="F616" s="15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</row>
    <row r="617" ht="13.8" spans="1:17">
      <c r="A617" s="11"/>
      <c r="B617" s="12"/>
      <c r="C617" s="13"/>
      <c r="D617" s="13"/>
      <c r="E617" s="14"/>
      <c r="F617" s="15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</row>
    <row r="618" ht="13.8" spans="1:17">
      <c r="A618" s="11"/>
      <c r="B618" s="12"/>
      <c r="C618" s="13"/>
      <c r="D618" s="13"/>
      <c r="E618" s="14"/>
      <c r="F618" s="15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</row>
    <row r="619" ht="13.8" spans="1:17">
      <c r="A619" s="11"/>
      <c r="B619" s="12"/>
      <c r="C619" s="13"/>
      <c r="D619" s="13"/>
      <c r="E619" s="14"/>
      <c r="F619" s="15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</row>
    <row r="620" ht="13.8" spans="1:17">
      <c r="A620" s="11"/>
      <c r="B620" s="12"/>
      <c r="C620" s="13"/>
      <c r="D620" s="13"/>
      <c r="E620" s="14"/>
      <c r="F620" s="15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</row>
    <row r="621" ht="13.8" spans="1:17">
      <c r="A621" s="11"/>
      <c r="B621" s="12"/>
      <c r="C621" s="13"/>
      <c r="D621" s="13"/>
      <c r="E621" s="14"/>
      <c r="F621" s="15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</row>
    <row r="622" ht="13.8" spans="1:17">
      <c r="A622" s="11"/>
      <c r="B622" s="12"/>
      <c r="C622" s="13"/>
      <c r="D622" s="13"/>
      <c r="E622" s="14"/>
      <c r="F622" s="15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</row>
    <row r="623" ht="13.8" spans="1:17">
      <c r="A623" s="11"/>
      <c r="B623" s="12"/>
      <c r="C623" s="13"/>
      <c r="D623" s="13"/>
      <c r="E623" s="14"/>
      <c r="F623" s="15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</row>
    <row r="624" ht="13.8" spans="1:17">
      <c r="A624" s="11"/>
      <c r="B624" s="12"/>
      <c r="C624" s="13"/>
      <c r="D624" s="13"/>
      <c r="E624" s="14"/>
      <c r="F624" s="15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</row>
    <row r="625" ht="13.8" spans="1:17">
      <c r="A625" s="11"/>
      <c r="B625" s="12"/>
      <c r="C625" s="13"/>
      <c r="D625" s="13"/>
      <c r="E625" s="14"/>
      <c r="F625" s="15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</row>
    <row r="626" ht="13.8" spans="1:17">
      <c r="A626" s="11"/>
      <c r="B626" s="12"/>
      <c r="C626" s="13"/>
      <c r="D626" s="13"/>
      <c r="E626" s="14"/>
      <c r="F626" s="15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</row>
    <row r="627" ht="13.8" spans="1:17">
      <c r="A627" s="11"/>
      <c r="B627" s="12"/>
      <c r="C627" s="13"/>
      <c r="D627" s="13"/>
      <c r="E627" s="14"/>
      <c r="F627" s="15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</row>
    <row r="628" ht="13.8" spans="1:17">
      <c r="A628" s="11"/>
      <c r="B628" s="12"/>
      <c r="C628" s="13"/>
      <c r="D628" s="13"/>
      <c r="E628" s="14"/>
      <c r="F628" s="15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</row>
    <row r="629" ht="13.8" spans="1:17">
      <c r="A629" s="11"/>
      <c r="B629" s="12"/>
      <c r="C629" s="13"/>
      <c r="D629" s="13"/>
      <c r="E629" s="14"/>
      <c r="F629" s="15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</row>
    <row r="630" ht="13.8" spans="1:17">
      <c r="A630" s="11"/>
      <c r="B630" s="12"/>
      <c r="C630" s="13"/>
      <c r="D630" s="13"/>
      <c r="E630" s="14"/>
      <c r="F630" s="15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</row>
    <row r="631" ht="13.8" spans="1:17">
      <c r="A631" s="11"/>
      <c r="B631" s="12"/>
      <c r="C631" s="13"/>
      <c r="D631" s="13"/>
      <c r="E631" s="14"/>
      <c r="F631" s="15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</row>
    <row r="632" ht="13.8" spans="1:17">
      <c r="A632" s="11"/>
      <c r="B632" s="12"/>
      <c r="C632" s="13"/>
      <c r="D632" s="13"/>
      <c r="E632" s="14"/>
      <c r="F632" s="15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</row>
    <row r="633" ht="13.8" spans="1:17">
      <c r="A633" s="11"/>
      <c r="B633" s="12"/>
      <c r="C633" s="13"/>
      <c r="D633" s="13"/>
      <c r="E633" s="14"/>
      <c r="F633" s="15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</row>
    <row r="634" ht="13.8" spans="1:17">
      <c r="A634" s="11"/>
      <c r="B634" s="12"/>
      <c r="C634" s="13"/>
      <c r="D634" s="13"/>
      <c r="E634" s="14"/>
      <c r="F634" s="15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</row>
    <row r="635" ht="13.8" spans="1:17">
      <c r="A635" s="11"/>
      <c r="B635" s="12"/>
      <c r="C635" s="13"/>
      <c r="D635" s="13"/>
      <c r="E635" s="14"/>
      <c r="F635" s="15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</row>
    <row r="636" ht="13.8" spans="1:17">
      <c r="A636" s="11"/>
      <c r="B636" s="12"/>
      <c r="C636" s="13"/>
      <c r="D636" s="13"/>
      <c r="E636" s="14"/>
      <c r="F636" s="15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</row>
    <row r="637" ht="13.8" spans="1:17">
      <c r="A637" s="11"/>
      <c r="B637" s="12"/>
      <c r="C637" s="13"/>
      <c r="D637" s="13"/>
      <c r="E637" s="14"/>
      <c r="F637" s="15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</row>
    <row r="638" ht="13.8" spans="1:17">
      <c r="A638" s="11"/>
      <c r="B638" s="12"/>
      <c r="C638" s="13"/>
      <c r="D638" s="13"/>
      <c r="E638" s="14"/>
      <c r="F638" s="15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</row>
    <row r="639" ht="13.8" spans="1:17">
      <c r="A639" s="11"/>
      <c r="B639" s="12"/>
      <c r="C639" s="13"/>
      <c r="D639" s="13"/>
      <c r="E639" s="14"/>
      <c r="F639" s="15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</row>
    <row r="640" ht="13.8" spans="1:17">
      <c r="A640" s="11"/>
      <c r="B640" s="12"/>
      <c r="C640" s="13"/>
      <c r="D640" s="13"/>
      <c r="E640" s="14"/>
      <c r="F640" s="15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</row>
    <row r="641" ht="13.8" spans="1:17">
      <c r="A641" s="11"/>
      <c r="B641" s="12"/>
      <c r="C641" s="13"/>
      <c r="D641" s="13"/>
      <c r="E641" s="14"/>
      <c r="F641" s="15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</row>
    <row r="642" ht="13.8" spans="1:17">
      <c r="A642" s="11"/>
      <c r="B642" s="12"/>
      <c r="C642" s="13"/>
      <c r="D642" s="13"/>
      <c r="E642" s="14"/>
      <c r="F642" s="15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</row>
    <row r="643" ht="13.8" spans="1:17">
      <c r="A643" s="11"/>
      <c r="B643" s="12"/>
      <c r="C643" s="13"/>
      <c r="D643" s="13"/>
      <c r="E643" s="14"/>
      <c r="F643" s="15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</row>
    <row r="644" ht="13.8" spans="1:17">
      <c r="A644" s="11"/>
      <c r="B644" s="12"/>
      <c r="C644" s="13"/>
      <c r="D644" s="13"/>
      <c r="E644" s="14"/>
      <c r="F644" s="15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</row>
    <row r="645" ht="13.8" spans="1:17">
      <c r="A645" s="11"/>
      <c r="B645" s="12"/>
      <c r="C645" s="13"/>
      <c r="D645" s="13"/>
      <c r="E645" s="14"/>
      <c r="F645" s="15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</row>
    <row r="646" ht="13.8" spans="1:17">
      <c r="A646" s="11"/>
      <c r="B646" s="12"/>
      <c r="C646" s="13"/>
      <c r="D646" s="13"/>
      <c r="E646" s="14"/>
      <c r="F646" s="15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</row>
    <row r="647" ht="13.8" spans="1:17">
      <c r="A647" s="11"/>
      <c r="B647" s="12"/>
      <c r="C647" s="13"/>
      <c r="D647" s="13"/>
      <c r="E647" s="14"/>
      <c r="F647" s="15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</row>
    <row r="648" ht="13.8" spans="1:17">
      <c r="A648" s="11"/>
      <c r="B648" s="12"/>
      <c r="C648" s="13"/>
      <c r="D648" s="13"/>
      <c r="E648" s="14"/>
      <c r="F648" s="15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</row>
    <row r="649" ht="13.8" spans="1:17">
      <c r="A649" s="11"/>
      <c r="B649" s="12"/>
      <c r="C649" s="13"/>
      <c r="D649" s="13"/>
      <c r="E649" s="14"/>
      <c r="F649" s="15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</row>
    <row r="650" ht="13.8" spans="1:17">
      <c r="A650" s="11"/>
      <c r="B650" s="12"/>
      <c r="C650" s="13"/>
      <c r="D650" s="13"/>
      <c r="E650" s="14"/>
      <c r="F650" s="15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</row>
    <row r="651" ht="13.8" spans="1:17">
      <c r="A651" s="11"/>
      <c r="B651" s="12"/>
      <c r="C651" s="13"/>
      <c r="D651" s="13"/>
      <c r="E651" s="14"/>
      <c r="F651" s="15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</row>
    <row r="652" ht="13.8" spans="1:17">
      <c r="A652" s="11"/>
      <c r="B652" s="12"/>
      <c r="C652" s="13"/>
      <c r="D652" s="13"/>
      <c r="E652" s="14"/>
      <c r="F652" s="15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</row>
    <row r="653" ht="13.8" spans="1:17">
      <c r="A653" s="11"/>
      <c r="B653" s="12"/>
      <c r="C653" s="13"/>
      <c r="D653" s="13"/>
      <c r="E653" s="14"/>
      <c r="F653" s="15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</row>
    <row r="654" ht="13.8" spans="1:17">
      <c r="A654" s="11"/>
      <c r="B654" s="12"/>
      <c r="C654" s="13"/>
      <c r="D654" s="13"/>
      <c r="E654" s="14"/>
      <c r="F654" s="15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</row>
    <row r="655" ht="13.8" spans="1:17">
      <c r="A655" s="11"/>
      <c r="B655" s="12"/>
      <c r="C655" s="13"/>
      <c r="D655" s="13"/>
      <c r="E655" s="14"/>
      <c r="F655" s="15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</row>
    <row r="656" ht="13.8" spans="1:17">
      <c r="A656" s="11"/>
      <c r="B656" s="12"/>
      <c r="C656" s="13"/>
      <c r="D656" s="13"/>
      <c r="E656" s="14"/>
      <c r="F656" s="15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</row>
    <row r="657" ht="13.8" spans="1:17">
      <c r="A657" s="11"/>
      <c r="B657" s="12"/>
      <c r="C657" s="13"/>
      <c r="D657" s="13"/>
      <c r="E657" s="14"/>
      <c r="F657" s="15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</row>
    <row r="658" ht="13.8" spans="1:17">
      <c r="A658" s="11"/>
      <c r="B658" s="12"/>
      <c r="C658" s="13"/>
      <c r="D658" s="13"/>
      <c r="E658" s="14"/>
      <c r="F658" s="15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</row>
    <row r="659" ht="13.8" spans="1:17">
      <c r="A659" s="11"/>
      <c r="B659" s="12"/>
      <c r="C659" s="13"/>
      <c r="D659" s="13"/>
      <c r="E659" s="14"/>
      <c r="F659" s="15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</row>
    <row r="660" ht="13.8" spans="1:17">
      <c r="A660" s="11"/>
      <c r="B660" s="12"/>
      <c r="C660" s="13"/>
      <c r="D660" s="13"/>
      <c r="E660" s="14"/>
      <c r="F660" s="15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</row>
    <row r="661" ht="13.8" spans="1:17">
      <c r="A661" s="11"/>
      <c r="B661" s="12"/>
      <c r="C661" s="13"/>
      <c r="D661" s="13"/>
      <c r="E661" s="14"/>
      <c r="F661" s="15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</row>
    <row r="662" ht="13.8" spans="1:17">
      <c r="A662" s="11"/>
      <c r="B662" s="12"/>
      <c r="C662" s="13"/>
      <c r="D662" s="13"/>
      <c r="E662" s="14"/>
      <c r="F662" s="15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</row>
    <row r="663" ht="13.8" spans="1:17">
      <c r="A663" s="11"/>
      <c r="B663" s="12"/>
      <c r="C663" s="13"/>
      <c r="D663" s="13"/>
      <c r="E663" s="14"/>
      <c r="F663" s="15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</row>
    <row r="664" ht="13.8" spans="1:17">
      <c r="A664" s="11"/>
      <c r="B664" s="12"/>
      <c r="C664" s="13"/>
      <c r="D664" s="13"/>
      <c r="E664" s="14"/>
      <c r="F664" s="15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</row>
    <row r="665" ht="13.8" spans="1:17">
      <c r="A665" s="11"/>
      <c r="B665" s="12"/>
      <c r="C665" s="13"/>
      <c r="D665" s="13"/>
      <c r="E665" s="14"/>
      <c r="F665" s="15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</row>
    <row r="666" ht="13.8" spans="1:17">
      <c r="A666" s="11"/>
      <c r="B666" s="12"/>
      <c r="C666" s="13"/>
      <c r="D666" s="13"/>
      <c r="E666" s="14"/>
      <c r="F666" s="15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</row>
    <row r="667" ht="13.8" spans="1:17">
      <c r="A667" s="11"/>
      <c r="B667" s="12"/>
      <c r="C667" s="13"/>
      <c r="D667" s="13"/>
      <c r="E667" s="14"/>
      <c r="F667" s="15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</row>
    <row r="668" ht="13.8" spans="1:17">
      <c r="A668" s="11"/>
      <c r="B668" s="12"/>
      <c r="C668" s="13"/>
      <c r="D668" s="13"/>
      <c r="E668" s="14"/>
      <c r="F668" s="15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</row>
    <row r="669" ht="13.8" spans="1:17">
      <c r="A669" s="11"/>
      <c r="B669" s="12"/>
      <c r="C669" s="13"/>
      <c r="D669" s="13"/>
      <c r="E669" s="14"/>
      <c r="F669" s="15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</row>
    <row r="670" ht="13.8" spans="1:17">
      <c r="A670" s="11"/>
      <c r="B670" s="12"/>
      <c r="C670" s="13"/>
      <c r="D670" s="13"/>
      <c r="E670" s="14"/>
      <c r="F670" s="15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</row>
    <row r="671" ht="13.8" spans="1:17">
      <c r="A671" s="11"/>
      <c r="B671" s="12"/>
      <c r="C671" s="13"/>
      <c r="D671" s="13"/>
      <c r="E671" s="14"/>
      <c r="F671" s="15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</row>
    <row r="672" ht="13.8" spans="1:17">
      <c r="A672" s="11"/>
      <c r="B672" s="12"/>
      <c r="C672" s="13"/>
      <c r="D672" s="13"/>
      <c r="E672" s="14"/>
      <c r="F672" s="15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</row>
    <row r="673" ht="13.8" spans="1:17">
      <c r="A673" s="11"/>
      <c r="B673" s="12"/>
      <c r="C673" s="13"/>
      <c r="D673" s="13"/>
      <c r="E673" s="14"/>
      <c r="F673" s="15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</row>
    <row r="674" ht="13.8" spans="1:17">
      <c r="A674" s="11"/>
      <c r="B674" s="12"/>
      <c r="C674" s="13"/>
      <c r="D674" s="13"/>
      <c r="E674" s="14"/>
      <c r="F674" s="15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</row>
    <row r="675" ht="13.8" spans="1:17">
      <c r="A675" s="11"/>
      <c r="B675" s="12"/>
      <c r="C675" s="13"/>
      <c r="D675" s="13"/>
      <c r="E675" s="14"/>
      <c r="F675" s="15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</row>
    <row r="676" ht="13.8" spans="1:17">
      <c r="A676" s="11"/>
      <c r="B676" s="12"/>
      <c r="C676" s="13"/>
      <c r="D676" s="13"/>
      <c r="E676" s="14"/>
      <c r="F676" s="15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</row>
    <row r="677" ht="13.8" spans="1:17">
      <c r="A677" s="11"/>
      <c r="B677" s="12"/>
      <c r="C677" s="13"/>
      <c r="D677" s="13"/>
      <c r="E677" s="14"/>
      <c r="F677" s="15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</row>
    <row r="678" ht="13.8" spans="1:17">
      <c r="A678" s="11"/>
      <c r="B678" s="12"/>
      <c r="C678" s="13"/>
      <c r="D678" s="13"/>
      <c r="E678" s="14"/>
      <c r="F678" s="15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</row>
    <row r="679" ht="13.8" spans="1:17">
      <c r="A679" s="11"/>
      <c r="B679" s="12"/>
      <c r="C679" s="13"/>
      <c r="D679" s="13"/>
      <c r="E679" s="14"/>
      <c r="F679" s="15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</row>
    <row r="680" ht="13.8" spans="1:17">
      <c r="A680" s="11"/>
      <c r="B680" s="12"/>
      <c r="C680" s="13"/>
      <c r="D680" s="13"/>
      <c r="E680" s="14"/>
      <c r="F680" s="15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</row>
    <row r="681" ht="13.8" spans="1:17">
      <c r="A681" s="11"/>
      <c r="B681" s="12"/>
      <c r="C681" s="13"/>
      <c r="D681" s="13"/>
      <c r="E681" s="14"/>
      <c r="F681" s="15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</row>
    <row r="682" ht="13.8" spans="1:17">
      <c r="A682" s="11"/>
      <c r="B682" s="12"/>
      <c r="C682" s="13"/>
      <c r="D682" s="13"/>
      <c r="E682" s="14"/>
      <c r="F682" s="15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</row>
    <row r="683" ht="13.8" spans="1:17">
      <c r="A683" s="11"/>
      <c r="B683" s="12"/>
      <c r="C683" s="13"/>
      <c r="D683" s="13"/>
      <c r="E683" s="14"/>
      <c r="F683" s="15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</row>
    <row r="684" ht="13.8" spans="1:17">
      <c r="A684" s="11"/>
      <c r="B684" s="12"/>
      <c r="C684" s="13"/>
      <c r="D684" s="13"/>
      <c r="E684" s="14"/>
      <c r="F684" s="15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</row>
    <row r="685" ht="13.8" spans="1:17">
      <c r="A685" s="11"/>
      <c r="B685" s="12"/>
      <c r="C685" s="13"/>
      <c r="D685" s="13"/>
      <c r="E685" s="14"/>
      <c r="F685" s="15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</row>
    <row r="686" ht="13.8" spans="1:17">
      <c r="A686" s="11"/>
      <c r="B686" s="12"/>
      <c r="C686" s="13"/>
      <c r="D686" s="13"/>
      <c r="E686" s="14"/>
      <c r="F686" s="15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</row>
    <row r="687" ht="13.8" spans="1:17">
      <c r="A687" s="11"/>
      <c r="B687" s="12"/>
      <c r="C687" s="13"/>
      <c r="D687" s="13"/>
      <c r="E687" s="14"/>
      <c r="F687" s="15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</row>
    <row r="688" ht="13.8" spans="1:17">
      <c r="A688" s="11"/>
      <c r="B688" s="12"/>
      <c r="C688" s="13"/>
      <c r="D688" s="13"/>
      <c r="E688" s="14"/>
      <c r="F688" s="15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</row>
    <row r="689" ht="13.8" spans="1:17">
      <c r="A689" s="11"/>
      <c r="B689" s="12"/>
      <c r="C689" s="13"/>
      <c r="D689" s="13"/>
      <c r="E689" s="14"/>
      <c r="F689" s="15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</row>
    <row r="690" ht="13.8" spans="1:17">
      <c r="A690" s="11"/>
      <c r="B690" s="12"/>
      <c r="C690" s="13"/>
      <c r="D690" s="13"/>
      <c r="E690" s="14"/>
      <c r="F690" s="15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</row>
    <row r="691" ht="13.8" spans="1:17">
      <c r="A691" s="11"/>
      <c r="B691" s="12"/>
      <c r="C691" s="13"/>
      <c r="D691" s="13"/>
      <c r="E691" s="14"/>
      <c r="F691" s="15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</row>
    <row r="692" ht="13.8" spans="1:17">
      <c r="A692" s="11"/>
      <c r="B692" s="12"/>
      <c r="C692" s="13"/>
      <c r="D692" s="13"/>
      <c r="E692" s="14"/>
      <c r="F692" s="15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</row>
    <row r="693" ht="13.8" spans="1:17">
      <c r="A693" s="11"/>
      <c r="B693" s="12"/>
      <c r="C693" s="13"/>
      <c r="D693" s="13"/>
      <c r="E693" s="14"/>
      <c r="F693" s="15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</row>
    <row r="694" ht="13.8" spans="1:17">
      <c r="A694" s="11"/>
      <c r="B694" s="12"/>
      <c r="C694" s="13"/>
      <c r="D694" s="13"/>
      <c r="E694" s="14"/>
      <c r="F694" s="15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</row>
    <row r="695" ht="13.8" spans="1:17">
      <c r="A695" s="11"/>
      <c r="B695" s="12"/>
      <c r="C695" s="13"/>
      <c r="D695" s="13"/>
      <c r="E695" s="14"/>
      <c r="F695" s="15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</row>
    <row r="696" ht="13.8" spans="1:17">
      <c r="A696" s="11"/>
      <c r="B696" s="12"/>
      <c r="C696" s="13"/>
      <c r="D696" s="13"/>
      <c r="E696" s="14"/>
      <c r="F696" s="15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</row>
    <row r="697" ht="13.8" spans="1:17">
      <c r="A697" s="11"/>
      <c r="B697" s="12"/>
      <c r="C697" s="13"/>
      <c r="D697" s="13"/>
      <c r="E697" s="14"/>
      <c r="F697" s="15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</row>
    <row r="698" ht="13.8" spans="1:17">
      <c r="A698" s="11"/>
      <c r="B698" s="12"/>
      <c r="C698" s="13"/>
      <c r="D698" s="13"/>
      <c r="E698" s="14"/>
      <c r="F698" s="15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</row>
    <row r="699" ht="13.8" spans="1:17">
      <c r="A699" s="11"/>
      <c r="B699" s="12"/>
      <c r="C699" s="13"/>
      <c r="D699" s="13"/>
      <c r="E699" s="14"/>
      <c r="F699" s="15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</row>
    <row r="700" ht="13.8" spans="1:17">
      <c r="A700" s="11"/>
      <c r="B700" s="12"/>
      <c r="C700" s="13"/>
      <c r="D700" s="13"/>
      <c r="E700" s="14"/>
      <c r="F700" s="15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</row>
    <row r="701" ht="13.8" spans="1:17">
      <c r="A701" s="11"/>
      <c r="B701" s="12"/>
      <c r="C701" s="13"/>
      <c r="D701" s="13"/>
      <c r="E701" s="14"/>
      <c r="F701" s="15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</row>
    <row r="702" ht="13.8" spans="1:17">
      <c r="A702" s="11"/>
      <c r="B702" s="12"/>
      <c r="C702" s="13"/>
      <c r="D702" s="13"/>
      <c r="E702" s="14"/>
      <c r="F702" s="15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</row>
    <row r="703" ht="13.8" spans="1:17">
      <c r="A703" s="11"/>
      <c r="B703" s="12"/>
      <c r="C703" s="13"/>
      <c r="D703" s="13"/>
      <c r="E703" s="14"/>
      <c r="F703" s="15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</row>
    <row r="704" ht="13.8" spans="1:17">
      <c r="A704" s="11"/>
      <c r="B704" s="12"/>
      <c r="C704" s="13"/>
      <c r="D704" s="13"/>
      <c r="E704" s="14"/>
      <c r="F704" s="15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</row>
    <row r="705" ht="13.8" spans="1:17">
      <c r="A705" s="11"/>
      <c r="B705" s="12"/>
      <c r="C705" s="13"/>
      <c r="D705" s="13"/>
      <c r="E705" s="14"/>
      <c r="F705" s="15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</row>
    <row r="706" ht="13.8" spans="1:17">
      <c r="A706" s="11"/>
      <c r="B706" s="12"/>
      <c r="C706" s="13"/>
      <c r="D706" s="13"/>
      <c r="E706" s="14"/>
      <c r="F706" s="15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</row>
    <row r="707" ht="13.8" spans="1:17">
      <c r="A707" s="11"/>
      <c r="B707" s="12"/>
      <c r="C707" s="13"/>
      <c r="D707" s="13"/>
      <c r="E707" s="14"/>
      <c r="F707" s="15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</row>
    <row r="708" ht="13.8" spans="1:17">
      <c r="A708" s="11"/>
      <c r="B708" s="12"/>
      <c r="C708" s="13"/>
      <c r="D708" s="13"/>
      <c r="E708" s="14"/>
      <c r="F708" s="15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</row>
    <row r="709" ht="13.8" spans="1:17">
      <c r="A709" s="11"/>
      <c r="B709" s="12"/>
      <c r="C709" s="13"/>
      <c r="D709" s="13"/>
      <c r="E709" s="14"/>
      <c r="F709" s="15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</row>
    <row r="710" ht="13.8" spans="1:17">
      <c r="A710" s="11"/>
      <c r="B710" s="12"/>
      <c r="C710" s="13"/>
      <c r="D710" s="13"/>
      <c r="E710" s="14"/>
      <c r="F710" s="15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</row>
    <row r="711" ht="13.8" spans="1:17">
      <c r="A711" s="11"/>
      <c r="B711" s="12"/>
      <c r="C711" s="13"/>
      <c r="D711" s="13"/>
      <c r="E711" s="14"/>
      <c r="F711" s="15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</row>
    <row r="712" ht="13.8" spans="1:17">
      <c r="A712" s="11"/>
      <c r="B712" s="12"/>
      <c r="C712" s="13"/>
      <c r="D712" s="13"/>
      <c r="E712" s="14"/>
      <c r="F712" s="15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</row>
    <row r="713" ht="13.8" spans="1:17">
      <c r="A713" s="11"/>
      <c r="B713" s="12"/>
      <c r="C713" s="13"/>
      <c r="D713" s="13"/>
      <c r="E713" s="14"/>
      <c r="F713" s="15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</row>
    <row r="714" ht="13.8" spans="1:17">
      <c r="A714" s="11"/>
      <c r="B714" s="12"/>
      <c r="C714" s="13"/>
      <c r="D714" s="13"/>
      <c r="E714" s="14"/>
      <c r="F714" s="15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</row>
    <row r="715" ht="13.8" spans="1:17">
      <c r="A715" s="11"/>
      <c r="B715" s="12"/>
      <c r="C715" s="13"/>
      <c r="D715" s="13"/>
      <c r="E715" s="14"/>
      <c r="F715" s="15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</row>
    <row r="716" ht="13.8" spans="1:17">
      <c r="A716" s="11"/>
      <c r="B716" s="12"/>
      <c r="C716" s="13"/>
      <c r="D716" s="13"/>
      <c r="E716" s="14"/>
      <c r="F716" s="15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</row>
    <row r="717" ht="13.8" spans="1:17">
      <c r="A717" s="11"/>
      <c r="B717" s="12"/>
      <c r="C717" s="13"/>
      <c r="D717" s="13"/>
      <c r="E717" s="14"/>
      <c r="F717" s="15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</row>
    <row r="718" ht="13.8" spans="1:17">
      <c r="A718" s="11"/>
      <c r="B718" s="12"/>
      <c r="C718" s="13"/>
      <c r="D718" s="13"/>
      <c r="E718" s="14"/>
      <c r="F718" s="15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</row>
    <row r="719" ht="13.8" spans="1:17">
      <c r="A719" s="11"/>
      <c r="B719" s="12"/>
      <c r="C719" s="13"/>
      <c r="D719" s="13"/>
      <c r="E719" s="14"/>
      <c r="F719" s="15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</row>
    <row r="720" ht="13.8" spans="1:17">
      <c r="A720" s="11"/>
      <c r="B720" s="12"/>
      <c r="C720" s="13"/>
      <c r="D720" s="13"/>
      <c r="E720" s="14"/>
      <c r="F720" s="15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</row>
    <row r="721" ht="13.8" spans="1:17">
      <c r="A721" s="11"/>
      <c r="B721" s="12"/>
      <c r="C721" s="13"/>
      <c r="D721" s="13"/>
      <c r="E721" s="14"/>
      <c r="F721" s="15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</row>
    <row r="722" ht="13.8" spans="1:17">
      <c r="A722" s="11"/>
      <c r="B722" s="12"/>
      <c r="C722" s="13"/>
      <c r="D722" s="13"/>
      <c r="E722" s="14"/>
      <c r="F722" s="15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</row>
    <row r="723" ht="13.8" spans="1:17">
      <c r="A723" s="11"/>
      <c r="B723" s="12"/>
      <c r="C723" s="13"/>
      <c r="D723" s="13"/>
      <c r="E723" s="14"/>
      <c r="F723" s="15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</row>
    <row r="724" ht="13.8" spans="1:17">
      <c r="A724" s="11"/>
      <c r="B724" s="12"/>
      <c r="C724" s="13"/>
      <c r="D724" s="13"/>
      <c r="E724" s="14"/>
      <c r="F724" s="15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</row>
    <row r="725" ht="13.8" spans="1:17">
      <c r="A725" s="11"/>
      <c r="B725" s="12"/>
      <c r="C725" s="13"/>
      <c r="D725" s="13"/>
      <c r="E725" s="14"/>
      <c r="F725" s="15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</row>
    <row r="726" ht="13.8" spans="1:17">
      <c r="A726" s="11"/>
      <c r="B726" s="12"/>
      <c r="C726" s="13"/>
      <c r="D726" s="13"/>
      <c r="E726" s="14"/>
      <c r="F726" s="15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</row>
    <row r="727" ht="13.8" spans="1:17">
      <c r="A727" s="11"/>
      <c r="B727" s="12"/>
      <c r="C727" s="13"/>
      <c r="D727" s="13"/>
      <c r="E727" s="14"/>
      <c r="F727" s="15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</row>
    <row r="728" ht="13.8" spans="1:17">
      <c r="A728" s="11"/>
      <c r="B728" s="12"/>
      <c r="C728" s="13"/>
      <c r="D728" s="13"/>
      <c r="E728" s="14"/>
      <c r="F728" s="15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</row>
    <row r="729" ht="13.8" spans="1:17">
      <c r="A729" s="11"/>
      <c r="B729" s="12"/>
      <c r="C729" s="13"/>
      <c r="D729" s="13"/>
      <c r="E729" s="14"/>
      <c r="F729" s="15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</row>
    <row r="730" ht="13.8" spans="1:17">
      <c r="A730" s="11"/>
      <c r="B730" s="12"/>
      <c r="C730" s="13"/>
      <c r="D730" s="13"/>
      <c r="E730" s="14"/>
      <c r="F730" s="15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</row>
    <row r="731" ht="13.8" spans="1:17">
      <c r="A731" s="11"/>
      <c r="B731" s="12"/>
      <c r="C731" s="13"/>
      <c r="D731" s="13"/>
      <c r="E731" s="14"/>
      <c r="F731" s="15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</row>
    <row r="732" ht="13.8" spans="1:17">
      <c r="A732" s="11"/>
      <c r="B732" s="12"/>
      <c r="C732" s="13"/>
      <c r="D732" s="13"/>
      <c r="E732" s="14"/>
      <c r="F732" s="15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</row>
    <row r="733" ht="13.8" spans="1:17">
      <c r="A733" s="11"/>
      <c r="B733" s="12"/>
      <c r="C733" s="13"/>
      <c r="D733" s="13"/>
      <c r="E733" s="14"/>
      <c r="F733" s="15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</row>
    <row r="734" ht="13.8" spans="1:17">
      <c r="A734" s="11"/>
      <c r="B734" s="12"/>
      <c r="C734" s="13"/>
      <c r="D734" s="13"/>
      <c r="E734" s="14"/>
      <c r="F734" s="15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</row>
    <row r="735" ht="13.8" spans="1:17">
      <c r="A735" s="11"/>
      <c r="B735" s="12"/>
      <c r="C735" s="13"/>
      <c r="D735" s="13"/>
      <c r="E735" s="14"/>
      <c r="F735" s="15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</row>
    <row r="736" ht="13.8" spans="1:17">
      <c r="A736" s="11"/>
      <c r="B736" s="12"/>
      <c r="C736" s="13"/>
      <c r="D736" s="13"/>
      <c r="E736" s="14"/>
      <c r="F736" s="15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</row>
    <row r="737" ht="13.8" spans="1:17">
      <c r="A737" s="11"/>
      <c r="B737" s="12"/>
      <c r="C737" s="13"/>
      <c r="D737" s="13"/>
      <c r="E737" s="14"/>
      <c r="F737" s="15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</row>
    <row r="738" ht="13.8" spans="1:17">
      <c r="A738" s="11"/>
      <c r="B738" s="12"/>
      <c r="C738" s="13"/>
      <c r="D738" s="13"/>
      <c r="E738" s="14"/>
      <c r="F738" s="15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</row>
    <row r="739" ht="13.8" spans="1:17">
      <c r="A739" s="11"/>
      <c r="B739" s="12"/>
      <c r="C739" s="13"/>
      <c r="D739" s="13"/>
      <c r="E739" s="14"/>
      <c r="F739" s="15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</row>
    <row r="740" ht="13.8" spans="1:17">
      <c r="A740" s="11"/>
      <c r="B740" s="12"/>
      <c r="C740" s="13"/>
      <c r="D740" s="13"/>
      <c r="E740" s="14"/>
      <c r="F740" s="15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</row>
    <row r="741" ht="13.8" spans="1:17">
      <c r="A741" s="11"/>
      <c r="B741" s="12"/>
      <c r="C741" s="13"/>
      <c r="D741" s="13"/>
      <c r="E741" s="14"/>
      <c r="F741" s="15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</row>
    <row r="742" ht="13.8" spans="1:17">
      <c r="A742" s="11"/>
      <c r="B742" s="12"/>
      <c r="C742" s="13"/>
      <c r="D742" s="13"/>
      <c r="E742" s="14"/>
      <c r="F742" s="15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</row>
    <row r="743" ht="13.8" spans="1:17">
      <c r="A743" s="11"/>
      <c r="B743" s="12"/>
      <c r="C743" s="13"/>
      <c r="D743" s="13"/>
      <c r="E743" s="14"/>
      <c r="F743" s="15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</row>
    <row r="744" ht="13.8" spans="1:17">
      <c r="A744" s="11"/>
      <c r="B744" s="12"/>
      <c r="C744" s="13"/>
      <c r="D744" s="13"/>
      <c r="E744" s="14"/>
      <c r="F744" s="15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</row>
    <row r="745" ht="13.8" spans="1:17">
      <c r="A745" s="11"/>
      <c r="B745" s="12"/>
      <c r="C745" s="13"/>
      <c r="D745" s="13"/>
      <c r="E745" s="14"/>
      <c r="F745" s="15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</row>
    <row r="746" ht="13.8" spans="1:17">
      <c r="A746" s="11"/>
      <c r="B746" s="12"/>
      <c r="C746" s="13"/>
      <c r="D746" s="13"/>
      <c r="E746" s="14"/>
      <c r="F746" s="15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</row>
    <row r="747" ht="13.8" spans="1:17">
      <c r="A747" s="11"/>
      <c r="B747" s="12"/>
      <c r="C747" s="13"/>
      <c r="D747" s="13"/>
      <c r="E747" s="14"/>
      <c r="F747" s="15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</row>
    <row r="748" ht="13.8" spans="1:17">
      <c r="A748" s="11"/>
      <c r="B748" s="12"/>
      <c r="C748" s="13"/>
      <c r="D748" s="13"/>
      <c r="E748" s="14"/>
      <c r="F748" s="15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</row>
    <row r="749" ht="13.8" spans="1:17">
      <c r="A749" s="11"/>
      <c r="B749" s="12"/>
      <c r="C749" s="13"/>
      <c r="D749" s="13"/>
      <c r="E749" s="14"/>
      <c r="F749" s="15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</row>
    <row r="750" ht="13.8" spans="1:17">
      <c r="A750" s="11"/>
      <c r="B750" s="12"/>
      <c r="C750" s="13"/>
      <c r="D750" s="13"/>
      <c r="E750" s="14"/>
      <c r="F750" s="15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</row>
    <row r="751" ht="13.8" spans="1:17">
      <c r="A751" s="11"/>
      <c r="B751" s="12"/>
      <c r="C751" s="13"/>
      <c r="D751" s="13"/>
      <c r="E751" s="14"/>
      <c r="F751" s="15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</row>
    <row r="752" ht="13.8" spans="1:17">
      <c r="A752" s="11"/>
      <c r="B752" s="12"/>
      <c r="C752" s="13"/>
      <c r="D752" s="13"/>
      <c r="E752" s="14"/>
      <c r="F752" s="15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</row>
    <row r="753" ht="13.8" spans="1:17">
      <c r="A753" s="11"/>
      <c r="B753" s="12"/>
      <c r="C753" s="13"/>
      <c r="D753" s="13"/>
      <c r="E753" s="14"/>
      <c r="F753" s="15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</row>
    <row r="754" ht="13.8" spans="1:17">
      <c r="A754" s="11"/>
      <c r="B754" s="12"/>
      <c r="C754" s="13"/>
      <c r="D754" s="13"/>
      <c r="E754" s="14"/>
      <c r="F754" s="15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</row>
    <row r="755" ht="13.8" spans="1:17">
      <c r="A755" s="11"/>
      <c r="B755" s="12"/>
      <c r="C755" s="13"/>
      <c r="D755" s="13"/>
      <c r="E755" s="14"/>
      <c r="F755" s="15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</row>
    <row r="756" ht="13.8" spans="1:17">
      <c r="A756" s="11"/>
      <c r="B756" s="12"/>
      <c r="C756" s="13"/>
      <c r="D756" s="13"/>
      <c r="E756" s="14"/>
      <c r="F756" s="15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</row>
    <row r="757" ht="13.8" spans="1:17">
      <c r="A757" s="11"/>
      <c r="B757" s="12"/>
      <c r="C757" s="13"/>
      <c r="D757" s="13"/>
      <c r="E757" s="14"/>
      <c r="F757" s="15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</row>
    <row r="758" ht="13.8" spans="1:17">
      <c r="A758" s="11"/>
      <c r="B758" s="12"/>
      <c r="C758" s="13"/>
      <c r="D758" s="13"/>
      <c r="E758" s="14"/>
      <c r="F758" s="15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</row>
    <row r="759" ht="13.8" spans="1:17">
      <c r="A759" s="11"/>
      <c r="B759" s="12"/>
      <c r="C759" s="13"/>
      <c r="D759" s="13"/>
      <c r="E759" s="14"/>
      <c r="F759" s="15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</row>
    <row r="760" ht="13.8" spans="1:17">
      <c r="A760" s="11"/>
      <c r="B760" s="12"/>
      <c r="C760" s="13"/>
      <c r="D760" s="13"/>
      <c r="E760" s="14"/>
      <c r="F760" s="15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</row>
    <row r="761" ht="13.8" spans="1:17">
      <c r="A761" s="11"/>
      <c r="B761" s="12"/>
      <c r="C761" s="13"/>
      <c r="D761" s="13"/>
      <c r="E761" s="14"/>
      <c r="F761" s="15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</row>
    <row r="762" ht="13.8" spans="1:17">
      <c r="A762" s="11"/>
      <c r="B762" s="12"/>
      <c r="C762" s="13"/>
      <c r="D762" s="13"/>
      <c r="E762" s="14"/>
      <c r="F762" s="15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</row>
    <row r="763" ht="13.8" spans="1:17">
      <c r="A763" s="11"/>
      <c r="B763" s="12"/>
      <c r="C763" s="13"/>
      <c r="D763" s="13"/>
      <c r="E763" s="14"/>
      <c r="F763" s="15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</row>
    <row r="764" ht="13.8" spans="1:17">
      <c r="A764" s="11"/>
      <c r="B764" s="12"/>
      <c r="C764" s="13"/>
      <c r="D764" s="13"/>
      <c r="E764" s="14"/>
      <c r="F764" s="15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</row>
    <row r="765" ht="13.8" spans="1:17">
      <c r="A765" s="11"/>
      <c r="B765" s="12"/>
      <c r="C765" s="13"/>
      <c r="D765" s="13"/>
      <c r="E765" s="14"/>
      <c r="F765" s="15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</row>
    <row r="766" ht="13.8" spans="1:17">
      <c r="A766" s="11"/>
      <c r="B766" s="12"/>
      <c r="C766" s="13"/>
      <c r="D766" s="13"/>
      <c r="E766" s="14"/>
      <c r="F766" s="15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</row>
    <row r="767" ht="13.8" spans="1:17">
      <c r="A767" s="11"/>
      <c r="B767" s="12"/>
      <c r="C767" s="13"/>
      <c r="D767" s="13"/>
      <c r="E767" s="14"/>
      <c r="F767" s="15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</row>
    <row r="768" ht="13.8" spans="1:17">
      <c r="A768" s="11"/>
      <c r="B768" s="12"/>
      <c r="C768" s="13"/>
      <c r="D768" s="13"/>
      <c r="E768" s="14"/>
      <c r="F768" s="15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</row>
    <row r="769" ht="13.8" spans="1:17">
      <c r="A769" s="11"/>
      <c r="B769" s="12"/>
      <c r="C769" s="13"/>
      <c r="D769" s="13"/>
      <c r="E769" s="14"/>
      <c r="F769" s="15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</row>
    <row r="770" ht="13.8" spans="1:17">
      <c r="A770" s="11"/>
      <c r="B770" s="12"/>
      <c r="C770" s="13"/>
      <c r="D770" s="13"/>
      <c r="E770" s="14"/>
      <c r="F770" s="15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</row>
    <row r="771" ht="13.8" spans="1:17">
      <c r="A771" s="11"/>
      <c r="B771" s="12"/>
      <c r="C771" s="13"/>
      <c r="D771" s="13"/>
      <c r="E771" s="14"/>
      <c r="F771" s="15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</row>
    <row r="772" ht="13.8" spans="1:17">
      <c r="A772" s="11"/>
      <c r="B772" s="12"/>
      <c r="C772" s="13"/>
      <c r="D772" s="13"/>
      <c r="E772" s="14"/>
      <c r="F772" s="15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</row>
    <row r="773" ht="13.8" spans="1:17">
      <c r="A773" s="11"/>
      <c r="B773" s="12"/>
      <c r="C773" s="13"/>
      <c r="D773" s="13"/>
      <c r="E773" s="14"/>
      <c r="F773" s="15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</row>
    <row r="774" ht="13.8" spans="1:17">
      <c r="A774" s="11"/>
      <c r="B774" s="12"/>
      <c r="C774" s="13"/>
      <c r="D774" s="13"/>
      <c r="E774" s="14"/>
      <c r="F774" s="15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</row>
    <row r="775" ht="13.8" spans="1:17">
      <c r="A775" s="11"/>
      <c r="B775" s="12"/>
      <c r="C775" s="13"/>
      <c r="D775" s="13"/>
      <c r="E775" s="14"/>
      <c r="F775" s="15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</row>
    <row r="776" ht="13.8" spans="1:17">
      <c r="A776" s="11"/>
      <c r="B776" s="12"/>
      <c r="C776" s="13"/>
      <c r="D776" s="13"/>
      <c r="E776" s="14"/>
      <c r="F776" s="15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</row>
    <row r="777" ht="13.8" spans="1:17">
      <c r="A777" s="11"/>
      <c r="B777" s="12"/>
      <c r="C777" s="13"/>
      <c r="D777" s="13"/>
      <c r="E777" s="14"/>
      <c r="F777" s="15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</row>
    <row r="778" ht="13.8" spans="1:17">
      <c r="A778" s="11"/>
      <c r="B778" s="12"/>
      <c r="C778" s="13"/>
      <c r="D778" s="13"/>
      <c r="E778" s="14"/>
      <c r="F778" s="15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</row>
    <row r="779" ht="13.8" spans="1:17">
      <c r="A779" s="11"/>
      <c r="B779" s="12"/>
      <c r="C779" s="13"/>
      <c r="D779" s="13"/>
      <c r="E779" s="14"/>
      <c r="F779" s="15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</row>
    <row r="780" ht="13.8" spans="1:17">
      <c r="A780" s="11"/>
      <c r="B780" s="12"/>
      <c r="C780" s="13"/>
      <c r="D780" s="13"/>
      <c r="E780" s="14"/>
      <c r="F780" s="15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</row>
    <row r="781" ht="13.8" spans="1:17">
      <c r="A781" s="11"/>
      <c r="B781" s="12"/>
      <c r="C781" s="13"/>
      <c r="D781" s="13"/>
      <c r="E781" s="14"/>
      <c r="F781" s="15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</row>
    <row r="782" ht="13.8" spans="1:17">
      <c r="A782" s="11"/>
      <c r="B782" s="12"/>
      <c r="C782" s="13"/>
      <c r="D782" s="13"/>
      <c r="E782" s="14"/>
      <c r="F782" s="15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</row>
    <row r="783" ht="13.8" spans="1:17">
      <c r="A783" s="11"/>
      <c r="B783" s="12"/>
      <c r="C783" s="13"/>
      <c r="D783" s="13"/>
      <c r="E783" s="14"/>
      <c r="F783" s="15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</row>
    <row r="784" ht="13.8" spans="1:17">
      <c r="A784" s="11"/>
      <c r="B784" s="12"/>
      <c r="C784" s="13"/>
      <c r="D784" s="13"/>
      <c r="E784" s="14"/>
      <c r="F784" s="15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</row>
    <row r="785" ht="13.8" spans="1:17">
      <c r="A785" s="11"/>
      <c r="B785" s="12"/>
      <c r="C785" s="13"/>
      <c r="D785" s="13"/>
      <c r="E785" s="14"/>
      <c r="F785" s="15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</row>
    <row r="786" ht="13.8" spans="1:17">
      <c r="A786" s="11"/>
      <c r="B786" s="12"/>
      <c r="C786" s="13"/>
      <c r="D786" s="13"/>
      <c r="E786" s="14"/>
      <c r="F786" s="15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</row>
    <row r="787" ht="13.8" spans="1:17">
      <c r="A787" s="11"/>
      <c r="B787" s="12"/>
      <c r="C787" s="13"/>
      <c r="D787" s="13"/>
      <c r="E787" s="14"/>
      <c r="F787" s="15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</row>
    <row r="788" ht="13.8" spans="1:17">
      <c r="A788" s="11"/>
      <c r="B788" s="12"/>
      <c r="C788" s="13"/>
      <c r="D788" s="13"/>
      <c r="E788" s="14"/>
      <c r="F788" s="15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</row>
    <row r="789" ht="13.8" spans="1:17">
      <c r="A789" s="11"/>
      <c r="B789" s="12"/>
      <c r="C789" s="13"/>
      <c r="D789" s="13"/>
      <c r="E789" s="14"/>
      <c r="F789" s="15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</row>
    <row r="790" ht="13.8" spans="1:17">
      <c r="A790" s="11"/>
      <c r="B790" s="12"/>
      <c r="C790" s="13"/>
      <c r="D790" s="13"/>
      <c r="E790" s="14"/>
      <c r="F790" s="15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</row>
    <row r="791" ht="13.8" spans="1:17">
      <c r="A791" s="11"/>
      <c r="B791" s="12"/>
      <c r="C791" s="13"/>
      <c r="D791" s="13"/>
      <c r="E791" s="14"/>
      <c r="F791" s="15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</row>
    <row r="792" ht="13.8" spans="1:17">
      <c r="A792" s="11"/>
      <c r="B792" s="12"/>
      <c r="C792" s="13"/>
      <c r="D792" s="13"/>
      <c r="E792" s="14"/>
      <c r="F792" s="15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</row>
    <row r="793" ht="13.8" spans="1:17">
      <c r="A793" s="11"/>
      <c r="B793" s="12"/>
      <c r="C793" s="13"/>
      <c r="D793" s="13"/>
      <c r="E793" s="14"/>
      <c r="F793" s="15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</row>
    <row r="794" ht="13.8" spans="1:17">
      <c r="A794" s="11"/>
      <c r="B794" s="12"/>
      <c r="C794" s="13"/>
      <c r="D794" s="13"/>
      <c r="E794" s="14"/>
      <c r="F794" s="15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</row>
    <row r="795" ht="13.8" spans="1:17">
      <c r="A795" s="11"/>
      <c r="B795" s="12"/>
      <c r="C795" s="13"/>
      <c r="D795" s="13"/>
      <c r="E795" s="14"/>
      <c r="F795" s="15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</row>
    <row r="796" ht="13.8" spans="1:17">
      <c r="A796" s="11"/>
      <c r="B796" s="12"/>
      <c r="C796" s="13"/>
      <c r="D796" s="13"/>
      <c r="E796" s="14"/>
      <c r="F796" s="15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</row>
    <row r="797" ht="13.8" spans="1:17">
      <c r="A797" s="11"/>
      <c r="B797" s="12"/>
      <c r="C797" s="13"/>
      <c r="D797" s="13"/>
      <c r="E797" s="14"/>
      <c r="F797" s="15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</row>
    <row r="798" ht="13.8" spans="1:17">
      <c r="A798" s="11"/>
      <c r="B798" s="12"/>
      <c r="C798" s="13"/>
      <c r="D798" s="13"/>
      <c r="E798" s="14"/>
      <c r="F798" s="15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</row>
    <row r="799" ht="13.8" spans="1:17">
      <c r="A799" s="11"/>
      <c r="B799" s="12"/>
      <c r="C799" s="13"/>
      <c r="D799" s="13"/>
      <c r="E799" s="14"/>
      <c r="F799" s="15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</row>
    <row r="800" ht="13.8" spans="1:17">
      <c r="A800" s="11"/>
      <c r="B800" s="12"/>
      <c r="C800" s="13"/>
      <c r="D800" s="13"/>
      <c r="E800" s="14"/>
      <c r="F800" s="15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</row>
    <row r="801" ht="13.8" spans="1:17">
      <c r="A801" s="11"/>
      <c r="B801" s="12"/>
      <c r="C801" s="13"/>
      <c r="D801" s="13"/>
      <c r="E801" s="14"/>
      <c r="F801" s="15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</row>
    <row r="802" ht="13.8" spans="1:17">
      <c r="A802" s="11"/>
      <c r="B802" s="12"/>
      <c r="C802" s="13"/>
      <c r="D802" s="13"/>
      <c r="E802" s="14"/>
      <c r="F802" s="15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</row>
    <row r="803" ht="13.8" spans="1:17">
      <c r="A803" s="11"/>
      <c r="B803" s="12"/>
      <c r="C803" s="13"/>
      <c r="D803" s="13"/>
      <c r="E803" s="14"/>
      <c r="F803" s="15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</row>
    <row r="804" ht="13.8" spans="1:17">
      <c r="A804" s="11"/>
      <c r="B804" s="12"/>
      <c r="C804" s="13"/>
      <c r="D804" s="13"/>
      <c r="E804" s="14"/>
      <c r="F804" s="15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</row>
    <row r="805" ht="13.8" spans="1:17">
      <c r="A805" s="11"/>
      <c r="B805" s="12"/>
      <c r="C805" s="13"/>
      <c r="D805" s="13"/>
      <c r="E805" s="14"/>
      <c r="F805" s="15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</row>
    <row r="806" ht="13.8" spans="1:17">
      <c r="A806" s="11"/>
      <c r="B806" s="12"/>
      <c r="C806" s="13"/>
      <c r="D806" s="13"/>
      <c r="E806" s="14"/>
      <c r="F806" s="15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</row>
    <row r="807" ht="13.8" spans="1:17">
      <c r="A807" s="11"/>
      <c r="B807" s="12"/>
      <c r="C807" s="13"/>
      <c r="D807" s="13"/>
      <c r="E807" s="14"/>
      <c r="F807" s="15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</row>
    <row r="808" ht="13.8" spans="1:17">
      <c r="A808" s="11"/>
      <c r="B808" s="12"/>
      <c r="C808" s="13"/>
      <c r="D808" s="13"/>
      <c r="E808" s="14"/>
      <c r="F808" s="15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</row>
    <row r="809" ht="13.8" spans="1:17">
      <c r="A809" s="11"/>
      <c r="B809" s="12"/>
      <c r="C809" s="13"/>
      <c r="D809" s="13"/>
      <c r="E809" s="14"/>
      <c r="F809" s="15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</row>
    <row r="810" ht="13.8" spans="1:17">
      <c r="A810" s="11"/>
      <c r="B810" s="12"/>
      <c r="C810" s="13"/>
      <c r="D810" s="13"/>
      <c r="E810" s="14"/>
      <c r="F810" s="15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</row>
    <row r="811" ht="13.8" spans="1:17">
      <c r="A811" s="11"/>
      <c r="B811" s="12"/>
      <c r="C811" s="13"/>
      <c r="D811" s="13"/>
      <c r="E811" s="14"/>
      <c r="F811" s="15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</row>
    <row r="812" ht="13.8" spans="1:17">
      <c r="A812" s="11"/>
      <c r="B812" s="12"/>
      <c r="C812" s="13"/>
      <c r="D812" s="13"/>
      <c r="E812" s="14"/>
      <c r="F812" s="15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</row>
    <row r="813" ht="13.8" spans="1:17">
      <c r="A813" s="11"/>
      <c r="B813" s="12"/>
      <c r="C813" s="13"/>
      <c r="D813" s="13"/>
      <c r="E813" s="14"/>
      <c r="F813" s="15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</row>
    <row r="814" ht="13.8" spans="1:17">
      <c r="A814" s="11"/>
      <c r="B814" s="12"/>
      <c r="C814" s="13"/>
      <c r="D814" s="13"/>
      <c r="E814" s="14"/>
      <c r="F814" s="15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</row>
    <row r="815" ht="13.8" spans="1:17">
      <c r="A815" s="11"/>
      <c r="B815" s="12"/>
      <c r="C815" s="13"/>
      <c r="D815" s="13"/>
      <c r="E815" s="14"/>
      <c r="F815" s="15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</row>
    <row r="816" ht="13.8" spans="1:17">
      <c r="A816" s="11"/>
      <c r="B816" s="12"/>
      <c r="C816" s="13"/>
      <c r="D816" s="13"/>
      <c r="E816" s="14"/>
      <c r="F816" s="15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</row>
    <row r="817" ht="13.8" spans="1:17">
      <c r="A817" s="11"/>
      <c r="B817" s="12"/>
      <c r="C817" s="13"/>
      <c r="D817" s="13"/>
      <c r="E817" s="14"/>
      <c r="F817" s="15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</row>
    <row r="818" ht="13.8" spans="1:17">
      <c r="A818" s="11"/>
      <c r="B818" s="12"/>
      <c r="C818" s="13"/>
      <c r="D818" s="13"/>
      <c r="E818" s="14"/>
      <c r="F818" s="15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</row>
    <row r="819" ht="13.8" spans="1:17">
      <c r="A819" s="11"/>
      <c r="B819" s="12"/>
      <c r="C819" s="13"/>
      <c r="D819" s="13"/>
      <c r="E819" s="14"/>
      <c r="F819" s="15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</row>
    <row r="820" ht="13.8" spans="1:17">
      <c r="A820" s="11"/>
      <c r="B820" s="12"/>
      <c r="C820" s="13"/>
      <c r="D820" s="13"/>
      <c r="E820" s="14"/>
      <c r="F820" s="15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</row>
    <row r="821" ht="13.8" spans="1:17">
      <c r="A821" s="11"/>
      <c r="B821" s="12"/>
      <c r="C821" s="13"/>
      <c r="D821" s="13"/>
      <c r="E821" s="14"/>
      <c r="F821" s="15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</row>
    <row r="822" ht="13.8" spans="1:17">
      <c r="A822" s="11"/>
      <c r="B822" s="12"/>
      <c r="C822" s="13"/>
      <c r="D822" s="13"/>
      <c r="E822" s="14"/>
      <c r="F822" s="15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</row>
    <row r="823" ht="13.8" spans="1:17">
      <c r="A823" s="11"/>
      <c r="B823" s="12"/>
      <c r="C823" s="13"/>
      <c r="D823" s="13"/>
      <c r="E823" s="14"/>
      <c r="F823" s="15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</row>
    <row r="824" ht="13.8" spans="1:17">
      <c r="A824" s="11"/>
      <c r="B824" s="12"/>
      <c r="C824" s="13"/>
      <c r="D824" s="13"/>
      <c r="E824" s="14"/>
      <c r="F824" s="15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</row>
    <row r="825" ht="13.8" spans="1:17">
      <c r="A825" s="11"/>
      <c r="B825" s="12"/>
      <c r="C825" s="13"/>
      <c r="D825" s="13"/>
      <c r="E825" s="14"/>
      <c r="F825" s="15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</row>
    <row r="826" ht="13.8" spans="1:17">
      <c r="A826" s="11"/>
      <c r="B826" s="12"/>
      <c r="C826" s="13"/>
      <c r="D826" s="13"/>
      <c r="E826" s="14"/>
      <c r="F826" s="15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</row>
    <row r="827" ht="13.8" spans="1:17">
      <c r="A827" s="11"/>
      <c r="B827" s="12"/>
      <c r="C827" s="13"/>
      <c r="D827" s="13"/>
      <c r="E827" s="14"/>
      <c r="F827" s="15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</row>
    <row r="828" ht="13.8" spans="1:17">
      <c r="A828" s="11"/>
      <c r="B828" s="12"/>
      <c r="C828" s="13"/>
      <c r="D828" s="13"/>
      <c r="E828" s="14"/>
      <c r="F828" s="15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</row>
    <row r="829" ht="13.8" spans="1:17">
      <c r="A829" s="11"/>
      <c r="B829" s="12"/>
      <c r="C829" s="13"/>
      <c r="D829" s="13"/>
      <c r="E829" s="14"/>
      <c r="F829" s="15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</row>
    <row r="830" ht="13.8" spans="1:17">
      <c r="A830" s="11"/>
      <c r="B830" s="12"/>
      <c r="C830" s="13"/>
      <c r="D830" s="13"/>
      <c r="E830" s="14"/>
      <c r="F830" s="15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</row>
    <row r="831" ht="13.8" spans="1:17">
      <c r="A831" s="11"/>
      <c r="B831" s="12"/>
      <c r="C831" s="13"/>
      <c r="D831" s="13"/>
      <c r="E831" s="14"/>
      <c r="F831" s="15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</row>
    <row r="832" ht="13.8" spans="1:17">
      <c r="A832" s="11"/>
      <c r="B832" s="12"/>
      <c r="C832" s="13"/>
      <c r="D832" s="13"/>
      <c r="E832" s="14"/>
      <c r="F832" s="15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</row>
    <row r="833" ht="13.8" spans="1:17">
      <c r="A833" s="11"/>
      <c r="B833" s="12"/>
      <c r="C833" s="13"/>
      <c r="D833" s="13"/>
      <c r="E833" s="14"/>
      <c r="F833" s="15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</row>
    <row r="834" ht="13.8" spans="1:17">
      <c r="A834" s="11"/>
      <c r="B834" s="12"/>
      <c r="C834" s="13"/>
      <c r="D834" s="13"/>
      <c r="E834" s="14"/>
      <c r="F834" s="15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</row>
    <row r="835" ht="13.8" spans="1:17">
      <c r="A835" s="11"/>
      <c r="B835" s="12"/>
      <c r="C835" s="13"/>
      <c r="D835" s="13"/>
      <c r="E835" s="14"/>
      <c r="F835" s="15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</row>
    <row r="836" ht="13.8" spans="1:17">
      <c r="A836" s="11"/>
      <c r="B836" s="12"/>
      <c r="C836" s="13"/>
      <c r="D836" s="13"/>
      <c r="E836" s="14"/>
      <c r="F836" s="15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</row>
    <row r="837" ht="13.8" spans="1:17">
      <c r="A837" s="11"/>
      <c r="B837" s="12"/>
      <c r="C837" s="13"/>
      <c r="D837" s="13"/>
      <c r="E837" s="14"/>
      <c r="F837" s="15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</row>
    <row r="838" ht="13.8" spans="1:17">
      <c r="A838" s="11"/>
      <c r="B838" s="12"/>
      <c r="C838" s="13"/>
      <c r="D838" s="13"/>
      <c r="E838" s="14"/>
      <c r="F838" s="15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</row>
    <row r="839" ht="13.8" spans="1:17">
      <c r="A839" s="11"/>
      <c r="B839" s="12"/>
      <c r="C839" s="13"/>
      <c r="D839" s="13"/>
      <c r="E839" s="14"/>
      <c r="F839" s="15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</row>
    <row r="840" ht="13.8" spans="1:17">
      <c r="A840" s="11"/>
      <c r="B840" s="12"/>
      <c r="C840" s="13"/>
      <c r="D840" s="13"/>
      <c r="E840" s="14"/>
      <c r="F840" s="15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</row>
    <row r="841" ht="13.8" spans="1:17">
      <c r="A841" s="11"/>
      <c r="B841" s="12"/>
      <c r="C841" s="13"/>
      <c r="D841" s="13"/>
      <c r="E841" s="14"/>
      <c r="F841" s="15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</row>
    <row r="842" ht="13.8" spans="1:17">
      <c r="A842" s="11"/>
      <c r="B842" s="12"/>
      <c r="C842" s="13"/>
      <c r="D842" s="13"/>
      <c r="E842" s="14"/>
      <c r="F842" s="15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</row>
    <row r="843" ht="13.8" spans="1:17">
      <c r="A843" s="11"/>
      <c r="B843" s="12"/>
      <c r="C843" s="13"/>
      <c r="D843" s="13"/>
      <c r="E843" s="14"/>
      <c r="F843" s="15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</row>
    <row r="844" ht="13.8" spans="1:17">
      <c r="A844" s="11"/>
      <c r="B844" s="12"/>
      <c r="C844" s="13"/>
      <c r="D844" s="13"/>
      <c r="E844" s="14"/>
      <c r="F844" s="15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</row>
    <row r="845" ht="13.8" spans="1:17">
      <c r="A845" s="11"/>
      <c r="B845" s="12"/>
      <c r="C845" s="13"/>
      <c r="D845" s="13"/>
      <c r="E845" s="14"/>
      <c r="F845" s="15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</row>
    <row r="846" ht="13.8" spans="1:17">
      <c r="A846" s="11"/>
      <c r="B846" s="12"/>
      <c r="C846" s="13"/>
      <c r="D846" s="13"/>
      <c r="E846" s="14"/>
      <c r="F846" s="15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</row>
    <row r="847" ht="13.8" spans="1:17">
      <c r="A847" s="11"/>
      <c r="B847" s="12"/>
      <c r="C847" s="13"/>
      <c r="D847" s="13"/>
      <c r="E847" s="14"/>
      <c r="F847" s="15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</row>
    <row r="848" ht="13.8" spans="1:17">
      <c r="A848" s="11"/>
      <c r="B848" s="12"/>
      <c r="C848" s="13"/>
      <c r="D848" s="13"/>
      <c r="E848" s="14"/>
      <c r="F848" s="15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</row>
    <row r="849" ht="13.8" spans="1:17">
      <c r="A849" s="11"/>
      <c r="B849" s="12"/>
      <c r="C849" s="13"/>
      <c r="D849" s="13"/>
      <c r="E849" s="14"/>
      <c r="F849" s="15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</row>
    <row r="850" ht="13.8" spans="1:17">
      <c r="A850" s="11"/>
      <c r="B850" s="12"/>
      <c r="C850" s="13"/>
      <c r="D850" s="13"/>
      <c r="E850" s="14"/>
      <c r="F850" s="15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</row>
    <row r="851" ht="13.8" spans="1:17">
      <c r="A851" s="11"/>
      <c r="B851" s="12"/>
      <c r="C851" s="13"/>
      <c r="D851" s="13"/>
      <c r="E851" s="14"/>
      <c r="F851" s="15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</row>
    <row r="852" ht="13.8" spans="1:17">
      <c r="A852" s="11"/>
      <c r="B852" s="12"/>
      <c r="C852" s="13"/>
      <c r="D852" s="13"/>
      <c r="E852" s="14"/>
      <c r="F852" s="15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</row>
    <row r="853" ht="13.8" spans="1:17">
      <c r="A853" s="11"/>
      <c r="B853" s="12"/>
      <c r="C853" s="13"/>
      <c r="D853" s="13"/>
      <c r="E853" s="14"/>
      <c r="F853" s="15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</row>
    <row r="854" ht="13.8" spans="1:17">
      <c r="A854" s="11"/>
      <c r="B854" s="12"/>
      <c r="C854" s="13"/>
      <c r="D854" s="13"/>
      <c r="E854" s="14"/>
      <c r="F854" s="15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</row>
    <row r="855" ht="13.8" spans="1:17">
      <c r="A855" s="11"/>
      <c r="B855" s="12"/>
      <c r="C855" s="13"/>
      <c r="D855" s="13"/>
      <c r="E855" s="14"/>
      <c r="F855" s="15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</row>
    <row r="856" ht="13.8" spans="1:17">
      <c r="A856" s="11"/>
      <c r="B856" s="12"/>
      <c r="C856" s="13"/>
      <c r="D856" s="13"/>
      <c r="E856" s="14"/>
      <c r="F856" s="15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</row>
    <row r="857" ht="13.8" spans="1:17">
      <c r="A857" s="11"/>
      <c r="B857" s="12"/>
      <c r="C857" s="13"/>
      <c r="D857" s="13"/>
      <c r="E857" s="14"/>
      <c r="F857" s="15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</row>
    <row r="858" ht="13.8" spans="1:17">
      <c r="A858" s="11"/>
      <c r="B858" s="12"/>
      <c r="C858" s="13"/>
      <c r="D858" s="13"/>
      <c r="E858" s="14"/>
      <c r="F858" s="15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</row>
    <row r="859" ht="13.8" spans="1:17">
      <c r="A859" s="11"/>
      <c r="B859" s="12"/>
      <c r="C859" s="13"/>
      <c r="D859" s="13"/>
      <c r="E859" s="14"/>
      <c r="F859" s="15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</row>
    <row r="860" ht="13.8" spans="1:17">
      <c r="A860" s="11"/>
      <c r="B860" s="12"/>
      <c r="C860" s="13"/>
      <c r="D860" s="13"/>
      <c r="E860" s="14"/>
      <c r="F860" s="15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</row>
    <row r="861" ht="13.8" spans="1:17">
      <c r="A861" s="11"/>
      <c r="B861" s="12"/>
      <c r="C861" s="13"/>
      <c r="D861" s="13"/>
      <c r="E861" s="14"/>
      <c r="F861" s="15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</row>
    <row r="862" ht="13.8" spans="1:17">
      <c r="A862" s="11"/>
      <c r="B862" s="12"/>
      <c r="C862" s="13"/>
      <c r="D862" s="13"/>
      <c r="E862" s="14"/>
      <c r="F862" s="15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</row>
    <row r="863" ht="13.8" spans="1:17">
      <c r="A863" s="11"/>
      <c r="B863" s="12"/>
      <c r="C863" s="13"/>
      <c r="D863" s="13"/>
      <c r="E863" s="14"/>
      <c r="F863" s="15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</row>
    <row r="864" ht="13.8" spans="1:17">
      <c r="A864" s="11"/>
      <c r="B864" s="12"/>
      <c r="C864" s="13"/>
      <c r="D864" s="13"/>
      <c r="E864" s="14"/>
      <c r="F864" s="15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</row>
    <row r="865" ht="13.8" spans="1:17">
      <c r="A865" s="11"/>
      <c r="B865" s="12"/>
      <c r="C865" s="13"/>
      <c r="D865" s="13"/>
      <c r="E865" s="14"/>
      <c r="F865" s="15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</row>
    <row r="866" ht="13.8" spans="1:17">
      <c r="A866" s="11"/>
      <c r="B866" s="12"/>
      <c r="C866" s="13"/>
      <c r="D866" s="13"/>
      <c r="E866" s="14"/>
      <c r="F866" s="15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</row>
    <row r="867" ht="13.8" spans="1:17">
      <c r="A867" s="11"/>
      <c r="B867" s="12"/>
      <c r="C867" s="13"/>
      <c r="D867" s="13"/>
      <c r="E867" s="14"/>
      <c r="F867" s="15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</row>
    <row r="868" ht="13.8" spans="1:17">
      <c r="A868" s="11"/>
      <c r="B868" s="12"/>
      <c r="C868" s="13"/>
      <c r="D868" s="13"/>
      <c r="E868" s="14"/>
      <c r="F868" s="15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</row>
    <row r="869" ht="13.8" spans="1:17">
      <c r="A869" s="11"/>
      <c r="B869" s="12"/>
      <c r="C869" s="13"/>
      <c r="D869" s="13"/>
      <c r="E869" s="14"/>
      <c r="F869" s="15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</row>
    <row r="870" ht="13.8" spans="1:17">
      <c r="A870" s="11"/>
      <c r="B870" s="12"/>
      <c r="C870" s="13"/>
      <c r="D870" s="13"/>
      <c r="E870" s="14"/>
      <c r="F870" s="15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</row>
    <row r="871" ht="13.8" spans="1:17">
      <c r="A871" s="11"/>
      <c r="B871" s="12"/>
      <c r="C871" s="13"/>
      <c r="D871" s="13"/>
      <c r="E871" s="14"/>
      <c r="F871" s="15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</row>
    <row r="872" ht="13.8" spans="1:17">
      <c r="A872" s="11"/>
      <c r="B872" s="12"/>
      <c r="C872" s="13"/>
      <c r="D872" s="13"/>
      <c r="E872" s="14"/>
      <c r="F872" s="15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</row>
    <row r="873" ht="13.8" spans="1:17">
      <c r="A873" s="11"/>
      <c r="B873" s="12"/>
      <c r="C873" s="13"/>
      <c r="D873" s="13"/>
      <c r="E873" s="14"/>
      <c r="F873" s="15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</row>
    <row r="874" ht="13.8" spans="1:17">
      <c r="A874" s="11"/>
      <c r="B874" s="12"/>
      <c r="C874" s="13"/>
      <c r="D874" s="13"/>
      <c r="E874" s="14"/>
      <c r="F874" s="15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</row>
    <row r="875" ht="13.8" spans="1:17">
      <c r="A875" s="11"/>
      <c r="B875" s="12"/>
      <c r="C875" s="13"/>
      <c r="D875" s="13"/>
      <c r="E875" s="14"/>
      <c r="F875" s="15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</row>
    <row r="876" ht="13.8" spans="1:17">
      <c r="A876" s="11"/>
      <c r="B876" s="12"/>
      <c r="C876" s="13"/>
      <c r="D876" s="13"/>
      <c r="E876" s="14"/>
      <c r="F876" s="15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</row>
    <row r="877" ht="13.8" spans="1:17">
      <c r="A877" s="11"/>
      <c r="B877" s="12"/>
      <c r="C877" s="13"/>
      <c r="D877" s="13"/>
      <c r="E877" s="14"/>
      <c r="F877" s="15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</row>
    <row r="878" ht="13.8" spans="1:17">
      <c r="A878" s="11"/>
      <c r="B878" s="12"/>
      <c r="C878" s="13"/>
      <c r="D878" s="13"/>
      <c r="E878" s="14"/>
      <c r="F878" s="15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</row>
    <row r="879" ht="13.8" spans="1:17">
      <c r="A879" s="11"/>
      <c r="B879" s="12"/>
      <c r="C879" s="13"/>
      <c r="D879" s="13"/>
      <c r="E879" s="14"/>
      <c r="F879" s="15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</row>
    <row r="880" ht="13.8" spans="1:17">
      <c r="A880" s="11"/>
      <c r="B880" s="12"/>
      <c r="C880" s="13"/>
      <c r="D880" s="13"/>
      <c r="E880" s="14"/>
      <c r="F880" s="15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</row>
    <row r="881" ht="13.8" spans="1:17">
      <c r="A881" s="11"/>
      <c r="B881" s="12"/>
      <c r="C881" s="13"/>
      <c r="D881" s="13"/>
      <c r="E881" s="14"/>
      <c r="F881" s="15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</row>
    <row r="882" ht="13.8" spans="1:17">
      <c r="A882" s="11"/>
      <c r="B882" s="12"/>
      <c r="C882" s="13"/>
      <c r="D882" s="13"/>
      <c r="E882" s="14"/>
      <c r="F882" s="15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</row>
    <row r="883" ht="13.8" spans="1:17">
      <c r="A883" s="11"/>
      <c r="B883" s="12"/>
      <c r="C883" s="13"/>
      <c r="D883" s="13"/>
      <c r="E883" s="14"/>
      <c r="F883" s="15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</row>
    <row r="884" ht="13.8" spans="1:17">
      <c r="A884" s="11"/>
      <c r="B884" s="12"/>
      <c r="C884" s="13"/>
      <c r="D884" s="13"/>
      <c r="E884" s="14"/>
      <c r="F884" s="15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</row>
    <row r="885" ht="13.8" spans="1:17">
      <c r="A885" s="11"/>
      <c r="B885" s="12"/>
      <c r="C885" s="13"/>
      <c r="D885" s="13"/>
      <c r="E885" s="14"/>
      <c r="F885" s="15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</row>
    <row r="886" ht="13.8" spans="1:17">
      <c r="A886" s="11"/>
      <c r="B886" s="12"/>
      <c r="C886" s="13"/>
      <c r="D886" s="13"/>
      <c r="E886" s="14"/>
      <c r="F886" s="15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</row>
    <row r="887" ht="13.8" spans="1:17">
      <c r="A887" s="11"/>
      <c r="B887" s="12"/>
      <c r="C887" s="13"/>
      <c r="D887" s="13"/>
      <c r="E887" s="14"/>
      <c r="F887" s="15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</row>
    <row r="888" ht="13.8" spans="1:17">
      <c r="A888" s="11"/>
      <c r="B888" s="12"/>
      <c r="C888" s="13"/>
      <c r="D888" s="13"/>
      <c r="E888" s="14"/>
      <c r="F888" s="15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</row>
    <row r="889" ht="13.8" spans="1:17">
      <c r="A889" s="11"/>
      <c r="B889" s="12"/>
      <c r="C889" s="13"/>
      <c r="D889" s="13"/>
      <c r="E889" s="14"/>
      <c r="F889" s="15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</row>
    <row r="890" ht="13.8" spans="1:17">
      <c r="A890" s="11"/>
      <c r="B890" s="12"/>
      <c r="C890" s="13"/>
      <c r="D890" s="13"/>
      <c r="E890" s="14"/>
      <c r="F890" s="15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</row>
    <row r="891" ht="13.8" spans="1:17">
      <c r="A891" s="11"/>
      <c r="B891" s="12"/>
      <c r="C891" s="13"/>
      <c r="D891" s="13"/>
      <c r="E891" s="14"/>
      <c r="F891" s="15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</row>
    <row r="892" ht="13.8" spans="1:17">
      <c r="A892" s="11"/>
      <c r="B892" s="12"/>
      <c r="C892" s="13"/>
      <c r="D892" s="13"/>
      <c r="E892" s="14"/>
      <c r="F892" s="15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</row>
    <row r="893" ht="13.8" spans="1:17">
      <c r="A893" s="11"/>
      <c r="B893" s="12"/>
      <c r="C893" s="13"/>
      <c r="D893" s="13"/>
      <c r="E893" s="14"/>
      <c r="F893" s="15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</row>
    <row r="894" ht="13.8" spans="1:17">
      <c r="A894" s="11"/>
      <c r="B894" s="12"/>
      <c r="C894" s="13"/>
      <c r="D894" s="13"/>
      <c r="E894" s="14"/>
      <c r="F894" s="15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</row>
    <row r="895" ht="13.8" spans="1:17">
      <c r="A895" s="11"/>
      <c r="B895" s="12"/>
      <c r="C895" s="13"/>
      <c r="D895" s="13"/>
      <c r="E895" s="14"/>
      <c r="F895" s="15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</row>
    <row r="896" ht="13.8" spans="1:17">
      <c r="A896" s="11"/>
      <c r="B896" s="12"/>
      <c r="C896" s="13"/>
      <c r="D896" s="13"/>
      <c r="E896" s="14"/>
      <c r="F896" s="15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</row>
    <row r="897" ht="13.8" spans="1:17">
      <c r="A897" s="11"/>
      <c r="B897" s="12"/>
      <c r="C897" s="13"/>
      <c r="D897" s="13"/>
      <c r="E897" s="14"/>
      <c r="F897" s="15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</row>
    <row r="898" ht="13.8" spans="1:17">
      <c r="A898" s="11"/>
      <c r="B898" s="12"/>
      <c r="C898" s="13"/>
      <c r="D898" s="13"/>
      <c r="E898" s="14"/>
      <c r="F898" s="15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</row>
    <row r="899" ht="13.8" spans="1:17">
      <c r="A899" s="11"/>
      <c r="B899" s="12"/>
      <c r="C899" s="13"/>
      <c r="D899" s="13"/>
      <c r="E899" s="14"/>
      <c r="F899" s="15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</row>
    <row r="900" ht="13.8" spans="1:17">
      <c r="A900" s="11"/>
      <c r="B900" s="12"/>
      <c r="C900" s="13"/>
      <c r="D900" s="13"/>
      <c r="E900" s="14"/>
      <c r="F900" s="15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</row>
    <row r="901" ht="13.8" spans="1:17">
      <c r="A901" s="11"/>
      <c r="B901" s="12"/>
      <c r="C901" s="13"/>
      <c r="D901" s="13"/>
      <c r="E901" s="14"/>
      <c r="F901" s="15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</row>
    <row r="902" ht="13.8" spans="1:17">
      <c r="A902" s="11"/>
      <c r="B902" s="12"/>
      <c r="C902" s="13"/>
      <c r="D902" s="13"/>
      <c r="E902" s="14"/>
      <c r="F902" s="15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</row>
    <row r="903" ht="13.8" spans="1:17">
      <c r="A903" s="11"/>
      <c r="B903" s="12"/>
      <c r="C903" s="13"/>
      <c r="D903" s="13"/>
      <c r="E903" s="14"/>
      <c r="F903" s="15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</row>
    <row r="904" ht="13.8" spans="1:17">
      <c r="A904" s="11"/>
      <c r="B904" s="12"/>
      <c r="C904" s="13"/>
      <c r="D904" s="13"/>
      <c r="E904" s="14"/>
      <c r="F904" s="15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</row>
    <row r="905" ht="13.8" spans="1:17">
      <c r="A905" s="11"/>
      <c r="B905" s="12"/>
      <c r="C905" s="13"/>
      <c r="D905" s="13"/>
      <c r="E905" s="14"/>
      <c r="F905" s="15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</row>
    <row r="906" ht="13.8" spans="1:17">
      <c r="A906" s="11"/>
      <c r="B906" s="12"/>
      <c r="C906" s="13"/>
      <c r="D906" s="13"/>
      <c r="E906" s="14"/>
      <c r="F906" s="15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</row>
    <row r="907" ht="13.8" spans="1:17">
      <c r="A907" s="11"/>
      <c r="B907" s="12"/>
      <c r="C907" s="13"/>
      <c r="D907" s="13"/>
      <c r="E907" s="14"/>
      <c r="F907" s="15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</row>
    <row r="908" ht="13.8" spans="1:17">
      <c r="A908" s="11"/>
      <c r="B908" s="12"/>
      <c r="C908" s="13"/>
      <c r="D908" s="13"/>
      <c r="E908" s="14"/>
      <c r="F908" s="15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</row>
    <row r="909" ht="13.8" spans="1:17">
      <c r="A909" s="11"/>
      <c r="B909" s="12"/>
      <c r="C909" s="13"/>
      <c r="D909" s="13"/>
      <c r="E909" s="14"/>
      <c r="F909" s="15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</row>
    <row r="910" ht="13.8" spans="1:17">
      <c r="A910" s="11"/>
      <c r="B910" s="12"/>
      <c r="C910" s="13"/>
      <c r="D910" s="13"/>
      <c r="E910" s="14"/>
      <c r="F910" s="15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</row>
    <row r="911" ht="13.8" spans="1:17">
      <c r="A911" s="11"/>
      <c r="B911" s="12"/>
      <c r="C911" s="13"/>
      <c r="D911" s="13"/>
      <c r="E911" s="14"/>
      <c r="F911" s="15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</row>
    <row r="912" ht="13.8" spans="1:17">
      <c r="A912" s="11"/>
      <c r="B912" s="12"/>
      <c r="C912" s="13"/>
      <c r="D912" s="13"/>
      <c r="E912" s="14"/>
      <c r="F912" s="15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</row>
    <row r="913" ht="13.8" spans="1:17">
      <c r="A913" s="11"/>
      <c r="B913" s="12"/>
      <c r="C913" s="13"/>
      <c r="D913" s="13"/>
      <c r="E913" s="14"/>
      <c r="F913" s="15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</row>
    <row r="914" ht="13.8" spans="1:17">
      <c r="A914" s="11"/>
      <c r="B914" s="12"/>
      <c r="C914" s="13"/>
      <c r="D914" s="13"/>
      <c r="E914" s="14"/>
      <c r="F914" s="15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</row>
    <row r="915" ht="13.8" spans="1:17">
      <c r="A915" s="11"/>
      <c r="B915" s="12"/>
      <c r="C915" s="13"/>
      <c r="D915" s="13"/>
      <c r="E915" s="14"/>
      <c r="F915" s="15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</row>
    <row r="916" ht="13.8" spans="1:17">
      <c r="A916" s="11"/>
      <c r="B916" s="12"/>
      <c r="C916" s="13"/>
      <c r="D916" s="13"/>
      <c r="E916" s="14"/>
      <c r="F916" s="15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</row>
    <row r="917" ht="13.8" spans="1:17">
      <c r="A917" s="11"/>
      <c r="B917" s="12"/>
      <c r="C917" s="13"/>
      <c r="D917" s="13"/>
      <c r="E917" s="14"/>
      <c r="F917" s="15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</row>
    <row r="918" ht="13.8" spans="1:17">
      <c r="A918" s="11"/>
      <c r="B918" s="12"/>
      <c r="C918" s="13"/>
      <c r="D918" s="13"/>
      <c r="E918" s="14"/>
      <c r="F918" s="15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</row>
    <row r="919" ht="13.8" spans="1:17">
      <c r="A919" s="11"/>
      <c r="B919" s="12"/>
      <c r="C919" s="13"/>
      <c r="D919" s="13"/>
      <c r="E919" s="14"/>
      <c r="F919" s="15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</row>
    <row r="920" ht="13.8" spans="1:17">
      <c r="A920" s="11"/>
      <c r="B920" s="12"/>
      <c r="C920" s="13"/>
      <c r="D920" s="13"/>
      <c r="E920" s="14"/>
      <c r="F920" s="15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</row>
    <row r="921" ht="13.8" spans="1:17">
      <c r="A921" s="11"/>
      <c r="B921" s="12"/>
      <c r="C921" s="13"/>
      <c r="D921" s="13"/>
      <c r="E921" s="14"/>
      <c r="F921" s="15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</row>
    <row r="922" ht="13.8" spans="1:17">
      <c r="A922" s="11"/>
      <c r="B922" s="12"/>
      <c r="C922" s="13"/>
      <c r="D922" s="13"/>
      <c r="E922" s="14"/>
      <c r="F922" s="15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</row>
    <row r="923" ht="13.8" spans="1:17">
      <c r="A923" s="11"/>
      <c r="B923" s="12"/>
      <c r="C923" s="13"/>
      <c r="D923" s="13"/>
      <c r="E923" s="14"/>
      <c r="F923" s="15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</row>
    <row r="924" ht="13.8" spans="1:17">
      <c r="A924" s="11"/>
      <c r="B924" s="12"/>
      <c r="C924" s="13"/>
      <c r="D924" s="13"/>
      <c r="E924" s="14"/>
      <c r="F924" s="15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</row>
    <row r="925" ht="13.8" spans="1:17">
      <c r="A925" s="11"/>
      <c r="B925" s="12"/>
      <c r="C925" s="13"/>
      <c r="D925" s="13"/>
      <c r="E925" s="14"/>
      <c r="F925" s="15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</row>
    <row r="926" ht="13.8" spans="1:17">
      <c r="A926" s="11"/>
      <c r="B926" s="12"/>
      <c r="C926" s="13"/>
      <c r="D926" s="13"/>
      <c r="E926" s="14"/>
      <c r="F926" s="15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</row>
    <row r="927" ht="13.8" spans="1:17">
      <c r="A927" s="11"/>
      <c r="B927" s="12"/>
      <c r="C927" s="13"/>
      <c r="D927" s="13"/>
      <c r="E927" s="14"/>
      <c r="F927" s="15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</row>
    <row r="928" ht="13.8" spans="1:17">
      <c r="A928" s="11"/>
      <c r="B928" s="12"/>
      <c r="C928" s="13"/>
      <c r="D928" s="13"/>
      <c r="E928" s="14"/>
      <c r="F928" s="15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</row>
    <row r="929" ht="13.8" spans="1:17">
      <c r="A929" s="11"/>
      <c r="B929" s="12"/>
      <c r="C929" s="13"/>
      <c r="D929" s="13"/>
      <c r="E929" s="14"/>
      <c r="F929" s="15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</row>
    <row r="930" ht="13.8" spans="1:17">
      <c r="A930" s="11"/>
      <c r="B930" s="12"/>
      <c r="C930" s="13"/>
      <c r="D930" s="13"/>
      <c r="E930" s="14"/>
      <c r="F930" s="15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</row>
    <row r="931" ht="13.8" spans="1:17">
      <c r="A931" s="11"/>
      <c r="B931" s="12"/>
      <c r="C931" s="13"/>
      <c r="D931" s="13"/>
      <c r="E931" s="14"/>
      <c r="F931" s="15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</row>
    <row r="932" ht="13.8" spans="1:17">
      <c r="A932" s="11"/>
      <c r="B932" s="12"/>
      <c r="C932" s="13"/>
      <c r="D932" s="13"/>
      <c r="E932" s="14"/>
      <c r="F932" s="15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</row>
    <row r="933" ht="13.8" spans="1:17">
      <c r="A933" s="11"/>
      <c r="B933" s="12"/>
      <c r="C933" s="13"/>
      <c r="D933" s="13"/>
      <c r="E933" s="14"/>
      <c r="F933" s="15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</row>
    <row r="934" ht="13.8" spans="1:17">
      <c r="A934" s="11"/>
      <c r="B934" s="12"/>
      <c r="C934" s="13"/>
      <c r="D934" s="13"/>
      <c r="E934" s="14"/>
      <c r="F934" s="15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</row>
    <row r="935" ht="13.8" spans="1:17">
      <c r="A935" s="11"/>
      <c r="B935" s="12"/>
      <c r="C935" s="13"/>
      <c r="D935" s="13"/>
      <c r="E935" s="14"/>
      <c r="F935" s="15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</row>
    <row r="936" ht="13.8" spans="1:17">
      <c r="A936" s="11"/>
      <c r="B936" s="12"/>
      <c r="C936" s="13"/>
      <c r="D936" s="13"/>
      <c r="E936" s="14"/>
      <c r="F936" s="15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</row>
    <row r="937" ht="13.8" spans="1:17">
      <c r="A937" s="11"/>
      <c r="B937" s="12"/>
      <c r="C937" s="13"/>
      <c r="D937" s="13"/>
      <c r="E937" s="14"/>
      <c r="F937" s="15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</row>
    <row r="938" ht="13.8" spans="1:17">
      <c r="A938" s="11"/>
      <c r="B938" s="12"/>
      <c r="C938" s="13"/>
      <c r="D938" s="13"/>
      <c r="E938" s="14"/>
      <c r="F938" s="15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</row>
    <row r="939" ht="13.8" spans="1:17">
      <c r="A939" s="11"/>
      <c r="B939" s="12"/>
      <c r="C939" s="13"/>
      <c r="D939" s="13"/>
      <c r="E939" s="14"/>
      <c r="F939" s="15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</row>
    <row r="940" ht="13.8" spans="1:17">
      <c r="A940" s="11"/>
      <c r="B940" s="12"/>
      <c r="C940" s="13"/>
      <c r="D940" s="13"/>
      <c r="E940" s="14"/>
      <c r="F940" s="15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</row>
    <row r="941" ht="13.8" spans="1:17">
      <c r="A941" s="11"/>
      <c r="B941" s="12"/>
      <c r="C941" s="13"/>
      <c r="D941" s="13"/>
      <c r="E941" s="14"/>
      <c r="F941" s="15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</row>
    <row r="942" ht="13.8" spans="1:17">
      <c r="A942" s="11"/>
      <c r="B942" s="12"/>
      <c r="C942" s="13"/>
      <c r="D942" s="13"/>
      <c r="E942" s="14"/>
      <c r="F942" s="15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</row>
    <row r="943" ht="13.8" spans="1:17">
      <c r="A943" s="11"/>
      <c r="B943" s="12"/>
      <c r="C943" s="13"/>
      <c r="D943" s="13"/>
      <c r="E943" s="14"/>
      <c r="F943" s="15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</row>
    <row r="944" ht="13.8" spans="1:17">
      <c r="A944" s="11"/>
      <c r="B944" s="12"/>
      <c r="C944" s="13"/>
      <c r="D944" s="13"/>
      <c r="E944" s="14"/>
      <c r="F944" s="15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</row>
    <row r="945" ht="13.8" spans="1:17">
      <c r="A945" s="11"/>
      <c r="B945" s="12"/>
      <c r="C945" s="13"/>
      <c r="D945" s="13"/>
      <c r="E945" s="14"/>
      <c r="F945" s="15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</row>
    <row r="946" ht="13.8" spans="1:17">
      <c r="A946" s="11"/>
      <c r="B946" s="12"/>
      <c r="C946" s="13"/>
      <c r="D946" s="13"/>
      <c r="E946" s="14"/>
      <c r="F946" s="15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</row>
    <row r="947" ht="13.8" spans="1:17">
      <c r="A947" s="11"/>
      <c r="B947" s="12"/>
      <c r="C947" s="13"/>
      <c r="D947" s="13"/>
      <c r="E947" s="14"/>
      <c r="F947" s="15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</row>
    <row r="948" ht="13.8" spans="1:17">
      <c r="A948" s="11"/>
      <c r="B948" s="12"/>
      <c r="C948" s="13"/>
      <c r="D948" s="13"/>
      <c r="E948" s="14"/>
      <c r="F948" s="15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</row>
    <row r="949" ht="13.8" spans="1:17">
      <c r="A949" s="11"/>
      <c r="B949" s="12"/>
      <c r="C949" s="13"/>
      <c r="D949" s="13"/>
      <c r="E949" s="14"/>
      <c r="F949" s="15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</row>
    <row r="950" ht="13.8" spans="1:17">
      <c r="A950" s="11"/>
      <c r="B950" s="12"/>
      <c r="C950" s="13"/>
      <c r="D950" s="13"/>
      <c r="E950" s="14"/>
      <c r="F950" s="15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</row>
    <row r="951" ht="13.8" spans="1:17">
      <c r="A951" s="11"/>
      <c r="B951" s="12"/>
      <c r="C951" s="13"/>
      <c r="D951" s="13"/>
      <c r="E951" s="14"/>
      <c r="F951" s="15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</row>
    <row r="952" ht="13.8" spans="1:17">
      <c r="A952" s="11"/>
      <c r="B952" s="12"/>
      <c r="C952" s="13"/>
      <c r="D952" s="13"/>
      <c r="E952" s="14"/>
      <c r="F952" s="15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</row>
    <row r="953" ht="13.8" spans="1:17">
      <c r="A953" s="11"/>
      <c r="B953" s="12"/>
      <c r="C953" s="13"/>
      <c r="D953" s="13"/>
      <c r="E953" s="14"/>
      <c r="F953" s="15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</row>
    <row r="954" ht="13.8" spans="1:17">
      <c r="A954" s="11"/>
      <c r="B954" s="12"/>
      <c r="C954" s="13"/>
      <c r="D954" s="13"/>
      <c r="E954" s="14"/>
      <c r="F954" s="15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</row>
    <row r="955" ht="13.8" spans="1:17">
      <c r="A955" s="11"/>
      <c r="B955" s="12"/>
      <c r="C955" s="13"/>
      <c r="D955" s="13"/>
      <c r="E955" s="14"/>
      <c r="F955" s="15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</row>
    <row r="956" ht="13.8" spans="1:17">
      <c r="A956" s="11"/>
      <c r="B956" s="12"/>
      <c r="C956" s="13"/>
      <c r="D956" s="13"/>
      <c r="E956" s="14"/>
      <c r="F956" s="15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</row>
    <row r="957" ht="13.8" spans="1:17">
      <c r="A957" s="11"/>
      <c r="B957" s="12"/>
      <c r="C957" s="13"/>
      <c r="D957" s="13"/>
      <c r="E957" s="14"/>
      <c r="F957" s="15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</row>
    <row r="958" ht="13.8" spans="1:17">
      <c r="A958" s="11"/>
      <c r="B958" s="12"/>
      <c r="C958" s="13"/>
      <c r="D958" s="13"/>
      <c r="E958" s="14"/>
      <c r="F958" s="15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</row>
    <row r="959" ht="13.8" spans="1:17">
      <c r="A959" s="11"/>
      <c r="B959" s="12"/>
      <c r="C959" s="13"/>
      <c r="D959" s="13"/>
      <c r="E959" s="14"/>
      <c r="F959" s="15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</row>
    <row r="960" ht="13.8" spans="1:17">
      <c r="A960" s="11"/>
      <c r="B960" s="12"/>
      <c r="C960" s="13"/>
      <c r="D960" s="13"/>
      <c r="E960" s="14"/>
      <c r="F960" s="15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</row>
    <row r="961" ht="13.8" spans="1:17">
      <c r="A961" s="11"/>
      <c r="B961" s="12"/>
      <c r="C961" s="13"/>
      <c r="D961" s="13"/>
      <c r="E961" s="14"/>
      <c r="F961" s="15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</row>
    <row r="962" ht="13.8" spans="1:17">
      <c r="A962" s="11"/>
      <c r="B962" s="12"/>
      <c r="C962" s="13"/>
      <c r="D962" s="13"/>
      <c r="E962" s="14"/>
      <c r="F962" s="15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</row>
    <row r="963" ht="13.8" spans="1:17">
      <c r="A963" s="11"/>
      <c r="B963" s="12"/>
      <c r="C963" s="13"/>
      <c r="D963" s="13"/>
      <c r="E963" s="14"/>
      <c r="F963" s="15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</row>
    <row r="964" ht="13.8" spans="1:17">
      <c r="A964" s="11"/>
      <c r="B964" s="12"/>
      <c r="C964" s="13"/>
      <c r="D964" s="13"/>
      <c r="E964" s="14"/>
      <c r="F964" s="15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</row>
    <row r="965" ht="13.8" spans="1:17">
      <c r="A965" s="11"/>
      <c r="B965" s="12"/>
      <c r="C965" s="13"/>
      <c r="D965" s="13"/>
      <c r="E965" s="14"/>
      <c r="F965" s="15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</row>
    <row r="966" ht="13.8" spans="1:17">
      <c r="A966" s="11"/>
      <c r="B966" s="12"/>
      <c r="C966" s="13"/>
      <c r="D966" s="13"/>
      <c r="E966" s="14"/>
      <c r="F966" s="15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</row>
    <row r="967" ht="13.8" spans="1:17">
      <c r="A967" s="11"/>
      <c r="B967" s="12"/>
      <c r="C967" s="13"/>
      <c r="D967" s="13"/>
      <c r="E967" s="14"/>
      <c r="F967" s="15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</row>
    <row r="968" ht="13.8" spans="1:17">
      <c r="A968" s="11"/>
      <c r="B968" s="12"/>
      <c r="C968" s="13"/>
      <c r="D968" s="13"/>
      <c r="E968" s="14"/>
      <c r="F968" s="15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</row>
    <row r="969" ht="13.8" spans="1:17">
      <c r="A969" s="11"/>
      <c r="B969" s="12"/>
      <c r="C969" s="13"/>
      <c r="D969" s="13"/>
      <c r="E969" s="14"/>
      <c r="F969" s="15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</row>
    <row r="970" ht="13.8" spans="1:17">
      <c r="A970" s="11"/>
      <c r="B970" s="12"/>
      <c r="C970" s="13"/>
      <c r="D970" s="13"/>
      <c r="E970" s="14"/>
      <c r="F970" s="15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</row>
    <row r="971" ht="13.8" spans="1:17">
      <c r="A971" s="11"/>
      <c r="B971" s="12"/>
      <c r="C971" s="13"/>
      <c r="D971" s="13"/>
      <c r="E971" s="14"/>
      <c r="F971" s="15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</row>
    <row r="972" ht="13.8" spans="1:17">
      <c r="A972" s="11"/>
      <c r="B972" s="12"/>
      <c r="C972" s="13"/>
      <c r="D972" s="13"/>
      <c r="E972" s="14"/>
      <c r="F972" s="15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</row>
    <row r="973" ht="13.8" spans="1:17">
      <c r="A973" s="11"/>
      <c r="B973" s="12"/>
      <c r="C973" s="13"/>
      <c r="D973" s="13"/>
      <c r="E973" s="14"/>
      <c r="F973" s="15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</row>
    <row r="974" ht="13.8" spans="1:17">
      <c r="A974" s="11"/>
      <c r="B974" s="12"/>
      <c r="C974" s="13"/>
      <c r="D974" s="13"/>
      <c r="E974" s="14"/>
      <c r="F974" s="15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</row>
    <row r="975" ht="13.8" spans="1:17">
      <c r="A975" s="11"/>
      <c r="B975" s="12"/>
      <c r="C975" s="13"/>
      <c r="D975" s="13"/>
      <c r="E975" s="14"/>
      <c r="F975" s="15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</row>
    <row r="976" ht="13.8" spans="1:17">
      <c r="A976" s="11"/>
      <c r="B976" s="12"/>
      <c r="C976" s="13"/>
      <c r="D976" s="13"/>
      <c r="E976" s="14"/>
      <c r="F976" s="15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</row>
    <row r="977" ht="13.8" spans="1:17">
      <c r="A977" s="11"/>
      <c r="B977" s="12"/>
      <c r="C977" s="13"/>
      <c r="D977" s="13"/>
      <c r="E977" s="14"/>
      <c r="F977" s="15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</row>
    <row r="978" ht="13.8" spans="1:17">
      <c r="A978" s="11"/>
      <c r="B978" s="12"/>
      <c r="C978" s="13"/>
      <c r="D978" s="13"/>
      <c r="E978" s="14"/>
      <c r="F978" s="15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</row>
    <row r="979" ht="13.8" spans="1:17">
      <c r="A979" s="11"/>
      <c r="B979" s="12"/>
      <c r="C979" s="13"/>
      <c r="D979" s="13"/>
      <c r="E979" s="14"/>
      <c r="F979" s="15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</row>
    <row r="980" ht="13.8" spans="1:17">
      <c r="A980" s="11"/>
      <c r="B980" s="12"/>
      <c r="C980" s="13"/>
      <c r="D980" s="13"/>
      <c r="E980" s="14"/>
      <c r="F980" s="15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</row>
    <row r="981" ht="13.8" spans="1:17">
      <c r="A981" s="11"/>
      <c r="B981" s="12"/>
      <c r="C981" s="13"/>
      <c r="D981" s="13"/>
      <c r="E981" s="14"/>
      <c r="F981" s="15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</row>
    <row r="982" ht="13.8" spans="1:17">
      <c r="A982" s="11"/>
      <c r="B982" s="12"/>
      <c r="C982" s="13"/>
      <c r="D982" s="13"/>
      <c r="E982" s="14"/>
      <c r="F982" s="15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</row>
    <row r="983" ht="13.8" spans="1:17">
      <c r="A983" s="11"/>
      <c r="B983" s="12"/>
      <c r="C983" s="13"/>
      <c r="D983" s="13"/>
      <c r="E983" s="14"/>
      <c r="F983" s="15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</row>
    <row r="984" ht="13.8" spans="1:17">
      <c r="A984" s="11"/>
      <c r="B984" s="12"/>
      <c r="C984" s="13"/>
      <c r="D984" s="13"/>
      <c r="E984" s="14"/>
      <c r="F984" s="15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</row>
    <row r="985" ht="13.8" spans="1:17">
      <c r="A985" s="11"/>
      <c r="B985" s="12"/>
      <c r="C985" s="13"/>
      <c r="D985" s="13"/>
      <c r="E985" s="14"/>
      <c r="F985" s="15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</row>
    <row r="986" ht="13.8" spans="1:17">
      <c r="A986" s="11"/>
      <c r="B986" s="12"/>
      <c r="C986" s="13"/>
      <c r="D986" s="13"/>
      <c r="E986" s="14"/>
      <c r="F986" s="15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</row>
    <row r="987" ht="13.8" spans="1:17">
      <c r="A987" s="11"/>
      <c r="B987" s="12"/>
      <c r="C987" s="13"/>
      <c r="D987" s="13"/>
      <c r="E987" s="14"/>
      <c r="F987" s="15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</row>
    <row r="988" ht="13.8" spans="1:17">
      <c r="A988" s="11"/>
      <c r="B988" s="12"/>
      <c r="C988" s="13"/>
      <c r="D988" s="13"/>
      <c r="E988" s="14"/>
      <c r="F988" s="15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</row>
    <row r="989" ht="13.8" spans="1:17">
      <c r="A989" s="11"/>
      <c r="B989" s="12"/>
      <c r="C989" s="13"/>
      <c r="D989" s="13"/>
      <c r="E989" s="14"/>
      <c r="F989" s="15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</row>
    <row r="990" ht="13.8" spans="1:17">
      <c r="A990" s="11"/>
      <c r="B990" s="12"/>
      <c r="C990" s="13"/>
      <c r="D990" s="13"/>
      <c r="E990" s="14"/>
      <c r="F990" s="15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</row>
    <row r="991" ht="13.8" spans="1:17">
      <c r="A991" s="11"/>
      <c r="B991" s="12"/>
      <c r="C991" s="13"/>
      <c r="D991" s="13"/>
      <c r="E991" s="14"/>
      <c r="F991" s="15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</row>
    <row r="992" ht="13.8" spans="1:17">
      <c r="A992" s="11"/>
      <c r="B992" s="12"/>
      <c r="C992" s="13"/>
      <c r="D992" s="13"/>
      <c r="E992" s="14"/>
      <c r="F992" s="15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</row>
    <row r="993" ht="13.8" spans="1:17">
      <c r="A993" s="11"/>
      <c r="B993" s="12"/>
      <c r="C993" s="13"/>
      <c r="D993" s="13"/>
      <c r="E993" s="14"/>
      <c r="F993" s="15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</row>
    <row r="994" ht="13.8" spans="1:17">
      <c r="A994" s="11"/>
      <c r="B994" s="12"/>
      <c r="C994" s="13"/>
      <c r="D994" s="13"/>
      <c r="E994" s="14"/>
      <c r="F994" s="15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</row>
    <row r="995" ht="13.8" spans="1:17">
      <c r="A995" s="11"/>
      <c r="B995" s="12"/>
      <c r="C995" s="13"/>
      <c r="D995" s="13"/>
      <c r="E995" s="14"/>
      <c r="F995" s="15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</row>
    <row r="996" ht="13.8" spans="1:17">
      <c r="A996" s="11"/>
      <c r="B996" s="12"/>
      <c r="C996" s="13"/>
      <c r="D996" s="13"/>
      <c r="E996" s="14"/>
      <c r="F996" s="15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</row>
  </sheetData>
  <conditionalFormatting sqref="N1:Q996">
    <cfRule type="cellIs" dxfId="0" priority="1" operator="equal">
      <formula>"LOAD PENDING"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Faculty Details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</dc:creator>
  <cp:lastModifiedBy>kalai</cp:lastModifiedBy>
  <dcterms:created xsi:type="dcterms:W3CDTF">2026-02-11T04:30:48Z</dcterms:created>
  <dcterms:modified xsi:type="dcterms:W3CDTF">2026-02-11T04:31:29Z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33B0C7A151064F1181C61D65BD3E2043_11</vt:lpwstr>
  </property>
  <property fmtid="{D5CDD505-2E9C-101B-9397-08002B2CF9AE}" pid="3" name="KSOProductBuildVer">
    <vt:lpwstr>1033-12.2.0.23196</vt:lpwstr>
  </property>
</Properties>
</file>