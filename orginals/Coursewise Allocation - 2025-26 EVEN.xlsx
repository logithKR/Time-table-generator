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o of Courses" sheetId="1" r:id="rId5"/>
    <sheet state="visible" name="Faculty Details" sheetId="2" r:id="rId6"/>
    <sheet state="visible" name="AGRI" sheetId="3" r:id="rId7"/>
    <sheet state="visible" name="AIDS" sheetId="4" r:id="rId8"/>
    <sheet state="visible" name="AIML" sheetId="5" r:id="rId9"/>
    <sheet state="visible" name="BME" sheetId="6" r:id="rId10"/>
    <sheet state="visible" name="CSBS" sheetId="7" r:id="rId11"/>
    <sheet state="visible" name="CSE" sheetId="8" r:id="rId12"/>
    <sheet state="visible" name="BT" sheetId="9" r:id="rId13"/>
    <sheet state="visible" name="CSD" sheetId="10" r:id="rId14"/>
    <sheet state="visible" name="EEE" sheetId="11" r:id="rId15"/>
    <sheet state="visible" name="CIVIL" sheetId="12" r:id="rId16"/>
    <sheet state="visible" name="ISE" sheetId="13" r:id="rId17"/>
    <sheet state="visible" name="ECE" sheetId="14" r:id="rId18"/>
    <sheet state="visible" name="CT" sheetId="15" r:id="rId19"/>
    <sheet state="visible" name="MTRS" sheetId="16" r:id="rId20"/>
    <sheet state="visible" name="IT" sheetId="17" r:id="rId21"/>
    <sheet state="visible" name="EIE" sheetId="18" r:id="rId22"/>
    <sheet state="visible" name="FD" sheetId="19" r:id="rId23"/>
    <sheet state="visible" name="MECH" sheetId="20" r:id="rId24"/>
    <sheet state="visible" name="FT" sheetId="21" r:id="rId25"/>
    <sheet state="visible" name="TXT" sheetId="22" r:id="rId26"/>
    <sheet state="visible" name="SMS" sheetId="23" r:id="rId27"/>
    <sheet state="visible" name="Consolidated Sheet" sheetId="24" r:id="rId28"/>
    <sheet state="visible" name="Sheet55" sheetId="25" r:id="rId29"/>
    <sheet state="visible" name="Common Course" sheetId="26" r:id="rId30"/>
    <sheet state="visible" name="Status" sheetId="27" r:id="rId31"/>
    <sheet state="hidden" name="Sheet48" sheetId="28" r:id="rId32"/>
    <sheet state="hidden" name="Altered Faculty Details -07.04." sheetId="29" r:id="rId33"/>
    <sheet state="hidden" name="Sheet41" sheetId="30" r:id="rId34"/>
    <sheet state="hidden" name="Sheet39" sheetId="31" r:id="rId35"/>
    <sheet state="hidden" name="1" sheetId="32" r:id="rId36"/>
    <sheet state="hidden" name="Sheet36" sheetId="33" r:id="rId37"/>
    <sheet state="hidden" name="S4 &amp; S6 LAB COURSE" sheetId="34" r:id="rId38"/>
    <sheet state="hidden" name="S2-Common Courses" sheetId="35" r:id="rId39"/>
    <sheet state="visible" name="S4-Common Courses" sheetId="36" r:id="rId40"/>
    <sheet state="visible" name="S6-Common Courses" sheetId="37" r:id="rId41"/>
    <sheet state="hidden" name="Physics" sheetId="38" r:id="rId42"/>
    <sheet state="hidden" name="Chemistry" sheetId="39" r:id="rId43"/>
    <sheet state="hidden" name="Maths" sheetId="40" r:id="rId44"/>
    <sheet state="hidden" name="Sheet32" sheetId="41" r:id="rId45"/>
  </sheets>
  <definedNames>
    <definedName hidden="1" localSheetId="25" name="_xlnm._FilterDatabase">'Common Course'!$A$1:$F$486</definedName>
    <definedName hidden="1" localSheetId="28" name="_xlnm._FilterDatabase">'Altered Faculty Details -07.04.'!$A$1:$K$15</definedName>
    <definedName hidden="1" localSheetId="29" name="_xlnm._FilterDatabase">Sheet41!$A$1:$F$112</definedName>
    <definedName hidden="1" localSheetId="31" name="_xlnm._FilterDatabase">'1'!$A$1:$H$2758</definedName>
    <definedName hidden="1" localSheetId="33" name="_xlnm._FilterDatabase">'S4 &amp; S6 LAB COURSE'!$A$1:$Z$172</definedName>
  </definedNames>
  <calcPr/>
  <pivotCaches>
    <pivotCache cacheId="0" r:id="rId46"/>
    <pivotCache cacheId="1" r:id="rId47"/>
  </pivotCaches>
</workbook>
</file>

<file path=xl/sharedStrings.xml><?xml version="1.0" encoding="utf-8"?>
<sst xmlns="http://schemas.openxmlformats.org/spreadsheetml/2006/main" count="23291" uniqueCount="2842">
  <si>
    <t>AGRI</t>
  </si>
  <si>
    <t>PROFESSIONAL ELECTIVE I</t>
  </si>
  <si>
    <t>22AG040</t>
  </si>
  <si>
    <t>TECHNOLOGY OF SEED PROCESSING</t>
  </si>
  <si>
    <t>AIDS</t>
  </si>
  <si>
    <t>22AI043</t>
  </si>
  <si>
    <t>PYTHON FOR DATA SCIENCE</t>
  </si>
  <si>
    <t>22AI002</t>
  </si>
  <si>
    <t>UI AND UX DESIGN</t>
  </si>
  <si>
    <t>AIML</t>
  </si>
  <si>
    <t>22AM002</t>
  </si>
  <si>
    <t>22AM027</t>
  </si>
  <si>
    <t>MOBILE AND WEB APPLICATION</t>
  </si>
  <si>
    <t>BT</t>
  </si>
  <si>
    <t>22BT012</t>
  </si>
  <si>
    <t>BIODIVERSITY AND AGROFORESTRY</t>
  </si>
  <si>
    <t>22BT003</t>
  </si>
  <si>
    <t>ENVIRONMENTAL BIOTECHNOLOGY</t>
  </si>
  <si>
    <t>CSE</t>
  </si>
  <si>
    <t>22CS008</t>
  </si>
  <si>
    <t>22CS007</t>
  </si>
  <si>
    <t>AGILE SOFTWARE DEVELOPMENT</t>
  </si>
  <si>
    <t>22CS039</t>
  </si>
  <si>
    <t>INTERNET OF THINGS</t>
  </si>
  <si>
    <t>CSBS</t>
  </si>
  <si>
    <t>22CB031</t>
  </si>
  <si>
    <t>INTRODUCTION TO INNOVATION IP MANAGEMENT AND ENTREPRENEURSHIP</t>
  </si>
  <si>
    <t>EEE</t>
  </si>
  <si>
    <t>22EE007</t>
  </si>
  <si>
    <t>ADVANCED POWER SEMICONDUCTOR DEVICES</t>
  </si>
  <si>
    <t>22EE033</t>
  </si>
  <si>
    <t>ILLUMINATION ENGINEERING</t>
  </si>
  <si>
    <t>ECE</t>
  </si>
  <si>
    <t>22EC001</t>
  </si>
  <si>
    <t>ADVANCED PROCESSOR ARCHITECTURES</t>
  </si>
  <si>
    <t>22EC040</t>
  </si>
  <si>
    <t>PYTHON PROGRAMMING FOR AI AND ML</t>
  </si>
  <si>
    <t>EIE</t>
  </si>
  <si>
    <t>22EI014</t>
  </si>
  <si>
    <t>ANALYTICAL INSTRUMENTS</t>
  </si>
  <si>
    <t>IT</t>
  </si>
  <si>
    <t>22IT007</t>
  </si>
  <si>
    <t>22IT008</t>
  </si>
  <si>
    <t>MECH</t>
  </si>
  <si>
    <t>22ME001</t>
  </si>
  <si>
    <t>CONCEPTS OF ENGINEERING DESIGN</t>
  </si>
  <si>
    <t>MTRS</t>
  </si>
  <si>
    <t>22MC015</t>
  </si>
  <si>
    <t>AUTOMOTIVE INFOTRONICS</t>
  </si>
  <si>
    <t>ADD ON</t>
  </si>
  <si>
    <t>22AG016</t>
  </si>
  <si>
    <t>FOOD SAFETY MANAGEMENT SYSTEMS</t>
  </si>
  <si>
    <t>PROFESSIONAL ELECTIVE III</t>
  </si>
  <si>
    <t>22AG008</t>
  </si>
  <si>
    <t>GROUNDWATER, WELLS AND PUMPS</t>
  </si>
  <si>
    <t>PROFESSIONAL ELECTIVE IV</t>
  </si>
  <si>
    <t>22AG001</t>
  </si>
  <si>
    <t>HUMAN ENGINEERING AND SAFETY</t>
  </si>
  <si>
    <t>PROFESSIONAL ELECTIVE V</t>
  </si>
  <si>
    <t>22AG017</t>
  </si>
  <si>
    <t>EMERGING TECHNOLOGIES IN FOOD PROCESS ENGINEERING</t>
  </si>
  <si>
    <t>22AI029</t>
  </si>
  <si>
    <t>QUANTUM COMPUTING</t>
  </si>
  <si>
    <t>22AI049</t>
  </si>
  <si>
    <t>ETHICS IN DATA SCIENCE</t>
  </si>
  <si>
    <t>22AI020</t>
  </si>
  <si>
    <t>REINFORCEMENT LEARNING</t>
  </si>
  <si>
    <t>22AI032</t>
  </si>
  <si>
    <t>RECOMMENDER SYSTEMS</t>
  </si>
  <si>
    <t>22AI025</t>
  </si>
  <si>
    <t>KNOWLEDGE ENGINEERING</t>
  </si>
  <si>
    <t>22AI035</t>
  </si>
  <si>
    <t>BUSINESS ANALYTICS</t>
  </si>
  <si>
    <t>22AI036</t>
  </si>
  <si>
    <t>DIGITAL MARKETING AND MANAGEMENT</t>
  </si>
  <si>
    <t>22AM006</t>
  </si>
  <si>
    <t>DEVOPS</t>
  </si>
  <si>
    <t>22AM005</t>
  </si>
  <si>
    <t>SOFTWARE TESTING AND AUTOMATION</t>
  </si>
  <si>
    <t>22AM014</t>
  </si>
  <si>
    <t>MODERN CRYTOGRAPHY</t>
  </si>
  <si>
    <t>22AM034</t>
  </si>
  <si>
    <t>BUSINESS INTELLIGENCE</t>
  </si>
  <si>
    <t>BME</t>
  </si>
  <si>
    <t>22BM022</t>
  </si>
  <si>
    <t>PROSTHETIC AND ORTHOTIC DEVICES</t>
  </si>
  <si>
    <t>OPEN ELECTIVE</t>
  </si>
  <si>
    <t>22OBM01</t>
  </si>
  <si>
    <t>Occupational Safety And Health In Public Health</t>
  </si>
  <si>
    <t>22BM005</t>
  </si>
  <si>
    <t>ADVANCED MEDICAL IMAGE ANALYSIS</t>
  </si>
  <si>
    <t>22BM031</t>
  </si>
  <si>
    <t>MEDICAL OPTICS</t>
  </si>
  <si>
    <t>22BM011</t>
  </si>
  <si>
    <t>REHABILITATION AND ROBOTICS ENGINEERING</t>
  </si>
  <si>
    <t>22BT013</t>
  </si>
  <si>
    <t>BIOSENSORS</t>
  </si>
  <si>
    <t>22OBT01</t>
  </si>
  <si>
    <t>BIOFUELS</t>
  </si>
  <si>
    <t>22BT036</t>
  </si>
  <si>
    <t>BASIC PRODUCTION ON MEDICAL BIOTECHNOLOGY</t>
  </si>
  <si>
    <t>22BT042</t>
  </si>
  <si>
    <t xml:space="preserve">CLINICAL TRIALS AND HEALTHCARE POLICIES IN BIOTECHNOLOGY </t>
  </si>
  <si>
    <t>22BT046</t>
  </si>
  <si>
    <t>BIOSAFETY AND HAZARD MANAGEMENT</t>
  </si>
  <si>
    <t>22BT004</t>
  </si>
  <si>
    <t>BIOENERGY AND BIOFUELS</t>
  </si>
  <si>
    <t>22BT040</t>
  </si>
  <si>
    <t>VACCINE TECHNOLOGY</t>
  </si>
  <si>
    <t>22BT010</t>
  </si>
  <si>
    <t>FOOD PROCESS &amp; TECHNOLOGY</t>
  </si>
  <si>
    <t>CIVIL</t>
  </si>
  <si>
    <t>22CE015</t>
  </si>
  <si>
    <t>COST EFFECTIVE CONSTRUCTION AND GREEN BUILDING</t>
  </si>
  <si>
    <t>22OCE02</t>
  </si>
  <si>
    <t>COST MANAGEMENT OF ENGINEERING PROJECTS</t>
  </si>
  <si>
    <t>22CE016</t>
  </si>
  <si>
    <t>PREFABRICATED STRUCTURES AND PRE-ENGINEERED BUILDING</t>
  </si>
  <si>
    <t>22CE020</t>
  </si>
  <si>
    <t>GEOENVIRONMENTAL ENGINEERING</t>
  </si>
  <si>
    <t>22CE026</t>
  </si>
  <si>
    <t>MASS TRANSPORTATION SYSTEMS</t>
  </si>
  <si>
    <t>22CS034</t>
  </si>
  <si>
    <t>ETHICS AND AI</t>
  </si>
  <si>
    <t>22OCS01</t>
  </si>
  <si>
    <t>OBJECT ORIENTED PROGRAMMING</t>
  </si>
  <si>
    <t>22CS011</t>
  </si>
  <si>
    <t>22CS035</t>
  </si>
  <si>
    <t>SOFTWARE QUALITY ASSURANCE</t>
  </si>
  <si>
    <t>22CS031</t>
  </si>
  <si>
    <t>SOFT COMPUTING</t>
  </si>
  <si>
    <t>22CS002</t>
  </si>
  <si>
    <t>22CS029</t>
  </si>
  <si>
    <t>DIGITAL MARKETING</t>
  </si>
  <si>
    <t>22CS040</t>
  </si>
  <si>
    <t>22CB030</t>
  </si>
  <si>
    <t>IT PROJECT MANAGEMENT</t>
  </si>
  <si>
    <t>22CB008</t>
  </si>
  <si>
    <t>MODERN WEB APPLICATIONS</t>
  </si>
  <si>
    <t>22CB021</t>
  </si>
  <si>
    <t>MACHINE LEARNING</t>
  </si>
  <si>
    <t>22CB028</t>
  </si>
  <si>
    <t>FINANCIAL MANAGEMENT</t>
  </si>
  <si>
    <t>CSD</t>
  </si>
  <si>
    <t>22CD022</t>
  </si>
  <si>
    <t>VIDEO CREATION AND EDITING</t>
  </si>
  <si>
    <t>22CD023</t>
  </si>
  <si>
    <t>22CD019</t>
  </si>
  <si>
    <t>MULTIMEDIA AND ANIMATION</t>
  </si>
  <si>
    <t>22CD014</t>
  </si>
  <si>
    <t>CLOUD SERVICES AND DATA MANAGEMENT</t>
  </si>
  <si>
    <t>CT</t>
  </si>
  <si>
    <t>22CT038</t>
  </si>
  <si>
    <t>HUMAN COMPUTER INTERACTION</t>
  </si>
  <si>
    <t>22CT019</t>
  </si>
  <si>
    <t>CYBER SECURITY</t>
  </si>
  <si>
    <t>22CT025</t>
  </si>
  <si>
    <t>22CT040</t>
  </si>
  <si>
    <t>22EE011</t>
  </si>
  <si>
    <t>ELECTRIC DRIVES AND CONTROL</t>
  </si>
  <si>
    <t>22OEE01</t>
  </si>
  <si>
    <t>VALUE ENGINEERING</t>
  </si>
  <si>
    <t>22EE020</t>
  </si>
  <si>
    <t>WIND POWER TECHNOLOGY</t>
  </si>
  <si>
    <t>22EE035</t>
  </si>
  <si>
    <t>ENERGY AUDITING AND MANAGEMENT</t>
  </si>
  <si>
    <t>22EE037</t>
  </si>
  <si>
    <t>ARTIFICIAL INTELLIGENCE IN ELECTRICAL ENGINEERING</t>
  </si>
  <si>
    <t>22EC003</t>
  </si>
  <si>
    <t>EMBEDDED C PROGRAMMING</t>
  </si>
  <si>
    <t>22OEC03</t>
  </si>
  <si>
    <t>PRINCIPLES OF COMMUNICATION SYSTEMS</t>
  </si>
  <si>
    <t>22EC046</t>
  </si>
  <si>
    <t>AUTOMOTIVE ELECTRONICS AND NETWORKING</t>
  </si>
  <si>
    <t>22EC015</t>
  </si>
  <si>
    <t>ASIC DESIGN</t>
  </si>
  <si>
    <t>22EC006</t>
  </si>
  <si>
    <t>VIRTUAL INSTRUMENTATION IN EMBEDDED SYSTEMS</t>
  </si>
  <si>
    <t>22EC004</t>
  </si>
  <si>
    <t>REAL-TIME OPERATING SYSTEMS</t>
  </si>
  <si>
    <t>22EC021</t>
  </si>
  <si>
    <t>DIGITAL IMAGE PROCESSING</t>
  </si>
  <si>
    <t>22EC043</t>
  </si>
  <si>
    <t>22EI009</t>
  </si>
  <si>
    <t>BUILDING AUTOMATION</t>
  </si>
  <si>
    <t>22OEI01</t>
  </si>
  <si>
    <t>PROGRAMMABLE LOGIC CONTROLLER</t>
  </si>
  <si>
    <t>22EI016</t>
  </si>
  <si>
    <t>INSTRUMENTATION IN PETROCHEMICAL INDUSTRIES</t>
  </si>
  <si>
    <t>22EI017</t>
  </si>
  <si>
    <t>FIBER OPTICS AND LASER INSTRUMENTATION</t>
  </si>
  <si>
    <t>22EI018</t>
  </si>
  <si>
    <t>POWER PLANT INSTRUMENTATION AND CONTROL</t>
  </si>
  <si>
    <t>FT</t>
  </si>
  <si>
    <t>22FT007</t>
  </si>
  <si>
    <t>KNIT WEAR DEVELOPMENT</t>
  </si>
  <si>
    <t>22FT022</t>
  </si>
  <si>
    <t>INTERNATIONAL BUSINESS IN APPAREL INDUSTRY</t>
  </si>
  <si>
    <t>22FT028</t>
  </si>
  <si>
    <t>INTIMATE APPARELS</t>
  </si>
  <si>
    <t>FD</t>
  </si>
  <si>
    <t>22FD035</t>
  </si>
  <si>
    <t>FOOD FERMENTATION TECHNOLOGY</t>
  </si>
  <si>
    <t>22FD040</t>
  </si>
  <si>
    <t>BEVERAGE TECHNOLOGY</t>
  </si>
  <si>
    <t>22FD008</t>
  </si>
  <si>
    <t>NON- THERMAL PROCESSING TECHNIQUES</t>
  </si>
  <si>
    <t>22FD009</t>
  </si>
  <si>
    <t>THERMAL PROCESSING TECHNIQUES</t>
  </si>
  <si>
    <t>ISE</t>
  </si>
  <si>
    <t>22IS041</t>
  </si>
  <si>
    <t>INTERNET MARKETING</t>
  </si>
  <si>
    <t>22IS013</t>
  </si>
  <si>
    <t>22IS001</t>
  </si>
  <si>
    <t>INFORMATION STORAGE AND MANAGEMENT</t>
  </si>
  <si>
    <t>22IS006</t>
  </si>
  <si>
    <t>22IT039</t>
  </si>
  <si>
    <t>22OIT05</t>
  </si>
  <si>
    <t>INFORMATION RETRIEVAL</t>
  </si>
  <si>
    <t>22IT011</t>
  </si>
  <si>
    <t>22IT019</t>
  </si>
  <si>
    <t>22IT002</t>
  </si>
  <si>
    <t>22IT020</t>
  </si>
  <si>
    <t>MODERN CRYPTOGRAPHY</t>
  </si>
  <si>
    <t>22IT050</t>
  </si>
  <si>
    <t>IT INFRASTRUCTURE DESIGN</t>
  </si>
  <si>
    <t>22IT029</t>
  </si>
  <si>
    <t>22ME027</t>
  </si>
  <si>
    <t>POWER PLANT ENGINEERING</t>
  </si>
  <si>
    <t>22ME020</t>
  </si>
  <si>
    <t>TOTAL QUALITY MANAGEMENT</t>
  </si>
  <si>
    <t>22OME04</t>
  </si>
  <si>
    <t>SAFETY ENGINEERING</t>
  </si>
  <si>
    <t>22OME03</t>
  </si>
  <si>
    <t>MAINTENANCE ENGINEERING</t>
  </si>
  <si>
    <t>22ME010</t>
  </si>
  <si>
    <t>ADVANCED CASTING AND FORMING PROCESSES</t>
  </si>
  <si>
    <t>22ME009</t>
  </si>
  <si>
    <t>22ME013</t>
  </si>
  <si>
    <t>PROCESS PLANNING AND COST ESTIMATION</t>
  </si>
  <si>
    <t>22ME058</t>
  </si>
  <si>
    <t>VEHICLE MAINTENANCE</t>
  </si>
  <si>
    <t>22ME028</t>
  </si>
  <si>
    <t>REFRIGERATION AND AIR CONDITIONING</t>
  </si>
  <si>
    <t>22ME021</t>
  </si>
  <si>
    <t>LEAN MANUFACTURING</t>
  </si>
  <si>
    <t>22MC027</t>
  </si>
  <si>
    <t>INDUSTRIAL DRIVES AND CONTROL</t>
  </si>
  <si>
    <t>22MC007</t>
  </si>
  <si>
    <t>CNC TECHNOLOGY</t>
  </si>
  <si>
    <t>22MC014</t>
  </si>
  <si>
    <t>AUTOMOTIVE ELECTRONICS</t>
  </si>
  <si>
    <t>22MC025</t>
  </si>
  <si>
    <t>MEDICAL MECHATRONICS</t>
  </si>
  <si>
    <t>S.No.</t>
  </si>
  <si>
    <t>Faculty ID</t>
  </si>
  <si>
    <t>Salutation</t>
  </si>
  <si>
    <t>Faculty Name</t>
  </si>
  <si>
    <t>Department Name</t>
  </si>
  <si>
    <t>Designation</t>
  </si>
  <si>
    <t>Email</t>
  </si>
  <si>
    <t>Theory Load</t>
  </si>
  <si>
    <t>Lab Load</t>
  </si>
  <si>
    <t>Theory Alloted</t>
  </si>
  <si>
    <t>Lab Alloted</t>
  </si>
  <si>
    <t>Working Status</t>
  </si>
  <si>
    <t>Theory load Status</t>
  </si>
  <si>
    <t>Lab Load Status</t>
  </si>
  <si>
    <t xml:space="preserve">Extra Theory Alloted </t>
  </si>
  <si>
    <t>Extra Lab Alloted</t>
  </si>
  <si>
    <t>AD10543</t>
  </si>
  <si>
    <t>Mr</t>
  </si>
  <si>
    <t>RANJITH G</t>
  </si>
  <si>
    <t>Artificial Intelligence and Data Science</t>
  </si>
  <si>
    <t>Assistant Professor Level III</t>
  </si>
  <si>
    <t>ranjith@bitsathy.ac.in</t>
  </si>
  <si>
    <t>AD10628</t>
  </si>
  <si>
    <t>Dr</t>
  </si>
  <si>
    <t>ARUN KUMAR R</t>
  </si>
  <si>
    <t>Associate Professor</t>
  </si>
  <si>
    <t>arunkumarr@bitsathy.ac.in</t>
  </si>
  <si>
    <t>AD10818</t>
  </si>
  <si>
    <t>ESWARAMOORTHY V</t>
  </si>
  <si>
    <t>Professor</t>
  </si>
  <si>
    <t>eswaramoorthyv@bitsathy.ac.in</t>
  </si>
  <si>
    <t>AD10838</t>
  </si>
  <si>
    <t>Mrs</t>
  </si>
  <si>
    <t>NITHYAPRIYA S</t>
  </si>
  <si>
    <t>nithyapriyas@bitsathy.ac.in</t>
  </si>
  <si>
    <t>AD10928</t>
  </si>
  <si>
    <t>NISHA DEVI K</t>
  </si>
  <si>
    <t>Assistant Professor Level II</t>
  </si>
  <si>
    <t>nishadevik@bitsathy.ac.in</t>
  </si>
  <si>
    <t>AD10931</t>
  </si>
  <si>
    <t>BALASAMY K</t>
  </si>
  <si>
    <t>balasamyk@bitsathy.ac.in</t>
  </si>
  <si>
    <t>AD10936</t>
  </si>
  <si>
    <t>PRABANAND S C</t>
  </si>
  <si>
    <t>prabanandsc@bitsathy.ac.in</t>
  </si>
  <si>
    <t>AD10945</t>
  </si>
  <si>
    <t>SATHEESH N P</t>
  </si>
  <si>
    <t>Assistant Professor Level I</t>
  </si>
  <si>
    <t>satheeshnp@bitsathy.ac.in</t>
  </si>
  <si>
    <t>AD10953</t>
  </si>
  <si>
    <t>RAJ KUMAR V S</t>
  </si>
  <si>
    <t>rajkumarvs@bitsathy.ac.in</t>
  </si>
  <si>
    <t>AD10955</t>
  </si>
  <si>
    <t>Ms</t>
  </si>
  <si>
    <t>ESAKKI MADURA E</t>
  </si>
  <si>
    <t>esakkimadurae@bitsathy.ac.in</t>
  </si>
  <si>
    <t>AD11009</t>
  </si>
  <si>
    <t>DIVYABARATHI P</t>
  </si>
  <si>
    <t>divyabarathip@bitsathy.ac.in</t>
  </si>
  <si>
    <t>AD11016</t>
  </si>
  <si>
    <t>SATHEESHKUMAR S</t>
  </si>
  <si>
    <t>satheeshkumars@bitsathy.ac.in</t>
  </si>
  <si>
    <t>AD11019</t>
  </si>
  <si>
    <t>KIRUTHIGA R</t>
  </si>
  <si>
    <t>kiruthigar@bitsathy.ac.in</t>
  </si>
  <si>
    <t>AD11023</t>
  </si>
  <si>
    <t>VAANATHI S</t>
  </si>
  <si>
    <t>vaanathi@bitsathy.ac.in</t>
  </si>
  <si>
    <t>AD11026</t>
  </si>
  <si>
    <t>CHOZHARAJAN P</t>
  </si>
  <si>
    <t>chozharajanp@bitsathy.ac.in</t>
  </si>
  <si>
    <t>AD11041</t>
  </si>
  <si>
    <t>ASHFORN HERMINA J M</t>
  </si>
  <si>
    <t>ashfornherminajm@bitsathy.ac.in</t>
  </si>
  <si>
    <t>AD11042</t>
  </si>
  <si>
    <t>JEEVITHA S V</t>
  </si>
  <si>
    <t>jeevithasv@bitsathy.ac.in</t>
  </si>
  <si>
    <t>AD11068</t>
  </si>
  <si>
    <t>BENITA GRACIA THANGAM J</t>
  </si>
  <si>
    <t>benitagraciathangam@bitsathy.ac.in</t>
  </si>
  <si>
    <t>AD11069</t>
  </si>
  <si>
    <t>PREMKUMAR C</t>
  </si>
  <si>
    <t>premkumar@bitsathy.ac.in</t>
  </si>
  <si>
    <t>AD1108</t>
  </si>
  <si>
    <t>SUNDARA MURTHY S</t>
  </si>
  <si>
    <t>sundaramurthys@bitsathy.ac.in</t>
  </si>
  <si>
    <t>AD11089</t>
  </si>
  <si>
    <t>RESHMI T S</t>
  </si>
  <si>
    <t>reshmits@bitsathy.ac.in</t>
  </si>
  <si>
    <t>AD11096</t>
  </si>
  <si>
    <t>SUBBULAKSHMI M</t>
  </si>
  <si>
    <t>subbulakshmi@bitsathy.ac.in</t>
  </si>
  <si>
    <t>AD11104</t>
  </si>
  <si>
    <t>KALPANA R</t>
  </si>
  <si>
    <t>kalpana@bitsathy.ac.in</t>
  </si>
  <si>
    <t>AD11111</t>
  </si>
  <si>
    <t>SURIYA V</t>
  </si>
  <si>
    <t>suriya@bitsathy.ac.in</t>
  </si>
  <si>
    <t>AD11112</t>
  </si>
  <si>
    <t>HEMA PRIYA D</t>
  </si>
  <si>
    <t>hemapriyad@bitsathy.ac.in</t>
  </si>
  <si>
    <t>AD11114</t>
  </si>
  <si>
    <t>MANJU M</t>
  </si>
  <si>
    <t>manju@bitsathy.ac.in</t>
  </si>
  <si>
    <t>AD11116</t>
  </si>
  <si>
    <t>PRIYADHARSHNI S</t>
  </si>
  <si>
    <t>priyadharshni@bitsathy.ac.in</t>
  </si>
  <si>
    <t>AD11164</t>
  </si>
  <si>
    <t>SASSON TAFFWIN MOSES S</t>
  </si>
  <si>
    <t>sassontaffwinmosess@bitsathy.ac.in</t>
  </si>
  <si>
    <t>AD11169</t>
  </si>
  <si>
    <t>MANOCHITRA A S</t>
  </si>
  <si>
    <t>manochitra@bitsathy.ac.in</t>
  </si>
  <si>
    <t>AD11193</t>
  </si>
  <si>
    <t>NAVANEETH KUMAR K</t>
  </si>
  <si>
    <t>navaneethkumark@bitsathy.ac.in</t>
  </si>
  <si>
    <t>AD1444</t>
  </si>
  <si>
    <t>GOMATHI R</t>
  </si>
  <si>
    <t>gomathir@bitsathy.ac.in</t>
  </si>
  <si>
    <t>AD1963</t>
  </si>
  <si>
    <t>NANDHINI S S</t>
  </si>
  <si>
    <t>nandhiniss@bitsathy.ac.in</t>
  </si>
  <si>
    <t>AG10092</t>
  </si>
  <si>
    <t>VASUDEVAN M</t>
  </si>
  <si>
    <t>Agricultural Engineering</t>
  </si>
  <si>
    <t>vasudevan@bitsathy.ac.in</t>
  </si>
  <si>
    <t>AG10172</t>
  </si>
  <si>
    <t>VINOTH KUMAR J</t>
  </si>
  <si>
    <t>vinothkumar@bitsathy.ac.in</t>
  </si>
  <si>
    <t>AG10503</t>
  </si>
  <si>
    <t>CHELLADURAI V</t>
  </si>
  <si>
    <t>chelladurai@bitsathy.ac.in</t>
  </si>
  <si>
    <t>AG10895</t>
  </si>
  <si>
    <t>ANANTHI D</t>
  </si>
  <si>
    <t>ananthid@bitsathy.ac.in</t>
  </si>
  <si>
    <t>AG10994</t>
  </si>
  <si>
    <t>MUTHUKUMARAVEL K</t>
  </si>
  <si>
    <t>muthukumaravelk@bitsathy.ac.in</t>
  </si>
  <si>
    <t>AG11049</t>
  </si>
  <si>
    <t>PRAVEEN KUMAR D</t>
  </si>
  <si>
    <t>praveenkumard@bitsathy.ac.in</t>
  </si>
  <si>
    <t>AG11083</t>
  </si>
  <si>
    <t>RAGHUL S</t>
  </si>
  <si>
    <t>raghul@bitsathy.ac.in</t>
  </si>
  <si>
    <t>AG11178</t>
  </si>
  <si>
    <t>SNEKHA A R</t>
  </si>
  <si>
    <t>snekhaar@bitsathy.ac.in</t>
  </si>
  <si>
    <t>AG1312</t>
  </si>
  <si>
    <t>UVARAJA V C</t>
  </si>
  <si>
    <t>uvarajavc@bitsathy.ac.in</t>
  </si>
  <si>
    <t>AM10176</t>
  </si>
  <si>
    <t>SUDHA R</t>
  </si>
  <si>
    <t>Artificial Intelligence and Machine Learning</t>
  </si>
  <si>
    <t>sudha@bitsathy.ac.in</t>
  </si>
  <si>
    <t>AM1025</t>
  </si>
  <si>
    <t>BHARATHI A</t>
  </si>
  <si>
    <t>bharathia@bitsathy.ac.in</t>
  </si>
  <si>
    <t>AM10795</t>
  </si>
  <si>
    <t>PADMASHREE A</t>
  </si>
  <si>
    <t>padmashreea@bitsathy.ac.in</t>
  </si>
  <si>
    <t>AM10907</t>
  </si>
  <si>
    <t>RAJASEKAR S S</t>
  </si>
  <si>
    <t>rajasekarss@bitsathy.ac.in</t>
  </si>
  <si>
    <t>AM10954</t>
  </si>
  <si>
    <t>HARI PRIYA R</t>
  </si>
  <si>
    <t>haripriyar@bitsathy.ac.in</t>
  </si>
  <si>
    <t>AM10956</t>
  </si>
  <si>
    <t>KARTHIKA S</t>
  </si>
  <si>
    <t>karthikas@bitsathy.ac.in</t>
  </si>
  <si>
    <t>AM10971</t>
  </si>
  <si>
    <t>NITHIN P</t>
  </si>
  <si>
    <t>nithinp@bitsathy.ac.in</t>
  </si>
  <si>
    <t>AM11013</t>
  </si>
  <si>
    <t>SATHESHKUMAR K</t>
  </si>
  <si>
    <t>satheshkumar@bitsathy.ac.in</t>
  </si>
  <si>
    <t>AM11039</t>
  </si>
  <si>
    <t>EUGENE BERNA I</t>
  </si>
  <si>
    <t>eugenebernai@bitsathy.ac.in</t>
  </si>
  <si>
    <t>AM11052</t>
  </si>
  <si>
    <t>MOHANAPRIYA K</t>
  </si>
  <si>
    <t>mohanapriyak@bitsathy.ac.in</t>
  </si>
  <si>
    <t>AM11058</t>
  </si>
  <si>
    <t>BALAMURUGAN E</t>
  </si>
  <si>
    <t>balamurugane@bitsathy.ac.in</t>
  </si>
  <si>
    <t>AM11092</t>
  </si>
  <si>
    <t>KANIMOZHI A</t>
  </si>
  <si>
    <t>kanimozhi@bitsathy.ac.in</t>
  </si>
  <si>
    <t>AM11095</t>
  </si>
  <si>
    <t>GAYATHRIDEVI M</t>
  </si>
  <si>
    <t>gayathridevi@bitsathy.ac.in</t>
  </si>
  <si>
    <t>AM11100</t>
  </si>
  <si>
    <t>NISHANTHINI S</t>
  </si>
  <si>
    <t>nishanthinis@bitsathy.ac.in</t>
  </si>
  <si>
    <t>AM11110</t>
  </si>
  <si>
    <t>SASITHRA S</t>
  </si>
  <si>
    <t>sasithra@bitsathy.ac.in</t>
  </si>
  <si>
    <t>AM11113</t>
  </si>
  <si>
    <t>LOKESWARI P</t>
  </si>
  <si>
    <t>lokeswari@bitsathy.ac.in</t>
  </si>
  <si>
    <t>AM11161</t>
  </si>
  <si>
    <t>KARTHIKEYAN G</t>
  </si>
  <si>
    <t>karthikeyang@bitsathy.ac.in</t>
  </si>
  <si>
    <t>AM11166</t>
  </si>
  <si>
    <t>SARANYA M K</t>
  </si>
  <si>
    <t>saranyamk@bitsathy.ac.in</t>
  </si>
  <si>
    <t>AM11168</t>
  </si>
  <si>
    <t>SINDHUJAA N</t>
  </si>
  <si>
    <t>sindhujaan@bitsathy.ac.in</t>
  </si>
  <si>
    <t>AM1131</t>
  </si>
  <si>
    <t>GOPALAKRISHNAN B</t>
  </si>
  <si>
    <t>gopalakrishnanb@bitsathy.ac.in</t>
  </si>
  <si>
    <t>AM2241</t>
  </si>
  <si>
    <t>KODIESWARI A</t>
  </si>
  <si>
    <t>kodieswaria@bitsathy.ac.in</t>
  </si>
  <si>
    <t>AU10440</t>
  </si>
  <si>
    <t>TAMILSELVAN A</t>
  </si>
  <si>
    <t>Automobile Engineering</t>
  </si>
  <si>
    <t>tamilselvan@bitsathy.ac.in</t>
  </si>
  <si>
    <t>AU10645</t>
  </si>
  <si>
    <t>DHAYANEETHI S</t>
  </si>
  <si>
    <t>dhayaneethi@bitsathy.ac.in</t>
  </si>
  <si>
    <t>BM10939</t>
  </si>
  <si>
    <t>CAROLINE VINNETIA S</t>
  </si>
  <si>
    <t>Biomedical Engineering</t>
  </si>
  <si>
    <t>carolinevinnetias@bitsathy.ac.in</t>
  </si>
  <si>
    <t>BM11066</t>
  </si>
  <si>
    <t>SAAHINA S</t>
  </si>
  <si>
    <t>saahina@bitsathy.ac.in</t>
  </si>
  <si>
    <t>BM11071</t>
  </si>
  <si>
    <t>SYED ALTHAF S</t>
  </si>
  <si>
    <t>syedalthaf@bitsathy.ac.in</t>
  </si>
  <si>
    <t>BM11175</t>
  </si>
  <si>
    <t>SREENIVEATHA P</t>
  </si>
  <si>
    <t>sreeniveathap@bitsathy.ac.in</t>
  </si>
  <si>
    <t>BM11176</t>
  </si>
  <si>
    <t>PRATHEEBHA G</t>
  </si>
  <si>
    <t>pratheebhag@bitsathy.ac.in</t>
  </si>
  <si>
    <t>BM1429</t>
  </si>
  <si>
    <t>DEEPA D</t>
  </si>
  <si>
    <t>ddeepa@bitsathy.ac.in</t>
  </si>
  <si>
    <t>BT10375</t>
  </si>
  <si>
    <t>ASHWIN  RAJ S</t>
  </si>
  <si>
    <t>Biotechnology</t>
  </si>
  <si>
    <t>ashwinraj@bitsathy.ac.in</t>
  </si>
  <si>
    <t>BT10708</t>
  </si>
  <si>
    <t>RAJASEETHARAMA S</t>
  </si>
  <si>
    <t>rajaseetharama@bitsathy.ac.in</t>
  </si>
  <si>
    <t>BT10733</t>
  </si>
  <si>
    <t>SWATHI G</t>
  </si>
  <si>
    <t>swathi@bitsathy.ac.in</t>
  </si>
  <si>
    <t>BT10782</t>
  </si>
  <si>
    <t>JEYAVEL KARTHICK P</t>
  </si>
  <si>
    <t>jeyavelkarthick@bitsathy.ac.in</t>
  </si>
  <si>
    <t>BT10950</t>
  </si>
  <si>
    <t>DHIVYA DHARSHINI U</t>
  </si>
  <si>
    <t>dhivyadharshiniu@bitsathy.ac.in</t>
  </si>
  <si>
    <t>BT10978</t>
  </si>
  <si>
    <t>SAKTHISHOBANA K</t>
  </si>
  <si>
    <t>sakthishobanak@bitsathy.ac.in</t>
  </si>
  <si>
    <t>BT10984</t>
  </si>
  <si>
    <t>MAHIMA P</t>
  </si>
  <si>
    <t>mahimap@bitsathy.ac.in</t>
  </si>
  <si>
    <t>BT10988</t>
  </si>
  <si>
    <t>SANDHYARANI R</t>
  </si>
  <si>
    <t>sandhyaranir@bitsathy.ac.in</t>
  </si>
  <si>
    <t>BT10991</t>
  </si>
  <si>
    <t>BALAJI S</t>
  </si>
  <si>
    <t>balajisadhasivam@bitsathy.ac.in</t>
  </si>
  <si>
    <t>BT11033</t>
  </si>
  <si>
    <t>SURESH CHALUVADI</t>
  </si>
  <si>
    <t>sureshchaluvadi@bitsathy.ac.in</t>
  </si>
  <si>
    <t>BT11035</t>
  </si>
  <si>
    <t>NANDHINI N</t>
  </si>
  <si>
    <t>nandhinin@bitsathy.ac.in</t>
  </si>
  <si>
    <t>BT11050</t>
  </si>
  <si>
    <t>VINODHINI R T</t>
  </si>
  <si>
    <t>vinodhinirt@bitsathy.ac.in</t>
  </si>
  <si>
    <t>BT11134</t>
  </si>
  <si>
    <t>SARANYA S</t>
  </si>
  <si>
    <t>saranya@bitsathy.ac.in</t>
  </si>
  <si>
    <t>BT11198</t>
  </si>
  <si>
    <t>SHANKARI V</t>
  </si>
  <si>
    <t>shankariv@bitsathy.ac.in</t>
  </si>
  <si>
    <t>BT1388</t>
  </si>
  <si>
    <t>KANNAN K P</t>
  </si>
  <si>
    <t>kannankp@bitsathy.ac.in</t>
  </si>
  <si>
    <t>BT1477</t>
  </si>
  <si>
    <t>TAMILSELVI S</t>
  </si>
  <si>
    <t>tamilselvis@bitsathy.ac.in</t>
  </si>
  <si>
    <t>BT1606</t>
  </si>
  <si>
    <t>BALAKRISHNARAJA R</t>
  </si>
  <si>
    <t>balakrishnarajar@bitsathy.ac.in</t>
  </si>
  <si>
    <t>BT1849</t>
  </si>
  <si>
    <t>KIRUPA SANKAR M</t>
  </si>
  <si>
    <t>kirupasankarm@bitsathy.ac.in</t>
  </si>
  <si>
    <t>BT1930</t>
  </si>
  <si>
    <t>PAVITHRA MKS</t>
  </si>
  <si>
    <t>pavithramks@bitsathy.ac.in</t>
  </si>
  <si>
    <t>CB10791</t>
  </si>
  <si>
    <t>CHANDRU K S</t>
  </si>
  <si>
    <t>Computer Science and Business Systems</t>
  </si>
  <si>
    <t>chandruks@bitsathy.ac.in</t>
  </si>
  <si>
    <t>CB10890</t>
  </si>
  <si>
    <t>YUVALATHA S</t>
  </si>
  <si>
    <t>yuvalathas@bitsathy.ac.in</t>
  </si>
  <si>
    <t>CB10949</t>
  </si>
  <si>
    <t>MADHUMITHA A</t>
  </si>
  <si>
    <t>madhumithaa@bitsathy.ac.in</t>
  </si>
  <si>
    <t>CB10992</t>
  </si>
  <si>
    <t>SARANYA N</t>
  </si>
  <si>
    <t>saranyanj@bitsathy.ac.in</t>
  </si>
  <si>
    <t>CB11107</t>
  </si>
  <si>
    <t>NAVEENYA B P</t>
  </si>
  <si>
    <t>naveenya@bitsathy.ac.in</t>
  </si>
  <si>
    <t>CB11145</t>
  </si>
  <si>
    <t>DIVYA S</t>
  </si>
  <si>
    <t>divyaks@bitsathy.ac.in</t>
  </si>
  <si>
    <t>CB11170</t>
  </si>
  <si>
    <t>VAISHNAVI N</t>
  </si>
  <si>
    <t>vaishnavin@bitsathy.ac.in</t>
  </si>
  <si>
    <t>CB11172</t>
  </si>
  <si>
    <t>PRABAKAR S J</t>
  </si>
  <si>
    <t>prabakar@bitsathy.ac.in</t>
  </si>
  <si>
    <t>CD11061</t>
  </si>
  <si>
    <t>PREETHIMATHI L</t>
  </si>
  <si>
    <t>Computer Science and Design</t>
  </si>
  <si>
    <t>preethimathi@bitsathy.ac.in</t>
  </si>
  <si>
    <t>CD11062</t>
  </si>
  <si>
    <t>MAHESHKUMAR K</t>
  </si>
  <si>
    <t>maheshkumar@bitsathy.ac.in</t>
  </si>
  <si>
    <t>CD11174</t>
  </si>
  <si>
    <t>KIRUTHIKA S</t>
  </si>
  <si>
    <t>kiruthikas@bitsathy.ac.in</t>
  </si>
  <si>
    <t>CD11177</t>
  </si>
  <si>
    <t>MADHUMATHI S</t>
  </si>
  <si>
    <t>madhumathis@bitsathy.ac.in</t>
  </si>
  <si>
    <t>CD11179</t>
  </si>
  <si>
    <t>SUBHASHREE P</t>
  </si>
  <si>
    <t>subhashreep@bitsathy.ac.in</t>
  </si>
  <si>
    <t>CD11183</t>
  </si>
  <si>
    <t>INDHUMATHI K</t>
  </si>
  <si>
    <t>Assistant Professor Trainee</t>
  </si>
  <si>
    <t>indhumathik@bitsathy.ac.in</t>
  </si>
  <si>
    <t>CE10010</t>
  </si>
  <si>
    <t>MOHANRAJ A</t>
  </si>
  <si>
    <t>Civil Engineering</t>
  </si>
  <si>
    <t>mohanraja@bitsathy.ac.in</t>
  </si>
  <si>
    <t>CE10127</t>
  </si>
  <si>
    <t>GNANASUNDAR V M</t>
  </si>
  <si>
    <t>gnanasundar@bitsathy.ac.in</t>
  </si>
  <si>
    <t>CE10600</t>
  </si>
  <si>
    <t>ASHWATHI R</t>
  </si>
  <si>
    <t>ashwathi@bitsathy.ac.in</t>
  </si>
  <si>
    <t>CE10783</t>
  </si>
  <si>
    <t>JEYANTH B</t>
  </si>
  <si>
    <t>jeyanth@bitsathy.ac.in</t>
  </si>
  <si>
    <t>CE1797</t>
  </si>
  <si>
    <t>KARTHIGA  SHENBAGAM N</t>
  </si>
  <si>
    <t>karthigashenbagamn@bitsathy.ac.in</t>
  </si>
  <si>
    <t>CE1865</t>
  </si>
  <si>
    <t>GEETHAMANI R</t>
  </si>
  <si>
    <t>geethamanir@bitsathy.ac.in</t>
  </si>
  <si>
    <t>CE1954</t>
  </si>
  <si>
    <t>RAJENDRAN M</t>
  </si>
  <si>
    <t>rajendranm@bitsathy.ac.in</t>
  </si>
  <si>
    <t>CH10003</t>
  </si>
  <si>
    <t>SATHISH V</t>
  </si>
  <si>
    <t>Chemistry</t>
  </si>
  <si>
    <t>sathishv@bitsathy.ac.in</t>
  </si>
  <si>
    <t>CH10225</t>
  </si>
  <si>
    <t>MUTHUKUMAR P</t>
  </si>
  <si>
    <t>muthukumar@bitsathy.ac.in</t>
  </si>
  <si>
    <t>CH10314</t>
  </si>
  <si>
    <t>VISWANATHAN G</t>
  </si>
  <si>
    <t>viswanathan@bitsathy.ac.in</t>
  </si>
  <si>
    <t>CH10333</t>
  </si>
  <si>
    <t>MURALI KRISHNAN M</t>
  </si>
  <si>
    <t>muralikrishnan@bitsathy.ac.in</t>
  </si>
  <si>
    <t>CH10372</t>
  </si>
  <si>
    <t>RAMESHKUMAR A</t>
  </si>
  <si>
    <t>rameshkumar@bitsathy.ac.in</t>
  </si>
  <si>
    <t>CH10957</t>
  </si>
  <si>
    <t>DEEPHA V</t>
  </si>
  <si>
    <t>deephav@bitsathy.ac.in</t>
  </si>
  <si>
    <t>CH11057</t>
  </si>
  <si>
    <t>KARUPPUSAMY S</t>
  </si>
  <si>
    <t>karuppusamys@bitsathy.ac.in</t>
  </si>
  <si>
    <t>CH11126</t>
  </si>
  <si>
    <t>JESIN BENETO A</t>
  </si>
  <si>
    <t>jesinbeneto@bitsathy.ac.in</t>
  </si>
  <si>
    <t>CH11127</t>
  </si>
  <si>
    <t>MANIGANDAN S</t>
  </si>
  <si>
    <t>manigandan@bitsathy.ac.in</t>
  </si>
  <si>
    <t>CH11156</t>
  </si>
  <si>
    <t>KASTHURI S</t>
  </si>
  <si>
    <t>kasthuris@bitsathy.ac.in</t>
  </si>
  <si>
    <t>CH1493</t>
  </si>
  <si>
    <t>SUBHAPRIYA P</t>
  </si>
  <si>
    <t>subhapriyap@bitsathy.ac.in</t>
  </si>
  <si>
    <t>CH1557</t>
  </si>
  <si>
    <t>VIJAYANAND P S</t>
  </si>
  <si>
    <t>vijayanandps@bitsathy.ac.in</t>
  </si>
  <si>
    <t>CH1558</t>
  </si>
  <si>
    <t>PRAVEENA R</t>
  </si>
  <si>
    <t>praveenar@bitsathy.ac.in</t>
  </si>
  <si>
    <t>CH1578</t>
  </si>
  <si>
    <t>KAVITHA C</t>
  </si>
  <si>
    <t>kavithac@bitsathy.ac.in</t>
  </si>
  <si>
    <t>CH1894</t>
  </si>
  <si>
    <t>MALATHI MAHALINGAM</t>
  </si>
  <si>
    <t>malathimahalingamm@bitsathy.ac.in</t>
  </si>
  <si>
    <t>CS10025</t>
  </si>
  <si>
    <t>DINESH P S</t>
  </si>
  <si>
    <t>Computer Science &amp; Engineering</t>
  </si>
  <si>
    <t>dineshps@bitsathy.ac.in</t>
  </si>
  <si>
    <t>CS10239</t>
  </si>
  <si>
    <t>KARTHIGA M</t>
  </si>
  <si>
    <t>karthigam@bitsathy.ac.in</t>
  </si>
  <si>
    <t>CS10268</t>
  </si>
  <si>
    <t>GANAGAVALLI K</t>
  </si>
  <si>
    <t>ganagavalli@bitsathy.ac.in</t>
  </si>
  <si>
    <t>CS10308</t>
  </si>
  <si>
    <t>MOHAN KUMAR  V</t>
  </si>
  <si>
    <t>mohankumar@bitsathy.ac.in</t>
  </si>
  <si>
    <t>CS10449</t>
  </si>
  <si>
    <t>PRABHA DEVI D</t>
  </si>
  <si>
    <t>prabhadevi@bitsathy.ac.in</t>
  </si>
  <si>
    <t>CS10473</t>
  </si>
  <si>
    <t>SOUNDARIYA R S</t>
  </si>
  <si>
    <t>soundariya@bitsathy.ac.in</t>
  </si>
  <si>
    <t>CS10538</t>
  </si>
  <si>
    <t>PRAVEEN V</t>
  </si>
  <si>
    <t>praveen@bitsathy.ac.in</t>
  </si>
  <si>
    <t>CS10560</t>
  </si>
  <si>
    <t>SWATHYPRIYADHARSINI P</t>
  </si>
  <si>
    <t>swathypriyadharsini@bitsathy.ac.in</t>
  </si>
  <si>
    <t>CS10767</t>
  </si>
  <si>
    <t>MAGESH KUMAR B</t>
  </si>
  <si>
    <t>mageshkumar@bitsathy.ac.in</t>
  </si>
  <si>
    <t>CS10776</t>
  </si>
  <si>
    <t>SUSEENDRAN S</t>
  </si>
  <si>
    <t>suseendrans@bitsathy.ac.in</t>
  </si>
  <si>
    <t>CS10787</t>
  </si>
  <si>
    <t>PARTHASARATHI P</t>
  </si>
  <si>
    <t>parthasarathip@bitsathy.ac.in</t>
  </si>
  <si>
    <t>CS10789</t>
  </si>
  <si>
    <t>DHIVYA P</t>
  </si>
  <si>
    <t>dhivyap@bitsathy.ac.in</t>
  </si>
  <si>
    <t>CS10797</t>
  </si>
  <si>
    <t>SANGEETHAA SN</t>
  </si>
  <si>
    <t>sangeethaasn@bitsathy.ac.in</t>
  </si>
  <si>
    <t>CS10820</t>
  </si>
  <si>
    <t>RAJESH KANNA P</t>
  </si>
  <si>
    <t>rajeshkannap@bitsathy.ac.in</t>
  </si>
  <si>
    <t>CS10825</t>
  </si>
  <si>
    <t>KIRUTHIKA V R</t>
  </si>
  <si>
    <t>kiruthikavr@bitsathy.ac.in</t>
  </si>
  <si>
    <t>CS10843</t>
  </si>
  <si>
    <t>NITHYA R</t>
  </si>
  <si>
    <t>nithyars@bitsathy.ac.in</t>
  </si>
  <si>
    <t>CS10861</t>
  </si>
  <si>
    <t>SANGAVI N</t>
  </si>
  <si>
    <t>sangavin@bitsathy.ac.in</t>
  </si>
  <si>
    <t>CS10876</t>
  </si>
  <si>
    <t>SATHISHKANNAN R</t>
  </si>
  <si>
    <t>sathishkannanr@bitsathy.ac.in</t>
  </si>
  <si>
    <t>CS10880</t>
  </si>
  <si>
    <t>KALAIVANI E</t>
  </si>
  <si>
    <t>kalaivanie@bitsathy.ac.in</t>
  </si>
  <si>
    <t>CS10906</t>
  </si>
  <si>
    <t>SARANYA K</t>
  </si>
  <si>
    <t>saranyaks@bitsathy.ac.in</t>
  </si>
  <si>
    <t>CS10946</t>
  </si>
  <si>
    <t>RAMASAMI S</t>
  </si>
  <si>
    <t>ramasamis@bitsathy.ac.in</t>
  </si>
  <si>
    <t>CS10963</t>
  </si>
  <si>
    <t>RAJESHKUMAR G</t>
  </si>
  <si>
    <t>rajeshkumarg@bitsathy.ac.in</t>
  </si>
  <si>
    <t>CS10974</t>
  </si>
  <si>
    <t>STEEPHAN AMALRAJ J</t>
  </si>
  <si>
    <t>steephanamalrajj@bitsathy.ac.in</t>
  </si>
  <si>
    <t>CS10983</t>
  </si>
  <si>
    <t>KAVITHA R</t>
  </si>
  <si>
    <t>kavithar@bitsathy.ac.in</t>
  </si>
  <si>
    <t>CS11027</t>
  </si>
  <si>
    <t>SATHYAMOORTHY J</t>
  </si>
  <si>
    <t>sathyamoorthyj@bitsathy.ac.in</t>
  </si>
  <si>
    <t>CS11064</t>
  </si>
  <si>
    <t>MOHANAMBAL K</t>
  </si>
  <si>
    <t>mohanambal@bitsathy.ac.in</t>
  </si>
  <si>
    <t>CS11075</t>
  </si>
  <si>
    <t>CHITRADEVI T N</t>
  </si>
  <si>
    <t>chitradevi@bitsathy.ac.in</t>
  </si>
  <si>
    <t>CS11080</t>
  </si>
  <si>
    <t>AMMU V</t>
  </si>
  <si>
    <t>ammu@bitsathy.ac.in</t>
  </si>
  <si>
    <t>CS11081</t>
  </si>
  <si>
    <t>DEEPA PRIYA B S</t>
  </si>
  <si>
    <t>deepapriya@bitsathy.ac.in</t>
  </si>
  <si>
    <t>CS11084</t>
  </si>
  <si>
    <t>GUNAVARDINI V</t>
  </si>
  <si>
    <t>gunavardini@bitsathy.ac.in</t>
  </si>
  <si>
    <t>CS11086</t>
  </si>
  <si>
    <t>GAYATHRI S</t>
  </si>
  <si>
    <t>gayathris@bitsathy.ac.in</t>
  </si>
  <si>
    <t>CS11087</t>
  </si>
  <si>
    <t>PRIYANGA M A</t>
  </si>
  <si>
    <t>priyanga@bitsathy.ac.in</t>
  </si>
  <si>
    <t>CS11088</t>
  </si>
  <si>
    <t>SATHIYA B</t>
  </si>
  <si>
    <t>sathiya@bitsathy.ac.in</t>
  </si>
  <si>
    <t>CS11094</t>
  </si>
  <si>
    <t>RATHNA S</t>
  </si>
  <si>
    <t>rathna@bitsathy.ac.in</t>
  </si>
  <si>
    <t>CS1110</t>
  </si>
  <si>
    <t>SASIKALA D</t>
  </si>
  <si>
    <t>sasikalad@bitsathy.ac.in</t>
  </si>
  <si>
    <t>CS11101</t>
  </si>
  <si>
    <t>ALAMELU M</t>
  </si>
  <si>
    <t>alamelu@bitsathy.ac.in</t>
  </si>
  <si>
    <t>CS11119</t>
  </si>
  <si>
    <t>PARKAVI S</t>
  </si>
  <si>
    <t>parkavi@bitsathy.ac.in</t>
  </si>
  <si>
    <t>CS11150</t>
  </si>
  <si>
    <t>MYTHILI G M</t>
  </si>
  <si>
    <t>mythili@bitsathy.ac.in</t>
  </si>
  <si>
    <t>CS11157</t>
  </si>
  <si>
    <t>GAYATHIRI DEVI S</t>
  </si>
  <si>
    <t>gayathiridevis@bitsathy.ac.in</t>
  </si>
  <si>
    <t>CS11158</t>
  </si>
  <si>
    <t>KAYALVIZHI B</t>
  </si>
  <si>
    <t>kayalvizhib@bitsathy.ac.in</t>
  </si>
  <si>
    <t>CS11162</t>
  </si>
  <si>
    <t>THANGATAMILSELVI S</t>
  </si>
  <si>
    <t>thangatamilselvis@bitsathy.ac.in</t>
  </si>
  <si>
    <t>CS11163</t>
  </si>
  <si>
    <t>MAHESH S</t>
  </si>
  <si>
    <t>maheshs@bitsathy.ac.in</t>
  </si>
  <si>
    <t>CS11171</t>
  </si>
  <si>
    <t>JACKSON J</t>
  </si>
  <si>
    <t>jacksonj@bitsathy.ac.in</t>
  </si>
  <si>
    <t>CS11180</t>
  </si>
  <si>
    <t>RANGARAJ K</t>
  </si>
  <si>
    <t>rangarajk@bitsathy.ac.in</t>
  </si>
  <si>
    <t>CS11185</t>
  </si>
  <si>
    <t>ASWIN JAYA SURYA M J</t>
  </si>
  <si>
    <t>aswinjayasuryamj@bitsathy.ac.in</t>
  </si>
  <si>
    <t>CS11197</t>
  </si>
  <si>
    <t>GOKUL M S</t>
  </si>
  <si>
    <t>gokulms@bitsathy.ac.in</t>
  </si>
  <si>
    <t>CS1362</t>
  </si>
  <si>
    <t>SATHISHKUMAR P</t>
  </si>
  <si>
    <t>sathishkumarp@bitsathy.ac.in</t>
  </si>
  <si>
    <t>CS1618</t>
  </si>
  <si>
    <t>PREMALATHA K</t>
  </si>
  <si>
    <t>premalathak@bitsathy.ac.in</t>
  </si>
  <si>
    <t>CS1906</t>
  </si>
  <si>
    <t>RAMYA R</t>
  </si>
  <si>
    <t>ramyarv@bitsathy.ac.in</t>
  </si>
  <si>
    <t>CT10659</t>
  </si>
  <si>
    <t>THANGA PARVATHI B</t>
  </si>
  <si>
    <t>Computer Technology</t>
  </si>
  <si>
    <t>btparvathi@bitsathy.ac.in</t>
  </si>
  <si>
    <t>CT10933</t>
  </si>
  <si>
    <t>SWEETY PRASANNA KIRUBA G</t>
  </si>
  <si>
    <t>prasannakiruba@bitsathy.ac.in</t>
  </si>
  <si>
    <t>CT10935</t>
  </si>
  <si>
    <t>NITHYA M</t>
  </si>
  <si>
    <t>nithyam@bitsathy.ac.in</t>
  </si>
  <si>
    <t>CT10965</t>
  </si>
  <si>
    <t>GUNALAN K</t>
  </si>
  <si>
    <t>gunalank@bitsathy.ac.in</t>
  </si>
  <si>
    <t>CT11020</t>
  </si>
  <si>
    <t>ANANDAN P</t>
  </si>
  <si>
    <t>anandan@bitsathy.ac.in</t>
  </si>
  <si>
    <t>CT11030</t>
  </si>
  <si>
    <t>SAVEETHA R</t>
  </si>
  <si>
    <t>saveethar@bitsathy.ac.in</t>
  </si>
  <si>
    <t>CT1349</t>
  </si>
  <si>
    <t>MURUGESAN P</t>
  </si>
  <si>
    <t>murugesanp@bitsathy.ac.in</t>
  </si>
  <si>
    <t>EC10005</t>
  </si>
  <si>
    <t>SANNASI CHAKRAVARTHY S R</t>
  </si>
  <si>
    <t>Electronics and Communication Engineering</t>
  </si>
  <si>
    <t>sannasi@bitsathy.ac.in</t>
  </si>
  <si>
    <t>EC10186</t>
  </si>
  <si>
    <t>SAMPOORNAM K P</t>
  </si>
  <si>
    <t>sampoornam@bitsathy.ac.in</t>
  </si>
  <si>
    <t>EC10194</t>
  </si>
  <si>
    <t>KARTHIKEYAN S</t>
  </si>
  <si>
    <t>karthikeyan@bitsathy.ac.in</t>
  </si>
  <si>
    <t>EC10229</t>
  </si>
  <si>
    <t>saranyan@bitsathy.ac.in</t>
  </si>
  <si>
    <t>EC10443</t>
  </si>
  <si>
    <t>BARANIDHARAN V</t>
  </si>
  <si>
    <t>baranidharan@bitsathy.ac.in</t>
  </si>
  <si>
    <t>EC10581</t>
  </si>
  <si>
    <t>TAMILSELVAN S</t>
  </si>
  <si>
    <t>tamilselvans@bitsathy.ac.in</t>
  </si>
  <si>
    <t>EC10603</t>
  </si>
  <si>
    <t>RAJA SEKAR S</t>
  </si>
  <si>
    <t>rajasekar@bitsathy.ac.in</t>
  </si>
  <si>
    <t>EC10678</t>
  </si>
  <si>
    <t>LEEBAN MOSES M</t>
  </si>
  <si>
    <t>leebanmoses@bitsathy.ac.in</t>
  </si>
  <si>
    <t>EC10680</t>
  </si>
  <si>
    <t>PERARASI T</t>
  </si>
  <si>
    <t>perarasi@bitsathy.ac.in</t>
  </si>
  <si>
    <t>EC10692</t>
  </si>
  <si>
    <t>GAYATHRI R</t>
  </si>
  <si>
    <t>gayathrir@bitsathy.ac.in</t>
  </si>
  <si>
    <t>EC1072</t>
  </si>
  <si>
    <t>POONGODI C</t>
  </si>
  <si>
    <t>poongodic@bitsathy.ac.in</t>
  </si>
  <si>
    <t>EC10725</t>
  </si>
  <si>
    <t>ABINAYA M</t>
  </si>
  <si>
    <t>abinayam@bitsathy.ac.in</t>
  </si>
  <si>
    <t>EC10739</t>
  </si>
  <si>
    <t>ARULMURUGAN L</t>
  </si>
  <si>
    <t>arulmurugan@bitsathy.ac.in</t>
  </si>
  <si>
    <t>EC10764</t>
  </si>
  <si>
    <t>SOUNDARYA B</t>
  </si>
  <si>
    <t>soundarya@bitsathy.ac.in</t>
  </si>
  <si>
    <t>EC10774</t>
  </si>
  <si>
    <t>KRISHNARAJ R</t>
  </si>
  <si>
    <t>krishnarajr@bitsathy.ac.in</t>
  </si>
  <si>
    <t>EC10775</t>
  </si>
  <si>
    <t>MYTHILI S</t>
  </si>
  <si>
    <t>mythilis@bitsathy.ac.in</t>
  </si>
  <si>
    <t>EC10811</t>
  </si>
  <si>
    <t>POUSIA S</t>
  </si>
  <si>
    <t>pousias@bitsathy.ac.in</t>
  </si>
  <si>
    <t>EC10813</t>
  </si>
  <si>
    <t>SHARMILA A</t>
  </si>
  <si>
    <t>sharmilaa@bitsathy.ac.in</t>
  </si>
  <si>
    <t>EC10827</t>
  </si>
  <si>
    <t>MURUGAN K</t>
  </si>
  <si>
    <t>murugank@bitsathy.ac.in</t>
  </si>
  <si>
    <t>EC10915</t>
  </si>
  <si>
    <t>STEPHEN SAGAYARAJ A</t>
  </si>
  <si>
    <t>stephensagayaraja@bitsathy.ac.in</t>
  </si>
  <si>
    <t>EC10916</t>
  </si>
  <si>
    <t>karthiga@bitsathy.ac.in</t>
  </si>
  <si>
    <t>EC10969</t>
  </si>
  <si>
    <t>VENKATESHKUMAR U</t>
  </si>
  <si>
    <t>venkateshkumaru@bitsathy.ac.in</t>
  </si>
  <si>
    <t>EC10972</t>
  </si>
  <si>
    <t>VELLINGIRI A</t>
  </si>
  <si>
    <t>vellingiria@bitsathy.ac.in</t>
  </si>
  <si>
    <t>EC11010</t>
  </si>
  <si>
    <t>MARIAAMUTHA R</t>
  </si>
  <si>
    <t>mariaamuthar@bitsathy.ac.in</t>
  </si>
  <si>
    <t>EC11021</t>
  </si>
  <si>
    <t>SATHIYAMURTHI P</t>
  </si>
  <si>
    <t>sathiyamurthi@bitsathy.ac.in</t>
  </si>
  <si>
    <t>EC11043</t>
  </si>
  <si>
    <t>NIVETHA G</t>
  </si>
  <si>
    <t>nivethag@bitsathy.ac.in</t>
  </si>
  <si>
    <t>EC11044</t>
  </si>
  <si>
    <t>HARISH KUMAAR P</t>
  </si>
  <si>
    <t>harishkumaarp@bitsathy.ac.in</t>
  </si>
  <si>
    <t>EC11045</t>
  </si>
  <si>
    <t>DHANALAKSHMI S</t>
  </si>
  <si>
    <t>dhanalakshmis@bitsathy.ac.in</t>
  </si>
  <si>
    <t>EC11047</t>
  </si>
  <si>
    <t>RAMESH R</t>
  </si>
  <si>
    <t>rameshr@bitsathy.ac.in</t>
  </si>
  <si>
    <t>EC11051</t>
  </si>
  <si>
    <t>SANDHIYADEVI P</t>
  </si>
  <si>
    <t>sandhiyadevip@bitsathy.ac.in</t>
  </si>
  <si>
    <t>EC11131</t>
  </si>
  <si>
    <t>SANKARANANTH S</t>
  </si>
  <si>
    <t>sankarananth@bitsathy.ac.in</t>
  </si>
  <si>
    <t>EC11147</t>
  </si>
  <si>
    <t>RAGAVI M</t>
  </si>
  <si>
    <t>ragavim@bitsathy.ac.in</t>
  </si>
  <si>
    <t>EC11190</t>
  </si>
  <si>
    <t>TAMILARASI R</t>
  </si>
  <si>
    <t>tamilarasir@bitsathy.ac.in</t>
  </si>
  <si>
    <t>EC11192</t>
  </si>
  <si>
    <t>NALIFABEGAM J</t>
  </si>
  <si>
    <t>nalifabegamj@bitsathy.ac.in</t>
  </si>
  <si>
    <t>EC11194</t>
  </si>
  <si>
    <t>LINO L</t>
  </si>
  <si>
    <t>linol@bitsathy.ac.in</t>
  </si>
  <si>
    <t>EC1417</t>
  </si>
  <si>
    <t>HARIKUMAR R</t>
  </si>
  <si>
    <t>harikumarr@bitsathy.ac.in</t>
  </si>
  <si>
    <t>EC1453</t>
  </si>
  <si>
    <t>PRAKASH S P</t>
  </si>
  <si>
    <t>prakashsp@bitsathy.ac.in</t>
  </si>
  <si>
    <t>EC1537</t>
  </si>
  <si>
    <t>PUSHPAVALLI M</t>
  </si>
  <si>
    <t>pushpavallim@bitsathy.ac.in</t>
  </si>
  <si>
    <t>EC1721</t>
  </si>
  <si>
    <t>NIRMAL KUMAR R</t>
  </si>
  <si>
    <t>nirmalkumarr@bitsathy.ac.in</t>
  </si>
  <si>
    <t>EC1744</t>
  </si>
  <si>
    <t>RAMYA P</t>
  </si>
  <si>
    <t>ramyap@bitsathy.ac.in</t>
  </si>
  <si>
    <t>EC1834</t>
  </si>
  <si>
    <t>SANJOY DEB</t>
  </si>
  <si>
    <t>sanjoydeb@bitsathy.ac.in</t>
  </si>
  <si>
    <t>EC1893</t>
  </si>
  <si>
    <t>ELANGO S</t>
  </si>
  <si>
    <t>elangos@bitsathy.ac.in</t>
  </si>
  <si>
    <t>EC1911</t>
  </si>
  <si>
    <t>DANIEL RAJ A</t>
  </si>
  <si>
    <t>danielraja@bitsathy.ac.in</t>
  </si>
  <si>
    <t>EC1912</t>
  </si>
  <si>
    <t>SAJAN P PHILIP</t>
  </si>
  <si>
    <t>sajanpphilip@bitsathy.ac.in</t>
  </si>
  <si>
    <t>EC1938</t>
  </si>
  <si>
    <t>RAMKUMAR R</t>
  </si>
  <si>
    <t>ramkumarr@bitsathy.ac.in</t>
  </si>
  <si>
    <t>EE10155</t>
  </si>
  <si>
    <t>ALEX STANLEY RAJA T</t>
  </si>
  <si>
    <t>Electrical and Electronics Engineering</t>
  </si>
  <si>
    <t>alexstanleyraja@bitsathy.ac.in</t>
  </si>
  <si>
    <t>EE10317</t>
  </si>
  <si>
    <t>ARUN CHENDHURAN R</t>
  </si>
  <si>
    <t>arunchendhuran@bitsathy.ac.in</t>
  </si>
  <si>
    <t>EE10397</t>
  </si>
  <si>
    <t>SATHISHKUMAR S</t>
  </si>
  <si>
    <t>sathishkumars@bitsathy.ac.in</t>
  </si>
  <si>
    <t>EE1040</t>
  </si>
  <si>
    <t>BHARANI KUMAR R</t>
  </si>
  <si>
    <t>bharanikumarr@bitsathy.ac.in</t>
  </si>
  <si>
    <t>EE10616</t>
  </si>
  <si>
    <t>NITHYA G</t>
  </si>
  <si>
    <t>nithyag@bitsathy.ac.in</t>
  </si>
  <si>
    <t>EE10619</t>
  </si>
  <si>
    <t>MADHUMITHA J</t>
  </si>
  <si>
    <t>madhumithaj@bitsathy.ac.in</t>
  </si>
  <si>
    <t>EE10647</t>
  </si>
  <si>
    <t>SENTHIL KUMAR J</t>
  </si>
  <si>
    <t>senthilkumarj@bitsathy.ac.in</t>
  </si>
  <si>
    <t>EE10652</t>
  </si>
  <si>
    <t>RISHIKESH N</t>
  </si>
  <si>
    <t>rishikesh@bitsathy.ac.in</t>
  </si>
  <si>
    <t>EE10721</t>
  </si>
  <si>
    <t>GOPIKA N P</t>
  </si>
  <si>
    <t>gopika@bitsathy.ac.in</t>
  </si>
  <si>
    <t>EE10786</t>
  </si>
  <si>
    <t>MANOJKUMAR P</t>
  </si>
  <si>
    <t>manojkumarp@bitsathy.ac.in</t>
  </si>
  <si>
    <t>EE10873</t>
  </si>
  <si>
    <t>CHINNADURRAI CL</t>
  </si>
  <si>
    <t>chinnadurraicl@bitsathy.ac.in</t>
  </si>
  <si>
    <t>EE10883</t>
  </si>
  <si>
    <t>GOLDVIN SUGIRTHA DHAS B</t>
  </si>
  <si>
    <t>goldvinsugirthadhasb@bitsathy.ac.in</t>
  </si>
  <si>
    <t>EE11199</t>
  </si>
  <si>
    <t>KIRUTHIKA M</t>
  </si>
  <si>
    <t>kiruthikam@bitsathy.ac.in</t>
  </si>
  <si>
    <t>EE11200</t>
  </si>
  <si>
    <t>SURESH N S</t>
  </si>
  <si>
    <t>sureshns@bitsathy.ac.in</t>
  </si>
  <si>
    <t>EE1311</t>
  </si>
  <si>
    <t>SRINIVASAN M</t>
  </si>
  <si>
    <t>srinivasanm@bitsathy.ac.in</t>
  </si>
  <si>
    <t>EE1325</t>
  </si>
  <si>
    <t>RAJALASHMI K</t>
  </si>
  <si>
    <t>rajalashmik@bitsathy.ac.in</t>
  </si>
  <si>
    <t>EE1329</t>
  </si>
  <si>
    <t>SIVARAMAN P</t>
  </si>
  <si>
    <t>sivaramanpsr@bitsathy.ac.in</t>
  </si>
  <si>
    <t>EE1437</t>
  </si>
  <si>
    <t>VEERAKUMAR S</t>
  </si>
  <si>
    <t>veerakumars@bitsathy.ac.in</t>
  </si>
  <si>
    <t>EE1682</t>
  </si>
  <si>
    <t>MAHESWARI K T</t>
  </si>
  <si>
    <t>maheswarikt@bitsathy.ac.in</t>
  </si>
  <si>
    <t>EE1695</t>
  </si>
  <si>
    <t>NANDHAKUMAR A</t>
  </si>
  <si>
    <t>nandhakumara@bitsathy.ac.in</t>
  </si>
  <si>
    <t>EE1747</t>
  </si>
  <si>
    <t>SRITHA P</t>
  </si>
  <si>
    <t>srithap@bitsathy.ac.in</t>
  </si>
  <si>
    <t>EE1785</t>
  </si>
  <si>
    <t>MOHANAPRIYA V</t>
  </si>
  <si>
    <t>mohanapriyav@bitsathy.ac.in</t>
  </si>
  <si>
    <t>EE1908</t>
  </si>
  <si>
    <t>SUNDAR S</t>
  </si>
  <si>
    <t>sundars@bitsathy.ac.in</t>
  </si>
  <si>
    <t>EI10187</t>
  </si>
  <si>
    <t>BALAMURUGAN V T</t>
  </si>
  <si>
    <t>Electronics and Instrumentation Engineering</t>
  </si>
  <si>
    <t>balamurugan@bitsathy.ac.in</t>
  </si>
  <si>
    <t>EI10249</t>
  </si>
  <si>
    <t>DHANASEKAR R</t>
  </si>
  <si>
    <t>dhanasekar@bitsathy.ac.in</t>
  </si>
  <si>
    <t>EI10266</t>
  </si>
  <si>
    <t>HARITHA J</t>
  </si>
  <si>
    <t>haritha@bitsathy.ac.in</t>
  </si>
  <si>
    <t>EI10270</t>
  </si>
  <si>
    <t>NANDHINI K M</t>
  </si>
  <si>
    <t>nandhinikm@bitsathy.ac.in</t>
  </si>
  <si>
    <t>EI10403</t>
  </si>
  <si>
    <t>SAKTHIYA RAM S</t>
  </si>
  <si>
    <t>sakthiyaram@bitsathy.ac.in</t>
  </si>
  <si>
    <t>EI10428</t>
  </si>
  <si>
    <t>KALAIYARASI M</t>
  </si>
  <si>
    <t>kalaiyarasim@bitsathy.ac.in</t>
  </si>
  <si>
    <t>EI10459</t>
  </si>
  <si>
    <t>PRAVIN SAVARIDASS M</t>
  </si>
  <si>
    <t>pravinsavaridass@bitsathy.ac.in</t>
  </si>
  <si>
    <t>EI10670</t>
  </si>
  <si>
    <t>PRATHAP M R</t>
  </si>
  <si>
    <t>prathap@bitsathy.ac.in</t>
  </si>
  <si>
    <t>EI11048</t>
  </si>
  <si>
    <t>KUMARESAN K</t>
  </si>
  <si>
    <t>kumaresank@bitsathy.ac.in</t>
  </si>
  <si>
    <t>EI1276</t>
  </si>
  <si>
    <t>GANESH BABU C</t>
  </si>
  <si>
    <t>ganeshbabuc@bitsathy.ac.in</t>
  </si>
  <si>
    <t>EI1438</t>
  </si>
  <si>
    <t>VAIRAVEL K S</t>
  </si>
  <si>
    <t>vairavelks@bitsathy.ac.in</t>
  </si>
  <si>
    <t>EI1688</t>
  </si>
  <si>
    <t>SUDHAHAR S</t>
  </si>
  <si>
    <t>sudhahars@bitsathy.ac.in</t>
  </si>
  <si>
    <t>EI1996</t>
  </si>
  <si>
    <t>ARUN JAYAKAR S</t>
  </si>
  <si>
    <t>arunjayakars@bitsathy.ac.in</t>
  </si>
  <si>
    <t>FD10755</t>
  </si>
  <si>
    <t>GOWRISHANKAR L</t>
  </si>
  <si>
    <t>Food Technology</t>
  </si>
  <si>
    <t>gowrishankar@bitsathy.ac.in</t>
  </si>
  <si>
    <t>FD10959</t>
  </si>
  <si>
    <t>PIDATHALA SAHITYA</t>
  </si>
  <si>
    <t>pidathalasahitya@bitsathy.ac.in</t>
  </si>
  <si>
    <t>FD10966</t>
  </si>
  <si>
    <t>NITHIYA PRIYA B T</t>
  </si>
  <si>
    <t>nithiyapriyabt@bitsathy.ac.in</t>
  </si>
  <si>
    <t>FD10999</t>
  </si>
  <si>
    <t>ARUNASREE TNA</t>
  </si>
  <si>
    <t>arunasreetna@bitsathy.ac.in</t>
  </si>
  <si>
    <t>FD11130</t>
  </si>
  <si>
    <t>SIVARAHINI K</t>
  </si>
  <si>
    <t>sivarahini@bitsathy.ac.in</t>
  </si>
  <si>
    <t>FD11137</t>
  </si>
  <si>
    <t>EDAMAKANTI RAMANJI REDDY</t>
  </si>
  <si>
    <t>edamakantiramanjireddy@bitsathy.ac.in</t>
  </si>
  <si>
    <t>FT10224</t>
  </si>
  <si>
    <t>SARANYA D V</t>
  </si>
  <si>
    <t>Fashion Technology</t>
  </si>
  <si>
    <t>saranyadv@bitsathy.ac.in</t>
  </si>
  <si>
    <t>FT10427</t>
  </si>
  <si>
    <t>MEKALA N</t>
  </si>
  <si>
    <t>mekalan@bitsathy.ac.in</t>
  </si>
  <si>
    <t>FT10809</t>
  </si>
  <si>
    <t>MOHAN BHARATHI C</t>
  </si>
  <si>
    <t>mohanbharathic@bitsathy.ac.in</t>
  </si>
  <si>
    <t>HU11011</t>
  </si>
  <si>
    <t>AJAI A</t>
  </si>
  <si>
    <t>Humanities</t>
  </si>
  <si>
    <t>ajai@bitsathy.ac.in</t>
  </si>
  <si>
    <t>HU11085</t>
  </si>
  <si>
    <t>SAGUNTHALA DEVI P</t>
  </si>
  <si>
    <t>sagunthaladevi@bitsathy.ac.in</t>
  </si>
  <si>
    <t>HU11115</t>
  </si>
  <si>
    <t>KAMALI D</t>
  </si>
  <si>
    <t>kamali@bitsathy.ac.in</t>
  </si>
  <si>
    <t>HU11125</t>
  </si>
  <si>
    <t>GAYATHRI G M</t>
  </si>
  <si>
    <t>gayathri@bitsathy.ac.in</t>
  </si>
  <si>
    <t>HU11139</t>
  </si>
  <si>
    <t>ASLIN JERUSHA D</t>
  </si>
  <si>
    <t>aslinjerusha@bitsathy.ac.in</t>
  </si>
  <si>
    <t>HU11141</t>
  </si>
  <si>
    <t>EZHIL G</t>
  </si>
  <si>
    <t>ezhil@bitsathy.ac.in</t>
  </si>
  <si>
    <t>HU11151</t>
  </si>
  <si>
    <t>NITHYA S</t>
  </si>
  <si>
    <t>nithyas@bitsathy.ac.in</t>
  </si>
  <si>
    <t>HU11154</t>
  </si>
  <si>
    <t>SHYAMSUNDAR S</t>
  </si>
  <si>
    <t>shyamsundar@bitsathy.ac.in</t>
  </si>
  <si>
    <t>HU11159</t>
  </si>
  <si>
    <t>JAYA K</t>
  </si>
  <si>
    <t>jayak@bitsathy.ac.in</t>
  </si>
  <si>
    <t>HU2351</t>
  </si>
  <si>
    <t>RANGANATHAN A</t>
  </si>
  <si>
    <t>Hindi Teacher</t>
  </si>
  <si>
    <t>ranganathana@bitsathy.ac.in</t>
  </si>
  <si>
    <t>IS10823</t>
  </si>
  <si>
    <t>GOPAL R</t>
  </si>
  <si>
    <t>Information Science and Engineering</t>
  </si>
  <si>
    <t>gopalr@bitsathy.ac.in</t>
  </si>
  <si>
    <t>IS10829</t>
  </si>
  <si>
    <t>PANDIYAN M</t>
  </si>
  <si>
    <t>pandiyanm@bitsathy.ac.in</t>
  </si>
  <si>
    <t>IS10850</t>
  </si>
  <si>
    <t>POORNIMA A</t>
  </si>
  <si>
    <t>poornimaa@bitsathy.ac.in</t>
  </si>
  <si>
    <t>IS10944</t>
  </si>
  <si>
    <t>SOMASUNDARAM K</t>
  </si>
  <si>
    <t>somasundaramk@bitsathy.ac.in</t>
  </si>
  <si>
    <t>IS1899</t>
  </si>
  <si>
    <t>ANANDAKUMAR K</t>
  </si>
  <si>
    <t>anandakumark@bitsathy.ac.in</t>
  </si>
  <si>
    <t>IT10262</t>
  </si>
  <si>
    <t>SABARMATHI K R</t>
  </si>
  <si>
    <t>Information Technology</t>
  </si>
  <si>
    <t>sabarmathi@bitsathy.ac.in</t>
  </si>
  <si>
    <t>IT10395</t>
  </si>
  <si>
    <t>SRI VINITHA V</t>
  </si>
  <si>
    <t>srivinitha@bitsathy.ac.in</t>
  </si>
  <si>
    <t>IT10544</t>
  </si>
  <si>
    <t>VINOTH M</t>
  </si>
  <si>
    <t>vinothm@bitsathy.ac.in</t>
  </si>
  <si>
    <t>IT10571</t>
  </si>
  <si>
    <t>SOBIYAA P</t>
  </si>
  <si>
    <t>sobiyaa@bitsathy.ac.in</t>
  </si>
  <si>
    <t>IT10736</t>
  </si>
  <si>
    <t>JANANI T</t>
  </si>
  <si>
    <t>jananit@bitsathy.ac.in</t>
  </si>
  <si>
    <t>IT10803</t>
  </si>
  <si>
    <t>PRIYA L</t>
  </si>
  <si>
    <t>priyal@bitsathy.ac.in</t>
  </si>
  <si>
    <t>IT10824</t>
  </si>
  <si>
    <t>CHANDRAPRABHA K</t>
  </si>
  <si>
    <t>chandraprabhak@bitsathy.ac.in</t>
  </si>
  <si>
    <t>IT10845</t>
  </si>
  <si>
    <t>VENKATESAN R</t>
  </si>
  <si>
    <t>venkatesanr@bitsathy.ac.in</t>
  </si>
  <si>
    <t>IT10846</t>
  </si>
  <si>
    <t>SELVAKUMAR M</t>
  </si>
  <si>
    <t>selvakumarm@bitsathy.ac.in</t>
  </si>
  <si>
    <t>IT10941</t>
  </si>
  <si>
    <t>NIKITHA M</t>
  </si>
  <si>
    <t>nikitham@bitsathy.ac.in</t>
  </si>
  <si>
    <t>IT11040</t>
  </si>
  <si>
    <t>PRIYA J</t>
  </si>
  <si>
    <t>priyajn@bitsathy.ac.in</t>
  </si>
  <si>
    <t>IT11056</t>
  </si>
  <si>
    <t>SADHASIVAM N</t>
  </si>
  <si>
    <t>sadhasivamn@bitsathy.ac.in</t>
  </si>
  <si>
    <t>IT11105</t>
  </si>
  <si>
    <t>SANTHIYA B</t>
  </si>
  <si>
    <t>santhiyab@bitsathy.ac.in</t>
  </si>
  <si>
    <t>IT11124</t>
  </si>
  <si>
    <t>MUTHUMEENA S</t>
  </si>
  <si>
    <t>muthumeena@bitsathy.ac.in</t>
  </si>
  <si>
    <t>IT11128</t>
  </si>
  <si>
    <t>TAMILTHENDRAL M</t>
  </si>
  <si>
    <t>tamilthendral@bitsathy.ac.in</t>
  </si>
  <si>
    <t>IT11129</t>
  </si>
  <si>
    <t>NIVEDHA S</t>
  </si>
  <si>
    <t>nivedha@bitsathy.ac.in</t>
  </si>
  <si>
    <t>IT11132</t>
  </si>
  <si>
    <t>KAVITHA V</t>
  </si>
  <si>
    <t>kavitha@bitsathy.ac.in</t>
  </si>
  <si>
    <t>IT11140</t>
  </si>
  <si>
    <t>PRIYA A</t>
  </si>
  <si>
    <t>priyaa@bitsathy.ac.in</t>
  </si>
  <si>
    <t>IT11142</t>
  </si>
  <si>
    <t>KEERTHANA K</t>
  </si>
  <si>
    <t>keerthana@bitsathy.ac.in</t>
  </si>
  <si>
    <t>IT11144</t>
  </si>
  <si>
    <t>SHANGARA NARAYANEE N P</t>
  </si>
  <si>
    <t>shangaranarayanee@bitsathy.ac.in</t>
  </si>
  <si>
    <t>IT11146</t>
  </si>
  <si>
    <t>INDHU BHASHINI V</t>
  </si>
  <si>
    <t>indhubhashiniv@bitsathy.ac.in</t>
  </si>
  <si>
    <t>IT11148</t>
  </si>
  <si>
    <t>MOHEMMED YOUSUF</t>
  </si>
  <si>
    <t>mohemmedyousuf@bitsathy.ac.in</t>
  </si>
  <si>
    <t>IT11149</t>
  </si>
  <si>
    <t>SENTHILNATHAN S</t>
  </si>
  <si>
    <t>senthilnathans@bitsathy.ac.in</t>
  </si>
  <si>
    <t>IT11155</t>
  </si>
  <si>
    <t>DEEPA SUMATHI M</t>
  </si>
  <si>
    <t>deepasumathim@bitsathy.ac.in</t>
  </si>
  <si>
    <t>IT11160</t>
  </si>
  <si>
    <t>ELAVARASI T</t>
  </si>
  <si>
    <t>elavarasit@bitsathy.ac.in</t>
  </si>
  <si>
    <t>IT11167</t>
  </si>
  <si>
    <t>SHOBANA K B</t>
  </si>
  <si>
    <t>shobanakb@bitsathy.ac.in</t>
  </si>
  <si>
    <t>IT11173</t>
  </si>
  <si>
    <t>GAYATHRI D</t>
  </si>
  <si>
    <t>gayathrid@bitsathy.ac.in</t>
  </si>
  <si>
    <t>IT11195</t>
  </si>
  <si>
    <t>SATHYARAJ S</t>
  </si>
  <si>
    <t>sathyarajs@bitsathy.ac.in</t>
  </si>
  <si>
    <t>IT11196</t>
  </si>
  <si>
    <t>MANISHA G</t>
  </si>
  <si>
    <t>manishag@bitsathy.ac.in</t>
  </si>
  <si>
    <t>IT1441</t>
  </si>
  <si>
    <t>PAARIVALLAL RA</t>
  </si>
  <si>
    <t>parivallalr@bitsathy.ac.in</t>
  </si>
  <si>
    <t>IT1442</t>
  </si>
  <si>
    <t>PALANISAMY C</t>
  </si>
  <si>
    <t>cpalanisamy@bitsathy.ac.in</t>
  </si>
  <si>
    <t>IT1764</t>
  </si>
  <si>
    <t>SATHIS KUMAR K</t>
  </si>
  <si>
    <t>sathiskumark@bitsathy.ac.in</t>
  </si>
  <si>
    <t>IT1846</t>
  </si>
  <si>
    <t>NAVEENA S</t>
  </si>
  <si>
    <t>naveena@bitsathy.ac.in</t>
  </si>
  <si>
    <t>IT2078</t>
  </si>
  <si>
    <t>PRABHU P S</t>
  </si>
  <si>
    <t>prabhups@bitsathy.ac.in</t>
  </si>
  <si>
    <t>IT2771</t>
  </si>
  <si>
    <t>NATARAJ N</t>
  </si>
  <si>
    <t>nataraj@bitsathy.ac.in</t>
  </si>
  <si>
    <t>MA10071</t>
  </si>
  <si>
    <t>PREETHA R</t>
  </si>
  <si>
    <t>Mathematics</t>
  </si>
  <si>
    <t>preetha@bitsathy.ac.in</t>
  </si>
  <si>
    <t>MA10119</t>
  </si>
  <si>
    <t>SARANYA D</t>
  </si>
  <si>
    <t>saranyad@bitsathy.ac.in</t>
  </si>
  <si>
    <t>MA10202</t>
  </si>
  <si>
    <t>KARUPPUSAMY M</t>
  </si>
  <si>
    <t>karuppusamy@bitsathy.ac.in</t>
  </si>
  <si>
    <t>MA10347</t>
  </si>
  <si>
    <t>KARTHIKA M</t>
  </si>
  <si>
    <t>karthikam@bitsathy.ac.in</t>
  </si>
  <si>
    <t>MA10452</t>
  </si>
  <si>
    <t>KALAISELVAN S</t>
  </si>
  <si>
    <t>kalaiselvan@bitsathy.ac.in</t>
  </si>
  <si>
    <t>MA10518</t>
  </si>
  <si>
    <t>PRABAKARAN P</t>
  </si>
  <si>
    <t>prabakaran@bitsathy.ac.in</t>
  </si>
  <si>
    <t>MA10763</t>
  </si>
  <si>
    <t>REVATHI V M</t>
  </si>
  <si>
    <t>revathivm@bitsathy.ac.in</t>
  </si>
  <si>
    <t>MA10986</t>
  </si>
  <si>
    <t>GOMATHI M</t>
  </si>
  <si>
    <t>gomathim@bitsathy.ac.in</t>
  </si>
  <si>
    <t>MA11017</t>
  </si>
  <si>
    <t>GAYATHIRI B</t>
  </si>
  <si>
    <t>gayathirib@bitsathy.ac.in</t>
  </si>
  <si>
    <t>MA11028</t>
  </si>
  <si>
    <t>SURESH R</t>
  </si>
  <si>
    <t>sureshr@bitsathy.ac.in</t>
  </si>
  <si>
    <t>MA11070</t>
  </si>
  <si>
    <t>MALATHI M</t>
  </si>
  <si>
    <t>malathim@bitsathy.ac.in</t>
  </si>
  <si>
    <t>MA11122</t>
  </si>
  <si>
    <t>AKALYADEVI K</t>
  </si>
  <si>
    <t>akalyadevi@bitsathy.ac.in</t>
  </si>
  <si>
    <t>MA11181</t>
  </si>
  <si>
    <t>HEMALATHA B</t>
  </si>
  <si>
    <t>hemalathab@bitsathy.ac.in</t>
  </si>
  <si>
    <t>MA1303</t>
  </si>
  <si>
    <t>INDIRANI C</t>
  </si>
  <si>
    <t>indiranic@bitsathy.ac.in</t>
  </si>
  <si>
    <t>MA1327</t>
  </si>
  <si>
    <t>THULASIMANI T</t>
  </si>
  <si>
    <t>thulasimanit@bitsathy.ac.in</t>
  </si>
  <si>
    <t>MA1334</t>
  </si>
  <si>
    <t>PRABHAVATHI K</t>
  </si>
  <si>
    <t>prabhavathik@bitsathy.ac.in</t>
  </si>
  <si>
    <t>MA1342</t>
  </si>
  <si>
    <t>VINOTHINI V R</t>
  </si>
  <si>
    <t>vinothinivr@bitsathy.ac.in</t>
  </si>
  <si>
    <t>MA1373</t>
  </si>
  <si>
    <t>SARAVANA MOORTHI P</t>
  </si>
  <si>
    <t>saravanamoorthip@bitsathy.ac.in</t>
  </si>
  <si>
    <t>MA1465</t>
  </si>
  <si>
    <t>PRAKASH K</t>
  </si>
  <si>
    <t>prakashk@bitsathy.ac.in</t>
  </si>
  <si>
    <t>MA1566</t>
  </si>
  <si>
    <t>PARIMALA M</t>
  </si>
  <si>
    <t>parimalam@bitsathy.ac.in</t>
  </si>
  <si>
    <t>MA1702</t>
  </si>
  <si>
    <t>UMAMAGESWARI D</t>
  </si>
  <si>
    <t>umamageswarid@bitsathy.ac.in</t>
  </si>
  <si>
    <t>MC10149</t>
  </si>
  <si>
    <t>SIVABALAKRISHNAN R</t>
  </si>
  <si>
    <t>Mechatronics Engineering</t>
  </si>
  <si>
    <t>sivabalakrishnan@bitsathy.ac.in</t>
  </si>
  <si>
    <t>MC10299</t>
  </si>
  <si>
    <t>VIGNESH S</t>
  </si>
  <si>
    <t>vignesh@bitsathy.ac.in</t>
  </si>
  <si>
    <t>MC10369</t>
  </si>
  <si>
    <t>NIJANDHAN K</t>
  </si>
  <si>
    <t>nijandhan@bitsathy.ac.in</t>
  </si>
  <si>
    <t>MC10412</t>
  </si>
  <si>
    <t>RAGHUNATH M</t>
  </si>
  <si>
    <t>raghunath@bitsathy.ac.in</t>
  </si>
  <si>
    <t>MC10450</t>
  </si>
  <si>
    <t>DHINESH S K</t>
  </si>
  <si>
    <t>dhineshsk@bitsathy.ac.in</t>
  </si>
  <si>
    <t>MC10597</t>
  </si>
  <si>
    <t>RAGHAVENDRA PRABHU S</t>
  </si>
  <si>
    <t>raghavendraprabhu@bitsathy.ac.in</t>
  </si>
  <si>
    <t>MC10664</t>
  </si>
  <si>
    <t>SIDDHARTHAN B</t>
  </si>
  <si>
    <t>siddharthan@bitsathy.ac.in</t>
  </si>
  <si>
    <t>MC10696</t>
  </si>
  <si>
    <t>BHARATHIRAJA M</t>
  </si>
  <si>
    <t>bharathiraja@bitsathy.ac.in</t>
  </si>
  <si>
    <t>MC10697</t>
  </si>
  <si>
    <t>VADIVEL VIVEK V</t>
  </si>
  <si>
    <t>vadivelvivek@bitsathy.ac.in</t>
  </si>
  <si>
    <t>MC1071</t>
  </si>
  <si>
    <t>SENTHIL KUMAR K L</t>
  </si>
  <si>
    <t>senthilkumarkl@bitsathy.ac.in</t>
  </si>
  <si>
    <t>MC10729</t>
  </si>
  <si>
    <t>NAGARAJAN P</t>
  </si>
  <si>
    <t>nagarajanp@bitsathy.ac.in</t>
  </si>
  <si>
    <t>MC1627</t>
  </si>
  <si>
    <t>RAJIEV R</t>
  </si>
  <si>
    <t>rajievr@bitsathy.ac.in</t>
  </si>
  <si>
    <t>MC1843</t>
  </si>
  <si>
    <t>SENTHILKUMAR P</t>
  </si>
  <si>
    <t>senthilkumarp@bitsathy.ac.in</t>
  </si>
  <si>
    <t>MC1878</t>
  </si>
  <si>
    <t>JEGADHEESWARAN S</t>
  </si>
  <si>
    <t>jegadheeswarans@bitsathy.ac.in</t>
  </si>
  <si>
    <t>ME10081</t>
  </si>
  <si>
    <t>KUMARESAN G</t>
  </si>
  <si>
    <t>Mechanical Engineering</t>
  </si>
  <si>
    <t>kumaresan@bitsathy.ac.in</t>
  </si>
  <si>
    <t>ME10098</t>
  </si>
  <si>
    <t>PRADEEP A D</t>
  </si>
  <si>
    <t>pradeep@bitsathy.ac.in</t>
  </si>
  <si>
    <t>ME10174</t>
  </si>
  <si>
    <t>MADHESWARAN S</t>
  </si>
  <si>
    <t>madheswaran@bitsathy.ac.in</t>
  </si>
  <si>
    <t>ME10233</t>
  </si>
  <si>
    <t>SUBRAMANIYAN C</t>
  </si>
  <si>
    <t>subramaniyan@bitsathy.ac.in</t>
  </si>
  <si>
    <t>ME10273</t>
  </si>
  <si>
    <t>BHUVANESH N</t>
  </si>
  <si>
    <t>bhuvanesh@bitsathy.ac.in</t>
  </si>
  <si>
    <t>ME10313</t>
  </si>
  <si>
    <t>MUTHUKUMAR K</t>
  </si>
  <si>
    <t>Industrial Safety Engineering</t>
  </si>
  <si>
    <t>muthukumarkm@bitsathy.ac.in</t>
  </si>
  <si>
    <t>ME10328</t>
  </si>
  <si>
    <t>RAMACHANDRA RAJU K</t>
  </si>
  <si>
    <t>ramachandraraju@bitsathy.ac.in</t>
  </si>
  <si>
    <t>ME10416</t>
  </si>
  <si>
    <t>KAMAL BASHA K</t>
  </si>
  <si>
    <t>kamalbasha@bitsathy.ac.in</t>
  </si>
  <si>
    <t>ME10492</t>
  </si>
  <si>
    <t>PRAKASH K B</t>
  </si>
  <si>
    <t>prakashkb@bitsathy.ac.in</t>
  </si>
  <si>
    <t>ME10673</t>
  </si>
  <si>
    <t>BOOPATHIRAJA K P</t>
  </si>
  <si>
    <t>boopathiraja@bitsathy.ac.in</t>
  </si>
  <si>
    <t>ME10699</t>
  </si>
  <si>
    <t>PRAVIN M C</t>
  </si>
  <si>
    <t>pravin@bitsathy.ac.in</t>
  </si>
  <si>
    <t>ME10714</t>
  </si>
  <si>
    <t>CHANDRASEKARAN M</t>
  </si>
  <si>
    <t>chandrasekaran@bitsathy.ac.in</t>
  </si>
  <si>
    <t>ME1093</t>
  </si>
  <si>
    <t>RAVI KUMAR M</t>
  </si>
  <si>
    <t>ravikumarm@bitsathy.ac.in</t>
  </si>
  <si>
    <t>ME1094</t>
  </si>
  <si>
    <t>SENTHILKUMAR G</t>
  </si>
  <si>
    <t>senthilkumarg@bitsathy.ac.in</t>
  </si>
  <si>
    <t>ME1107</t>
  </si>
  <si>
    <t>SASIKUMAR C</t>
  </si>
  <si>
    <t>sasikumarc@bitsathy.ac.in</t>
  </si>
  <si>
    <t>ME11077</t>
  </si>
  <si>
    <t>JOSEPH SILVESTER K</t>
  </si>
  <si>
    <t>josephsilvester@bitsathy.ac.in</t>
  </si>
  <si>
    <t>ME11099</t>
  </si>
  <si>
    <t>PAVANADITYA BADIDA</t>
  </si>
  <si>
    <t>pavanaditya@bitsathy.ac.in</t>
  </si>
  <si>
    <t>ME1335</t>
  </si>
  <si>
    <t>AMARKARTHIK A</t>
  </si>
  <si>
    <t>amarkarthik@bitsathy.ac.in</t>
  </si>
  <si>
    <t>ME1410</t>
  </si>
  <si>
    <t>RAMESH KUMAR T</t>
  </si>
  <si>
    <t>rameshkumart@bitsathy.ac.in</t>
  </si>
  <si>
    <t>ME1472</t>
  </si>
  <si>
    <t>SIVAKUMAR K</t>
  </si>
  <si>
    <t>Senior Professor</t>
  </si>
  <si>
    <t>sivakumark@bitsathy.ac.in</t>
  </si>
  <si>
    <t>ME1543</t>
  </si>
  <si>
    <t>ANANDHA MOORTHY A</t>
  </si>
  <si>
    <t>anandhamoorthya@bitsathy.ac.in</t>
  </si>
  <si>
    <t>ME1819</t>
  </si>
  <si>
    <t>DINESH D</t>
  </si>
  <si>
    <t>dineshd@bitsathy.ac.in</t>
  </si>
  <si>
    <t>ME1820</t>
  </si>
  <si>
    <t>MATHANKUMAR P</t>
  </si>
  <si>
    <t>mathankumarp@bitsathy.ac.in</t>
  </si>
  <si>
    <t>ME1869</t>
  </si>
  <si>
    <t>VELMURUGAN S</t>
  </si>
  <si>
    <t>velmurugans@bitsathy.ac.in</t>
  </si>
  <si>
    <t>ME1877</t>
  </si>
  <si>
    <t>SATHISHKUMAR C</t>
  </si>
  <si>
    <t>sathishkumarc@bitsathy.ac.in</t>
  </si>
  <si>
    <t>ME1880</t>
  </si>
  <si>
    <t>SURESHKUMAR M</t>
  </si>
  <si>
    <t>sureshkumarm@bitsathy.ac.in</t>
  </si>
  <si>
    <t>ME1957</t>
  </si>
  <si>
    <t>SUNDARRAJU G</t>
  </si>
  <si>
    <t>sundarrajug@bitsathy.ac.in</t>
  </si>
  <si>
    <t>ME1970</t>
  </si>
  <si>
    <t>RAMAKRISHNAN A</t>
  </si>
  <si>
    <t>ramakrishnana@bitsathy.ac.in</t>
  </si>
  <si>
    <t>ME1974</t>
  </si>
  <si>
    <t>SAKTHIVEL MURUGAN E</t>
  </si>
  <si>
    <t>sakthivelmurugane@bitsathy.ac.in</t>
  </si>
  <si>
    <t>ME1975</t>
  </si>
  <si>
    <t>TAJDEEN A</t>
  </si>
  <si>
    <t>tajdeena@bitsathy.ac.in</t>
  </si>
  <si>
    <t>PH10204</t>
  </si>
  <si>
    <t>PARASURAMAN P</t>
  </si>
  <si>
    <t>Physics</t>
  </si>
  <si>
    <t>parasuraman@bitsathy.ac.in</t>
  </si>
  <si>
    <t>PH10218</t>
  </si>
  <si>
    <t>ASHOKAN S</t>
  </si>
  <si>
    <t>ashokan@bitsathy.ac.in</t>
  </si>
  <si>
    <t>PH10380</t>
  </si>
  <si>
    <t>SELVAKUMAR K</t>
  </si>
  <si>
    <t>selvakumark@bitsathy.ac.in</t>
  </si>
  <si>
    <t>PH10457</t>
  </si>
  <si>
    <t>THIRUMOORTHY M</t>
  </si>
  <si>
    <t>thirumoorthy@bitsathy.ac.in</t>
  </si>
  <si>
    <t>PH1054</t>
  </si>
  <si>
    <t>SADASIVAM K</t>
  </si>
  <si>
    <t>sadasivamk@bitsathy.ac.in</t>
  </si>
  <si>
    <t>PH10870</t>
  </si>
  <si>
    <t>VANITHA K</t>
  </si>
  <si>
    <t>vanithak@bitsathy.ac.in</t>
  </si>
  <si>
    <t>PH10981</t>
  </si>
  <si>
    <t>SUNDARAM S</t>
  </si>
  <si>
    <t>sundarams@bitsathy.ac.in</t>
  </si>
  <si>
    <t>PH10987</t>
  </si>
  <si>
    <t>ANANDHA BABU G</t>
  </si>
  <si>
    <t>anandhababug@bitsathy.ac.in</t>
  </si>
  <si>
    <t>PH11015</t>
  </si>
  <si>
    <t>GOPI G</t>
  </si>
  <si>
    <t>gopi@bitsathy.ac.in</t>
  </si>
  <si>
    <t>PH11034</t>
  </si>
  <si>
    <t>SIVA G</t>
  </si>
  <si>
    <t>sivag@bitsathy.ac.in</t>
  </si>
  <si>
    <t>PH11036</t>
  </si>
  <si>
    <t>BASKARAN P</t>
  </si>
  <si>
    <t>baskaranp@bitsathy.ac.in</t>
  </si>
  <si>
    <t>PH11152</t>
  </si>
  <si>
    <t>PRIYADHARSINI A</t>
  </si>
  <si>
    <t>Priyadharsinia@bitsathy.ac.in</t>
  </si>
  <si>
    <t>PH11153</t>
  </si>
  <si>
    <t>SANGEETHA K</t>
  </si>
  <si>
    <t>sangeethak@bitsathy.ac.in</t>
  </si>
  <si>
    <t>PH1407</t>
  </si>
  <si>
    <t>VIJAYAKUMAR V N</t>
  </si>
  <si>
    <t>vijayakumarvn@bitsathy.ac.in</t>
  </si>
  <si>
    <t>PH1653</t>
  </si>
  <si>
    <t>PONGALI SATHYA PRABU N</t>
  </si>
  <si>
    <t>pongalispn@bitsathy.ac.in</t>
  </si>
  <si>
    <t>PH1889</t>
  </si>
  <si>
    <t>ROHINI P</t>
  </si>
  <si>
    <t>rohinip@bitsathy.ac.in</t>
  </si>
  <si>
    <t>SM10346</t>
  </si>
  <si>
    <t>NANDHINI B</t>
  </si>
  <si>
    <t>School of Management Studies</t>
  </si>
  <si>
    <t>nandhinib@bitsathy.ac.in</t>
  </si>
  <si>
    <t>SM10625</t>
  </si>
  <si>
    <t>SIBI JOHN A</t>
  </si>
  <si>
    <t>sibijohn@bitsathy.ac.in</t>
  </si>
  <si>
    <t>SM11065</t>
  </si>
  <si>
    <t>SENTHIL KUMAR N</t>
  </si>
  <si>
    <t>senthilkumar@bitsathy.ac.in</t>
  </si>
  <si>
    <t>SM11118</t>
  </si>
  <si>
    <t>AISHWARIYA M R</t>
  </si>
  <si>
    <t>aishwariya@bitsathy.ac.in</t>
  </si>
  <si>
    <t>SM11120</t>
  </si>
  <si>
    <t>VIDHYA S</t>
  </si>
  <si>
    <t>vidhyas@bitsathy.ac.in</t>
  </si>
  <si>
    <t>SM11133</t>
  </si>
  <si>
    <t>MAGESWARAN J</t>
  </si>
  <si>
    <t>mageswaran@bitsathy.ac.in</t>
  </si>
  <si>
    <t>SM11186</t>
  </si>
  <si>
    <t>SUGANESH S</t>
  </si>
  <si>
    <t>suganeshs@bitsathy.ac.in</t>
  </si>
  <si>
    <t>SM11187</t>
  </si>
  <si>
    <t>DHANABALU S N</t>
  </si>
  <si>
    <t>dhanabalusn@bitsathy.ac.in</t>
  </si>
  <si>
    <t>SM11188</t>
  </si>
  <si>
    <t>ADHINARAYANAN B</t>
  </si>
  <si>
    <t>adhinarayananb@bitsathy.ac.in</t>
  </si>
  <si>
    <t>SM11189</t>
  </si>
  <si>
    <t>saranyasms@bitsathy.ac.in</t>
  </si>
  <si>
    <t>SM11191</t>
  </si>
  <si>
    <t>SATHEESH KUMAR T</t>
  </si>
  <si>
    <t>satheeshkumart@bitsathy.ac.in</t>
  </si>
  <si>
    <t>SM1661</t>
  </si>
  <si>
    <t>MURUGAPPAN S</t>
  </si>
  <si>
    <t>murugappans@bitsathy.ac.in</t>
  </si>
  <si>
    <t>SM41012</t>
  </si>
  <si>
    <t>SARASWATHI C</t>
  </si>
  <si>
    <t>saraswathic@bitsathy.ac.in</t>
  </si>
  <si>
    <t>TT10607</t>
  </si>
  <si>
    <t>JANARTHANAN M</t>
  </si>
  <si>
    <t>Textile Technology</t>
  </si>
  <si>
    <t>janarthanan@bitsathy.ac.in</t>
  </si>
  <si>
    <t>TT10938</t>
  </si>
  <si>
    <t>MOUNIKA S</t>
  </si>
  <si>
    <t>mounikas@bitsathy.ac.in</t>
  </si>
  <si>
    <t>TT11184</t>
  </si>
  <si>
    <t>gayathrirtxt@bitsathy.ac.in</t>
  </si>
  <si>
    <t>Sl No</t>
  </si>
  <si>
    <t>Dept.</t>
  </si>
  <si>
    <t>Semester</t>
  </si>
  <si>
    <t>Course Type</t>
  </si>
  <si>
    <t>Course Code</t>
  </si>
  <si>
    <t>Course Name</t>
  </si>
  <si>
    <t>Course Nature</t>
  </si>
  <si>
    <t>L</t>
  </si>
  <si>
    <t>T</t>
  </si>
  <si>
    <t>P</t>
  </si>
  <si>
    <t>C</t>
  </si>
  <si>
    <t>Faculty ID
(ME1880)</t>
  </si>
  <si>
    <t>Mail ID</t>
  </si>
  <si>
    <t>S2</t>
  </si>
  <si>
    <t>CORE</t>
  </si>
  <si>
    <t>22MA201</t>
  </si>
  <si>
    <t>ENGINEERING MATHEMATICS II</t>
  </si>
  <si>
    <t>THEORY</t>
  </si>
  <si>
    <t>22PH202</t>
  </si>
  <si>
    <t>ELECTROMAGNETISM AND MODERN PHYSICS</t>
  </si>
  <si>
    <t>THEORY WITH LAB</t>
  </si>
  <si>
    <t>22CH203</t>
  </si>
  <si>
    <t>ENGINEERING CHEMISTRY II</t>
  </si>
  <si>
    <t>22GE002</t>
  </si>
  <si>
    <t>COMPUTATIONAL PROBLEM SOLVING</t>
  </si>
  <si>
    <t>22GE004</t>
  </si>
  <si>
    <t>BASICS OF ELECTRONICS ENGINEERING</t>
  </si>
  <si>
    <t>22HS002</t>
  </si>
  <si>
    <t>STARTUP MANAGEMENT</t>
  </si>
  <si>
    <t>LAB</t>
  </si>
  <si>
    <t>22HS006</t>
  </si>
  <si>
    <t>தமிழரும் ததொழில்நுட்பமும்/TAMILS AND TECHNOLOGY</t>
  </si>
  <si>
    <t>22HS009</t>
  </si>
  <si>
    <t>COCURRICULAR AND EXTRACURRICULAR ACTIVITIES</t>
  </si>
  <si>
    <t>LANGUAGE ELECTIVE</t>
  </si>
  <si>
    <t>22HS201</t>
  </si>
  <si>
    <t>COMMUNICATIVE ENGLISH II</t>
  </si>
  <si>
    <t>S4</t>
  </si>
  <si>
    <t>22AG401</t>
  </si>
  <si>
    <t>CROP PRODUCTION TECHNOLOGY</t>
  </si>
  <si>
    <t>22AG402</t>
  </si>
  <si>
    <t>HEAT AND MASS TRANSFER</t>
  </si>
  <si>
    <t>22AG403</t>
  </si>
  <si>
    <t>STRENGTH OF MATERIALS</t>
  </si>
  <si>
    <t>22AG404</t>
  </si>
  <si>
    <t>THEORY OF MACHINES</t>
  </si>
  <si>
    <t>22AG405</t>
  </si>
  <si>
    <t>HYDROLOGY</t>
  </si>
  <si>
    <t>ELECTIVE 1</t>
  </si>
  <si>
    <t>22HS007</t>
  </si>
  <si>
    <t>ENVIRONMENTAL SCIENCE</t>
  </si>
  <si>
    <t>22HS008</t>
  </si>
  <si>
    <t xml:space="preserve">ADVANCED ENGLISH AND TECHNICAL EXPRESSION </t>
  </si>
  <si>
    <t>S6</t>
  </si>
  <si>
    <t>22AG601</t>
  </si>
  <si>
    <t>FARM IMPLEMENTS</t>
  </si>
  <si>
    <t>22AG602</t>
  </si>
  <si>
    <t>POST HARVEST TECHNOLOGY</t>
  </si>
  <si>
    <t>22AG603</t>
  </si>
  <si>
    <t>IRRIGATION AND DRAINAGE ENGINEERING</t>
  </si>
  <si>
    <t>ELECTIVE 3</t>
  </si>
  <si>
    <t>ELECTIVE 4</t>
  </si>
  <si>
    <t>ELECTIVE 5</t>
  </si>
  <si>
    <t>ADD COURSE</t>
  </si>
  <si>
    <t>HONOURS</t>
  </si>
  <si>
    <t>22AGH21</t>
  </si>
  <si>
    <t>ENERGY CONSERVATION IN AGRO-BASED INDUSTRY</t>
  </si>
  <si>
    <t>22AGH22</t>
  </si>
  <si>
    <t>COGENERATION AND WASTE HEAT RECOVERY SYSTEMS</t>
  </si>
  <si>
    <t>MINI PROJECT</t>
  </si>
  <si>
    <t>22AG607</t>
  </si>
  <si>
    <t>MINI PROJECT II</t>
  </si>
  <si>
    <t>S8</t>
  </si>
  <si>
    <t>PROJECT</t>
  </si>
  <si>
    <t>22AG801</t>
  </si>
  <si>
    <t>PROJECT WORK II</t>
  </si>
  <si>
    <t>Si No.</t>
  </si>
  <si>
    <t>22GE003</t>
  </si>
  <si>
    <t>BASICS OF ELECTRICAL ENGINEERING</t>
  </si>
  <si>
    <t>22AI206</t>
  </si>
  <si>
    <t xml:space="preserve">DIGITAL COMPUTER ELECTRONICS </t>
  </si>
  <si>
    <t xml:space="preserve"> COMMUNICATIVE ENGLISH II</t>
  </si>
  <si>
    <t>22HSH01</t>
  </si>
  <si>
    <t>HINDI</t>
  </si>
  <si>
    <t>22HSG01</t>
  </si>
  <si>
    <t>GERMAN</t>
  </si>
  <si>
    <t>COCURRICULAR AND
EXTRACURRICULAR
ACTIVITIES</t>
  </si>
  <si>
    <t>22AI401</t>
  </si>
  <si>
    <t>APPLIED LINEAR ALGEBRA</t>
  </si>
  <si>
    <t>22AI402</t>
  </si>
  <si>
    <t>DATA STRUCTURES II</t>
  </si>
  <si>
    <t>22AI403</t>
  </si>
  <si>
    <t>OPERATING SYSTEMS</t>
  </si>
  <si>
    <t>22AI404</t>
  </si>
  <si>
    <t>WEB TECHNOLOGY AND FRAMEWORKS</t>
  </si>
  <si>
    <t>22AI405</t>
  </si>
  <si>
    <t>DATABASE MANAGEMENT SYSTEM</t>
  </si>
  <si>
    <t>22AI601</t>
  </si>
  <si>
    <t>NATURAL LANGUAGE PROCESSING</t>
  </si>
  <si>
    <t>22AI602</t>
  </si>
  <si>
    <t>COMPUTER VISION AND DIGITAL IMAGING</t>
  </si>
  <si>
    <t>22AI603</t>
  </si>
  <si>
    <t>DEEP LEARNING</t>
  </si>
  <si>
    <t>22AIH09</t>
  </si>
  <si>
    <t>CLOUD STORAGE TECHNOLOGIES</t>
  </si>
  <si>
    <t>22AIH10</t>
  </si>
  <si>
    <t>CLOUD AUTOMATION TOOLS AND APPLICATIONS</t>
  </si>
  <si>
    <t>22AI607</t>
  </si>
  <si>
    <t>22AI801</t>
  </si>
  <si>
    <t>22AM206</t>
  </si>
  <si>
    <t>22AM401</t>
  </si>
  <si>
    <t>22AM402</t>
  </si>
  <si>
    <t>22AM403</t>
  </si>
  <si>
    <t>22AM404</t>
  </si>
  <si>
    <t>22AM405</t>
  </si>
  <si>
    <t>22AM601</t>
  </si>
  <si>
    <t>22AM602</t>
  </si>
  <si>
    <t>22AM603</t>
  </si>
  <si>
    <t>22AMH32</t>
  </si>
  <si>
    <t xml:space="preserve">VIDEO ANALYTICS </t>
  </si>
  <si>
    <t>22AMH33</t>
  </si>
  <si>
    <t>CYBER THREAT ANALYTICS</t>
  </si>
  <si>
    <t>MINOR</t>
  </si>
  <si>
    <t>22AMM44</t>
  </si>
  <si>
    <t>BUSINESS INTELLIGENCE AND ANALYTICS</t>
  </si>
  <si>
    <t>22AMM45</t>
  </si>
  <si>
    <t>FUNDAMENTALS OF CLOUD COMPUTING</t>
  </si>
  <si>
    <t>22AM607</t>
  </si>
  <si>
    <t>22AM801</t>
  </si>
  <si>
    <t>Sl No.</t>
  </si>
  <si>
    <t>22BM601</t>
  </si>
  <si>
    <t>DIAGNOSTIC AND THERAPEUTIC EQUIPMENT</t>
  </si>
  <si>
    <t>22BM602</t>
  </si>
  <si>
    <t>BIOMECHANICS</t>
  </si>
  <si>
    <t>22BM603</t>
  </si>
  <si>
    <t>ARTIFICIAL INTELLIGENCE AND MACHINE LEARNING</t>
  </si>
  <si>
    <t>OCCUPATIONAL SAFETY AND HEALTH IN PUBLIC HEALTH</t>
  </si>
  <si>
    <t>22BMH34</t>
  </si>
  <si>
    <t>PATIENT SAFETY AND STANDARDS</t>
  </si>
  <si>
    <t>22BMH35</t>
  </si>
  <si>
    <t>MEDICAL DEVICE REGULATIONS</t>
  </si>
  <si>
    <t>22BM607</t>
  </si>
  <si>
    <t>22BM801</t>
  </si>
  <si>
    <t>22CB401</t>
  </si>
  <si>
    <t>22CB402</t>
  </si>
  <si>
    <t>SOFTWARE ENGINEERING</t>
  </si>
  <si>
    <t>22CB403</t>
  </si>
  <si>
    <t>DESIGN AND ANALYSIS OF ALGORITHMS</t>
  </si>
  <si>
    <t>22CB404</t>
  </si>
  <si>
    <t>DESIGN THINKING</t>
  </si>
  <si>
    <t>22CB405</t>
  </si>
  <si>
    <t>OPERATIONS RESEARCH</t>
  </si>
  <si>
    <t>22CB406</t>
  </si>
  <si>
    <t>MARKETING RESEARCH AND MARKETING MANAGEMENT</t>
  </si>
  <si>
    <t>22CB601</t>
  </si>
  <si>
    <t>COMPUTER NETWORKS</t>
  </si>
  <si>
    <t>22CB602</t>
  </si>
  <si>
    <t>INFORMATION SECURITY</t>
  </si>
  <si>
    <t>22CB603</t>
  </si>
  <si>
    <t>ARTIFICIAL INTELLIGENCE</t>
  </si>
  <si>
    <t>22CB604</t>
  </si>
  <si>
    <t>IT WORKSHOP</t>
  </si>
  <si>
    <t>22CB608</t>
  </si>
  <si>
    <t>22CB801</t>
  </si>
  <si>
    <t>PROJECT EVALUATION</t>
  </si>
  <si>
    <t>sno</t>
  </si>
  <si>
    <t>22CS206</t>
  </si>
  <si>
    <t>COCURRICULAR OR EXTRACURRICULAR ACTIVITY</t>
  </si>
  <si>
    <t>22CS401</t>
  </si>
  <si>
    <t>DISCRETE MATHEMATICS</t>
  </si>
  <si>
    <t>22CS402</t>
  </si>
  <si>
    <t>22CS403</t>
  </si>
  <si>
    <t>22CS404</t>
  </si>
  <si>
    <t>22CS405</t>
  </si>
  <si>
    <t>22CS601</t>
  </si>
  <si>
    <t>CRYPTOGRAPHY AND NETWORK SECURITY</t>
  </si>
  <si>
    <t>22CS602</t>
  </si>
  <si>
    <t>PRINCIPLES OF COMPILER DESIGN</t>
  </si>
  <si>
    <t>22CS603</t>
  </si>
  <si>
    <t>CLOUD COMPUTING</t>
  </si>
  <si>
    <t>22CSH03/22CTH03/22ITH03/22CBH03</t>
  </si>
  <si>
    <t>BIG DATA ANALYTICS</t>
  </si>
  <si>
    <t>22CSH04/22CTH04/22ISH28/22ITH04/22CBH04</t>
  </si>
  <si>
    <t>NEURAL NETWORKS AND DEEP LEARNING</t>
  </si>
  <si>
    <t>22CS607</t>
  </si>
  <si>
    <t>22CS801</t>
  </si>
  <si>
    <t>PG</t>
  </si>
  <si>
    <t>24CS21</t>
  </si>
  <si>
    <t xml:space="preserve">24CS22 </t>
  </si>
  <si>
    <t xml:space="preserve">24CS23 </t>
  </si>
  <si>
    <t>ADVANCED SOFTWARE ENGINEERING</t>
  </si>
  <si>
    <t xml:space="preserve">24CS24 </t>
  </si>
  <si>
    <t>CLOUD COMPUTING TECHNOLOGIES</t>
  </si>
  <si>
    <t xml:space="preserve">24CS54 </t>
  </si>
  <si>
    <t>DATA SCIENCE</t>
  </si>
  <si>
    <t xml:space="preserve">24CS57 </t>
  </si>
  <si>
    <t>ELECTIVE 2</t>
  </si>
  <si>
    <t xml:space="preserve">24CS58 </t>
  </si>
  <si>
    <t>INFORMATION RETRIEVAL TECHNIQUES</t>
  </si>
  <si>
    <t xml:space="preserve">24CS69 </t>
  </si>
  <si>
    <t>OPTIMIZATION TECHNIQUES</t>
  </si>
  <si>
    <t>24CS27</t>
  </si>
  <si>
    <t>MACHINE LEARNING LABORATORY</t>
  </si>
  <si>
    <t>24CS28</t>
  </si>
  <si>
    <t>22GE005</t>
  </si>
  <si>
    <t>ENGINEERING DRAWING</t>
  </si>
  <si>
    <t>22BT401</t>
  </si>
  <si>
    <t>BIOORGANIC CHEMISTRY</t>
  </si>
  <si>
    <t>22BT402</t>
  </si>
  <si>
    <t>22BT403</t>
  </si>
  <si>
    <t>CELL AND MOLECULAR BIOLOGY</t>
  </si>
  <si>
    <t>22BT404</t>
  </si>
  <si>
    <t>INSTRUMENTAL METHODS OF ANALYSIS</t>
  </si>
  <si>
    <t>22BT405</t>
  </si>
  <si>
    <t>PLANT TISSUE CULTURE</t>
  </si>
  <si>
    <t>22BT601</t>
  </si>
  <si>
    <t>DOWNSTREAM PROCESSING</t>
  </si>
  <si>
    <t>22BT602</t>
  </si>
  <si>
    <t>IMMUNOLOGY</t>
  </si>
  <si>
    <t>22BT603</t>
  </si>
  <si>
    <t>ENZYME AND PROTEIN ENGINEERING</t>
  </si>
  <si>
    <t>MOLECULAR THERAPEUTICS AND DIAGNOSTICS</t>
  </si>
  <si>
    <t>22BTH30</t>
  </si>
  <si>
    <t>ANIMAL CELL CULTURETECHNIQUES</t>
  </si>
  <si>
    <t>22BTH31</t>
  </si>
  <si>
    <t>BIOTECHNIQUES IN ANIMAL
 BREEDING</t>
  </si>
  <si>
    <t>22BT607</t>
  </si>
  <si>
    <t>22BT801</t>
  </si>
  <si>
    <t>22CD601</t>
  </si>
  <si>
    <t>FOUNDATIONS OF ARTIFICIAL INTELLIGENCE</t>
  </si>
  <si>
    <t>22CD602</t>
  </si>
  <si>
    <t>22CD603</t>
  </si>
  <si>
    <t>Mrs PREETHIMATHI L</t>
  </si>
  <si>
    <t>22CDH31</t>
  </si>
  <si>
    <t>METAVERSE</t>
  </si>
  <si>
    <t>22CDH32</t>
  </si>
  <si>
    <t>IMAGE AND VIDEO ANALYTICS</t>
  </si>
  <si>
    <t>22CD607</t>
  </si>
  <si>
    <t>s nO</t>
  </si>
  <si>
    <t>22EE401</t>
  </si>
  <si>
    <t>POWER GENERATION, TRANSMISSION AND DISTRIBUTION</t>
  </si>
  <si>
    <t>22EE402</t>
  </si>
  <si>
    <t>ELECTRICAL MACHINES II</t>
  </si>
  <si>
    <t>22EE403</t>
  </si>
  <si>
    <t>MEASUREMENT AND INSTRUMENTATION</t>
  </si>
  <si>
    <t>22EE404</t>
  </si>
  <si>
    <t>DIGITAL LOGIC CIRCUIT DESIGN</t>
  </si>
  <si>
    <t>22EE405</t>
  </si>
  <si>
    <t>EMBEDDED SYSTEMS</t>
  </si>
  <si>
    <t>22EE601</t>
  </si>
  <si>
    <t>POWER SYSTEMS PROTECTION AND SWITCHGEAR</t>
  </si>
  <si>
    <t>22EE602</t>
  </si>
  <si>
    <t>DIGITAL SIGNAL PROCESSING</t>
  </si>
  <si>
    <t>22EE603</t>
  </si>
  <si>
    <t>RENEWABLE AND DISTRIBUTED ENERGY SOURCES</t>
  </si>
  <si>
    <t>22EEH15</t>
  </si>
  <si>
    <t>ELECTRIC VEHICLE DESIGN, MECHANICS AND CONTROL</t>
  </si>
  <si>
    <t>22EEH16</t>
  </si>
  <si>
    <t>DESIGN OF ELECTRIC VEHICLE CHARGING SYSTEM</t>
  </si>
  <si>
    <t>22EE607</t>
  </si>
  <si>
    <t>22EE801</t>
  </si>
  <si>
    <t>22CE601</t>
  </si>
  <si>
    <t>DESIGN OF RCC STRUCTURES</t>
  </si>
  <si>
    <t>22CE602</t>
  </si>
  <si>
    <t>STRUCTURAL ANALYSIS II</t>
  </si>
  <si>
    <t>22CE603</t>
  </si>
  <si>
    <t>DESIGN OF STEEL</t>
  </si>
  <si>
    <t>22CEH01</t>
  </si>
  <si>
    <t>REPAIR AND REHABILITATION OF STRUCTURE</t>
  </si>
  <si>
    <t>22CEH06</t>
  </si>
  <si>
    <t>STRUCTURAL HEALTH MONITORING</t>
  </si>
  <si>
    <t>22CE607</t>
  </si>
  <si>
    <t>22CE801</t>
  </si>
  <si>
    <t>22IS601</t>
  </si>
  <si>
    <t>NATURAL LANGUAGE PROCESSING TECHNIQUES</t>
  </si>
  <si>
    <t>22IS602</t>
  </si>
  <si>
    <t>CRYPTOGRAPHY AND INFORMATION SECURITY</t>
  </si>
  <si>
    <t>22IS603</t>
  </si>
  <si>
    <t>INFORMATION CODING TECHNIQUES</t>
  </si>
  <si>
    <t>22ISH27</t>
  </si>
  <si>
    <t>DATA MINING</t>
  </si>
  <si>
    <t>22IS607</t>
  </si>
  <si>
    <t>22IS801</t>
  </si>
  <si>
    <t>22EC401</t>
  </si>
  <si>
    <t>SIGNALS AND SYSTEMS</t>
  </si>
  <si>
    <t>22EC402</t>
  </si>
  <si>
    <t>ANALOG COMMUNICATION</t>
  </si>
  <si>
    <t>22EC403</t>
  </si>
  <si>
    <t>ELECTROMAGNETIC FIELDS AND WAVEGUIDES</t>
  </si>
  <si>
    <t>22EC404</t>
  </si>
  <si>
    <t>CMOS DIGITAL INTEGRATED CIRCUITS</t>
  </si>
  <si>
    <t>22EC405</t>
  </si>
  <si>
    <t>22EC601</t>
  </si>
  <si>
    <t>COMPUTER NETWORKS ANDPROTOCOLS</t>
  </si>
  <si>
    <t>22EC602</t>
  </si>
  <si>
    <t>DIGITAL SYSTEM DESIGN WITHFPGA</t>
  </si>
  <si>
    <t>22EC603</t>
  </si>
  <si>
    <t xml:space="preserve">New Faculty </t>
  </si>
  <si>
    <t>NEW FACULTY</t>
  </si>
  <si>
    <t>22ECH09/22EIH04</t>
  </si>
  <si>
    <t>IoT SYSTEM DESIGN</t>
  </si>
  <si>
    <t>22ECH10/22EIH05</t>
  </si>
  <si>
    <t>WIRELESS SENSOR NETWORK DESIGN</t>
  </si>
  <si>
    <t>22EC607</t>
  </si>
  <si>
    <t>22EC801</t>
  </si>
  <si>
    <t>22CT601</t>
  </si>
  <si>
    <t>DISTRIBUTED COMPUTING</t>
  </si>
  <si>
    <t>22CT602</t>
  </si>
  <si>
    <t>MACHINE LEARNING ESSENTIALS</t>
  </si>
  <si>
    <t>22CT603</t>
  </si>
  <si>
    <t>22CT607</t>
  </si>
  <si>
    <t>22CT801</t>
  </si>
  <si>
    <t>22MC401</t>
  </si>
  <si>
    <t>PROBABILITY, STATISTICS AND
RANDOM PROCESS</t>
  </si>
  <si>
    <t>22MC402</t>
  </si>
  <si>
    <t>SENSORS AND TRANSDUCER</t>
  </si>
  <si>
    <t>22MC403</t>
  </si>
  <si>
    <t>22MC404</t>
  </si>
  <si>
    <t>22MC405</t>
  </si>
  <si>
    <t>22MC013</t>
  </si>
  <si>
    <t>ELECTRIC AND HYBRID VEHICLES</t>
  </si>
  <si>
    <t>22MC601</t>
  </si>
  <si>
    <t>INDUSTRIAL AUTOMATION AND IOT</t>
  </si>
  <si>
    <t>22MC602</t>
  </si>
  <si>
    <t>POWER ELECTRONICS AND DRIVES</t>
  </si>
  <si>
    <t>22MC603</t>
  </si>
  <si>
    <t>FLUID POWER SYSTEM</t>
  </si>
  <si>
    <t>22MC026</t>
  </si>
  <si>
    <t>VIRTUAL INSTRUMENTATION</t>
  </si>
  <si>
    <t>22MC011</t>
  </si>
  <si>
    <t>DESIGN FOR MANUFACTURING AND ASSEMBLY</t>
  </si>
  <si>
    <t>22MCH03</t>
  </si>
  <si>
    <t>DRONE TECHNOLOGY</t>
  </si>
  <si>
    <t>22MCH04</t>
  </si>
  <si>
    <t>ROBOTIC VISION</t>
  </si>
  <si>
    <t>22MC607</t>
  </si>
  <si>
    <t>22MC801</t>
  </si>
  <si>
    <t>22IT206</t>
  </si>
  <si>
    <t xml:space="preserve">Lab Nivetha EC11043,  ECE New Faculty for Theory </t>
  </si>
  <si>
    <t>22IT401</t>
  </si>
  <si>
    <t>22IT402</t>
  </si>
  <si>
    <t>22IT403</t>
  </si>
  <si>
    <t>22IT404</t>
  </si>
  <si>
    <t>22IT405</t>
  </si>
  <si>
    <t>22IT601</t>
  </si>
  <si>
    <t>DATA MINING AND WAREHOUSING</t>
  </si>
  <si>
    <t>22IT602</t>
  </si>
  <si>
    <t>22IT603</t>
  </si>
  <si>
    <t>22ITM48</t>
  </si>
  <si>
    <t>DATA ANALYSIS USING PYTHON</t>
  </si>
  <si>
    <t>22ITM49</t>
  </si>
  <si>
    <t>SOFTWARE ENGINEERING METHODOLOGIES</t>
  </si>
  <si>
    <t>22IT607</t>
  </si>
  <si>
    <t>22IT801</t>
  </si>
  <si>
    <t>S No</t>
  </si>
  <si>
    <t>22EI401</t>
  </si>
  <si>
    <t>22EI402</t>
  </si>
  <si>
    <t>22EI403</t>
  </si>
  <si>
    <t>ANALOG ELECTRONICS AND INTEGRATED CIRCUITS</t>
  </si>
  <si>
    <t>22EI404</t>
  </si>
  <si>
    <t>COMMUNICATION ENGINEERING</t>
  </si>
  <si>
    <t>22EI405</t>
  </si>
  <si>
    <t>22EI601</t>
  </si>
  <si>
    <t>PROCESS CONTROL</t>
  </si>
  <si>
    <t>22EI602</t>
  </si>
  <si>
    <t>22EI603</t>
  </si>
  <si>
    <t>22EI607</t>
  </si>
  <si>
    <t>22EI801</t>
  </si>
  <si>
    <t>22FD601</t>
  </si>
  <si>
    <t>FOOD PROCESSING PLANT DESIGN ANDLAYOUT</t>
  </si>
  <si>
    <t>22FD602</t>
  </si>
  <si>
    <t>FOOD EQUIPMENT DESIGN</t>
  </si>
  <si>
    <t>22FD603</t>
  </si>
  <si>
    <t>FOOD INSTRUMENTATION AND ANALYSIS</t>
  </si>
  <si>
    <t xml:space="preserve"> BEVERAGE TECHNOLOGY</t>
  </si>
  <si>
    <t>NON THERMAL PROCESSING TECHNIQUES</t>
  </si>
  <si>
    <t>22FDH03</t>
  </si>
  <si>
    <t>DIVERSE MATERIALS IN FOOD PACKAGING</t>
  </si>
  <si>
    <t>22FDH04</t>
  </si>
  <si>
    <t>EMERGING TRENDS AND INNOVATION IN PACKAGING TECHNOLOGY</t>
  </si>
  <si>
    <t>22FD607</t>
  </si>
  <si>
    <t>22FD801</t>
  </si>
  <si>
    <t>22ME401</t>
  </si>
  <si>
    <t>KINEMATICS AND DYNAMICS OF MACHINERY</t>
  </si>
  <si>
    <t>22ME402</t>
  </si>
  <si>
    <t>22ME403</t>
  </si>
  <si>
    <t>22ME404</t>
  </si>
  <si>
    <t>INDUSTRIAL AUTOMATION WITH PLC</t>
  </si>
  <si>
    <t>22ME405</t>
  </si>
  <si>
    <t>MATERIALS AND MANUFACTURING PROCESSES</t>
  </si>
  <si>
    <t>S4-PG</t>
  </si>
  <si>
    <t>24IS21</t>
  </si>
  <si>
    <t>SAFETY IN ENGINEERING INDUSTRY</t>
  </si>
  <si>
    <t>24IS22</t>
  </si>
  <si>
    <t>FIRE ENGINEERING AND EXPLOSION CONTROL</t>
  </si>
  <si>
    <t>24IS23</t>
  </si>
  <si>
    <t>ELECTRICAL SAFETY</t>
  </si>
  <si>
    <t>24IS24</t>
  </si>
  <si>
    <t>RISK ANALYSIS</t>
  </si>
  <si>
    <t>24IS55</t>
  </si>
  <si>
    <t>SAFETY IN CHEMICAL INDUSTRIES</t>
  </si>
  <si>
    <t>24IS63</t>
  </si>
  <si>
    <t>WORK STUDY AND ERGONOMICS</t>
  </si>
  <si>
    <t>24IS26</t>
  </si>
  <si>
    <t>INDUSTRIAL FIRE AND ELECTRICAL SAFETY LABORATORY</t>
  </si>
  <si>
    <t>24IS27</t>
  </si>
  <si>
    <t>AUDIT COURSE 2</t>
  </si>
  <si>
    <t>24XE04</t>
  </si>
  <si>
    <t>DISASTER MANAGEMENT</t>
  </si>
  <si>
    <t>DISSERTATION PHASE 2</t>
  </si>
  <si>
    <t>24IS41</t>
  </si>
  <si>
    <t>DISSERTATION PHASE II</t>
  </si>
  <si>
    <t>22ME601</t>
  </si>
  <si>
    <t>22ME602</t>
  </si>
  <si>
    <t>FINITE ELEMENT ANALYSIS</t>
  </si>
  <si>
    <t>22ME603</t>
  </si>
  <si>
    <t>COMPUTER AIDED MANUFACTURING</t>
  </si>
  <si>
    <t>22MEH38</t>
  </si>
  <si>
    <t>ERGONOMICS</t>
  </si>
  <si>
    <t>22MEH39</t>
  </si>
  <si>
    <t>PRODUCT DATA AND LIFE CYCLE MANAGEMENT</t>
  </si>
  <si>
    <t>22ME607</t>
  </si>
  <si>
    <t>22ME801</t>
  </si>
  <si>
    <t>22FT601</t>
  </si>
  <si>
    <t>APPAREL PRODUCTION PLANNING AND CONTROL</t>
  </si>
  <si>
    <t>22FT602</t>
  </si>
  <si>
    <t>FASHION RETAIL MANAGEMENT</t>
  </si>
  <si>
    <t>22FT603</t>
  </si>
  <si>
    <t>QUALITY ASSURANCE IN GARMENT PRODUCTION</t>
  </si>
  <si>
    <t>22FTH15</t>
  </si>
  <si>
    <t>22FTH16</t>
  </si>
  <si>
    <t>SOCIAL COMPLIANCES AND QUALITY ASSURANCE IN APPAREL INDUSTRY</t>
  </si>
  <si>
    <t xml:space="preserve">22FT607 </t>
  </si>
  <si>
    <t>22FT801</t>
  </si>
  <si>
    <t>TXT</t>
  </si>
  <si>
    <t>22TX801</t>
  </si>
  <si>
    <t>SMS</t>
  </si>
  <si>
    <t>24MB201</t>
  </si>
  <si>
    <t>MARKETING MANAGEMENT</t>
  </si>
  <si>
    <t>24MB202</t>
  </si>
  <si>
    <t>HUMAN RESOURCE MANAGEMENT</t>
  </si>
  <si>
    <t>24MB203</t>
  </si>
  <si>
    <t>OPERATIONS MANAGEMENT</t>
  </si>
  <si>
    <t>24MB204</t>
  </si>
  <si>
    <t>24MB205</t>
  </si>
  <si>
    <t>24MB206</t>
  </si>
  <si>
    <t>BUSINESS ANALYTICS AND INTELLIGENCE</t>
  </si>
  <si>
    <t>24MB207</t>
  </si>
  <si>
    <t xml:space="preserve">MANAGERIAL SKILL DEVELOPMENT – II </t>
  </si>
  <si>
    <t>24MB208</t>
  </si>
  <si>
    <t>COMMUNITY CONNECT PROJECT</t>
  </si>
  <si>
    <t>COMPETITVE EDGE COURSE II</t>
  </si>
  <si>
    <t>24MX008</t>
  </si>
  <si>
    <t xml:space="preserve">VISUAL ANALYTICS II </t>
  </si>
  <si>
    <t>VIVA</t>
  </si>
  <si>
    <t>24MB209</t>
  </si>
  <si>
    <t xml:space="preserve">COMPREHENSIVE VIVA-VOCE – I 
</t>
  </si>
  <si>
    <t>-</t>
  </si>
  <si>
    <t>24MB401</t>
  </si>
  <si>
    <t>INTERNATIONAL BUSINESS MANAGEMENT</t>
  </si>
  <si>
    <t>24MBM01</t>
  </si>
  <si>
    <t>BRAND MANAGEMENT</t>
  </si>
  <si>
    <t>ELECTIVE 6</t>
  </si>
  <si>
    <t>24MBM02</t>
  </si>
  <si>
    <t>CUSTOMER RELATIONSHIP MANAGEMENT</t>
  </si>
  <si>
    <t>ELECTIVE 7</t>
  </si>
  <si>
    <t>24MBF01</t>
  </si>
  <si>
    <t>BANKING SYSTEM AND PRACTICES</t>
  </si>
  <si>
    <t>ELECTIVE 8</t>
  </si>
  <si>
    <t>24MBF08</t>
  </si>
  <si>
    <t>FINANCIAL MODELING</t>
  </si>
  <si>
    <t>24MBH01</t>
  </si>
  <si>
    <t>INDUSTRIAL RELATIONS AND LABOUR LAWS</t>
  </si>
  <si>
    <t>24MBH09</t>
  </si>
  <si>
    <t>HR ANALYTICS</t>
  </si>
  <si>
    <t>24MB402</t>
  </si>
  <si>
    <t>24MB403</t>
  </si>
  <si>
    <t>COMPREHENSIVE VIVA-VOCE - II</t>
  </si>
  <si>
    <t>dEP</t>
  </si>
  <si>
    <t>sEM</t>
  </si>
  <si>
    <t>cOURSE cODE</t>
  </si>
  <si>
    <t>cOURSE nAME</t>
  </si>
  <si>
    <t>fAC id</t>
  </si>
  <si>
    <t>fAC nAME</t>
  </si>
  <si>
    <t>eMAIL</t>
  </si>
  <si>
    <t>Common Dept</t>
  </si>
  <si>
    <t>Course code</t>
  </si>
  <si>
    <t>Software Engineering</t>
  </si>
  <si>
    <t>Design and Analysis of Algorithm</t>
  </si>
  <si>
    <t>CMOS Digital Integrated Circuits</t>
  </si>
  <si>
    <t>Digital Logic Circuit Design</t>
  </si>
  <si>
    <t>Analog Electronics &amp; Integrated Circuits</t>
  </si>
  <si>
    <t>Embedded Systems</t>
  </si>
  <si>
    <t>Sensor and Transducer</t>
  </si>
  <si>
    <t>Sensor and Transducers</t>
  </si>
  <si>
    <t>22CS404/22IT404/22CT404</t>
  </si>
  <si>
    <t>Web Technology and Frameworks</t>
  </si>
  <si>
    <t>22AM402/22CS402/22IT402/22CD402</t>
  </si>
  <si>
    <t>Data Structures II</t>
  </si>
  <si>
    <t>22AM405/22AD405/22CS405</t>
  </si>
  <si>
    <t>Database Management System</t>
  </si>
  <si>
    <t>Previously Handling Faculty Name</t>
  </si>
  <si>
    <t>Altered Faculty Name</t>
  </si>
  <si>
    <t>Ms.ESAKKI MADURA E</t>
  </si>
  <si>
    <t>Mr.SATHEESH N P</t>
  </si>
  <si>
    <t>CB11108</t>
  </si>
  <si>
    <t>Ms.SUDHA T</t>
  </si>
  <si>
    <t>sudhat@bitsathy.ac.in</t>
  </si>
  <si>
    <t>Mrs Deepa Sumathi M</t>
  </si>
  <si>
    <t>New Faculty</t>
  </si>
  <si>
    <t>Mrs.DIVYA S</t>
  </si>
  <si>
    <t>Mrs.MADHUMITHA A</t>
  </si>
  <si>
    <t>22CD003</t>
  </si>
  <si>
    <t>Mrs.KALPANA R</t>
  </si>
  <si>
    <t>Mr.BALASAMY K</t>
  </si>
  <si>
    <t>22CT403</t>
  </si>
  <si>
    <t>Mr.DIVAKAR R</t>
  </si>
  <si>
    <t>Mr.RAMASAMI S</t>
  </si>
  <si>
    <t>Mr.SOMASUNDARAM K</t>
  </si>
  <si>
    <t>CS10958</t>
  </si>
  <si>
    <t>Dr.KUMARESAN T</t>
  </si>
  <si>
    <t>kumaresant@bitsathy.ac.in</t>
  </si>
  <si>
    <t>Mr.MAGESH KUMAR B</t>
  </si>
  <si>
    <t>Mrs.KAVITHA V</t>
  </si>
  <si>
    <t>22CB205</t>
  </si>
  <si>
    <t>PRINCIPLES OF ECONOMICS</t>
  </si>
  <si>
    <t>Dr.VISHNU SAJAN</t>
  </si>
  <si>
    <t>Remarks</t>
  </si>
  <si>
    <t>22BM402</t>
  </si>
  <si>
    <t>BIOSCIENCES IN MEDICAL ENGINEERING</t>
  </si>
  <si>
    <t>22BM405</t>
  </si>
  <si>
    <t>22CE402</t>
  </si>
  <si>
    <t>MECHANICS OF DEFORMABLE BODIES</t>
  </si>
  <si>
    <t>22CE403</t>
  </si>
  <si>
    <t>CONCRETE TECHNOLOGY</t>
  </si>
  <si>
    <t>22CE404</t>
  </si>
  <si>
    <t>GEOTECHNICAL ENGINEERING I</t>
  </si>
  <si>
    <t>22CE405</t>
  </si>
  <si>
    <t>CONSTRUCTION MANAGEMENT</t>
  </si>
  <si>
    <t xml:space="preserve">22CS025 </t>
  </si>
  <si>
    <t>22CSH04/22CSM04/22ITH04/22CBH04/22CTH04/22ISH28</t>
  </si>
  <si>
    <t>22CD402</t>
  </si>
  <si>
    <t>22CD404</t>
  </si>
  <si>
    <t>22CD405</t>
  </si>
  <si>
    <t>22CT402</t>
  </si>
  <si>
    <t>22CT404</t>
  </si>
  <si>
    <t>22CT405</t>
  </si>
  <si>
    <t>22FT402</t>
  </si>
  <si>
    <t>ADVANCED FASHION CULTURE AND STUDIES</t>
  </si>
  <si>
    <t>22FT403</t>
  </si>
  <si>
    <t>STRUCTURE AND DESIGN OF WOVEN FABRICS</t>
  </si>
  <si>
    <t>22FT404</t>
  </si>
  <si>
    <t>TEXTILE CHEMICAL PROCESSING</t>
  </si>
  <si>
    <t>22FT405</t>
  </si>
  <si>
    <t>APPAREL DESIGN AND DEVELOPMENT II</t>
  </si>
  <si>
    <t>22FD402</t>
  </si>
  <si>
    <t>22FD404</t>
  </si>
  <si>
    <t>FOOD PROCESSING AND PRESERVATION</t>
  </si>
  <si>
    <t>22FD405</t>
  </si>
  <si>
    <t>UNIT OPERATIONS IN FOOD PROCESSING</t>
  </si>
  <si>
    <t>22IS402</t>
  </si>
  <si>
    <t>22IS404</t>
  </si>
  <si>
    <t>22IS405</t>
  </si>
  <si>
    <t>22IT025</t>
  </si>
  <si>
    <t>22TT601</t>
  </si>
  <si>
    <t>TEXTILE TESTING</t>
  </si>
  <si>
    <t>Sign</t>
  </si>
  <si>
    <t>Mr.RAGHUL S</t>
  </si>
  <si>
    <t>AERO</t>
  </si>
  <si>
    <t>AG10414</t>
  </si>
  <si>
    <t>Dr.DEEPANKUMAR S</t>
  </si>
  <si>
    <t>deepankumar@bitsathy.ac.in</t>
  </si>
  <si>
    <t>Dr.UVARAJA V C</t>
  </si>
  <si>
    <t>Dr.SASIKUMAR C</t>
  </si>
  <si>
    <t>Dr.VASUDEVAN M</t>
  </si>
  <si>
    <t>Ms.ANANTHI D</t>
  </si>
  <si>
    <t>AUTO</t>
  </si>
  <si>
    <t>Dr.SATHISH V</t>
  </si>
  <si>
    <t>Dr.AJAI A</t>
  </si>
  <si>
    <t>AG11143</t>
  </si>
  <si>
    <t>Ms.ARCHANA J</t>
  </si>
  <si>
    <t>archanaj@bitsathy.ac.in</t>
  </si>
  <si>
    <t>Dr.CHELLADURAI V</t>
  </si>
  <si>
    <t>Mr.MUTHUKUMARAVEL K</t>
  </si>
  <si>
    <t>Dr.PRAVEEN KUMAR D</t>
  </si>
  <si>
    <t>Dr.REVATHI V M</t>
  </si>
  <si>
    <t>Dr.PRABHAVATHI K</t>
  </si>
  <si>
    <t>Dr.GOMATHI M</t>
  </si>
  <si>
    <t>Dr.GAYATHIRI B</t>
  </si>
  <si>
    <t>Dr.SADASIVAM K</t>
  </si>
  <si>
    <t>PH11123</t>
  </si>
  <si>
    <t>Dr.ANBAZHAKAN K</t>
  </si>
  <si>
    <t>anbazhakan@bitsathy.ac.in</t>
  </si>
  <si>
    <t>Dr.THIRUMOORTHY M</t>
  </si>
  <si>
    <t>Dr.ANANDHA BABU G</t>
  </si>
  <si>
    <t>Dr.SUBHAPRIYA P</t>
  </si>
  <si>
    <t>IT/AIDS</t>
  </si>
  <si>
    <t>Dr.DEEPHA V</t>
  </si>
  <si>
    <t>Dr.VISWANATHAN G</t>
  </si>
  <si>
    <t>CH10746</t>
  </si>
  <si>
    <t>Dr.ARULMANI S</t>
  </si>
  <si>
    <t>arulmani@bitsathy.ac.in</t>
  </si>
  <si>
    <t>Dr.ANANDAKUMAR K</t>
  </si>
  <si>
    <t>AM11101</t>
  </si>
  <si>
    <t>Mrs.ALAMELU M</t>
  </si>
  <si>
    <t>Ms.MOHANAPRIYA K</t>
  </si>
  <si>
    <t>Ms.YUVALATHA S</t>
  </si>
  <si>
    <t>Dr.RAJALASHMI K</t>
  </si>
  <si>
    <t>EE1560</t>
  </si>
  <si>
    <t>Dr.SHANKAR N</t>
  </si>
  <si>
    <t>shankarn@bitsathy.ac.in</t>
  </si>
  <si>
    <t>Dr.GOLDVIN SUGIRTHA DHAS B</t>
  </si>
  <si>
    <t>Mr.RAGHUNATH M</t>
  </si>
  <si>
    <t>Dr.VEERAKUMAR S</t>
  </si>
  <si>
    <t>Mrs.GAYATHRI R</t>
  </si>
  <si>
    <t>Mrs.ASHFORN HERMINA J M</t>
  </si>
  <si>
    <t>Mrs.KEERTHANA K</t>
  </si>
  <si>
    <t>Dr.SUBBULAKSHMI M</t>
  </si>
  <si>
    <t>Dr.SAGUNTHALA DEVI P</t>
  </si>
  <si>
    <t>Ms.KAMALI D</t>
  </si>
  <si>
    <t>HU20286</t>
  </si>
  <si>
    <t>Mr.SHYAMSUNDAR S</t>
  </si>
  <si>
    <t>Dr.SARANYA D</t>
  </si>
  <si>
    <t>MA10388</t>
  </si>
  <si>
    <t>Dr.SELVI S</t>
  </si>
  <si>
    <t>selvi@bitsathy.ac.in</t>
  </si>
  <si>
    <t>Mrs.VAANATHI S</t>
  </si>
  <si>
    <t>Mrs.NISHA DEVI K</t>
  </si>
  <si>
    <t>Mr.RAJ KUMAR V S</t>
  </si>
  <si>
    <t>Dr.ARUN KUMAR R</t>
  </si>
  <si>
    <t>Mrs.HEMA PRIYA D</t>
  </si>
  <si>
    <t>Dr.ESWARAMOORTHY V</t>
  </si>
  <si>
    <t>Mrs.DIVYABARATHI P</t>
  </si>
  <si>
    <t>Mrs.RESHMI T S</t>
  </si>
  <si>
    <t>Mr.SATHEESHKUMAR S</t>
  </si>
  <si>
    <t>Mrs.SAVEETHA R</t>
  </si>
  <si>
    <t>Mr.PRABANAND S C</t>
  </si>
  <si>
    <t>Mr.NITHIN P</t>
  </si>
  <si>
    <t>Mr.PREMKUMAR C</t>
  </si>
  <si>
    <t>Dr.SUNDARA MURTHY S</t>
  </si>
  <si>
    <t>Mrs.KIRUTHIGA R</t>
  </si>
  <si>
    <t>Dr.MUTHUKUMAR P</t>
  </si>
  <si>
    <t>Dr.JESIN BENETO A</t>
  </si>
  <si>
    <t>Dr.GAYATHRI G M</t>
  </si>
  <si>
    <t>Dr.EZHIL G</t>
  </si>
  <si>
    <t>Dr.NITHYA S</t>
  </si>
  <si>
    <t>Ms.PRIYADHARSHNI S</t>
  </si>
  <si>
    <t>Mrs.KALAIVANI E</t>
  </si>
  <si>
    <t>Mrs.MANJU M</t>
  </si>
  <si>
    <t>Mr.CHOZHARAJAN P</t>
  </si>
  <si>
    <t>Ms.SANGAVI N</t>
  </si>
  <si>
    <t>AD11094</t>
  </si>
  <si>
    <t>Ms.RATHNA S</t>
  </si>
  <si>
    <t>Mrs.MYTHILI G M</t>
  </si>
  <si>
    <t>MYTHILI@BITSATHY.AC.IN</t>
  </si>
  <si>
    <t>Ms.SURIYA V</t>
  </si>
  <si>
    <t>Mrs.SARANYA N</t>
  </si>
  <si>
    <t>MA10743</t>
  </si>
  <si>
    <t>Mrs.SANGEETHA K</t>
  </si>
  <si>
    <t>sangeetha@bitsathy.ac.in</t>
  </si>
  <si>
    <t>Dr.VIJAYAKUMAR V N</t>
  </si>
  <si>
    <t>Dr.SIVA G</t>
  </si>
  <si>
    <t>Dr.VIJAYANAND P S</t>
  </si>
  <si>
    <t>Dr.RAMESHKUMAR A</t>
  </si>
  <si>
    <t>Mr.SATHESHKUMAR K</t>
  </si>
  <si>
    <t>Dr.NANDHAKUMAR A</t>
  </si>
  <si>
    <t>Dr.SATHISHKUMAR S</t>
  </si>
  <si>
    <t>Mrs.KARTHIGA M</t>
  </si>
  <si>
    <t>Ms.NISHANTHINI S</t>
  </si>
  <si>
    <t>Dr.THULASIMANI T</t>
  </si>
  <si>
    <t>Mrs.EUGENE BERNA I</t>
  </si>
  <si>
    <t>AM11117</t>
  </si>
  <si>
    <t>Ms.KAVIYAADHARSHANI D</t>
  </si>
  <si>
    <t>kaviyaadharshani@bitsathy.ac.in</t>
  </si>
  <si>
    <t>Mr.BALAMURUGAN E</t>
  </si>
  <si>
    <t>Ms.SASITHRA S</t>
  </si>
  <si>
    <t>AM11025</t>
  </si>
  <si>
    <t>Mrs.SUSEELA D</t>
  </si>
  <si>
    <t>suseelad@bitsathy.ac.in</t>
  </si>
  <si>
    <t>Ms.KANIMOZHI A</t>
  </si>
  <si>
    <t>AM11054</t>
  </si>
  <si>
    <t>Ms.EZHIL R</t>
  </si>
  <si>
    <t>ezhilr@bitsathy.ac.in</t>
  </si>
  <si>
    <t>CB11109</t>
  </si>
  <si>
    <t>Mrs.POOJA A S</t>
  </si>
  <si>
    <t>pooja@bitsathy.ac.in</t>
  </si>
  <si>
    <t>Mr.MANIGANDAN S</t>
  </si>
  <si>
    <t>Mrs.JEEVITHA S V</t>
  </si>
  <si>
    <t>Dr.KODIESWARI A</t>
  </si>
  <si>
    <t>Ms.KARTHIKA S</t>
  </si>
  <si>
    <t>Dr.RAJASEKAR S S</t>
  </si>
  <si>
    <t>Ms.BENITA GRACIA THANGAM J</t>
  </si>
  <si>
    <t>Mrs.GAYATHRIDEVI M</t>
  </si>
  <si>
    <t>AD1131</t>
  </si>
  <si>
    <t>Dr.GOPALAKRISHNAN B</t>
  </si>
  <si>
    <t>Ms.SAAHINA S</t>
  </si>
  <si>
    <t>Dr.DEEPA D</t>
  </si>
  <si>
    <t>Mrs.RAGAVI M</t>
  </si>
  <si>
    <t>EI1686</t>
  </si>
  <si>
    <t>Dr.RAJASEKAR L</t>
  </si>
  <si>
    <t>rajasekarl@bitsathy.ac.in</t>
  </si>
  <si>
    <t>Dr.NIJANDHAN K</t>
  </si>
  <si>
    <t>Ms.CAROLINE VINNETIA S</t>
  </si>
  <si>
    <t>Mr.SYED ALTHAF S</t>
  </si>
  <si>
    <t>Ms.NAVEENYA B P</t>
  </si>
  <si>
    <t>TT11136</t>
  </si>
  <si>
    <t>Ms.KAMALA SHARADHA R</t>
  </si>
  <si>
    <t>kamalasharadha@bitsathy.ac.in</t>
  </si>
  <si>
    <t>Dr.SANKARANANTH S</t>
  </si>
  <si>
    <t>Dr.AKALYADEVI K</t>
  </si>
  <si>
    <t>Dr.SELVAKUMAR K</t>
  </si>
  <si>
    <t>Dr.PRAVEENA R</t>
  </si>
  <si>
    <t>Mrs.PRIYANGA M A</t>
  </si>
  <si>
    <t>AE1737</t>
  </si>
  <si>
    <t>Dr.SIVARAJ G</t>
  </si>
  <si>
    <t>sivarajg@bitsathy.ac.in</t>
  </si>
  <si>
    <t>Dr.PERARASI T</t>
  </si>
  <si>
    <t>Mr.RAMESH R</t>
  </si>
  <si>
    <t>ME10684</t>
  </si>
  <si>
    <t>Mr.KARTHICK K N</t>
  </si>
  <si>
    <t>karthickkn@bitsathy.ac.in</t>
  </si>
  <si>
    <t>Dr.TAJDEEN A</t>
  </si>
  <si>
    <t>Dr.TAMILSELVI S</t>
  </si>
  <si>
    <t>Mr.ASHWIN  RAJ S</t>
  </si>
  <si>
    <t>Ms.DHIVYA DHARSHINI U</t>
  </si>
  <si>
    <t>Dr.KUMARESAN G</t>
  </si>
  <si>
    <t>Mr.CHANDRASEKARAN M</t>
  </si>
  <si>
    <t>Dr.PRAKASH K B</t>
  </si>
  <si>
    <t>Dr.JEGADHEESWARAN S</t>
  </si>
  <si>
    <t>Dr.KANNAN K P</t>
  </si>
  <si>
    <t>Mrs.MAHIMA P</t>
  </si>
  <si>
    <t>Mr.RAJASEETHARAMA S</t>
  </si>
  <si>
    <t>Dr.SANDHYARANI R</t>
  </si>
  <si>
    <t>Dr.PAVITHRA MKS</t>
  </si>
  <si>
    <t>Mr.BALAJI S</t>
  </si>
  <si>
    <t>Dr.BALAKRISHNARAJA R</t>
  </si>
  <si>
    <t>Dr.MALATHI MAHALINGAM</t>
  </si>
  <si>
    <t>Dr.ASLIN JERUSHA D</t>
  </si>
  <si>
    <t>BT11074</t>
  </si>
  <si>
    <t>Mr.VAIDHYANATHAN B</t>
  </si>
  <si>
    <t>vaidhyanathan@bitsathy.ac.in</t>
  </si>
  <si>
    <t>Dr.SURESH CHALUVADI</t>
  </si>
  <si>
    <t>Ms.SWATHI G</t>
  </si>
  <si>
    <t>Mr.JEYAVEL KARTHICK P</t>
  </si>
  <si>
    <t>Mrs.SAKTHISHOBANA K</t>
  </si>
  <si>
    <t>Dr.SARANYA S</t>
  </si>
  <si>
    <t>Dr.KIRUPA SANKAR M</t>
  </si>
  <si>
    <t>Mrs.GEETHAMANI R</t>
  </si>
  <si>
    <t>CE10421</t>
  </si>
  <si>
    <t>Mrs.RANJITHAM M</t>
  </si>
  <si>
    <t>ranjitham@bitsathy.ac.in</t>
  </si>
  <si>
    <t>Ms.ASHWATHI R</t>
  </si>
  <si>
    <t>CE10549</t>
  </si>
  <si>
    <t>Mr.VIGNESH PRABU V</t>
  </si>
  <si>
    <t>vigneshprabu@bitsathy.ac.in</t>
  </si>
  <si>
    <t>Dr.MOHANRAJ A</t>
  </si>
  <si>
    <t>CE1892</t>
  </si>
  <si>
    <t>Mr.LOGANAYAGAN S</t>
  </si>
  <si>
    <t>loganayagans@bitsathy.ac.in</t>
  </si>
  <si>
    <t>Mr.RAJENDRAN M</t>
  </si>
  <si>
    <t>Dr.KARTHIGA  SHENBAGAM N</t>
  </si>
  <si>
    <t>CE1859</t>
  </si>
  <si>
    <t>Mrs.PREETHA V</t>
  </si>
  <si>
    <t>preethav@bitsathy.ac.in</t>
  </si>
  <si>
    <t>CE1943</t>
  </si>
  <si>
    <t>Mrs.JAYANTHI V</t>
  </si>
  <si>
    <t>jayanthiv@bitsathy.ac.in</t>
  </si>
  <si>
    <t>Mr.GNANASUNDAR V M</t>
  </si>
  <si>
    <t>Mr.TAMILSELVAN A</t>
  </si>
  <si>
    <t>Dr.SUBRAMANIYAN C</t>
  </si>
  <si>
    <t>Dr.SURESHKUMAR M</t>
  </si>
  <si>
    <t>Mr.RAMAKRISHNAN A</t>
  </si>
  <si>
    <t>Mrs.KARTHIKA M</t>
  </si>
  <si>
    <t>Dr.MALATHI M</t>
  </si>
  <si>
    <t>Dr.SARAVANA MOORTHI P</t>
  </si>
  <si>
    <t>Mrs.PREETHA R</t>
  </si>
  <si>
    <t>Dr.PARIMALA M</t>
  </si>
  <si>
    <t>Dr.PONGALI SATHYA PRABU N</t>
  </si>
  <si>
    <t>Dr.ASHOKAN S</t>
  </si>
  <si>
    <t>Dr.GOPI G</t>
  </si>
  <si>
    <t>Dr.BASKARAN P</t>
  </si>
  <si>
    <t>Dr.KAVITHA C</t>
  </si>
  <si>
    <t>Dr.MURALI KRISHNAN M</t>
  </si>
  <si>
    <t>Dr.SASIKALA D</t>
  </si>
  <si>
    <t>Dr.RAMYA R</t>
  </si>
  <si>
    <t>Dr.PREMALATHA K</t>
  </si>
  <si>
    <t>Ms.SATHIYA B</t>
  </si>
  <si>
    <t>Mr.SATHYAMOORTHY J</t>
  </si>
  <si>
    <t>Ms.MUTHUMEENA S</t>
  </si>
  <si>
    <t>Dr.CHINNADURRAI CL</t>
  </si>
  <si>
    <t>Mr.ARUN CHENDHURAN R</t>
  </si>
  <si>
    <t>Dr.SENTHIL KUMAR J</t>
  </si>
  <si>
    <t>Dr.SRINIVASAN M</t>
  </si>
  <si>
    <t>Mrs.SRITHA P</t>
  </si>
  <si>
    <t>Mr.RISHIKESH N</t>
  </si>
  <si>
    <t>Dr.SANNASI CHAKRAVARTHY S R</t>
  </si>
  <si>
    <t>Mrs.LOKESWARI P</t>
  </si>
  <si>
    <t>Mrs.KAVITHA R</t>
  </si>
  <si>
    <t>CB10824</t>
  </si>
  <si>
    <t>Dr.CHANDRAPRABHA K</t>
  </si>
  <si>
    <t>Mr.SUSEENDRAN S</t>
  </si>
  <si>
    <t>Mr.KARUPPUSAMY M</t>
  </si>
  <si>
    <t>Dr.PRABAKARAN P</t>
  </si>
  <si>
    <t>Mr.KALAISELVAN S</t>
  </si>
  <si>
    <t>Mrs.CHITRADEVI T N</t>
  </si>
  <si>
    <t>Dr.KARTHIGA M</t>
  </si>
  <si>
    <t>Dr.SANGEETHAA SN</t>
  </si>
  <si>
    <t>CS10897</t>
  </si>
  <si>
    <t>Ms.VAISHNAVI M</t>
  </si>
  <si>
    <t>vaishnavim@bitsathy.ac.in</t>
  </si>
  <si>
    <t>Dr.DHIVYA P</t>
  </si>
  <si>
    <t>Dr.RAJESHKUMAR G</t>
  </si>
  <si>
    <t>Mrs.PRABHA DEVI D</t>
  </si>
  <si>
    <t>Ms.KIRUTHIKA V R</t>
  </si>
  <si>
    <t>Dr.PARTHASARATHI P</t>
  </si>
  <si>
    <t>Dr.DEEPA PRIYA B S</t>
  </si>
  <si>
    <t>Mrs.NITHYA R</t>
  </si>
  <si>
    <t>Dr.SARANYA K</t>
  </si>
  <si>
    <t>Dr.SWATHYPRIYADHARSINI P</t>
  </si>
  <si>
    <t>Mrs.GUNAVARDINI V</t>
  </si>
  <si>
    <t>Dr.PRAVEEN V</t>
  </si>
  <si>
    <t>Dr.RAJESH KANNA P</t>
  </si>
  <si>
    <t>HU11106</t>
  </si>
  <si>
    <t>Dr.NANDHINI A P</t>
  </si>
  <si>
    <t>nandhini@bitsathy.ac.in</t>
  </si>
  <si>
    <t>Mrs.GANAGAVALLI K</t>
  </si>
  <si>
    <t>Mrs.AMMU V</t>
  </si>
  <si>
    <t>Ms.PARKAVI S</t>
  </si>
  <si>
    <t>Mr.STEEPHAN AMALRAJ J</t>
  </si>
  <si>
    <t>Mrs.MOHANAMBAL K</t>
  </si>
  <si>
    <t>Mr.SATHISHKANNAN R</t>
  </si>
  <si>
    <t>Mr.DINESH P S</t>
  </si>
  <si>
    <t>AE10035</t>
  </si>
  <si>
    <t>Mr.VADIVELU P</t>
  </si>
  <si>
    <t>vadivelup@bitsathy.ac.in</t>
  </si>
  <si>
    <t>Dr.PRAVIN M C</t>
  </si>
  <si>
    <t>Mr.SENTHILNATHAN S</t>
  </si>
  <si>
    <t>Mrs.PRIYA A</t>
  </si>
  <si>
    <t>Dr.VINOTHINI V R</t>
  </si>
  <si>
    <t>Dr.PRAKASH S P</t>
  </si>
  <si>
    <t>SM10989</t>
  </si>
  <si>
    <t>vishnusajan@bitsathy.ac.in</t>
  </si>
  <si>
    <t>Mr.CHANDRU K S</t>
  </si>
  <si>
    <t>Mr.MAGESWARAN J</t>
  </si>
  <si>
    <t>IS11029</t>
  </si>
  <si>
    <t>Mr.BIJU J</t>
  </si>
  <si>
    <t>bijuj@bitsathy.ac.in</t>
  </si>
  <si>
    <t>CB10795</t>
  </si>
  <si>
    <t>Dr.PADMASHREE A</t>
  </si>
  <si>
    <t>CB11040</t>
  </si>
  <si>
    <t>Dr.PRIYA J</t>
  </si>
  <si>
    <t>CB10753</t>
  </si>
  <si>
    <t>Dr.SUGUNA R</t>
  </si>
  <si>
    <t>sugunar@bitsathy.ac.in</t>
  </si>
  <si>
    <t>Mrs.AISHWARIYA M R</t>
  </si>
  <si>
    <t>Dr.INDIRANI C</t>
  </si>
  <si>
    <t>Mrs.PREETHIMATHI L</t>
  </si>
  <si>
    <t>Mrs.JANANI T</t>
  </si>
  <si>
    <t>Mrs.PRIYA L</t>
  </si>
  <si>
    <t>Dr.GOMATHI R</t>
  </si>
  <si>
    <t>Dr.KARUPPUSAMY S</t>
  </si>
  <si>
    <t>Mr.MAHESHKUMAR K</t>
  </si>
  <si>
    <t>Ms.PRASANNAKIRUBA G S</t>
  </si>
  <si>
    <t>Dr.SARASWATHI C</t>
  </si>
  <si>
    <t>CT10909</t>
  </si>
  <si>
    <t>divakarr@bitsathy.ac.in</t>
  </si>
  <si>
    <t>Mr.ANANDAN P</t>
  </si>
  <si>
    <t>CT10473</t>
  </si>
  <si>
    <t>Ms.SOUNDARIYA R S</t>
  </si>
  <si>
    <t>Ms.NITHYA M</t>
  </si>
  <si>
    <t>CT10954</t>
  </si>
  <si>
    <t>Mrs.HARI PRIYA R</t>
  </si>
  <si>
    <t>Mr.GUNALAN K</t>
  </si>
  <si>
    <t>Dr.PRAKASH K</t>
  </si>
  <si>
    <t>Dr.UMAMAGESWARI D</t>
  </si>
  <si>
    <t>Dr.VANITHA K</t>
  </si>
  <si>
    <t>CB10943</t>
  </si>
  <si>
    <t>Mr.SATHISH S</t>
  </si>
  <si>
    <t>sathishs@bitsathy.ac.in</t>
  </si>
  <si>
    <t>Mrs.SOUNDARYA B</t>
  </si>
  <si>
    <t>Mrs.ABINAYA M</t>
  </si>
  <si>
    <t>Dr.RAMKUMAR R</t>
  </si>
  <si>
    <t>Mr.KAMAL BASHA K</t>
  </si>
  <si>
    <t>Dr.SIVARAMAN P</t>
  </si>
  <si>
    <t>Mrs.MOHANAPRIYA V</t>
  </si>
  <si>
    <t>Mrs.GOPIKA N P</t>
  </si>
  <si>
    <t>Dr.MANOJKUMAR P</t>
  </si>
  <si>
    <t>Mrs.NITHYA G</t>
  </si>
  <si>
    <t>Dr.ALEX STANLEY RAJA T</t>
  </si>
  <si>
    <t>Dr.MAHESWARI K T</t>
  </si>
  <si>
    <t>EE10685</t>
  </si>
  <si>
    <t>Mrs.ANDRIL ALAGUSABAI</t>
  </si>
  <si>
    <t>andrilalagusabai@bitsathy.ac.in</t>
  </si>
  <si>
    <t>Mr.SUNDAR S</t>
  </si>
  <si>
    <t>Dr.SUNDARAM S</t>
  </si>
  <si>
    <t>Ms.INDHU BHASHINI V</t>
  </si>
  <si>
    <t>Mr.HARISH KUMAAR P</t>
  </si>
  <si>
    <t>Dr.VENKATESHKUMAR U</t>
  </si>
  <si>
    <t>Dr.SATHIYAMURTHI P</t>
  </si>
  <si>
    <t>Mr.RAMACHANDRA RAJU K</t>
  </si>
  <si>
    <t>Dr.VELMURUGAN S</t>
  </si>
  <si>
    <t>ME1449</t>
  </si>
  <si>
    <t>Dr.SANGARAVADIVEL P</t>
  </si>
  <si>
    <t>sangaravadivelp@bitsathy.ac.in</t>
  </si>
  <si>
    <t>Mrs.MARIAAMUTHA R</t>
  </si>
  <si>
    <t>Mr.VELLINGIRI A</t>
  </si>
  <si>
    <t>Dr.LEEBAN MOSES M</t>
  </si>
  <si>
    <t>Mr.BARANIDHARAN V</t>
  </si>
  <si>
    <t>Dr.HARIKUMAR R</t>
  </si>
  <si>
    <t>Mrs.SANDHIYADEVI P</t>
  </si>
  <si>
    <t>Mr.KARTHIKEYAN S</t>
  </si>
  <si>
    <t>Dr.RAMYA P</t>
  </si>
  <si>
    <t>Dr.POONGODI C</t>
  </si>
  <si>
    <t>Mr.KRISHNARAJ R</t>
  </si>
  <si>
    <t>Ms.POUSIA S</t>
  </si>
  <si>
    <t>Dr.ARULMURUGAN L</t>
  </si>
  <si>
    <t>Mr.STEPHEN SAGAYARAJ A</t>
  </si>
  <si>
    <t>EC10602</t>
  </si>
  <si>
    <t>Dr.KANTHIMATHI N</t>
  </si>
  <si>
    <t>kanthimathi@bitsathy.ac.in</t>
  </si>
  <si>
    <t>Dr.SANJOY DEB</t>
  </si>
  <si>
    <t>Mrs.NIVETHA G</t>
  </si>
  <si>
    <t>Mrs.DHANALAKSHMI S</t>
  </si>
  <si>
    <t>Dr.PUSHPAVALLI M</t>
  </si>
  <si>
    <t>Dr.MURUGAN K</t>
  </si>
  <si>
    <t>Mr.TAMILSELVAN S</t>
  </si>
  <si>
    <t>AU10578</t>
  </si>
  <si>
    <t>Mr.SUDHIR KUMAR V</t>
  </si>
  <si>
    <t>sudhirkumar@bitsathy.ac.in</t>
  </si>
  <si>
    <t>Dr.SAMPOORNAM K P</t>
  </si>
  <si>
    <t>Mrs.MYTHILI S</t>
  </si>
  <si>
    <t>EC11005</t>
  </si>
  <si>
    <t>Ms.SUBHARATHNA N</t>
  </si>
  <si>
    <t>subharathnan@bitsathy.ac.in</t>
  </si>
  <si>
    <t>Dr.GANESH BABU C</t>
  </si>
  <si>
    <t>ME10665</t>
  </si>
  <si>
    <t>Mr.SARAVANAN S</t>
  </si>
  <si>
    <t>saravanansa@bitsathy.ac.in</t>
  </si>
  <si>
    <t>Dr.VAIRAVEL K S</t>
  </si>
  <si>
    <t>Mr.KUMARESAN K</t>
  </si>
  <si>
    <t>Ms.NANDHINI K M</t>
  </si>
  <si>
    <t>Dr.HARITHA J</t>
  </si>
  <si>
    <t>Mr.PRATHAP M R</t>
  </si>
  <si>
    <t>MC10298</t>
  </si>
  <si>
    <t>Dr.OORAPPAN G M</t>
  </si>
  <si>
    <t>oorappan@bitsathy.ac.in</t>
  </si>
  <si>
    <t>Mr.DHANASEKAR R</t>
  </si>
  <si>
    <t>Dr.SUDHAHAR S</t>
  </si>
  <si>
    <t>Mr.PRAVIN SAVARIDASS M</t>
  </si>
  <si>
    <t>BM10187</t>
  </si>
  <si>
    <t>Dr.BALAMURUGAN V T</t>
  </si>
  <si>
    <t>FT10566</t>
  </si>
  <si>
    <t>Dr.THIRUMURUGAN V</t>
  </si>
  <si>
    <t>thirumurugan@bitsathy.ac.in</t>
  </si>
  <si>
    <t>Mr.MOHAN BHARATHI C</t>
  </si>
  <si>
    <t>FT10289</t>
  </si>
  <si>
    <t>Dr.SUBRATA DAS</t>
  </si>
  <si>
    <t>subratadas@bitsathy.ac.in</t>
  </si>
  <si>
    <t>Mrs.MEKALA N</t>
  </si>
  <si>
    <t>Mrs.SARANYA D V</t>
  </si>
  <si>
    <t>FD10967</t>
  </si>
  <si>
    <t>Ms.PUJAA SAKTHY M R K</t>
  </si>
  <si>
    <t>pujaasakthymrk@bitsathy.ac.in</t>
  </si>
  <si>
    <t>ME10172</t>
  </si>
  <si>
    <t>Mr.VINOTH KUMAR J</t>
  </si>
  <si>
    <t>Mr.GOWRISHANKAR L</t>
  </si>
  <si>
    <t>Ms.PIDATHALA SAHITYA</t>
  </si>
  <si>
    <t>Ms.SIVARAHINI K</t>
  </si>
  <si>
    <t>Dr.ARUNASREE TNA</t>
  </si>
  <si>
    <t>Mr.EDAMAKANTI RAMANJI REDDY</t>
  </si>
  <si>
    <t>Ms.NITHIYA PRIYA B T</t>
  </si>
  <si>
    <t>Mrs.GAYATHRI S</t>
  </si>
  <si>
    <t>Mr.PANDIYAN M</t>
  </si>
  <si>
    <t>Mr.GOPAL R</t>
  </si>
  <si>
    <t>IS10942</t>
  </si>
  <si>
    <t>Mrs.MEKALA R</t>
  </si>
  <si>
    <t>mekalar@bitsathy.ac.in</t>
  </si>
  <si>
    <t>Mrs.SANTHIYA B</t>
  </si>
  <si>
    <t>Dr.TAMILTHENDRAL M</t>
  </si>
  <si>
    <t>Mr.SURESH R</t>
  </si>
  <si>
    <t>Dr.PARASURAMAN P</t>
  </si>
  <si>
    <t>IT1025</t>
  </si>
  <si>
    <t>Dr.BHARATHI A</t>
  </si>
  <si>
    <t>Ms.NIKITHA M</t>
  </si>
  <si>
    <t>Ms.SHARMILA A</t>
  </si>
  <si>
    <t>Mr.VENKATESAN R</t>
  </si>
  <si>
    <t>Mrs.SHANGARA NARAYANEE N P</t>
  </si>
  <si>
    <t>Ms.SABARMATHI K R</t>
  </si>
  <si>
    <t>IT11121</t>
  </si>
  <si>
    <t>Mrs.JOTHIMANI S</t>
  </si>
  <si>
    <t>jothimanis@bitsathy.ac.in</t>
  </si>
  <si>
    <t>Dr.NAVEENA S</t>
  </si>
  <si>
    <t>Dr.SADHASIVAM N</t>
  </si>
  <si>
    <t>Mr.SELVAKUMAR M</t>
  </si>
  <si>
    <t>IT10863</t>
  </si>
  <si>
    <t>Dr.ABIRAMI A</t>
  </si>
  <si>
    <t>abiramia@bitsathy.ac.in</t>
  </si>
  <si>
    <t>CS1764</t>
  </si>
  <si>
    <t>Dr.SATHIS KUMAR K</t>
  </si>
  <si>
    <t>Mr.MOHEMMED YOUSUF</t>
  </si>
  <si>
    <t>Ms.SRI VINITHA V</t>
  </si>
  <si>
    <t>Mr.NATARAJ N</t>
  </si>
  <si>
    <t>Mrs.NIVEDHA S</t>
  </si>
  <si>
    <t>IT10831</t>
  </si>
  <si>
    <t>Dr.LAKSHMANAPRAKASH S</t>
  </si>
  <si>
    <t>lakshmanaprakashs@bitsathy.ac.in</t>
  </si>
  <si>
    <t>Mrs.SOBIYAA P</t>
  </si>
  <si>
    <t>Dr.DINESH D</t>
  </si>
  <si>
    <t>Mr.PRADEEP A D</t>
  </si>
  <si>
    <t>ME11103</t>
  </si>
  <si>
    <t>Mr.MOHAMED IRSATH M</t>
  </si>
  <si>
    <t>mohamedirsathm@bitsathy.ac.in</t>
  </si>
  <si>
    <t>Mr.SAKTHIVEL MURUGAN E</t>
  </si>
  <si>
    <t>Dr.SUNDARRAJU G</t>
  </si>
  <si>
    <t>Mr.BHUVANESH N</t>
  </si>
  <si>
    <t>Mr.BOOPATHIRAJA K P</t>
  </si>
  <si>
    <t>Dr.MATHANKUMAR P</t>
  </si>
  <si>
    <t>Mr.SATHISHKUMAR C</t>
  </si>
  <si>
    <t>Dr.ANANDHA MOORTHY A</t>
  </si>
  <si>
    <t>AE1841</t>
  </si>
  <si>
    <t>Mr.LAKSHMANAN D</t>
  </si>
  <si>
    <t>lakshmanand@bitsathy.ac.in</t>
  </si>
  <si>
    <t>Mr.VADIVEL VIVEK V</t>
  </si>
  <si>
    <t>Mr.RAGHAVENDRA PRABHU S</t>
  </si>
  <si>
    <t>Mr.MADHESWARAN S</t>
  </si>
  <si>
    <t>Dr.RAJIEV R</t>
  </si>
  <si>
    <t>Dr.BHARATHIRAJA M</t>
  </si>
  <si>
    <t>Mr.SIDDHARTHAN B</t>
  </si>
  <si>
    <t>MC10757</t>
  </si>
  <si>
    <t>Dr.PRADEESH E L</t>
  </si>
  <si>
    <t>pradeeshel@bitsathy.ac.in</t>
  </si>
  <si>
    <t>Mr.VIGNESH S</t>
  </si>
  <si>
    <t>Dr.NAGARAJAN P</t>
  </si>
  <si>
    <t>Mrs.MOUNIKA S</t>
  </si>
  <si>
    <t>Mr.DHAYANEETHI S</t>
  </si>
  <si>
    <t>Dr.JANARTHANAN M</t>
  </si>
  <si>
    <t>TT11135</t>
  </si>
  <si>
    <t>Ms.SNEHA B J</t>
  </si>
  <si>
    <t>snehabj@bitsathy.ac.in</t>
  </si>
  <si>
    <t>Mr.SENTHIL KUMAR N</t>
  </si>
  <si>
    <t>Dr.VIDHYA S</t>
  </si>
  <si>
    <t>SM10608</t>
  </si>
  <si>
    <t>Mr.NAGARAJAN S</t>
  </si>
  <si>
    <t>nagarajans@bitsathy.ac.in</t>
  </si>
  <si>
    <t>SM10887</t>
  </si>
  <si>
    <t>Mr.GOKUL K</t>
  </si>
  <si>
    <t>gokulk@bitsathy.ac.in</t>
  </si>
  <si>
    <t>Mrs.NANDHINI B</t>
  </si>
  <si>
    <t>Dr.MURUGAPPAN S</t>
  </si>
  <si>
    <t>21AE801</t>
  </si>
  <si>
    <t>Mrs.ROHINI D</t>
  </si>
  <si>
    <t>rohini@bitsathy.ac.in</t>
  </si>
  <si>
    <t>ADVANCED ENGLISH AND TECHNICAL</t>
  </si>
  <si>
    <t>22AG028</t>
  </si>
  <si>
    <t>EXTENSION METHODOLOGY AND TRANSFER OF TECHNOLOGY</t>
  </si>
  <si>
    <t>ENERGY CONSERVATION IN AGRO-BASED
INDUSTRY</t>
  </si>
  <si>
    <t>CO-GENERATION AND WASTE HEAT RECOVERY
SYSTEMS</t>
  </si>
  <si>
    <t>21AG801</t>
  </si>
  <si>
    <t>Dr.SABEENA BEGAM S</t>
  </si>
  <si>
    <t>sabeenabegam@bitsathy.ac.in</t>
  </si>
  <si>
    <t>Dr.ROHINI P</t>
  </si>
  <si>
    <t>Dr.SAJAN P PHILIP</t>
  </si>
  <si>
    <t>22AI028</t>
  </si>
  <si>
    <t>22AI027</t>
  </si>
  <si>
    <t xml:space="preserve"> OPTIMIZATION TECHNIQUES</t>
  </si>
  <si>
    <t>Mrs.NITHYAPRIYA S</t>
  </si>
  <si>
    <t>22AIH15</t>
  </si>
  <si>
    <t>CYBER FORENSICS</t>
  </si>
  <si>
    <t>22AIH16</t>
  </si>
  <si>
    <t>ETHICAL HACKING</t>
  </si>
  <si>
    <t>22AIH45</t>
  </si>
  <si>
    <t>FUNDAMENTALS OF MACHINE LEARNING</t>
  </si>
  <si>
    <t>22AIH46</t>
  </si>
  <si>
    <t>DEEP LEARNING ESSENTIALS</t>
  </si>
  <si>
    <t>21AI801</t>
  </si>
  <si>
    <t>22AM035</t>
  </si>
  <si>
    <t>22AM007</t>
  </si>
  <si>
    <t xml:space="preserve"> VIRTIUALIZATION IN CLOUD COMPUTING</t>
  </si>
  <si>
    <t>22AM010</t>
  </si>
  <si>
    <t>22AM019</t>
  </si>
  <si>
    <t xml:space="preserve"> ROBOTIC PROCESS AUTOMATION</t>
  </si>
  <si>
    <t>21AM801</t>
  </si>
  <si>
    <t>21AU801</t>
  </si>
  <si>
    <t>22BM401</t>
  </si>
  <si>
    <t>22BM403</t>
  </si>
  <si>
    <t>SIGNAL PROCESSING</t>
  </si>
  <si>
    <t>22BM404</t>
  </si>
  <si>
    <t>COMMUNICATION SYSTEMS</t>
  </si>
  <si>
    <t>22BM020</t>
  </si>
  <si>
    <t>CARDIOVASCULAR ENGINEERING</t>
  </si>
  <si>
    <t>22BM026</t>
  </si>
  <si>
    <t>MEDICAL TEXTILES</t>
  </si>
  <si>
    <t>22BM044</t>
  </si>
  <si>
    <t>MULTIMEDIA COMPRESSION TECHNIQUES</t>
  </si>
  <si>
    <t>22BMH34/22BMM34</t>
  </si>
  <si>
    <t>22BMH35/22BMM35</t>
  </si>
  <si>
    <t>21BM801</t>
  </si>
  <si>
    <t>22BT001</t>
  </si>
  <si>
    <t>FERMENTATION TECHNOLOGY</t>
  </si>
  <si>
    <t>22BT008</t>
  </si>
  <si>
    <t>ASTROBIOLOGY AND ASTROCHEMISTRY</t>
  </si>
  <si>
    <t>Ms.NANDHINI N</t>
  </si>
  <si>
    <t>22BT022</t>
  </si>
  <si>
    <t>PLANT TISSUE CULTURE AND  TRANSFORMATION TECHNIQUE</t>
  </si>
  <si>
    <t>FOOD PROCESS AND TECHNOLOGY</t>
  </si>
  <si>
    <t>22BT043</t>
  </si>
  <si>
    <t>BIOTECH PRODUCTS AND ITS VALIDATION</t>
  </si>
  <si>
    <t>22BT044</t>
  </si>
  <si>
    <t>QA AND QC IN BIOTECHNOLOGY</t>
  </si>
  <si>
    <t>ANIMAL CELL CULTURE
TECHNIQUE</t>
  </si>
  <si>
    <t>BIOTECHNIQUES IN ANIMAL
BREEDING</t>
  </si>
  <si>
    <t>21BT801</t>
  </si>
  <si>
    <t>22CE401</t>
  </si>
  <si>
    <t>WATER RESOURCES ENGINEERING</t>
  </si>
  <si>
    <t>22CE013</t>
  </si>
  <si>
    <t>BUILDING SERVICES</t>
  </si>
  <si>
    <t>22CE008</t>
  </si>
  <si>
    <t>ADVANCED RC DESIGN</t>
  </si>
  <si>
    <t>22CE003</t>
  </si>
  <si>
    <t>STRUCTURAL DYNAMICS AND EARTHQUAKE ENGINEERING</t>
  </si>
  <si>
    <t>22CE028</t>
  </si>
  <si>
    <t>AIRPORT, DOCKS AND HARBOUR ENGINEERING</t>
  </si>
  <si>
    <t>22CE035</t>
  </si>
  <si>
    <t>INDUSTRIAL WASTE MANAGEMENT</t>
  </si>
  <si>
    <t>22CEH03</t>
  </si>
  <si>
    <t>22CEH04</t>
  </si>
  <si>
    <t>ENERGY EFFICIENT BUILDINGS</t>
  </si>
  <si>
    <t>22CEM03</t>
  </si>
  <si>
    <t>ENVIRONMENTAL IMPACT ASSESSMENT</t>
  </si>
  <si>
    <t>22CEM04</t>
  </si>
  <si>
    <t>ENERGY SCIENCE AND ENGINEERING</t>
  </si>
  <si>
    <t>21CE801</t>
  </si>
  <si>
    <t>Mr.RAGUNATH D</t>
  </si>
  <si>
    <t>ragunath@bitsathy.ac.in</t>
  </si>
  <si>
    <t xml:space="preserve">22CS040 </t>
  </si>
  <si>
    <t>22OCS03</t>
  </si>
  <si>
    <t>KNOWLEDGE DISCOVERY IN DATABASES</t>
  </si>
  <si>
    <t>22CSH03/22CSM03/22ITH03/22CBH03/22CTH03</t>
  </si>
  <si>
    <t>21CS801</t>
  </si>
  <si>
    <t>22CB201</t>
  </si>
  <si>
    <t>LINEAR ALGEBRA</t>
  </si>
  <si>
    <t>22CB202</t>
  </si>
  <si>
    <t>STATISTICAL METHODS</t>
  </si>
  <si>
    <t>22CB203</t>
  </si>
  <si>
    <t>DATA STRUCTURES</t>
  </si>
  <si>
    <t>22CB204</t>
  </si>
  <si>
    <t>PRINCIPLES OF ELECTRONICS</t>
  </si>
  <si>
    <t>22HS206</t>
  </si>
  <si>
    <t>BUSINESS COMMUNICATION AND VALUE SCIENCE – II</t>
  </si>
  <si>
    <t>22CB038</t>
  </si>
  <si>
    <t>DATA MINING AND ANALYTICS</t>
  </si>
  <si>
    <t>21CB801</t>
  </si>
  <si>
    <t>22CD401</t>
  </si>
  <si>
    <t>22CD403</t>
  </si>
  <si>
    <t>22CD008</t>
  </si>
  <si>
    <t>22CD028</t>
  </si>
  <si>
    <t>22CT401</t>
  </si>
  <si>
    <t>22CT008</t>
  </si>
  <si>
    <t>22CTM46</t>
  </si>
  <si>
    <t>FUNDAMENTALS OF COMPUTER NETWORKS AND OPERATING SYSTEMS</t>
  </si>
  <si>
    <t>22CTM47</t>
  </si>
  <si>
    <t>SOFTWARE ANALYSIS AND DESIGN</t>
  </si>
  <si>
    <t>21CT801</t>
  </si>
  <si>
    <t>DIGITAL LOGICCIRCUIT DESIGN</t>
  </si>
  <si>
    <t>ADVANCED ENGLISH AND TECHNICAL EXPRESSION</t>
  </si>
  <si>
    <t>22EE008</t>
  </si>
  <si>
    <t>ADVANCED POWER CONVERTERS</t>
  </si>
  <si>
    <t>21EE801</t>
  </si>
  <si>
    <t>ELECTROMAGNETIC FIELDS</t>
  </si>
  <si>
    <t>22EC002</t>
  </si>
  <si>
    <t>COMMUNICATION PROTOCOLS AND STANDARDS</t>
  </si>
  <si>
    <t>22EC037</t>
  </si>
  <si>
    <t>SOFT COMPUTING TECHNIQUES</t>
  </si>
  <si>
    <t>MEDICAL ELECTRONICS AND INSTRUMENTATION</t>
  </si>
  <si>
    <t>22ECH09/22ECM09/22EIH04</t>
  </si>
  <si>
    <t>IOT SYSTEM DESIGN</t>
  </si>
  <si>
    <t>22ECH10/22ECM10</t>
  </si>
  <si>
    <t>21EC801</t>
  </si>
  <si>
    <t>Dr.KALAIYARASI M</t>
  </si>
  <si>
    <t>22EI015</t>
  </si>
  <si>
    <t>22EI010</t>
  </si>
  <si>
    <t>INTELLIGENT AUTOMATION</t>
  </si>
  <si>
    <t>22EIH03</t>
  </si>
  <si>
    <t>IOT PROCESSORS</t>
  </si>
  <si>
    <t>21EI801</t>
  </si>
  <si>
    <t>22FT401</t>
  </si>
  <si>
    <t>PROBABILITY AND STATISTICS</t>
  </si>
  <si>
    <t>22FT032</t>
  </si>
  <si>
    <t>FASHION STYLING AND MODELLING</t>
  </si>
  <si>
    <t>22FT006</t>
  </si>
  <si>
    <t>DIGITAL MARKETING AND E BUSINESS</t>
  </si>
  <si>
    <t>22FT041</t>
  </si>
  <si>
    <t>E COMMERCE IN FASHION</t>
  </si>
  <si>
    <t>21FT801</t>
  </si>
  <si>
    <t>22FD401</t>
  </si>
  <si>
    <t>SENSORY EVALUATION OF FOOD</t>
  </si>
  <si>
    <t>22FD403</t>
  </si>
  <si>
    <t>REFRIGERATION AND COLD CHAIN MANAGEMENT</t>
  </si>
  <si>
    <t>22FD039</t>
  </si>
  <si>
    <t>FRUIT AND VEGETABLE PROCESSING</t>
  </si>
  <si>
    <t>22FDH03/22FDM03</t>
  </si>
  <si>
    <t>22FDH04/22FDM04</t>
  </si>
  <si>
    <t>21FD801</t>
  </si>
  <si>
    <t>22IS401</t>
  </si>
  <si>
    <t>22IS403</t>
  </si>
  <si>
    <t>22IS020</t>
  </si>
  <si>
    <t>22IS042</t>
  </si>
  <si>
    <t>21IS801</t>
  </si>
  <si>
    <t>22IT007/22AI001</t>
  </si>
  <si>
    <t>22IT040</t>
  </si>
  <si>
    <t>E-COMMERCE</t>
  </si>
  <si>
    <t>21IT801</t>
  </si>
  <si>
    <t>22ME011</t>
  </si>
  <si>
    <t>NON-TRADITIONAL MACHINING PROCESSES</t>
  </si>
  <si>
    <t>DESIGN OF HEATING VENTILATION AND AIR CONDITIONING</t>
  </si>
  <si>
    <t>21ME801</t>
  </si>
  <si>
    <t>INDUSTRIAL AUTOMATION</t>
  </si>
  <si>
    <t>22MC003</t>
  </si>
  <si>
    <t>22MC004</t>
  </si>
  <si>
    <t>21MC801</t>
  </si>
  <si>
    <t>22TT602</t>
  </si>
  <si>
    <t>TEXTILE MECHANICS</t>
  </si>
  <si>
    <t>22TT603</t>
  </si>
  <si>
    <t>GARMENT TECHNOLOGY</t>
  </si>
  <si>
    <t>22TT006</t>
  </si>
  <si>
    <t>CLOTHING SCIENCE</t>
  </si>
  <si>
    <t>22TT019</t>
  </si>
  <si>
    <t>22TT024</t>
  </si>
  <si>
    <t>SUSTAINABILITY IN TEXTILES AND FASHION</t>
  </si>
  <si>
    <t>22TTH27</t>
  </si>
  <si>
    <t>TEXTILE COMPOSITES</t>
  </si>
  <si>
    <t>22TTH28</t>
  </si>
  <si>
    <t>SPECIALITY TEXTILES</t>
  </si>
  <si>
    <t>22TT607</t>
  </si>
  <si>
    <t>21TX801</t>
  </si>
  <si>
    <t>21MB401</t>
  </si>
  <si>
    <t>21MM102</t>
  </si>
  <si>
    <t>21MF101</t>
  </si>
  <si>
    <t>21MF108</t>
  </si>
  <si>
    <t>21MH101</t>
  </si>
  <si>
    <t>21MH109</t>
  </si>
  <si>
    <t>21MB402</t>
  </si>
  <si>
    <t>COMPREHENSIVE VIVA-VOCE</t>
  </si>
  <si>
    <t>21MB403</t>
  </si>
  <si>
    <t>2024-25 EVEN</t>
  </si>
  <si>
    <t>22AG029</t>
  </si>
  <si>
    <t>AGRICULTURAL MARKETING</t>
  </si>
  <si>
    <t>2023-24 ODD</t>
  </si>
  <si>
    <t>22AI001</t>
  </si>
  <si>
    <t>2024-25 ODD</t>
  </si>
  <si>
    <t xml:space="preserve"> VIRTUALIZATION IN CLOUD COMPUTING</t>
  </si>
  <si>
    <t>2023-24 ODD Auto</t>
  </si>
  <si>
    <t xml:space="preserve">22AM024 </t>
  </si>
  <si>
    <t>EXPERT SYSTEMS</t>
  </si>
  <si>
    <t>22BT002</t>
  </si>
  <si>
    <t>INDUSTRIAL MICROBIOLOGY</t>
  </si>
  <si>
    <t xml:space="preserve">22CE013 </t>
  </si>
  <si>
    <t xml:space="preserve">22CS039 </t>
  </si>
  <si>
    <t>22CD001</t>
  </si>
  <si>
    <t>EXPLORATORY DATA ANALYSIS</t>
  </si>
  <si>
    <t>22CD007</t>
  </si>
  <si>
    <t xml:space="preserve"> UI AND UX DESIGN</t>
  </si>
  <si>
    <t xml:space="preserve">22EE033 </t>
  </si>
  <si>
    <t>22EC007</t>
  </si>
  <si>
    <t>IOT PROTOCOLS AND INDUSTRIAL SENSORS</t>
  </si>
  <si>
    <t>22EC013</t>
  </si>
  <si>
    <t>ADVANCED DIGITAL SYSTEM DESIGN</t>
  </si>
  <si>
    <t>FIBRE OPTICS AND LASER INSTRUMENTATION</t>
  </si>
  <si>
    <t>22IS007</t>
  </si>
  <si>
    <t>VIRTUALIZATION IN CLOUD COMPUTING</t>
  </si>
  <si>
    <t xml:space="preserve">22IS019 </t>
  </si>
  <si>
    <t>22IT031</t>
  </si>
  <si>
    <t>ROBOTIC PROCESS  AUTOMATION</t>
  </si>
  <si>
    <t xml:space="preserve">22IT008 </t>
  </si>
  <si>
    <t>22MC016</t>
  </si>
  <si>
    <t>AUTOMATIVE COMMUNICATION PROTOCALS</t>
  </si>
  <si>
    <t>No. of FA</t>
  </si>
  <si>
    <t>Course Coordinator</t>
  </si>
  <si>
    <t>COUNTA of Faculty ID
(ME1880)</t>
  </si>
  <si>
    <t>Dr.MANIGANDAN S</t>
  </si>
  <si>
    <t>PROBABILITY, STATISTICS AND RANDOM PROCESS</t>
  </si>
  <si>
    <t>PROBABILITY, STATISTICS AND RANDOM</t>
  </si>
  <si>
    <t xml:space="preserve">G M MYTHILI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</si>
</sst>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1.0"/>
      <color theme="1"/>
      <name val="Cambria"/>
    </font>
    <font>
      <sz val="11.0"/>
      <color rgb="FF000000"/>
      <name val="Cambria"/>
    </font>
    <font>
      <b/>
      <sz val="11.0"/>
      <color rgb="FF000000"/>
      <name val="Cambria"/>
    </font>
    <font>
      <sz val="11.0"/>
      <color theme="1"/>
      <name val="Calibri"/>
    </font>
    <font>
      <color theme="1"/>
      <name val="Cambria"/>
    </font>
    <font>
      <sz val="11.0"/>
      <color rgb="FF202226"/>
      <name val="Roboto"/>
    </font>
    <font>
      <color theme="1"/>
      <name val="Arial"/>
      <scheme val="minor"/>
    </font>
    <font>
      <color theme="1"/>
      <name val="Arial"/>
    </font>
    <font>
      <b/>
      <color theme="1"/>
      <name val="Cambria"/>
    </font>
    <font>
      <b/>
      <sz val="10.0"/>
      <color theme="1"/>
      <name val="Cambria"/>
    </font>
    <font>
      <sz val="10.0"/>
      <color theme="1"/>
      <name val="Cambria"/>
    </font>
    <font>
      <sz val="10.0"/>
      <color rgb="FF000000"/>
      <name val="Cambria"/>
    </font>
    <font>
      <sz val="14.0"/>
      <color rgb="FF222222"/>
      <name val="Arial"/>
    </font>
    <font>
      <sz val="10.0"/>
      <color rgb="FF434343"/>
      <name val="Cambria"/>
    </font>
    <font>
      <sz val="10.0"/>
      <color rgb="FF202226"/>
      <name val="Cambria"/>
    </font>
    <font>
      <color rgb="FF000000"/>
      <name val="Cambria"/>
    </font>
    <font>
      <b/>
      <sz val="11.0"/>
      <color theme="1"/>
      <name val="Cambria"/>
    </font>
    <font>
      <strike/>
      <sz val="11.0"/>
      <color theme="1"/>
      <name val="Cambria"/>
    </font>
    <font>
      <b/>
      <color theme="1"/>
      <name val="Arial"/>
      <scheme val="minor"/>
    </font>
    <font>
      <b/>
      <sz val="12.0"/>
      <color rgb="FF222222"/>
      <name val="Cambria"/>
    </font>
    <font>
      <sz val="12.0"/>
      <color rgb="FF222222"/>
      <name val="Cambria"/>
    </font>
    <font/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bottom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49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horizontal="left" readingOrder="0" shrinkToFit="0" vertical="center" wrapText="1"/>
    </xf>
    <xf borderId="1" fillId="0" fontId="11" numFmtId="49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0" fillId="4" fontId="12" numFmtId="49" xfId="0" applyAlignment="1" applyFill="1" applyFont="1" applyNumberFormat="1">
      <alignment horizontal="center" readingOrder="0" shrinkToFit="0" vertical="center" wrapText="0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 vertical="center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center" wrapText="1"/>
    </xf>
    <xf borderId="0" fillId="2" fontId="13" numFmtId="0" xfId="0" applyAlignment="1" applyFont="1">
      <alignment readingOrder="0"/>
    </xf>
    <xf borderId="1" fillId="3" fontId="11" numFmtId="0" xfId="0" applyAlignment="1" applyBorder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1" fillId="5" fontId="11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readingOrder="0" shrinkToFit="0" vertical="center" wrapText="0"/>
    </xf>
    <xf borderId="0" fillId="4" fontId="12" numFmtId="0" xfId="0" applyAlignment="1" applyFont="1">
      <alignment horizontal="center" readingOrder="0" shrinkToFit="0" wrapText="0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left" shrinkToFit="0" wrapText="1"/>
    </xf>
    <xf borderId="0" fillId="0" fontId="11" numFmtId="0" xfId="0" applyAlignment="1" applyFont="1">
      <alignment horizontal="center" readingOrder="0" vertical="center"/>
    </xf>
    <xf borderId="2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left" shrinkToFit="0" wrapText="1"/>
    </xf>
    <xf borderId="1" fillId="4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left" shrinkToFit="0" wrapText="1"/>
    </xf>
    <xf borderId="2" fillId="0" fontId="11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0" fillId="2" fontId="5" numFmtId="0" xfId="0" applyAlignment="1" applyFont="1">
      <alignment horizontal="center" shrinkToFit="0" vertical="center" wrapText="0"/>
    </xf>
    <xf borderId="1" fillId="2" fontId="12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1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0"/>
    </xf>
    <xf borderId="1" fillId="2" fontId="1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left" readingOrder="0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0" fillId="2" fontId="11" numFmtId="0" xfId="0" applyAlignment="1" applyFont="1">
      <alignment horizontal="center" vertical="center"/>
    </xf>
    <xf borderId="0" fillId="2" fontId="11" numFmtId="0" xfId="0" applyAlignment="1" applyFont="1">
      <alignment vertical="center"/>
    </xf>
    <xf borderId="1" fillId="2" fontId="11" numFmtId="0" xfId="0" applyAlignment="1" applyBorder="1" applyFont="1">
      <alignment readingOrder="0" vertical="center"/>
    </xf>
    <xf borderId="1" fillId="2" fontId="11" numFmtId="0" xfId="0" applyAlignment="1" applyBorder="1" applyFont="1">
      <alignment vertical="center"/>
    </xf>
    <xf borderId="1" fillId="0" fontId="11" numFmtId="0" xfId="0" applyAlignment="1" applyBorder="1" applyFont="1">
      <alignment shrinkToFit="0" vertical="center" wrapText="1"/>
    </xf>
    <xf borderId="0" fillId="0" fontId="11" numFmtId="0" xfId="0" applyFont="1"/>
    <xf borderId="0" fillId="2" fontId="2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1" fillId="2" fontId="11" numFmtId="0" xfId="0" applyAlignment="1" applyBorder="1" applyFont="1">
      <alignment horizontal="center" shrinkToFit="0" vertical="bottom" wrapText="1"/>
    </xf>
    <xf borderId="1" fillId="2" fontId="11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horizontal="center" shrinkToFit="0" wrapText="1"/>
    </xf>
    <xf borderId="1" fillId="2" fontId="11" numFmtId="0" xfId="0" applyAlignment="1" applyBorder="1" applyFont="1">
      <alignment shrinkToFit="0" wrapText="1"/>
    </xf>
    <xf borderId="1" fillId="2" fontId="11" numFmtId="0" xfId="0" applyAlignment="1" applyBorder="1" applyFont="1">
      <alignment horizontal="center" readingOrder="0" shrinkToFit="0" wrapText="1"/>
    </xf>
    <xf borderId="1" fillId="2" fontId="11" numFmtId="49" xfId="0" applyAlignment="1" applyBorder="1" applyFont="1" applyNumberFormat="1">
      <alignment horizontal="center" readingOrder="0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1" fillId="0" fontId="17" numFmtId="49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/>
    </xf>
    <xf borderId="1" fillId="0" fontId="18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left" shrinkToFit="0" vertical="center" wrapText="1"/>
    </xf>
    <xf borderId="1" fillId="6" fontId="1" numFmtId="49" xfId="0" applyAlignment="1" applyBorder="1" applyFill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/>
    </xf>
    <xf borderId="0" fillId="0" fontId="7" numFmtId="0" xfId="0" applyFont="1"/>
    <xf borderId="1" fillId="0" fontId="17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wrapText="1"/>
    </xf>
    <xf borderId="1" fillId="2" fontId="21" numFmtId="0" xfId="0" applyAlignment="1" applyBorder="1" applyFont="1">
      <alignment horizontal="center" readingOrder="0"/>
    </xf>
    <xf borderId="1" fillId="2" fontId="21" numFmtId="0" xfId="0" applyAlignment="1" applyBorder="1" applyFont="1">
      <alignment readingOrder="0"/>
    </xf>
    <xf borderId="1" fillId="0" fontId="7" numFmtId="0" xfId="0" applyAlignment="1" applyBorder="1" applyFont="1">
      <alignment shrinkToFit="0" wrapText="1"/>
    </xf>
    <xf borderId="1" fillId="3" fontId="1" numFmtId="1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2" numFmtId="0" xfId="0" applyBorder="1" applyFont="1"/>
    <xf borderId="4" fillId="0" fontId="22" numFmtId="0" xfId="0" applyBorder="1" applyFont="1"/>
    <xf borderId="1" fillId="0" fontId="7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18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9" numFmtId="0" xfId="0" applyFont="1"/>
    <xf borderId="1" fillId="0" fontId="5" numFmtId="1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1" numFmtId="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1" xfId="0" applyAlignment="1" applyFont="1" applyNumberFormat="1">
      <alignment horizontal="center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>
        <color rgb="FF202226"/>
      </font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pivotCacheDefinition" Target="pivotCache/pivotCacheDefinition1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47" Type="http://schemas.openxmlformats.org/officeDocument/2006/relationships/pivotCacheDefinition" Target="pivotCache/pivotCacheDefinition2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32" sheet="Physics"/>
  </cacheSource>
  <cacheFields>
    <cacheField name="Dept." numFmtId="0">
      <sharedItems containsBlank="1">
        <s v="AGRI"/>
        <s v="AIDS"/>
        <s v="AIML"/>
        <s v="BT"/>
        <s v="CSE"/>
        <s v="EEE"/>
        <s v="ECE"/>
        <s v="EIE"/>
        <s v="IT"/>
        <s v="MECH"/>
        <s v="MTRS"/>
        <m/>
      </sharedItems>
    </cacheField>
    <cacheField name="Semester" numFmtId="0">
      <sharedItems containsBlank="1">
        <s v="S2"/>
        <m/>
      </sharedItems>
    </cacheField>
    <cacheField name="Course Type" numFmtId="0">
      <sharedItems containsBlank="1">
        <s v="CORE"/>
        <m/>
      </sharedItems>
    </cacheField>
    <cacheField name="Course Code" numFmtId="0">
      <sharedItems containsBlank="1">
        <s v="22PH202"/>
        <m/>
      </sharedItems>
    </cacheField>
    <cacheField name="Course Name" numFmtId="0">
      <sharedItems containsBlank="1">
        <s v="ELECTROMAGNETISM AND MODERN PHYSICS"/>
        <m/>
      </sharedItems>
    </cacheField>
    <cacheField name="Course Nature" numFmtId="0">
      <sharedItems containsBlank="1">
        <s v="THEORY WITH LAB"/>
        <m/>
      </sharedItems>
    </cacheField>
    <cacheField name="L" numFmtId="0">
      <sharedItems containsString="0" containsBlank="1" containsNumber="1" containsInteger="1">
        <n v="2.0"/>
        <m/>
      </sharedItems>
    </cacheField>
    <cacheField name="T" numFmtId="0">
      <sharedItems containsString="0" containsBlank="1" containsNumber="1" containsInteger="1">
        <n v="0.0"/>
        <m/>
      </sharedItems>
    </cacheField>
    <cacheField name="P" numFmtId="0">
      <sharedItems containsString="0" containsBlank="1" containsNumber="1" containsInteger="1">
        <n v="2.0"/>
        <m/>
      </sharedItems>
    </cacheField>
    <cacheField name="C" numFmtId="0">
      <sharedItems containsString="0" containsBlank="1" containsNumber="1" containsInteger="1">
        <n v="3.0"/>
        <m/>
      </sharedItems>
    </cacheField>
    <cacheField name="No. of FA" numFmtId="1">
      <sharedItems containsString="0" containsBlank="1" containsNumber="1" containsInteger="1">
        <n v="15.0"/>
        <m/>
      </sharedItems>
    </cacheField>
    <cacheField name="Faculty ID&#10;(ME1880)" numFmtId="0">
      <sharedItems containsBlank="1">
        <s v="PH11015"/>
        <s v="PH1054"/>
        <s v="PH1889"/>
        <s v="PH10457"/>
        <s v="PH10987"/>
        <s v="PH1407"/>
        <s v="PH11034"/>
        <s v="PH10380"/>
        <s v="PH1653"/>
        <s v="PH10218"/>
        <s v="PH11036"/>
        <s v="PH11123"/>
        <s v="PH10870"/>
        <s v="PH10981"/>
        <s v="PH10204"/>
        <m/>
      </sharedItems>
    </cacheField>
    <cacheField name="Faculty Name" numFmtId="0">
      <sharedItems containsBlank="1">
        <s v="Dr.GOPI G"/>
        <s v="Dr.SADASIVAM K"/>
        <s v="Dr.ROHINI P"/>
        <s v="Dr.THIRUMOORTHY M"/>
        <s v="Dr.ANANDHA BABU G"/>
        <s v="Dr.VIJAYAKUMAR V N"/>
        <s v="Dr.SIVA G"/>
        <s v="Dr.SELVAKUMAR K"/>
        <s v="Dr.PONGALI SATHYA PRABU N"/>
        <s v="Dr.ASHOKAN S"/>
        <s v="Dr.BASKARAN P"/>
        <m/>
        <s v="Dr.VANITHA K"/>
        <s v="Dr.SUNDARAM S"/>
        <s v="Dr.PARASURAMAN P"/>
      </sharedItems>
    </cacheField>
    <cacheField name="Mail ID" numFmtId="0">
      <sharedItems containsBlank="1">
        <s v="gopi@bitsathy.ac.in"/>
        <s v="sadasivamk@bitsathy.ac.in"/>
        <s v="rohinip@bitsathy.ac.in"/>
        <s v="thirumoorthy@bitsathy.ac.in"/>
        <s v="anandhababug@bitsathy.ac.in"/>
        <s v="vijayakumarvn@bitsathy.ac.in"/>
        <s v="sivag@bitsathy.ac.in"/>
        <s v="selvakumark@bitsathy.ac.in"/>
        <s v="pongalispn@bitsathy.ac.in"/>
        <s v="ashokan@bitsathy.ac.in"/>
        <s v="baskaranp@bitsathy.ac.in"/>
        <m/>
        <s v="vanithak@bitsathy.ac.in"/>
        <s v="sundarams@bitsathy.ac.in"/>
        <s v="parasuraman@bitsathy.ac.i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0" sheet="Chemistry"/>
  </cacheSource>
  <cacheFields>
    <cacheField name="Dept." numFmtId="0">
      <sharedItems>
        <s v="AGRI"/>
        <s v="AIDS"/>
        <s v="AIML"/>
        <s v="BT"/>
        <s v="CSE"/>
        <s v="EEE"/>
        <s v="ECE"/>
        <s v="EIE"/>
        <s v="IT"/>
        <s v="MECH"/>
        <s v="MTRS"/>
        <s v="BME"/>
        <s v="CIVIL"/>
        <s v="CSBS"/>
        <s v="CSD"/>
        <s v="CT"/>
        <s v="FT"/>
        <s v="FD"/>
        <s v="ISE"/>
      </sharedItems>
    </cacheField>
    <cacheField name="Semester" numFmtId="0">
      <sharedItems>
        <s v="S2"/>
        <s v="S4"/>
      </sharedItems>
    </cacheField>
    <cacheField name="Course Type" numFmtId="0">
      <sharedItems>
        <s v="CORE"/>
      </sharedItems>
    </cacheField>
    <cacheField name="Course Code" numFmtId="0">
      <sharedItems>
        <s v="22CH203"/>
        <s v="22HS007"/>
      </sharedItems>
    </cacheField>
    <cacheField name="Course Name" numFmtId="0">
      <sharedItems>
        <s v="ENGINEERING CHEMISTRY II"/>
        <s v="ENVIRONMENTAL SCIENCE"/>
      </sharedItems>
    </cacheField>
    <cacheField name="Course Nature" numFmtId="0">
      <sharedItems>
        <s v="THEORY WITH LAB"/>
        <s v="LAB"/>
      </sharedItems>
    </cacheField>
    <cacheField name="L" numFmtId="0">
      <sharedItems containsSemiMixedTypes="0" containsString="0" containsNumber="1" containsInteger="1">
        <n v="2.0"/>
      </sharedItems>
    </cacheField>
    <cacheField name="T" numFmtId="0">
      <sharedItems containsSemiMixedTypes="0" containsString="0" containsNumber="1" containsInteger="1">
        <n v="0.0"/>
      </sharedItems>
    </cacheField>
    <cacheField name="P" numFmtId="0">
      <sharedItems containsSemiMixedTypes="0" containsString="0" containsNumber="1" containsInteger="1">
        <n v="2.0"/>
        <n v="0.0"/>
      </sharedItems>
    </cacheField>
    <cacheField name="C" numFmtId="0">
      <sharedItems containsSemiMixedTypes="0" containsString="0" containsNumber="1" containsInteger="1">
        <n v="3.0"/>
        <n v="2.0"/>
      </sharedItems>
    </cacheField>
    <cacheField name="No. of FA" numFmtId="1">
      <sharedItems containsSemiMixedTypes="0" containsString="0" containsNumber="1" containsInteger="1">
        <n v="15.0"/>
        <n v="0.0"/>
      </sharedItems>
    </cacheField>
    <cacheField name="Faculty ID&#10;(ME1880)" numFmtId="0">
      <sharedItems>
        <s v="CH10957"/>
        <s v="CH1493"/>
        <s v="CH10314"/>
        <s v="CH10746"/>
        <s v="CH1557"/>
        <s v="CH10372"/>
        <s v="CH1558"/>
        <s v="CH10225"/>
        <s v="CH1578"/>
        <s v="CH10003"/>
        <s v="CH10333"/>
        <s v="CH11126"/>
        <s v="CH1894"/>
        <s v="CH11057"/>
        <s v="CH11127"/>
      </sharedItems>
    </cacheField>
    <cacheField name="Faculty Name" numFmtId="0">
      <sharedItems containsBlank="1">
        <s v="Dr.DEEPHA V"/>
        <s v="Dr.SUBHAPRIYA P"/>
        <s v="Dr.VISWANATHAN G"/>
        <m/>
        <s v="Dr.VIJAYANAND P S"/>
        <s v="Dr.RAMESHKUMAR A"/>
        <s v="Dr.PRAVEENA R"/>
        <s v="Dr.MUTHUKUMAR P"/>
        <s v="Dr.KAVITHA C"/>
        <s v="Dr.SATHISH V"/>
        <s v="Dr.MURALI KRISHNAN M"/>
        <s v="Dr.JESIN BENETO A"/>
        <s v="Dr.MALATHI MAHALINGAM"/>
        <s v="Dr.KARUPPUSAMY S"/>
        <s v="Dr.MANIGANDAN S"/>
      </sharedItems>
    </cacheField>
    <cacheField name="Mail ID" numFmtId="0">
      <sharedItems containsBlank="1">
        <s v="deephav@bitsathy.ac.in"/>
        <s v="subhapriyap@bitsathy.ac.in"/>
        <s v="viswanathan@bitsathy.ac.in"/>
        <m/>
        <s v="vijayanandps@bitsathy.ac.in"/>
        <s v="rameshkumar@bitsathy.ac.in"/>
        <s v="praveenar@bitsathy.ac.in"/>
        <s v="muthukumar@bitsathy.ac.in"/>
        <s v="kavithac@bitsathy.ac.in"/>
        <s v="sathishv@bitsathy.ac.in"/>
        <s v="muralikrishnan@bitsathy.ac.in"/>
        <s v="jesinbeneto@bitsathy.ac.in"/>
        <s v="malathimahalingamm@bitsathy.ac.in"/>
        <s v="karuppusamys@bitsathy.ac.in"/>
        <s v="manigandan@bitsathy.ac.i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hysics" cacheId="0" dataCaption="" rowGrandTotals="0" compact="0" compactData="0">
  <location ref="P1:R17" firstHeaderRow="0" firstDataRow="2" firstDataCol="0"/>
  <pivotFields>
    <pivotField name="Dept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mester" compact="0" outline="0" multipleItemSelectionAllowed="1" showAll="0">
      <items>
        <item x="0"/>
        <item x="1"/>
        <item t="default"/>
      </items>
    </pivotField>
    <pivotField name="Course Type" compact="0" outline="0" multipleItemSelectionAllowed="1" showAll="0">
      <items>
        <item x="0"/>
        <item x="1"/>
        <item t="default"/>
      </items>
    </pivotField>
    <pivotField name="Course Code" compact="0" outline="0" multipleItemSelectionAllowed="1" showAll="0">
      <items>
        <item x="0"/>
        <item x="1"/>
        <item t="default"/>
      </items>
    </pivotField>
    <pivotField name="Course Name" compact="0" outline="0" multipleItemSelectionAllowed="1" showAll="0">
      <items>
        <item x="0"/>
        <item x="1"/>
        <item t="default"/>
      </items>
    </pivotField>
    <pivotField name="Course Nature" compact="0" outline="0" multipleItemSelectionAllowed="1" showAll="0">
      <items>
        <item x="0"/>
        <item x="1"/>
        <item t="default"/>
      </items>
    </pivotField>
    <pivotField name="L" compact="0" outline="0" multipleItemSelectionAllowed="1" showAll="0">
      <items>
        <item x="0"/>
        <item x="1"/>
        <item t="default"/>
      </items>
    </pivotField>
    <pivotField name="T" compact="0" outline="0" multipleItemSelectionAllowed="1" showAll="0">
      <items>
        <item x="0"/>
        <item x="1"/>
        <item t="default"/>
      </items>
    </pivotField>
    <pivotField name="P" compact="0" outline="0" multipleItemSelectionAllowed="1" showAll="0">
      <items>
        <item x="0"/>
        <item x="1"/>
        <item t="default"/>
      </items>
    </pivotField>
    <pivotField name="C" compact="0" outline="0" multipleItemSelectionAllowed="1" showAll="0">
      <items>
        <item x="0"/>
        <item x="1"/>
        <item t="default"/>
      </items>
    </pivotField>
    <pivotField name="No. of FA" compact="0" numFmtId="1" outline="0" multipleItemSelectionAllowed="1" showAll="0">
      <items>
        <item x="0"/>
        <item x="1"/>
        <item t="default"/>
      </items>
    </pivotField>
    <pivotField name="Faculty ID&#10;(ME1880)" axis="axisRow" dataField="1" compact="0" outline="0" multipleItemSelectionAllowed="1" showAll="0" sortType="ascending" defaultSubtotal="0">
      <items>
        <item x="15"/>
        <item x="14"/>
        <item x="9"/>
        <item x="7"/>
        <item x="3"/>
        <item x="1"/>
        <item x="12"/>
        <item x="13"/>
        <item x="4"/>
        <item x="0"/>
        <item x="6"/>
        <item x="10"/>
        <item x="11"/>
        <item x="5"/>
        <item x="8"/>
        <item x="2"/>
      </items>
    </pivotField>
    <pivotField name="Faculty Name" axis="axisRow" compact="0" outline="0" multipleItemSelectionAllowed="1" showAll="0" sortType="ascending">
      <items>
        <item x="11"/>
        <item x="4"/>
        <item x="9"/>
        <item x="10"/>
        <item x="0"/>
        <item x="14"/>
        <item x="8"/>
        <item x="2"/>
        <item x="1"/>
        <item x="7"/>
        <item x="6"/>
        <item x="13"/>
        <item x="3"/>
        <item x="12"/>
        <item x="5"/>
        <item t="default"/>
      </items>
    </pivotField>
    <pivotField name="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1"/>
    <field x="12"/>
  </rowFields>
  <dataFields>
    <dataField name="COUNTA of Faculty ID&#10;(ME1880)" fld="11" subtotal="count" baseField="0"/>
  </dataFields>
</pivotTableDefinition>
</file>

<file path=xl/pivotTables/pivotTable2.xml><?xml version="1.0" encoding="utf-8"?>
<pivotTableDefinition xmlns="http://schemas.openxmlformats.org/spreadsheetml/2006/main" name="Chemistry" cacheId="1" dataCaption="" rowGrandTotals="0" colGrandTotals="0" compact="0" compactData="0">
  <location ref="P1:S17" firstHeaderRow="0" firstDataRow="2" firstDataCol="1"/>
  <pivotFields>
    <pivotField name="Dept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emester" compact="0" outline="0" multipleItemSelectionAllowed="1" showAll="0">
      <items>
        <item x="0"/>
        <item x="1"/>
        <item t="default"/>
      </items>
    </pivotField>
    <pivotField name="Course Type" compact="0" outline="0" multipleItemSelectionAllowed="1" showAll="0">
      <items>
        <item x="0"/>
        <item t="default"/>
      </items>
    </pivotField>
    <pivotField name="Course Code" compact="0" outline="0" multipleItemSelectionAllowed="1" showAll="0">
      <items>
        <item x="0"/>
        <item x="1"/>
        <item t="default"/>
      </items>
    </pivotField>
    <pivotField name="Course Name" compact="0" outline="0" multipleItemSelectionAllowed="1" showAll="0">
      <items>
        <item x="0"/>
        <item x="1"/>
        <item t="default"/>
      </items>
    </pivotField>
    <pivotField name="Course Nature" axis="axisCol" compact="0" outline="0" multipleItemSelectionAllowed="1" showAll="0" sortType="ascending">
      <items>
        <item x="1"/>
        <item x="0"/>
        <item t="default"/>
      </items>
    </pivotField>
    <pivotField name="L" compact="0" outline="0" multipleItemSelectionAllowed="1" showAll="0">
      <items>
        <item x="0"/>
        <item t="default"/>
      </items>
    </pivotField>
    <pivotField name="T" compact="0" outline="0" multipleItemSelectionAllowed="1" showAll="0">
      <items>
        <item x="0"/>
        <item t="default"/>
      </items>
    </pivotField>
    <pivotField name="P" compact="0" outline="0" multipleItemSelectionAllowed="1" showAll="0">
      <items>
        <item x="0"/>
        <item x="1"/>
        <item t="default"/>
      </items>
    </pivotField>
    <pivotField name="C" compact="0" outline="0" multipleItemSelectionAllowed="1" showAll="0">
      <items>
        <item x="0"/>
        <item x="1"/>
        <item t="default"/>
      </items>
    </pivotField>
    <pivotField name="No. of FA" compact="0" numFmtId="1" outline="0" multipleItemSelectionAllowed="1" showAll="0">
      <items>
        <item x="0"/>
        <item x="1"/>
        <item t="default"/>
      </items>
    </pivotField>
    <pivotField name="Faculty ID&#10;(ME1880)" axis="axisRow" dataField="1" compact="0" outline="0" multipleItemSelectionAllowed="1" showAll="0" sortType="ascending" defaultSubtotal="0">
      <items>
        <item x="9"/>
        <item x="7"/>
        <item x="2"/>
        <item x="10"/>
        <item x="5"/>
        <item x="3"/>
        <item x="0"/>
        <item x="13"/>
        <item x="11"/>
        <item x="14"/>
        <item x="1"/>
        <item x="4"/>
        <item x="6"/>
        <item x="8"/>
        <item x="12"/>
      </items>
    </pivotField>
    <pivotField name="Faculty Name" axis="axisRow" compact="0" outline="0" multipleItemSelectionAllowed="1" showAll="0" sortType="ascending">
      <items>
        <item x="3"/>
        <item x="0"/>
        <item x="11"/>
        <item x="13"/>
        <item x="8"/>
        <item x="12"/>
        <item x="14"/>
        <item x="10"/>
        <item x="7"/>
        <item x="6"/>
        <item x="5"/>
        <item x="9"/>
        <item x="1"/>
        <item x="4"/>
        <item x="2"/>
        <item t="default"/>
      </items>
    </pivotField>
    <pivotField name="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1"/>
    <field x="12"/>
  </rowFields>
  <colFields>
    <field x="5"/>
  </colFields>
  <dataFields>
    <dataField name="COUNTA of Faculty ID&#10;(ME1880)" fld="1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3.88"/>
    <col customWidth="1" min="3" max="3" width="21.5"/>
    <col customWidth="1" min="4" max="4" width="63.25"/>
    <col customWidth="1" min="5" max="6" width="18.88"/>
    <col customWidth="1" min="7" max="7" width="16.25"/>
    <col customWidth="1" min="9" max="9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>
        <v>26.0</v>
      </c>
      <c r="F1" s="3">
        <f>IFERROR(__xludf.DUMMYFUNCTION("counta(IFNA(FILTER('Consolidated Sheet'!D:D, 'Consolidated Sheet'!A:A=A1, 'Consolidated Sheet'!D:D=C1)))"),1.0)</f>
        <v>1</v>
      </c>
    </row>
    <row r="2">
      <c r="A2" s="1" t="s">
        <v>4</v>
      </c>
      <c r="B2" s="2" t="s">
        <v>1</v>
      </c>
      <c r="C2" s="2" t="s">
        <v>5</v>
      </c>
      <c r="D2" s="2" t="s">
        <v>6</v>
      </c>
      <c r="E2" s="2">
        <v>134.0</v>
      </c>
      <c r="F2" s="3">
        <f>IFERROR(__xludf.DUMMYFUNCTION("counta(IFNA(FILTER('Consolidated Sheet'!D:D, 'Consolidated Sheet'!A:A=A2, 'Consolidated Sheet'!D:D=C2)))"),2.0)</f>
        <v>2</v>
      </c>
    </row>
    <row r="3">
      <c r="A3" s="1" t="s">
        <v>4</v>
      </c>
      <c r="B3" s="2" t="s">
        <v>1</v>
      </c>
      <c r="C3" s="2" t="s">
        <v>7</v>
      </c>
      <c r="D3" s="2" t="s">
        <v>8</v>
      </c>
      <c r="E3" s="2">
        <v>128.0</v>
      </c>
      <c r="F3" s="3">
        <f>IFERROR(__xludf.DUMMYFUNCTION("counta(IFNA(FILTER('Consolidated Sheet'!D:D, 'Consolidated Sheet'!A:A=A3, 'Consolidated Sheet'!D:D=C3)))"),2.0)</f>
        <v>2</v>
      </c>
      <c r="H3" s="1"/>
      <c r="I3" s="4"/>
    </row>
    <row r="4">
      <c r="A4" s="1" t="s">
        <v>9</v>
      </c>
      <c r="B4" s="2" t="s">
        <v>1</v>
      </c>
      <c r="C4" s="2" t="s">
        <v>10</v>
      </c>
      <c r="D4" s="2" t="s">
        <v>8</v>
      </c>
      <c r="E4" s="2">
        <v>54.0</v>
      </c>
      <c r="F4" s="3">
        <f>IFERROR(__xludf.DUMMYFUNCTION("counta(IFNA(FILTER('Consolidated Sheet'!D:D, 'Consolidated Sheet'!A:A=A4, 'Consolidated Sheet'!D:D=C4)))"),1.0)</f>
        <v>1</v>
      </c>
    </row>
    <row r="5">
      <c r="A5" s="1" t="s">
        <v>9</v>
      </c>
      <c r="B5" s="2" t="s">
        <v>1</v>
      </c>
      <c r="C5" s="2" t="s">
        <v>11</v>
      </c>
      <c r="D5" s="2" t="s">
        <v>12</v>
      </c>
      <c r="E5" s="2">
        <v>72.0</v>
      </c>
      <c r="F5" s="3">
        <f>IFERROR(__xludf.DUMMYFUNCTION("counta(IFNA(FILTER('Consolidated Sheet'!D:D, 'Consolidated Sheet'!A:A=A5, 'Consolidated Sheet'!D:D=C5)))"),2.0)</f>
        <v>2</v>
      </c>
    </row>
    <row r="6">
      <c r="A6" s="1" t="s">
        <v>13</v>
      </c>
      <c r="B6" s="2" t="s">
        <v>1</v>
      </c>
      <c r="C6" s="2" t="s">
        <v>14</v>
      </c>
      <c r="D6" s="2" t="s">
        <v>15</v>
      </c>
      <c r="E6" s="2">
        <v>26.0</v>
      </c>
      <c r="F6" s="3">
        <f>IFERROR(__xludf.DUMMYFUNCTION("counta(IFNA(FILTER('Consolidated Sheet'!D:D, 'Consolidated Sheet'!A:A=A6, 'Consolidated Sheet'!D:D=C6)))"),1.0)</f>
        <v>1</v>
      </c>
    </row>
    <row r="7">
      <c r="A7" s="1" t="s">
        <v>13</v>
      </c>
      <c r="B7" s="2" t="s">
        <v>1</v>
      </c>
      <c r="C7" s="2" t="s">
        <v>16</v>
      </c>
      <c r="D7" s="2" t="s">
        <v>17</v>
      </c>
      <c r="E7" s="2">
        <v>97.0</v>
      </c>
      <c r="F7" s="3">
        <f>IFERROR(__xludf.DUMMYFUNCTION("counta(IFNA(FILTER('Consolidated Sheet'!D:D, 'Consolidated Sheet'!A:A=A7, 'Consolidated Sheet'!D:D=C7)))"),2.0)</f>
        <v>2</v>
      </c>
    </row>
    <row r="8">
      <c r="A8" s="1" t="s">
        <v>18</v>
      </c>
      <c r="B8" s="2" t="s">
        <v>1</v>
      </c>
      <c r="C8" s="2" t="s">
        <v>19</v>
      </c>
      <c r="D8" s="2" t="s">
        <v>8</v>
      </c>
      <c r="E8" s="2">
        <v>343.0</v>
      </c>
      <c r="F8" s="3">
        <f>IFERROR(__xludf.DUMMYFUNCTION("counta(IFNA(FILTER('Consolidated Sheet'!D:D, 'Consolidated Sheet'!A:A=A8, 'Consolidated Sheet'!D:D=C8)))"),6.0)</f>
        <v>6</v>
      </c>
      <c r="H8" s="1"/>
      <c r="I8" s="4"/>
    </row>
    <row r="9">
      <c r="A9" s="1" t="s">
        <v>18</v>
      </c>
      <c r="B9" s="2" t="s">
        <v>1</v>
      </c>
      <c r="C9" s="2" t="s">
        <v>20</v>
      </c>
      <c r="D9" s="2" t="s">
        <v>21</v>
      </c>
      <c r="E9" s="2">
        <v>39.0</v>
      </c>
      <c r="F9" s="3">
        <f>IFERROR(__xludf.DUMMYFUNCTION("counta(IFNA(FILTER('Consolidated Sheet'!D:D, 'Consolidated Sheet'!A:A=A9, 'Consolidated Sheet'!D:D=C9)))"),1.0)</f>
        <v>1</v>
      </c>
    </row>
    <row r="10">
      <c r="A10" s="1" t="s">
        <v>18</v>
      </c>
      <c r="B10" s="2" t="s">
        <v>1</v>
      </c>
      <c r="C10" s="2" t="s">
        <v>22</v>
      </c>
      <c r="D10" s="2" t="s">
        <v>23</v>
      </c>
      <c r="E10" s="2">
        <v>29.0</v>
      </c>
      <c r="F10" s="3">
        <f>IFERROR(__xludf.DUMMYFUNCTION("counta(IFNA(FILTER('Consolidated Sheet'!D:D, 'Consolidated Sheet'!A:A=A10, 'Consolidated Sheet'!D:D=C10)))"),1.0)</f>
        <v>1</v>
      </c>
    </row>
    <row r="11">
      <c r="A11" s="1" t="s">
        <v>24</v>
      </c>
      <c r="B11" s="2" t="s">
        <v>1</v>
      </c>
      <c r="C11" s="2" t="s">
        <v>25</v>
      </c>
      <c r="D11" s="2" t="s">
        <v>26</v>
      </c>
      <c r="E11" s="2">
        <v>62.0</v>
      </c>
      <c r="F11" s="3">
        <f>IFERROR(__xludf.DUMMYFUNCTION("counta(IFNA(FILTER('Consolidated Sheet'!D:D, 'Consolidated Sheet'!A:A=A11, 'Consolidated Sheet'!D:D=C11)))"),1.0)</f>
        <v>1</v>
      </c>
    </row>
    <row r="12">
      <c r="A12" s="1" t="s">
        <v>27</v>
      </c>
      <c r="B12" s="2" t="s">
        <v>1</v>
      </c>
      <c r="C12" s="2" t="s">
        <v>28</v>
      </c>
      <c r="D12" s="2" t="s">
        <v>29</v>
      </c>
      <c r="E12" s="2">
        <v>95.0</v>
      </c>
      <c r="F12" s="3">
        <f>IFERROR(__xludf.DUMMYFUNCTION("counta(IFNA(FILTER('Consolidated Sheet'!D:D, 'Consolidated Sheet'!A:A=A12, 'Consolidated Sheet'!D:D=C12)))"),2.0)</f>
        <v>2</v>
      </c>
    </row>
    <row r="13">
      <c r="A13" s="1" t="s">
        <v>27</v>
      </c>
      <c r="B13" s="2" t="s">
        <v>1</v>
      </c>
      <c r="C13" s="2" t="s">
        <v>30</v>
      </c>
      <c r="D13" s="2" t="s">
        <v>31</v>
      </c>
      <c r="E13" s="2">
        <v>40.0</v>
      </c>
      <c r="F13" s="3">
        <f>IFERROR(__xludf.DUMMYFUNCTION("counta(IFNA(FILTER('Consolidated Sheet'!D:D, 'Consolidated Sheet'!A:A=A13, 'Consolidated Sheet'!D:D=C13)))"),1.0)</f>
        <v>1</v>
      </c>
    </row>
    <row r="14">
      <c r="A14" s="1" t="s">
        <v>32</v>
      </c>
      <c r="B14" s="2" t="s">
        <v>1</v>
      </c>
      <c r="C14" s="2" t="s">
        <v>33</v>
      </c>
      <c r="D14" s="2" t="s">
        <v>34</v>
      </c>
      <c r="E14" s="2">
        <v>148.0</v>
      </c>
      <c r="F14" s="3">
        <f>IFERROR(__xludf.DUMMYFUNCTION("counta(IFNA(FILTER('Consolidated Sheet'!D:D, 'Consolidated Sheet'!A:A=A14, 'Consolidated Sheet'!D:D=C14)))"),3.0)</f>
        <v>3</v>
      </c>
    </row>
    <row r="15">
      <c r="A15" s="1" t="s">
        <v>32</v>
      </c>
      <c r="B15" s="2" t="s">
        <v>1</v>
      </c>
      <c r="C15" s="2" t="s">
        <v>35</v>
      </c>
      <c r="D15" s="2" t="s">
        <v>36</v>
      </c>
      <c r="E15" s="2">
        <v>124.0</v>
      </c>
      <c r="F15" s="3">
        <f>IFERROR(__xludf.DUMMYFUNCTION("counta(IFNA(FILTER('Consolidated Sheet'!D:D, 'Consolidated Sheet'!A:A=A15, 'Consolidated Sheet'!D:D=C15)))"),2.0)</f>
        <v>2</v>
      </c>
    </row>
    <row r="16">
      <c r="A16" s="1" t="s">
        <v>37</v>
      </c>
      <c r="B16" s="2" t="s">
        <v>1</v>
      </c>
      <c r="C16" s="2" t="s">
        <v>38</v>
      </c>
      <c r="D16" s="2" t="s">
        <v>39</v>
      </c>
      <c r="E16" s="2">
        <v>63.0</v>
      </c>
      <c r="F16" s="3">
        <f>IFERROR(__xludf.DUMMYFUNCTION("counta(IFNA(FILTER('Consolidated Sheet'!D:D, 'Consolidated Sheet'!A:A=A16, 'Consolidated Sheet'!D:D=C16)))"),1.0)</f>
        <v>1</v>
      </c>
    </row>
    <row r="17">
      <c r="A17" s="1" t="s">
        <v>40</v>
      </c>
      <c r="B17" s="2" t="s">
        <v>1</v>
      </c>
      <c r="C17" s="2" t="s">
        <v>41</v>
      </c>
      <c r="D17" s="2" t="s">
        <v>21</v>
      </c>
      <c r="E17" s="2">
        <v>45.0</v>
      </c>
      <c r="F17" s="3">
        <f>IFERROR(__xludf.DUMMYFUNCTION("counta(IFNA(FILTER('Consolidated Sheet'!D:D, 'Consolidated Sheet'!A:A=A17, 'Consolidated Sheet'!D:D=C17)))"),1.0)</f>
        <v>1</v>
      </c>
    </row>
    <row r="18">
      <c r="A18" s="1" t="s">
        <v>40</v>
      </c>
      <c r="B18" s="2" t="s">
        <v>1</v>
      </c>
      <c r="C18" s="2" t="s">
        <v>42</v>
      </c>
      <c r="D18" s="2" t="s">
        <v>8</v>
      </c>
      <c r="E18" s="2">
        <v>222.0</v>
      </c>
      <c r="F18" s="3">
        <f>IFERROR(__xludf.DUMMYFUNCTION("counta(IFNA(FILTER('Consolidated Sheet'!D:D, 'Consolidated Sheet'!A:A=A18, 'Consolidated Sheet'!D:D=C18)))"),4.0)</f>
        <v>4</v>
      </c>
    </row>
    <row r="19">
      <c r="A19" s="1" t="s">
        <v>43</v>
      </c>
      <c r="B19" s="2" t="s">
        <v>1</v>
      </c>
      <c r="C19" s="2" t="s">
        <v>44</v>
      </c>
      <c r="D19" s="2" t="s">
        <v>45</v>
      </c>
      <c r="E19" s="2">
        <v>68.0</v>
      </c>
      <c r="F19" s="3">
        <f>IFERROR(__xludf.DUMMYFUNCTION("counta(IFNA(FILTER('Consolidated Sheet'!D:D, 'Consolidated Sheet'!A:A=A19, 'Consolidated Sheet'!D:D=C19)))"),1.0)</f>
        <v>1</v>
      </c>
    </row>
    <row r="20">
      <c r="A20" s="1" t="s">
        <v>46</v>
      </c>
      <c r="B20" s="2" t="s">
        <v>1</v>
      </c>
      <c r="C20" s="2" t="s">
        <v>47</v>
      </c>
      <c r="D20" s="2" t="s">
        <v>48</v>
      </c>
      <c r="E20" s="2">
        <v>65.0</v>
      </c>
      <c r="F20" s="3">
        <f>IFERROR(__xludf.DUMMYFUNCTION("counta(IFNA(FILTER('Consolidated Sheet'!D:D, 'Consolidated Sheet'!A:A=A20, 'Consolidated Sheet'!D:D=C20)))"),0.0)</f>
        <v>0</v>
      </c>
    </row>
    <row r="21">
      <c r="A21" s="1" t="s">
        <v>0</v>
      </c>
      <c r="B21" s="3" t="s">
        <v>49</v>
      </c>
      <c r="C21" s="3" t="s">
        <v>50</v>
      </c>
      <c r="D21" s="3" t="s">
        <v>51</v>
      </c>
      <c r="E21" s="3">
        <v>22.0</v>
      </c>
      <c r="F21" s="3">
        <f>IFERROR(__xludf.DUMMYFUNCTION("counta(IFNA(FILTER('Consolidated Sheet'!D:D, 'Consolidated Sheet'!A:A=A21, 'Consolidated Sheet'!D:D=C21)))"),1.0)</f>
        <v>1</v>
      </c>
    </row>
    <row r="22">
      <c r="A22" s="1" t="s">
        <v>0</v>
      </c>
      <c r="B22" s="3" t="s">
        <v>52</v>
      </c>
      <c r="C22" s="3" t="s">
        <v>53</v>
      </c>
      <c r="D22" s="3" t="s">
        <v>54</v>
      </c>
      <c r="E22" s="3">
        <v>55.0</v>
      </c>
      <c r="F22" s="3">
        <f>IFERROR(__xludf.DUMMYFUNCTION("counta(IFNA(FILTER('Consolidated Sheet'!D:D, 'Consolidated Sheet'!A:A=A22, 'Consolidated Sheet'!D:D=C22)))"),1.0)</f>
        <v>1</v>
      </c>
    </row>
    <row r="23">
      <c r="A23" s="1" t="s">
        <v>0</v>
      </c>
      <c r="B23" s="3" t="s">
        <v>55</v>
      </c>
      <c r="C23" s="3" t="s">
        <v>56</v>
      </c>
      <c r="D23" s="3" t="s">
        <v>57</v>
      </c>
      <c r="E23" s="3">
        <v>55.0</v>
      </c>
      <c r="F23" s="3">
        <f>IFERROR(__xludf.DUMMYFUNCTION("counta(IFNA(FILTER('Consolidated Sheet'!D:D, 'Consolidated Sheet'!A:A=A23, 'Consolidated Sheet'!D:D=C23)))"),1.0)</f>
        <v>1</v>
      </c>
    </row>
    <row r="24">
      <c r="A24" s="1" t="s">
        <v>0</v>
      </c>
      <c r="B24" s="3" t="s">
        <v>58</v>
      </c>
      <c r="C24" s="3" t="s">
        <v>59</v>
      </c>
      <c r="D24" s="3" t="s">
        <v>60</v>
      </c>
      <c r="E24" s="3">
        <v>40.0</v>
      </c>
      <c r="F24" s="3">
        <f>IFERROR(__xludf.DUMMYFUNCTION("counta(IFNA(FILTER('Consolidated Sheet'!D:D, 'Consolidated Sheet'!A:A=A24, 'Consolidated Sheet'!D:D=C24)))"),1.0)</f>
        <v>1</v>
      </c>
    </row>
    <row r="25">
      <c r="A25" s="1" t="s">
        <v>4</v>
      </c>
      <c r="B25" s="3" t="s">
        <v>49</v>
      </c>
      <c r="C25" s="3" t="s">
        <v>61</v>
      </c>
      <c r="D25" s="3" t="s">
        <v>62</v>
      </c>
      <c r="E25" s="3">
        <v>83.0</v>
      </c>
      <c r="F25" s="3">
        <f>IFERROR(__xludf.DUMMYFUNCTION("counta(IFNA(FILTER('Consolidated Sheet'!D:D, 'Consolidated Sheet'!A:A=A25, 'Consolidated Sheet'!D:D=C25)))"),2.0)</f>
        <v>2</v>
      </c>
    </row>
    <row r="26">
      <c r="A26" s="1" t="s">
        <v>4</v>
      </c>
      <c r="B26" s="3" t="s">
        <v>52</v>
      </c>
      <c r="C26" s="3" t="s">
        <v>63</v>
      </c>
      <c r="D26" s="3" t="s">
        <v>64</v>
      </c>
      <c r="E26" s="3">
        <v>130.0</v>
      </c>
      <c r="F26" s="3">
        <f>IFERROR(__xludf.DUMMYFUNCTION("counta(IFNA(FILTER('Consolidated Sheet'!D:D, 'Consolidated Sheet'!A:A=A26, 'Consolidated Sheet'!D:D=C26)))"),2.0)</f>
        <v>2</v>
      </c>
    </row>
    <row r="27">
      <c r="A27" s="1" t="s">
        <v>4</v>
      </c>
      <c r="B27" s="3" t="s">
        <v>52</v>
      </c>
      <c r="C27" s="3" t="s">
        <v>65</v>
      </c>
      <c r="D27" s="3" t="s">
        <v>66</v>
      </c>
      <c r="E27" s="3">
        <v>66.0</v>
      </c>
      <c r="F27" s="3">
        <f>IFERROR(__xludf.DUMMYFUNCTION("counta(IFNA(FILTER('Consolidated Sheet'!D:D, 'Consolidated Sheet'!A:A=A27, 'Consolidated Sheet'!D:D=C27)))"),1.0)</f>
        <v>1</v>
      </c>
    </row>
    <row r="28">
      <c r="A28" s="1" t="s">
        <v>4</v>
      </c>
      <c r="B28" s="3" t="s">
        <v>55</v>
      </c>
      <c r="C28" s="3" t="s">
        <v>67</v>
      </c>
      <c r="D28" s="3" t="s">
        <v>68</v>
      </c>
      <c r="E28" s="3">
        <v>86.0</v>
      </c>
      <c r="F28" s="3">
        <f>IFERROR(__xludf.DUMMYFUNCTION("counta(IFNA(FILTER('Consolidated Sheet'!D:D, 'Consolidated Sheet'!A:A=A28, 'Consolidated Sheet'!D:D=C28)))"),2.0)</f>
        <v>2</v>
      </c>
    </row>
    <row r="29">
      <c r="A29" s="1" t="s">
        <v>4</v>
      </c>
      <c r="B29" s="3" t="s">
        <v>55</v>
      </c>
      <c r="C29" s="3" t="s">
        <v>69</v>
      </c>
      <c r="D29" s="3" t="s">
        <v>70</v>
      </c>
      <c r="E29" s="3">
        <v>110.0</v>
      </c>
      <c r="F29" s="3">
        <f>IFERROR(__xludf.DUMMYFUNCTION("counta(IFNA(FILTER('Consolidated Sheet'!D:D, 'Consolidated Sheet'!A:A=A29, 'Consolidated Sheet'!D:D=C29)))"),2.0)</f>
        <v>2</v>
      </c>
    </row>
    <row r="30">
      <c r="A30" s="1" t="s">
        <v>4</v>
      </c>
      <c r="B30" s="3" t="s">
        <v>58</v>
      </c>
      <c r="C30" s="3" t="s">
        <v>71</v>
      </c>
      <c r="D30" s="3" t="s">
        <v>72</v>
      </c>
      <c r="E30" s="3">
        <v>63.0</v>
      </c>
      <c r="F30" s="3">
        <f>IFERROR(__xludf.DUMMYFUNCTION("counta(IFNA(FILTER('Consolidated Sheet'!D:D, 'Consolidated Sheet'!A:A=A30, 'Consolidated Sheet'!D:D=C30)))"),1.0)</f>
        <v>1</v>
      </c>
    </row>
    <row r="31">
      <c r="A31" s="1" t="s">
        <v>4</v>
      </c>
      <c r="B31" s="3" t="s">
        <v>58</v>
      </c>
      <c r="C31" s="3" t="s">
        <v>73</v>
      </c>
      <c r="D31" s="3" t="s">
        <v>74</v>
      </c>
      <c r="E31" s="3">
        <v>42.0</v>
      </c>
      <c r="F31" s="3">
        <f>IFERROR(__xludf.DUMMYFUNCTION("counta(IFNA(FILTER('Consolidated Sheet'!D:D, 'Consolidated Sheet'!A:A=A31, 'Consolidated Sheet'!D:D=C31)))"),1.0)</f>
        <v>1</v>
      </c>
    </row>
    <row r="32">
      <c r="A32" s="5" t="s">
        <v>9</v>
      </c>
      <c r="B32" s="6" t="s">
        <v>49</v>
      </c>
      <c r="C32" s="6" t="s">
        <v>75</v>
      </c>
      <c r="D32" s="6" t="s">
        <v>76</v>
      </c>
      <c r="E32" s="6">
        <v>64.0</v>
      </c>
      <c r="F32" s="3">
        <f>IFERROR(__xludf.DUMMYFUNCTION("counta(IFNA(FILTER('Consolidated Sheet'!D:D, 'Consolidated Sheet'!A:A=A32, 'Consolidated Sheet'!D:D=C32)))"),1.0)</f>
        <v>1</v>
      </c>
    </row>
    <row r="33">
      <c r="A33" s="5" t="s">
        <v>9</v>
      </c>
      <c r="B33" s="6" t="s">
        <v>52</v>
      </c>
      <c r="C33" s="6" t="s">
        <v>77</v>
      </c>
      <c r="D33" s="6" t="s">
        <v>78</v>
      </c>
      <c r="E33" s="6">
        <v>125.0</v>
      </c>
      <c r="F33" s="3">
        <f>IFERROR(__xludf.DUMMYFUNCTION("counta(IFNA(FILTER('Consolidated Sheet'!D:D, 'Consolidated Sheet'!A:A=A33, 'Consolidated Sheet'!D:D=C33)))"),2.0)</f>
        <v>2</v>
      </c>
    </row>
    <row r="34">
      <c r="A34" s="5" t="s">
        <v>9</v>
      </c>
      <c r="B34" s="6" t="s">
        <v>55</v>
      </c>
      <c r="C34" s="6" t="s">
        <v>79</v>
      </c>
      <c r="D34" s="6" t="s">
        <v>80</v>
      </c>
      <c r="E34" s="6">
        <v>125.0</v>
      </c>
      <c r="F34" s="3">
        <f>IFERROR(__xludf.DUMMYFUNCTION("counta(IFNA(FILTER('Consolidated Sheet'!D:D, 'Consolidated Sheet'!A:A=A34, 'Consolidated Sheet'!D:D=C34)))"),2.0)</f>
        <v>2</v>
      </c>
    </row>
    <row r="35">
      <c r="A35" s="5" t="s">
        <v>9</v>
      </c>
      <c r="B35" s="6" t="s">
        <v>58</v>
      </c>
      <c r="C35" s="6" t="s">
        <v>81</v>
      </c>
      <c r="D35" s="6" t="s">
        <v>82</v>
      </c>
      <c r="E35" s="6">
        <v>80.0</v>
      </c>
      <c r="F35" s="3">
        <f>IFERROR(__xludf.DUMMYFUNCTION("counta(IFNA(FILTER('Consolidated Sheet'!D:D, 'Consolidated Sheet'!A:A=A35, 'Consolidated Sheet'!D:D=C35)))"),2.0)</f>
        <v>2</v>
      </c>
    </row>
    <row r="36">
      <c r="A36" s="5" t="s">
        <v>83</v>
      </c>
      <c r="B36" s="6" t="s">
        <v>49</v>
      </c>
      <c r="C36" s="6" t="s">
        <v>84</v>
      </c>
      <c r="D36" s="6" t="s">
        <v>85</v>
      </c>
      <c r="E36" s="6">
        <v>34.0</v>
      </c>
      <c r="F36" s="3">
        <f>IFERROR(__xludf.DUMMYFUNCTION("counta(IFNA(FILTER('Consolidated Sheet'!D:D, 'Consolidated Sheet'!A:A=A36, 'Consolidated Sheet'!D:D=C36)))"),1.0)</f>
        <v>1</v>
      </c>
    </row>
    <row r="37">
      <c r="A37" s="5" t="s">
        <v>83</v>
      </c>
      <c r="B37" s="6" t="s">
        <v>86</v>
      </c>
      <c r="C37" s="6" t="s">
        <v>87</v>
      </c>
      <c r="D37" s="6" t="s">
        <v>88</v>
      </c>
      <c r="E37" s="6">
        <v>198.0</v>
      </c>
      <c r="F37" s="3">
        <f>IFERROR(__xludf.DUMMYFUNCTION("counta(IFNA(FILTER('Consolidated Sheet'!D:D, 'Consolidated Sheet'!A:A=A37, 'Consolidated Sheet'!D:D=C37)))"),3.0)</f>
        <v>3</v>
      </c>
    </row>
    <row r="38">
      <c r="A38" s="5" t="s">
        <v>83</v>
      </c>
      <c r="B38" s="6" t="s">
        <v>52</v>
      </c>
      <c r="C38" s="6" t="s">
        <v>89</v>
      </c>
      <c r="D38" s="6" t="s">
        <v>90</v>
      </c>
      <c r="E38" s="6">
        <v>51.0</v>
      </c>
      <c r="F38" s="3">
        <f>IFERROR(__xludf.DUMMYFUNCTION("counta(IFNA(FILTER('Consolidated Sheet'!D:D, 'Consolidated Sheet'!A:A=A38, 'Consolidated Sheet'!D:D=C38)))"),1.0)</f>
        <v>1</v>
      </c>
    </row>
    <row r="39">
      <c r="A39" s="5" t="s">
        <v>83</v>
      </c>
      <c r="B39" s="6" t="s">
        <v>55</v>
      </c>
      <c r="C39" s="6" t="s">
        <v>91</v>
      </c>
      <c r="D39" s="6" t="s">
        <v>92</v>
      </c>
      <c r="E39" s="6">
        <v>51.0</v>
      </c>
      <c r="F39" s="3">
        <f>IFERROR(__xludf.DUMMYFUNCTION("counta(IFNA(FILTER('Consolidated Sheet'!D:D, 'Consolidated Sheet'!A:A=A39, 'Consolidated Sheet'!D:D=C39)))"),1.0)</f>
        <v>1</v>
      </c>
    </row>
    <row r="40">
      <c r="A40" s="5" t="s">
        <v>83</v>
      </c>
      <c r="B40" s="6" t="s">
        <v>58</v>
      </c>
      <c r="C40" s="6" t="s">
        <v>93</v>
      </c>
      <c r="D40" s="6" t="s">
        <v>94</v>
      </c>
      <c r="E40" s="6">
        <v>36.0</v>
      </c>
      <c r="F40" s="3">
        <f>IFERROR(__xludf.DUMMYFUNCTION("counta(IFNA(FILTER('Consolidated Sheet'!D:D, 'Consolidated Sheet'!A:A=A40, 'Consolidated Sheet'!D:D=C40)))"),1.0)</f>
        <v>1</v>
      </c>
    </row>
    <row r="41">
      <c r="A41" s="5" t="s">
        <v>13</v>
      </c>
      <c r="B41" s="6" t="s">
        <v>49</v>
      </c>
      <c r="C41" s="6" t="s">
        <v>95</v>
      </c>
      <c r="D41" s="6" t="s">
        <v>96</v>
      </c>
      <c r="E41" s="6">
        <v>76.0</v>
      </c>
      <c r="F41" s="3">
        <f>IFERROR(__xludf.DUMMYFUNCTION("counta(IFNA(FILTER('Consolidated Sheet'!D:D, 'Consolidated Sheet'!A:A=A41, 'Consolidated Sheet'!D:D=C41)))"),2.0)</f>
        <v>2</v>
      </c>
    </row>
    <row r="42">
      <c r="A42" s="5" t="s">
        <v>13</v>
      </c>
      <c r="B42" s="6" t="s">
        <v>86</v>
      </c>
      <c r="C42" s="6" t="s">
        <v>97</v>
      </c>
      <c r="D42" s="6" t="s">
        <v>98</v>
      </c>
      <c r="E42" s="6">
        <v>76.0</v>
      </c>
      <c r="F42" s="3">
        <f>IFERROR(__xludf.DUMMYFUNCTION("counta(IFNA(FILTER('Consolidated Sheet'!D:D, 'Consolidated Sheet'!A:A=A42, 'Consolidated Sheet'!D:D=C42)))"),2.0)</f>
        <v>2</v>
      </c>
    </row>
    <row r="43">
      <c r="A43" s="5" t="s">
        <v>13</v>
      </c>
      <c r="B43" s="6" t="s">
        <v>52</v>
      </c>
      <c r="C43" s="6" t="s">
        <v>99</v>
      </c>
      <c r="D43" s="6" t="s">
        <v>100</v>
      </c>
      <c r="E43" s="6">
        <v>35.0</v>
      </c>
      <c r="F43" s="3">
        <f>IFERROR(__xludf.DUMMYFUNCTION("counta(IFNA(FILTER('Consolidated Sheet'!D:D, 'Consolidated Sheet'!A:A=A43, 'Consolidated Sheet'!D:D=C43)))"),1.0)</f>
        <v>1</v>
      </c>
    </row>
    <row r="44">
      <c r="A44" s="5" t="s">
        <v>13</v>
      </c>
      <c r="B44" s="6" t="s">
        <v>52</v>
      </c>
      <c r="C44" s="6" t="s">
        <v>101</v>
      </c>
      <c r="D44" s="6" t="s">
        <v>102</v>
      </c>
      <c r="E44" s="6">
        <v>77.0</v>
      </c>
      <c r="F44" s="3">
        <f>IFERROR(__xludf.DUMMYFUNCTION("counta(IFNA(FILTER('Consolidated Sheet'!D:D, 'Consolidated Sheet'!A:A=A44, 'Consolidated Sheet'!D:D=C44)))"),2.0)</f>
        <v>2</v>
      </c>
    </row>
    <row r="45">
      <c r="A45" s="5" t="s">
        <v>13</v>
      </c>
      <c r="B45" s="6" t="s">
        <v>55</v>
      </c>
      <c r="C45" s="6" t="s">
        <v>103</v>
      </c>
      <c r="D45" s="6" t="s">
        <v>104</v>
      </c>
      <c r="E45" s="6">
        <v>88.0</v>
      </c>
      <c r="F45" s="3">
        <f>IFERROR(__xludf.DUMMYFUNCTION("counta(IFNA(FILTER('Consolidated Sheet'!D:D, 'Consolidated Sheet'!A:A=A45, 'Consolidated Sheet'!D:D=C45)))"),2.0)</f>
        <v>2</v>
      </c>
    </row>
    <row r="46">
      <c r="A46" s="5" t="s">
        <v>13</v>
      </c>
      <c r="B46" s="6" t="s">
        <v>55</v>
      </c>
      <c r="C46" s="6" t="s">
        <v>105</v>
      </c>
      <c r="D46" s="6" t="s">
        <v>106</v>
      </c>
      <c r="E46" s="6">
        <v>24.0</v>
      </c>
      <c r="F46" s="3">
        <f>IFERROR(__xludf.DUMMYFUNCTION("counta(IFNA(FILTER('Consolidated Sheet'!D:D, 'Consolidated Sheet'!A:A=A46, 'Consolidated Sheet'!D:D=C46)))"),1.0)</f>
        <v>1</v>
      </c>
    </row>
    <row r="47">
      <c r="A47" s="5" t="s">
        <v>13</v>
      </c>
      <c r="B47" s="6" t="s">
        <v>58</v>
      </c>
      <c r="C47" s="6" t="s">
        <v>107</v>
      </c>
      <c r="D47" s="6" t="s">
        <v>108</v>
      </c>
      <c r="E47" s="6">
        <v>13.0</v>
      </c>
      <c r="F47" s="3">
        <f>IFERROR(__xludf.DUMMYFUNCTION("counta(IFNA(FILTER('Consolidated Sheet'!D:D, 'Consolidated Sheet'!A:A=A47, 'Consolidated Sheet'!D:D=C47)))"),1.0)</f>
        <v>1</v>
      </c>
    </row>
    <row r="48">
      <c r="A48" s="5" t="s">
        <v>13</v>
      </c>
      <c r="B48" s="6" t="s">
        <v>58</v>
      </c>
      <c r="C48" s="6" t="s">
        <v>109</v>
      </c>
      <c r="D48" s="6" t="s">
        <v>110</v>
      </c>
      <c r="E48" s="6">
        <v>88.0</v>
      </c>
      <c r="F48" s="3">
        <f>IFERROR(__xludf.DUMMYFUNCTION("counta(IFNA(FILTER('Consolidated Sheet'!D:D, 'Consolidated Sheet'!A:A=A48, 'Consolidated Sheet'!D:D=C48)))"),2.0)</f>
        <v>2</v>
      </c>
    </row>
    <row r="49">
      <c r="A49" s="5" t="s">
        <v>111</v>
      </c>
      <c r="B49" s="6" t="s">
        <v>49</v>
      </c>
      <c r="C49" s="6" t="s">
        <v>112</v>
      </c>
      <c r="D49" s="6" t="s">
        <v>113</v>
      </c>
      <c r="E49" s="6">
        <v>27.0</v>
      </c>
      <c r="F49" s="3">
        <f>IFERROR(__xludf.DUMMYFUNCTION("counta(IFNA(FILTER('Consolidated Sheet'!D:D, 'Consolidated Sheet'!A:A=A49, 'Consolidated Sheet'!D:D=C49)))"),1.0)</f>
        <v>1</v>
      </c>
    </row>
    <row r="50">
      <c r="A50" s="5" t="s">
        <v>111</v>
      </c>
      <c r="B50" s="6" t="s">
        <v>86</v>
      </c>
      <c r="C50" s="6" t="s">
        <v>114</v>
      </c>
      <c r="D50" s="6" t="s">
        <v>115</v>
      </c>
      <c r="E50" s="6">
        <v>104.0</v>
      </c>
      <c r="F50" s="3">
        <f>IFERROR(__xludf.DUMMYFUNCTION("counta(IFNA(FILTER('Consolidated Sheet'!D:D, 'Consolidated Sheet'!A:A=A50, 'Consolidated Sheet'!D:D=C50)))"),2.0)</f>
        <v>2</v>
      </c>
    </row>
    <row r="51">
      <c r="A51" s="5" t="s">
        <v>111</v>
      </c>
      <c r="B51" s="6" t="s">
        <v>52</v>
      </c>
      <c r="C51" s="6" t="s">
        <v>116</v>
      </c>
      <c r="D51" s="6" t="s">
        <v>117</v>
      </c>
      <c r="E51" s="6">
        <v>32.0</v>
      </c>
      <c r="F51" s="3">
        <f>IFERROR(__xludf.DUMMYFUNCTION("counta(IFNA(FILTER('Consolidated Sheet'!D:D, 'Consolidated Sheet'!A:A=A51, 'Consolidated Sheet'!D:D=C51)))"),1.0)</f>
        <v>1</v>
      </c>
    </row>
    <row r="52">
      <c r="A52" s="5" t="s">
        <v>111</v>
      </c>
      <c r="B52" s="6" t="s">
        <v>55</v>
      </c>
      <c r="C52" s="6" t="s">
        <v>118</v>
      </c>
      <c r="D52" s="6" t="s">
        <v>119</v>
      </c>
      <c r="E52" s="6">
        <v>32.0</v>
      </c>
      <c r="F52" s="3">
        <f>IFERROR(__xludf.DUMMYFUNCTION("counta(IFNA(FILTER('Consolidated Sheet'!D:D, 'Consolidated Sheet'!A:A=A52, 'Consolidated Sheet'!D:D=C52)))"),1.0)</f>
        <v>1</v>
      </c>
    </row>
    <row r="53">
      <c r="A53" s="5" t="s">
        <v>111</v>
      </c>
      <c r="B53" s="6" t="s">
        <v>58</v>
      </c>
      <c r="C53" s="6" t="s">
        <v>120</v>
      </c>
      <c r="D53" s="6" t="s">
        <v>121</v>
      </c>
      <c r="E53" s="6">
        <v>29.0</v>
      </c>
      <c r="F53" s="3">
        <f>IFERROR(__xludf.DUMMYFUNCTION("counta(IFNA(FILTER('Consolidated Sheet'!D:D, 'Consolidated Sheet'!A:A=A53, 'Consolidated Sheet'!D:D=C53)))"),1.0)</f>
        <v>1</v>
      </c>
    </row>
    <row r="54">
      <c r="A54" s="5" t="s">
        <v>18</v>
      </c>
      <c r="B54" s="6" t="s">
        <v>49</v>
      </c>
      <c r="C54" s="6" t="s">
        <v>122</v>
      </c>
      <c r="D54" s="6" t="s">
        <v>123</v>
      </c>
      <c r="E54" s="6">
        <v>177.0</v>
      </c>
      <c r="F54" s="3">
        <f>IFERROR(__xludf.DUMMYFUNCTION("counta(IFNA(FILTER('Consolidated Sheet'!D:D, 'Consolidated Sheet'!A:A=A54, 'Consolidated Sheet'!D:D=C54)))"),3.0)</f>
        <v>3</v>
      </c>
    </row>
    <row r="55">
      <c r="A55" s="5" t="s">
        <v>18</v>
      </c>
      <c r="B55" s="6" t="s">
        <v>86</v>
      </c>
      <c r="C55" s="6" t="s">
        <v>124</v>
      </c>
      <c r="D55" s="6" t="s">
        <v>125</v>
      </c>
      <c r="E55" s="6">
        <v>130.0</v>
      </c>
      <c r="F55" s="3">
        <f>IFERROR(__xludf.DUMMYFUNCTION("counta(IFNA(FILTER('Consolidated Sheet'!D:D, 'Consolidated Sheet'!A:A=A55, 'Consolidated Sheet'!D:D=C55)))"),2.0)</f>
        <v>2</v>
      </c>
    </row>
    <row r="56">
      <c r="A56" s="5" t="s">
        <v>18</v>
      </c>
      <c r="B56" s="6" t="s">
        <v>52</v>
      </c>
      <c r="C56" s="6" t="s">
        <v>126</v>
      </c>
      <c r="D56" s="6" t="s">
        <v>78</v>
      </c>
      <c r="E56" s="6">
        <v>148.0</v>
      </c>
      <c r="F56" s="3">
        <f>IFERROR(__xludf.DUMMYFUNCTION("counta(IFNA(FILTER('Consolidated Sheet'!D:D, 'Consolidated Sheet'!A:A=A56, 'Consolidated Sheet'!D:D=C56)))"),2.0)</f>
        <v>2</v>
      </c>
    </row>
    <row r="57">
      <c r="A57" s="5" t="s">
        <v>18</v>
      </c>
      <c r="B57" s="6" t="s">
        <v>52</v>
      </c>
      <c r="C57" s="6" t="s">
        <v>127</v>
      </c>
      <c r="D57" s="6" t="s">
        <v>128</v>
      </c>
      <c r="E57" s="6">
        <v>116.0</v>
      </c>
      <c r="F57" s="3">
        <f>IFERROR(__xludf.DUMMYFUNCTION("counta(IFNA(FILTER('Consolidated Sheet'!D:D, 'Consolidated Sheet'!A:A=A57, 'Consolidated Sheet'!D:D=C57)))"),2.0)</f>
        <v>2</v>
      </c>
    </row>
    <row r="58">
      <c r="A58" s="5" t="s">
        <v>18</v>
      </c>
      <c r="B58" s="6" t="s">
        <v>55</v>
      </c>
      <c r="C58" s="6" t="s">
        <v>129</v>
      </c>
      <c r="D58" s="6" t="s">
        <v>130</v>
      </c>
      <c r="E58" s="6">
        <v>134.0</v>
      </c>
      <c r="F58" s="3">
        <f>IFERROR(__xludf.DUMMYFUNCTION("counta(IFNA(FILTER('Consolidated Sheet'!D:D, 'Consolidated Sheet'!A:A=A58, 'Consolidated Sheet'!D:D=C58)))"),2.0)</f>
        <v>2</v>
      </c>
    </row>
    <row r="59">
      <c r="A59" s="5" t="s">
        <v>18</v>
      </c>
      <c r="B59" s="6" t="s">
        <v>55</v>
      </c>
      <c r="C59" s="6" t="s">
        <v>131</v>
      </c>
      <c r="D59" s="6" t="s">
        <v>68</v>
      </c>
      <c r="E59" s="6">
        <v>130.0</v>
      </c>
      <c r="F59" s="3">
        <f>IFERROR(__xludf.DUMMYFUNCTION("counta(IFNA(FILTER('Consolidated Sheet'!D:D, 'Consolidated Sheet'!A:A=A59, 'Consolidated Sheet'!D:D=C59)))"),2.0)</f>
        <v>2</v>
      </c>
    </row>
    <row r="60">
      <c r="A60" s="5" t="s">
        <v>18</v>
      </c>
      <c r="B60" s="6" t="s">
        <v>58</v>
      </c>
      <c r="C60" s="6" t="s">
        <v>132</v>
      </c>
      <c r="D60" s="6" t="s">
        <v>133</v>
      </c>
      <c r="E60" s="6">
        <v>171.0</v>
      </c>
      <c r="F60" s="3">
        <f>IFERROR(__xludf.DUMMYFUNCTION("counta(IFNA(FILTER('Consolidated Sheet'!D:D, 'Consolidated Sheet'!A:A=A60, 'Consolidated Sheet'!D:D=C60)))"),3.0)</f>
        <v>3</v>
      </c>
    </row>
    <row r="61">
      <c r="A61" s="5" t="s">
        <v>18</v>
      </c>
      <c r="B61" s="6" t="s">
        <v>58</v>
      </c>
      <c r="C61" s="6" t="s">
        <v>134</v>
      </c>
      <c r="D61" s="6" t="s">
        <v>72</v>
      </c>
      <c r="E61" s="6">
        <v>36.0</v>
      </c>
      <c r="F61" s="3">
        <f>IFERROR(__xludf.DUMMYFUNCTION("counta(IFNA(FILTER('Consolidated Sheet'!D:D, 'Consolidated Sheet'!A:A=A61, 'Consolidated Sheet'!D:D=C61)))"),1.0)</f>
        <v>1</v>
      </c>
    </row>
    <row r="62">
      <c r="A62" s="5" t="s">
        <v>24</v>
      </c>
      <c r="B62" s="6" t="s">
        <v>49</v>
      </c>
      <c r="C62" s="6" t="s">
        <v>135</v>
      </c>
      <c r="D62" s="6" t="s">
        <v>136</v>
      </c>
      <c r="E62" s="6">
        <v>32.0</v>
      </c>
      <c r="F62" s="3">
        <f>IFERROR(__xludf.DUMMYFUNCTION("counta(IFNA(FILTER('Consolidated Sheet'!D:D, 'Consolidated Sheet'!A:A=A62, 'Consolidated Sheet'!D:D=C62)))"),1.0)</f>
        <v>1</v>
      </c>
    </row>
    <row r="63">
      <c r="A63" s="5" t="s">
        <v>24</v>
      </c>
      <c r="B63" s="6" t="s">
        <v>52</v>
      </c>
      <c r="C63" s="6" t="s">
        <v>137</v>
      </c>
      <c r="D63" s="6" t="s">
        <v>138</v>
      </c>
      <c r="E63" s="6">
        <v>62.0</v>
      </c>
      <c r="F63" s="3">
        <f>IFERROR(__xludf.DUMMYFUNCTION("counta(IFNA(FILTER('Consolidated Sheet'!D:D, 'Consolidated Sheet'!A:A=A63, 'Consolidated Sheet'!D:D=C63)))"),1.0)</f>
        <v>1</v>
      </c>
    </row>
    <row r="64">
      <c r="A64" s="5" t="s">
        <v>24</v>
      </c>
      <c r="B64" s="6" t="s">
        <v>55</v>
      </c>
      <c r="C64" s="6" t="s">
        <v>139</v>
      </c>
      <c r="D64" s="6" t="s">
        <v>140</v>
      </c>
      <c r="E64" s="6">
        <v>62.0</v>
      </c>
      <c r="F64" s="3">
        <f>IFERROR(__xludf.DUMMYFUNCTION("counta(IFNA(FILTER('Consolidated Sheet'!D:D, 'Consolidated Sheet'!A:A=A64, 'Consolidated Sheet'!D:D=C64)))"),1.0)</f>
        <v>1</v>
      </c>
    </row>
    <row r="65">
      <c r="A65" s="5" t="s">
        <v>24</v>
      </c>
      <c r="B65" s="6" t="s">
        <v>58</v>
      </c>
      <c r="C65" s="6" t="s">
        <v>141</v>
      </c>
      <c r="D65" s="6" t="s">
        <v>142</v>
      </c>
      <c r="E65" s="6">
        <v>34.0</v>
      </c>
      <c r="F65" s="3">
        <f>IFERROR(__xludf.DUMMYFUNCTION("counta(IFNA(FILTER('Consolidated Sheet'!D:D, 'Consolidated Sheet'!A:A=A65, 'Consolidated Sheet'!D:D=C65)))"),1.0)</f>
        <v>1</v>
      </c>
    </row>
    <row r="66">
      <c r="A66" s="5" t="s">
        <v>143</v>
      </c>
      <c r="B66" s="6" t="s">
        <v>49</v>
      </c>
      <c r="C66" s="6" t="s">
        <v>144</v>
      </c>
      <c r="D66" s="6" t="s">
        <v>145</v>
      </c>
      <c r="E66" s="6">
        <v>31.0</v>
      </c>
      <c r="F66" s="3">
        <f>IFERROR(__xludf.DUMMYFUNCTION("counta(IFNA(FILTER('Consolidated Sheet'!D:D, 'Consolidated Sheet'!A:A=A66, 'Consolidated Sheet'!D:D=C66)))"),1.0)</f>
        <v>1</v>
      </c>
    </row>
    <row r="67">
      <c r="A67" s="5" t="s">
        <v>143</v>
      </c>
      <c r="B67" s="6" t="s">
        <v>52</v>
      </c>
      <c r="C67" s="6" t="s">
        <v>146</v>
      </c>
      <c r="D67" s="6" t="s">
        <v>133</v>
      </c>
      <c r="E67" s="6">
        <v>63.0</v>
      </c>
      <c r="F67" s="3">
        <f>IFERROR(__xludf.DUMMYFUNCTION("counta(IFNA(FILTER('Consolidated Sheet'!D:D, 'Consolidated Sheet'!A:A=A67, 'Consolidated Sheet'!D:D=C67)))"),1.0)</f>
        <v>1</v>
      </c>
    </row>
    <row r="68">
      <c r="A68" s="5" t="s">
        <v>143</v>
      </c>
      <c r="B68" s="6" t="s">
        <v>55</v>
      </c>
      <c r="C68" s="6" t="s">
        <v>147</v>
      </c>
      <c r="D68" s="6" t="s">
        <v>148</v>
      </c>
      <c r="E68" s="6">
        <v>63.0</v>
      </c>
      <c r="F68" s="3">
        <f>IFERROR(__xludf.DUMMYFUNCTION("counta(IFNA(FILTER('Consolidated Sheet'!D:D, 'Consolidated Sheet'!A:A=A68, 'Consolidated Sheet'!D:D=C68)))"),1.0)</f>
        <v>1</v>
      </c>
    </row>
    <row r="69">
      <c r="A69" s="5" t="s">
        <v>143</v>
      </c>
      <c r="B69" s="6" t="s">
        <v>58</v>
      </c>
      <c r="C69" s="6" t="s">
        <v>149</v>
      </c>
      <c r="D69" s="6" t="s">
        <v>150</v>
      </c>
      <c r="E69" s="6">
        <v>31.0</v>
      </c>
      <c r="F69" s="3">
        <f>IFERROR(__xludf.DUMMYFUNCTION("counta(IFNA(FILTER('Consolidated Sheet'!D:D, 'Consolidated Sheet'!A:A=A69, 'Consolidated Sheet'!D:D=C69)))"),1.0)</f>
        <v>1</v>
      </c>
    </row>
    <row r="70">
      <c r="A70" s="5" t="s">
        <v>151</v>
      </c>
      <c r="B70" s="6" t="s">
        <v>49</v>
      </c>
      <c r="C70" s="6" t="s">
        <v>152</v>
      </c>
      <c r="D70" s="6" t="s">
        <v>153</v>
      </c>
      <c r="E70" s="6">
        <v>47.0</v>
      </c>
      <c r="F70" s="3">
        <f>IFERROR(__xludf.DUMMYFUNCTION("counta(IFNA(FILTER('Consolidated Sheet'!D:D, 'Consolidated Sheet'!A:A=A70, 'Consolidated Sheet'!D:D=C70)))"),1.0)</f>
        <v>1</v>
      </c>
    </row>
    <row r="71">
      <c r="A71" s="5" t="s">
        <v>151</v>
      </c>
      <c r="B71" s="6" t="s">
        <v>52</v>
      </c>
      <c r="C71" s="6" t="s">
        <v>154</v>
      </c>
      <c r="D71" s="6" t="s">
        <v>155</v>
      </c>
      <c r="E71" s="6">
        <v>65.0</v>
      </c>
      <c r="F71" s="3">
        <f>IFERROR(__xludf.DUMMYFUNCTION("counta(IFNA(FILTER('Consolidated Sheet'!D:D, 'Consolidated Sheet'!A:A=A71, 'Consolidated Sheet'!D:D=C71)))"),1.0)</f>
        <v>1</v>
      </c>
    </row>
    <row r="72">
      <c r="A72" s="5" t="s">
        <v>151</v>
      </c>
      <c r="B72" s="6" t="s">
        <v>55</v>
      </c>
      <c r="C72" s="6" t="s">
        <v>156</v>
      </c>
      <c r="D72" s="6" t="s">
        <v>148</v>
      </c>
      <c r="E72" s="6">
        <v>65.0</v>
      </c>
      <c r="F72" s="3">
        <f>IFERROR(__xludf.DUMMYFUNCTION("counta(IFNA(FILTER('Consolidated Sheet'!D:D, 'Consolidated Sheet'!A:A=A72, 'Consolidated Sheet'!D:D=C72)))"),1.0)</f>
        <v>1</v>
      </c>
    </row>
    <row r="73">
      <c r="A73" s="5" t="s">
        <v>151</v>
      </c>
      <c r="B73" s="6" t="s">
        <v>58</v>
      </c>
      <c r="C73" s="6" t="s">
        <v>157</v>
      </c>
      <c r="D73" s="6" t="s">
        <v>72</v>
      </c>
      <c r="E73" s="6">
        <v>29.0</v>
      </c>
      <c r="F73" s="3">
        <f>IFERROR(__xludf.DUMMYFUNCTION("counta(IFNA(FILTER('Consolidated Sheet'!D:D, 'Consolidated Sheet'!A:A=A73, 'Consolidated Sheet'!D:D=C73)))"),1.0)</f>
        <v>1</v>
      </c>
    </row>
    <row r="74">
      <c r="A74" s="5" t="s">
        <v>27</v>
      </c>
      <c r="B74" s="6" t="s">
        <v>49</v>
      </c>
      <c r="C74" s="6" t="s">
        <v>158</v>
      </c>
      <c r="D74" s="6" t="s">
        <v>159</v>
      </c>
      <c r="E74" s="6">
        <v>26.0</v>
      </c>
      <c r="F74" s="3">
        <f>IFERROR(__xludf.DUMMYFUNCTION("counta(IFNA(FILTER('Consolidated Sheet'!D:D, 'Consolidated Sheet'!A:A=A74, 'Consolidated Sheet'!D:D=C74)))"),1.0)</f>
        <v>1</v>
      </c>
    </row>
    <row r="75">
      <c r="A75" s="5" t="s">
        <v>27</v>
      </c>
      <c r="B75" s="6" t="s">
        <v>86</v>
      </c>
      <c r="C75" s="6" t="s">
        <v>160</v>
      </c>
      <c r="D75" s="6" t="s">
        <v>161</v>
      </c>
      <c r="E75" s="6">
        <v>26.0</v>
      </c>
      <c r="F75" s="3">
        <f>IFERROR(__xludf.DUMMYFUNCTION("counta(IFNA(FILTER('Consolidated Sheet'!D:D, 'Consolidated Sheet'!A:A=A75, 'Consolidated Sheet'!D:D=C75)))"),1.0)</f>
        <v>1</v>
      </c>
    </row>
    <row r="76">
      <c r="A76" s="5" t="s">
        <v>27</v>
      </c>
      <c r="B76" s="6" t="s">
        <v>52</v>
      </c>
      <c r="C76" s="6" t="s">
        <v>162</v>
      </c>
      <c r="D76" s="6" t="s">
        <v>163</v>
      </c>
      <c r="E76" s="6">
        <v>64.0</v>
      </c>
      <c r="F76" s="3">
        <f>IFERROR(__xludf.DUMMYFUNCTION("counta(IFNA(FILTER('Consolidated Sheet'!D:D, 'Consolidated Sheet'!A:A=A76, 'Consolidated Sheet'!D:D=C76)))"),1.0)</f>
        <v>1</v>
      </c>
    </row>
    <row r="77">
      <c r="A77" s="5" t="s">
        <v>27</v>
      </c>
      <c r="B77" s="6" t="s">
        <v>55</v>
      </c>
      <c r="C77" s="6" t="s">
        <v>164</v>
      </c>
      <c r="D77" s="6" t="s">
        <v>165</v>
      </c>
      <c r="E77" s="6">
        <v>64.0</v>
      </c>
      <c r="F77" s="3">
        <f>IFERROR(__xludf.DUMMYFUNCTION("counta(IFNA(FILTER('Consolidated Sheet'!D:D, 'Consolidated Sheet'!A:A=A77, 'Consolidated Sheet'!D:D=C77)))"),1.0)</f>
        <v>1</v>
      </c>
    </row>
    <row r="78">
      <c r="A78" s="7" t="s">
        <v>27</v>
      </c>
      <c r="B78" s="8" t="s">
        <v>58</v>
      </c>
      <c r="C78" s="8" t="s">
        <v>166</v>
      </c>
      <c r="D78" s="8" t="s">
        <v>167</v>
      </c>
      <c r="E78" s="8">
        <v>5.0</v>
      </c>
      <c r="F78" s="9">
        <f>IFERROR(__xludf.DUMMYFUNCTION("counta(IFNA(FILTER('Consolidated Sheet'!D:D, 'Consolidated Sheet'!A:A=A78, 'Consolidated Sheet'!D:D=C78)))"),0.0)</f>
        <v>0</v>
      </c>
    </row>
    <row r="79">
      <c r="A79" s="5" t="s">
        <v>32</v>
      </c>
      <c r="B79" s="6" t="s">
        <v>49</v>
      </c>
      <c r="C79" s="6" t="s">
        <v>168</v>
      </c>
      <c r="D79" s="6" t="s">
        <v>169</v>
      </c>
      <c r="E79" s="6">
        <v>183.0</v>
      </c>
      <c r="F79" s="3">
        <f>IFERROR(__xludf.DUMMYFUNCTION("counta(IFNA(FILTER('Consolidated Sheet'!D:D, 'Consolidated Sheet'!A:A=A79, 'Consolidated Sheet'!D:D=C79)))"),3.0)</f>
        <v>3</v>
      </c>
    </row>
    <row r="80">
      <c r="A80" s="5" t="s">
        <v>32</v>
      </c>
      <c r="B80" s="6" t="s">
        <v>86</v>
      </c>
      <c r="C80" s="6" t="s">
        <v>170</v>
      </c>
      <c r="D80" s="6" t="s">
        <v>171</v>
      </c>
      <c r="E80" s="6">
        <v>22.0</v>
      </c>
      <c r="F80" s="3">
        <f>IFERROR(__xludf.DUMMYFUNCTION("counta(IFNA(FILTER('Consolidated Sheet'!D:D, 'Consolidated Sheet'!A:A=A80, 'Consolidated Sheet'!D:D=C80)))"),1.0)</f>
        <v>1</v>
      </c>
    </row>
    <row r="81">
      <c r="A81" s="5" t="s">
        <v>32</v>
      </c>
      <c r="B81" s="6" t="s">
        <v>52</v>
      </c>
      <c r="C81" s="6" t="s">
        <v>172</v>
      </c>
      <c r="D81" s="6" t="s">
        <v>173</v>
      </c>
      <c r="E81" s="6">
        <v>161.0</v>
      </c>
      <c r="F81" s="3">
        <f>IFERROR(__xludf.DUMMYFUNCTION("counta(IFNA(FILTER('Consolidated Sheet'!D:D, 'Consolidated Sheet'!A:A=A81, 'Consolidated Sheet'!D:D=C81)))"),3.0)</f>
        <v>3</v>
      </c>
    </row>
    <row r="82">
      <c r="A82" s="5" t="s">
        <v>32</v>
      </c>
      <c r="B82" s="6" t="s">
        <v>52</v>
      </c>
      <c r="C82" s="6" t="s">
        <v>174</v>
      </c>
      <c r="D82" s="6" t="s">
        <v>175</v>
      </c>
      <c r="E82" s="6">
        <v>95.0</v>
      </c>
      <c r="F82" s="3">
        <f>IFERROR(__xludf.DUMMYFUNCTION("counta(IFNA(FILTER('Consolidated Sheet'!D:D, 'Consolidated Sheet'!A:A=A82, 'Consolidated Sheet'!D:D=C82)))"),2.0)</f>
        <v>2</v>
      </c>
    </row>
    <row r="83">
      <c r="A83" s="5" t="s">
        <v>32</v>
      </c>
      <c r="B83" s="6" t="s">
        <v>55</v>
      </c>
      <c r="C83" s="6" t="s">
        <v>176</v>
      </c>
      <c r="D83" s="6" t="s">
        <v>177</v>
      </c>
      <c r="E83" s="6">
        <v>40.0</v>
      </c>
      <c r="F83" s="3">
        <f>IFERROR(__xludf.DUMMYFUNCTION("counta(IFNA(FILTER('Consolidated Sheet'!D:D, 'Consolidated Sheet'!A:A=A83, 'Consolidated Sheet'!D:D=C83)))"),1.0)</f>
        <v>1</v>
      </c>
    </row>
    <row r="84">
      <c r="A84" s="5" t="s">
        <v>32</v>
      </c>
      <c r="B84" s="6" t="s">
        <v>55</v>
      </c>
      <c r="C84" s="6" t="s">
        <v>178</v>
      </c>
      <c r="D84" s="6" t="s">
        <v>179</v>
      </c>
      <c r="E84" s="6">
        <v>216.0</v>
      </c>
      <c r="F84" s="3">
        <f>IFERROR(__xludf.DUMMYFUNCTION("counta(IFNA(FILTER('Consolidated Sheet'!D:D, 'Consolidated Sheet'!A:A=A84, 'Consolidated Sheet'!D:D=C84)))"),4.0)</f>
        <v>4</v>
      </c>
    </row>
    <row r="85">
      <c r="A85" s="7" t="s">
        <v>32</v>
      </c>
      <c r="B85" s="8" t="s">
        <v>58</v>
      </c>
      <c r="C85" s="8" t="s">
        <v>180</v>
      </c>
      <c r="D85" s="8" t="s">
        <v>181</v>
      </c>
      <c r="E85" s="8">
        <v>4.0</v>
      </c>
      <c r="F85" s="9">
        <f>IFERROR(__xludf.DUMMYFUNCTION("counta(IFNA(FILTER('Consolidated Sheet'!D:D, 'Consolidated Sheet'!A:A=A85, 'Consolidated Sheet'!D:D=C85)))"),0.0)</f>
        <v>0</v>
      </c>
    </row>
    <row r="86">
      <c r="A86" s="7" t="s">
        <v>32</v>
      </c>
      <c r="B86" s="8" t="s">
        <v>58</v>
      </c>
      <c r="C86" s="8" t="s">
        <v>182</v>
      </c>
      <c r="D86" s="8" t="e">
        <v>#N/A</v>
      </c>
      <c r="E86" s="8">
        <v>0.0</v>
      </c>
      <c r="F86" s="9">
        <f>IFERROR(__xludf.DUMMYFUNCTION("counta(IFNA(FILTER('Consolidated Sheet'!D:D, 'Consolidated Sheet'!A:A=A86, 'Consolidated Sheet'!D:D=C86)))"),0.0)</f>
        <v>0</v>
      </c>
    </row>
    <row r="87">
      <c r="A87" s="5" t="s">
        <v>37</v>
      </c>
      <c r="B87" s="6" t="s">
        <v>49</v>
      </c>
      <c r="C87" s="6" t="s">
        <v>183</v>
      </c>
      <c r="D87" s="6" t="s">
        <v>184</v>
      </c>
      <c r="E87" s="6">
        <v>31.0</v>
      </c>
      <c r="F87" s="3">
        <f>IFERROR(__xludf.DUMMYFUNCTION("counta(IFNA(FILTER('Consolidated Sheet'!D:D, 'Consolidated Sheet'!A:A=A87, 'Consolidated Sheet'!D:D=C87)))"),1.0)</f>
        <v>1</v>
      </c>
    </row>
    <row r="88">
      <c r="A88" s="5" t="s">
        <v>37</v>
      </c>
      <c r="B88" s="6" t="s">
        <v>86</v>
      </c>
      <c r="C88" s="6" t="s">
        <v>185</v>
      </c>
      <c r="D88" s="6" t="s">
        <v>186</v>
      </c>
      <c r="E88" s="6">
        <v>18.0</v>
      </c>
      <c r="F88" s="3">
        <f>IFERROR(__xludf.DUMMYFUNCTION("counta(IFNA(FILTER('Consolidated Sheet'!D:D, 'Consolidated Sheet'!A:A=A88, 'Consolidated Sheet'!D:D=C88)))"),1.0)</f>
        <v>1</v>
      </c>
    </row>
    <row r="89">
      <c r="A89" s="5" t="s">
        <v>37</v>
      </c>
      <c r="B89" s="6" t="s">
        <v>52</v>
      </c>
      <c r="C89" s="6" t="s">
        <v>187</v>
      </c>
      <c r="D89" s="6" t="s">
        <v>188</v>
      </c>
      <c r="E89" s="6">
        <v>64.0</v>
      </c>
      <c r="F89" s="3">
        <f>IFERROR(__xludf.DUMMYFUNCTION("counta(IFNA(FILTER('Consolidated Sheet'!D:D, 'Consolidated Sheet'!A:A=A89, 'Consolidated Sheet'!D:D=C89)))"),1.0)</f>
        <v>1</v>
      </c>
    </row>
    <row r="90">
      <c r="A90" s="5" t="s">
        <v>37</v>
      </c>
      <c r="B90" s="6" t="s">
        <v>55</v>
      </c>
      <c r="C90" s="6" t="s">
        <v>189</v>
      </c>
      <c r="D90" s="6" t="s">
        <v>190</v>
      </c>
      <c r="E90" s="6">
        <v>64.0</v>
      </c>
      <c r="F90" s="3">
        <f>IFERROR(__xludf.DUMMYFUNCTION("counta(IFNA(FILTER('Consolidated Sheet'!D:D, 'Consolidated Sheet'!A:A=A90, 'Consolidated Sheet'!D:D=C90)))"),1.0)</f>
        <v>1</v>
      </c>
    </row>
    <row r="91">
      <c r="A91" s="5" t="s">
        <v>37</v>
      </c>
      <c r="B91" s="6" t="s">
        <v>58</v>
      </c>
      <c r="C91" s="6" t="s">
        <v>191</v>
      </c>
      <c r="D91" s="6" t="s">
        <v>192</v>
      </c>
      <c r="E91" s="6">
        <v>43.0</v>
      </c>
      <c r="F91" s="3">
        <f>IFERROR(__xludf.DUMMYFUNCTION("counta(IFNA(FILTER('Consolidated Sheet'!D:D, 'Consolidated Sheet'!A:A=A91, 'Consolidated Sheet'!D:D=C91)))"),1.0)</f>
        <v>1</v>
      </c>
    </row>
    <row r="92">
      <c r="A92" s="5" t="s">
        <v>193</v>
      </c>
      <c r="B92" s="6" t="s">
        <v>52</v>
      </c>
      <c r="C92" s="6" t="s">
        <v>194</v>
      </c>
      <c r="D92" s="6" t="s">
        <v>195</v>
      </c>
      <c r="E92" s="6">
        <v>20.0</v>
      </c>
      <c r="F92" s="3">
        <f>IFERROR(__xludf.DUMMYFUNCTION("counta(IFNA(FILTER('Consolidated Sheet'!D:D, 'Consolidated Sheet'!A:A=A92, 'Consolidated Sheet'!D:D=C92)))"),1.0)</f>
        <v>1</v>
      </c>
    </row>
    <row r="93">
      <c r="A93" s="5" t="s">
        <v>193</v>
      </c>
      <c r="B93" s="6" t="s">
        <v>55</v>
      </c>
      <c r="C93" s="6" t="s">
        <v>196</v>
      </c>
      <c r="D93" s="6" t="s">
        <v>197</v>
      </c>
      <c r="E93" s="6">
        <v>20.0</v>
      </c>
      <c r="F93" s="3">
        <f>IFERROR(__xludf.DUMMYFUNCTION("counta(IFNA(FILTER('Consolidated Sheet'!D:D, 'Consolidated Sheet'!A:A=A93, 'Consolidated Sheet'!D:D=C93)))"),1.0)</f>
        <v>1</v>
      </c>
    </row>
    <row r="94">
      <c r="A94" s="5" t="s">
        <v>193</v>
      </c>
      <c r="B94" s="6" t="s">
        <v>58</v>
      </c>
      <c r="C94" s="6" t="s">
        <v>198</v>
      </c>
      <c r="D94" s="6" t="s">
        <v>199</v>
      </c>
      <c r="E94" s="6">
        <v>20.0</v>
      </c>
      <c r="F94" s="3">
        <f>IFERROR(__xludf.DUMMYFUNCTION("counta(IFNA(FILTER('Consolidated Sheet'!D:D, 'Consolidated Sheet'!A:A=A94, 'Consolidated Sheet'!D:D=C94)))"),1.0)</f>
        <v>1</v>
      </c>
    </row>
    <row r="95">
      <c r="A95" s="5" t="s">
        <v>200</v>
      </c>
      <c r="B95" s="6" t="s">
        <v>49</v>
      </c>
      <c r="C95" s="6" t="s">
        <v>201</v>
      </c>
      <c r="D95" s="6" t="s">
        <v>202</v>
      </c>
      <c r="E95" s="6">
        <v>42.0</v>
      </c>
      <c r="F95" s="3">
        <f>IFERROR(__xludf.DUMMYFUNCTION("counta(IFNA(FILTER('Consolidated Sheet'!D:D, 'Consolidated Sheet'!A:A=A95, 'Consolidated Sheet'!D:D=C95)))"),1.0)</f>
        <v>1</v>
      </c>
    </row>
    <row r="96">
      <c r="A96" s="5" t="s">
        <v>200</v>
      </c>
      <c r="B96" s="6" t="s">
        <v>52</v>
      </c>
      <c r="C96" s="6" t="s">
        <v>203</v>
      </c>
      <c r="D96" s="6" t="s">
        <v>204</v>
      </c>
      <c r="E96" s="6">
        <v>50.0</v>
      </c>
      <c r="F96" s="3">
        <f>IFERROR(__xludf.DUMMYFUNCTION("counta(IFNA(FILTER('Consolidated Sheet'!D:D, 'Consolidated Sheet'!A:A=A96, 'Consolidated Sheet'!D:D=C96)))"),1.0)</f>
        <v>1</v>
      </c>
    </row>
    <row r="97">
      <c r="A97" s="5" t="s">
        <v>200</v>
      </c>
      <c r="B97" s="6" t="s">
        <v>55</v>
      </c>
      <c r="C97" s="6" t="s">
        <v>205</v>
      </c>
      <c r="D97" s="6" t="s">
        <v>206</v>
      </c>
      <c r="E97" s="6">
        <v>50.0</v>
      </c>
      <c r="F97" s="3">
        <f>IFERROR(__xludf.DUMMYFUNCTION("counta(IFNA(FILTER('Consolidated Sheet'!D:D, 'Consolidated Sheet'!A:A=A97, 'Consolidated Sheet'!D:D=C97)))"),1.0)</f>
        <v>1</v>
      </c>
    </row>
    <row r="98">
      <c r="A98" s="5" t="s">
        <v>200</v>
      </c>
      <c r="B98" s="6" t="s">
        <v>58</v>
      </c>
      <c r="C98" s="6" t="s">
        <v>207</v>
      </c>
      <c r="D98" s="6" t="s">
        <v>208</v>
      </c>
      <c r="E98" s="6">
        <v>50.0</v>
      </c>
      <c r="F98" s="3">
        <f>IFERROR(__xludf.DUMMYFUNCTION("counta(IFNA(FILTER('Consolidated Sheet'!D:D, 'Consolidated Sheet'!A:A=A98, 'Consolidated Sheet'!D:D=C98)))"),1.0)</f>
        <v>1</v>
      </c>
    </row>
    <row r="99">
      <c r="A99" s="5" t="s">
        <v>209</v>
      </c>
      <c r="B99" s="6" t="s">
        <v>49</v>
      </c>
      <c r="C99" s="6" t="s">
        <v>210</v>
      </c>
      <c r="D99" s="6" t="s">
        <v>211</v>
      </c>
      <c r="E99" s="6">
        <v>29.0</v>
      </c>
      <c r="F99" s="3">
        <f>IFERROR(__xludf.DUMMYFUNCTION("counta(IFNA(FILTER('Consolidated Sheet'!D:D, 'Consolidated Sheet'!A:A=A99, 'Consolidated Sheet'!D:D=C99)))"),1.0)</f>
        <v>1</v>
      </c>
    </row>
    <row r="100">
      <c r="A100" s="5" t="s">
        <v>209</v>
      </c>
      <c r="B100" s="6" t="s">
        <v>52</v>
      </c>
      <c r="C100" s="6" t="s">
        <v>212</v>
      </c>
      <c r="D100" s="6" t="s">
        <v>155</v>
      </c>
      <c r="E100" s="6">
        <v>55.0</v>
      </c>
      <c r="F100" s="3">
        <f>IFERROR(__xludf.DUMMYFUNCTION("counta(IFNA(FILTER('Consolidated Sheet'!D:D, 'Consolidated Sheet'!A:A=A100, 'Consolidated Sheet'!D:D=C100)))"),1.0)</f>
        <v>1</v>
      </c>
    </row>
    <row r="101">
      <c r="A101" s="5" t="s">
        <v>209</v>
      </c>
      <c r="B101" s="6" t="s">
        <v>55</v>
      </c>
      <c r="C101" s="6" t="s">
        <v>213</v>
      </c>
      <c r="D101" s="6" t="s">
        <v>214</v>
      </c>
      <c r="E101" s="6">
        <v>55.0</v>
      </c>
      <c r="F101" s="3">
        <f>IFERROR(__xludf.DUMMYFUNCTION("counta(IFNA(FILTER('Consolidated Sheet'!D:D, 'Consolidated Sheet'!A:A=A101, 'Consolidated Sheet'!D:D=C101)))"),1.0)</f>
        <v>1</v>
      </c>
    </row>
    <row r="102">
      <c r="A102" s="5" t="s">
        <v>209</v>
      </c>
      <c r="B102" s="6" t="s">
        <v>58</v>
      </c>
      <c r="C102" s="6" t="s">
        <v>215</v>
      </c>
      <c r="D102" s="6" t="s">
        <v>82</v>
      </c>
      <c r="E102" s="6">
        <v>29.0</v>
      </c>
      <c r="F102" s="3">
        <f>IFERROR(__xludf.DUMMYFUNCTION("counta(IFNA(FILTER('Consolidated Sheet'!D:D, 'Consolidated Sheet'!A:A=A102, 'Consolidated Sheet'!D:D=C102)))"),1.0)</f>
        <v>1</v>
      </c>
    </row>
    <row r="103">
      <c r="A103" s="5" t="s">
        <v>40</v>
      </c>
      <c r="B103" s="6" t="s">
        <v>49</v>
      </c>
      <c r="C103" s="6" t="s">
        <v>216</v>
      </c>
      <c r="D103" s="6" t="s">
        <v>153</v>
      </c>
      <c r="E103" s="6">
        <v>121.0</v>
      </c>
      <c r="F103" s="3">
        <f>IFERROR(__xludf.DUMMYFUNCTION("counta(IFNA(FILTER('Consolidated Sheet'!D:D, 'Consolidated Sheet'!A:A=A103, 'Consolidated Sheet'!D:D=C103)))"),2.0)</f>
        <v>2</v>
      </c>
    </row>
    <row r="104">
      <c r="A104" s="7" t="s">
        <v>40</v>
      </c>
      <c r="B104" s="8" t="s">
        <v>86</v>
      </c>
      <c r="C104" s="8" t="s">
        <v>217</v>
      </c>
      <c r="D104" s="8" t="s">
        <v>218</v>
      </c>
      <c r="E104" s="8">
        <v>4.0</v>
      </c>
      <c r="F104" s="9">
        <f>IFERROR(__xludf.DUMMYFUNCTION("counta(IFNA(FILTER('Consolidated Sheet'!D:D, 'Consolidated Sheet'!A:A=A104, 'Consolidated Sheet'!D:D=C104)))"),0.0)</f>
        <v>0</v>
      </c>
    </row>
    <row r="105">
      <c r="A105" s="5" t="s">
        <v>40</v>
      </c>
      <c r="B105" s="6" t="s">
        <v>52</v>
      </c>
      <c r="C105" s="6" t="s">
        <v>219</v>
      </c>
      <c r="D105" s="6" t="s">
        <v>78</v>
      </c>
      <c r="E105" s="6">
        <v>115.0</v>
      </c>
      <c r="F105" s="3">
        <f>IFERROR(__xludf.DUMMYFUNCTION("counta(IFNA(FILTER('Consolidated Sheet'!D:D, 'Consolidated Sheet'!A:A=A105, 'Consolidated Sheet'!D:D=C105)))"),2.0)</f>
        <v>2</v>
      </c>
    </row>
    <row r="106">
      <c r="A106" s="5" t="s">
        <v>40</v>
      </c>
      <c r="B106" s="6" t="s">
        <v>52</v>
      </c>
      <c r="C106" s="6" t="s">
        <v>220</v>
      </c>
      <c r="D106" s="6" t="s">
        <v>155</v>
      </c>
      <c r="E106" s="6">
        <v>79.0</v>
      </c>
      <c r="F106" s="3">
        <f>IFERROR(__xludf.DUMMYFUNCTION("counta(IFNA(FILTER('Consolidated Sheet'!D:D, 'Consolidated Sheet'!A:A=A106, 'Consolidated Sheet'!D:D=C106)))"),2.0)</f>
        <v>2</v>
      </c>
    </row>
    <row r="107">
      <c r="A107" s="5" t="s">
        <v>40</v>
      </c>
      <c r="B107" s="6" t="s">
        <v>55</v>
      </c>
      <c r="C107" s="6" t="s">
        <v>221</v>
      </c>
      <c r="D107" s="6" t="s">
        <v>68</v>
      </c>
      <c r="E107" s="6">
        <v>144.0</v>
      </c>
      <c r="F107" s="3">
        <f>IFERROR(__xludf.DUMMYFUNCTION("counta(IFNA(FILTER('Consolidated Sheet'!D:D, 'Consolidated Sheet'!A:A=A107, 'Consolidated Sheet'!D:D=C107)))"),3.0)</f>
        <v>3</v>
      </c>
    </row>
    <row r="108">
      <c r="A108" s="5" t="s">
        <v>40</v>
      </c>
      <c r="B108" s="6" t="s">
        <v>55</v>
      </c>
      <c r="C108" s="6" t="s">
        <v>222</v>
      </c>
      <c r="D108" s="6" t="s">
        <v>223</v>
      </c>
      <c r="E108" s="6">
        <v>50.0</v>
      </c>
      <c r="F108" s="3">
        <f>IFERROR(__xludf.DUMMYFUNCTION("counta(IFNA(FILTER('Consolidated Sheet'!D:D, 'Consolidated Sheet'!A:A=A108, 'Consolidated Sheet'!D:D=C108)))"),2.0)</f>
        <v>2</v>
      </c>
    </row>
    <row r="109">
      <c r="A109" s="5" t="s">
        <v>40</v>
      </c>
      <c r="B109" s="6" t="s">
        <v>58</v>
      </c>
      <c r="C109" s="6" t="s">
        <v>224</v>
      </c>
      <c r="D109" s="6" t="s">
        <v>225</v>
      </c>
      <c r="E109" s="6">
        <v>30.0</v>
      </c>
      <c r="F109" s="3">
        <f>IFERROR(__xludf.DUMMYFUNCTION("counta(IFNA(FILTER('Consolidated Sheet'!D:D, 'Consolidated Sheet'!A:A=A109, 'Consolidated Sheet'!D:D=C109)))"),1.0)</f>
        <v>1</v>
      </c>
    </row>
    <row r="110">
      <c r="A110" s="5" t="s">
        <v>40</v>
      </c>
      <c r="B110" s="6" t="s">
        <v>58</v>
      </c>
      <c r="C110" s="6" t="s">
        <v>226</v>
      </c>
      <c r="D110" s="6" t="s">
        <v>133</v>
      </c>
      <c r="E110" s="6">
        <v>81.0</v>
      </c>
      <c r="F110" s="3">
        <f>IFERROR(__xludf.DUMMYFUNCTION("counta(IFNA(FILTER('Consolidated Sheet'!D:D, 'Consolidated Sheet'!A:A=A110, 'Consolidated Sheet'!D:D=C110)))"),2.0)</f>
        <v>2</v>
      </c>
    </row>
    <row r="111">
      <c r="A111" s="5" t="s">
        <v>43</v>
      </c>
      <c r="B111" s="6" t="s">
        <v>49</v>
      </c>
      <c r="C111" s="6" t="s">
        <v>227</v>
      </c>
      <c r="D111" s="6" t="s">
        <v>228</v>
      </c>
      <c r="E111" s="6">
        <v>10.0</v>
      </c>
      <c r="F111" s="3">
        <f>IFERROR(__xludf.DUMMYFUNCTION("counta(IFNA(FILTER('Consolidated Sheet'!D:D, 'Consolidated Sheet'!A:A=A111, 'Consolidated Sheet'!D:D=C111)))"),1.0)</f>
        <v>1</v>
      </c>
    </row>
    <row r="112">
      <c r="A112" s="5" t="s">
        <v>43</v>
      </c>
      <c r="B112" s="6" t="s">
        <v>49</v>
      </c>
      <c r="C112" s="6" t="s">
        <v>229</v>
      </c>
      <c r="D112" s="6" t="s">
        <v>230</v>
      </c>
      <c r="E112" s="6">
        <v>34.0</v>
      </c>
      <c r="F112" s="3">
        <f>IFERROR(__xludf.DUMMYFUNCTION("counta(IFNA(FILTER('Consolidated Sheet'!D:D, 'Consolidated Sheet'!A:A=A112, 'Consolidated Sheet'!D:D=C112)))"),1.0)</f>
        <v>1</v>
      </c>
    </row>
    <row r="113">
      <c r="A113" s="5" t="s">
        <v>43</v>
      </c>
      <c r="B113" s="6" t="s">
        <v>86</v>
      </c>
      <c r="C113" s="6" t="s">
        <v>231</v>
      </c>
      <c r="D113" s="6" t="s">
        <v>232</v>
      </c>
      <c r="E113" s="6">
        <v>201.0</v>
      </c>
      <c r="F113" s="3">
        <f>IFERROR(__xludf.DUMMYFUNCTION("counta(IFNA(FILTER('Consolidated Sheet'!D:D, 'Consolidated Sheet'!A:A=A113, 'Consolidated Sheet'!D:D=C113)))"),3.0)</f>
        <v>3</v>
      </c>
    </row>
    <row r="114">
      <c r="A114" s="5" t="s">
        <v>43</v>
      </c>
      <c r="B114" s="6" t="s">
        <v>86</v>
      </c>
      <c r="C114" s="6" t="s">
        <v>233</v>
      </c>
      <c r="D114" s="6" t="s">
        <v>234</v>
      </c>
      <c r="E114" s="6">
        <v>63.0</v>
      </c>
      <c r="F114" s="3">
        <f>IFERROR(__xludf.DUMMYFUNCTION("counta(IFNA(FILTER('Consolidated Sheet'!D:D, 'Consolidated Sheet'!A:A=A114, 'Consolidated Sheet'!D:D=C114)))"),1.0)</f>
        <v>1</v>
      </c>
    </row>
    <row r="115">
      <c r="A115" s="5" t="s">
        <v>43</v>
      </c>
      <c r="B115" s="6" t="s">
        <v>52</v>
      </c>
      <c r="C115" s="6" t="s">
        <v>235</v>
      </c>
      <c r="D115" s="6" t="s">
        <v>236</v>
      </c>
      <c r="E115" s="6">
        <v>66.0</v>
      </c>
      <c r="F115" s="3">
        <f>IFERROR(__xludf.DUMMYFUNCTION("counta(IFNA(FILTER('Consolidated Sheet'!D:D, 'Consolidated Sheet'!A:A=A115, 'Consolidated Sheet'!D:D=C115)))"),1.0)</f>
        <v>1</v>
      </c>
    </row>
    <row r="116">
      <c r="A116" s="7" t="s">
        <v>43</v>
      </c>
      <c r="B116" s="8" t="s">
        <v>52</v>
      </c>
      <c r="C116" s="8" t="s">
        <v>237</v>
      </c>
      <c r="D116" s="8" t="e">
        <v>#N/A</v>
      </c>
      <c r="E116" s="8">
        <v>0.0</v>
      </c>
      <c r="F116" s="9">
        <f>IFERROR(__xludf.DUMMYFUNCTION("counta(IFNA(FILTER('Consolidated Sheet'!D:D, 'Consolidated Sheet'!A:A=A116, 'Consolidated Sheet'!D:D=C116)))"),0.0)</f>
        <v>0</v>
      </c>
    </row>
    <row r="117">
      <c r="A117" s="5" t="s">
        <v>43</v>
      </c>
      <c r="B117" s="6" t="s">
        <v>55</v>
      </c>
      <c r="C117" s="6" t="s">
        <v>238</v>
      </c>
      <c r="D117" s="6" t="s">
        <v>239</v>
      </c>
      <c r="E117" s="6">
        <v>24.0</v>
      </c>
      <c r="F117" s="3">
        <f>IFERROR(__xludf.DUMMYFUNCTION("counta(IFNA(FILTER('Consolidated Sheet'!D:D, 'Consolidated Sheet'!A:A=A117, 'Consolidated Sheet'!D:D=C117)))"),1.0)</f>
        <v>1</v>
      </c>
    </row>
    <row r="118">
      <c r="A118" s="5" t="s">
        <v>43</v>
      </c>
      <c r="B118" s="6" t="s">
        <v>55</v>
      </c>
      <c r="C118" s="6" t="s">
        <v>240</v>
      </c>
      <c r="D118" s="6" t="s">
        <v>241</v>
      </c>
      <c r="E118" s="6">
        <v>42.0</v>
      </c>
      <c r="F118" s="3">
        <f>IFERROR(__xludf.DUMMYFUNCTION("counta(IFNA(FILTER('Consolidated Sheet'!D:D, 'Consolidated Sheet'!A:A=A118, 'Consolidated Sheet'!D:D=C118)))"),1.0)</f>
        <v>1</v>
      </c>
    </row>
    <row r="119">
      <c r="A119" s="5" t="s">
        <v>43</v>
      </c>
      <c r="B119" s="6" t="s">
        <v>58</v>
      </c>
      <c r="C119" s="6" t="s">
        <v>242</v>
      </c>
      <c r="D119" s="6" t="s">
        <v>243</v>
      </c>
      <c r="E119" s="6">
        <v>15.0</v>
      </c>
      <c r="F119" s="3">
        <f>IFERROR(__xludf.DUMMYFUNCTION("counta(IFNA(FILTER('Consolidated Sheet'!D:D, 'Consolidated Sheet'!A:A=A119, 'Consolidated Sheet'!D:D=C119)))"),1.0)</f>
        <v>1</v>
      </c>
    </row>
    <row r="120">
      <c r="A120" s="5" t="s">
        <v>43</v>
      </c>
      <c r="B120" s="6" t="s">
        <v>58</v>
      </c>
      <c r="C120" s="6" t="s">
        <v>244</v>
      </c>
      <c r="D120" s="6" t="s">
        <v>245</v>
      </c>
      <c r="E120" s="6">
        <v>34.0</v>
      </c>
      <c r="F120" s="3">
        <f>IFERROR(__xludf.DUMMYFUNCTION("counta(IFNA(FILTER('Consolidated Sheet'!D:D, 'Consolidated Sheet'!A:A=A120, 'Consolidated Sheet'!D:D=C120)))"),1.0)</f>
        <v>1</v>
      </c>
    </row>
    <row r="121">
      <c r="A121" s="5" t="s">
        <v>46</v>
      </c>
      <c r="B121" s="6" t="s">
        <v>49</v>
      </c>
      <c r="C121" s="6" t="s">
        <v>246</v>
      </c>
      <c r="D121" s="6" t="s">
        <v>247</v>
      </c>
      <c r="E121" s="6">
        <v>42.0</v>
      </c>
      <c r="F121" s="3">
        <f>IFERROR(__xludf.DUMMYFUNCTION("counta(IFNA(FILTER('Consolidated Sheet'!D:D, 'Consolidated Sheet'!A:A=A121, 'Consolidated Sheet'!D:D=C121)))"),1.0)</f>
        <v>1</v>
      </c>
    </row>
    <row r="122">
      <c r="A122" s="5" t="s">
        <v>46</v>
      </c>
      <c r="B122" s="6" t="s">
        <v>52</v>
      </c>
      <c r="C122" s="6" t="s">
        <v>248</v>
      </c>
      <c r="D122" s="6" t="s">
        <v>249</v>
      </c>
      <c r="E122" s="6">
        <v>59.0</v>
      </c>
      <c r="F122" s="3">
        <f>IFERROR(__xludf.DUMMYFUNCTION("counta(IFNA(FILTER('Consolidated Sheet'!D:D, 'Consolidated Sheet'!A:A=A122, 'Consolidated Sheet'!D:D=C122)))"),1.0)</f>
        <v>1</v>
      </c>
    </row>
    <row r="123">
      <c r="A123" s="5" t="s">
        <v>46</v>
      </c>
      <c r="B123" s="6" t="s">
        <v>55</v>
      </c>
      <c r="C123" s="6" t="s">
        <v>250</v>
      </c>
      <c r="D123" s="6" t="s">
        <v>251</v>
      </c>
      <c r="E123" s="6">
        <v>59.0</v>
      </c>
      <c r="F123" s="3">
        <f>IFERROR(__xludf.DUMMYFUNCTION("counta(IFNA(FILTER('Consolidated Sheet'!D:D, 'Consolidated Sheet'!A:A=A123, 'Consolidated Sheet'!D:D=C123)))"),0.0)</f>
        <v>0</v>
      </c>
    </row>
    <row r="124">
      <c r="A124" s="7" t="s">
        <v>46</v>
      </c>
      <c r="B124" s="8" t="s">
        <v>58</v>
      </c>
      <c r="C124" s="8" t="s">
        <v>252</v>
      </c>
      <c r="D124" s="8" t="s">
        <v>253</v>
      </c>
      <c r="E124" s="8">
        <v>4.0</v>
      </c>
      <c r="F124" s="9">
        <f>IFERROR(__xludf.DUMMYFUNCTION("counta(IFNA(FILTER('Consolidated Sheet'!D:D, 'Consolidated Sheet'!A:A=A124, 'Consolidated Sheet'!D:D=C124)))"),0.0)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5"/>
    <col customWidth="1" min="5" max="5" width="30.25"/>
    <col customWidth="1" min="6" max="6" width="34.0"/>
    <col customWidth="1" min="7" max="7" width="24.13"/>
    <col customWidth="1" min="8" max="8" width="33.63"/>
    <col customWidth="1" min="9" max="14" width="15.75"/>
    <col customWidth="1" min="15" max="15" width="20.13"/>
    <col customWidth="1" min="16" max="16" width="26.63"/>
    <col customWidth="1" min="17" max="17" width="20.13"/>
  </cols>
  <sheetData>
    <row r="1" ht="42.0" customHeight="1">
      <c r="A1" s="10" t="s">
        <v>254</v>
      </c>
      <c r="B1" s="10" t="s">
        <v>255</v>
      </c>
      <c r="C1" s="10" t="s">
        <v>256</v>
      </c>
      <c r="D1" s="10" t="s">
        <v>257</v>
      </c>
      <c r="E1" s="10" t="s">
        <v>257</v>
      </c>
      <c r="F1" s="11" t="s">
        <v>258</v>
      </c>
      <c r="G1" s="10" t="s">
        <v>259</v>
      </c>
      <c r="H1" s="10" t="s">
        <v>260</v>
      </c>
      <c r="I1" s="10" t="s">
        <v>261</v>
      </c>
      <c r="J1" s="10" t="s">
        <v>262</v>
      </c>
      <c r="K1" s="10" t="s">
        <v>263</v>
      </c>
      <c r="L1" s="10" t="s">
        <v>264</v>
      </c>
      <c r="M1" s="10" t="s">
        <v>265</v>
      </c>
      <c r="N1" s="10" t="s">
        <v>266</v>
      </c>
      <c r="O1" s="10" t="s">
        <v>267</v>
      </c>
      <c r="P1" s="10" t="s">
        <v>268</v>
      </c>
      <c r="Q1" s="10" t="s">
        <v>269</v>
      </c>
    </row>
    <row r="2">
      <c r="A2" s="1">
        <v>1.0</v>
      </c>
      <c r="B2" s="1" t="s">
        <v>270</v>
      </c>
      <c r="C2" s="1" t="s">
        <v>271</v>
      </c>
      <c r="D2" s="1" t="s">
        <v>272</v>
      </c>
      <c r="E2" s="12" t="str">
        <f t="shared" ref="E2:E419" si="1">CONCATENATE(C2,".",D2)</f>
        <v>Mr.RANJITH G</v>
      </c>
      <c r="F2" s="13" t="s">
        <v>273</v>
      </c>
      <c r="G2" s="12" t="s">
        <v>274</v>
      </c>
      <c r="H2" s="12" t="s">
        <v>275</v>
      </c>
      <c r="I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Col2='""&amp;B2&amp;""'"",0)"),2.0)</f>
        <v>2</v>
      </c>
      <c r="J2" s="12">
        <f>IFERROR(__xludf.DUMMYFUNCTION("""COMPUTED_VALUE"""),2.0)</f>
        <v>2</v>
      </c>
      <c r="K2" s="12">
        <f>IFERROR(__xludf.DUMMYFUNCTION("""COMPUTED_VALUE"""),0.0)</f>
        <v>0</v>
      </c>
      <c r="L2" s="12">
        <f>IFERROR(__xludf.DUMMYFUNCTION("""COMPUTED_VALUE"""),0.0)</f>
        <v>0</v>
      </c>
      <c r="M2" s="12" t="str">
        <f>IFERROR(__xludf.DUMMYFUNCTION("""COMPUTED_VALUE"""),"Working")</f>
        <v>Working</v>
      </c>
      <c r="N2" s="12" t="str">
        <f>IFERROR(__xludf.DUMMYFUNCTION("""COMPUTED_VALUE"""),"LOAD PENDING")</f>
        <v>LOAD PENDING</v>
      </c>
      <c r="O2" s="12" t="str">
        <f>IFERROR(__xludf.DUMMYFUNCTION("""COMPUTED_VALUE"""),"LOAD PENDING")</f>
        <v>LOAD PENDING</v>
      </c>
      <c r="P2" s="12" t="str">
        <f t="shared" ref="P2:P419" si="2">IF(K2&gt;I2,"Extra Theory Load Alloted","")</f>
        <v/>
      </c>
      <c r="Q2" s="12" t="str">
        <f t="shared" ref="Q2:Q419" si="3">IF(L2&gt;J2,"Extra Lab Load Alloted","")</f>
        <v/>
      </c>
    </row>
    <row r="3">
      <c r="A3" s="1">
        <v>2.0</v>
      </c>
      <c r="B3" s="1" t="s">
        <v>276</v>
      </c>
      <c r="C3" s="1" t="s">
        <v>277</v>
      </c>
      <c r="D3" s="1" t="s">
        <v>278</v>
      </c>
      <c r="E3" s="12" t="str">
        <f t="shared" si="1"/>
        <v>Dr.ARUN KUMAR R</v>
      </c>
      <c r="F3" s="13" t="s">
        <v>273</v>
      </c>
      <c r="G3" s="12" t="s">
        <v>279</v>
      </c>
      <c r="H3" s="12" t="s">
        <v>280</v>
      </c>
      <c r="I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Col2='""&amp;B3&amp;""'"",0)"),2.0)</f>
        <v>2</v>
      </c>
      <c r="J3" s="12">
        <f>IFERROR(__xludf.DUMMYFUNCTION("""COMPUTED_VALUE"""),2.0)</f>
        <v>2</v>
      </c>
      <c r="K3" s="12">
        <f>IFERROR(__xludf.DUMMYFUNCTION("""COMPUTED_VALUE"""),1.0)</f>
        <v>1</v>
      </c>
      <c r="L3" s="12">
        <f>IFERROR(__xludf.DUMMYFUNCTION("""COMPUTED_VALUE"""),0.0)</f>
        <v>0</v>
      </c>
      <c r="M3" s="12" t="str">
        <f>IFERROR(__xludf.DUMMYFUNCTION("""COMPUTED_VALUE"""),"Working")</f>
        <v>Working</v>
      </c>
      <c r="N3" s="12" t="str">
        <f>IFERROR(__xludf.DUMMYFUNCTION("""COMPUTED_VALUE"""),"LOAD PENDING")</f>
        <v>LOAD PENDING</v>
      </c>
      <c r="O3" s="12" t="str">
        <f>IFERROR(__xludf.DUMMYFUNCTION("""COMPUTED_VALUE"""),"LOAD PENDING")</f>
        <v>LOAD PENDING</v>
      </c>
      <c r="P3" s="12" t="str">
        <f t="shared" si="2"/>
        <v/>
      </c>
      <c r="Q3" s="12" t="str">
        <f t="shared" si="3"/>
        <v/>
      </c>
    </row>
    <row r="4">
      <c r="A4" s="1">
        <v>3.0</v>
      </c>
      <c r="B4" s="1" t="s">
        <v>281</v>
      </c>
      <c r="C4" s="1" t="s">
        <v>277</v>
      </c>
      <c r="D4" s="1" t="s">
        <v>282</v>
      </c>
      <c r="E4" s="12" t="str">
        <f t="shared" si="1"/>
        <v>Dr.ESWARAMOORTHY V</v>
      </c>
      <c r="F4" s="13" t="s">
        <v>273</v>
      </c>
      <c r="G4" s="12" t="s">
        <v>283</v>
      </c>
      <c r="H4" s="12" t="s">
        <v>284</v>
      </c>
      <c r="I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Col2='""&amp;B4&amp;""'"",0)"),2.0)</f>
        <v>2</v>
      </c>
      <c r="J4" s="12">
        <f>IFERROR(__xludf.DUMMYFUNCTION("""COMPUTED_VALUE"""),2.0)</f>
        <v>2</v>
      </c>
      <c r="K4" s="12">
        <f>IFERROR(__xludf.DUMMYFUNCTION("""COMPUTED_VALUE"""),1.0)</f>
        <v>1</v>
      </c>
      <c r="L4" s="12">
        <f>IFERROR(__xludf.DUMMYFUNCTION("""COMPUTED_VALUE"""),0.0)</f>
        <v>0</v>
      </c>
      <c r="M4" s="12" t="str">
        <f>IFERROR(__xludf.DUMMYFUNCTION("""COMPUTED_VALUE"""),"Working")</f>
        <v>Working</v>
      </c>
      <c r="N4" s="12" t="str">
        <f>IFERROR(__xludf.DUMMYFUNCTION("""COMPUTED_VALUE"""),"LOAD PENDING")</f>
        <v>LOAD PENDING</v>
      </c>
      <c r="O4" s="12" t="str">
        <f>IFERROR(__xludf.DUMMYFUNCTION("""COMPUTED_VALUE"""),"LOAD PENDING")</f>
        <v>LOAD PENDING</v>
      </c>
      <c r="P4" s="12" t="str">
        <f t="shared" si="2"/>
        <v/>
      </c>
      <c r="Q4" s="12" t="str">
        <f t="shared" si="3"/>
        <v/>
      </c>
    </row>
    <row r="5">
      <c r="A5" s="1">
        <v>4.0</v>
      </c>
      <c r="B5" s="1" t="s">
        <v>285</v>
      </c>
      <c r="C5" s="1" t="s">
        <v>286</v>
      </c>
      <c r="D5" s="1" t="s">
        <v>287</v>
      </c>
      <c r="E5" s="12" t="str">
        <f t="shared" si="1"/>
        <v>Mrs.NITHYAPRIYA S</v>
      </c>
      <c r="F5" s="13" t="s">
        <v>273</v>
      </c>
      <c r="G5" s="12" t="s">
        <v>274</v>
      </c>
      <c r="H5" s="12" t="s">
        <v>288</v>
      </c>
      <c r="I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Col2='""&amp;B5&amp;""'"",0)"),2.0)</f>
        <v>2</v>
      </c>
      <c r="J5" s="12">
        <f>IFERROR(__xludf.DUMMYFUNCTION("""COMPUTED_VALUE"""),2.0)</f>
        <v>2</v>
      </c>
      <c r="K5" s="12">
        <f>IFERROR(__xludf.DUMMYFUNCTION("""COMPUTED_VALUE"""),2.0)</f>
        <v>2</v>
      </c>
      <c r="L5" s="12">
        <f>IFERROR(__xludf.DUMMYFUNCTION("""COMPUTED_VALUE"""),1.0)</f>
        <v>1</v>
      </c>
      <c r="M5" s="12" t="str">
        <f>IFERROR(__xludf.DUMMYFUNCTION("""COMPUTED_VALUE"""),"Working")</f>
        <v>Working</v>
      </c>
      <c r="N5" s="12" t="str">
        <f>IFERROR(__xludf.DUMMYFUNCTION("""COMPUTED_VALUE"""),"CORRECT")</f>
        <v>CORRECT</v>
      </c>
      <c r="O5" s="12" t="str">
        <f>IFERROR(__xludf.DUMMYFUNCTION("""COMPUTED_VALUE"""),"LOAD PENDING")</f>
        <v>LOAD PENDING</v>
      </c>
      <c r="P5" s="12" t="str">
        <f t="shared" si="2"/>
        <v/>
      </c>
      <c r="Q5" s="12" t="str">
        <f t="shared" si="3"/>
        <v/>
      </c>
    </row>
    <row r="6">
      <c r="A6" s="1">
        <v>5.0</v>
      </c>
      <c r="B6" s="1" t="s">
        <v>289</v>
      </c>
      <c r="C6" s="1" t="s">
        <v>286</v>
      </c>
      <c r="D6" s="1" t="s">
        <v>290</v>
      </c>
      <c r="E6" s="12" t="str">
        <f t="shared" si="1"/>
        <v>Mrs.NISHA DEVI K</v>
      </c>
      <c r="F6" s="13" t="s">
        <v>273</v>
      </c>
      <c r="G6" s="12" t="s">
        <v>291</v>
      </c>
      <c r="H6" s="12" t="s">
        <v>292</v>
      </c>
      <c r="I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Col2='""&amp;B6&amp;""'"",0)"),2.0)</f>
        <v>2</v>
      </c>
      <c r="J6" s="12">
        <f>IFERROR(__xludf.DUMMYFUNCTION("""COMPUTED_VALUE"""),2.0)</f>
        <v>2</v>
      </c>
      <c r="K6" s="12">
        <f>IFERROR(__xludf.DUMMYFUNCTION("""COMPUTED_VALUE"""),2.0)</f>
        <v>2</v>
      </c>
      <c r="L6" s="12">
        <f>IFERROR(__xludf.DUMMYFUNCTION("""COMPUTED_VALUE"""),1.0)</f>
        <v>1</v>
      </c>
      <c r="M6" s="12" t="str">
        <f>IFERROR(__xludf.DUMMYFUNCTION("""COMPUTED_VALUE"""),"Working")</f>
        <v>Working</v>
      </c>
      <c r="N6" s="12" t="str">
        <f>IFERROR(__xludf.DUMMYFUNCTION("""COMPUTED_VALUE"""),"CORRECT")</f>
        <v>CORRECT</v>
      </c>
      <c r="O6" s="12" t="str">
        <f>IFERROR(__xludf.DUMMYFUNCTION("""COMPUTED_VALUE"""),"LOAD PENDING")</f>
        <v>LOAD PENDING</v>
      </c>
      <c r="P6" s="12" t="str">
        <f t="shared" si="2"/>
        <v/>
      </c>
      <c r="Q6" s="12" t="str">
        <f t="shared" si="3"/>
        <v/>
      </c>
    </row>
    <row r="7">
      <c r="A7" s="1">
        <v>6.0</v>
      </c>
      <c r="B7" s="1" t="s">
        <v>293</v>
      </c>
      <c r="C7" s="1" t="s">
        <v>271</v>
      </c>
      <c r="D7" s="1" t="s">
        <v>294</v>
      </c>
      <c r="E7" s="12" t="str">
        <f t="shared" si="1"/>
        <v>Mr.BALASAMY K</v>
      </c>
      <c r="F7" s="13" t="s">
        <v>273</v>
      </c>
      <c r="G7" s="12" t="s">
        <v>274</v>
      </c>
      <c r="H7" s="12" t="s">
        <v>295</v>
      </c>
      <c r="I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Col2='""&amp;B7&amp;""'"",0)"),2.0)</f>
        <v>2</v>
      </c>
      <c r="J7" s="12">
        <f>IFERROR(__xludf.DUMMYFUNCTION("""COMPUTED_VALUE"""),2.0)</f>
        <v>2</v>
      </c>
      <c r="K7" s="12">
        <f>IFERROR(__xludf.DUMMYFUNCTION("""COMPUTED_VALUE"""),2.0)</f>
        <v>2</v>
      </c>
      <c r="L7" s="12">
        <f>IFERROR(__xludf.DUMMYFUNCTION("""COMPUTED_VALUE"""),1.0)</f>
        <v>1</v>
      </c>
      <c r="M7" s="12" t="str">
        <f>IFERROR(__xludf.DUMMYFUNCTION("""COMPUTED_VALUE"""),"Working")</f>
        <v>Working</v>
      </c>
      <c r="N7" s="12" t="str">
        <f>IFERROR(__xludf.DUMMYFUNCTION("""COMPUTED_VALUE"""),"CORRECT")</f>
        <v>CORRECT</v>
      </c>
      <c r="O7" s="12" t="str">
        <f>IFERROR(__xludf.DUMMYFUNCTION("""COMPUTED_VALUE"""),"LOAD PENDING")</f>
        <v>LOAD PENDING</v>
      </c>
      <c r="P7" s="12" t="str">
        <f t="shared" si="2"/>
        <v/>
      </c>
      <c r="Q7" s="12" t="str">
        <f t="shared" si="3"/>
        <v/>
      </c>
    </row>
    <row r="8">
      <c r="A8" s="1">
        <v>7.0</v>
      </c>
      <c r="B8" s="1" t="s">
        <v>296</v>
      </c>
      <c r="C8" s="1" t="s">
        <v>271</v>
      </c>
      <c r="D8" s="1" t="s">
        <v>297</v>
      </c>
      <c r="E8" s="12" t="str">
        <f t="shared" si="1"/>
        <v>Mr.PRABANAND S C</v>
      </c>
      <c r="F8" s="13" t="s">
        <v>273</v>
      </c>
      <c r="G8" s="12" t="s">
        <v>274</v>
      </c>
      <c r="H8" s="12" t="s">
        <v>298</v>
      </c>
      <c r="I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Col2='""&amp;B8&amp;""'"",0)"),2.0)</f>
        <v>2</v>
      </c>
      <c r="J8" s="12">
        <f>IFERROR(__xludf.DUMMYFUNCTION("""COMPUTED_VALUE"""),2.0)</f>
        <v>2</v>
      </c>
      <c r="K8" s="12">
        <f>IFERROR(__xludf.DUMMYFUNCTION("""COMPUTED_VALUE"""),0.0)</f>
        <v>0</v>
      </c>
      <c r="L8" s="12">
        <f>IFERROR(__xludf.DUMMYFUNCTION("""COMPUTED_VALUE"""),0.0)</f>
        <v>0</v>
      </c>
      <c r="M8" s="12" t="str">
        <f>IFERROR(__xludf.DUMMYFUNCTION("""COMPUTED_VALUE"""),"Working")</f>
        <v>Working</v>
      </c>
      <c r="N8" s="12" t="str">
        <f>IFERROR(__xludf.DUMMYFUNCTION("""COMPUTED_VALUE"""),"LOAD PENDING")</f>
        <v>LOAD PENDING</v>
      </c>
      <c r="O8" s="12" t="str">
        <f>IFERROR(__xludf.DUMMYFUNCTION("""COMPUTED_VALUE"""),"LOAD PENDING")</f>
        <v>LOAD PENDING</v>
      </c>
      <c r="P8" s="12" t="str">
        <f t="shared" si="2"/>
        <v/>
      </c>
      <c r="Q8" s="12" t="str">
        <f t="shared" si="3"/>
        <v/>
      </c>
    </row>
    <row r="9">
      <c r="A9" s="1">
        <v>8.0</v>
      </c>
      <c r="B9" s="1" t="s">
        <v>299</v>
      </c>
      <c r="C9" s="1" t="s">
        <v>271</v>
      </c>
      <c r="D9" s="1" t="s">
        <v>300</v>
      </c>
      <c r="E9" s="12" t="str">
        <f t="shared" si="1"/>
        <v>Mr.SATHEESH N P</v>
      </c>
      <c r="F9" s="13" t="s">
        <v>273</v>
      </c>
      <c r="G9" s="12" t="s">
        <v>301</v>
      </c>
      <c r="H9" s="12" t="s">
        <v>302</v>
      </c>
      <c r="I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Col2='""&amp;B9&amp;""'"",0)"),2.0)</f>
        <v>2</v>
      </c>
      <c r="J9" s="12">
        <f>IFERROR(__xludf.DUMMYFUNCTION("""COMPUTED_VALUE"""),2.0)</f>
        <v>2</v>
      </c>
      <c r="K9" s="12">
        <f>IFERROR(__xludf.DUMMYFUNCTION("""COMPUTED_VALUE"""),2.0)</f>
        <v>2</v>
      </c>
      <c r="L9" s="12">
        <f>IFERROR(__xludf.DUMMYFUNCTION("""COMPUTED_VALUE"""),1.0)</f>
        <v>1</v>
      </c>
      <c r="M9" s="12" t="str">
        <f>IFERROR(__xludf.DUMMYFUNCTION("""COMPUTED_VALUE"""),"Working")</f>
        <v>Working</v>
      </c>
      <c r="N9" s="12" t="str">
        <f>IFERROR(__xludf.DUMMYFUNCTION("""COMPUTED_VALUE"""),"CORRECT")</f>
        <v>CORRECT</v>
      </c>
      <c r="O9" s="12" t="str">
        <f>IFERROR(__xludf.DUMMYFUNCTION("""COMPUTED_VALUE"""),"LOAD PENDING")</f>
        <v>LOAD PENDING</v>
      </c>
      <c r="P9" s="12" t="str">
        <f t="shared" si="2"/>
        <v/>
      </c>
      <c r="Q9" s="12" t="str">
        <f t="shared" si="3"/>
        <v/>
      </c>
    </row>
    <row r="10">
      <c r="A10" s="1">
        <v>9.0</v>
      </c>
      <c r="B10" s="1" t="s">
        <v>303</v>
      </c>
      <c r="C10" s="1" t="s">
        <v>271</v>
      </c>
      <c r="D10" s="1" t="s">
        <v>304</v>
      </c>
      <c r="E10" s="12" t="str">
        <f t="shared" si="1"/>
        <v>Mr.RAJ KUMAR V S</v>
      </c>
      <c r="F10" s="13" t="s">
        <v>273</v>
      </c>
      <c r="G10" s="12" t="s">
        <v>291</v>
      </c>
      <c r="H10" s="12" t="s">
        <v>305</v>
      </c>
      <c r="I1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Col2='""&amp;B10&amp;""'"",0)"),2.0)</f>
        <v>2</v>
      </c>
      <c r="J10" s="12">
        <f>IFERROR(__xludf.DUMMYFUNCTION("""COMPUTED_VALUE"""),2.0)</f>
        <v>2</v>
      </c>
      <c r="K10" s="12">
        <f>IFERROR(__xludf.DUMMYFUNCTION("""COMPUTED_VALUE"""),1.0)</f>
        <v>1</v>
      </c>
      <c r="L10" s="12">
        <f>IFERROR(__xludf.DUMMYFUNCTION("""COMPUTED_VALUE"""),0.0)</f>
        <v>0</v>
      </c>
      <c r="M10" s="12" t="str">
        <f>IFERROR(__xludf.DUMMYFUNCTION("""COMPUTED_VALUE"""),"Working")</f>
        <v>Working</v>
      </c>
      <c r="N10" s="12" t="str">
        <f>IFERROR(__xludf.DUMMYFUNCTION("""COMPUTED_VALUE"""),"LOAD PENDING")</f>
        <v>LOAD PENDING</v>
      </c>
      <c r="O10" s="12" t="str">
        <f>IFERROR(__xludf.DUMMYFUNCTION("""COMPUTED_VALUE"""),"LOAD PENDING")</f>
        <v>LOAD PENDING</v>
      </c>
      <c r="P10" s="12" t="str">
        <f t="shared" si="2"/>
        <v/>
      </c>
      <c r="Q10" s="12" t="str">
        <f t="shared" si="3"/>
        <v/>
      </c>
    </row>
    <row r="11">
      <c r="A11" s="1">
        <v>10.0</v>
      </c>
      <c r="B11" s="1" t="s">
        <v>306</v>
      </c>
      <c r="C11" s="1" t="s">
        <v>307</v>
      </c>
      <c r="D11" s="1" t="s">
        <v>308</v>
      </c>
      <c r="E11" s="12" t="str">
        <f t="shared" si="1"/>
        <v>Ms.ESAKKI MADURA E</v>
      </c>
      <c r="F11" s="13" t="s">
        <v>273</v>
      </c>
      <c r="G11" s="12" t="s">
        <v>274</v>
      </c>
      <c r="H11" s="12" t="s">
        <v>309</v>
      </c>
      <c r="I1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Col2='""&amp;B11&amp;""'"",0)"),2.0)</f>
        <v>2</v>
      </c>
      <c r="J11" s="12">
        <f>IFERROR(__xludf.DUMMYFUNCTION("""COMPUTED_VALUE"""),2.0)</f>
        <v>2</v>
      </c>
      <c r="K11" s="12">
        <f>IFERROR(__xludf.DUMMYFUNCTION("""COMPUTED_VALUE"""),2.0)</f>
        <v>2</v>
      </c>
      <c r="L11" s="12">
        <f>IFERROR(__xludf.DUMMYFUNCTION("""COMPUTED_VALUE"""),1.0)</f>
        <v>1</v>
      </c>
      <c r="M11" s="12" t="str">
        <f>IFERROR(__xludf.DUMMYFUNCTION("""COMPUTED_VALUE"""),"Working")</f>
        <v>Working</v>
      </c>
      <c r="N11" s="12" t="str">
        <f>IFERROR(__xludf.DUMMYFUNCTION("""COMPUTED_VALUE"""),"CORRECT")</f>
        <v>CORRECT</v>
      </c>
      <c r="O11" s="12" t="str">
        <f>IFERROR(__xludf.DUMMYFUNCTION("""COMPUTED_VALUE"""),"LOAD PENDING")</f>
        <v>LOAD PENDING</v>
      </c>
      <c r="P11" s="12" t="str">
        <f t="shared" si="2"/>
        <v/>
      </c>
      <c r="Q11" s="12" t="str">
        <f t="shared" si="3"/>
        <v/>
      </c>
    </row>
    <row r="12">
      <c r="A12" s="1">
        <v>11.0</v>
      </c>
      <c r="B12" s="1" t="s">
        <v>310</v>
      </c>
      <c r="C12" s="1" t="s">
        <v>286</v>
      </c>
      <c r="D12" s="1" t="s">
        <v>311</v>
      </c>
      <c r="E12" s="12" t="str">
        <f t="shared" si="1"/>
        <v>Mrs.DIVYABARATHI P</v>
      </c>
      <c r="F12" s="13" t="s">
        <v>273</v>
      </c>
      <c r="G12" s="12" t="s">
        <v>291</v>
      </c>
      <c r="H12" s="12" t="s">
        <v>312</v>
      </c>
      <c r="I1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Col2='""&amp;B12&amp;""'"",0)"),2.0)</f>
        <v>2</v>
      </c>
      <c r="J12" s="12">
        <f>IFERROR(__xludf.DUMMYFUNCTION("""COMPUTED_VALUE"""),2.0)</f>
        <v>2</v>
      </c>
      <c r="K12" s="12">
        <f>IFERROR(__xludf.DUMMYFUNCTION("""COMPUTED_VALUE"""),2.0)</f>
        <v>2</v>
      </c>
      <c r="L12" s="12">
        <f>IFERROR(__xludf.DUMMYFUNCTION("""COMPUTED_VALUE"""),1.0)</f>
        <v>1</v>
      </c>
      <c r="M12" s="12" t="str">
        <f>IFERROR(__xludf.DUMMYFUNCTION("""COMPUTED_VALUE"""),"Working")</f>
        <v>Working</v>
      </c>
      <c r="N12" s="12" t="str">
        <f>IFERROR(__xludf.DUMMYFUNCTION("""COMPUTED_VALUE"""),"CORRECT")</f>
        <v>CORRECT</v>
      </c>
      <c r="O12" s="12" t="str">
        <f>IFERROR(__xludf.DUMMYFUNCTION("""COMPUTED_VALUE"""),"LOAD PENDING")</f>
        <v>LOAD PENDING</v>
      </c>
      <c r="P12" s="12" t="str">
        <f t="shared" si="2"/>
        <v/>
      </c>
      <c r="Q12" s="12" t="str">
        <f t="shared" si="3"/>
        <v/>
      </c>
    </row>
    <row r="13">
      <c r="A13" s="1">
        <v>12.0</v>
      </c>
      <c r="B13" s="1" t="s">
        <v>313</v>
      </c>
      <c r="C13" s="1" t="s">
        <v>271</v>
      </c>
      <c r="D13" s="1" t="s">
        <v>314</v>
      </c>
      <c r="E13" s="12" t="str">
        <f t="shared" si="1"/>
        <v>Mr.SATHEESHKUMAR S</v>
      </c>
      <c r="F13" s="13" t="s">
        <v>273</v>
      </c>
      <c r="G13" s="12" t="s">
        <v>291</v>
      </c>
      <c r="H13" s="12" t="s">
        <v>315</v>
      </c>
      <c r="I1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Col2='""&amp;B13&amp;""'"",0)"),2.0)</f>
        <v>2</v>
      </c>
      <c r="J13" s="12">
        <f>IFERROR(__xludf.DUMMYFUNCTION("""COMPUTED_VALUE"""),2.0)</f>
        <v>2</v>
      </c>
      <c r="K13" s="12">
        <f>IFERROR(__xludf.DUMMYFUNCTION("""COMPUTED_VALUE"""),2.0)</f>
        <v>2</v>
      </c>
      <c r="L13" s="12">
        <f>IFERROR(__xludf.DUMMYFUNCTION("""COMPUTED_VALUE"""),1.0)</f>
        <v>1</v>
      </c>
      <c r="M13" s="12" t="str">
        <f>IFERROR(__xludf.DUMMYFUNCTION("""COMPUTED_VALUE"""),"Working")</f>
        <v>Working</v>
      </c>
      <c r="N13" s="12" t="str">
        <f>IFERROR(__xludf.DUMMYFUNCTION("""COMPUTED_VALUE"""),"CORRECT")</f>
        <v>CORRECT</v>
      </c>
      <c r="O13" s="12" t="str">
        <f>IFERROR(__xludf.DUMMYFUNCTION("""COMPUTED_VALUE"""),"LOAD PENDING")</f>
        <v>LOAD PENDING</v>
      </c>
      <c r="P13" s="12" t="str">
        <f t="shared" si="2"/>
        <v/>
      </c>
      <c r="Q13" s="12" t="str">
        <f t="shared" si="3"/>
        <v/>
      </c>
    </row>
    <row r="14">
      <c r="A14" s="1">
        <v>13.0</v>
      </c>
      <c r="B14" s="1" t="s">
        <v>316</v>
      </c>
      <c r="C14" s="1" t="s">
        <v>286</v>
      </c>
      <c r="D14" s="1" t="s">
        <v>317</v>
      </c>
      <c r="E14" s="12" t="str">
        <f t="shared" si="1"/>
        <v>Mrs.KIRUTHIGA R</v>
      </c>
      <c r="F14" s="13" t="s">
        <v>273</v>
      </c>
      <c r="G14" s="12" t="s">
        <v>301</v>
      </c>
      <c r="H14" s="12" t="s">
        <v>318</v>
      </c>
      <c r="I1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Col2='""&amp;B14&amp;""'"",0)"),2.0)</f>
        <v>2</v>
      </c>
      <c r="J14" s="12">
        <f>IFERROR(__xludf.DUMMYFUNCTION("""COMPUTED_VALUE"""),2.0)</f>
        <v>2</v>
      </c>
      <c r="K14" s="12">
        <f>IFERROR(__xludf.DUMMYFUNCTION("""COMPUTED_VALUE"""),2.0)</f>
        <v>2</v>
      </c>
      <c r="L14" s="12">
        <f>IFERROR(__xludf.DUMMYFUNCTION("""COMPUTED_VALUE"""),1.0)</f>
        <v>1</v>
      </c>
      <c r="M14" s="12" t="str">
        <f>IFERROR(__xludf.DUMMYFUNCTION("""COMPUTED_VALUE"""),"Working")</f>
        <v>Working</v>
      </c>
      <c r="N14" s="12" t="str">
        <f>IFERROR(__xludf.DUMMYFUNCTION("""COMPUTED_VALUE"""),"CORRECT")</f>
        <v>CORRECT</v>
      </c>
      <c r="O14" s="12" t="str">
        <f>IFERROR(__xludf.DUMMYFUNCTION("""COMPUTED_VALUE"""),"LOAD PENDING")</f>
        <v>LOAD PENDING</v>
      </c>
      <c r="P14" s="12" t="str">
        <f t="shared" si="2"/>
        <v/>
      </c>
      <c r="Q14" s="12" t="str">
        <f t="shared" si="3"/>
        <v/>
      </c>
    </row>
    <row r="15">
      <c r="A15" s="1">
        <v>14.0</v>
      </c>
      <c r="B15" s="1" t="s">
        <v>319</v>
      </c>
      <c r="C15" s="1" t="s">
        <v>286</v>
      </c>
      <c r="D15" s="1" t="s">
        <v>320</v>
      </c>
      <c r="E15" s="12" t="str">
        <f t="shared" si="1"/>
        <v>Mrs.VAANATHI S</v>
      </c>
      <c r="F15" s="13" t="s">
        <v>273</v>
      </c>
      <c r="G15" s="12" t="s">
        <v>291</v>
      </c>
      <c r="H15" s="12" t="s">
        <v>321</v>
      </c>
      <c r="I1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Col2='""&amp;B15&amp;""'"",0)"),2.0)</f>
        <v>2</v>
      </c>
      <c r="J15" s="12">
        <f>IFERROR(__xludf.DUMMYFUNCTION("""COMPUTED_VALUE"""),1.0)</f>
        <v>1</v>
      </c>
      <c r="K15" s="12">
        <f>IFERROR(__xludf.DUMMYFUNCTION("""COMPUTED_VALUE"""),2.0)</f>
        <v>2</v>
      </c>
      <c r="L15" s="12">
        <f>IFERROR(__xludf.DUMMYFUNCTION("""COMPUTED_VALUE"""),1.0)</f>
        <v>1</v>
      </c>
      <c r="M15" s="12" t="str">
        <f>IFERROR(__xludf.DUMMYFUNCTION("""COMPUTED_VALUE"""),"Working")</f>
        <v>Working</v>
      </c>
      <c r="N15" s="12" t="str">
        <f>IFERROR(__xludf.DUMMYFUNCTION("""COMPUTED_VALUE"""),"CORRECT")</f>
        <v>CORRECT</v>
      </c>
      <c r="O15" s="12" t="str">
        <f>IFERROR(__xludf.DUMMYFUNCTION("""COMPUTED_VALUE"""),"CORRECT")</f>
        <v>CORRECT</v>
      </c>
      <c r="P15" s="12" t="str">
        <f t="shared" si="2"/>
        <v/>
      </c>
      <c r="Q15" s="12" t="str">
        <f t="shared" si="3"/>
        <v/>
      </c>
    </row>
    <row r="16">
      <c r="A16" s="1">
        <v>15.0</v>
      </c>
      <c r="B16" s="1" t="s">
        <v>322</v>
      </c>
      <c r="C16" s="1" t="s">
        <v>271</v>
      </c>
      <c r="D16" s="1" t="s">
        <v>323</v>
      </c>
      <c r="E16" s="12" t="str">
        <f t="shared" si="1"/>
        <v>Mr.CHOZHARAJAN P</v>
      </c>
      <c r="F16" s="13" t="s">
        <v>273</v>
      </c>
      <c r="G16" s="12" t="s">
        <v>274</v>
      </c>
      <c r="H16" s="12" t="s">
        <v>324</v>
      </c>
      <c r="I1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Col2='""&amp;B16&amp;""'"",0)"),2.0)</f>
        <v>2</v>
      </c>
      <c r="J16" s="12">
        <f>IFERROR(__xludf.DUMMYFUNCTION("""COMPUTED_VALUE"""),2.0)</f>
        <v>2</v>
      </c>
      <c r="K16" s="12">
        <f>IFERROR(__xludf.DUMMYFUNCTION("""COMPUTED_VALUE"""),2.0)</f>
        <v>2</v>
      </c>
      <c r="L16" s="12">
        <f>IFERROR(__xludf.DUMMYFUNCTION("""COMPUTED_VALUE"""),1.0)</f>
        <v>1</v>
      </c>
      <c r="M16" s="12" t="str">
        <f>IFERROR(__xludf.DUMMYFUNCTION("""COMPUTED_VALUE"""),"Working")</f>
        <v>Working</v>
      </c>
      <c r="N16" s="12" t="str">
        <f>IFERROR(__xludf.DUMMYFUNCTION("""COMPUTED_VALUE"""),"CORRECT")</f>
        <v>CORRECT</v>
      </c>
      <c r="O16" s="12" t="str">
        <f>IFERROR(__xludf.DUMMYFUNCTION("""COMPUTED_VALUE"""),"LOAD PENDING")</f>
        <v>LOAD PENDING</v>
      </c>
      <c r="P16" s="12" t="str">
        <f t="shared" si="2"/>
        <v/>
      </c>
      <c r="Q16" s="12" t="str">
        <f t="shared" si="3"/>
        <v/>
      </c>
    </row>
    <row r="17">
      <c r="A17" s="1">
        <v>16.0</v>
      </c>
      <c r="B17" s="1" t="s">
        <v>325</v>
      </c>
      <c r="C17" s="1" t="s">
        <v>286</v>
      </c>
      <c r="D17" s="1" t="s">
        <v>326</v>
      </c>
      <c r="E17" s="12" t="str">
        <f t="shared" si="1"/>
        <v>Mrs.ASHFORN HERMINA J M</v>
      </c>
      <c r="F17" s="13" t="s">
        <v>273</v>
      </c>
      <c r="G17" s="12" t="s">
        <v>301</v>
      </c>
      <c r="H17" s="12" t="s">
        <v>327</v>
      </c>
      <c r="I1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Col2='""&amp;B17&amp;""'"",0)"),2.0)</f>
        <v>2</v>
      </c>
      <c r="J17" s="12">
        <f>IFERROR(__xludf.DUMMYFUNCTION("""COMPUTED_VALUE"""),2.0)</f>
        <v>2</v>
      </c>
      <c r="K17" s="12">
        <f>IFERROR(__xludf.DUMMYFUNCTION("""COMPUTED_VALUE"""),2.0)</f>
        <v>2</v>
      </c>
      <c r="L17" s="12">
        <f>IFERROR(__xludf.DUMMYFUNCTION("""COMPUTED_VALUE"""),1.0)</f>
        <v>1</v>
      </c>
      <c r="M17" s="12" t="str">
        <f>IFERROR(__xludf.DUMMYFUNCTION("""COMPUTED_VALUE"""),"Working")</f>
        <v>Working</v>
      </c>
      <c r="N17" s="12" t="str">
        <f>IFERROR(__xludf.DUMMYFUNCTION("""COMPUTED_VALUE"""),"CORRECT")</f>
        <v>CORRECT</v>
      </c>
      <c r="O17" s="12" t="str">
        <f>IFERROR(__xludf.DUMMYFUNCTION("""COMPUTED_VALUE"""),"LOAD PENDING")</f>
        <v>LOAD PENDING</v>
      </c>
      <c r="P17" s="12" t="str">
        <f t="shared" si="2"/>
        <v/>
      </c>
      <c r="Q17" s="12" t="str">
        <f t="shared" si="3"/>
        <v/>
      </c>
    </row>
    <row r="18">
      <c r="A18" s="1">
        <v>17.0</v>
      </c>
      <c r="B18" s="1" t="s">
        <v>328</v>
      </c>
      <c r="C18" s="1" t="s">
        <v>286</v>
      </c>
      <c r="D18" s="1" t="s">
        <v>329</v>
      </c>
      <c r="E18" s="12" t="str">
        <f t="shared" si="1"/>
        <v>Mrs.JEEVITHA S V</v>
      </c>
      <c r="F18" s="13" t="s">
        <v>273</v>
      </c>
      <c r="G18" s="12" t="s">
        <v>301</v>
      </c>
      <c r="H18" s="12" t="s">
        <v>330</v>
      </c>
      <c r="I1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Col2='""&amp;B18&amp;""'"",0)"),2.0)</f>
        <v>2</v>
      </c>
      <c r="J18" s="12">
        <f>IFERROR(__xludf.DUMMYFUNCTION("""COMPUTED_VALUE"""),2.0)</f>
        <v>2</v>
      </c>
      <c r="K18" s="12">
        <f>IFERROR(__xludf.DUMMYFUNCTION("""COMPUTED_VALUE"""),2.0)</f>
        <v>2</v>
      </c>
      <c r="L18" s="12">
        <f>IFERROR(__xludf.DUMMYFUNCTION("""COMPUTED_VALUE"""),1.0)</f>
        <v>1</v>
      </c>
      <c r="M18" s="12" t="str">
        <f>IFERROR(__xludf.DUMMYFUNCTION("""COMPUTED_VALUE"""),"Working")</f>
        <v>Working</v>
      </c>
      <c r="N18" s="12" t="str">
        <f>IFERROR(__xludf.DUMMYFUNCTION("""COMPUTED_VALUE"""),"CORRECT")</f>
        <v>CORRECT</v>
      </c>
      <c r="O18" s="12" t="str">
        <f>IFERROR(__xludf.DUMMYFUNCTION("""COMPUTED_VALUE"""),"LOAD PENDING")</f>
        <v>LOAD PENDING</v>
      </c>
      <c r="P18" s="12" t="str">
        <f t="shared" si="2"/>
        <v/>
      </c>
      <c r="Q18" s="12" t="str">
        <f t="shared" si="3"/>
        <v/>
      </c>
    </row>
    <row r="19">
      <c r="A19" s="1">
        <v>18.0</v>
      </c>
      <c r="B19" s="1" t="s">
        <v>331</v>
      </c>
      <c r="C19" s="1" t="s">
        <v>307</v>
      </c>
      <c r="D19" s="1" t="s">
        <v>332</v>
      </c>
      <c r="E19" s="12" t="str">
        <f t="shared" si="1"/>
        <v>Ms.BENITA GRACIA THANGAM J</v>
      </c>
      <c r="F19" s="13" t="s">
        <v>273</v>
      </c>
      <c r="G19" s="12" t="s">
        <v>301</v>
      </c>
      <c r="H19" s="12" t="s">
        <v>333</v>
      </c>
      <c r="I1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Col2='""&amp;B19&amp;""'"",0)"),2.0)</f>
        <v>2</v>
      </c>
      <c r="J19" s="12">
        <f>IFERROR(__xludf.DUMMYFUNCTION("""COMPUTED_VALUE"""),2.0)</f>
        <v>2</v>
      </c>
      <c r="K19" s="12">
        <f>IFERROR(__xludf.DUMMYFUNCTION("""COMPUTED_VALUE"""),2.0)</f>
        <v>2</v>
      </c>
      <c r="L19" s="12">
        <f>IFERROR(__xludf.DUMMYFUNCTION("""COMPUTED_VALUE"""),1.0)</f>
        <v>1</v>
      </c>
      <c r="M19" s="12" t="str">
        <f>IFERROR(__xludf.DUMMYFUNCTION("""COMPUTED_VALUE"""),"Working")</f>
        <v>Working</v>
      </c>
      <c r="N19" s="12" t="str">
        <f>IFERROR(__xludf.DUMMYFUNCTION("""COMPUTED_VALUE"""),"CORRECT")</f>
        <v>CORRECT</v>
      </c>
      <c r="O19" s="12" t="str">
        <f>IFERROR(__xludf.DUMMYFUNCTION("""COMPUTED_VALUE"""),"LOAD PENDING")</f>
        <v>LOAD PENDING</v>
      </c>
      <c r="P19" s="12" t="str">
        <f t="shared" si="2"/>
        <v/>
      </c>
      <c r="Q19" s="12" t="str">
        <f t="shared" si="3"/>
        <v/>
      </c>
    </row>
    <row r="20">
      <c r="A20" s="1">
        <v>19.0</v>
      </c>
      <c r="B20" s="1" t="s">
        <v>334</v>
      </c>
      <c r="C20" s="1" t="s">
        <v>271</v>
      </c>
      <c r="D20" s="1" t="s">
        <v>335</v>
      </c>
      <c r="E20" s="12" t="str">
        <f t="shared" si="1"/>
        <v>Mr.PREMKUMAR C</v>
      </c>
      <c r="F20" s="13" t="s">
        <v>273</v>
      </c>
      <c r="G20" s="12" t="s">
        <v>301</v>
      </c>
      <c r="H20" s="12" t="s">
        <v>336</v>
      </c>
      <c r="I2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Col2='""&amp;B20&amp;""'"",0)"),2.0)</f>
        <v>2</v>
      </c>
      <c r="J20" s="12">
        <f>IFERROR(__xludf.DUMMYFUNCTION("""COMPUTED_VALUE"""),2.0)</f>
        <v>2</v>
      </c>
      <c r="K20" s="12">
        <f>IFERROR(__xludf.DUMMYFUNCTION("""COMPUTED_VALUE"""),2.0)</f>
        <v>2</v>
      </c>
      <c r="L20" s="12">
        <f>IFERROR(__xludf.DUMMYFUNCTION("""COMPUTED_VALUE"""),1.0)</f>
        <v>1</v>
      </c>
      <c r="M20" s="12" t="str">
        <f>IFERROR(__xludf.DUMMYFUNCTION("""COMPUTED_VALUE"""),"Working")</f>
        <v>Working</v>
      </c>
      <c r="N20" s="12" t="str">
        <f>IFERROR(__xludf.DUMMYFUNCTION("""COMPUTED_VALUE"""),"CORRECT")</f>
        <v>CORRECT</v>
      </c>
      <c r="O20" s="12" t="str">
        <f>IFERROR(__xludf.DUMMYFUNCTION("""COMPUTED_VALUE"""),"LOAD PENDING")</f>
        <v>LOAD PENDING</v>
      </c>
      <c r="P20" s="12" t="str">
        <f t="shared" si="2"/>
        <v/>
      </c>
      <c r="Q20" s="12" t="str">
        <f t="shared" si="3"/>
        <v/>
      </c>
    </row>
    <row r="21">
      <c r="A21" s="1">
        <v>20.0</v>
      </c>
      <c r="B21" s="1" t="s">
        <v>337</v>
      </c>
      <c r="C21" s="1" t="s">
        <v>277</v>
      </c>
      <c r="D21" s="1" t="s">
        <v>338</v>
      </c>
      <c r="E21" s="12" t="str">
        <f t="shared" si="1"/>
        <v>Dr.SUNDARA MURTHY S</v>
      </c>
      <c r="F21" s="13" t="s">
        <v>273</v>
      </c>
      <c r="G21" s="12" t="s">
        <v>283</v>
      </c>
      <c r="H21" s="12" t="s">
        <v>339</v>
      </c>
      <c r="I2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Col2='""&amp;B21&amp;""'"",0)"),1.0)</f>
        <v>1</v>
      </c>
      <c r="J21" s="12">
        <f>IFERROR(__xludf.DUMMYFUNCTION("""COMPUTED_VALUE"""),0.0)</f>
        <v>0</v>
      </c>
      <c r="K21" s="12">
        <f>IFERROR(__xludf.DUMMYFUNCTION("""COMPUTED_VALUE"""),1.0)</f>
        <v>1</v>
      </c>
      <c r="L21" s="12">
        <f>IFERROR(__xludf.DUMMYFUNCTION("""COMPUTED_VALUE"""),0.0)</f>
        <v>0</v>
      </c>
      <c r="M21" s="12" t="str">
        <f>IFERROR(__xludf.DUMMYFUNCTION("""COMPUTED_VALUE"""),"Working")</f>
        <v>Working</v>
      </c>
      <c r="N21" s="12" t="str">
        <f>IFERROR(__xludf.DUMMYFUNCTION("""COMPUTED_VALUE"""),"CORRECT")</f>
        <v>CORRECT</v>
      </c>
      <c r="O21" s="12" t="str">
        <f>IFERROR(__xludf.DUMMYFUNCTION("""COMPUTED_VALUE"""),"CORRECT")</f>
        <v>CORRECT</v>
      </c>
      <c r="P21" s="12" t="str">
        <f t="shared" si="2"/>
        <v/>
      </c>
      <c r="Q21" s="12" t="str">
        <f t="shared" si="3"/>
        <v/>
      </c>
    </row>
    <row r="22">
      <c r="A22" s="1">
        <v>21.0</v>
      </c>
      <c r="B22" s="1" t="s">
        <v>340</v>
      </c>
      <c r="C22" s="1" t="s">
        <v>286</v>
      </c>
      <c r="D22" s="1" t="s">
        <v>341</v>
      </c>
      <c r="E22" s="12" t="str">
        <f t="shared" si="1"/>
        <v>Mrs.RESHMI T S</v>
      </c>
      <c r="F22" s="13" t="s">
        <v>273</v>
      </c>
      <c r="G22" s="12" t="s">
        <v>301</v>
      </c>
      <c r="H22" s="12" t="s">
        <v>342</v>
      </c>
      <c r="I2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Col2='""&amp;B22&amp;""'"",0)"),2.0)</f>
        <v>2</v>
      </c>
      <c r="J22" s="12">
        <f>IFERROR(__xludf.DUMMYFUNCTION("""COMPUTED_VALUE"""),2.0)</f>
        <v>2</v>
      </c>
      <c r="K22" s="12">
        <f>IFERROR(__xludf.DUMMYFUNCTION("""COMPUTED_VALUE"""),2.0)</f>
        <v>2</v>
      </c>
      <c r="L22" s="12">
        <f>IFERROR(__xludf.DUMMYFUNCTION("""COMPUTED_VALUE"""),1.0)</f>
        <v>1</v>
      </c>
      <c r="M22" s="12" t="str">
        <f>IFERROR(__xludf.DUMMYFUNCTION("""COMPUTED_VALUE"""),"Working")</f>
        <v>Working</v>
      </c>
      <c r="N22" s="12" t="str">
        <f>IFERROR(__xludf.DUMMYFUNCTION("""COMPUTED_VALUE"""),"CORRECT")</f>
        <v>CORRECT</v>
      </c>
      <c r="O22" s="12" t="str">
        <f>IFERROR(__xludf.DUMMYFUNCTION("""COMPUTED_VALUE"""),"LOAD PENDING")</f>
        <v>LOAD PENDING</v>
      </c>
      <c r="P22" s="12" t="str">
        <f t="shared" si="2"/>
        <v/>
      </c>
      <c r="Q22" s="12" t="str">
        <f t="shared" si="3"/>
        <v/>
      </c>
    </row>
    <row r="23">
      <c r="A23" s="1">
        <v>22.0</v>
      </c>
      <c r="B23" s="1" t="s">
        <v>343</v>
      </c>
      <c r="C23" s="1" t="s">
        <v>277</v>
      </c>
      <c r="D23" s="1" t="s">
        <v>344</v>
      </c>
      <c r="E23" s="12" t="str">
        <f t="shared" si="1"/>
        <v>Dr.SUBBULAKSHMI M</v>
      </c>
      <c r="F23" s="13" t="s">
        <v>273</v>
      </c>
      <c r="G23" s="12" t="s">
        <v>274</v>
      </c>
      <c r="H23" s="12" t="s">
        <v>345</v>
      </c>
      <c r="I2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Col2='""&amp;B23&amp;""'"",0)"),2.0)</f>
        <v>2</v>
      </c>
      <c r="J23" s="12">
        <f>IFERROR(__xludf.DUMMYFUNCTION("""COMPUTED_VALUE"""),2.0)</f>
        <v>2</v>
      </c>
      <c r="K23" s="12">
        <f>IFERROR(__xludf.DUMMYFUNCTION("""COMPUTED_VALUE"""),2.0)</f>
        <v>2</v>
      </c>
      <c r="L23" s="12">
        <f>IFERROR(__xludf.DUMMYFUNCTION("""COMPUTED_VALUE"""),1.0)</f>
        <v>1</v>
      </c>
      <c r="M23" s="12" t="str">
        <f>IFERROR(__xludf.DUMMYFUNCTION("""COMPUTED_VALUE"""),"Working")</f>
        <v>Working</v>
      </c>
      <c r="N23" s="12" t="str">
        <f>IFERROR(__xludf.DUMMYFUNCTION("""COMPUTED_VALUE"""),"CORRECT")</f>
        <v>CORRECT</v>
      </c>
      <c r="O23" s="12" t="str">
        <f>IFERROR(__xludf.DUMMYFUNCTION("""COMPUTED_VALUE"""),"LOAD PENDING")</f>
        <v>LOAD PENDING</v>
      </c>
      <c r="P23" s="12" t="str">
        <f t="shared" si="2"/>
        <v/>
      </c>
      <c r="Q23" s="12" t="str">
        <f t="shared" si="3"/>
        <v/>
      </c>
    </row>
    <row r="24">
      <c r="A24" s="1">
        <v>23.0</v>
      </c>
      <c r="B24" s="1" t="s">
        <v>346</v>
      </c>
      <c r="C24" s="1" t="s">
        <v>286</v>
      </c>
      <c r="D24" s="1" t="s">
        <v>347</v>
      </c>
      <c r="E24" s="12" t="str">
        <f t="shared" si="1"/>
        <v>Mrs.KALPANA R</v>
      </c>
      <c r="F24" s="13" t="s">
        <v>273</v>
      </c>
      <c r="G24" s="12" t="s">
        <v>301</v>
      </c>
      <c r="H24" s="12" t="s">
        <v>348</v>
      </c>
      <c r="I2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Col2='""&amp;B24&amp;""'"",0)"),2.0)</f>
        <v>2</v>
      </c>
      <c r="J24" s="12">
        <f>IFERROR(__xludf.DUMMYFUNCTION("""COMPUTED_VALUE"""),2.0)</f>
        <v>2</v>
      </c>
      <c r="K24" s="12">
        <f>IFERROR(__xludf.DUMMYFUNCTION("""COMPUTED_VALUE"""),2.0)</f>
        <v>2</v>
      </c>
      <c r="L24" s="12">
        <f>IFERROR(__xludf.DUMMYFUNCTION("""COMPUTED_VALUE"""),1.0)</f>
        <v>1</v>
      </c>
      <c r="M24" s="12" t="str">
        <f>IFERROR(__xludf.DUMMYFUNCTION("""COMPUTED_VALUE"""),"Working")</f>
        <v>Working</v>
      </c>
      <c r="N24" s="12" t="str">
        <f>IFERROR(__xludf.DUMMYFUNCTION("""COMPUTED_VALUE"""),"CORRECT")</f>
        <v>CORRECT</v>
      </c>
      <c r="O24" s="12" t="str">
        <f>IFERROR(__xludf.DUMMYFUNCTION("""COMPUTED_VALUE"""),"LOAD PENDING")</f>
        <v>LOAD PENDING</v>
      </c>
      <c r="P24" s="12" t="str">
        <f t="shared" si="2"/>
        <v/>
      </c>
      <c r="Q24" s="12" t="str">
        <f t="shared" si="3"/>
        <v/>
      </c>
    </row>
    <row r="25">
      <c r="A25" s="1">
        <v>24.0</v>
      </c>
      <c r="B25" s="1" t="s">
        <v>349</v>
      </c>
      <c r="C25" s="1" t="s">
        <v>307</v>
      </c>
      <c r="D25" s="1" t="s">
        <v>350</v>
      </c>
      <c r="E25" s="12" t="str">
        <f t="shared" si="1"/>
        <v>Ms.SURIYA V</v>
      </c>
      <c r="F25" s="13" t="s">
        <v>273</v>
      </c>
      <c r="G25" s="12" t="s">
        <v>301</v>
      </c>
      <c r="H25" s="12" t="s">
        <v>351</v>
      </c>
      <c r="I2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Col2='""&amp;B25&amp;""'"",0)"),2.0)</f>
        <v>2</v>
      </c>
      <c r="J25" s="12">
        <f>IFERROR(__xludf.DUMMYFUNCTION("""COMPUTED_VALUE"""),2.0)</f>
        <v>2</v>
      </c>
      <c r="K25" s="12">
        <f>IFERROR(__xludf.DUMMYFUNCTION("""COMPUTED_VALUE"""),2.0)</f>
        <v>2</v>
      </c>
      <c r="L25" s="12">
        <f>IFERROR(__xludf.DUMMYFUNCTION("""COMPUTED_VALUE"""),1.0)</f>
        <v>1</v>
      </c>
      <c r="M25" s="12" t="str">
        <f>IFERROR(__xludf.DUMMYFUNCTION("""COMPUTED_VALUE"""),"Working")</f>
        <v>Working</v>
      </c>
      <c r="N25" s="12" t="str">
        <f>IFERROR(__xludf.DUMMYFUNCTION("""COMPUTED_VALUE"""),"CORRECT")</f>
        <v>CORRECT</v>
      </c>
      <c r="O25" s="12" t="str">
        <f>IFERROR(__xludf.DUMMYFUNCTION("""COMPUTED_VALUE"""),"LOAD PENDING")</f>
        <v>LOAD PENDING</v>
      </c>
      <c r="P25" s="12" t="str">
        <f t="shared" si="2"/>
        <v/>
      </c>
      <c r="Q25" s="12" t="str">
        <f t="shared" si="3"/>
        <v/>
      </c>
    </row>
    <row r="26">
      <c r="A26" s="1">
        <v>25.0</v>
      </c>
      <c r="B26" s="1" t="s">
        <v>352</v>
      </c>
      <c r="C26" s="1" t="s">
        <v>286</v>
      </c>
      <c r="D26" s="1" t="s">
        <v>353</v>
      </c>
      <c r="E26" s="12" t="str">
        <f t="shared" si="1"/>
        <v>Mrs.HEMA PRIYA D</v>
      </c>
      <c r="F26" s="13" t="s">
        <v>273</v>
      </c>
      <c r="G26" s="12" t="s">
        <v>301</v>
      </c>
      <c r="H26" s="12" t="s">
        <v>354</v>
      </c>
      <c r="I2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Col2='""&amp;B26&amp;""'"",0)"),2.0)</f>
        <v>2</v>
      </c>
      <c r="J26" s="12">
        <f>IFERROR(__xludf.DUMMYFUNCTION("""COMPUTED_VALUE"""),2.0)</f>
        <v>2</v>
      </c>
      <c r="K26" s="12">
        <f>IFERROR(__xludf.DUMMYFUNCTION("""COMPUTED_VALUE"""),1.0)</f>
        <v>1</v>
      </c>
      <c r="L26" s="12">
        <f>IFERROR(__xludf.DUMMYFUNCTION("""COMPUTED_VALUE"""),1.0)</f>
        <v>1</v>
      </c>
      <c r="M26" s="12" t="str">
        <f>IFERROR(__xludf.DUMMYFUNCTION("""COMPUTED_VALUE"""),"Working")</f>
        <v>Working</v>
      </c>
      <c r="N26" s="12" t="str">
        <f>IFERROR(__xludf.DUMMYFUNCTION("""COMPUTED_VALUE"""),"LOAD PENDING")</f>
        <v>LOAD PENDING</v>
      </c>
      <c r="O26" s="12" t="str">
        <f>IFERROR(__xludf.DUMMYFUNCTION("""COMPUTED_VALUE"""),"LOAD PENDING")</f>
        <v>LOAD PENDING</v>
      </c>
      <c r="P26" s="12" t="str">
        <f t="shared" si="2"/>
        <v/>
      </c>
      <c r="Q26" s="12" t="str">
        <f t="shared" si="3"/>
        <v/>
      </c>
    </row>
    <row r="27">
      <c r="A27" s="1">
        <v>26.0</v>
      </c>
      <c r="B27" s="1" t="s">
        <v>355</v>
      </c>
      <c r="C27" s="1" t="s">
        <v>286</v>
      </c>
      <c r="D27" s="1" t="s">
        <v>356</v>
      </c>
      <c r="E27" s="12" t="str">
        <f t="shared" si="1"/>
        <v>Mrs.MANJU M</v>
      </c>
      <c r="F27" s="13" t="s">
        <v>273</v>
      </c>
      <c r="G27" s="12" t="s">
        <v>301</v>
      </c>
      <c r="H27" s="12" t="s">
        <v>357</v>
      </c>
      <c r="I2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Col2='""&amp;B27&amp;""'"",0)"),2.0)</f>
        <v>2</v>
      </c>
      <c r="J27" s="12">
        <f>IFERROR(__xludf.DUMMYFUNCTION("""COMPUTED_VALUE"""),2.0)</f>
        <v>2</v>
      </c>
      <c r="K27" s="12">
        <f>IFERROR(__xludf.DUMMYFUNCTION("""COMPUTED_VALUE"""),2.0)</f>
        <v>2</v>
      </c>
      <c r="L27" s="12">
        <f>IFERROR(__xludf.DUMMYFUNCTION("""COMPUTED_VALUE"""),1.0)</f>
        <v>1</v>
      </c>
      <c r="M27" s="12" t="str">
        <f>IFERROR(__xludf.DUMMYFUNCTION("""COMPUTED_VALUE"""),"Working")</f>
        <v>Working</v>
      </c>
      <c r="N27" s="12" t="str">
        <f>IFERROR(__xludf.DUMMYFUNCTION("""COMPUTED_VALUE"""),"CORRECT")</f>
        <v>CORRECT</v>
      </c>
      <c r="O27" s="12" t="str">
        <f>IFERROR(__xludf.DUMMYFUNCTION("""COMPUTED_VALUE"""),"LOAD PENDING")</f>
        <v>LOAD PENDING</v>
      </c>
      <c r="P27" s="12" t="str">
        <f t="shared" si="2"/>
        <v/>
      </c>
      <c r="Q27" s="12" t="str">
        <f t="shared" si="3"/>
        <v/>
      </c>
    </row>
    <row r="28">
      <c r="A28" s="1">
        <v>27.0</v>
      </c>
      <c r="B28" s="1" t="s">
        <v>358</v>
      </c>
      <c r="C28" s="1" t="s">
        <v>307</v>
      </c>
      <c r="D28" s="1" t="s">
        <v>359</v>
      </c>
      <c r="E28" s="12" t="str">
        <f t="shared" si="1"/>
        <v>Ms.PRIYADHARSHNI S</v>
      </c>
      <c r="F28" s="13" t="s">
        <v>273</v>
      </c>
      <c r="G28" s="12" t="s">
        <v>301</v>
      </c>
      <c r="H28" s="12" t="s">
        <v>360</v>
      </c>
      <c r="I2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Col2='""&amp;B28&amp;""'"",0)"),2.0)</f>
        <v>2</v>
      </c>
      <c r="J28" s="12">
        <f>IFERROR(__xludf.DUMMYFUNCTION("""COMPUTED_VALUE"""),2.0)</f>
        <v>2</v>
      </c>
      <c r="K28" s="12">
        <f>IFERROR(__xludf.DUMMYFUNCTION("""COMPUTED_VALUE"""),2.0)</f>
        <v>2</v>
      </c>
      <c r="L28" s="12">
        <f>IFERROR(__xludf.DUMMYFUNCTION("""COMPUTED_VALUE"""),1.0)</f>
        <v>1</v>
      </c>
      <c r="M28" s="12" t="str">
        <f>IFERROR(__xludf.DUMMYFUNCTION("""COMPUTED_VALUE"""),"Working")</f>
        <v>Working</v>
      </c>
      <c r="N28" s="12" t="str">
        <f>IFERROR(__xludf.DUMMYFUNCTION("""COMPUTED_VALUE"""),"CORRECT")</f>
        <v>CORRECT</v>
      </c>
      <c r="O28" s="12" t="str">
        <f>IFERROR(__xludf.DUMMYFUNCTION("""COMPUTED_VALUE"""),"LOAD PENDING")</f>
        <v>LOAD PENDING</v>
      </c>
      <c r="P28" s="12" t="str">
        <f t="shared" si="2"/>
        <v/>
      </c>
      <c r="Q28" s="12" t="str">
        <f t="shared" si="3"/>
        <v/>
      </c>
    </row>
    <row r="29">
      <c r="A29" s="1">
        <v>28.0</v>
      </c>
      <c r="B29" s="1" t="s">
        <v>361</v>
      </c>
      <c r="C29" s="1" t="s">
        <v>271</v>
      </c>
      <c r="D29" s="1" t="s">
        <v>362</v>
      </c>
      <c r="E29" s="12" t="str">
        <f t="shared" si="1"/>
        <v>Mr.SASSON TAFFWIN MOSES S</v>
      </c>
      <c r="F29" s="13" t="s">
        <v>273</v>
      </c>
      <c r="G29" s="12" t="s">
        <v>301</v>
      </c>
      <c r="H29" s="12" t="s">
        <v>363</v>
      </c>
      <c r="I2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Col2='""&amp;B29&amp;""'"",0)"),2.0)</f>
        <v>2</v>
      </c>
      <c r="J29" s="12">
        <f>IFERROR(__xludf.DUMMYFUNCTION("""COMPUTED_VALUE"""),2.0)</f>
        <v>2</v>
      </c>
      <c r="K29" s="12">
        <f>IFERROR(__xludf.DUMMYFUNCTION("""COMPUTED_VALUE"""),2.0)</f>
        <v>2</v>
      </c>
      <c r="L29" s="12">
        <f>IFERROR(__xludf.DUMMYFUNCTION("""COMPUTED_VALUE"""),1.0)</f>
        <v>1</v>
      </c>
      <c r="M29" s="12" t="str">
        <f>IFERROR(__xludf.DUMMYFUNCTION("""COMPUTED_VALUE"""),"Working")</f>
        <v>Working</v>
      </c>
      <c r="N29" s="12" t="str">
        <f>IFERROR(__xludf.DUMMYFUNCTION("""COMPUTED_VALUE"""),"CORRECT")</f>
        <v>CORRECT</v>
      </c>
      <c r="O29" s="12" t="str">
        <f>IFERROR(__xludf.DUMMYFUNCTION("""COMPUTED_VALUE"""),"LOAD PENDING")</f>
        <v>LOAD PENDING</v>
      </c>
      <c r="P29" s="12" t="str">
        <f t="shared" si="2"/>
        <v/>
      </c>
      <c r="Q29" s="12" t="str">
        <f t="shared" si="3"/>
        <v/>
      </c>
    </row>
    <row r="30">
      <c r="A30" s="1">
        <v>29.0</v>
      </c>
      <c r="B30" s="1" t="s">
        <v>364</v>
      </c>
      <c r="C30" s="1" t="s">
        <v>286</v>
      </c>
      <c r="D30" s="1" t="s">
        <v>365</v>
      </c>
      <c r="E30" s="12" t="str">
        <f t="shared" si="1"/>
        <v>Mrs.MANOCHITRA A S</v>
      </c>
      <c r="F30" s="13" t="s">
        <v>273</v>
      </c>
      <c r="G30" s="12" t="s">
        <v>301</v>
      </c>
      <c r="H30" s="12" t="s">
        <v>366</v>
      </c>
      <c r="I3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Col2='""&amp;B30&amp;""'"",0)"),2.0)</f>
        <v>2</v>
      </c>
      <c r="J30" s="12">
        <f>IFERROR(__xludf.DUMMYFUNCTION("""COMPUTED_VALUE"""),2.0)</f>
        <v>2</v>
      </c>
      <c r="K30" s="12">
        <f>IFERROR(__xludf.DUMMYFUNCTION("""COMPUTED_VALUE"""),2.0)</f>
        <v>2</v>
      </c>
      <c r="L30" s="12">
        <f>IFERROR(__xludf.DUMMYFUNCTION("""COMPUTED_VALUE"""),1.0)</f>
        <v>1</v>
      </c>
      <c r="M30" s="12" t="str">
        <f>IFERROR(__xludf.DUMMYFUNCTION("""COMPUTED_VALUE"""),"Working")</f>
        <v>Working</v>
      </c>
      <c r="N30" s="12" t="str">
        <f>IFERROR(__xludf.DUMMYFUNCTION("""COMPUTED_VALUE"""),"CORRECT")</f>
        <v>CORRECT</v>
      </c>
      <c r="O30" s="12" t="str">
        <f>IFERROR(__xludf.DUMMYFUNCTION("""COMPUTED_VALUE"""),"LOAD PENDING")</f>
        <v>LOAD PENDING</v>
      </c>
      <c r="P30" s="12" t="str">
        <f t="shared" si="2"/>
        <v/>
      </c>
      <c r="Q30" s="12" t="str">
        <f t="shared" si="3"/>
        <v/>
      </c>
    </row>
    <row r="31">
      <c r="A31" s="1">
        <v>30.0</v>
      </c>
      <c r="B31" s="1" t="s">
        <v>367</v>
      </c>
      <c r="C31" s="1" t="s">
        <v>271</v>
      </c>
      <c r="D31" s="1" t="s">
        <v>368</v>
      </c>
      <c r="E31" s="12" t="str">
        <f t="shared" si="1"/>
        <v>Mr.NAVANEETH KUMAR K</v>
      </c>
      <c r="F31" s="13" t="s">
        <v>273</v>
      </c>
      <c r="G31" s="12" t="s">
        <v>274</v>
      </c>
      <c r="H31" s="12" t="s">
        <v>369</v>
      </c>
      <c r="I31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Col2='""&amp;B31&amp;""'"",0)"),"")</f>
        <v/>
      </c>
      <c r="J31" s="12"/>
      <c r="K31" s="12">
        <f>IFERROR(__xludf.DUMMYFUNCTION("""COMPUTED_VALUE"""),1.0)</f>
        <v>1</v>
      </c>
      <c r="L31" s="12">
        <f>IFERROR(__xludf.DUMMYFUNCTION("""COMPUTED_VALUE"""),0.0)</f>
        <v>0</v>
      </c>
      <c r="M31" s="12" t="str">
        <f>IFERROR(__xludf.DUMMYFUNCTION("""COMPUTED_VALUE"""),"Working")</f>
        <v>Working</v>
      </c>
      <c r="N31" s="12" t="str">
        <f>IFERROR(__xludf.DUMMYFUNCTION("""COMPUTED_VALUE"""),"#N/A")</f>
        <v>#N/A</v>
      </c>
      <c r="O31" s="12" t="str">
        <f>IFERROR(__xludf.DUMMYFUNCTION("""COMPUTED_VALUE"""),"CORRECT")</f>
        <v>CORRECT</v>
      </c>
      <c r="P31" s="12" t="str">
        <f t="shared" si="2"/>
        <v>Extra Theory Load Alloted</v>
      </c>
      <c r="Q31" s="12" t="str">
        <f t="shared" si="3"/>
        <v/>
      </c>
    </row>
    <row r="32">
      <c r="A32" s="1">
        <v>31.0</v>
      </c>
      <c r="B32" s="1" t="s">
        <v>370</v>
      </c>
      <c r="C32" s="1" t="s">
        <v>277</v>
      </c>
      <c r="D32" s="1" t="s">
        <v>371</v>
      </c>
      <c r="E32" s="12" t="str">
        <f t="shared" si="1"/>
        <v>Dr.GOMATHI R</v>
      </c>
      <c r="F32" s="13" t="s">
        <v>273</v>
      </c>
      <c r="G32" s="12" t="s">
        <v>283</v>
      </c>
      <c r="H32" s="12" t="s">
        <v>372</v>
      </c>
      <c r="I3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Col2='""&amp;B32&amp;""'"",0)"),1.0)</f>
        <v>1</v>
      </c>
      <c r="J32" s="12">
        <f>IFERROR(__xludf.DUMMYFUNCTION("""COMPUTED_VALUE"""),0.0)</f>
        <v>0</v>
      </c>
      <c r="K32" s="12">
        <f>IFERROR(__xludf.DUMMYFUNCTION("""COMPUTED_VALUE"""),1.0)</f>
        <v>1</v>
      </c>
      <c r="L32" s="12">
        <f>IFERROR(__xludf.DUMMYFUNCTION("""COMPUTED_VALUE"""),0.0)</f>
        <v>0</v>
      </c>
      <c r="M32" s="12" t="str">
        <f>IFERROR(__xludf.DUMMYFUNCTION("""COMPUTED_VALUE"""),"Working")</f>
        <v>Working</v>
      </c>
      <c r="N32" s="12" t="str">
        <f>IFERROR(__xludf.DUMMYFUNCTION("""COMPUTED_VALUE"""),"CORRECT")</f>
        <v>CORRECT</v>
      </c>
      <c r="O32" s="12" t="str">
        <f>IFERROR(__xludf.DUMMYFUNCTION("""COMPUTED_VALUE"""),"CORRECT")</f>
        <v>CORRECT</v>
      </c>
      <c r="P32" s="12" t="str">
        <f t="shared" si="2"/>
        <v/>
      </c>
      <c r="Q32" s="12" t="str">
        <f t="shared" si="3"/>
        <v/>
      </c>
    </row>
    <row r="33">
      <c r="A33" s="1">
        <v>32.0</v>
      </c>
      <c r="B33" s="1" t="s">
        <v>373</v>
      </c>
      <c r="C33" s="1" t="s">
        <v>277</v>
      </c>
      <c r="D33" s="1" t="s">
        <v>374</v>
      </c>
      <c r="E33" s="12" t="str">
        <f t="shared" si="1"/>
        <v>Dr.NANDHINI S S</v>
      </c>
      <c r="F33" s="13" t="s">
        <v>273</v>
      </c>
      <c r="G33" s="12" t="s">
        <v>279</v>
      </c>
      <c r="H33" s="12" t="s">
        <v>375</v>
      </c>
      <c r="I3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Col2='""&amp;B33&amp;""'"",0)"),0.0)</f>
        <v>0</v>
      </c>
      <c r="J33" s="12">
        <f>IFERROR(__xludf.DUMMYFUNCTION("""COMPUTED_VALUE"""),0.0)</f>
        <v>0</v>
      </c>
      <c r="K33" s="12">
        <f>IFERROR(__xludf.DUMMYFUNCTION("""COMPUTED_VALUE"""),0.0)</f>
        <v>0</v>
      </c>
      <c r="L33" s="12">
        <f>IFERROR(__xludf.DUMMYFUNCTION("""COMPUTED_VALUE"""),0.0)</f>
        <v>0</v>
      </c>
      <c r="M33" s="12" t="str">
        <f>IFERROR(__xludf.DUMMYFUNCTION("""COMPUTED_VALUE"""),"Working")</f>
        <v>Working</v>
      </c>
      <c r="N33" s="12" t="str">
        <f>IFERROR(__xludf.DUMMYFUNCTION("""COMPUTED_VALUE"""),"CORRECT")</f>
        <v>CORRECT</v>
      </c>
      <c r="O33" s="12" t="str">
        <f>IFERROR(__xludf.DUMMYFUNCTION("""COMPUTED_VALUE"""),"CORRECT")</f>
        <v>CORRECT</v>
      </c>
      <c r="P33" s="12" t="str">
        <f t="shared" si="2"/>
        <v/>
      </c>
      <c r="Q33" s="12" t="str">
        <f t="shared" si="3"/>
        <v/>
      </c>
    </row>
    <row r="34">
      <c r="A34" s="1">
        <v>33.0</v>
      </c>
      <c r="B34" s="1" t="s">
        <v>376</v>
      </c>
      <c r="C34" s="1" t="s">
        <v>277</v>
      </c>
      <c r="D34" s="1" t="s">
        <v>377</v>
      </c>
      <c r="E34" s="12" t="str">
        <f t="shared" si="1"/>
        <v>Dr.VASUDEVAN M</v>
      </c>
      <c r="F34" s="13" t="s">
        <v>378</v>
      </c>
      <c r="G34" s="12" t="s">
        <v>279</v>
      </c>
      <c r="H34" s="12" t="s">
        <v>379</v>
      </c>
      <c r="I3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Col2='""&amp;B34&amp;""'"",0)"),2.0)</f>
        <v>2</v>
      </c>
      <c r="J34" s="12">
        <f>IFERROR(__xludf.DUMMYFUNCTION("""COMPUTED_VALUE"""),1.0)</f>
        <v>1</v>
      </c>
      <c r="K34" s="12">
        <f>IFERROR(__xludf.DUMMYFUNCTION("""COMPUTED_VALUE"""),2.0)</f>
        <v>2</v>
      </c>
      <c r="L34" s="12">
        <f>IFERROR(__xludf.DUMMYFUNCTION("""COMPUTED_VALUE"""),1.0)</f>
        <v>1</v>
      </c>
      <c r="M34" s="12" t="str">
        <f>IFERROR(__xludf.DUMMYFUNCTION("""COMPUTED_VALUE"""),"Working")</f>
        <v>Working</v>
      </c>
      <c r="N34" s="12" t="str">
        <f>IFERROR(__xludf.DUMMYFUNCTION("""COMPUTED_VALUE"""),"CORRECT")</f>
        <v>CORRECT</v>
      </c>
      <c r="O34" s="12" t="str">
        <f>IFERROR(__xludf.DUMMYFUNCTION("""COMPUTED_VALUE"""),"CORRECT")</f>
        <v>CORRECT</v>
      </c>
      <c r="P34" s="12" t="str">
        <f t="shared" si="2"/>
        <v/>
      </c>
      <c r="Q34" s="12" t="str">
        <f t="shared" si="3"/>
        <v/>
      </c>
    </row>
    <row r="35">
      <c r="A35" s="1">
        <v>34.0</v>
      </c>
      <c r="B35" s="1" t="s">
        <v>380</v>
      </c>
      <c r="C35" s="1" t="s">
        <v>277</v>
      </c>
      <c r="D35" s="1" t="s">
        <v>381</v>
      </c>
      <c r="E35" s="12" t="str">
        <f t="shared" si="1"/>
        <v>Dr.VINOTH KUMAR J</v>
      </c>
      <c r="F35" s="13" t="s">
        <v>378</v>
      </c>
      <c r="G35" s="12" t="s">
        <v>274</v>
      </c>
      <c r="H35" s="12" t="s">
        <v>382</v>
      </c>
      <c r="I3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Col2='""&amp;B35&amp;""'"",0)"),1.0)</f>
        <v>1</v>
      </c>
      <c r="J35" s="12">
        <f>IFERROR(__xludf.DUMMYFUNCTION("""COMPUTED_VALUE"""),0.0)</f>
        <v>0</v>
      </c>
      <c r="K35" s="12">
        <f>IFERROR(__xludf.DUMMYFUNCTION("""COMPUTED_VALUE"""),1.0)</f>
        <v>1</v>
      </c>
      <c r="L35" s="12">
        <f>IFERROR(__xludf.DUMMYFUNCTION("""COMPUTED_VALUE"""),1.0)</f>
        <v>1</v>
      </c>
      <c r="M35" s="12" t="str">
        <f>IFERROR(__xludf.DUMMYFUNCTION("""COMPUTED_VALUE"""),"Working")</f>
        <v>Working</v>
      </c>
      <c r="N35" s="12" t="str">
        <f>IFERROR(__xludf.DUMMYFUNCTION("""COMPUTED_VALUE"""),"CORRECT")</f>
        <v>CORRECT</v>
      </c>
      <c r="O35" s="12" t="str">
        <f>IFERROR(__xludf.DUMMYFUNCTION("""COMPUTED_VALUE"""),"CORRECT")</f>
        <v>CORRECT</v>
      </c>
      <c r="P35" s="12" t="str">
        <f t="shared" si="2"/>
        <v/>
      </c>
      <c r="Q35" s="12" t="str">
        <f t="shared" si="3"/>
        <v>Extra Lab Load Alloted</v>
      </c>
    </row>
    <row r="36">
      <c r="A36" s="1">
        <v>35.0</v>
      </c>
      <c r="B36" s="1" t="s">
        <v>383</v>
      </c>
      <c r="C36" s="1" t="s">
        <v>277</v>
      </c>
      <c r="D36" s="1" t="s">
        <v>384</v>
      </c>
      <c r="E36" s="12" t="str">
        <f t="shared" si="1"/>
        <v>Dr.CHELLADURAI V</v>
      </c>
      <c r="F36" s="13" t="s">
        <v>378</v>
      </c>
      <c r="G36" s="12" t="s">
        <v>279</v>
      </c>
      <c r="H36" s="12" t="s">
        <v>385</v>
      </c>
      <c r="I3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Col2='""&amp;B36&amp;""'"",0)"),1.0)</f>
        <v>1</v>
      </c>
      <c r="J36" s="12">
        <f>IFERROR(__xludf.DUMMYFUNCTION("""COMPUTED_VALUE"""),0.0)</f>
        <v>0</v>
      </c>
      <c r="K36" s="12">
        <f>IFERROR(__xludf.DUMMYFUNCTION("""COMPUTED_VALUE"""),1.0)</f>
        <v>1</v>
      </c>
      <c r="L36" s="12">
        <f>IFERROR(__xludf.DUMMYFUNCTION("""COMPUTED_VALUE"""),0.0)</f>
        <v>0</v>
      </c>
      <c r="M36" s="12" t="str">
        <f>IFERROR(__xludf.DUMMYFUNCTION("""COMPUTED_VALUE"""),"Working")</f>
        <v>Working</v>
      </c>
      <c r="N36" s="12" t="str">
        <f>IFERROR(__xludf.DUMMYFUNCTION("""COMPUTED_VALUE"""),"CORRECT")</f>
        <v>CORRECT</v>
      </c>
      <c r="O36" s="12" t="str">
        <f>IFERROR(__xludf.DUMMYFUNCTION("""COMPUTED_VALUE"""),"CORRECT")</f>
        <v>CORRECT</v>
      </c>
      <c r="P36" s="12" t="str">
        <f t="shared" si="2"/>
        <v/>
      </c>
      <c r="Q36" s="12" t="str">
        <f t="shared" si="3"/>
        <v/>
      </c>
    </row>
    <row r="37">
      <c r="A37" s="1">
        <v>36.0</v>
      </c>
      <c r="B37" s="1" t="s">
        <v>386</v>
      </c>
      <c r="C37" s="1" t="s">
        <v>307</v>
      </c>
      <c r="D37" s="1" t="s">
        <v>387</v>
      </c>
      <c r="E37" s="12" t="str">
        <f t="shared" si="1"/>
        <v>Ms.ANANTHI D</v>
      </c>
      <c r="F37" s="13" t="s">
        <v>378</v>
      </c>
      <c r="G37" s="12" t="s">
        <v>301</v>
      </c>
      <c r="H37" s="12" t="s">
        <v>388</v>
      </c>
      <c r="I3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Col2='""&amp;B37&amp;""'"",0)"),2.0)</f>
        <v>2</v>
      </c>
      <c r="J37" s="12">
        <f>IFERROR(__xludf.DUMMYFUNCTION("""COMPUTED_VALUE"""),2.0)</f>
        <v>2</v>
      </c>
      <c r="K37" s="12">
        <f>IFERROR(__xludf.DUMMYFUNCTION("""COMPUTED_VALUE"""),2.0)</f>
        <v>2</v>
      </c>
      <c r="L37" s="12">
        <f>IFERROR(__xludf.DUMMYFUNCTION("""COMPUTED_VALUE"""),1.0)</f>
        <v>1</v>
      </c>
      <c r="M37" s="12" t="str">
        <f>IFERROR(__xludf.DUMMYFUNCTION("""COMPUTED_VALUE"""),"Working")</f>
        <v>Working</v>
      </c>
      <c r="N37" s="12" t="str">
        <f>IFERROR(__xludf.DUMMYFUNCTION("""COMPUTED_VALUE"""),"CORRECT")</f>
        <v>CORRECT</v>
      </c>
      <c r="O37" s="12" t="str">
        <f>IFERROR(__xludf.DUMMYFUNCTION("""COMPUTED_VALUE"""),"LOAD PENDING")</f>
        <v>LOAD PENDING</v>
      </c>
      <c r="P37" s="12" t="str">
        <f t="shared" si="2"/>
        <v/>
      </c>
      <c r="Q37" s="12" t="str">
        <f t="shared" si="3"/>
        <v/>
      </c>
    </row>
    <row r="38">
      <c r="A38" s="1">
        <v>37.0</v>
      </c>
      <c r="B38" s="1" t="s">
        <v>389</v>
      </c>
      <c r="C38" s="1" t="s">
        <v>271</v>
      </c>
      <c r="D38" s="1" t="s">
        <v>390</v>
      </c>
      <c r="E38" s="12" t="str">
        <f t="shared" si="1"/>
        <v>Mr.MUTHUKUMARAVEL K</v>
      </c>
      <c r="F38" s="13" t="s">
        <v>378</v>
      </c>
      <c r="G38" s="12" t="s">
        <v>301</v>
      </c>
      <c r="H38" s="12" t="s">
        <v>391</v>
      </c>
      <c r="I3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Col2='""&amp;B38&amp;""'"",0)"),1.0)</f>
        <v>1</v>
      </c>
      <c r="J38" s="12">
        <f>IFERROR(__xludf.DUMMYFUNCTION("""COMPUTED_VALUE"""),0.0)</f>
        <v>0</v>
      </c>
      <c r="K38" s="12">
        <f>IFERROR(__xludf.DUMMYFUNCTION("""COMPUTED_VALUE"""),1.0)</f>
        <v>1</v>
      </c>
      <c r="L38" s="12">
        <f>IFERROR(__xludf.DUMMYFUNCTION("""COMPUTED_VALUE"""),0.0)</f>
        <v>0</v>
      </c>
      <c r="M38" s="12" t="str">
        <f>IFERROR(__xludf.DUMMYFUNCTION("""COMPUTED_VALUE"""),"Working")</f>
        <v>Working</v>
      </c>
      <c r="N38" s="12" t="str">
        <f>IFERROR(__xludf.DUMMYFUNCTION("""COMPUTED_VALUE"""),"CORRECT")</f>
        <v>CORRECT</v>
      </c>
      <c r="O38" s="12" t="str">
        <f>IFERROR(__xludf.DUMMYFUNCTION("""COMPUTED_VALUE"""),"CORRECT")</f>
        <v>CORRECT</v>
      </c>
      <c r="P38" s="12" t="str">
        <f t="shared" si="2"/>
        <v/>
      </c>
      <c r="Q38" s="12" t="str">
        <f t="shared" si="3"/>
        <v/>
      </c>
    </row>
    <row r="39">
      <c r="A39" s="1">
        <v>38.0</v>
      </c>
      <c r="B39" s="1" t="s">
        <v>392</v>
      </c>
      <c r="C39" s="1" t="s">
        <v>277</v>
      </c>
      <c r="D39" s="1" t="s">
        <v>393</v>
      </c>
      <c r="E39" s="12" t="str">
        <f t="shared" si="1"/>
        <v>Dr.PRAVEEN KUMAR D</v>
      </c>
      <c r="F39" s="13" t="s">
        <v>378</v>
      </c>
      <c r="G39" s="12" t="s">
        <v>291</v>
      </c>
      <c r="H39" s="12" t="s">
        <v>394</v>
      </c>
      <c r="I3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Col2='""&amp;B39&amp;""'"",0)"),2.0)</f>
        <v>2</v>
      </c>
      <c r="J39" s="12">
        <f>IFERROR(__xludf.DUMMYFUNCTION("""COMPUTED_VALUE"""),2.0)</f>
        <v>2</v>
      </c>
      <c r="K39" s="12">
        <f>IFERROR(__xludf.DUMMYFUNCTION("""COMPUTED_VALUE"""),2.0)</f>
        <v>2</v>
      </c>
      <c r="L39" s="12">
        <f>IFERROR(__xludf.DUMMYFUNCTION("""COMPUTED_VALUE"""),1.0)</f>
        <v>1</v>
      </c>
      <c r="M39" s="12" t="str">
        <f>IFERROR(__xludf.DUMMYFUNCTION("""COMPUTED_VALUE"""),"Working")</f>
        <v>Working</v>
      </c>
      <c r="N39" s="12" t="str">
        <f>IFERROR(__xludf.DUMMYFUNCTION("""COMPUTED_VALUE"""),"CORRECT")</f>
        <v>CORRECT</v>
      </c>
      <c r="O39" s="12" t="str">
        <f>IFERROR(__xludf.DUMMYFUNCTION("""COMPUTED_VALUE"""),"LOAD PENDING")</f>
        <v>LOAD PENDING</v>
      </c>
      <c r="P39" s="12" t="str">
        <f t="shared" si="2"/>
        <v/>
      </c>
      <c r="Q39" s="12" t="str">
        <f t="shared" si="3"/>
        <v/>
      </c>
    </row>
    <row r="40">
      <c r="A40" s="1">
        <v>39.0</v>
      </c>
      <c r="B40" s="1" t="s">
        <v>395</v>
      </c>
      <c r="C40" s="1" t="s">
        <v>277</v>
      </c>
      <c r="D40" s="1" t="s">
        <v>396</v>
      </c>
      <c r="E40" s="12" t="str">
        <f t="shared" si="1"/>
        <v>Dr.RAGHUL S</v>
      </c>
      <c r="F40" s="13" t="s">
        <v>378</v>
      </c>
      <c r="G40" s="12" t="s">
        <v>301</v>
      </c>
      <c r="H40" s="12" t="s">
        <v>397</v>
      </c>
      <c r="I4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Col2='""&amp;B40&amp;""'"",0)"),2.0)</f>
        <v>2</v>
      </c>
      <c r="J40" s="12">
        <f>IFERROR(__xludf.DUMMYFUNCTION("""COMPUTED_VALUE"""),2.0)</f>
        <v>2</v>
      </c>
      <c r="K40" s="12">
        <f>IFERROR(__xludf.DUMMYFUNCTION("""COMPUTED_VALUE"""),1.0)</f>
        <v>1</v>
      </c>
      <c r="L40" s="12">
        <f>IFERROR(__xludf.DUMMYFUNCTION("""COMPUTED_VALUE"""),2.0)</f>
        <v>2</v>
      </c>
      <c r="M40" s="12" t="str">
        <f>IFERROR(__xludf.DUMMYFUNCTION("""COMPUTED_VALUE"""),"Working")</f>
        <v>Working</v>
      </c>
      <c r="N40" s="12" t="str">
        <f>IFERROR(__xludf.DUMMYFUNCTION("""COMPUTED_VALUE"""),"LOAD PENDING")</f>
        <v>LOAD PENDING</v>
      </c>
      <c r="O40" s="12" t="str">
        <f>IFERROR(__xludf.DUMMYFUNCTION("""COMPUTED_VALUE"""),"CORRECT")</f>
        <v>CORRECT</v>
      </c>
      <c r="P40" s="12" t="str">
        <f t="shared" si="2"/>
        <v/>
      </c>
      <c r="Q40" s="12" t="str">
        <f t="shared" si="3"/>
        <v/>
      </c>
    </row>
    <row r="41">
      <c r="A41" s="1">
        <v>40.0</v>
      </c>
      <c r="B41" s="1" t="s">
        <v>398</v>
      </c>
      <c r="C41" s="1" t="s">
        <v>307</v>
      </c>
      <c r="D41" s="1" t="s">
        <v>399</v>
      </c>
      <c r="E41" s="12" t="str">
        <f t="shared" si="1"/>
        <v>Ms.SNEKHA A R</v>
      </c>
      <c r="F41" s="13" t="s">
        <v>378</v>
      </c>
      <c r="G41" s="12" t="s">
        <v>301</v>
      </c>
      <c r="H41" s="12" t="s">
        <v>400</v>
      </c>
      <c r="I4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Col2='""&amp;B41&amp;""'"",0)"),2.0)</f>
        <v>2</v>
      </c>
      <c r="J41" s="12">
        <f>IFERROR(__xludf.DUMMYFUNCTION("""COMPUTED_VALUE"""),2.0)</f>
        <v>2</v>
      </c>
      <c r="K41" s="12">
        <f>IFERROR(__xludf.DUMMYFUNCTION("""COMPUTED_VALUE"""),2.0)</f>
        <v>2</v>
      </c>
      <c r="L41" s="12">
        <f>IFERROR(__xludf.DUMMYFUNCTION("""COMPUTED_VALUE"""),0.0)</f>
        <v>0</v>
      </c>
      <c r="M41" s="12" t="str">
        <f>IFERROR(__xludf.DUMMYFUNCTION("""COMPUTED_VALUE"""),"Working")</f>
        <v>Working</v>
      </c>
      <c r="N41" s="12" t="str">
        <f>IFERROR(__xludf.DUMMYFUNCTION("""COMPUTED_VALUE"""),"CORRECT")</f>
        <v>CORRECT</v>
      </c>
      <c r="O41" s="12" t="str">
        <f>IFERROR(__xludf.DUMMYFUNCTION("""COMPUTED_VALUE"""),"LOAD PENDING")</f>
        <v>LOAD PENDING</v>
      </c>
      <c r="P41" s="12" t="str">
        <f t="shared" si="2"/>
        <v/>
      </c>
      <c r="Q41" s="12" t="str">
        <f t="shared" si="3"/>
        <v/>
      </c>
    </row>
    <row r="42">
      <c r="A42" s="1">
        <v>41.0</v>
      </c>
      <c r="B42" s="1" t="s">
        <v>401</v>
      </c>
      <c r="C42" s="1" t="s">
        <v>277</v>
      </c>
      <c r="D42" s="1" t="s">
        <v>402</v>
      </c>
      <c r="E42" s="12" t="str">
        <f t="shared" si="1"/>
        <v>Dr.UVARAJA V C</v>
      </c>
      <c r="F42" s="13" t="s">
        <v>378</v>
      </c>
      <c r="G42" s="12" t="s">
        <v>283</v>
      </c>
      <c r="H42" s="12" t="s">
        <v>403</v>
      </c>
      <c r="I4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Col2='""&amp;B42&amp;""'"",0)"),1.0)</f>
        <v>1</v>
      </c>
      <c r="J42" s="12">
        <f>IFERROR(__xludf.DUMMYFUNCTION("""COMPUTED_VALUE"""),1.0)</f>
        <v>1</v>
      </c>
      <c r="K42" s="12">
        <f>IFERROR(__xludf.DUMMYFUNCTION("""COMPUTED_VALUE"""),2.0)</f>
        <v>2</v>
      </c>
      <c r="L42" s="12">
        <f>IFERROR(__xludf.DUMMYFUNCTION("""COMPUTED_VALUE"""),1.0)</f>
        <v>1</v>
      </c>
      <c r="M42" s="12" t="str">
        <f>IFERROR(__xludf.DUMMYFUNCTION("""COMPUTED_VALUE"""),"Working")</f>
        <v>Working</v>
      </c>
      <c r="N42" s="12" t="str">
        <f>IFERROR(__xludf.DUMMYFUNCTION("""COMPUTED_VALUE"""),"CORRECT")</f>
        <v>CORRECT</v>
      </c>
      <c r="O42" s="12" t="str">
        <f>IFERROR(__xludf.DUMMYFUNCTION("""COMPUTED_VALUE"""),"CORRECT")</f>
        <v>CORRECT</v>
      </c>
      <c r="P42" s="12" t="str">
        <f t="shared" si="2"/>
        <v>Extra Theory Load Alloted</v>
      </c>
      <c r="Q42" s="12" t="str">
        <f t="shared" si="3"/>
        <v/>
      </c>
    </row>
    <row r="43">
      <c r="A43" s="1">
        <v>42.0</v>
      </c>
      <c r="B43" s="1" t="s">
        <v>404</v>
      </c>
      <c r="C43" s="1" t="s">
        <v>286</v>
      </c>
      <c r="D43" s="1" t="s">
        <v>405</v>
      </c>
      <c r="E43" s="12" t="str">
        <f t="shared" si="1"/>
        <v>Mrs.SUDHA R</v>
      </c>
      <c r="F43" s="13" t="s">
        <v>406</v>
      </c>
      <c r="G43" s="12" t="s">
        <v>291</v>
      </c>
      <c r="H43" s="12" t="s">
        <v>407</v>
      </c>
      <c r="I4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Col2='""&amp;B43&amp;""'"",0)"),0.0)</f>
        <v>0</v>
      </c>
      <c r="J43" s="12">
        <f>IFERROR(__xludf.DUMMYFUNCTION("""COMPUTED_VALUE"""),0.0)</f>
        <v>0</v>
      </c>
      <c r="K43" s="12">
        <f>IFERROR(__xludf.DUMMYFUNCTION("""COMPUTED_VALUE"""),0.0)</f>
        <v>0</v>
      </c>
      <c r="L43" s="12">
        <f>IFERROR(__xludf.DUMMYFUNCTION("""COMPUTED_VALUE"""),0.0)</f>
        <v>0</v>
      </c>
      <c r="M43" s="12" t="str">
        <f>IFERROR(__xludf.DUMMYFUNCTION("""COMPUTED_VALUE"""),"Working")</f>
        <v>Working</v>
      </c>
      <c r="N43" s="12" t="str">
        <f>IFERROR(__xludf.DUMMYFUNCTION("""COMPUTED_VALUE"""),"CORRECT")</f>
        <v>CORRECT</v>
      </c>
      <c r="O43" s="12" t="str">
        <f>IFERROR(__xludf.DUMMYFUNCTION("""COMPUTED_VALUE"""),"CORRECT")</f>
        <v>CORRECT</v>
      </c>
      <c r="P43" s="12" t="str">
        <f t="shared" si="2"/>
        <v/>
      </c>
      <c r="Q43" s="12" t="str">
        <f t="shared" si="3"/>
        <v/>
      </c>
    </row>
    <row r="44">
      <c r="A44" s="1">
        <v>43.0</v>
      </c>
      <c r="B44" s="1" t="s">
        <v>408</v>
      </c>
      <c r="C44" s="1" t="s">
        <v>277</v>
      </c>
      <c r="D44" s="1" t="s">
        <v>409</v>
      </c>
      <c r="E44" s="12" t="str">
        <f t="shared" si="1"/>
        <v>Dr.BHARATHI A</v>
      </c>
      <c r="F44" s="13" t="s">
        <v>406</v>
      </c>
      <c r="G44" s="12" t="s">
        <v>283</v>
      </c>
      <c r="H44" s="12" t="s">
        <v>410</v>
      </c>
      <c r="I4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Col2='""&amp;B44&amp;""'"",0)"),1.0)</f>
        <v>1</v>
      </c>
      <c r="J44" s="12">
        <f>IFERROR(__xludf.DUMMYFUNCTION("""COMPUTED_VALUE"""),0.0)</f>
        <v>0</v>
      </c>
      <c r="K44" s="12">
        <f>IFERROR(__xludf.DUMMYFUNCTION("""COMPUTED_VALUE"""),1.0)</f>
        <v>1</v>
      </c>
      <c r="L44" s="12">
        <f>IFERROR(__xludf.DUMMYFUNCTION("""COMPUTED_VALUE"""),0.0)</f>
        <v>0</v>
      </c>
      <c r="M44" s="12" t="str">
        <f>IFERROR(__xludf.DUMMYFUNCTION("""COMPUTED_VALUE"""),"Working")</f>
        <v>Working</v>
      </c>
      <c r="N44" s="12" t="str">
        <f>IFERROR(__xludf.DUMMYFUNCTION("""COMPUTED_VALUE"""),"CORRECT")</f>
        <v>CORRECT</v>
      </c>
      <c r="O44" s="12" t="str">
        <f>IFERROR(__xludf.DUMMYFUNCTION("""COMPUTED_VALUE"""),"CORRECT")</f>
        <v>CORRECT</v>
      </c>
      <c r="P44" s="12" t="str">
        <f t="shared" si="2"/>
        <v/>
      </c>
      <c r="Q44" s="12" t="str">
        <f t="shared" si="3"/>
        <v/>
      </c>
    </row>
    <row r="45">
      <c r="A45" s="1">
        <v>44.0</v>
      </c>
      <c r="B45" s="1" t="s">
        <v>411</v>
      </c>
      <c r="C45" s="1" t="s">
        <v>277</v>
      </c>
      <c r="D45" s="1" t="s">
        <v>412</v>
      </c>
      <c r="E45" s="12" t="str">
        <f t="shared" si="1"/>
        <v>Dr.PADMASHREE A</v>
      </c>
      <c r="F45" s="13" t="s">
        <v>406</v>
      </c>
      <c r="G45" s="12" t="s">
        <v>279</v>
      </c>
      <c r="H45" s="12" t="s">
        <v>413</v>
      </c>
      <c r="I4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Col2='""&amp;B45&amp;""'"",0)"),2.0)</f>
        <v>2</v>
      </c>
      <c r="J45" s="12">
        <f>IFERROR(__xludf.DUMMYFUNCTION("""COMPUTED_VALUE"""),1.0)</f>
        <v>1</v>
      </c>
      <c r="K45" s="12">
        <f>IFERROR(__xludf.DUMMYFUNCTION("""COMPUTED_VALUE"""),2.0)</f>
        <v>2</v>
      </c>
      <c r="L45" s="12">
        <f>IFERROR(__xludf.DUMMYFUNCTION("""COMPUTED_VALUE"""),1.0)</f>
        <v>1</v>
      </c>
      <c r="M45" s="12" t="str">
        <f>IFERROR(__xludf.DUMMYFUNCTION("""COMPUTED_VALUE"""),"Working")</f>
        <v>Working</v>
      </c>
      <c r="N45" s="12" t="str">
        <f>IFERROR(__xludf.DUMMYFUNCTION("""COMPUTED_VALUE"""),"CORRECT")</f>
        <v>CORRECT</v>
      </c>
      <c r="O45" s="12" t="str">
        <f>IFERROR(__xludf.DUMMYFUNCTION("""COMPUTED_VALUE"""),"CORRECT")</f>
        <v>CORRECT</v>
      </c>
      <c r="P45" s="12" t="str">
        <f t="shared" si="2"/>
        <v/>
      </c>
      <c r="Q45" s="12" t="str">
        <f t="shared" si="3"/>
        <v/>
      </c>
    </row>
    <row r="46">
      <c r="A46" s="1">
        <v>45.0</v>
      </c>
      <c r="B46" s="1" t="s">
        <v>414</v>
      </c>
      <c r="C46" s="1" t="s">
        <v>277</v>
      </c>
      <c r="D46" s="1" t="s">
        <v>415</v>
      </c>
      <c r="E46" s="12" t="str">
        <f t="shared" si="1"/>
        <v>Dr.RAJASEKAR S S</v>
      </c>
      <c r="F46" s="13" t="s">
        <v>406</v>
      </c>
      <c r="G46" s="12" t="s">
        <v>279</v>
      </c>
      <c r="H46" s="12" t="s">
        <v>416</v>
      </c>
      <c r="I4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Col2='""&amp;B46&amp;""'"",0)"),2.0)</f>
        <v>2</v>
      </c>
      <c r="J46" s="12">
        <f>IFERROR(__xludf.DUMMYFUNCTION("""COMPUTED_VALUE"""),1.0)</f>
        <v>1</v>
      </c>
      <c r="K46" s="12">
        <f>IFERROR(__xludf.DUMMYFUNCTION("""COMPUTED_VALUE"""),2.0)</f>
        <v>2</v>
      </c>
      <c r="L46" s="12">
        <f>IFERROR(__xludf.DUMMYFUNCTION("""COMPUTED_VALUE"""),1.0)</f>
        <v>1</v>
      </c>
      <c r="M46" s="12" t="str">
        <f>IFERROR(__xludf.DUMMYFUNCTION("""COMPUTED_VALUE"""),"Working")</f>
        <v>Working</v>
      </c>
      <c r="N46" s="12" t="str">
        <f>IFERROR(__xludf.DUMMYFUNCTION("""COMPUTED_VALUE"""),"CORRECT")</f>
        <v>CORRECT</v>
      </c>
      <c r="O46" s="12" t="str">
        <f>IFERROR(__xludf.DUMMYFUNCTION("""COMPUTED_VALUE"""),"CORRECT")</f>
        <v>CORRECT</v>
      </c>
      <c r="P46" s="12" t="str">
        <f t="shared" si="2"/>
        <v/>
      </c>
      <c r="Q46" s="12" t="str">
        <f t="shared" si="3"/>
        <v/>
      </c>
    </row>
    <row r="47">
      <c r="A47" s="1">
        <v>46.0</v>
      </c>
      <c r="B47" s="1" t="s">
        <v>417</v>
      </c>
      <c r="C47" s="1" t="s">
        <v>286</v>
      </c>
      <c r="D47" s="1" t="s">
        <v>418</v>
      </c>
      <c r="E47" s="12" t="str">
        <f t="shared" si="1"/>
        <v>Mrs.HARI PRIYA R</v>
      </c>
      <c r="F47" s="13" t="s">
        <v>406</v>
      </c>
      <c r="G47" s="12" t="s">
        <v>291</v>
      </c>
      <c r="H47" s="12" t="s">
        <v>419</v>
      </c>
      <c r="I4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Col2='""&amp;B47&amp;""'"",0)"),1.0)</f>
        <v>1</v>
      </c>
      <c r="J47" s="12">
        <f>IFERROR(__xludf.DUMMYFUNCTION("""COMPUTED_VALUE"""),0.0)</f>
        <v>0</v>
      </c>
      <c r="K47" s="12">
        <f>IFERROR(__xludf.DUMMYFUNCTION("""COMPUTED_VALUE"""),1.0)</f>
        <v>1</v>
      </c>
      <c r="L47" s="12">
        <f>IFERROR(__xludf.DUMMYFUNCTION("""COMPUTED_VALUE"""),0.0)</f>
        <v>0</v>
      </c>
      <c r="M47" s="12" t="str">
        <f>IFERROR(__xludf.DUMMYFUNCTION("""COMPUTED_VALUE"""),"Working")</f>
        <v>Working</v>
      </c>
      <c r="N47" s="12" t="str">
        <f>IFERROR(__xludf.DUMMYFUNCTION("""COMPUTED_VALUE"""),"CORRECT")</f>
        <v>CORRECT</v>
      </c>
      <c r="O47" s="12" t="str">
        <f>IFERROR(__xludf.DUMMYFUNCTION("""COMPUTED_VALUE"""),"CORRECT")</f>
        <v>CORRECT</v>
      </c>
      <c r="P47" s="12" t="str">
        <f t="shared" si="2"/>
        <v/>
      </c>
      <c r="Q47" s="12" t="str">
        <f t="shared" si="3"/>
        <v/>
      </c>
    </row>
    <row r="48">
      <c r="A48" s="1">
        <v>47.0</v>
      </c>
      <c r="B48" s="1" t="s">
        <v>420</v>
      </c>
      <c r="C48" s="1" t="s">
        <v>307</v>
      </c>
      <c r="D48" s="1" t="s">
        <v>421</v>
      </c>
      <c r="E48" s="12" t="str">
        <f t="shared" si="1"/>
        <v>Ms.KARTHIKA S</v>
      </c>
      <c r="F48" s="13" t="s">
        <v>406</v>
      </c>
      <c r="G48" s="12" t="s">
        <v>301</v>
      </c>
      <c r="H48" s="12" t="s">
        <v>422</v>
      </c>
      <c r="I4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Col2='""&amp;B48&amp;""'"",0)"),2.0)</f>
        <v>2</v>
      </c>
      <c r="J48" s="12">
        <f>IFERROR(__xludf.DUMMYFUNCTION("""COMPUTED_VALUE"""),2.0)</f>
        <v>2</v>
      </c>
      <c r="K48" s="12">
        <f>IFERROR(__xludf.DUMMYFUNCTION("""COMPUTED_VALUE"""),2.0)</f>
        <v>2</v>
      </c>
      <c r="L48" s="12">
        <f>IFERROR(__xludf.DUMMYFUNCTION("""COMPUTED_VALUE"""),1.0)</f>
        <v>1</v>
      </c>
      <c r="M48" s="12" t="str">
        <f>IFERROR(__xludf.DUMMYFUNCTION("""COMPUTED_VALUE"""),"Working")</f>
        <v>Working</v>
      </c>
      <c r="N48" s="12" t="str">
        <f>IFERROR(__xludf.DUMMYFUNCTION("""COMPUTED_VALUE"""),"CORRECT")</f>
        <v>CORRECT</v>
      </c>
      <c r="O48" s="12" t="str">
        <f>IFERROR(__xludf.DUMMYFUNCTION("""COMPUTED_VALUE"""),"LOAD PENDING")</f>
        <v>LOAD PENDING</v>
      </c>
      <c r="P48" s="12" t="str">
        <f t="shared" si="2"/>
        <v/>
      </c>
      <c r="Q48" s="12" t="str">
        <f t="shared" si="3"/>
        <v/>
      </c>
    </row>
    <row r="49">
      <c r="A49" s="1">
        <v>48.0</v>
      </c>
      <c r="B49" s="1" t="s">
        <v>423</v>
      </c>
      <c r="C49" s="1" t="s">
        <v>271</v>
      </c>
      <c r="D49" s="1" t="s">
        <v>424</v>
      </c>
      <c r="E49" s="12" t="str">
        <f t="shared" si="1"/>
        <v>Mr.NITHIN P</v>
      </c>
      <c r="F49" s="13" t="s">
        <v>406</v>
      </c>
      <c r="G49" s="12" t="s">
        <v>291</v>
      </c>
      <c r="H49" s="12" t="s">
        <v>425</v>
      </c>
      <c r="I4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Col2='""&amp;B49&amp;""'"",0)"),2.0)</f>
        <v>2</v>
      </c>
      <c r="J49" s="12">
        <f>IFERROR(__xludf.DUMMYFUNCTION("""COMPUTED_VALUE"""),2.0)</f>
        <v>2</v>
      </c>
      <c r="K49" s="12">
        <f>IFERROR(__xludf.DUMMYFUNCTION("""COMPUTED_VALUE"""),2.0)</f>
        <v>2</v>
      </c>
      <c r="L49" s="12">
        <f>IFERROR(__xludf.DUMMYFUNCTION("""COMPUTED_VALUE"""),1.0)</f>
        <v>1</v>
      </c>
      <c r="M49" s="12" t="str">
        <f>IFERROR(__xludf.DUMMYFUNCTION("""COMPUTED_VALUE"""),"Working")</f>
        <v>Working</v>
      </c>
      <c r="N49" s="12" t="str">
        <f>IFERROR(__xludf.DUMMYFUNCTION("""COMPUTED_VALUE"""),"CORRECT")</f>
        <v>CORRECT</v>
      </c>
      <c r="O49" s="12" t="str">
        <f>IFERROR(__xludf.DUMMYFUNCTION("""COMPUTED_VALUE"""),"LOAD PENDING")</f>
        <v>LOAD PENDING</v>
      </c>
      <c r="P49" s="12" t="str">
        <f t="shared" si="2"/>
        <v/>
      </c>
      <c r="Q49" s="12" t="str">
        <f t="shared" si="3"/>
        <v/>
      </c>
    </row>
    <row r="50">
      <c r="A50" s="1">
        <v>49.0</v>
      </c>
      <c r="B50" s="1" t="s">
        <v>426</v>
      </c>
      <c r="C50" s="1" t="s">
        <v>271</v>
      </c>
      <c r="D50" s="1" t="s">
        <v>427</v>
      </c>
      <c r="E50" s="12" t="str">
        <f t="shared" si="1"/>
        <v>Mr.SATHESHKUMAR K</v>
      </c>
      <c r="F50" s="13" t="s">
        <v>406</v>
      </c>
      <c r="G50" s="12" t="s">
        <v>291</v>
      </c>
      <c r="H50" s="12" t="s">
        <v>428</v>
      </c>
      <c r="I5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Col2='""&amp;B50&amp;""'"",0)"),1.0)</f>
        <v>1</v>
      </c>
      <c r="J50" s="12">
        <f>IFERROR(__xludf.DUMMYFUNCTION("""COMPUTED_VALUE"""),0.0)</f>
        <v>0</v>
      </c>
      <c r="K50" s="12">
        <f>IFERROR(__xludf.DUMMYFUNCTION("""COMPUTED_VALUE"""),1.0)</f>
        <v>1</v>
      </c>
      <c r="L50" s="12">
        <f>IFERROR(__xludf.DUMMYFUNCTION("""COMPUTED_VALUE"""),0.0)</f>
        <v>0</v>
      </c>
      <c r="M50" s="12" t="str">
        <f>IFERROR(__xludf.DUMMYFUNCTION("""COMPUTED_VALUE"""),"Working")</f>
        <v>Working</v>
      </c>
      <c r="N50" s="12" t="str">
        <f>IFERROR(__xludf.DUMMYFUNCTION("""COMPUTED_VALUE"""),"CORRECT")</f>
        <v>CORRECT</v>
      </c>
      <c r="O50" s="12" t="str">
        <f>IFERROR(__xludf.DUMMYFUNCTION("""COMPUTED_VALUE"""),"CORRECT")</f>
        <v>CORRECT</v>
      </c>
      <c r="P50" s="12" t="str">
        <f t="shared" si="2"/>
        <v/>
      </c>
      <c r="Q50" s="12" t="str">
        <f t="shared" si="3"/>
        <v/>
      </c>
    </row>
    <row r="51">
      <c r="A51" s="1">
        <v>50.0</v>
      </c>
      <c r="B51" s="1" t="s">
        <v>429</v>
      </c>
      <c r="C51" s="1" t="s">
        <v>286</v>
      </c>
      <c r="D51" s="1" t="s">
        <v>430</v>
      </c>
      <c r="E51" s="12" t="str">
        <f t="shared" si="1"/>
        <v>Mrs.EUGENE BERNA I</v>
      </c>
      <c r="F51" s="13" t="s">
        <v>406</v>
      </c>
      <c r="G51" s="12" t="s">
        <v>274</v>
      </c>
      <c r="H51" s="12" t="s">
        <v>431</v>
      </c>
      <c r="I5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Col2='""&amp;B51&amp;""'"",0)"),1.0)</f>
        <v>1</v>
      </c>
      <c r="J51" s="12">
        <f>IFERROR(__xludf.DUMMYFUNCTION("""COMPUTED_VALUE"""),0.0)</f>
        <v>0</v>
      </c>
      <c r="K51" s="12">
        <f>IFERROR(__xludf.DUMMYFUNCTION("""COMPUTED_VALUE"""),1.0)</f>
        <v>1</v>
      </c>
      <c r="L51" s="12">
        <f>IFERROR(__xludf.DUMMYFUNCTION("""COMPUTED_VALUE"""),0.0)</f>
        <v>0</v>
      </c>
      <c r="M51" s="12" t="str">
        <f>IFERROR(__xludf.DUMMYFUNCTION("""COMPUTED_VALUE"""),"Working")</f>
        <v>Working</v>
      </c>
      <c r="N51" s="12" t="str">
        <f>IFERROR(__xludf.DUMMYFUNCTION("""COMPUTED_VALUE"""),"CORRECT")</f>
        <v>CORRECT</v>
      </c>
      <c r="O51" s="12" t="str">
        <f>IFERROR(__xludf.DUMMYFUNCTION("""COMPUTED_VALUE"""),"CORRECT")</f>
        <v>CORRECT</v>
      </c>
      <c r="P51" s="12" t="str">
        <f t="shared" si="2"/>
        <v/>
      </c>
      <c r="Q51" s="12" t="str">
        <f t="shared" si="3"/>
        <v/>
      </c>
    </row>
    <row r="52">
      <c r="A52" s="1">
        <v>51.0</v>
      </c>
      <c r="B52" s="1" t="s">
        <v>432</v>
      </c>
      <c r="C52" s="1" t="s">
        <v>307</v>
      </c>
      <c r="D52" s="1" t="s">
        <v>433</v>
      </c>
      <c r="E52" s="12" t="str">
        <f t="shared" si="1"/>
        <v>Ms.MOHANAPRIYA K</v>
      </c>
      <c r="F52" s="13" t="s">
        <v>406</v>
      </c>
      <c r="G52" s="12" t="s">
        <v>301</v>
      </c>
      <c r="H52" s="12" t="s">
        <v>434</v>
      </c>
      <c r="I5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Col2='""&amp;B52&amp;""'"",0)"),2.0)</f>
        <v>2</v>
      </c>
      <c r="J52" s="12">
        <f>IFERROR(__xludf.DUMMYFUNCTION("""COMPUTED_VALUE"""),2.0)</f>
        <v>2</v>
      </c>
      <c r="K52" s="12">
        <f>IFERROR(__xludf.DUMMYFUNCTION("""COMPUTED_VALUE"""),2.0)</f>
        <v>2</v>
      </c>
      <c r="L52" s="12">
        <f>IFERROR(__xludf.DUMMYFUNCTION("""COMPUTED_VALUE"""),1.0)</f>
        <v>1</v>
      </c>
      <c r="M52" s="12" t="str">
        <f>IFERROR(__xludf.DUMMYFUNCTION("""COMPUTED_VALUE"""),"Working")</f>
        <v>Working</v>
      </c>
      <c r="N52" s="12" t="str">
        <f>IFERROR(__xludf.DUMMYFUNCTION("""COMPUTED_VALUE"""),"CORRECT")</f>
        <v>CORRECT</v>
      </c>
      <c r="O52" s="12" t="str">
        <f>IFERROR(__xludf.DUMMYFUNCTION("""COMPUTED_VALUE"""),"LOAD PENDING")</f>
        <v>LOAD PENDING</v>
      </c>
      <c r="P52" s="12" t="str">
        <f t="shared" si="2"/>
        <v/>
      </c>
      <c r="Q52" s="12" t="str">
        <f t="shared" si="3"/>
        <v/>
      </c>
    </row>
    <row r="53">
      <c r="A53" s="1">
        <v>52.0</v>
      </c>
      <c r="B53" s="1" t="s">
        <v>435</v>
      </c>
      <c r="C53" s="1" t="s">
        <v>271</v>
      </c>
      <c r="D53" s="1" t="s">
        <v>436</v>
      </c>
      <c r="E53" s="12" t="str">
        <f t="shared" si="1"/>
        <v>Mr.BALAMURUGAN E</v>
      </c>
      <c r="F53" s="13" t="s">
        <v>406</v>
      </c>
      <c r="G53" s="12" t="s">
        <v>291</v>
      </c>
      <c r="H53" s="12" t="s">
        <v>437</v>
      </c>
      <c r="I5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Col2='""&amp;B53&amp;""'"",0)"),1.0)</f>
        <v>1</v>
      </c>
      <c r="J53" s="12">
        <f>IFERROR(__xludf.DUMMYFUNCTION("""COMPUTED_VALUE"""),0.0)</f>
        <v>0</v>
      </c>
      <c r="K53" s="12">
        <f>IFERROR(__xludf.DUMMYFUNCTION("""COMPUTED_VALUE"""),1.0)</f>
        <v>1</v>
      </c>
      <c r="L53" s="12">
        <f>IFERROR(__xludf.DUMMYFUNCTION("""COMPUTED_VALUE"""),0.0)</f>
        <v>0</v>
      </c>
      <c r="M53" s="12" t="str">
        <f>IFERROR(__xludf.DUMMYFUNCTION("""COMPUTED_VALUE"""),"Working")</f>
        <v>Working</v>
      </c>
      <c r="N53" s="12" t="str">
        <f>IFERROR(__xludf.DUMMYFUNCTION("""COMPUTED_VALUE"""),"CORRECT")</f>
        <v>CORRECT</v>
      </c>
      <c r="O53" s="12" t="str">
        <f>IFERROR(__xludf.DUMMYFUNCTION("""COMPUTED_VALUE"""),"CORRECT")</f>
        <v>CORRECT</v>
      </c>
      <c r="P53" s="12" t="str">
        <f t="shared" si="2"/>
        <v/>
      </c>
      <c r="Q53" s="12" t="str">
        <f t="shared" si="3"/>
        <v/>
      </c>
    </row>
    <row r="54">
      <c r="A54" s="1">
        <v>53.0</v>
      </c>
      <c r="B54" s="1" t="s">
        <v>438</v>
      </c>
      <c r="C54" s="1" t="s">
        <v>307</v>
      </c>
      <c r="D54" s="1" t="s">
        <v>439</v>
      </c>
      <c r="E54" s="12" t="str">
        <f t="shared" si="1"/>
        <v>Ms.KANIMOZHI A</v>
      </c>
      <c r="F54" s="13" t="s">
        <v>406</v>
      </c>
      <c r="G54" s="12" t="s">
        <v>301</v>
      </c>
      <c r="H54" s="12" t="s">
        <v>440</v>
      </c>
      <c r="I5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Col2='""&amp;B54&amp;""'"",0)"),2.0)</f>
        <v>2</v>
      </c>
      <c r="J54" s="12">
        <f>IFERROR(__xludf.DUMMYFUNCTION("""COMPUTED_VALUE"""),2.0)</f>
        <v>2</v>
      </c>
      <c r="K54" s="12">
        <f>IFERROR(__xludf.DUMMYFUNCTION("""COMPUTED_VALUE"""),2.0)</f>
        <v>2</v>
      </c>
      <c r="L54" s="12">
        <f>IFERROR(__xludf.DUMMYFUNCTION("""COMPUTED_VALUE"""),1.0)</f>
        <v>1</v>
      </c>
      <c r="M54" s="12" t="str">
        <f>IFERROR(__xludf.DUMMYFUNCTION("""COMPUTED_VALUE"""),"Working")</f>
        <v>Working</v>
      </c>
      <c r="N54" s="12" t="str">
        <f>IFERROR(__xludf.DUMMYFUNCTION("""COMPUTED_VALUE"""),"CORRECT")</f>
        <v>CORRECT</v>
      </c>
      <c r="O54" s="12" t="str">
        <f>IFERROR(__xludf.DUMMYFUNCTION("""COMPUTED_VALUE"""),"LOAD PENDING")</f>
        <v>LOAD PENDING</v>
      </c>
      <c r="P54" s="12" t="str">
        <f t="shared" si="2"/>
        <v/>
      </c>
      <c r="Q54" s="12" t="str">
        <f t="shared" si="3"/>
        <v/>
      </c>
    </row>
    <row r="55">
      <c r="A55" s="1">
        <v>54.0</v>
      </c>
      <c r="B55" s="1" t="s">
        <v>441</v>
      </c>
      <c r="C55" s="1" t="s">
        <v>286</v>
      </c>
      <c r="D55" s="1" t="s">
        <v>442</v>
      </c>
      <c r="E55" s="12" t="str">
        <f t="shared" si="1"/>
        <v>Mrs.GAYATHRIDEVI M</v>
      </c>
      <c r="F55" s="13" t="s">
        <v>406</v>
      </c>
      <c r="G55" s="12" t="s">
        <v>301</v>
      </c>
      <c r="H55" s="12" t="s">
        <v>443</v>
      </c>
      <c r="I5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Col2='""&amp;B55&amp;""'"",0)"),2.0)</f>
        <v>2</v>
      </c>
      <c r="J55" s="12">
        <f>IFERROR(__xludf.DUMMYFUNCTION("""COMPUTED_VALUE"""),2.0)</f>
        <v>2</v>
      </c>
      <c r="K55" s="12">
        <f>IFERROR(__xludf.DUMMYFUNCTION("""COMPUTED_VALUE"""),2.0)</f>
        <v>2</v>
      </c>
      <c r="L55" s="12">
        <f>IFERROR(__xludf.DUMMYFUNCTION("""COMPUTED_VALUE"""),1.0)</f>
        <v>1</v>
      </c>
      <c r="M55" s="12" t="str">
        <f>IFERROR(__xludf.DUMMYFUNCTION("""COMPUTED_VALUE"""),"Working")</f>
        <v>Working</v>
      </c>
      <c r="N55" s="12" t="str">
        <f>IFERROR(__xludf.DUMMYFUNCTION("""COMPUTED_VALUE"""),"CORRECT")</f>
        <v>CORRECT</v>
      </c>
      <c r="O55" s="12" t="str">
        <f>IFERROR(__xludf.DUMMYFUNCTION("""COMPUTED_VALUE"""),"LOAD PENDING")</f>
        <v>LOAD PENDING</v>
      </c>
      <c r="P55" s="12" t="str">
        <f t="shared" si="2"/>
        <v/>
      </c>
      <c r="Q55" s="12" t="str">
        <f t="shared" si="3"/>
        <v/>
      </c>
    </row>
    <row r="56">
      <c r="A56" s="1">
        <v>55.0</v>
      </c>
      <c r="B56" s="1" t="s">
        <v>444</v>
      </c>
      <c r="C56" s="1" t="s">
        <v>307</v>
      </c>
      <c r="D56" s="1" t="s">
        <v>445</v>
      </c>
      <c r="E56" s="12" t="str">
        <f t="shared" si="1"/>
        <v>Ms.NISHANTHINI S</v>
      </c>
      <c r="F56" s="13" t="s">
        <v>406</v>
      </c>
      <c r="G56" s="12" t="s">
        <v>301</v>
      </c>
      <c r="H56" s="12" t="s">
        <v>446</v>
      </c>
      <c r="I5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Col2='""&amp;B56&amp;""'"",0)"),2.0)</f>
        <v>2</v>
      </c>
      <c r="J56" s="12">
        <f>IFERROR(__xludf.DUMMYFUNCTION("""COMPUTED_VALUE"""),2.0)</f>
        <v>2</v>
      </c>
      <c r="K56" s="12">
        <f>IFERROR(__xludf.DUMMYFUNCTION("""COMPUTED_VALUE"""),3.0)</f>
        <v>3</v>
      </c>
      <c r="L56" s="12">
        <f>IFERROR(__xludf.DUMMYFUNCTION("""COMPUTED_VALUE"""),3.0)</f>
        <v>3</v>
      </c>
      <c r="M56" s="12" t="str">
        <f>IFERROR(__xludf.DUMMYFUNCTION("""COMPUTED_VALUE"""),"Working")</f>
        <v>Working</v>
      </c>
      <c r="N56" s="12" t="str">
        <f>IFERROR(__xludf.DUMMYFUNCTION("""COMPUTED_VALUE"""),"CORRECT")</f>
        <v>CORRECT</v>
      </c>
      <c r="O56" s="12" t="str">
        <f>IFERROR(__xludf.DUMMYFUNCTION("""COMPUTED_VALUE"""),"CORRECT")</f>
        <v>CORRECT</v>
      </c>
      <c r="P56" s="12" t="str">
        <f t="shared" si="2"/>
        <v>Extra Theory Load Alloted</v>
      </c>
      <c r="Q56" s="12" t="str">
        <f t="shared" si="3"/>
        <v>Extra Lab Load Alloted</v>
      </c>
    </row>
    <row r="57">
      <c r="A57" s="1">
        <v>56.0</v>
      </c>
      <c r="B57" s="1" t="s">
        <v>447</v>
      </c>
      <c r="C57" s="1" t="s">
        <v>307</v>
      </c>
      <c r="D57" s="1" t="s">
        <v>448</v>
      </c>
      <c r="E57" s="12" t="str">
        <f t="shared" si="1"/>
        <v>Ms.SASITHRA S</v>
      </c>
      <c r="F57" s="13" t="s">
        <v>406</v>
      </c>
      <c r="G57" s="12" t="s">
        <v>301</v>
      </c>
      <c r="H57" s="12" t="s">
        <v>449</v>
      </c>
      <c r="I5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Col2='""&amp;B57&amp;""'"",0)"),1.0)</f>
        <v>1</v>
      </c>
      <c r="J57" s="12">
        <f>IFERROR(__xludf.DUMMYFUNCTION("""COMPUTED_VALUE"""),0.0)</f>
        <v>0</v>
      </c>
      <c r="K57" s="12">
        <f>IFERROR(__xludf.DUMMYFUNCTION("""COMPUTED_VALUE"""),1.0)</f>
        <v>1</v>
      </c>
      <c r="L57" s="12">
        <f>IFERROR(__xludf.DUMMYFUNCTION("""COMPUTED_VALUE"""),0.0)</f>
        <v>0</v>
      </c>
      <c r="M57" s="12" t="str">
        <f>IFERROR(__xludf.DUMMYFUNCTION("""COMPUTED_VALUE"""),"Working")</f>
        <v>Working</v>
      </c>
      <c r="N57" s="12" t="str">
        <f>IFERROR(__xludf.DUMMYFUNCTION("""COMPUTED_VALUE"""),"CORRECT")</f>
        <v>CORRECT</v>
      </c>
      <c r="O57" s="12" t="str">
        <f>IFERROR(__xludf.DUMMYFUNCTION("""COMPUTED_VALUE"""),"CORRECT")</f>
        <v>CORRECT</v>
      </c>
      <c r="P57" s="12" t="str">
        <f t="shared" si="2"/>
        <v/>
      </c>
      <c r="Q57" s="12" t="str">
        <f t="shared" si="3"/>
        <v/>
      </c>
    </row>
    <row r="58">
      <c r="A58" s="1">
        <v>57.0</v>
      </c>
      <c r="B58" s="1" t="s">
        <v>450</v>
      </c>
      <c r="C58" s="1" t="s">
        <v>286</v>
      </c>
      <c r="D58" s="1" t="s">
        <v>451</v>
      </c>
      <c r="E58" s="12" t="str">
        <f t="shared" si="1"/>
        <v>Mrs.LOKESWARI P</v>
      </c>
      <c r="F58" s="13" t="s">
        <v>406</v>
      </c>
      <c r="G58" s="12" t="s">
        <v>301</v>
      </c>
      <c r="H58" s="12" t="s">
        <v>452</v>
      </c>
      <c r="I5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Col2='""&amp;B58&amp;""'"",0)"),2.0)</f>
        <v>2</v>
      </c>
      <c r="J58" s="12">
        <f>IFERROR(__xludf.DUMMYFUNCTION("""COMPUTED_VALUE"""),2.0)</f>
        <v>2</v>
      </c>
      <c r="K58" s="12">
        <f>IFERROR(__xludf.DUMMYFUNCTION("""COMPUTED_VALUE"""),2.0)</f>
        <v>2</v>
      </c>
      <c r="L58" s="12">
        <f>IFERROR(__xludf.DUMMYFUNCTION("""COMPUTED_VALUE"""),1.0)</f>
        <v>1</v>
      </c>
      <c r="M58" s="12" t="str">
        <f>IFERROR(__xludf.DUMMYFUNCTION("""COMPUTED_VALUE"""),"Working")</f>
        <v>Working</v>
      </c>
      <c r="N58" s="12" t="str">
        <f>IFERROR(__xludf.DUMMYFUNCTION("""COMPUTED_VALUE"""),"CORRECT")</f>
        <v>CORRECT</v>
      </c>
      <c r="O58" s="12" t="str">
        <f>IFERROR(__xludf.DUMMYFUNCTION("""COMPUTED_VALUE"""),"LOAD PENDING")</f>
        <v>LOAD PENDING</v>
      </c>
      <c r="P58" s="12" t="str">
        <f t="shared" si="2"/>
        <v/>
      </c>
      <c r="Q58" s="12" t="str">
        <f t="shared" si="3"/>
        <v/>
      </c>
    </row>
    <row r="59">
      <c r="A59" s="1">
        <v>58.0</v>
      </c>
      <c r="B59" s="1" t="s">
        <v>453</v>
      </c>
      <c r="C59" s="1" t="s">
        <v>277</v>
      </c>
      <c r="D59" s="1" t="s">
        <v>454</v>
      </c>
      <c r="E59" s="12" t="str">
        <f t="shared" si="1"/>
        <v>Dr.KARTHIKEYAN G</v>
      </c>
      <c r="F59" s="13" t="s">
        <v>406</v>
      </c>
      <c r="G59" s="12" t="s">
        <v>274</v>
      </c>
      <c r="H59" s="12" t="s">
        <v>455</v>
      </c>
      <c r="I5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Col2='""&amp;B59&amp;""'"",0)"),2.0)</f>
        <v>2</v>
      </c>
      <c r="J59" s="12">
        <f>IFERROR(__xludf.DUMMYFUNCTION("""COMPUTED_VALUE"""),2.0)</f>
        <v>2</v>
      </c>
      <c r="K59" s="12">
        <f>IFERROR(__xludf.DUMMYFUNCTION("""COMPUTED_VALUE"""),2.0)</f>
        <v>2</v>
      </c>
      <c r="L59" s="12">
        <f>IFERROR(__xludf.DUMMYFUNCTION("""COMPUTED_VALUE"""),1.0)</f>
        <v>1</v>
      </c>
      <c r="M59" s="12" t="str">
        <f>IFERROR(__xludf.DUMMYFUNCTION("""COMPUTED_VALUE"""),"Working")</f>
        <v>Working</v>
      </c>
      <c r="N59" s="12" t="str">
        <f>IFERROR(__xludf.DUMMYFUNCTION("""COMPUTED_VALUE"""),"CORRECT")</f>
        <v>CORRECT</v>
      </c>
      <c r="O59" s="12" t="str">
        <f>IFERROR(__xludf.DUMMYFUNCTION("""COMPUTED_VALUE"""),"LOAD PENDING")</f>
        <v>LOAD PENDING</v>
      </c>
      <c r="P59" s="12" t="str">
        <f t="shared" si="2"/>
        <v/>
      </c>
      <c r="Q59" s="12" t="str">
        <f t="shared" si="3"/>
        <v/>
      </c>
    </row>
    <row r="60">
      <c r="A60" s="1">
        <v>59.0</v>
      </c>
      <c r="B60" s="1" t="s">
        <v>456</v>
      </c>
      <c r="C60" s="1" t="s">
        <v>286</v>
      </c>
      <c r="D60" s="1" t="s">
        <v>457</v>
      </c>
      <c r="E60" s="12" t="str">
        <f t="shared" si="1"/>
        <v>Mrs.SARANYA M K</v>
      </c>
      <c r="F60" s="13" t="s">
        <v>406</v>
      </c>
      <c r="G60" s="12" t="s">
        <v>301</v>
      </c>
      <c r="H60" s="12" t="s">
        <v>458</v>
      </c>
      <c r="I6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Col2='""&amp;B60&amp;""'"",0)"),2.0)</f>
        <v>2</v>
      </c>
      <c r="J60" s="12">
        <f>IFERROR(__xludf.DUMMYFUNCTION("""COMPUTED_VALUE"""),2.0)</f>
        <v>2</v>
      </c>
      <c r="K60" s="12">
        <f>IFERROR(__xludf.DUMMYFUNCTION("""COMPUTED_VALUE"""),2.0)</f>
        <v>2</v>
      </c>
      <c r="L60" s="12">
        <f>IFERROR(__xludf.DUMMYFUNCTION("""COMPUTED_VALUE"""),1.0)</f>
        <v>1</v>
      </c>
      <c r="M60" s="12" t="str">
        <f>IFERROR(__xludf.DUMMYFUNCTION("""COMPUTED_VALUE"""),"Working")</f>
        <v>Working</v>
      </c>
      <c r="N60" s="12" t="str">
        <f>IFERROR(__xludf.DUMMYFUNCTION("""COMPUTED_VALUE"""),"CORRECT")</f>
        <v>CORRECT</v>
      </c>
      <c r="O60" s="12" t="str">
        <f>IFERROR(__xludf.DUMMYFUNCTION("""COMPUTED_VALUE"""),"LOAD PENDING")</f>
        <v>LOAD PENDING</v>
      </c>
      <c r="P60" s="12" t="str">
        <f t="shared" si="2"/>
        <v/>
      </c>
      <c r="Q60" s="12" t="str">
        <f t="shared" si="3"/>
        <v/>
      </c>
    </row>
    <row r="61">
      <c r="A61" s="1">
        <v>60.0</v>
      </c>
      <c r="B61" s="1" t="s">
        <v>459</v>
      </c>
      <c r="C61" s="1" t="s">
        <v>286</v>
      </c>
      <c r="D61" s="1" t="s">
        <v>460</v>
      </c>
      <c r="E61" s="12" t="str">
        <f t="shared" si="1"/>
        <v>Mrs.SINDHUJAA N</v>
      </c>
      <c r="F61" s="13" t="s">
        <v>406</v>
      </c>
      <c r="G61" s="12" t="s">
        <v>301</v>
      </c>
      <c r="H61" s="12" t="s">
        <v>461</v>
      </c>
      <c r="I6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Col2='""&amp;B61&amp;""'"",0)"),2.0)</f>
        <v>2</v>
      </c>
      <c r="J61" s="12">
        <f>IFERROR(__xludf.DUMMYFUNCTION("""COMPUTED_VALUE"""),2.0)</f>
        <v>2</v>
      </c>
      <c r="K61" s="12">
        <f>IFERROR(__xludf.DUMMYFUNCTION("""COMPUTED_VALUE"""),0.0)</f>
        <v>0</v>
      </c>
      <c r="L61" s="12">
        <f>IFERROR(__xludf.DUMMYFUNCTION("""COMPUTED_VALUE"""),0.0)</f>
        <v>0</v>
      </c>
      <c r="M61" s="12" t="str">
        <f>IFERROR(__xludf.DUMMYFUNCTION("""COMPUTED_VALUE"""),"Working")</f>
        <v>Working</v>
      </c>
      <c r="N61" s="12" t="str">
        <f>IFERROR(__xludf.DUMMYFUNCTION("""COMPUTED_VALUE"""),"LOAD PENDING")</f>
        <v>LOAD PENDING</v>
      </c>
      <c r="O61" s="12" t="str">
        <f>IFERROR(__xludf.DUMMYFUNCTION("""COMPUTED_VALUE"""),"LOAD PENDING")</f>
        <v>LOAD PENDING</v>
      </c>
      <c r="P61" s="12" t="str">
        <f t="shared" si="2"/>
        <v/>
      </c>
      <c r="Q61" s="12" t="str">
        <f t="shared" si="3"/>
        <v/>
      </c>
    </row>
    <row r="62">
      <c r="A62" s="1">
        <v>61.0</v>
      </c>
      <c r="B62" s="1" t="s">
        <v>462</v>
      </c>
      <c r="C62" s="1" t="s">
        <v>277</v>
      </c>
      <c r="D62" s="1" t="s">
        <v>463</v>
      </c>
      <c r="E62" s="12" t="str">
        <f t="shared" si="1"/>
        <v>Dr.GOPALAKRISHNAN B</v>
      </c>
      <c r="F62" s="13" t="s">
        <v>406</v>
      </c>
      <c r="G62" s="12" t="s">
        <v>283</v>
      </c>
      <c r="H62" s="12" t="s">
        <v>464</v>
      </c>
      <c r="I6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Col2='""&amp;B62&amp;""'"",0)"),1.0)</f>
        <v>1</v>
      </c>
      <c r="J62" s="12">
        <f>IFERROR(__xludf.DUMMYFUNCTION("""COMPUTED_VALUE"""),0.0)</f>
        <v>0</v>
      </c>
      <c r="K62" s="12">
        <f>IFERROR(__xludf.DUMMYFUNCTION("""COMPUTED_VALUE"""),1.0)</f>
        <v>1</v>
      </c>
      <c r="L62" s="12">
        <f>IFERROR(__xludf.DUMMYFUNCTION("""COMPUTED_VALUE"""),0.0)</f>
        <v>0</v>
      </c>
      <c r="M62" s="12" t="str">
        <f>IFERROR(__xludf.DUMMYFUNCTION("""COMPUTED_VALUE"""),"Working")</f>
        <v>Working</v>
      </c>
      <c r="N62" s="12" t="str">
        <f>IFERROR(__xludf.DUMMYFUNCTION("""COMPUTED_VALUE"""),"CORRECT")</f>
        <v>CORRECT</v>
      </c>
      <c r="O62" s="12" t="str">
        <f>IFERROR(__xludf.DUMMYFUNCTION("""COMPUTED_VALUE"""),"CORRECT")</f>
        <v>CORRECT</v>
      </c>
      <c r="P62" s="12" t="str">
        <f t="shared" si="2"/>
        <v/>
      </c>
      <c r="Q62" s="12" t="str">
        <f t="shared" si="3"/>
        <v/>
      </c>
    </row>
    <row r="63">
      <c r="A63" s="1">
        <v>62.0</v>
      </c>
      <c r="B63" s="1" t="s">
        <v>465</v>
      </c>
      <c r="C63" s="1" t="s">
        <v>277</v>
      </c>
      <c r="D63" s="1" t="s">
        <v>466</v>
      </c>
      <c r="E63" s="12" t="str">
        <f t="shared" si="1"/>
        <v>Dr.KODIESWARI A</v>
      </c>
      <c r="F63" s="13" t="s">
        <v>406</v>
      </c>
      <c r="G63" s="12" t="s">
        <v>279</v>
      </c>
      <c r="H63" s="12" t="s">
        <v>467</v>
      </c>
      <c r="I6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Col2='""&amp;B63&amp;""'"",0)"),2.0)</f>
        <v>2</v>
      </c>
      <c r="J63" s="12">
        <f>IFERROR(__xludf.DUMMYFUNCTION("""COMPUTED_VALUE"""),1.0)</f>
        <v>1</v>
      </c>
      <c r="K63" s="12">
        <f>IFERROR(__xludf.DUMMYFUNCTION("""COMPUTED_VALUE"""),2.0)</f>
        <v>2</v>
      </c>
      <c r="L63" s="12">
        <f>IFERROR(__xludf.DUMMYFUNCTION("""COMPUTED_VALUE"""),1.0)</f>
        <v>1</v>
      </c>
      <c r="M63" s="12" t="str">
        <f>IFERROR(__xludf.DUMMYFUNCTION("""COMPUTED_VALUE"""),"Working")</f>
        <v>Working</v>
      </c>
      <c r="N63" s="12" t="str">
        <f>IFERROR(__xludf.DUMMYFUNCTION("""COMPUTED_VALUE"""),"CORRECT")</f>
        <v>CORRECT</v>
      </c>
      <c r="O63" s="12" t="str">
        <f>IFERROR(__xludf.DUMMYFUNCTION("""COMPUTED_VALUE"""),"CORRECT")</f>
        <v>CORRECT</v>
      </c>
      <c r="P63" s="12" t="str">
        <f t="shared" si="2"/>
        <v/>
      </c>
      <c r="Q63" s="12" t="str">
        <f t="shared" si="3"/>
        <v/>
      </c>
    </row>
    <row r="64">
      <c r="A64" s="1">
        <v>63.0</v>
      </c>
      <c r="B64" s="1" t="s">
        <v>468</v>
      </c>
      <c r="C64" s="1" t="s">
        <v>271</v>
      </c>
      <c r="D64" s="1" t="s">
        <v>469</v>
      </c>
      <c r="E64" s="12" t="str">
        <f t="shared" si="1"/>
        <v>Mr.TAMILSELVAN A</v>
      </c>
      <c r="F64" s="13" t="s">
        <v>470</v>
      </c>
      <c r="G64" s="12" t="s">
        <v>274</v>
      </c>
      <c r="H64" s="12" t="s">
        <v>471</v>
      </c>
      <c r="I6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Col2='""&amp;B64&amp;""'"",0)"),1.0)</f>
        <v>1</v>
      </c>
      <c r="J64" s="12">
        <f>IFERROR(__xludf.DUMMYFUNCTION("""COMPUTED_VALUE"""),1.0)</f>
        <v>1</v>
      </c>
      <c r="K64" s="12">
        <f>IFERROR(__xludf.DUMMYFUNCTION("""COMPUTED_VALUE"""),1.0)</f>
        <v>1</v>
      </c>
      <c r="L64" s="12">
        <f>IFERROR(__xludf.DUMMYFUNCTION("""COMPUTED_VALUE"""),0.0)</f>
        <v>0</v>
      </c>
      <c r="M64" s="12" t="str">
        <f>IFERROR(__xludf.DUMMYFUNCTION("""COMPUTED_VALUE"""),"Working")</f>
        <v>Working</v>
      </c>
      <c r="N64" s="12" t="str">
        <f>IFERROR(__xludf.DUMMYFUNCTION("""COMPUTED_VALUE"""),"CORRECT")</f>
        <v>CORRECT</v>
      </c>
      <c r="O64" s="12" t="str">
        <f>IFERROR(__xludf.DUMMYFUNCTION("""COMPUTED_VALUE"""),"LOAD PENDING")</f>
        <v>LOAD PENDING</v>
      </c>
      <c r="P64" s="12" t="str">
        <f t="shared" si="2"/>
        <v/>
      </c>
      <c r="Q64" s="12" t="str">
        <f t="shared" si="3"/>
        <v/>
      </c>
    </row>
    <row r="65">
      <c r="A65" s="1">
        <v>64.0</v>
      </c>
      <c r="B65" s="1" t="s">
        <v>472</v>
      </c>
      <c r="C65" s="1" t="s">
        <v>277</v>
      </c>
      <c r="D65" s="1" t="s">
        <v>473</v>
      </c>
      <c r="E65" s="12" t="str">
        <f t="shared" si="1"/>
        <v>Dr.DHAYANEETHI S</v>
      </c>
      <c r="F65" s="13" t="s">
        <v>470</v>
      </c>
      <c r="G65" s="12" t="s">
        <v>274</v>
      </c>
      <c r="H65" s="12" t="s">
        <v>474</v>
      </c>
      <c r="I6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Col2='""&amp;B65&amp;""'"",0)"),1.0)</f>
        <v>1</v>
      </c>
      <c r="J65" s="12">
        <f>IFERROR(__xludf.DUMMYFUNCTION("""COMPUTED_VALUE"""),0.0)</f>
        <v>0</v>
      </c>
      <c r="K65" s="12">
        <f>IFERROR(__xludf.DUMMYFUNCTION("""COMPUTED_VALUE"""),1.0)</f>
        <v>1</v>
      </c>
      <c r="L65" s="12">
        <f>IFERROR(__xludf.DUMMYFUNCTION("""COMPUTED_VALUE"""),0.0)</f>
        <v>0</v>
      </c>
      <c r="M65" s="12" t="str">
        <f>IFERROR(__xludf.DUMMYFUNCTION("""COMPUTED_VALUE"""),"Working")</f>
        <v>Working</v>
      </c>
      <c r="N65" s="12" t="str">
        <f>IFERROR(__xludf.DUMMYFUNCTION("""COMPUTED_VALUE"""),"CORRECT")</f>
        <v>CORRECT</v>
      </c>
      <c r="O65" s="12" t="str">
        <f>IFERROR(__xludf.DUMMYFUNCTION("""COMPUTED_VALUE"""),"CORRECT")</f>
        <v>CORRECT</v>
      </c>
      <c r="P65" s="12" t="str">
        <f t="shared" si="2"/>
        <v/>
      </c>
      <c r="Q65" s="12" t="str">
        <f t="shared" si="3"/>
        <v/>
      </c>
    </row>
    <row r="66">
      <c r="A66" s="1">
        <v>65.0</v>
      </c>
      <c r="B66" s="1" t="s">
        <v>475</v>
      </c>
      <c r="C66" s="1" t="s">
        <v>307</v>
      </c>
      <c r="D66" s="1" t="s">
        <v>476</v>
      </c>
      <c r="E66" s="12" t="str">
        <f t="shared" si="1"/>
        <v>Ms.CAROLINE VINNETIA S</v>
      </c>
      <c r="F66" s="13" t="s">
        <v>477</v>
      </c>
      <c r="G66" s="12" t="s">
        <v>291</v>
      </c>
      <c r="H66" s="12" t="s">
        <v>478</v>
      </c>
      <c r="I6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Col2='""&amp;B66&amp;""'"",0)"),2.0)</f>
        <v>2</v>
      </c>
      <c r="J66" s="12">
        <f>IFERROR(__xludf.DUMMYFUNCTION("""COMPUTED_VALUE"""),2.0)</f>
        <v>2</v>
      </c>
      <c r="K66" s="12">
        <f>IFERROR(__xludf.DUMMYFUNCTION("""COMPUTED_VALUE"""),3.0)</f>
        <v>3</v>
      </c>
      <c r="L66" s="12">
        <f>IFERROR(__xludf.DUMMYFUNCTION("""COMPUTED_VALUE"""),0.0)</f>
        <v>0</v>
      </c>
      <c r="M66" s="12" t="str">
        <f>IFERROR(__xludf.DUMMYFUNCTION("""COMPUTED_VALUE"""),"Working")</f>
        <v>Working</v>
      </c>
      <c r="N66" s="12" t="str">
        <f>IFERROR(__xludf.DUMMYFUNCTION("""COMPUTED_VALUE"""),"CORRECT")</f>
        <v>CORRECT</v>
      </c>
      <c r="O66" s="12" t="str">
        <f>IFERROR(__xludf.DUMMYFUNCTION("""COMPUTED_VALUE"""),"LOAD PENDING")</f>
        <v>LOAD PENDING</v>
      </c>
      <c r="P66" s="12" t="str">
        <f t="shared" si="2"/>
        <v>Extra Theory Load Alloted</v>
      </c>
      <c r="Q66" s="12" t="str">
        <f t="shared" si="3"/>
        <v/>
      </c>
    </row>
    <row r="67">
      <c r="A67" s="1">
        <v>66.0</v>
      </c>
      <c r="B67" s="1" t="s">
        <v>479</v>
      </c>
      <c r="C67" s="1" t="s">
        <v>307</v>
      </c>
      <c r="D67" s="1" t="s">
        <v>480</v>
      </c>
      <c r="E67" s="12" t="str">
        <f t="shared" si="1"/>
        <v>Ms.SAAHINA S</v>
      </c>
      <c r="F67" s="13" t="s">
        <v>477</v>
      </c>
      <c r="G67" s="12" t="s">
        <v>301</v>
      </c>
      <c r="H67" s="12" t="s">
        <v>481</v>
      </c>
      <c r="I6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Col2='""&amp;B67&amp;""'"",0)"),2.0)</f>
        <v>2</v>
      </c>
      <c r="J67" s="12">
        <f>IFERROR(__xludf.DUMMYFUNCTION("""COMPUTED_VALUE"""),2.0)</f>
        <v>2</v>
      </c>
      <c r="K67" s="12">
        <f>IFERROR(__xludf.DUMMYFUNCTION("""COMPUTED_VALUE"""),2.0)</f>
        <v>2</v>
      </c>
      <c r="L67" s="12">
        <f>IFERROR(__xludf.DUMMYFUNCTION("""COMPUTED_VALUE"""),1.0)</f>
        <v>1</v>
      </c>
      <c r="M67" s="12" t="str">
        <f>IFERROR(__xludf.DUMMYFUNCTION("""COMPUTED_VALUE"""),"Working")</f>
        <v>Working</v>
      </c>
      <c r="N67" s="12" t="str">
        <f>IFERROR(__xludf.DUMMYFUNCTION("""COMPUTED_VALUE"""),"CORRECT")</f>
        <v>CORRECT</v>
      </c>
      <c r="O67" s="12" t="str">
        <f>IFERROR(__xludf.DUMMYFUNCTION("""COMPUTED_VALUE"""),"LOAD PENDING")</f>
        <v>LOAD PENDING</v>
      </c>
      <c r="P67" s="12" t="str">
        <f t="shared" si="2"/>
        <v/>
      </c>
      <c r="Q67" s="12" t="str">
        <f t="shared" si="3"/>
        <v/>
      </c>
    </row>
    <row r="68">
      <c r="A68" s="1">
        <v>67.0</v>
      </c>
      <c r="B68" s="1" t="s">
        <v>482</v>
      </c>
      <c r="C68" s="1" t="s">
        <v>271</v>
      </c>
      <c r="D68" s="1" t="s">
        <v>483</v>
      </c>
      <c r="E68" s="12" t="str">
        <f t="shared" si="1"/>
        <v>Mr.SYED ALTHAF S</v>
      </c>
      <c r="F68" s="13" t="s">
        <v>477</v>
      </c>
      <c r="G68" s="12" t="s">
        <v>301</v>
      </c>
      <c r="H68" s="12" t="s">
        <v>484</v>
      </c>
      <c r="I6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Col2='""&amp;B68&amp;""'"",0)"),2.0)</f>
        <v>2</v>
      </c>
      <c r="J68" s="12">
        <f>IFERROR(__xludf.DUMMYFUNCTION("""COMPUTED_VALUE"""),2.0)</f>
        <v>2</v>
      </c>
      <c r="K68" s="12">
        <f>IFERROR(__xludf.DUMMYFUNCTION("""COMPUTED_VALUE"""),2.0)</f>
        <v>2</v>
      </c>
      <c r="L68" s="12">
        <f>IFERROR(__xludf.DUMMYFUNCTION("""COMPUTED_VALUE"""),1.0)</f>
        <v>1</v>
      </c>
      <c r="M68" s="12" t="str">
        <f>IFERROR(__xludf.DUMMYFUNCTION("""COMPUTED_VALUE"""),"Working")</f>
        <v>Working</v>
      </c>
      <c r="N68" s="12" t="str">
        <f>IFERROR(__xludf.DUMMYFUNCTION("""COMPUTED_VALUE"""),"CORRECT")</f>
        <v>CORRECT</v>
      </c>
      <c r="O68" s="12" t="str">
        <f>IFERROR(__xludf.DUMMYFUNCTION("""COMPUTED_VALUE"""),"LOAD PENDING")</f>
        <v>LOAD PENDING</v>
      </c>
      <c r="P68" s="12" t="str">
        <f t="shared" si="2"/>
        <v/>
      </c>
      <c r="Q68" s="12" t="str">
        <f t="shared" si="3"/>
        <v/>
      </c>
    </row>
    <row r="69">
      <c r="A69" s="1">
        <v>68.0</v>
      </c>
      <c r="B69" s="1" t="s">
        <v>485</v>
      </c>
      <c r="C69" s="1" t="s">
        <v>307</v>
      </c>
      <c r="D69" s="1" t="s">
        <v>486</v>
      </c>
      <c r="E69" s="12" t="str">
        <f t="shared" si="1"/>
        <v>Ms.SREENIVEATHA P</v>
      </c>
      <c r="F69" s="13" t="s">
        <v>477</v>
      </c>
      <c r="G69" s="12" t="s">
        <v>301</v>
      </c>
      <c r="H69" s="12" t="s">
        <v>487</v>
      </c>
      <c r="I6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Col2='""&amp;B69&amp;""'"",0)"),2.0)</f>
        <v>2</v>
      </c>
      <c r="J69" s="12">
        <f>IFERROR(__xludf.DUMMYFUNCTION("""COMPUTED_VALUE"""),2.0)</f>
        <v>2</v>
      </c>
      <c r="K69" s="12">
        <f>IFERROR(__xludf.DUMMYFUNCTION("""COMPUTED_VALUE"""),2.0)</f>
        <v>2</v>
      </c>
      <c r="L69" s="12">
        <f>IFERROR(__xludf.DUMMYFUNCTION("""COMPUTED_VALUE"""),1.0)</f>
        <v>1</v>
      </c>
      <c r="M69" s="12" t="str">
        <f>IFERROR(__xludf.DUMMYFUNCTION("""COMPUTED_VALUE"""),"Working")</f>
        <v>Working</v>
      </c>
      <c r="N69" s="12" t="str">
        <f>IFERROR(__xludf.DUMMYFUNCTION("""COMPUTED_VALUE"""),"CORRECT")</f>
        <v>CORRECT</v>
      </c>
      <c r="O69" s="12" t="str">
        <f>IFERROR(__xludf.DUMMYFUNCTION("""COMPUTED_VALUE"""),"LOAD PENDING")</f>
        <v>LOAD PENDING</v>
      </c>
      <c r="P69" s="12" t="str">
        <f t="shared" si="2"/>
        <v/>
      </c>
      <c r="Q69" s="12" t="str">
        <f t="shared" si="3"/>
        <v/>
      </c>
    </row>
    <row r="70">
      <c r="A70" s="1">
        <v>69.0</v>
      </c>
      <c r="B70" s="1" t="s">
        <v>488</v>
      </c>
      <c r="C70" s="1" t="s">
        <v>307</v>
      </c>
      <c r="D70" s="1" t="s">
        <v>489</v>
      </c>
      <c r="E70" s="12" t="str">
        <f t="shared" si="1"/>
        <v>Ms.PRATHEEBHA G</v>
      </c>
      <c r="F70" s="13" t="s">
        <v>477</v>
      </c>
      <c r="G70" s="12" t="s">
        <v>301</v>
      </c>
      <c r="H70" s="12" t="s">
        <v>490</v>
      </c>
      <c r="I7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Col2='""&amp;B70&amp;""'"",0)"),2.0)</f>
        <v>2</v>
      </c>
      <c r="J70" s="12">
        <f>IFERROR(__xludf.DUMMYFUNCTION("""COMPUTED_VALUE"""),2.0)</f>
        <v>2</v>
      </c>
      <c r="K70" s="12">
        <f>IFERROR(__xludf.DUMMYFUNCTION("""COMPUTED_VALUE"""),2.0)</f>
        <v>2</v>
      </c>
      <c r="L70" s="12">
        <f>IFERROR(__xludf.DUMMYFUNCTION("""COMPUTED_VALUE"""),1.0)</f>
        <v>1</v>
      </c>
      <c r="M70" s="12" t="str">
        <f>IFERROR(__xludf.DUMMYFUNCTION("""COMPUTED_VALUE"""),"Working")</f>
        <v>Working</v>
      </c>
      <c r="N70" s="12" t="str">
        <f>IFERROR(__xludf.DUMMYFUNCTION("""COMPUTED_VALUE"""),"CORRECT")</f>
        <v>CORRECT</v>
      </c>
      <c r="O70" s="12" t="str">
        <f>IFERROR(__xludf.DUMMYFUNCTION("""COMPUTED_VALUE"""),"LOAD PENDING")</f>
        <v>LOAD PENDING</v>
      </c>
      <c r="P70" s="12" t="str">
        <f t="shared" si="2"/>
        <v/>
      </c>
      <c r="Q70" s="12" t="str">
        <f t="shared" si="3"/>
        <v/>
      </c>
    </row>
    <row r="71">
      <c r="A71" s="1">
        <v>70.0</v>
      </c>
      <c r="B71" s="1" t="s">
        <v>491</v>
      </c>
      <c r="C71" s="1" t="s">
        <v>277</v>
      </c>
      <c r="D71" s="1" t="s">
        <v>492</v>
      </c>
      <c r="E71" s="12" t="str">
        <f t="shared" si="1"/>
        <v>Dr.DEEPA D</v>
      </c>
      <c r="F71" s="13" t="s">
        <v>477</v>
      </c>
      <c r="G71" s="12" t="s">
        <v>283</v>
      </c>
      <c r="H71" s="12" t="s">
        <v>493</v>
      </c>
      <c r="I7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Col2='""&amp;B71&amp;""'"",0)"),0.0)</f>
        <v>0</v>
      </c>
      <c r="J71" s="12">
        <f>IFERROR(__xludf.DUMMYFUNCTION("""COMPUTED_VALUE"""),0.0)</f>
        <v>0</v>
      </c>
      <c r="K71" s="12">
        <f>IFERROR(__xludf.DUMMYFUNCTION("""COMPUTED_VALUE"""),1.0)</f>
        <v>1</v>
      </c>
      <c r="L71" s="12">
        <f>IFERROR(__xludf.DUMMYFUNCTION("""COMPUTED_VALUE"""),0.0)</f>
        <v>0</v>
      </c>
      <c r="M71" s="12" t="str">
        <f>IFERROR(__xludf.DUMMYFUNCTION("""COMPUTED_VALUE"""),"Working")</f>
        <v>Working</v>
      </c>
      <c r="N71" s="12" t="str">
        <f>IFERROR(__xludf.DUMMYFUNCTION("""COMPUTED_VALUE"""),"CORRECT")</f>
        <v>CORRECT</v>
      </c>
      <c r="O71" s="12" t="str">
        <f>IFERROR(__xludf.DUMMYFUNCTION("""COMPUTED_VALUE"""),"CORRECT")</f>
        <v>CORRECT</v>
      </c>
      <c r="P71" s="12" t="str">
        <f t="shared" si="2"/>
        <v>Extra Theory Load Alloted</v>
      </c>
      <c r="Q71" s="12" t="str">
        <f t="shared" si="3"/>
        <v/>
      </c>
    </row>
    <row r="72">
      <c r="A72" s="1">
        <v>71.0</v>
      </c>
      <c r="B72" s="1" t="s">
        <v>494</v>
      </c>
      <c r="C72" s="1" t="s">
        <v>277</v>
      </c>
      <c r="D72" s="1" t="s">
        <v>495</v>
      </c>
      <c r="E72" s="12" t="str">
        <f t="shared" si="1"/>
        <v>Dr.ASHWIN  RAJ S</v>
      </c>
      <c r="F72" s="13" t="s">
        <v>496</v>
      </c>
      <c r="G72" s="12" t="s">
        <v>274</v>
      </c>
      <c r="H72" s="12" t="s">
        <v>497</v>
      </c>
      <c r="I7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Col2='""&amp;B72&amp;""'"",0)"),2.0)</f>
        <v>2</v>
      </c>
      <c r="J72" s="12">
        <f>IFERROR(__xludf.DUMMYFUNCTION("""COMPUTED_VALUE"""),2.0)</f>
        <v>2</v>
      </c>
      <c r="K72" s="12">
        <f>IFERROR(__xludf.DUMMYFUNCTION("""COMPUTED_VALUE"""),2.0)</f>
        <v>2</v>
      </c>
      <c r="L72" s="12">
        <f>IFERROR(__xludf.DUMMYFUNCTION("""COMPUTED_VALUE"""),1.0)</f>
        <v>1</v>
      </c>
      <c r="M72" s="12" t="str">
        <f>IFERROR(__xludf.DUMMYFUNCTION("""COMPUTED_VALUE"""),"Working")</f>
        <v>Working</v>
      </c>
      <c r="N72" s="12" t="str">
        <f>IFERROR(__xludf.DUMMYFUNCTION("""COMPUTED_VALUE"""),"CORRECT")</f>
        <v>CORRECT</v>
      </c>
      <c r="O72" s="12" t="str">
        <f>IFERROR(__xludf.DUMMYFUNCTION("""COMPUTED_VALUE"""),"LOAD PENDING")</f>
        <v>LOAD PENDING</v>
      </c>
      <c r="P72" s="12" t="str">
        <f t="shared" si="2"/>
        <v/>
      </c>
      <c r="Q72" s="12" t="str">
        <f t="shared" si="3"/>
        <v/>
      </c>
    </row>
    <row r="73">
      <c r="A73" s="1">
        <v>72.0</v>
      </c>
      <c r="B73" s="1" t="s">
        <v>498</v>
      </c>
      <c r="C73" s="1" t="s">
        <v>271</v>
      </c>
      <c r="D73" s="1" t="s">
        <v>499</v>
      </c>
      <c r="E73" s="12" t="str">
        <f t="shared" si="1"/>
        <v>Mr.RAJASEETHARAMA S</v>
      </c>
      <c r="F73" s="13" t="s">
        <v>496</v>
      </c>
      <c r="G73" s="12" t="s">
        <v>291</v>
      </c>
      <c r="H73" s="12" t="s">
        <v>500</v>
      </c>
      <c r="I7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Col2='""&amp;B73&amp;""'"",0)"),1.0)</f>
        <v>1</v>
      </c>
      <c r="J73" s="12">
        <f>IFERROR(__xludf.DUMMYFUNCTION("""COMPUTED_VALUE"""),0.0)</f>
        <v>0</v>
      </c>
      <c r="K73" s="12">
        <f>IFERROR(__xludf.DUMMYFUNCTION("""COMPUTED_VALUE"""),1.0)</f>
        <v>1</v>
      </c>
      <c r="L73" s="12">
        <f>IFERROR(__xludf.DUMMYFUNCTION("""COMPUTED_VALUE"""),0.0)</f>
        <v>0</v>
      </c>
      <c r="M73" s="12" t="str">
        <f>IFERROR(__xludf.DUMMYFUNCTION("""COMPUTED_VALUE"""),"Working")</f>
        <v>Working</v>
      </c>
      <c r="N73" s="12" t="str">
        <f>IFERROR(__xludf.DUMMYFUNCTION("""COMPUTED_VALUE"""),"CORRECT")</f>
        <v>CORRECT</v>
      </c>
      <c r="O73" s="12" t="str">
        <f>IFERROR(__xludf.DUMMYFUNCTION("""COMPUTED_VALUE"""),"CORRECT")</f>
        <v>CORRECT</v>
      </c>
      <c r="P73" s="12" t="str">
        <f t="shared" si="2"/>
        <v/>
      </c>
      <c r="Q73" s="12" t="str">
        <f t="shared" si="3"/>
        <v/>
      </c>
    </row>
    <row r="74">
      <c r="A74" s="1">
        <v>73.0</v>
      </c>
      <c r="B74" s="1" t="s">
        <v>501</v>
      </c>
      <c r="C74" s="1" t="s">
        <v>307</v>
      </c>
      <c r="D74" s="1" t="s">
        <v>502</v>
      </c>
      <c r="E74" s="12" t="str">
        <f t="shared" si="1"/>
        <v>Ms.SWATHI G</v>
      </c>
      <c r="F74" s="13" t="s">
        <v>496</v>
      </c>
      <c r="G74" s="12" t="s">
        <v>301</v>
      </c>
      <c r="H74" s="12" t="s">
        <v>503</v>
      </c>
      <c r="I74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Col2='""&amp;B74&amp;""'"",0)"),"")</f>
        <v/>
      </c>
      <c r="J74" s="12"/>
      <c r="K74" s="12">
        <f>IFERROR(__xludf.DUMMYFUNCTION("""COMPUTED_VALUE"""),2.0)</f>
        <v>2</v>
      </c>
      <c r="L74" s="12">
        <f>IFERROR(__xludf.DUMMYFUNCTION("""COMPUTED_VALUE"""),0.0)</f>
        <v>0</v>
      </c>
      <c r="M74" s="12" t="str">
        <f>IFERROR(__xludf.DUMMYFUNCTION("""COMPUTED_VALUE"""),"Working")</f>
        <v>Working</v>
      </c>
      <c r="N74" s="12" t="str">
        <f>IFERROR(__xludf.DUMMYFUNCTION("""COMPUTED_VALUE"""),"#N/A")</f>
        <v>#N/A</v>
      </c>
      <c r="O74" s="12" t="str">
        <f>IFERROR(__xludf.DUMMYFUNCTION("""COMPUTED_VALUE"""),"CORRECT")</f>
        <v>CORRECT</v>
      </c>
      <c r="P74" s="12" t="str">
        <f t="shared" si="2"/>
        <v>Extra Theory Load Alloted</v>
      </c>
      <c r="Q74" s="12" t="str">
        <f t="shared" si="3"/>
        <v/>
      </c>
    </row>
    <row r="75">
      <c r="A75" s="1">
        <v>74.0</v>
      </c>
      <c r="B75" s="1" t="s">
        <v>504</v>
      </c>
      <c r="C75" s="1" t="s">
        <v>271</v>
      </c>
      <c r="D75" s="1" t="s">
        <v>505</v>
      </c>
      <c r="E75" s="12" t="str">
        <f t="shared" si="1"/>
        <v>Mr.JEYAVEL KARTHICK P</v>
      </c>
      <c r="F75" s="13" t="s">
        <v>496</v>
      </c>
      <c r="G75" s="12" t="s">
        <v>291</v>
      </c>
      <c r="H75" s="12" t="s">
        <v>506</v>
      </c>
      <c r="I7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Col2='""&amp;B75&amp;""'"",0)"),2.0)</f>
        <v>2</v>
      </c>
      <c r="J75" s="12">
        <f>IFERROR(__xludf.DUMMYFUNCTION("""COMPUTED_VALUE"""),2.0)</f>
        <v>2</v>
      </c>
      <c r="K75" s="12">
        <f>IFERROR(__xludf.DUMMYFUNCTION("""COMPUTED_VALUE"""),2.0)</f>
        <v>2</v>
      </c>
      <c r="L75" s="12">
        <f>IFERROR(__xludf.DUMMYFUNCTION("""COMPUTED_VALUE"""),1.0)</f>
        <v>1</v>
      </c>
      <c r="M75" s="12" t="str">
        <f>IFERROR(__xludf.DUMMYFUNCTION("""COMPUTED_VALUE"""),"Working")</f>
        <v>Working</v>
      </c>
      <c r="N75" s="12" t="str">
        <f>IFERROR(__xludf.DUMMYFUNCTION("""COMPUTED_VALUE"""),"CORRECT")</f>
        <v>CORRECT</v>
      </c>
      <c r="O75" s="12" t="str">
        <f>IFERROR(__xludf.DUMMYFUNCTION("""COMPUTED_VALUE"""),"LOAD PENDING")</f>
        <v>LOAD PENDING</v>
      </c>
      <c r="P75" s="12" t="str">
        <f t="shared" si="2"/>
        <v/>
      </c>
      <c r="Q75" s="12" t="str">
        <f t="shared" si="3"/>
        <v/>
      </c>
    </row>
    <row r="76">
      <c r="A76" s="1">
        <v>75.0</v>
      </c>
      <c r="B76" s="1" t="s">
        <v>507</v>
      </c>
      <c r="C76" s="1" t="s">
        <v>307</v>
      </c>
      <c r="D76" s="1" t="s">
        <v>508</v>
      </c>
      <c r="E76" s="12" t="str">
        <f t="shared" si="1"/>
        <v>Ms.DHIVYA DHARSHINI U</v>
      </c>
      <c r="F76" s="13" t="s">
        <v>496</v>
      </c>
      <c r="G76" s="12" t="s">
        <v>301</v>
      </c>
      <c r="H76" s="12" t="s">
        <v>509</v>
      </c>
      <c r="I7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Col2='""&amp;B76&amp;""'"",0)"),2.0)</f>
        <v>2</v>
      </c>
      <c r="J76" s="12">
        <f>IFERROR(__xludf.DUMMYFUNCTION("""COMPUTED_VALUE"""),2.0)</f>
        <v>2</v>
      </c>
      <c r="K76" s="12">
        <f>IFERROR(__xludf.DUMMYFUNCTION("""COMPUTED_VALUE"""),2.0)</f>
        <v>2</v>
      </c>
      <c r="L76" s="12">
        <f>IFERROR(__xludf.DUMMYFUNCTION("""COMPUTED_VALUE"""),1.0)</f>
        <v>1</v>
      </c>
      <c r="M76" s="12" t="str">
        <f>IFERROR(__xludf.DUMMYFUNCTION("""COMPUTED_VALUE"""),"Working")</f>
        <v>Working</v>
      </c>
      <c r="N76" s="12" t="str">
        <f>IFERROR(__xludf.DUMMYFUNCTION("""COMPUTED_VALUE"""),"CORRECT")</f>
        <v>CORRECT</v>
      </c>
      <c r="O76" s="12" t="str">
        <f>IFERROR(__xludf.DUMMYFUNCTION("""COMPUTED_VALUE"""),"LOAD PENDING")</f>
        <v>LOAD PENDING</v>
      </c>
      <c r="P76" s="12" t="str">
        <f t="shared" si="2"/>
        <v/>
      </c>
      <c r="Q76" s="12" t="str">
        <f t="shared" si="3"/>
        <v/>
      </c>
    </row>
    <row r="77">
      <c r="A77" s="1">
        <v>76.0</v>
      </c>
      <c r="B77" s="1" t="s">
        <v>510</v>
      </c>
      <c r="C77" s="1" t="s">
        <v>286</v>
      </c>
      <c r="D77" s="1" t="s">
        <v>511</v>
      </c>
      <c r="E77" s="12" t="str">
        <f t="shared" si="1"/>
        <v>Mrs.SAKTHISHOBANA K</v>
      </c>
      <c r="F77" s="13" t="s">
        <v>496</v>
      </c>
      <c r="G77" s="12" t="s">
        <v>291</v>
      </c>
      <c r="H77" s="12" t="s">
        <v>512</v>
      </c>
      <c r="I7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Col2='""&amp;B77&amp;""'"",0)"),2.0)</f>
        <v>2</v>
      </c>
      <c r="J77" s="12">
        <f>IFERROR(__xludf.DUMMYFUNCTION("""COMPUTED_VALUE"""),2.0)</f>
        <v>2</v>
      </c>
      <c r="K77" s="12">
        <f>IFERROR(__xludf.DUMMYFUNCTION("""COMPUTED_VALUE"""),2.0)</f>
        <v>2</v>
      </c>
      <c r="L77" s="12">
        <f>IFERROR(__xludf.DUMMYFUNCTION("""COMPUTED_VALUE"""),1.0)</f>
        <v>1</v>
      </c>
      <c r="M77" s="12" t="str">
        <f>IFERROR(__xludf.DUMMYFUNCTION("""COMPUTED_VALUE"""),"Working")</f>
        <v>Working</v>
      </c>
      <c r="N77" s="12" t="str">
        <f>IFERROR(__xludf.DUMMYFUNCTION("""COMPUTED_VALUE"""),"CORRECT")</f>
        <v>CORRECT</v>
      </c>
      <c r="O77" s="12" t="str">
        <f>IFERROR(__xludf.DUMMYFUNCTION("""COMPUTED_VALUE"""),"LOAD PENDING")</f>
        <v>LOAD PENDING</v>
      </c>
      <c r="P77" s="12" t="str">
        <f t="shared" si="2"/>
        <v/>
      </c>
      <c r="Q77" s="12" t="str">
        <f t="shared" si="3"/>
        <v/>
      </c>
    </row>
    <row r="78">
      <c r="A78" s="1">
        <v>77.0</v>
      </c>
      <c r="B78" s="1" t="s">
        <v>513</v>
      </c>
      <c r="C78" s="1" t="s">
        <v>286</v>
      </c>
      <c r="D78" s="1" t="s">
        <v>514</v>
      </c>
      <c r="E78" s="12" t="str">
        <f t="shared" si="1"/>
        <v>Mrs.MAHIMA P</v>
      </c>
      <c r="F78" s="13" t="s">
        <v>496</v>
      </c>
      <c r="G78" s="12" t="s">
        <v>301</v>
      </c>
      <c r="H78" s="12" t="s">
        <v>515</v>
      </c>
      <c r="I7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Col2='""&amp;B78&amp;""'"",0)"),2.0)</f>
        <v>2</v>
      </c>
      <c r="J78" s="12">
        <f>IFERROR(__xludf.DUMMYFUNCTION("""COMPUTED_VALUE"""),2.0)</f>
        <v>2</v>
      </c>
      <c r="K78" s="12">
        <f>IFERROR(__xludf.DUMMYFUNCTION("""COMPUTED_VALUE"""),2.0)</f>
        <v>2</v>
      </c>
      <c r="L78" s="12">
        <f>IFERROR(__xludf.DUMMYFUNCTION("""COMPUTED_VALUE"""),1.0)</f>
        <v>1</v>
      </c>
      <c r="M78" s="12" t="str">
        <f>IFERROR(__xludf.DUMMYFUNCTION("""COMPUTED_VALUE"""),"Working")</f>
        <v>Working</v>
      </c>
      <c r="N78" s="12" t="str">
        <f>IFERROR(__xludf.DUMMYFUNCTION("""COMPUTED_VALUE"""),"CORRECT")</f>
        <v>CORRECT</v>
      </c>
      <c r="O78" s="12" t="str">
        <f>IFERROR(__xludf.DUMMYFUNCTION("""COMPUTED_VALUE"""),"LOAD PENDING")</f>
        <v>LOAD PENDING</v>
      </c>
      <c r="P78" s="12" t="str">
        <f t="shared" si="2"/>
        <v/>
      </c>
      <c r="Q78" s="12" t="str">
        <f t="shared" si="3"/>
        <v/>
      </c>
    </row>
    <row r="79">
      <c r="A79" s="1">
        <v>78.0</v>
      </c>
      <c r="B79" s="1" t="s">
        <v>516</v>
      </c>
      <c r="C79" s="1" t="s">
        <v>277</v>
      </c>
      <c r="D79" s="1" t="s">
        <v>517</v>
      </c>
      <c r="E79" s="12" t="str">
        <f t="shared" si="1"/>
        <v>Dr.SANDHYARANI R</v>
      </c>
      <c r="F79" s="13" t="s">
        <v>496</v>
      </c>
      <c r="G79" s="12" t="s">
        <v>274</v>
      </c>
      <c r="H79" s="12" t="s">
        <v>518</v>
      </c>
      <c r="I7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Col2='""&amp;B79&amp;""'"",0)"),2.0)</f>
        <v>2</v>
      </c>
      <c r="J79" s="12">
        <f>IFERROR(__xludf.DUMMYFUNCTION("""COMPUTED_VALUE"""),2.0)</f>
        <v>2</v>
      </c>
      <c r="K79" s="12">
        <f>IFERROR(__xludf.DUMMYFUNCTION("""COMPUTED_VALUE"""),1.0)</f>
        <v>1</v>
      </c>
      <c r="L79" s="12">
        <f>IFERROR(__xludf.DUMMYFUNCTION("""COMPUTED_VALUE"""),0.0)</f>
        <v>0</v>
      </c>
      <c r="M79" s="12" t="str">
        <f>IFERROR(__xludf.DUMMYFUNCTION("""COMPUTED_VALUE"""),"Working")</f>
        <v>Working</v>
      </c>
      <c r="N79" s="12" t="str">
        <f>IFERROR(__xludf.DUMMYFUNCTION("""COMPUTED_VALUE"""),"LOAD PENDING")</f>
        <v>LOAD PENDING</v>
      </c>
      <c r="O79" s="12" t="str">
        <f>IFERROR(__xludf.DUMMYFUNCTION("""COMPUTED_VALUE"""),"LOAD PENDING")</f>
        <v>LOAD PENDING</v>
      </c>
      <c r="P79" s="12" t="str">
        <f t="shared" si="2"/>
        <v/>
      </c>
      <c r="Q79" s="12" t="str">
        <f t="shared" si="3"/>
        <v/>
      </c>
    </row>
    <row r="80">
      <c r="A80" s="1">
        <v>79.0</v>
      </c>
      <c r="B80" s="1" t="s">
        <v>519</v>
      </c>
      <c r="C80" s="1" t="s">
        <v>271</v>
      </c>
      <c r="D80" s="1" t="s">
        <v>520</v>
      </c>
      <c r="E80" s="12" t="str">
        <f t="shared" si="1"/>
        <v>Mr.BALAJI S</v>
      </c>
      <c r="F80" s="13" t="s">
        <v>496</v>
      </c>
      <c r="G80" s="12" t="s">
        <v>291</v>
      </c>
      <c r="H80" s="12" t="s">
        <v>521</v>
      </c>
      <c r="I8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Col2='""&amp;B80&amp;""'"",0)"),1.0)</f>
        <v>1</v>
      </c>
      <c r="J80" s="12">
        <f>IFERROR(__xludf.DUMMYFUNCTION("""COMPUTED_VALUE"""),0.0)</f>
        <v>0</v>
      </c>
      <c r="K80" s="12">
        <f>IFERROR(__xludf.DUMMYFUNCTION("""COMPUTED_VALUE"""),1.0)</f>
        <v>1</v>
      </c>
      <c r="L80" s="12">
        <f>IFERROR(__xludf.DUMMYFUNCTION("""COMPUTED_VALUE"""),0.0)</f>
        <v>0</v>
      </c>
      <c r="M80" s="12" t="str">
        <f>IFERROR(__xludf.DUMMYFUNCTION("""COMPUTED_VALUE"""),"Working")</f>
        <v>Working</v>
      </c>
      <c r="N80" s="12" t="str">
        <f>IFERROR(__xludf.DUMMYFUNCTION("""COMPUTED_VALUE"""),"CORRECT")</f>
        <v>CORRECT</v>
      </c>
      <c r="O80" s="12" t="str">
        <f>IFERROR(__xludf.DUMMYFUNCTION("""COMPUTED_VALUE"""),"CORRECT")</f>
        <v>CORRECT</v>
      </c>
      <c r="P80" s="12" t="str">
        <f t="shared" si="2"/>
        <v/>
      </c>
      <c r="Q80" s="12" t="str">
        <f t="shared" si="3"/>
        <v/>
      </c>
    </row>
    <row r="81">
      <c r="A81" s="1">
        <v>80.0</v>
      </c>
      <c r="B81" s="1" t="s">
        <v>522</v>
      </c>
      <c r="C81" s="1" t="s">
        <v>277</v>
      </c>
      <c r="D81" s="1" t="s">
        <v>523</v>
      </c>
      <c r="E81" s="12" t="str">
        <f t="shared" si="1"/>
        <v>Dr.SURESH CHALUVADI</v>
      </c>
      <c r="F81" s="13" t="s">
        <v>496</v>
      </c>
      <c r="G81" s="12" t="s">
        <v>291</v>
      </c>
      <c r="H81" s="12" t="s">
        <v>524</v>
      </c>
      <c r="I8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Col2='""&amp;B81&amp;""'"",0)"),2.0)</f>
        <v>2</v>
      </c>
      <c r="J81" s="12">
        <f>IFERROR(__xludf.DUMMYFUNCTION("""COMPUTED_VALUE"""),2.0)</f>
        <v>2</v>
      </c>
      <c r="K81" s="12">
        <f>IFERROR(__xludf.DUMMYFUNCTION("""COMPUTED_VALUE"""),2.0)</f>
        <v>2</v>
      </c>
      <c r="L81" s="12">
        <f>IFERROR(__xludf.DUMMYFUNCTION("""COMPUTED_VALUE"""),1.0)</f>
        <v>1</v>
      </c>
      <c r="M81" s="12" t="str">
        <f>IFERROR(__xludf.DUMMYFUNCTION("""COMPUTED_VALUE"""),"Working")</f>
        <v>Working</v>
      </c>
      <c r="N81" s="12" t="str">
        <f>IFERROR(__xludf.DUMMYFUNCTION("""COMPUTED_VALUE"""),"CORRECT")</f>
        <v>CORRECT</v>
      </c>
      <c r="O81" s="12" t="str">
        <f>IFERROR(__xludf.DUMMYFUNCTION("""COMPUTED_VALUE"""),"LOAD PENDING")</f>
        <v>LOAD PENDING</v>
      </c>
      <c r="P81" s="12" t="str">
        <f t="shared" si="2"/>
        <v/>
      </c>
      <c r="Q81" s="12" t="str">
        <f t="shared" si="3"/>
        <v/>
      </c>
    </row>
    <row r="82">
      <c r="A82" s="1">
        <v>81.0</v>
      </c>
      <c r="B82" s="1" t="s">
        <v>525</v>
      </c>
      <c r="C82" s="1" t="s">
        <v>307</v>
      </c>
      <c r="D82" s="1" t="s">
        <v>526</v>
      </c>
      <c r="E82" s="12" t="str">
        <f t="shared" si="1"/>
        <v>Ms.NANDHINI N</v>
      </c>
      <c r="F82" s="13" t="s">
        <v>496</v>
      </c>
      <c r="G82" s="12" t="s">
        <v>301</v>
      </c>
      <c r="H82" s="12" t="s">
        <v>527</v>
      </c>
      <c r="I8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Col2='""&amp;B82&amp;""'"",0)"),2.0)</f>
        <v>2</v>
      </c>
      <c r="J82" s="12">
        <f>IFERROR(__xludf.DUMMYFUNCTION("""COMPUTED_VALUE"""),2.0)</f>
        <v>2</v>
      </c>
      <c r="K82" s="12">
        <f>IFERROR(__xludf.DUMMYFUNCTION("""COMPUTED_VALUE"""),2.0)</f>
        <v>2</v>
      </c>
      <c r="L82" s="12">
        <f>IFERROR(__xludf.DUMMYFUNCTION("""COMPUTED_VALUE"""),1.0)</f>
        <v>1</v>
      </c>
      <c r="M82" s="12" t="str">
        <f>IFERROR(__xludf.DUMMYFUNCTION("""COMPUTED_VALUE"""),"Working")</f>
        <v>Working</v>
      </c>
      <c r="N82" s="12" t="str">
        <f>IFERROR(__xludf.DUMMYFUNCTION("""COMPUTED_VALUE"""),"CORRECT")</f>
        <v>CORRECT</v>
      </c>
      <c r="O82" s="12" t="str">
        <f>IFERROR(__xludf.DUMMYFUNCTION("""COMPUTED_VALUE"""),"LOAD PENDING")</f>
        <v>LOAD PENDING</v>
      </c>
      <c r="P82" s="12" t="str">
        <f t="shared" si="2"/>
        <v/>
      </c>
      <c r="Q82" s="12" t="str">
        <f t="shared" si="3"/>
        <v/>
      </c>
    </row>
    <row r="83">
      <c r="A83" s="1">
        <v>82.0</v>
      </c>
      <c r="B83" s="1" t="s">
        <v>528</v>
      </c>
      <c r="C83" s="1" t="s">
        <v>286</v>
      </c>
      <c r="D83" s="1" t="s">
        <v>529</v>
      </c>
      <c r="E83" s="12" t="str">
        <f t="shared" si="1"/>
        <v>Mrs.VINODHINI R T</v>
      </c>
      <c r="F83" s="13" t="s">
        <v>496</v>
      </c>
      <c r="G83" s="12" t="s">
        <v>301</v>
      </c>
      <c r="H83" s="12" t="s">
        <v>530</v>
      </c>
      <c r="I8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Col2='""&amp;B83&amp;""'"",0)"),2.0)</f>
        <v>2</v>
      </c>
      <c r="J83" s="12">
        <f>IFERROR(__xludf.DUMMYFUNCTION("""COMPUTED_VALUE"""),2.0)</f>
        <v>2</v>
      </c>
      <c r="K83" s="12">
        <f>IFERROR(__xludf.DUMMYFUNCTION("""COMPUTED_VALUE"""),2.0)</f>
        <v>2</v>
      </c>
      <c r="L83" s="12">
        <f>IFERROR(__xludf.DUMMYFUNCTION("""COMPUTED_VALUE"""),1.0)</f>
        <v>1</v>
      </c>
      <c r="M83" s="12" t="str">
        <f>IFERROR(__xludf.DUMMYFUNCTION("""COMPUTED_VALUE"""),"Working")</f>
        <v>Working</v>
      </c>
      <c r="N83" s="12" t="str">
        <f>IFERROR(__xludf.DUMMYFUNCTION("""COMPUTED_VALUE"""),"CORRECT")</f>
        <v>CORRECT</v>
      </c>
      <c r="O83" s="12" t="str">
        <f>IFERROR(__xludf.DUMMYFUNCTION("""COMPUTED_VALUE"""),"LOAD PENDING")</f>
        <v>LOAD PENDING</v>
      </c>
      <c r="P83" s="12" t="str">
        <f t="shared" si="2"/>
        <v/>
      </c>
      <c r="Q83" s="12" t="str">
        <f t="shared" si="3"/>
        <v/>
      </c>
    </row>
    <row r="84">
      <c r="A84" s="1">
        <v>83.0</v>
      </c>
      <c r="B84" s="1" t="s">
        <v>531</v>
      </c>
      <c r="C84" s="1" t="s">
        <v>277</v>
      </c>
      <c r="D84" s="1" t="s">
        <v>532</v>
      </c>
      <c r="E84" s="12" t="str">
        <f t="shared" si="1"/>
        <v>Dr.SARANYA S</v>
      </c>
      <c r="F84" s="13" t="s">
        <v>496</v>
      </c>
      <c r="G84" s="12" t="s">
        <v>291</v>
      </c>
      <c r="H84" s="12" t="s">
        <v>533</v>
      </c>
      <c r="I8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Col2='""&amp;B84&amp;""'"",0)"),1.0)</f>
        <v>1</v>
      </c>
      <c r="J84" s="12">
        <f>IFERROR(__xludf.DUMMYFUNCTION("""COMPUTED_VALUE"""),1.0)</f>
        <v>1</v>
      </c>
      <c r="K84" s="12">
        <f>IFERROR(__xludf.DUMMYFUNCTION("""COMPUTED_VALUE"""),1.0)</f>
        <v>1</v>
      </c>
      <c r="L84" s="12">
        <f>IFERROR(__xludf.DUMMYFUNCTION("""COMPUTED_VALUE"""),1.0)</f>
        <v>1</v>
      </c>
      <c r="M84" s="12" t="str">
        <f>IFERROR(__xludf.DUMMYFUNCTION("""COMPUTED_VALUE"""),"Working")</f>
        <v>Working</v>
      </c>
      <c r="N84" s="12" t="str">
        <f>IFERROR(__xludf.DUMMYFUNCTION("""COMPUTED_VALUE"""),"CORRECT")</f>
        <v>CORRECT</v>
      </c>
      <c r="O84" s="12" t="str">
        <f>IFERROR(__xludf.DUMMYFUNCTION("""COMPUTED_VALUE"""),"CORRECT")</f>
        <v>CORRECT</v>
      </c>
      <c r="P84" s="12" t="str">
        <f t="shared" si="2"/>
        <v/>
      </c>
      <c r="Q84" s="12" t="str">
        <f t="shared" si="3"/>
        <v/>
      </c>
    </row>
    <row r="85">
      <c r="A85" s="1">
        <v>84.0</v>
      </c>
      <c r="B85" s="1" t="s">
        <v>534</v>
      </c>
      <c r="C85" s="1" t="s">
        <v>286</v>
      </c>
      <c r="D85" s="1" t="s">
        <v>535</v>
      </c>
      <c r="E85" s="12" t="str">
        <f t="shared" si="1"/>
        <v>Mrs.SHANKARI V</v>
      </c>
      <c r="F85" s="13" t="s">
        <v>496</v>
      </c>
      <c r="G85" s="12" t="s">
        <v>301</v>
      </c>
      <c r="H85" s="12" t="s">
        <v>536</v>
      </c>
      <c r="I85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Col2='""&amp;B85&amp;""'"",0)"),"")</f>
        <v/>
      </c>
      <c r="J85" s="12"/>
      <c r="K85" s="12">
        <f>IFERROR(__xludf.DUMMYFUNCTION("""COMPUTED_VALUE"""),1.0)</f>
        <v>1</v>
      </c>
      <c r="L85" s="12">
        <f>IFERROR(__xludf.DUMMYFUNCTION("""COMPUTED_VALUE"""),1.0)</f>
        <v>1</v>
      </c>
      <c r="M85" s="12" t="str">
        <f>IFERROR(__xludf.DUMMYFUNCTION("""COMPUTED_VALUE"""),"Working")</f>
        <v>Working</v>
      </c>
      <c r="N85" s="12" t="str">
        <f>IFERROR(__xludf.DUMMYFUNCTION("""COMPUTED_VALUE"""),"#N/A")</f>
        <v>#N/A</v>
      </c>
      <c r="O85" s="12" t="str">
        <f>IFERROR(__xludf.DUMMYFUNCTION("""COMPUTED_VALUE"""),"CORRECT")</f>
        <v>CORRECT</v>
      </c>
      <c r="P85" s="12" t="str">
        <f t="shared" si="2"/>
        <v>Extra Theory Load Alloted</v>
      </c>
      <c r="Q85" s="12" t="str">
        <f t="shared" si="3"/>
        <v>Extra Lab Load Alloted</v>
      </c>
    </row>
    <row r="86">
      <c r="A86" s="1">
        <v>85.0</v>
      </c>
      <c r="B86" s="1" t="s">
        <v>537</v>
      </c>
      <c r="C86" s="1" t="s">
        <v>277</v>
      </c>
      <c r="D86" s="1" t="s">
        <v>538</v>
      </c>
      <c r="E86" s="12" t="str">
        <f t="shared" si="1"/>
        <v>Dr.KANNAN K P</v>
      </c>
      <c r="F86" s="13" t="s">
        <v>496</v>
      </c>
      <c r="G86" s="12" t="s">
        <v>283</v>
      </c>
      <c r="H86" s="12" t="s">
        <v>539</v>
      </c>
      <c r="I8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Col2='""&amp;B86&amp;""'"",0)"),1.0)</f>
        <v>1</v>
      </c>
      <c r="J86" s="12">
        <f>IFERROR(__xludf.DUMMYFUNCTION("""COMPUTED_VALUE"""),1.0)</f>
        <v>1</v>
      </c>
      <c r="K86" s="12">
        <f>IFERROR(__xludf.DUMMYFUNCTION("""COMPUTED_VALUE"""),1.0)</f>
        <v>1</v>
      </c>
      <c r="L86" s="12">
        <f>IFERROR(__xludf.DUMMYFUNCTION("""COMPUTED_VALUE"""),1.0)</f>
        <v>1</v>
      </c>
      <c r="M86" s="12" t="str">
        <f>IFERROR(__xludf.DUMMYFUNCTION("""COMPUTED_VALUE"""),"Working")</f>
        <v>Working</v>
      </c>
      <c r="N86" s="12" t="str">
        <f>IFERROR(__xludf.DUMMYFUNCTION("""COMPUTED_VALUE"""),"CORRECT")</f>
        <v>CORRECT</v>
      </c>
      <c r="O86" s="12" t="str">
        <f>IFERROR(__xludf.DUMMYFUNCTION("""COMPUTED_VALUE"""),"CORRECT")</f>
        <v>CORRECT</v>
      </c>
      <c r="P86" s="12" t="str">
        <f t="shared" si="2"/>
        <v/>
      </c>
      <c r="Q86" s="12" t="str">
        <f t="shared" si="3"/>
        <v/>
      </c>
    </row>
    <row r="87">
      <c r="A87" s="1">
        <v>86.0</v>
      </c>
      <c r="B87" s="1" t="s">
        <v>540</v>
      </c>
      <c r="C87" s="1" t="s">
        <v>277</v>
      </c>
      <c r="D87" s="1" t="s">
        <v>541</v>
      </c>
      <c r="E87" s="12" t="str">
        <f t="shared" si="1"/>
        <v>Dr.TAMILSELVI S</v>
      </c>
      <c r="F87" s="13" t="s">
        <v>496</v>
      </c>
      <c r="G87" s="12" t="s">
        <v>283</v>
      </c>
      <c r="H87" s="12" t="s">
        <v>542</v>
      </c>
      <c r="I8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Col2='""&amp;B87&amp;""'"",0)"),1.0)</f>
        <v>1</v>
      </c>
      <c r="J87" s="12">
        <f>IFERROR(__xludf.DUMMYFUNCTION("""COMPUTED_VALUE"""),1.0)</f>
        <v>1</v>
      </c>
      <c r="K87" s="12">
        <f>IFERROR(__xludf.DUMMYFUNCTION("""COMPUTED_VALUE"""),1.0)</f>
        <v>1</v>
      </c>
      <c r="L87" s="12">
        <f>IFERROR(__xludf.DUMMYFUNCTION("""COMPUTED_VALUE"""),1.0)</f>
        <v>1</v>
      </c>
      <c r="M87" s="12" t="str">
        <f>IFERROR(__xludf.DUMMYFUNCTION("""COMPUTED_VALUE"""),"Working")</f>
        <v>Working</v>
      </c>
      <c r="N87" s="12" t="str">
        <f>IFERROR(__xludf.DUMMYFUNCTION("""COMPUTED_VALUE"""),"CORRECT")</f>
        <v>CORRECT</v>
      </c>
      <c r="O87" s="12" t="str">
        <f>IFERROR(__xludf.DUMMYFUNCTION("""COMPUTED_VALUE"""),"CORRECT")</f>
        <v>CORRECT</v>
      </c>
      <c r="P87" s="12" t="str">
        <f t="shared" si="2"/>
        <v/>
      </c>
      <c r="Q87" s="12" t="str">
        <f t="shared" si="3"/>
        <v/>
      </c>
    </row>
    <row r="88">
      <c r="A88" s="1">
        <v>87.0</v>
      </c>
      <c r="B88" s="1" t="s">
        <v>543</v>
      </c>
      <c r="C88" s="1" t="s">
        <v>277</v>
      </c>
      <c r="D88" s="1" t="s">
        <v>544</v>
      </c>
      <c r="E88" s="12" t="str">
        <f t="shared" si="1"/>
        <v>Dr.BALAKRISHNARAJA R</v>
      </c>
      <c r="F88" s="13" t="s">
        <v>496</v>
      </c>
      <c r="G88" s="12" t="s">
        <v>283</v>
      </c>
      <c r="H88" s="12" t="s">
        <v>545</v>
      </c>
      <c r="I8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Col2='""&amp;B88&amp;""'"",0)"),1.0)</f>
        <v>1</v>
      </c>
      <c r="J88" s="12">
        <f>IFERROR(__xludf.DUMMYFUNCTION("""COMPUTED_VALUE"""),0.0)</f>
        <v>0</v>
      </c>
      <c r="K88" s="12">
        <f>IFERROR(__xludf.DUMMYFUNCTION("""COMPUTED_VALUE"""),1.0)</f>
        <v>1</v>
      </c>
      <c r="L88" s="12">
        <f>IFERROR(__xludf.DUMMYFUNCTION("""COMPUTED_VALUE"""),0.0)</f>
        <v>0</v>
      </c>
      <c r="M88" s="12" t="str">
        <f>IFERROR(__xludf.DUMMYFUNCTION("""COMPUTED_VALUE"""),"Working")</f>
        <v>Working</v>
      </c>
      <c r="N88" s="12" t="str">
        <f>IFERROR(__xludf.DUMMYFUNCTION("""COMPUTED_VALUE"""),"CORRECT")</f>
        <v>CORRECT</v>
      </c>
      <c r="O88" s="12" t="str">
        <f>IFERROR(__xludf.DUMMYFUNCTION("""COMPUTED_VALUE"""),"CORRECT")</f>
        <v>CORRECT</v>
      </c>
      <c r="P88" s="12" t="str">
        <f t="shared" si="2"/>
        <v/>
      </c>
      <c r="Q88" s="12" t="str">
        <f t="shared" si="3"/>
        <v/>
      </c>
    </row>
    <row r="89">
      <c r="A89" s="1">
        <v>88.0</v>
      </c>
      <c r="B89" s="1" t="s">
        <v>546</v>
      </c>
      <c r="C89" s="1" t="s">
        <v>277</v>
      </c>
      <c r="D89" s="1" t="s">
        <v>547</v>
      </c>
      <c r="E89" s="12" t="str">
        <f t="shared" si="1"/>
        <v>Dr.KIRUPA SANKAR M</v>
      </c>
      <c r="F89" s="13" t="s">
        <v>496</v>
      </c>
      <c r="G89" s="12" t="s">
        <v>279</v>
      </c>
      <c r="H89" s="12" t="s">
        <v>548</v>
      </c>
      <c r="I8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Col2='""&amp;B89&amp;""'"",0)"),2.0)</f>
        <v>2</v>
      </c>
      <c r="J89" s="12">
        <f>IFERROR(__xludf.DUMMYFUNCTION("""COMPUTED_VALUE"""),1.0)</f>
        <v>1</v>
      </c>
      <c r="K89" s="12">
        <f>IFERROR(__xludf.DUMMYFUNCTION("""COMPUTED_VALUE"""),2.0)</f>
        <v>2</v>
      </c>
      <c r="L89" s="12">
        <f>IFERROR(__xludf.DUMMYFUNCTION("""COMPUTED_VALUE"""),1.0)</f>
        <v>1</v>
      </c>
      <c r="M89" s="12" t="str">
        <f>IFERROR(__xludf.DUMMYFUNCTION("""COMPUTED_VALUE"""),"Working")</f>
        <v>Working</v>
      </c>
      <c r="N89" s="12" t="str">
        <f>IFERROR(__xludf.DUMMYFUNCTION("""COMPUTED_VALUE"""),"CORRECT")</f>
        <v>CORRECT</v>
      </c>
      <c r="O89" s="12" t="str">
        <f>IFERROR(__xludf.DUMMYFUNCTION("""COMPUTED_VALUE"""),"CORRECT")</f>
        <v>CORRECT</v>
      </c>
      <c r="P89" s="12" t="str">
        <f t="shared" si="2"/>
        <v/>
      </c>
      <c r="Q89" s="12" t="str">
        <f t="shared" si="3"/>
        <v/>
      </c>
    </row>
    <row r="90">
      <c r="A90" s="1">
        <v>89.0</v>
      </c>
      <c r="B90" s="1" t="s">
        <v>549</v>
      </c>
      <c r="C90" s="1" t="s">
        <v>277</v>
      </c>
      <c r="D90" s="1" t="s">
        <v>550</v>
      </c>
      <c r="E90" s="12" t="str">
        <f t="shared" si="1"/>
        <v>Dr.PAVITHRA MKS</v>
      </c>
      <c r="F90" s="13" t="s">
        <v>496</v>
      </c>
      <c r="G90" s="12" t="s">
        <v>279</v>
      </c>
      <c r="H90" s="12" t="s">
        <v>551</v>
      </c>
      <c r="I9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Col2='""&amp;B90&amp;""'"",0)"),2.0)</f>
        <v>2</v>
      </c>
      <c r="J90" s="12">
        <f>IFERROR(__xludf.DUMMYFUNCTION("""COMPUTED_VALUE"""),1.0)</f>
        <v>1</v>
      </c>
      <c r="K90" s="12">
        <f>IFERROR(__xludf.DUMMYFUNCTION("""COMPUTED_VALUE"""),2.0)</f>
        <v>2</v>
      </c>
      <c r="L90" s="12">
        <f>IFERROR(__xludf.DUMMYFUNCTION("""COMPUTED_VALUE"""),1.0)</f>
        <v>1</v>
      </c>
      <c r="M90" s="12" t="str">
        <f>IFERROR(__xludf.DUMMYFUNCTION("""COMPUTED_VALUE"""),"Working")</f>
        <v>Working</v>
      </c>
      <c r="N90" s="12" t="str">
        <f>IFERROR(__xludf.DUMMYFUNCTION("""COMPUTED_VALUE"""),"CORRECT")</f>
        <v>CORRECT</v>
      </c>
      <c r="O90" s="12" t="str">
        <f>IFERROR(__xludf.DUMMYFUNCTION("""COMPUTED_VALUE"""),"CORRECT")</f>
        <v>CORRECT</v>
      </c>
      <c r="P90" s="12" t="str">
        <f t="shared" si="2"/>
        <v/>
      </c>
      <c r="Q90" s="12" t="str">
        <f t="shared" si="3"/>
        <v/>
      </c>
    </row>
    <row r="91">
      <c r="A91" s="1">
        <v>90.0</v>
      </c>
      <c r="B91" s="1" t="s">
        <v>552</v>
      </c>
      <c r="C91" s="1" t="s">
        <v>271</v>
      </c>
      <c r="D91" s="1" t="s">
        <v>553</v>
      </c>
      <c r="E91" s="12" t="str">
        <f t="shared" si="1"/>
        <v>Mr.CHANDRU K S</v>
      </c>
      <c r="F91" s="13" t="s">
        <v>554</v>
      </c>
      <c r="G91" s="12" t="s">
        <v>274</v>
      </c>
      <c r="H91" s="12" t="s">
        <v>555</v>
      </c>
      <c r="I9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Col2='""&amp;B91&amp;""'"",0)"),2.0)</f>
        <v>2</v>
      </c>
      <c r="J91" s="12">
        <f>IFERROR(__xludf.DUMMYFUNCTION("""COMPUTED_VALUE"""),2.0)</f>
        <v>2</v>
      </c>
      <c r="K91" s="12">
        <f>IFERROR(__xludf.DUMMYFUNCTION("""COMPUTED_VALUE"""),2.0)</f>
        <v>2</v>
      </c>
      <c r="L91" s="12">
        <f>IFERROR(__xludf.DUMMYFUNCTION("""COMPUTED_VALUE"""),1.0)</f>
        <v>1</v>
      </c>
      <c r="M91" s="12" t="str">
        <f>IFERROR(__xludf.DUMMYFUNCTION("""COMPUTED_VALUE"""),"Working")</f>
        <v>Working</v>
      </c>
      <c r="N91" s="12" t="str">
        <f>IFERROR(__xludf.DUMMYFUNCTION("""COMPUTED_VALUE"""),"CORRECT")</f>
        <v>CORRECT</v>
      </c>
      <c r="O91" s="12" t="str">
        <f>IFERROR(__xludf.DUMMYFUNCTION("""COMPUTED_VALUE"""),"LOAD PENDING")</f>
        <v>LOAD PENDING</v>
      </c>
      <c r="P91" s="12" t="str">
        <f t="shared" si="2"/>
        <v/>
      </c>
      <c r="Q91" s="12" t="str">
        <f t="shared" si="3"/>
        <v/>
      </c>
    </row>
    <row r="92">
      <c r="A92" s="1">
        <v>91.0</v>
      </c>
      <c r="B92" s="1" t="s">
        <v>556</v>
      </c>
      <c r="C92" s="1" t="s">
        <v>307</v>
      </c>
      <c r="D92" s="1" t="s">
        <v>557</v>
      </c>
      <c r="E92" s="12" t="str">
        <f t="shared" si="1"/>
        <v>Ms.YUVALATHA S</v>
      </c>
      <c r="F92" s="13" t="s">
        <v>554</v>
      </c>
      <c r="G92" s="12" t="s">
        <v>274</v>
      </c>
      <c r="H92" s="12" t="s">
        <v>558</v>
      </c>
      <c r="I9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Col2='""&amp;B92&amp;""'"",0)"),2.0)</f>
        <v>2</v>
      </c>
      <c r="J92" s="12">
        <f>IFERROR(__xludf.DUMMYFUNCTION("""COMPUTED_VALUE"""),2.0)</f>
        <v>2</v>
      </c>
      <c r="K92" s="12">
        <f>IFERROR(__xludf.DUMMYFUNCTION("""COMPUTED_VALUE"""),1.0)</f>
        <v>1</v>
      </c>
      <c r="L92" s="12">
        <f>IFERROR(__xludf.DUMMYFUNCTION("""COMPUTED_VALUE"""),0.0)</f>
        <v>0</v>
      </c>
      <c r="M92" s="12" t="str">
        <f>IFERROR(__xludf.DUMMYFUNCTION("""COMPUTED_VALUE"""),"Working")</f>
        <v>Working</v>
      </c>
      <c r="N92" s="12" t="str">
        <f>IFERROR(__xludf.DUMMYFUNCTION("""COMPUTED_VALUE"""),"LOAD PENDING")</f>
        <v>LOAD PENDING</v>
      </c>
      <c r="O92" s="12" t="str">
        <f>IFERROR(__xludf.DUMMYFUNCTION("""COMPUTED_VALUE"""),"LOAD PENDING")</f>
        <v>LOAD PENDING</v>
      </c>
      <c r="P92" s="12" t="str">
        <f t="shared" si="2"/>
        <v/>
      </c>
      <c r="Q92" s="12" t="str">
        <f t="shared" si="3"/>
        <v/>
      </c>
    </row>
    <row r="93">
      <c r="A93" s="1">
        <v>92.0</v>
      </c>
      <c r="B93" s="1" t="s">
        <v>559</v>
      </c>
      <c r="C93" s="1" t="s">
        <v>286</v>
      </c>
      <c r="D93" s="1" t="s">
        <v>560</v>
      </c>
      <c r="E93" s="12" t="str">
        <f t="shared" si="1"/>
        <v>Mrs.MADHUMITHA A</v>
      </c>
      <c r="F93" s="13" t="s">
        <v>554</v>
      </c>
      <c r="G93" s="12" t="s">
        <v>301</v>
      </c>
      <c r="H93" s="12" t="s">
        <v>561</v>
      </c>
      <c r="I9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Col2='""&amp;B93&amp;""'"",0)"),2.0)</f>
        <v>2</v>
      </c>
      <c r="J93" s="12">
        <f>IFERROR(__xludf.DUMMYFUNCTION("""COMPUTED_VALUE"""),2.0)</f>
        <v>2</v>
      </c>
      <c r="K93" s="12">
        <f>IFERROR(__xludf.DUMMYFUNCTION("""COMPUTED_VALUE"""),2.0)</f>
        <v>2</v>
      </c>
      <c r="L93" s="12">
        <f>IFERROR(__xludf.DUMMYFUNCTION("""COMPUTED_VALUE"""),2.0)</f>
        <v>2</v>
      </c>
      <c r="M93" s="12" t="str">
        <f>IFERROR(__xludf.DUMMYFUNCTION("""COMPUTED_VALUE"""),"Working")</f>
        <v>Working</v>
      </c>
      <c r="N93" s="12" t="str">
        <f>IFERROR(__xludf.DUMMYFUNCTION("""COMPUTED_VALUE"""),"CORRECT")</f>
        <v>CORRECT</v>
      </c>
      <c r="O93" s="12" t="str">
        <f>IFERROR(__xludf.DUMMYFUNCTION("""COMPUTED_VALUE"""),"CORRECT")</f>
        <v>CORRECT</v>
      </c>
      <c r="P93" s="12" t="str">
        <f t="shared" si="2"/>
        <v/>
      </c>
      <c r="Q93" s="12" t="str">
        <f t="shared" si="3"/>
        <v/>
      </c>
    </row>
    <row r="94">
      <c r="A94" s="1">
        <v>93.0</v>
      </c>
      <c r="B94" s="1" t="s">
        <v>562</v>
      </c>
      <c r="C94" s="1" t="s">
        <v>286</v>
      </c>
      <c r="D94" s="1" t="s">
        <v>563</v>
      </c>
      <c r="E94" s="12" t="str">
        <f t="shared" si="1"/>
        <v>Mrs.SARANYA N</v>
      </c>
      <c r="F94" s="13" t="s">
        <v>554</v>
      </c>
      <c r="G94" s="12" t="s">
        <v>301</v>
      </c>
      <c r="H94" s="12" t="s">
        <v>564</v>
      </c>
      <c r="I9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Col2='""&amp;B94&amp;""'"",0)"),2.0)</f>
        <v>2</v>
      </c>
      <c r="J94" s="12">
        <f>IFERROR(__xludf.DUMMYFUNCTION("""COMPUTED_VALUE"""),2.0)</f>
        <v>2</v>
      </c>
      <c r="K94" s="12">
        <f>IFERROR(__xludf.DUMMYFUNCTION("""COMPUTED_VALUE"""),2.0)</f>
        <v>2</v>
      </c>
      <c r="L94" s="12">
        <f>IFERROR(__xludf.DUMMYFUNCTION("""COMPUTED_VALUE"""),1.0)</f>
        <v>1</v>
      </c>
      <c r="M94" s="12" t="str">
        <f>IFERROR(__xludf.DUMMYFUNCTION("""COMPUTED_VALUE"""),"Working")</f>
        <v>Working</v>
      </c>
      <c r="N94" s="12" t="str">
        <f>IFERROR(__xludf.DUMMYFUNCTION("""COMPUTED_VALUE"""),"CORRECT")</f>
        <v>CORRECT</v>
      </c>
      <c r="O94" s="12" t="str">
        <f>IFERROR(__xludf.DUMMYFUNCTION("""COMPUTED_VALUE"""),"LOAD PENDING")</f>
        <v>LOAD PENDING</v>
      </c>
      <c r="P94" s="12" t="str">
        <f t="shared" si="2"/>
        <v/>
      </c>
      <c r="Q94" s="12" t="str">
        <f t="shared" si="3"/>
        <v/>
      </c>
    </row>
    <row r="95">
      <c r="A95" s="1">
        <v>94.0</v>
      </c>
      <c r="B95" s="1" t="s">
        <v>565</v>
      </c>
      <c r="C95" s="1" t="s">
        <v>307</v>
      </c>
      <c r="D95" s="1" t="s">
        <v>566</v>
      </c>
      <c r="E95" s="12" t="str">
        <f t="shared" si="1"/>
        <v>Ms.NAVEENYA B P</v>
      </c>
      <c r="F95" s="13" t="s">
        <v>554</v>
      </c>
      <c r="G95" s="12" t="s">
        <v>301</v>
      </c>
      <c r="H95" s="12" t="s">
        <v>567</v>
      </c>
      <c r="I9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Col2='""&amp;B95&amp;""'"",0)"),2.0)</f>
        <v>2</v>
      </c>
      <c r="J95" s="12">
        <f>IFERROR(__xludf.DUMMYFUNCTION("""COMPUTED_VALUE"""),2.0)</f>
        <v>2</v>
      </c>
      <c r="K95" s="12">
        <f>IFERROR(__xludf.DUMMYFUNCTION("""COMPUTED_VALUE"""),0.0)</f>
        <v>0</v>
      </c>
      <c r="L95" s="12">
        <f>IFERROR(__xludf.DUMMYFUNCTION("""COMPUTED_VALUE"""),0.0)</f>
        <v>0</v>
      </c>
      <c r="M95" s="12" t="str">
        <f>IFERROR(__xludf.DUMMYFUNCTION("""COMPUTED_VALUE"""),"Working")</f>
        <v>Working</v>
      </c>
      <c r="N95" s="12" t="str">
        <f>IFERROR(__xludf.DUMMYFUNCTION("""COMPUTED_VALUE"""),"LOAD PENDING")</f>
        <v>LOAD PENDING</v>
      </c>
      <c r="O95" s="12" t="str">
        <f>IFERROR(__xludf.DUMMYFUNCTION("""COMPUTED_VALUE"""),"LOAD PENDING")</f>
        <v>LOAD PENDING</v>
      </c>
      <c r="P95" s="12" t="str">
        <f t="shared" si="2"/>
        <v/>
      </c>
      <c r="Q95" s="12" t="str">
        <f t="shared" si="3"/>
        <v/>
      </c>
    </row>
    <row r="96">
      <c r="A96" s="1">
        <v>95.0</v>
      </c>
      <c r="B96" s="1" t="s">
        <v>568</v>
      </c>
      <c r="C96" s="1" t="s">
        <v>286</v>
      </c>
      <c r="D96" s="1" t="s">
        <v>569</v>
      </c>
      <c r="E96" s="12" t="str">
        <f t="shared" si="1"/>
        <v>Mrs.DIVYA S</v>
      </c>
      <c r="F96" s="13" t="s">
        <v>554</v>
      </c>
      <c r="G96" s="12" t="s">
        <v>301</v>
      </c>
      <c r="H96" s="12" t="s">
        <v>570</v>
      </c>
      <c r="I96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Col2='""&amp;B96&amp;""'"",0)"),"")</f>
        <v/>
      </c>
      <c r="J96" s="12"/>
      <c r="K96" s="12">
        <f>IFERROR(__xludf.DUMMYFUNCTION("""COMPUTED_VALUE"""),2.0)</f>
        <v>2</v>
      </c>
      <c r="L96" s="12">
        <f>IFERROR(__xludf.DUMMYFUNCTION("""COMPUTED_VALUE"""),1.0)</f>
        <v>1</v>
      </c>
      <c r="M96" s="12" t="str">
        <f>IFERROR(__xludf.DUMMYFUNCTION("""COMPUTED_VALUE"""),"Working")</f>
        <v>Working</v>
      </c>
      <c r="N96" s="12" t="str">
        <f>IFERROR(__xludf.DUMMYFUNCTION("""COMPUTED_VALUE"""),"#N/A")</f>
        <v>#N/A</v>
      </c>
      <c r="O96" s="12" t="str">
        <f>IFERROR(__xludf.DUMMYFUNCTION("""COMPUTED_VALUE"""),"CORRECT")</f>
        <v>CORRECT</v>
      </c>
      <c r="P96" s="12" t="str">
        <f t="shared" si="2"/>
        <v>Extra Theory Load Alloted</v>
      </c>
      <c r="Q96" s="12" t="str">
        <f t="shared" si="3"/>
        <v>Extra Lab Load Alloted</v>
      </c>
    </row>
    <row r="97">
      <c r="A97" s="1">
        <v>96.0</v>
      </c>
      <c r="B97" s="1" t="s">
        <v>571</v>
      </c>
      <c r="C97" s="1" t="s">
        <v>307</v>
      </c>
      <c r="D97" s="1" t="s">
        <v>572</v>
      </c>
      <c r="E97" s="12" t="str">
        <f t="shared" si="1"/>
        <v>Ms.VAISHNAVI N</v>
      </c>
      <c r="F97" s="13" t="s">
        <v>554</v>
      </c>
      <c r="G97" s="12" t="s">
        <v>301</v>
      </c>
      <c r="H97" s="12" t="s">
        <v>573</v>
      </c>
      <c r="I9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Col2='""&amp;B97&amp;""'"",0)"),2.0)</f>
        <v>2</v>
      </c>
      <c r="J97" s="12">
        <f>IFERROR(__xludf.DUMMYFUNCTION("""COMPUTED_VALUE"""),2.0)</f>
        <v>2</v>
      </c>
      <c r="K97" s="12">
        <f>IFERROR(__xludf.DUMMYFUNCTION("""COMPUTED_VALUE"""),2.0)</f>
        <v>2</v>
      </c>
      <c r="L97" s="12">
        <f>IFERROR(__xludf.DUMMYFUNCTION("""COMPUTED_VALUE"""),1.0)</f>
        <v>1</v>
      </c>
      <c r="M97" s="12" t="str">
        <f>IFERROR(__xludf.DUMMYFUNCTION("""COMPUTED_VALUE"""),"Working")</f>
        <v>Working</v>
      </c>
      <c r="N97" s="12" t="str">
        <f>IFERROR(__xludf.DUMMYFUNCTION("""COMPUTED_VALUE"""),"CORRECT")</f>
        <v>CORRECT</v>
      </c>
      <c r="O97" s="12" t="str">
        <f>IFERROR(__xludf.DUMMYFUNCTION("""COMPUTED_VALUE"""),"LOAD PENDING")</f>
        <v>LOAD PENDING</v>
      </c>
      <c r="P97" s="12" t="str">
        <f t="shared" si="2"/>
        <v/>
      </c>
      <c r="Q97" s="12" t="str">
        <f t="shared" si="3"/>
        <v/>
      </c>
    </row>
    <row r="98">
      <c r="A98" s="1">
        <v>97.0</v>
      </c>
      <c r="B98" s="1" t="s">
        <v>574</v>
      </c>
      <c r="C98" s="1" t="s">
        <v>271</v>
      </c>
      <c r="D98" s="1" t="s">
        <v>575</v>
      </c>
      <c r="E98" s="12" t="str">
        <f t="shared" si="1"/>
        <v>Mr.PRABAKAR S J</v>
      </c>
      <c r="F98" s="13" t="s">
        <v>554</v>
      </c>
      <c r="G98" s="12" t="s">
        <v>301</v>
      </c>
      <c r="H98" s="12" t="s">
        <v>576</v>
      </c>
      <c r="I9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Col2='""&amp;B98&amp;""'"",0)"),0.0)</f>
        <v>0</v>
      </c>
      <c r="J98" s="12">
        <f>IFERROR(__xludf.DUMMYFUNCTION("""COMPUTED_VALUE"""),0.0)</f>
        <v>0</v>
      </c>
      <c r="K98" s="12">
        <f>IFERROR(__xludf.DUMMYFUNCTION("""COMPUTED_VALUE"""),0.0)</f>
        <v>0</v>
      </c>
      <c r="L98" s="12">
        <f>IFERROR(__xludf.DUMMYFUNCTION("""COMPUTED_VALUE"""),0.0)</f>
        <v>0</v>
      </c>
      <c r="M98" s="12" t="str">
        <f>IFERROR(__xludf.DUMMYFUNCTION("""COMPUTED_VALUE"""),"Working")</f>
        <v>Working</v>
      </c>
      <c r="N98" s="12" t="str">
        <f>IFERROR(__xludf.DUMMYFUNCTION("""COMPUTED_VALUE"""),"CORRECT")</f>
        <v>CORRECT</v>
      </c>
      <c r="O98" s="12" t="str">
        <f>IFERROR(__xludf.DUMMYFUNCTION("""COMPUTED_VALUE"""),"CORRECT")</f>
        <v>CORRECT</v>
      </c>
      <c r="P98" s="12" t="str">
        <f t="shared" si="2"/>
        <v/>
      </c>
      <c r="Q98" s="12" t="str">
        <f t="shared" si="3"/>
        <v/>
      </c>
    </row>
    <row r="99">
      <c r="A99" s="1">
        <v>98.0</v>
      </c>
      <c r="B99" s="1" t="s">
        <v>577</v>
      </c>
      <c r="C99" s="1" t="s">
        <v>286</v>
      </c>
      <c r="D99" s="1" t="s">
        <v>578</v>
      </c>
      <c r="E99" s="12" t="str">
        <f t="shared" si="1"/>
        <v>Mrs.PREETHIMATHI L</v>
      </c>
      <c r="F99" s="13" t="s">
        <v>579</v>
      </c>
      <c r="G99" s="12" t="s">
        <v>301</v>
      </c>
      <c r="H99" s="12" t="s">
        <v>580</v>
      </c>
      <c r="I9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Col2='""&amp;B99&amp;""'"",0)"),2.0)</f>
        <v>2</v>
      </c>
      <c r="J99" s="12">
        <f>IFERROR(__xludf.DUMMYFUNCTION("""COMPUTED_VALUE"""),2.0)</f>
        <v>2</v>
      </c>
      <c r="K99" s="12">
        <f>IFERROR(__xludf.DUMMYFUNCTION("""COMPUTED_VALUE"""),2.0)</f>
        <v>2</v>
      </c>
      <c r="L99" s="12">
        <f>IFERROR(__xludf.DUMMYFUNCTION("""COMPUTED_VALUE"""),1.0)</f>
        <v>1</v>
      </c>
      <c r="M99" s="12" t="str">
        <f>IFERROR(__xludf.DUMMYFUNCTION("""COMPUTED_VALUE"""),"Working")</f>
        <v>Working</v>
      </c>
      <c r="N99" s="12" t="str">
        <f>IFERROR(__xludf.DUMMYFUNCTION("""COMPUTED_VALUE"""),"CORRECT")</f>
        <v>CORRECT</v>
      </c>
      <c r="O99" s="12" t="str">
        <f>IFERROR(__xludf.DUMMYFUNCTION("""COMPUTED_VALUE"""),"LOAD PENDING")</f>
        <v>LOAD PENDING</v>
      </c>
      <c r="P99" s="12" t="str">
        <f t="shared" si="2"/>
        <v/>
      </c>
      <c r="Q99" s="12" t="str">
        <f t="shared" si="3"/>
        <v/>
      </c>
    </row>
    <row r="100">
      <c r="A100" s="1">
        <v>99.0</v>
      </c>
      <c r="B100" s="1" t="s">
        <v>581</v>
      </c>
      <c r="C100" s="1" t="s">
        <v>271</v>
      </c>
      <c r="D100" s="1" t="s">
        <v>582</v>
      </c>
      <c r="E100" s="12" t="str">
        <f t="shared" si="1"/>
        <v>Mr.MAHESHKUMAR K</v>
      </c>
      <c r="F100" s="13" t="s">
        <v>579</v>
      </c>
      <c r="G100" s="12" t="s">
        <v>291</v>
      </c>
      <c r="H100" s="12" t="s">
        <v>583</v>
      </c>
      <c r="I10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Col2='""&amp;B100&amp;""'"",0)"),1.0)</f>
        <v>1</v>
      </c>
      <c r="J100" s="12">
        <f>IFERROR(__xludf.DUMMYFUNCTION("""COMPUTED_VALUE"""),0.0)</f>
        <v>0</v>
      </c>
      <c r="K100" s="12">
        <f>IFERROR(__xludf.DUMMYFUNCTION("""COMPUTED_VALUE"""),0.0)</f>
        <v>0</v>
      </c>
      <c r="L100" s="12">
        <f>IFERROR(__xludf.DUMMYFUNCTION("""COMPUTED_VALUE"""),0.0)</f>
        <v>0</v>
      </c>
      <c r="M100" s="12" t="str">
        <f>IFERROR(__xludf.DUMMYFUNCTION("""COMPUTED_VALUE"""),"Working")</f>
        <v>Working</v>
      </c>
      <c r="N100" s="12" t="str">
        <f>IFERROR(__xludf.DUMMYFUNCTION("""COMPUTED_VALUE"""),"LOAD PENDING")</f>
        <v>LOAD PENDING</v>
      </c>
      <c r="O100" s="12" t="str">
        <f>IFERROR(__xludf.DUMMYFUNCTION("""COMPUTED_VALUE"""),"CORRECT")</f>
        <v>CORRECT</v>
      </c>
      <c r="P100" s="12" t="str">
        <f t="shared" si="2"/>
        <v/>
      </c>
      <c r="Q100" s="12" t="str">
        <f t="shared" si="3"/>
        <v/>
      </c>
    </row>
    <row r="101">
      <c r="A101" s="1">
        <v>100.0</v>
      </c>
      <c r="B101" s="1" t="s">
        <v>584</v>
      </c>
      <c r="C101" s="1" t="s">
        <v>307</v>
      </c>
      <c r="D101" s="1" t="s">
        <v>585</v>
      </c>
      <c r="E101" s="12" t="str">
        <f t="shared" si="1"/>
        <v>Ms.KIRUTHIKA S</v>
      </c>
      <c r="F101" s="13" t="s">
        <v>579</v>
      </c>
      <c r="G101" s="12" t="s">
        <v>301</v>
      </c>
      <c r="H101" s="12" t="s">
        <v>586</v>
      </c>
      <c r="I10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Col2='""&amp;B101&amp;""'"",0)"),2.0)</f>
        <v>2</v>
      </c>
      <c r="J101" s="12">
        <f>IFERROR(__xludf.DUMMYFUNCTION("""COMPUTED_VALUE"""),2.0)</f>
        <v>2</v>
      </c>
      <c r="K101" s="12">
        <f>IFERROR(__xludf.DUMMYFUNCTION("""COMPUTED_VALUE"""),2.0)</f>
        <v>2</v>
      </c>
      <c r="L101" s="12">
        <f>IFERROR(__xludf.DUMMYFUNCTION("""COMPUTED_VALUE"""),1.0)</f>
        <v>1</v>
      </c>
      <c r="M101" s="12" t="str">
        <f>IFERROR(__xludf.DUMMYFUNCTION("""COMPUTED_VALUE"""),"Working")</f>
        <v>Working</v>
      </c>
      <c r="N101" s="12" t="str">
        <f>IFERROR(__xludf.DUMMYFUNCTION("""COMPUTED_VALUE"""),"CORRECT")</f>
        <v>CORRECT</v>
      </c>
      <c r="O101" s="12" t="str">
        <f>IFERROR(__xludf.DUMMYFUNCTION("""COMPUTED_VALUE"""),"LOAD PENDING")</f>
        <v>LOAD PENDING</v>
      </c>
      <c r="P101" s="12" t="str">
        <f t="shared" si="2"/>
        <v/>
      </c>
      <c r="Q101" s="12" t="str">
        <f t="shared" si="3"/>
        <v/>
      </c>
    </row>
    <row r="102">
      <c r="A102" s="1">
        <v>101.0</v>
      </c>
      <c r="B102" s="1" t="s">
        <v>587</v>
      </c>
      <c r="C102" s="1" t="s">
        <v>307</v>
      </c>
      <c r="D102" s="1" t="s">
        <v>588</v>
      </c>
      <c r="E102" s="12" t="str">
        <f t="shared" si="1"/>
        <v>Ms.MADHUMATHI S</v>
      </c>
      <c r="F102" s="13" t="s">
        <v>579</v>
      </c>
      <c r="G102" s="12" t="s">
        <v>301</v>
      </c>
      <c r="H102" s="12" t="s">
        <v>589</v>
      </c>
      <c r="I10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Col2='""&amp;B102&amp;""'"",0)"),2.0)</f>
        <v>2</v>
      </c>
      <c r="J102" s="12">
        <f>IFERROR(__xludf.DUMMYFUNCTION("""COMPUTED_VALUE"""),2.0)</f>
        <v>2</v>
      </c>
      <c r="K102" s="12">
        <f>IFERROR(__xludf.DUMMYFUNCTION("""COMPUTED_VALUE"""),2.0)</f>
        <v>2</v>
      </c>
      <c r="L102" s="12">
        <f>IFERROR(__xludf.DUMMYFUNCTION("""COMPUTED_VALUE"""),1.0)</f>
        <v>1</v>
      </c>
      <c r="M102" s="12" t="str">
        <f>IFERROR(__xludf.DUMMYFUNCTION("""COMPUTED_VALUE"""),"Working")</f>
        <v>Working</v>
      </c>
      <c r="N102" s="12" t="str">
        <f>IFERROR(__xludf.DUMMYFUNCTION("""COMPUTED_VALUE"""),"CORRECT")</f>
        <v>CORRECT</v>
      </c>
      <c r="O102" s="12" t="str">
        <f>IFERROR(__xludf.DUMMYFUNCTION("""COMPUTED_VALUE"""),"LOAD PENDING")</f>
        <v>LOAD PENDING</v>
      </c>
      <c r="P102" s="12" t="str">
        <f t="shared" si="2"/>
        <v/>
      </c>
      <c r="Q102" s="12" t="str">
        <f t="shared" si="3"/>
        <v/>
      </c>
    </row>
    <row r="103">
      <c r="A103" s="1">
        <v>102.0</v>
      </c>
      <c r="B103" s="1" t="s">
        <v>590</v>
      </c>
      <c r="C103" s="1" t="s">
        <v>286</v>
      </c>
      <c r="D103" s="1" t="s">
        <v>591</v>
      </c>
      <c r="E103" s="12" t="str">
        <f t="shared" si="1"/>
        <v>Mrs.SUBHASHREE P</v>
      </c>
      <c r="F103" s="13" t="s">
        <v>579</v>
      </c>
      <c r="G103" s="12" t="s">
        <v>301</v>
      </c>
      <c r="H103" s="12" t="s">
        <v>592</v>
      </c>
      <c r="I10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Col2='""&amp;B103&amp;""'"",0)"),2.0)</f>
        <v>2</v>
      </c>
      <c r="J103" s="12">
        <f>IFERROR(__xludf.DUMMYFUNCTION("""COMPUTED_VALUE"""),2.0)</f>
        <v>2</v>
      </c>
      <c r="K103" s="12">
        <f>IFERROR(__xludf.DUMMYFUNCTION("""COMPUTED_VALUE"""),2.0)</f>
        <v>2</v>
      </c>
      <c r="L103" s="12">
        <f>IFERROR(__xludf.DUMMYFUNCTION("""COMPUTED_VALUE"""),1.0)</f>
        <v>1</v>
      </c>
      <c r="M103" s="12" t="str">
        <f>IFERROR(__xludf.DUMMYFUNCTION("""COMPUTED_VALUE"""),"Working")</f>
        <v>Working</v>
      </c>
      <c r="N103" s="12" t="str">
        <f>IFERROR(__xludf.DUMMYFUNCTION("""COMPUTED_VALUE"""),"CORRECT")</f>
        <v>CORRECT</v>
      </c>
      <c r="O103" s="12" t="str">
        <f>IFERROR(__xludf.DUMMYFUNCTION("""COMPUTED_VALUE"""),"LOAD PENDING")</f>
        <v>LOAD PENDING</v>
      </c>
      <c r="P103" s="12" t="str">
        <f t="shared" si="2"/>
        <v/>
      </c>
      <c r="Q103" s="12" t="str">
        <f t="shared" si="3"/>
        <v/>
      </c>
    </row>
    <row r="104">
      <c r="A104" s="1">
        <v>103.0</v>
      </c>
      <c r="B104" s="1" t="s">
        <v>593</v>
      </c>
      <c r="C104" s="1" t="s">
        <v>286</v>
      </c>
      <c r="D104" s="1" t="s">
        <v>594</v>
      </c>
      <c r="E104" s="12" t="str">
        <f t="shared" si="1"/>
        <v>Mrs.INDHUMATHI K</v>
      </c>
      <c r="F104" s="13" t="s">
        <v>579</v>
      </c>
      <c r="G104" s="12" t="s">
        <v>595</v>
      </c>
      <c r="H104" s="12" t="s">
        <v>596</v>
      </c>
      <c r="I10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Col2='""&amp;B104&amp;""'"",0)"),2.0)</f>
        <v>2</v>
      </c>
      <c r="J104" s="12">
        <f>IFERROR(__xludf.DUMMYFUNCTION("""COMPUTED_VALUE"""),2.0)</f>
        <v>2</v>
      </c>
      <c r="K104" s="12">
        <f>IFERROR(__xludf.DUMMYFUNCTION("""COMPUTED_VALUE"""),3.0)</f>
        <v>3</v>
      </c>
      <c r="L104" s="12">
        <f>IFERROR(__xludf.DUMMYFUNCTION("""COMPUTED_VALUE"""),0.0)</f>
        <v>0</v>
      </c>
      <c r="M104" s="12" t="str">
        <f>IFERROR(__xludf.DUMMYFUNCTION("""COMPUTED_VALUE"""),"Working")</f>
        <v>Working</v>
      </c>
      <c r="N104" s="12" t="str">
        <f>IFERROR(__xludf.DUMMYFUNCTION("""COMPUTED_VALUE"""),"CORRECT")</f>
        <v>CORRECT</v>
      </c>
      <c r="O104" s="12" t="str">
        <f>IFERROR(__xludf.DUMMYFUNCTION("""COMPUTED_VALUE"""),"LOAD PENDING")</f>
        <v>LOAD PENDING</v>
      </c>
      <c r="P104" s="12" t="str">
        <f t="shared" si="2"/>
        <v>Extra Theory Load Alloted</v>
      </c>
      <c r="Q104" s="12" t="str">
        <f t="shared" si="3"/>
        <v/>
      </c>
    </row>
    <row r="105">
      <c r="A105" s="1">
        <v>104.0</v>
      </c>
      <c r="B105" s="1" t="s">
        <v>597</v>
      </c>
      <c r="C105" s="1" t="s">
        <v>277</v>
      </c>
      <c r="D105" s="1" t="s">
        <v>598</v>
      </c>
      <c r="E105" s="12" t="str">
        <f t="shared" si="1"/>
        <v>Dr.MOHANRAJ A</v>
      </c>
      <c r="F105" s="13" t="s">
        <v>599</v>
      </c>
      <c r="G105" s="12" t="s">
        <v>274</v>
      </c>
      <c r="H105" s="12" t="s">
        <v>600</v>
      </c>
      <c r="I10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Col2='""&amp;B105&amp;""'"",0)"),1.0)</f>
        <v>1</v>
      </c>
      <c r="J105" s="12">
        <f>IFERROR(__xludf.DUMMYFUNCTION("""COMPUTED_VALUE"""),0.0)</f>
        <v>0</v>
      </c>
      <c r="K105" s="12">
        <f>IFERROR(__xludf.DUMMYFUNCTION("""COMPUTED_VALUE"""),1.0)</f>
        <v>1</v>
      </c>
      <c r="L105" s="12">
        <f>IFERROR(__xludf.DUMMYFUNCTION("""COMPUTED_VALUE"""),0.0)</f>
        <v>0</v>
      </c>
      <c r="M105" s="12" t="str">
        <f>IFERROR(__xludf.DUMMYFUNCTION("""COMPUTED_VALUE"""),"Working")</f>
        <v>Working</v>
      </c>
      <c r="N105" s="12" t="str">
        <f>IFERROR(__xludf.DUMMYFUNCTION("""COMPUTED_VALUE"""),"CORRECT")</f>
        <v>CORRECT</v>
      </c>
      <c r="O105" s="12" t="str">
        <f>IFERROR(__xludf.DUMMYFUNCTION("""COMPUTED_VALUE"""),"CORRECT")</f>
        <v>CORRECT</v>
      </c>
      <c r="P105" s="12" t="str">
        <f t="shared" si="2"/>
        <v/>
      </c>
      <c r="Q105" s="12" t="str">
        <f t="shared" si="3"/>
        <v/>
      </c>
    </row>
    <row r="106">
      <c r="A106" s="1">
        <v>105.0</v>
      </c>
      <c r="B106" s="1" t="s">
        <v>601</v>
      </c>
      <c r="C106" s="1" t="s">
        <v>271</v>
      </c>
      <c r="D106" s="1" t="s">
        <v>602</v>
      </c>
      <c r="E106" s="12" t="str">
        <f t="shared" si="1"/>
        <v>Mr.GNANASUNDAR V M</v>
      </c>
      <c r="F106" s="13" t="s">
        <v>599</v>
      </c>
      <c r="G106" s="12" t="s">
        <v>274</v>
      </c>
      <c r="H106" s="12" t="s">
        <v>603</v>
      </c>
      <c r="I10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Col2='""&amp;B106&amp;""'"",0)"),1.0)</f>
        <v>1</v>
      </c>
      <c r="J106" s="12">
        <f>IFERROR(__xludf.DUMMYFUNCTION("""COMPUTED_VALUE"""),0.0)</f>
        <v>0</v>
      </c>
      <c r="K106" s="12">
        <f>IFERROR(__xludf.DUMMYFUNCTION("""COMPUTED_VALUE"""),1.0)</f>
        <v>1</v>
      </c>
      <c r="L106" s="12">
        <f>IFERROR(__xludf.DUMMYFUNCTION("""COMPUTED_VALUE"""),0.0)</f>
        <v>0</v>
      </c>
      <c r="M106" s="12" t="str">
        <f>IFERROR(__xludf.DUMMYFUNCTION("""COMPUTED_VALUE"""),"Working")</f>
        <v>Working</v>
      </c>
      <c r="N106" s="12" t="str">
        <f>IFERROR(__xludf.DUMMYFUNCTION("""COMPUTED_VALUE"""),"CORRECT")</f>
        <v>CORRECT</v>
      </c>
      <c r="O106" s="12" t="str">
        <f>IFERROR(__xludf.DUMMYFUNCTION("""COMPUTED_VALUE"""),"CORRECT")</f>
        <v>CORRECT</v>
      </c>
      <c r="P106" s="12" t="str">
        <f t="shared" si="2"/>
        <v/>
      </c>
      <c r="Q106" s="12" t="str">
        <f t="shared" si="3"/>
        <v/>
      </c>
    </row>
    <row r="107">
      <c r="A107" s="1">
        <v>106.0</v>
      </c>
      <c r="B107" s="1" t="s">
        <v>604</v>
      </c>
      <c r="C107" s="1" t="s">
        <v>307</v>
      </c>
      <c r="D107" s="1" t="s">
        <v>605</v>
      </c>
      <c r="E107" s="12" t="str">
        <f t="shared" si="1"/>
        <v>Ms.ASHWATHI R</v>
      </c>
      <c r="F107" s="13" t="s">
        <v>599</v>
      </c>
      <c r="G107" s="12" t="s">
        <v>291</v>
      </c>
      <c r="H107" s="12" t="s">
        <v>606</v>
      </c>
      <c r="I10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Col2='""&amp;B107&amp;""'"",0)"),1.0)</f>
        <v>1</v>
      </c>
      <c r="J107" s="12">
        <f>IFERROR(__xludf.DUMMYFUNCTION("""COMPUTED_VALUE"""),1.0)</f>
        <v>1</v>
      </c>
      <c r="K107" s="12">
        <f>IFERROR(__xludf.DUMMYFUNCTION("""COMPUTED_VALUE"""),1.0)</f>
        <v>1</v>
      </c>
      <c r="L107" s="12">
        <f>IFERROR(__xludf.DUMMYFUNCTION("""COMPUTED_VALUE"""),0.0)</f>
        <v>0</v>
      </c>
      <c r="M107" s="12" t="str">
        <f>IFERROR(__xludf.DUMMYFUNCTION("""COMPUTED_VALUE"""),"Working")</f>
        <v>Working</v>
      </c>
      <c r="N107" s="12" t="str">
        <f>IFERROR(__xludf.DUMMYFUNCTION("""COMPUTED_VALUE"""),"CORRECT")</f>
        <v>CORRECT</v>
      </c>
      <c r="O107" s="12" t="str">
        <f>IFERROR(__xludf.DUMMYFUNCTION("""COMPUTED_VALUE"""),"LOAD PENDING")</f>
        <v>LOAD PENDING</v>
      </c>
      <c r="P107" s="12" t="str">
        <f t="shared" si="2"/>
        <v/>
      </c>
      <c r="Q107" s="12" t="str">
        <f t="shared" si="3"/>
        <v/>
      </c>
    </row>
    <row r="108">
      <c r="A108" s="1">
        <v>107.0</v>
      </c>
      <c r="B108" s="1" t="s">
        <v>607</v>
      </c>
      <c r="C108" s="1" t="s">
        <v>277</v>
      </c>
      <c r="D108" s="1" t="s">
        <v>608</v>
      </c>
      <c r="E108" s="12" t="str">
        <f t="shared" si="1"/>
        <v>Dr.JEYANTH B</v>
      </c>
      <c r="F108" s="13" t="s">
        <v>599</v>
      </c>
      <c r="G108" s="12" t="s">
        <v>274</v>
      </c>
      <c r="H108" s="12" t="s">
        <v>609</v>
      </c>
      <c r="I10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Col2='""&amp;B108&amp;""'"",0)"),1.0)</f>
        <v>1</v>
      </c>
      <c r="J108" s="12">
        <f>IFERROR(__xludf.DUMMYFUNCTION("""COMPUTED_VALUE"""),0.0)</f>
        <v>0</v>
      </c>
      <c r="K108" s="12">
        <f>IFERROR(__xludf.DUMMYFUNCTION("""COMPUTED_VALUE"""),1.0)</f>
        <v>1</v>
      </c>
      <c r="L108" s="12">
        <f>IFERROR(__xludf.DUMMYFUNCTION("""COMPUTED_VALUE"""),0.0)</f>
        <v>0</v>
      </c>
      <c r="M108" s="12" t="str">
        <f>IFERROR(__xludf.DUMMYFUNCTION("""COMPUTED_VALUE"""),"Working")</f>
        <v>Working</v>
      </c>
      <c r="N108" s="12" t="str">
        <f>IFERROR(__xludf.DUMMYFUNCTION("""COMPUTED_VALUE"""),"CORRECT")</f>
        <v>CORRECT</v>
      </c>
      <c r="O108" s="12" t="str">
        <f>IFERROR(__xludf.DUMMYFUNCTION("""COMPUTED_VALUE"""),"CORRECT")</f>
        <v>CORRECT</v>
      </c>
      <c r="P108" s="12" t="str">
        <f t="shared" si="2"/>
        <v/>
      </c>
      <c r="Q108" s="12" t="str">
        <f t="shared" si="3"/>
        <v/>
      </c>
    </row>
    <row r="109">
      <c r="A109" s="1">
        <v>108.0</v>
      </c>
      <c r="B109" s="1" t="s">
        <v>610</v>
      </c>
      <c r="C109" s="1" t="s">
        <v>277</v>
      </c>
      <c r="D109" s="1" t="s">
        <v>611</v>
      </c>
      <c r="E109" s="12" t="str">
        <f t="shared" si="1"/>
        <v>Dr.KARTHIGA  SHENBAGAM N</v>
      </c>
      <c r="F109" s="13" t="s">
        <v>599</v>
      </c>
      <c r="G109" s="12" t="s">
        <v>279</v>
      </c>
      <c r="H109" s="12" t="s">
        <v>612</v>
      </c>
      <c r="I10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Col2='""&amp;B109&amp;""'"",0)"),2.0)</f>
        <v>2</v>
      </c>
      <c r="J109" s="12">
        <f>IFERROR(__xludf.DUMMYFUNCTION("""COMPUTED_VALUE"""),1.0)</f>
        <v>1</v>
      </c>
      <c r="K109" s="12">
        <f>IFERROR(__xludf.DUMMYFUNCTION("""COMPUTED_VALUE"""),3.0)</f>
        <v>3</v>
      </c>
      <c r="L109" s="12">
        <f>IFERROR(__xludf.DUMMYFUNCTION("""COMPUTED_VALUE"""),0.0)</f>
        <v>0</v>
      </c>
      <c r="M109" s="12" t="str">
        <f>IFERROR(__xludf.DUMMYFUNCTION("""COMPUTED_VALUE"""),"Working")</f>
        <v>Working</v>
      </c>
      <c r="N109" s="12" t="str">
        <f>IFERROR(__xludf.DUMMYFUNCTION("""COMPUTED_VALUE"""),"CORRECT")</f>
        <v>CORRECT</v>
      </c>
      <c r="O109" s="12" t="str">
        <f>IFERROR(__xludf.DUMMYFUNCTION("""COMPUTED_VALUE"""),"LOAD PENDING")</f>
        <v>LOAD PENDING</v>
      </c>
      <c r="P109" s="12" t="str">
        <f t="shared" si="2"/>
        <v>Extra Theory Load Alloted</v>
      </c>
      <c r="Q109" s="12" t="str">
        <f t="shared" si="3"/>
        <v/>
      </c>
    </row>
    <row r="110">
      <c r="A110" s="1">
        <v>109.0</v>
      </c>
      <c r="B110" s="1" t="s">
        <v>613</v>
      </c>
      <c r="C110" s="1" t="s">
        <v>277</v>
      </c>
      <c r="D110" s="1" t="s">
        <v>614</v>
      </c>
      <c r="E110" s="12" t="str">
        <f t="shared" si="1"/>
        <v>Dr.GEETHAMANI R</v>
      </c>
      <c r="F110" s="13" t="s">
        <v>599</v>
      </c>
      <c r="G110" s="12" t="s">
        <v>274</v>
      </c>
      <c r="H110" s="12" t="s">
        <v>615</v>
      </c>
      <c r="I11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Col2='""&amp;B110&amp;""'"",0)"),2.0)</f>
        <v>2</v>
      </c>
      <c r="J110" s="12">
        <f>IFERROR(__xludf.DUMMYFUNCTION("""COMPUTED_VALUE"""),2.0)</f>
        <v>2</v>
      </c>
      <c r="K110" s="12">
        <f>IFERROR(__xludf.DUMMYFUNCTION("""COMPUTED_VALUE"""),2.0)</f>
        <v>2</v>
      </c>
      <c r="L110" s="12">
        <f>IFERROR(__xludf.DUMMYFUNCTION("""COMPUTED_VALUE"""),0.0)</f>
        <v>0</v>
      </c>
      <c r="M110" s="12" t="str">
        <f>IFERROR(__xludf.DUMMYFUNCTION("""COMPUTED_VALUE"""),"Working")</f>
        <v>Working</v>
      </c>
      <c r="N110" s="12" t="str">
        <f>IFERROR(__xludf.DUMMYFUNCTION("""COMPUTED_VALUE"""),"CORRECT")</f>
        <v>CORRECT</v>
      </c>
      <c r="O110" s="12" t="str">
        <f>IFERROR(__xludf.DUMMYFUNCTION("""COMPUTED_VALUE"""),"LOAD PENDING")</f>
        <v>LOAD PENDING</v>
      </c>
      <c r="P110" s="12" t="str">
        <f t="shared" si="2"/>
        <v/>
      </c>
      <c r="Q110" s="12" t="str">
        <f t="shared" si="3"/>
        <v/>
      </c>
    </row>
    <row r="111">
      <c r="A111" s="1">
        <v>110.0</v>
      </c>
      <c r="B111" s="1" t="s">
        <v>616</v>
      </c>
      <c r="C111" s="1" t="s">
        <v>271</v>
      </c>
      <c r="D111" s="1" t="s">
        <v>617</v>
      </c>
      <c r="E111" s="12" t="str">
        <f t="shared" si="1"/>
        <v>Mr.RAJENDRAN M</v>
      </c>
      <c r="F111" s="13" t="s">
        <v>599</v>
      </c>
      <c r="G111" s="12" t="s">
        <v>274</v>
      </c>
      <c r="H111" s="12" t="s">
        <v>618</v>
      </c>
      <c r="I11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Col2='""&amp;B111&amp;""'"",0)"),2.0)</f>
        <v>2</v>
      </c>
      <c r="J111" s="12">
        <f>IFERROR(__xludf.DUMMYFUNCTION("""COMPUTED_VALUE"""),2.0)</f>
        <v>2</v>
      </c>
      <c r="K111" s="12">
        <f>IFERROR(__xludf.DUMMYFUNCTION("""COMPUTED_VALUE"""),2.0)</f>
        <v>2</v>
      </c>
      <c r="L111" s="12">
        <f>IFERROR(__xludf.DUMMYFUNCTION("""COMPUTED_VALUE"""),1.0)</f>
        <v>1</v>
      </c>
      <c r="M111" s="12" t="str">
        <f>IFERROR(__xludf.DUMMYFUNCTION("""COMPUTED_VALUE"""),"Working")</f>
        <v>Working</v>
      </c>
      <c r="N111" s="12" t="str">
        <f>IFERROR(__xludf.DUMMYFUNCTION("""COMPUTED_VALUE"""),"CORRECT")</f>
        <v>CORRECT</v>
      </c>
      <c r="O111" s="12" t="str">
        <f>IFERROR(__xludf.DUMMYFUNCTION("""COMPUTED_VALUE"""),"LOAD PENDING")</f>
        <v>LOAD PENDING</v>
      </c>
      <c r="P111" s="12" t="str">
        <f t="shared" si="2"/>
        <v/>
      </c>
      <c r="Q111" s="12" t="str">
        <f t="shared" si="3"/>
        <v/>
      </c>
    </row>
    <row r="112">
      <c r="A112" s="1">
        <v>111.0</v>
      </c>
      <c r="B112" s="1" t="s">
        <v>619</v>
      </c>
      <c r="C112" s="1" t="s">
        <v>277</v>
      </c>
      <c r="D112" s="1" t="s">
        <v>620</v>
      </c>
      <c r="E112" s="12" t="str">
        <f t="shared" si="1"/>
        <v>Dr.SATHISH V</v>
      </c>
      <c r="F112" s="13" t="s">
        <v>621</v>
      </c>
      <c r="G112" s="12" t="s">
        <v>274</v>
      </c>
      <c r="H112" s="12" t="s">
        <v>622</v>
      </c>
      <c r="I11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Col2='""&amp;B112&amp;""'"",0)"),1.0)</f>
        <v>1</v>
      </c>
      <c r="J112" s="12">
        <f>IFERROR(__xludf.DUMMYFUNCTION("""COMPUTED_VALUE"""),0.0)</f>
        <v>0</v>
      </c>
      <c r="K112" s="12">
        <f>IFERROR(__xludf.DUMMYFUNCTION("""COMPUTED_VALUE"""),2.0)</f>
        <v>2</v>
      </c>
      <c r="L112" s="12">
        <f>IFERROR(__xludf.DUMMYFUNCTION("""COMPUTED_VALUE"""),4.0)</f>
        <v>4</v>
      </c>
      <c r="M112" s="12" t="str">
        <f>IFERROR(__xludf.DUMMYFUNCTION("""COMPUTED_VALUE"""),"Working")</f>
        <v>Working</v>
      </c>
      <c r="N112" s="12" t="str">
        <f>IFERROR(__xludf.DUMMYFUNCTION("""COMPUTED_VALUE"""),"CORRECT")</f>
        <v>CORRECT</v>
      </c>
      <c r="O112" s="12" t="str">
        <f>IFERROR(__xludf.DUMMYFUNCTION("""COMPUTED_VALUE"""),"CORRECT")</f>
        <v>CORRECT</v>
      </c>
      <c r="P112" s="12" t="str">
        <f t="shared" si="2"/>
        <v>Extra Theory Load Alloted</v>
      </c>
      <c r="Q112" s="12" t="str">
        <f t="shared" si="3"/>
        <v>Extra Lab Load Alloted</v>
      </c>
    </row>
    <row r="113">
      <c r="A113" s="1">
        <v>112.0</v>
      </c>
      <c r="B113" s="1" t="s">
        <v>623</v>
      </c>
      <c r="C113" s="1" t="s">
        <v>277</v>
      </c>
      <c r="D113" s="1" t="s">
        <v>624</v>
      </c>
      <c r="E113" s="12" t="str">
        <f t="shared" si="1"/>
        <v>Dr.MUTHUKUMAR P</v>
      </c>
      <c r="F113" s="13" t="s">
        <v>621</v>
      </c>
      <c r="G113" s="12" t="s">
        <v>274</v>
      </c>
      <c r="H113" s="12" t="s">
        <v>625</v>
      </c>
      <c r="I11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Col2='""&amp;B113&amp;""'"",0)"),1.0)</f>
        <v>1</v>
      </c>
      <c r="J113" s="12">
        <f>IFERROR(__xludf.DUMMYFUNCTION("""COMPUTED_VALUE"""),1.0)</f>
        <v>1</v>
      </c>
      <c r="K113" s="12">
        <f>IFERROR(__xludf.DUMMYFUNCTION("""COMPUTED_VALUE"""),2.0)</f>
        <v>2</v>
      </c>
      <c r="L113" s="12">
        <f>IFERROR(__xludf.DUMMYFUNCTION("""COMPUTED_VALUE"""),4.0)</f>
        <v>4</v>
      </c>
      <c r="M113" s="12" t="str">
        <f>IFERROR(__xludf.DUMMYFUNCTION("""COMPUTED_VALUE"""),"Working")</f>
        <v>Working</v>
      </c>
      <c r="N113" s="12" t="str">
        <f>IFERROR(__xludf.DUMMYFUNCTION("""COMPUTED_VALUE"""),"CORRECT")</f>
        <v>CORRECT</v>
      </c>
      <c r="O113" s="12" t="str">
        <f>IFERROR(__xludf.DUMMYFUNCTION("""COMPUTED_VALUE"""),"CORRECT")</f>
        <v>CORRECT</v>
      </c>
      <c r="P113" s="12" t="str">
        <f t="shared" si="2"/>
        <v>Extra Theory Load Alloted</v>
      </c>
      <c r="Q113" s="12" t="str">
        <f t="shared" si="3"/>
        <v>Extra Lab Load Alloted</v>
      </c>
    </row>
    <row r="114">
      <c r="A114" s="1">
        <v>113.0</v>
      </c>
      <c r="B114" s="1" t="s">
        <v>626</v>
      </c>
      <c r="C114" s="1" t="s">
        <v>277</v>
      </c>
      <c r="D114" s="1" t="s">
        <v>627</v>
      </c>
      <c r="E114" s="12" t="str">
        <f t="shared" si="1"/>
        <v>Dr.VISWANATHAN G</v>
      </c>
      <c r="F114" s="13" t="s">
        <v>621</v>
      </c>
      <c r="G114" s="12" t="s">
        <v>274</v>
      </c>
      <c r="H114" s="12" t="s">
        <v>628</v>
      </c>
      <c r="I11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Col2='""&amp;B114&amp;""'"",0)"),2.0)</f>
        <v>2</v>
      </c>
      <c r="J114" s="12">
        <f>IFERROR(__xludf.DUMMYFUNCTION("""COMPUTED_VALUE"""),2.0)</f>
        <v>2</v>
      </c>
      <c r="K114" s="12">
        <f>IFERROR(__xludf.DUMMYFUNCTION("""COMPUTED_VALUE"""),2.0)</f>
        <v>2</v>
      </c>
      <c r="L114" s="12">
        <f>IFERROR(__xludf.DUMMYFUNCTION("""COMPUTED_VALUE"""),4.0)</f>
        <v>4</v>
      </c>
      <c r="M114" s="12" t="str">
        <f>IFERROR(__xludf.DUMMYFUNCTION("""COMPUTED_VALUE"""),"Working")</f>
        <v>Working</v>
      </c>
      <c r="N114" s="12" t="str">
        <f>IFERROR(__xludf.DUMMYFUNCTION("""COMPUTED_VALUE"""),"CORRECT")</f>
        <v>CORRECT</v>
      </c>
      <c r="O114" s="12" t="str">
        <f>IFERROR(__xludf.DUMMYFUNCTION("""COMPUTED_VALUE"""),"CORRECT")</f>
        <v>CORRECT</v>
      </c>
      <c r="P114" s="12" t="str">
        <f t="shared" si="2"/>
        <v/>
      </c>
      <c r="Q114" s="12" t="str">
        <f t="shared" si="3"/>
        <v>Extra Lab Load Alloted</v>
      </c>
    </row>
    <row r="115">
      <c r="A115" s="1">
        <v>114.0</v>
      </c>
      <c r="B115" s="1" t="s">
        <v>629</v>
      </c>
      <c r="C115" s="1" t="s">
        <v>277</v>
      </c>
      <c r="D115" s="1" t="s">
        <v>630</v>
      </c>
      <c r="E115" s="12" t="str">
        <f t="shared" si="1"/>
        <v>Dr.MURALI KRISHNAN M</v>
      </c>
      <c r="F115" s="13" t="s">
        <v>621</v>
      </c>
      <c r="G115" s="12" t="s">
        <v>274</v>
      </c>
      <c r="H115" s="12" t="s">
        <v>631</v>
      </c>
      <c r="I11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Col2='""&amp;B115&amp;""'"",0)"),1.0)</f>
        <v>1</v>
      </c>
      <c r="J115" s="12">
        <f>IFERROR(__xludf.DUMMYFUNCTION("""COMPUTED_VALUE"""),1.0)</f>
        <v>1</v>
      </c>
      <c r="K115" s="12">
        <f>IFERROR(__xludf.DUMMYFUNCTION("""COMPUTED_VALUE"""),2.0)</f>
        <v>2</v>
      </c>
      <c r="L115" s="12">
        <f>IFERROR(__xludf.DUMMYFUNCTION("""COMPUTED_VALUE"""),4.0)</f>
        <v>4</v>
      </c>
      <c r="M115" s="12" t="str">
        <f>IFERROR(__xludf.DUMMYFUNCTION("""COMPUTED_VALUE"""),"Working")</f>
        <v>Working</v>
      </c>
      <c r="N115" s="12" t="str">
        <f>IFERROR(__xludf.DUMMYFUNCTION("""COMPUTED_VALUE"""),"CORRECT")</f>
        <v>CORRECT</v>
      </c>
      <c r="O115" s="12" t="str">
        <f>IFERROR(__xludf.DUMMYFUNCTION("""COMPUTED_VALUE"""),"CORRECT")</f>
        <v>CORRECT</v>
      </c>
      <c r="P115" s="12" t="str">
        <f t="shared" si="2"/>
        <v>Extra Theory Load Alloted</v>
      </c>
      <c r="Q115" s="12" t="str">
        <f t="shared" si="3"/>
        <v>Extra Lab Load Alloted</v>
      </c>
    </row>
    <row r="116">
      <c r="A116" s="1">
        <v>115.0</v>
      </c>
      <c r="B116" s="1" t="s">
        <v>632</v>
      </c>
      <c r="C116" s="1" t="s">
        <v>277</v>
      </c>
      <c r="D116" s="1" t="s">
        <v>633</v>
      </c>
      <c r="E116" s="12" t="str">
        <f t="shared" si="1"/>
        <v>Dr.RAMESHKUMAR A</v>
      </c>
      <c r="F116" s="13" t="s">
        <v>621</v>
      </c>
      <c r="G116" s="12" t="s">
        <v>274</v>
      </c>
      <c r="H116" s="12" t="s">
        <v>634</v>
      </c>
      <c r="I11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Col2='""&amp;B116&amp;""'"",0)"),2.0)</f>
        <v>2</v>
      </c>
      <c r="J116" s="12">
        <f>IFERROR(__xludf.DUMMYFUNCTION("""COMPUTED_VALUE"""),2.0)</f>
        <v>2</v>
      </c>
      <c r="K116" s="12">
        <f>IFERROR(__xludf.DUMMYFUNCTION("""COMPUTED_VALUE"""),2.0)</f>
        <v>2</v>
      </c>
      <c r="L116" s="12">
        <f>IFERROR(__xludf.DUMMYFUNCTION("""COMPUTED_VALUE"""),4.0)</f>
        <v>4</v>
      </c>
      <c r="M116" s="12" t="str">
        <f>IFERROR(__xludf.DUMMYFUNCTION("""COMPUTED_VALUE"""),"Working")</f>
        <v>Working</v>
      </c>
      <c r="N116" s="12" t="str">
        <f>IFERROR(__xludf.DUMMYFUNCTION("""COMPUTED_VALUE"""),"CORRECT")</f>
        <v>CORRECT</v>
      </c>
      <c r="O116" s="12" t="str">
        <f>IFERROR(__xludf.DUMMYFUNCTION("""COMPUTED_VALUE"""),"CORRECT")</f>
        <v>CORRECT</v>
      </c>
      <c r="P116" s="12" t="str">
        <f t="shared" si="2"/>
        <v/>
      </c>
      <c r="Q116" s="12" t="str">
        <f t="shared" si="3"/>
        <v>Extra Lab Load Alloted</v>
      </c>
    </row>
    <row r="117">
      <c r="A117" s="1">
        <v>116.0</v>
      </c>
      <c r="B117" s="1" t="s">
        <v>635</v>
      </c>
      <c r="C117" s="1" t="s">
        <v>277</v>
      </c>
      <c r="D117" s="1" t="s">
        <v>636</v>
      </c>
      <c r="E117" s="12" t="str">
        <f t="shared" si="1"/>
        <v>Dr.DEEPHA V</v>
      </c>
      <c r="F117" s="13" t="s">
        <v>621</v>
      </c>
      <c r="G117" s="12" t="s">
        <v>301</v>
      </c>
      <c r="H117" s="12" t="s">
        <v>637</v>
      </c>
      <c r="I11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Col2='""&amp;B117&amp;""'"",0)"),1.0)</f>
        <v>1</v>
      </c>
      <c r="J117" s="12">
        <f>IFERROR(__xludf.DUMMYFUNCTION("""COMPUTED_VALUE"""),1.0)</f>
        <v>1</v>
      </c>
      <c r="K117" s="12">
        <f>IFERROR(__xludf.DUMMYFUNCTION("""COMPUTED_VALUE"""),2.0)</f>
        <v>2</v>
      </c>
      <c r="L117" s="12">
        <f>IFERROR(__xludf.DUMMYFUNCTION("""COMPUTED_VALUE"""),4.0)</f>
        <v>4</v>
      </c>
      <c r="M117" s="12" t="str">
        <f>IFERROR(__xludf.DUMMYFUNCTION("""COMPUTED_VALUE"""),"Working")</f>
        <v>Working</v>
      </c>
      <c r="N117" s="12" t="str">
        <f>IFERROR(__xludf.DUMMYFUNCTION("""COMPUTED_VALUE"""),"CORRECT")</f>
        <v>CORRECT</v>
      </c>
      <c r="O117" s="12" t="str">
        <f>IFERROR(__xludf.DUMMYFUNCTION("""COMPUTED_VALUE"""),"CORRECT")</f>
        <v>CORRECT</v>
      </c>
      <c r="P117" s="12" t="str">
        <f t="shared" si="2"/>
        <v>Extra Theory Load Alloted</v>
      </c>
      <c r="Q117" s="12" t="str">
        <f t="shared" si="3"/>
        <v>Extra Lab Load Alloted</v>
      </c>
    </row>
    <row r="118">
      <c r="A118" s="1">
        <v>117.0</v>
      </c>
      <c r="B118" s="1" t="s">
        <v>638</v>
      </c>
      <c r="C118" s="1" t="s">
        <v>277</v>
      </c>
      <c r="D118" s="1" t="s">
        <v>639</v>
      </c>
      <c r="E118" s="12" t="str">
        <f t="shared" si="1"/>
        <v>Dr.KARUPPUSAMY S</v>
      </c>
      <c r="F118" s="13" t="s">
        <v>621</v>
      </c>
      <c r="G118" s="12" t="s">
        <v>301</v>
      </c>
      <c r="H118" s="12" t="s">
        <v>640</v>
      </c>
      <c r="I11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Col2='""&amp;B118&amp;""'"",0)"),2.0)</f>
        <v>2</v>
      </c>
      <c r="J118" s="12">
        <f>IFERROR(__xludf.DUMMYFUNCTION("""COMPUTED_VALUE"""),2.0)</f>
        <v>2</v>
      </c>
      <c r="K118" s="12">
        <f>IFERROR(__xludf.DUMMYFUNCTION("""COMPUTED_VALUE"""),3.0)</f>
        <v>3</v>
      </c>
      <c r="L118" s="12">
        <f>IFERROR(__xludf.DUMMYFUNCTION("""COMPUTED_VALUE"""),4.0)</f>
        <v>4</v>
      </c>
      <c r="M118" s="12" t="str">
        <f>IFERROR(__xludf.DUMMYFUNCTION("""COMPUTED_VALUE"""),"Working")</f>
        <v>Working</v>
      </c>
      <c r="N118" s="12" t="str">
        <f>IFERROR(__xludf.DUMMYFUNCTION("""COMPUTED_VALUE"""),"CORRECT")</f>
        <v>CORRECT</v>
      </c>
      <c r="O118" s="12" t="str">
        <f>IFERROR(__xludf.DUMMYFUNCTION("""COMPUTED_VALUE"""),"CORRECT")</f>
        <v>CORRECT</v>
      </c>
      <c r="P118" s="12" t="str">
        <f t="shared" si="2"/>
        <v>Extra Theory Load Alloted</v>
      </c>
      <c r="Q118" s="12" t="str">
        <f t="shared" si="3"/>
        <v>Extra Lab Load Alloted</v>
      </c>
    </row>
    <row r="119">
      <c r="A119" s="1">
        <v>118.0</v>
      </c>
      <c r="B119" s="1" t="s">
        <v>641</v>
      </c>
      <c r="C119" s="1" t="s">
        <v>277</v>
      </c>
      <c r="D119" s="1" t="s">
        <v>642</v>
      </c>
      <c r="E119" s="12" t="str">
        <f t="shared" si="1"/>
        <v>Dr.JESIN BENETO A</v>
      </c>
      <c r="F119" s="13" t="s">
        <v>621</v>
      </c>
      <c r="G119" s="12" t="s">
        <v>291</v>
      </c>
      <c r="H119" s="12" t="s">
        <v>643</v>
      </c>
      <c r="I11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Col2='""&amp;B119&amp;""'"",0)"),2.0)</f>
        <v>2</v>
      </c>
      <c r="J119" s="12">
        <f>IFERROR(__xludf.DUMMYFUNCTION("""COMPUTED_VALUE"""),2.0)</f>
        <v>2</v>
      </c>
      <c r="K119" s="12">
        <f>IFERROR(__xludf.DUMMYFUNCTION("""COMPUTED_VALUE"""),2.0)</f>
        <v>2</v>
      </c>
      <c r="L119" s="12">
        <f>IFERROR(__xludf.DUMMYFUNCTION("""COMPUTED_VALUE"""),4.0)</f>
        <v>4</v>
      </c>
      <c r="M119" s="12" t="str">
        <f>IFERROR(__xludf.DUMMYFUNCTION("""COMPUTED_VALUE"""),"Working")</f>
        <v>Working</v>
      </c>
      <c r="N119" s="12" t="str">
        <f>IFERROR(__xludf.DUMMYFUNCTION("""COMPUTED_VALUE"""),"CORRECT")</f>
        <v>CORRECT</v>
      </c>
      <c r="O119" s="12" t="str">
        <f>IFERROR(__xludf.DUMMYFUNCTION("""COMPUTED_VALUE"""),"CORRECT")</f>
        <v>CORRECT</v>
      </c>
      <c r="P119" s="12" t="str">
        <f t="shared" si="2"/>
        <v/>
      </c>
      <c r="Q119" s="12" t="str">
        <f t="shared" si="3"/>
        <v>Extra Lab Load Alloted</v>
      </c>
    </row>
    <row r="120">
      <c r="A120" s="1">
        <v>119.0</v>
      </c>
      <c r="B120" s="1" t="s">
        <v>644</v>
      </c>
      <c r="C120" s="1" t="s">
        <v>277</v>
      </c>
      <c r="D120" s="1" t="s">
        <v>645</v>
      </c>
      <c r="E120" s="12" t="str">
        <f t="shared" si="1"/>
        <v>Dr.MANIGANDAN S</v>
      </c>
      <c r="F120" s="13" t="s">
        <v>621</v>
      </c>
      <c r="G120" s="12" t="s">
        <v>301</v>
      </c>
      <c r="H120" s="12" t="s">
        <v>646</v>
      </c>
      <c r="I12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Col2='""&amp;B120&amp;""'"",0)"),1.0)</f>
        <v>1</v>
      </c>
      <c r="J120" s="12">
        <f>IFERROR(__xludf.DUMMYFUNCTION("""COMPUTED_VALUE"""),0.0)</f>
        <v>0</v>
      </c>
      <c r="K120" s="12">
        <f>IFERROR(__xludf.DUMMYFUNCTION("""COMPUTED_VALUE"""),2.0)</f>
        <v>2</v>
      </c>
      <c r="L120" s="12">
        <f>IFERROR(__xludf.DUMMYFUNCTION("""COMPUTED_VALUE"""),4.0)</f>
        <v>4</v>
      </c>
      <c r="M120" s="12" t="str">
        <f>IFERROR(__xludf.DUMMYFUNCTION("""COMPUTED_VALUE"""),"Working")</f>
        <v>Working</v>
      </c>
      <c r="N120" s="12" t="str">
        <f>IFERROR(__xludf.DUMMYFUNCTION("""COMPUTED_VALUE"""),"CORRECT")</f>
        <v>CORRECT</v>
      </c>
      <c r="O120" s="12" t="str">
        <f>IFERROR(__xludf.DUMMYFUNCTION("""COMPUTED_VALUE"""),"CORRECT")</f>
        <v>CORRECT</v>
      </c>
      <c r="P120" s="12" t="str">
        <f t="shared" si="2"/>
        <v>Extra Theory Load Alloted</v>
      </c>
      <c r="Q120" s="12" t="str">
        <f t="shared" si="3"/>
        <v>Extra Lab Load Alloted</v>
      </c>
    </row>
    <row r="121">
      <c r="A121" s="1">
        <v>120.0</v>
      </c>
      <c r="B121" s="1" t="s">
        <v>647</v>
      </c>
      <c r="C121" s="1" t="s">
        <v>277</v>
      </c>
      <c r="D121" s="1" t="s">
        <v>648</v>
      </c>
      <c r="E121" s="12" t="str">
        <f t="shared" si="1"/>
        <v>Dr.KASTHURI S</v>
      </c>
      <c r="F121" s="13" t="s">
        <v>621</v>
      </c>
      <c r="G121" s="12" t="s">
        <v>301</v>
      </c>
      <c r="H121" s="12" t="s">
        <v>649</v>
      </c>
      <c r="I12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Col2='""&amp;B121&amp;""'"",0)"),1.0)</f>
        <v>1</v>
      </c>
      <c r="J121" s="12">
        <f>IFERROR(__xludf.DUMMYFUNCTION("""COMPUTED_VALUE"""),0.0)</f>
        <v>0</v>
      </c>
      <c r="K121" s="12">
        <f>IFERROR(__xludf.DUMMYFUNCTION("""COMPUTED_VALUE"""),2.0)</f>
        <v>2</v>
      </c>
      <c r="L121" s="12">
        <f>IFERROR(__xludf.DUMMYFUNCTION("""COMPUTED_VALUE"""),4.0)</f>
        <v>4</v>
      </c>
      <c r="M121" s="12" t="str">
        <f>IFERROR(__xludf.DUMMYFUNCTION("""COMPUTED_VALUE"""),"Working")</f>
        <v>Working</v>
      </c>
      <c r="N121" s="12" t="str">
        <f>IFERROR(__xludf.DUMMYFUNCTION("""COMPUTED_VALUE"""),"CORRECT")</f>
        <v>CORRECT</v>
      </c>
      <c r="O121" s="12" t="str">
        <f>IFERROR(__xludf.DUMMYFUNCTION("""COMPUTED_VALUE"""),"CORRECT")</f>
        <v>CORRECT</v>
      </c>
      <c r="P121" s="12" t="str">
        <f t="shared" si="2"/>
        <v>Extra Theory Load Alloted</v>
      </c>
      <c r="Q121" s="12" t="str">
        <f t="shared" si="3"/>
        <v>Extra Lab Load Alloted</v>
      </c>
    </row>
    <row r="122">
      <c r="A122" s="1">
        <v>121.0</v>
      </c>
      <c r="B122" s="1" t="s">
        <v>650</v>
      </c>
      <c r="C122" s="1" t="s">
        <v>277</v>
      </c>
      <c r="D122" s="1" t="s">
        <v>651</v>
      </c>
      <c r="E122" s="12" t="str">
        <f t="shared" si="1"/>
        <v>Dr.SUBHAPRIYA P</v>
      </c>
      <c r="F122" s="13" t="s">
        <v>621</v>
      </c>
      <c r="G122" s="12" t="s">
        <v>279</v>
      </c>
      <c r="H122" s="12" t="s">
        <v>652</v>
      </c>
      <c r="I12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Col2='""&amp;B122&amp;""'"",0)"),2.0)</f>
        <v>2</v>
      </c>
      <c r="J122" s="12">
        <f>IFERROR(__xludf.DUMMYFUNCTION("""COMPUTED_VALUE"""),1.0)</f>
        <v>1</v>
      </c>
      <c r="K122" s="12">
        <f>IFERROR(__xludf.DUMMYFUNCTION("""COMPUTED_VALUE"""),2.0)</f>
        <v>2</v>
      </c>
      <c r="L122" s="12">
        <f>IFERROR(__xludf.DUMMYFUNCTION("""COMPUTED_VALUE"""),4.0)</f>
        <v>4</v>
      </c>
      <c r="M122" s="12" t="str">
        <f>IFERROR(__xludf.DUMMYFUNCTION("""COMPUTED_VALUE"""),"Working")</f>
        <v>Working</v>
      </c>
      <c r="N122" s="12" t="str">
        <f>IFERROR(__xludf.DUMMYFUNCTION("""COMPUTED_VALUE"""),"CORRECT")</f>
        <v>CORRECT</v>
      </c>
      <c r="O122" s="12" t="str">
        <f>IFERROR(__xludf.DUMMYFUNCTION("""COMPUTED_VALUE"""),"CORRECT")</f>
        <v>CORRECT</v>
      </c>
      <c r="P122" s="12" t="str">
        <f t="shared" si="2"/>
        <v/>
      </c>
      <c r="Q122" s="12" t="str">
        <f t="shared" si="3"/>
        <v>Extra Lab Load Alloted</v>
      </c>
    </row>
    <row r="123">
      <c r="A123" s="1">
        <v>122.0</v>
      </c>
      <c r="B123" s="1" t="s">
        <v>653</v>
      </c>
      <c r="C123" s="1" t="s">
        <v>277</v>
      </c>
      <c r="D123" s="1" t="s">
        <v>654</v>
      </c>
      <c r="E123" s="12" t="str">
        <f t="shared" si="1"/>
        <v>Dr.VIJAYANAND P S</v>
      </c>
      <c r="F123" s="13" t="s">
        <v>621</v>
      </c>
      <c r="G123" s="12" t="s">
        <v>283</v>
      </c>
      <c r="H123" s="12" t="s">
        <v>655</v>
      </c>
      <c r="I12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Col2='""&amp;B123&amp;""'"",0)"),1.0)</f>
        <v>1</v>
      </c>
      <c r="J123" s="12">
        <f>IFERROR(__xludf.DUMMYFUNCTION("""COMPUTED_VALUE"""),1.0)</f>
        <v>1</v>
      </c>
      <c r="K123" s="12">
        <f>IFERROR(__xludf.DUMMYFUNCTION("""COMPUTED_VALUE"""),2.0)</f>
        <v>2</v>
      </c>
      <c r="L123" s="12">
        <f>IFERROR(__xludf.DUMMYFUNCTION("""COMPUTED_VALUE"""),4.0)</f>
        <v>4</v>
      </c>
      <c r="M123" s="12" t="str">
        <f>IFERROR(__xludf.DUMMYFUNCTION("""COMPUTED_VALUE"""),"Working")</f>
        <v>Working</v>
      </c>
      <c r="N123" s="12" t="str">
        <f>IFERROR(__xludf.DUMMYFUNCTION("""COMPUTED_VALUE"""),"CORRECT")</f>
        <v>CORRECT</v>
      </c>
      <c r="O123" s="12" t="str">
        <f>IFERROR(__xludf.DUMMYFUNCTION("""COMPUTED_VALUE"""),"CORRECT")</f>
        <v>CORRECT</v>
      </c>
      <c r="P123" s="12" t="str">
        <f t="shared" si="2"/>
        <v>Extra Theory Load Alloted</v>
      </c>
      <c r="Q123" s="12" t="str">
        <f t="shared" si="3"/>
        <v>Extra Lab Load Alloted</v>
      </c>
    </row>
    <row r="124">
      <c r="A124" s="1">
        <v>123.0</v>
      </c>
      <c r="B124" s="1" t="s">
        <v>656</v>
      </c>
      <c r="C124" s="1" t="s">
        <v>277</v>
      </c>
      <c r="D124" s="1" t="s">
        <v>657</v>
      </c>
      <c r="E124" s="12" t="str">
        <f t="shared" si="1"/>
        <v>Dr.PRAVEENA R</v>
      </c>
      <c r="F124" s="13" t="s">
        <v>621</v>
      </c>
      <c r="G124" s="12" t="s">
        <v>279</v>
      </c>
      <c r="H124" s="12" t="s">
        <v>658</v>
      </c>
      <c r="I12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Col2='""&amp;B124&amp;""'"",0)"),1.0)</f>
        <v>1</v>
      </c>
      <c r="J124" s="12">
        <f>IFERROR(__xludf.DUMMYFUNCTION("""COMPUTED_VALUE"""),0.0)</f>
        <v>0</v>
      </c>
      <c r="K124" s="12">
        <f>IFERROR(__xludf.DUMMYFUNCTION("""COMPUTED_VALUE"""),2.0)</f>
        <v>2</v>
      </c>
      <c r="L124" s="12">
        <f>IFERROR(__xludf.DUMMYFUNCTION("""COMPUTED_VALUE"""),4.0)</f>
        <v>4</v>
      </c>
      <c r="M124" s="12" t="str">
        <f>IFERROR(__xludf.DUMMYFUNCTION("""COMPUTED_VALUE"""),"Working")</f>
        <v>Working</v>
      </c>
      <c r="N124" s="12" t="str">
        <f>IFERROR(__xludf.DUMMYFUNCTION("""COMPUTED_VALUE"""),"CORRECT")</f>
        <v>CORRECT</v>
      </c>
      <c r="O124" s="12" t="str">
        <f>IFERROR(__xludf.DUMMYFUNCTION("""COMPUTED_VALUE"""),"CORRECT")</f>
        <v>CORRECT</v>
      </c>
      <c r="P124" s="12" t="str">
        <f t="shared" si="2"/>
        <v>Extra Theory Load Alloted</v>
      </c>
      <c r="Q124" s="12" t="str">
        <f t="shared" si="3"/>
        <v>Extra Lab Load Alloted</v>
      </c>
    </row>
    <row r="125">
      <c r="A125" s="1">
        <v>124.0</v>
      </c>
      <c r="B125" s="1" t="s">
        <v>659</v>
      </c>
      <c r="C125" s="1" t="s">
        <v>277</v>
      </c>
      <c r="D125" s="1" t="s">
        <v>660</v>
      </c>
      <c r="E125" s="12" t="str">
        <f t="shared" si="1"/>
        <v>Dr.KAVITHA C</v>
      </c>
      <c r="F125" s="13" t="s">
        <v>621</v>
      </c>
      <c r="G125" s="12" t="s">
        <v>279</v>
      </c>
      <c r="H125" s="12" t="s">
        <v>661</v>
      </c>
      <c r="I12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Col2='""&amp;B125&amp;""'"",0)"),2.0)</f>
        <v>2</v>
      </c>
      <c r="J125" s="12">
        <f>IFERROR(__xludf.DUMMYFUNCTION("""COMPUTED_VALUE"""),1.0)</f>
        <v>1</v>
      </c>
      <c r="K125" s="12">
        <f>IFERROR(__xludf.DUMMYFUNCTION("""COMPUTED_VALUE"""),2.0)</f>
        <v>2</v>
      </c>
      <c r="L125" s="12">
        <f>IFERROR(__xludf.DUMMYFUNCTION("""COMPUTED_VALUE"""),4.0)</f>
        <v>4</v>
      </c>
      <c r="M125" s="12" t="str">
        <f>IFERROR(__xludf.DUMMYFUNCTION("""COMPUTED_VALUE"""),"Working")</f>
        <v>Working</v>
      </c>
      <c r="N125" s="12" t="str">
        <f>IFERROR(__xludf.DUMMYFUNCTION("""COMPUTED_VALUE"""),"CORRECT")</f>
        <v>CORRECT</v>
      </c>
      <c r="O125" s="12" t="str">
        <f>IFERROR(__xludf.DUMMYFUNCTION("""COMPUTED_VALUE"""),"CORRECT")</f>
        <v>CORRECT</v>
      </c>
      <c r="P125" s="12" t="str">
        <f t="shared" si="2"/>
        <v/>
      </c>
      <c r="Q125" s="12" t="str">
        <f t="shared" si="3"/>
        <v>Extra Lab Load Alloted</v>
      </c>
    </row>
    <row r="126">
      <c r="A126" s="1">
        <v>125.0</v>
      </c>
      <c r="B126" s="1" t="s">
        <v>662</v>
      </c>
      <c r="C126" s="1" t="s">
        <v>277</v>
      </c>
      <c r="D126" s="1" t="s">
        <v>663</v>
      </c>
      <c r="E126" s="12" t="str">
        <f t="shared" si="1"/>
        <v>Dr.MALATHI MAHALINGAM</v>
      </c>
      <c r="F126" s="13" t="s">
        <v>621</v>
      </c>
      <c r="G126" s="12" t="s">
        <v>279</v>
      </c>
      <c r="H126" s="12" t="s">
        <v>664</v>
      </c>
      <c r="I12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Col2='""&amp;B126&amp;""'"",0)"),2.0)</f>
        <v>2</v>
      </c>
      <c r="J126" s="12">
        <f>IFERROR(__xludf.DUMMYFUNCTION("""COMPUTED_VALUE"""),1.0)</f>
        <v>1</v>
      </c>
      <c r="K126" s="12">
        <f>IFERROR(__xludf.DUMMYFUNCTION("""COMPUTED_VALUE"""),2.0)</f>
        <v>2</v>
      </c>
      <c r="L126" s="12">
        <f>IFERROR(__xludf.DUMMYFUNCTION("""COMPUTED_VALUE"""),4.0)</f>
        <v>4</v>
      </c>
      <c r="M126" s="12" t="str">
        <f>IFERROR(__xludf.DUMMYFUNCTION("""COMPUTED_VALUE"""),"Working")</f>
        <v>Working</v>
      </c>
      <c r="N126" s="12" t="str">
        <f>IFERROR(__xludf.DUMMYFUNCTION("""COMPUTED_VALUE"""),"CORRECT")</f>
        <v>CORRECT</v>
      </c>
      <c r="O126" s="12" t="str">
        <f>IFERROR(__xludf.DUMMYFUNCTION("""COMPUTED_VALUE"""),"CORRECT")</f>
        <v>CORRECT</v>
      </c>
      <c r="P126" s="12" t="str">
        <f t="shared" si="2"/>
        <v/>
      </c>
      <c r="Q126" s="12" t="str">
        <f t="shared" si="3"/>
        <v>Extra Lab Load Alloted</v>
      </c>
    </row>
    <row r="127">
      <c r="A127" s="1">
        <v>126.0</v>
      </c>
      <c r="B127" s="1" t="s">
        <v>665</v>
      </c>
      <c r="C127" s="1" t="s">
        <v>271</v>
      </c>
      <c r="D127" s="1" t="s">
        <v>666</v>
      </c>
      <c r="E127" s="12" t="str">
        <f t="shared" si="1"/>
        <v>Mr.DINESH P S</v>
      </c>
      <c r="F127" s="13" t="s">
        <v>667</v>
      </c>
      <c r="G127" s="12" t="s">
        <v>274</v>
      </c>
      <c r="H127" s="12" t="s">
        <v>668</v>
      </c>
      <c r="I12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Col2='""&amp;B127&amp;""'"",0)"),2.0)</f>
        <v>2</v>
      </c>
      <c r="J127" s="12">
        <f>IFERROR(__xludf.DUMMYFUNCTION("""COMPUTED_VALUE"""),2.0)</f>
        <v>2</v>
      </c>
      <c r="K127" s="12">
        <f>IFERROR(__xludf.DUMMYFUNCTION("""COMPUTED_VALUE"""),2.0)</f>
        <v>2</v>
      </c>
      <c r="L127" s="12">
        <f>IFERROR(__xludf.DUMMYFUNCTION("""COMPUTED_VALUE"""),1.0)</f>
        <v>1</v>
      </c>
      <c r="M127" s="12" t="str">
        <f>IFERROR(__xludf.DUMMYFUNCTION("""COMPUTED_VALUE"""),"Working")</f>
        <v>Working</v>
      </c>
      <c r="N127" s="12" t="str">
        <f>IFERROR(__xludf.DUMMYFUNCTION("""COMPUTED_VALUE"""),"CORRECT")</f>
        <v>CORRECT</v>
      </c>
      <c r="O127" s="12" t="str">
        <f>IFERROR(__xludf.DUMMYFUNCTION("""COMPUTED_VALUE"""),"LOAD PENDING")</f>
        <v>LOAD PENDING</v>
      </c>
      <c r="P127" s="12" t="str">
        <f t="shared" si="2"/>
        <v/>
      </c>
      <c r="Q127" s="12" t="str">
        <f t="shared" si="3"/>
        <v/>
      </c>
    </row>
    <row r="128">
      <c r="A128" s="1">
        <v>127.0</v>
      </c>
      <c r="B128" s="1" t="s">
        <v>669</v>
      </c>
      <c r="C128" s="1" t="s">
        <v>277</v>
      </c>
      <c r="D128" s="1" t="s">
        <v>670</v>
      </c>
      <c r="E128" s="12" t="str">
        <f t="shared" si="1"/>
        <v>Dr.KARTHIGA M</v>
      </c>
      <c r="F128" s="13" t="s">
        <v>667</v>
      </c>
      <c r="G128" s="12" t="s">
        <v>279</v>
      </c>
      <c r="H128" s="12" t="s">
        <v>671</v>
      </c>
      <c r="I12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Col2='""&amp;B128&amp;""'"",0)"),1.0)</f>
        <v>1</v>
      </c>
      <c r="J128" s="12">
        <f>IFERROR(__xludf.DUMMYFUNCTION("""COMPUTED_VALUE"""),0.0)</f>
        <v>0</v>
      </c>
      <c r="K128" s="12">
        <f>IFERROR(__xludf.DUMMYFUNCTION("""COMPUTED_VALUE"""),1.0)</f>
        <v>1</v>
      </c>
      <c r="L128" s="12">
        <f>IFERROR(__xludf.DUMMYFUNCTION("""COMPUTED_VALUE"""),0.0)</f>
        <v>0</v>
      </c>
      <c r="M128" s="12" t="str">
        <f>IFERROR(__xludf.DUMMYFUNCTION("""COMPUTED_VALUE"""),"Working")</f>
        <v>Working</v>
      </c>
      <c r="N128" s="12" t="str">
        <f>IFERROR(__xludf.DUMMYFUNCTION("""COMPUTED_VALUE"""),"CORRECT")</f>
        <v>CORRECT</v>
      </c>
      <c r="O128" s="12" t="str">
        <f>IFERROR(__xludf.DUMMYFUNCTION("""COMPUTED_VALUE"""),"CORRECT")</f>
        <v>CORRECT</v>
      </c>
      <c r="P128" s="12" t="str">
        <f t="shared" si="2"/>
        <v/>
      </c>
      <c r="Q128" s="12" t="str">
        <f t="shared" si="3"/>
        <v/>
      </c>
    </row>
    <row r="129">
      <c r="A129" s="1">
        <v>128.0</v>
      </c>
      <c r="B129" s="1" t="s">
        <v>672</v>
      </c>
      <c r="C129" s="1" t="s">
        <v>286</v>
      </c>
      <c r="D129" s="1" t="s">
        <v>673</v>
      </c>
      <c r="E129" s="12" t="str">
        <f t="shared" si="1"/>
        <v>Mrs.GANAGAVALLI K</v>
      </c>
      <c r="F129" s="13" t="s">
        <v>667</v>
      </c>
      <c r="G129" s="12" t="s">
        <v>274</v>
      </c>
      <c r="H129" s="12" t="s">
        <v>674</v>
      </c>
      <c r="I12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Col2='""&amp;B129&amp;""'"",0)"),1.0)</f>
        <v>1</v>
      </c>
      <c r="J129" s="12">
        <f>IFERROR(__xludf.DUMMYFUNCTION("""COMPUTED_VALUE"""),0.0)</f>
        <v>0</v>
      </c>
      <c r="K129" s="12">
        <f>IFERROR(__xludf.DUMMYFUNCTION("""COMPUTED_VALUE"""),1.0)</f>
        <v>1</v>
      </c>
      <c r="L129" s="12">
        <f>IFERROR(__xludf.DUMMYFUNCTION("""COMPUTED_VALUE"""),0.0)</f>
        <v>0</v>
      </c>
      <c r="M129" s="12" t="str">
        <f>IFERROR(__xludf.DUMMYFUNCTION("""COMPUTED_VALUE"""),"Working")</f>
        <v>Working</v>
      </c>
      <c r="N129" s="12" t="str">
        <f>IFERROR(__xludf.DUMMYFUNCTION("""COMPUTED_VALUE"""),"CORRECT")</f>
        <v>CORRECT</v>
      </c>
      <c r="O129" s="12" t="str">
        <f>IFERROR(__xludf.DUMMYFUNCTION("""COMPUTED_VALUE"""),"CORRECT")</f>
        <v>CORRECT</v>
      </c>
      <c r="P129" s="12" t="str">
        <f t="shared" si="2"/>
        <v/>
      </c>
      <c r="Q129" s="12" t="str">
        <f t="shared" si="3"/>
        <v/>
      </c>
    </row>
    <row r="130">
      <c r="A130" s="1">
        <v>129.0</v>
      </c>
      <c r="B130" s="1" t="s">
        <v>675</v>
      </c>
      <c r="C130" s="1" t="s">
        <v>271</v>
      </c>
      <c r="D130" s="1" t="s">
        <v>676</v>
      </c>
      <c r="E130" s="12" t="str">
        <f t="shared" si="1"/>
        <v>Mr.MOHAN KUMAR  V</v>
      </c>
      <c r="F130" s="13" t="s">
        <v>667</v>
      </c>
      <c r="G130" s="12" t="s">
        <v>291</v>
      </c>
      <c r="H130" s="12" t="s">
        <v>677</v>
      </c>
      <c r="I13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Col2='""&amp;B130&amp;""'"",0)"),0.0)</f>
        <v>0</v>
      </c>
      <c r="J130" s="12">
        <f>IFERROR(__xludf.DUMMYFUNCTION("""COMPUTED_VALUE"""),0.0)</f>
        <v>0</v>
      </c>
      <c r="K130" s="12">
        <f>IFERROR(__xludf.DUMMYFUNCTION("""COMPUTED_VALUE"""),0.0)</f>
        <v>0</v>
      </c>
      <c r="L130" s="12">
        <f>IFERROR(__xludf.DUMMYFUNCTION("""COMPUTED_VALUE"""),0.0)</f>
        <v>0</v>
      </c>
      <c r="M130" s="12" t="str">
        <f>IFERROR(__xludf.DUMMYFUNCTION("""COMPUTED_VALUE"""),"Working")</f>
        <v>Working</v>
      </c>
      <c r="N130" s="12" t="str">
        <f>IFERROR(__xludf.DUMMYFUNCTION("""COMPUTED_VALUE"""),"CORRECT")</f>
        <v>CORRECT</v>
      </c>
      <c r="O130" s="12" t="str">
        <f>IFERROR(__xludf.DUMMYFUNCTION("""COMPUTED_VALUE"""),"CORRECT")</f>
        <v>CORRECT</v>
      </c>
      <c r="P130" s="12" t="str">
        <f t="shared" si="2"/>
        <v/>
      </c>
      <c r="Q130" s="12" t="str">
        <f t="shared" si="3"/>
        <v/>
      </c>
    </row>
    <row r="131">
      <c r="A131" s="1">
        <v>130.0</v>
      </c>
      <c r="B131" s="1" t="s">
        <v>678</v>
      </c>
      <c r="C131" s="1" t="s">
        <v>286</v>
      </c>
      <c r="D131" s="1" t="s">
        <v>679</v>
      </c>
      <c r="E131" s="12" t="str">
        <f t="shared" si="1"/>
        <v>Mrs.PRABHA DEVI D</v>
      </c>
      <c r="F131" s="13" t="s">
        <v>667</v>
      </c>
      <c r="G131" s="12" t="s">
        <v>274</v>
      </c>
      <c r="H131" s="12" t="s">
        <v>680</v>
      </c>
      <c r="I13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Col2='""&amp;B131&amp;""'"",0)"),2.0)</f>
        <v>2</v>
      </c>
      <c r="J131" s="12">
        <f>IFERROR(__xludf.DUMMYFUNCTION("""COMPUTED_VALUE"""),2.0)</f>
        <v>2</v>
      </c>
      <c r="K131" s="12">
        <f>IFERROR(__xludf.DUMMYFUNCTION("""COMPUTED_VALUE"""),2.0)</f>
        <v>2</v>
      </c>
      <c r="L131" s="12">
        <f>IFERROR(__xludf.DUMMYFUNCTION("""COMPUTED_VALUE"""),1.0)</f>
        <v>1</v>
      </c>
      <c r="M131" s="12" t="str">
        <f>IFERROR(__xludf.DUMMYFUNCTION("""COMPUTED_VALUE"""),"Working")</f>
        <v>Working</v>
      </c>
      <c r="N131" s="12" t="str">
        <f>IFERROR(__xludf.DUMMYFUNCTION("""COMPUTED_VALUE"""),"CORRECT")</f>
        <v>CORRECT</v>
      </c>
      <c r="O131" s="12" t="str">
        <f>IFERROR(__xludf.DUMMYFUNCTION("""COMPUTED_VALUE"""),"LOAD PENDING")</f>
        <v>LOAD PENDING</v>
      </c>
      <c r="P131" s="12" t="str">
        <f t="shared" si="2"/>
        <v/>
      </c>
      <c r="Q131" s="12" t="str">
        <f t="shared" si="3"/>
        <v/>
      </c>
    </row>
    <row r="132">
      <c r="A132" s="1">
        <v>131.0</v>
      </c>
      <c r="B132" s="1" t="s">
        <v>681</v>
      </c>
      <c r="C132" s="1" t="s">
        <v>307</v>
      </c>
      <c r="D132" s="1" t="s">
        <v>682</v>
      </c>
      <c r="E132" s="12" t="str">
        <f t="shared" si="1"/>
        <v>Ms.SOUNDARIYA R S</v>
      </c>
      <c r="F132" s="13" t="s">
        <v>667</v>
      </c>
      <c r="G132" s="12" t="s">
        <v>274</v>
      </c>
      <c r="H132" s="12" t="s">
        <v>683</v>
      </c>
      <c r="I13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Col2='""&amp;B132&amp;""'"",0)"),2.0)</f>
        <v>2</v>
      </c>
      <c r="J132" s="12">
        <f>IFERROR(__xludf.DUMMYFUNCTION("""COMPUTED_VALUE"""),2.0)</f>
        <v>2</v>
      </c>
      <c r="K132" s="12">
        <f>IFERROR(__xludf.DUMMYFUNCTION("""COMPUTED_VALUE"""),2.0)</f>
        <v>2</v>
      </c>
      <c r="L132" s="12">
        <f>IFERROR(__xludf.DUMMYFUNCTION("""COMPUTED_VALUE"""),1.0)</f>
        <v>1</v>
      </c>
      <c r="M132" s="12" t="str">
        <f>IFERROR(__xludf.DUMMYFUNCTION("""COMPUTED_VALUE"""),"Working")</f>
        <v>Working</v>
      </c>
      <c r="N132" s="12" t="str">
        <f>IFERROR(__xludf.DUMMYFUNCTION("""COMPUTED_VALUE"""),"CORRECT")</f>
        <v>CORRECT</v>
      </c>
      <c r="O132" s="12" t="str">
        <f>IFERROR(__xludf.DUMMYFUNCTION("""COMPUTED_VALUE"""),"LOAD PENDING")</f>
        <v>LOAD PENDING</v>
      </c>
      <c r="P132" s="12" t="str">
        <f t="shared" si="2"/>
        <v/>
      </c>
      <c r="Q132" s="12" t="str">
        <f t="shared" si="3"/>
        <v/>
      </c>
    </row>
    <row r="133">
      <c r="A133" s="1">
        <v>132.0</v>
      </c>
      <c r="B133" s="1" t="s">
        <v>684</v>
      </c>
      <c r="C133" s="1" t="s">
        <v>277</v>
      </c>
      <c r="D133" s="1" t="s">
        <v>685</v>
      </c>
      <c r="E133" s="12" t="str">
        <f t="shared" si="1"/>
        <v>Dr.PRAVEEN V</v>
      </c>
      <c r="F133" s="13" t="s">
        <v>667</v>
      </c>
      <c r="G133" s="12" t="s">
        <v>279</v>
      </c>
      <c r="H133" s="12" t="s">
        <v>686</v>
      </c>
      <c r="I13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Col2='""&amp;B133&amp;""'"",0)"),2.0)</f>
        <v>2</v>
      </c>
      <c r="J133" s="12">
        <f>IFERROR(__xludf.DUMMYFUNCTION("""COMPUTED_VALUE"""),1.0)</f>
        <v>1</v>
      </c>
      <c r="K133" s="12">
        <f>IFERROR(__xludf.DUMMYFUNCTION("""COMPUTED_VALUE"""),2.0)</f>
        <v>2</v>
      </c>
      <c r="L133" s="12">
        <f>IFERROR(__xludf.DUMMYFUNCTION("""COMPUTED_VALUE"""),1.0)</f>
        <v>1</v>
      </c>
      <c r="M133" s="12" t="str">
        <f>IFERROR(__xludf.DUMMYFUNCTION("""COMPUTED_VALUE"""),"Working")</f>
        <v>Working</v>
      </c>
      <c r="N133" s="12" t="str">
        <f>IFERROR(__xludf.DUMMYFUNCTION("""COMPUTED_VALUE"""),"CORRECT")</f>
        <v>CORRECT</v>
      </c>
      <c r="O133" s="12" t="str">
        <f>IFERROR(__xludf.DUMMYFUNCTION("""COMPUTED_VALUE"""),"CORRECT")</f>
        <v>CORRECT</v>
      </c>
      <c r="P133" s="12" t="str">
        <f t="shared" si="2"/>
        <v/>
      </c>
      <c r="Q133" s="12" t="str">
        <f t="shared" si="3"/>
        <v/>
      </c>
    </row>
    <row r="134">
      <c r="A134" s="1">
        <v>133.0</v>
      </c>
      <c r="B134" s="1" t="s">
        <v>687</v>
      </c>
      <c r="C134" s="1" t="s">
        <v>277</v>
      </c>
      <c r="D134" s="1" t="s">
        <v>688</v>
      </c>
      <c r="E134" s="12" t="str">
        <f t="shared" si="1"/>
        <v>Dr.SWATHYPRIYADHARSINI P</v>
      </c>
      <c r="F134" s="13" t="s">
        <v>667</v>
      </c>
      <c r="G134" s="12" t="s">
        <v>274</v>
      </c>
      <c r="H134" s="12" t="s">
        <v>689</v>
      </c>
      <c r="I13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Col2='""&amp;B134&amp;""'"",0)"),2.0)</f>
        <v>2</v>
      </c>
      <c r="J134" s="12">
        <f>IFERROR(__xludf.DUMMYFUNCTION("""COMPUTED_VALUE"""),2.0)</f>
        <v>2</v>
      </c>
      <c r="K134" s="12">
        <f>IFERROR(__xludf.DUMMYFUNCTION("""COMPUTED_VALUE"""),2.0)</f>
        <v>2</v>
      </c>
      <c r="L134" s="12">
        <f>IFERROR(__xludf.DUMMYFUNCTION("""COMPUTED_VALUE"""),1.0)</f>
        <v>1</v>
      </c>
      <c r="M134" s="12" t="str">
        <f>IFERROR(__xludf.DUMMYFUNCTION("""COMPUTED_VALUE"""),"Working")</f>
        <v>Working</v>
      </c>
      <c r="N134" s="12" t="str">
        <f>IFERROR(__xludf.DUMMYFUNCTION("""COMPUTED_VALUE"""),"CORRECT")</f>
        <v>CORRECT</v>
      </c>
      <c r="O134" s="12" t="str">
        <f>IFERROR(__xludf.DUMMYFUNCTION("""COMPUTED_VALUE"""),"LOAD PENDING")</f>
        <v>LOAD PENDING</v>
      </c>
      <c r="P134" s="12" t="str">
        <f t="shared" si="2"/>
        <v/>
      </c>
      <c r="Q134" s="12" t="str">
        <f t="shared" si="3"/>
        <v/>
      </c>
    </row>
    <row r="135">
      <c r="A135" s="1">
        <v>134.0</v>
      </c>
      <c r="B135" s="1" t="s">
        <v>690</v>
      </c>
      <c r="C135" s="1" t="s">
        <v>271</v>
      </c>
      <c r="D135" s="1" t="s">
        <v>691</v>
      </c>
      <c r="E135" s="12" t="str">
        <f t="shared" si="1"/>
        <v>Mr.MAGESH KUMAR B</v>
      </c>
      <c r="F135" s="13" t="s">
        <v>667</v>
      </c>
      <c r="G135" s="12" t="s">
        <v>291</v>
      </c>
      <c r="H135" s="12" t="s">
        <v>692</v>
      </c>
      <c r="I13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Col2='""&amp;B135&amp;""'"",0)"),1.0)</f>
        <v>1</v>
      </c>
      <c r="J135" s="12">
        <f>IFERROR(__xludf.DUMMYFUNCTION("""COMPUTED_VALUE"""),0.0)</f>
        <v>0</v>
      </c>
      <c r="K135" s="12">
        <f>IFERROR(__xludf.DUMMYFUNCTION("""COMPUTED_VALUE"""),1.0)</f>
        <v>1</v>
      </c>
      <c r="L135" s="12">
        <f>IFERROR(__xludf.DUMMYFUNCTION("""COMPUTED_VALUE"""),0.0)</f>
        <v>0</v>
      </c>
      <c r="M135" s="12" t="str">
        <f>IFERROR(__xludf.DUMMYFUNCTION("""COMPUTED_VALUE"""),"Working")</f>
        <v>Working</v>
      </c>
      <c r="N135" s="12" t="str">
        <f>IFERROR(__xludf.DUMMYFUNCTION("""COMPUTED_VALUE"""),"CORRECT")</f>
        <v>CORRECT</v>
      </c>
      <c r="O135" s="12" t="str">
        <f>IFERROR(__xludf.DUMMYFUNCTION("""COMPUTED_VALUE"""),"CORRECT")</f>
        <v>CORRECT</v>
      </c>
      <c r="P135" s="12" t="str">
        <f t="shared" si="2"/>
        <v/>
      </c>
      <c r="Q135" s="12" t="str">
        <f t="shared" si="3"/>
        <v/>
      </c>
    </row>
    <row r="136">
      <c r="A136" s="1">
        <v>135.0</v>
      </c>
      <c r="B136" s="1" t="s">
        <v>693</v>
      </c>
      <c r="C136" s="1" t="s">
        <v>271</v>
      </c>
      <c r="D136" s="1" t="s">
        <v>694</v>
      </c>
      <c r="E136" s="12" t="str">
        <f t="shared" si="1"/>
        <v>Mr.SUSEENDRAN S</v>
      </c>
      <c r="F136" s="13" t="s">
        <v>667</v>
      </c>
      <c r="G136" s="12" t="s">
        <v>274</v>
      </c>
      <c r="H136" s="12" t="s">
        <v>695</v>
      </c>
      <c r="I13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Col2='""&amp;B136&amp;""'"",0)"),2.0)</f>
        <v>2</v>
      </c>
      <c r="J136" s="12">
        <f>IFERROR(__xludf.DUMMYFUNCTION("""COMPUTED_VALUE"""),2.0)</f>
        <v>2</v>
      </c>
      <c r="K136" s="12">
        <f>IFERROR(__xludf.DUMMYFUNCTION("""COMPUTED_VALUE"""),2.0)</f>
        <v>2</v>
      </c>
      <c r="L136" s="12">
        <f>IFERROR(__xludf.DUMMYFUNCTION("""COMPUTED_VALUE"""),1.0)</f>
        <v>1</v>
      </c>
      <c r="M136" s="12" t="str">
        <f>IFERROR(__xludf.DUMMYFUNCTION("""COMPUTED_VALUE"""),"Working")</f>
        <v>Working</v>
      </c>
      <c r="N136" s="12" t="str">
        <f>IFERROR(__xludf.DUMMYFUNCTION("""COMPUTED_VALUE"""),"CORRECT")</f>
        <v>CORRECT</v>
      </c>
      <c r="O136" s="12" t="str">
        <f>IFERROR(__xludf.DUMMYFUNCTION("""COMPUTED_VALUE"""),"LOAD PENDING")</f>
        <v>LOAD PENDING</v>
      </c>
      <c r="P136" s="12" t="str">
        <f t="shared" si="2"/>
        <v/>
      </c>
      <c r="Q136" s="12" t="str">
        <f t="shared" si="3"/>
        <v/>
      </c>
    </row>
    <row r="137">
      <c r="A137" s="1">
        <v>136.0</v>
      </c>
      <c r="B137" s="1" t="s">
        <v>696</v>
      </c>
      <c r="C137" s="1" t="s">
        <v>277</v>
      </c>
      <c r="D137" s="1" t="s">
        <v>697</v>
      </c>
      <c r="E137" s="12" t="str">
        <f t="shared" si="1"/>
        <v>Dr.PARTHASARATHI P</v>
      </c>
      <c r="F137" s="13" t="s">
        <v>667</v>
      </c>
      <c r="G137" s="12" t="s">
        <v>279</v>
      </c>
      <c r="H137" s="12" t="s">
        <v>698</v>
      </c>
      <c r="I13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Col2='""&amp;B137&amp;""'"",0)"),2.0)</f>
        <v>2</v>
      </c>
      <c r="J137" s="12">
        <f>IFERROR(__xludf.DUMMYFUNCTION("""COMPUTED_VALUE"""),1.0)</f>
        <v>1</v>
      </c>
      <c r="K137" s="12">
        <f>IFERROR(__xludf.DUMMYFUNCTION("""COMPUTED_VALUE"""),2.0)</f>
        <v>2</v>
      </c>
      <c r="L137" s="12">
        <f>IFERROR(__xludf.DUMMYFUNCTION("""COMPUTED_VALUE"""),1.0)</f>
        <v>1</v>
      </c>
      <c r="M137" s="12" t="str">
        <f>IFERROR(__xludf.DUMMYFUNCTION("""COMPUTED_VALUE"""),"Working")</f>
        <v>Working</v>
      </c>
      <c r="N137" s="12" t="str">
        <f>IFERROR(__xludf.DUMMYFUNCTION("""COMPUTED_VALUE"""),"CORRECT")</f>
        <v>CORRECT</v>
      </c>
      <c r="O137" s="12" t="str">
        <f>IFERROR(__xludf.DUMMYFUNCTION("""COMPUTED_VALUE"""),"CORRECT")</f>
        <v>CORRECT</v>
      </c>
      <c r="P137" s="12" t="str">
        <f t="shared" si="2"/>
        <v/>
      </c>
      <c r="Q137" s="12" t="str">
        <f t="shared" si="3"/>
        <v/>
      </c>
    </row>
    <row r="138">
      <c r="A138" s="1">
        <v>137.0</v>
      </c>
      <c r="B138" s="1" t="s">
        <v>699</v>
      </c>
      <c r="C138" s="1" t="s">
        <v>277</v>
      </c>
      <c r="D138" s="1" t="s">
        <v>700</v>
      </c>
      <c r="E138" s="12" t="str">
        <f t="shared" si="1"/>
        <v>Dr.DHIVYA P</v>
      </c>
      <c r="F138" s="13" t="s">
        <v>667</v>
      </c>
      <c r="G138" s="12" t="s">
        <v>279</v>
      </c>
      <c r="H138" s="12" t="s">
        <v>701</v>
      </c>
      <c r="I13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Col2='""&amp;B138&amp;""'"",0)"),2.0)</f>
        <v>2</v>
      </c>
      <c r="J138" s="12">
        <f>IFERROR(__xludf.DUMMYFUNCTION("""COMPUTED_VALUE"""),1.0)</f>
        <v>1</v>
      </c>
      <c r="K138" s="12">
        <f>IFERROR(__xludf.DUMMYFUNCTION("""COMPUTED_VALUE"""),2.0)</f>
        <v>2</v>
      </c>
      <c r="L138" s="12">
        <f>IFERROR(__xludf.DUMMYFUNCTION("""COMPUTED_VALUE"""),1.0)</f>
        <v>1</v>
      </c>
      <c r="M138" s="12" t="str">
        <f>IFERROR(__xludf.DUMMYFUNCTION("""COMPUTED_VALUE"""),"Working")</f>
        <v>Working</v>
      </c>
      <c r="N138" s="12" t="str">
        <f>IFERROR(__xludf.DUMMYFUNCTION("""COMPUTED_VALUE"""),"CORRECT")</f>
        <v>CORRECT</v>
      </c>
      <c r="O138" s="12" t="str">
        <f>IFERROR(__xludf.DUMMYFUNCTION("""COMPUTED_VALUE"""),"CORRECT")</f>
        <v>CORRECT</v>
      </c>
      <c r="P138" s="12" t="str">
        <f t="shared" si="2"/>
        <v/>
      </c>
      <c r="Q138" s="12" t="str">
        <f t="shared" si="3"/>
        <v/>
      </c>
    </row>
    <row r="139">
      <c r="A139" s="1">
        <v>138.0</v>
      </c>
      <c r="B139" s="1" t="s">
        <v>702</v>
      </c>
      <c r="C139" s="1" t="s">
        <v>277</v>
      </c>
      <c r="D139" s="1" t="s">
        <v>703</v>
      </c>
      <c r="E139" s="12" t="str">
        <f t="shared" si="1"/>
        <v>Dr.SANGEETHAA SN</v>
      </c>
      <c r="F139" s="13" t="s">
        <v>667</v>
      </c>
      <c r="G139" s="12" t="s">
        <v>283</v>
      </c>
      <c r="H139" s="12" t="s">
        <v>704</v>
      </c>
      <c r="I13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Col2='""&amp;B139&amp;""'"",0)"),1.0)</f>
        <v>1</v>
      </c>
      <c r="J139" s="12">
        <f>IFERROR(__xludf.DUMMYFUNCTION("""COMPUTED_VALUE"""),1.0)</f>
        <v>1</v>
      </c>
      <c r="K139" s="12">
        <f>IFERROR(__xludf.DUMMYFUNCTION("""COMPUTED_VALUE"""),2.0)</f>
        <v>2</v>
      </c>
      <c r="L139" s="12">
        <f>IFERROR(__xludf.DUMMYFUNCTION("""COMPUTED_VALUE"""),1.0)</f>
        <v>1</v>
      </c>
      <c r="M139" s="12" t="str">
        <f>IFERROR(__xludf.DUMMYFUNCTION("""COMPUTED_VALUE"""),"Working")</f>
        <v>Working</v>
      </c>
      <c r="N139" s="12" t="str">
        <f>IFERROR(__xludf.DUMMYFUNCTION("""COMPUTED_VALUE"""),"CORRECT")</f>
        <v>CORRECT</v>
      </c>
      <c r="O139" s="12" t="str">
        <f>IFERROR(__xludf.DUMMYFUNCTION("""COMPUTED_VALUE"""),"CORRECT")</f>
        <v>CORRECT</v>
      </c>
      <c r="P139" s="12" t="str">
        <f t="shared" si="2"/>
        <v>Extra Theory Load Alloted</v>
      </c>
      <c r="Q139" s="12" t="str">
        <f t="shared" si="3"/>
        <v/>
      </c>
    </row>
    <row r="140">
      <c r="A140" s="1">
        <v>139.0</v>
      </c>
      <c r="B140" s="1" t="s">
        <v>705</v>
      </c>
      <c r="C140" s="1" t="s">
        <v>277</v>
      </c>
      <c r="D140" s="1" t="s">
        <v>706</v>
      </c>
      <c r="E140" s="12" t="str">
        <f t="shared" si="1"/>
        <v>Dr.RAJESH KANNA P</v>
      </c>
      <c r="F140" s="13" t="s">
        <v>667</v>
      </c>
      <c r="G140" s="12" t="s">
        <v>279</v>
      </c>
      <c r="H140" s="12" t="s">
        <v>707</v>
      </c>
      <c r="I14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Col2='""&amp;B140&amp;""'"",0)"),2.0)</f>
        <v>2</v>
      </c>
      <c r="J140" s="12">
        <f>IFERROR(__xludf.DUMMYFUNCTION("""COMPUTED_VALUE"""),1.0)</f>
        <v>1</v>
      </c>
      <c r="K140" s="12">
        <f>IFERROR(__xludf.DUMMYFUNCTION("""COMPUTED_VALUE"""),3.0)</f>
        <v>3</v>
      </c>
      <c r="L140" s="12">
        <f>IFERROR(__xludf.DUMMYFUNCTION("""COMPUTED_VALUE"""),2.0)</f>
        <v>2</v>
      </c>
      <c r="M140" s="12" t="str">
        <f>IFERROR(__xludf.DUMMYFUNCTION("""COMPUTED_VALUE"""),"Working")</f>
        <v>Working</v>
      </c>
      <c r="N140" s="12" t="str">
        <f>IFERROR(__xludf.DUMMYFUNCTION("""COMPUTED_VALUE"""),"CORRECT")</f>
        <v>CORRECT</v>
      </c>
      <c r="O140" s="12" t="str">
        <f>IFERROR(__xludf.DUMMYFUNCTION("""COMPUTED_VALUE"""),"CORRECT")</f>
        <v>CORRECT</v>
      </c>
      <c r="P140" s="12" t="str">
        <f t="shared" si="2"/>
        <v>Extra Theory Load Alloted</v>
      </c>
      <c r="Q140" s="12" t="str">
        <f t="shared" si="3"/>
        <v>Extra Lab Load Alloted</v>
      </c>
    </row>
    <row r="141">
      <c r="A141" s="1">
        <v>140.0</v>
      </c>
      <c r="B141" s="1" t="s">
        <v>708</v>
      </c>
      <c r="C141" s="1" t="s">
        <v>307</v>
      </c>
      <c r="D141" s="1" t="s">
        <v>709</v>
      </c>
      <c r="E141" s="12" t="str">
        <f t="shared" si="1"/>
        <v>Ms.KIRUTHIKA V R</v>
      </c>
      <c r="F141" s="13" t="s">
        <v>667</v>
      </c>
      <c r="G141" s="12" t="s">
        <v>291</v>
      </c>
      <c r="H141" s="12" t="s">
        <v>710</v>
      </c>
      <c r="I14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Col2='""&amp;B141&amp;""'"",0)"),2.0)</f>
        <v>2</v>
      </c>
      <c r="J141" s="12">
        <f>IFERROR(__xludf.DUMMYFUNCTION("""COMPUTED_VALUE"""),2.0)</f>
        <v>2</v>
      </c>
      <c r="K141" s="12">
        <f>IFERROR(__xludf.DUMMYFUNCTION("""COMPUTED_VALUE"""),2.0)</f>
        <v>2</v>
      </c>
      <c r="L141" s="12">
        <f>IFERROR(__xludf.DUMMYFUNCTION("""COMPUTED_VALUE"""),1.0)</f>
        <v>1</v>
      </c>
      <c r="M141" s="12" t="str">
        <f>IFERROR(__xludf.DUMMYFUNCTION("""COMPUTED_VALUE"""),"Working")</f>
        <v>Working</v>
      </c>
      <c r="N141" s="12" t="str">
        <f>IFERROR(__xludf.DUMMYFUNCTION("""COMPUTED_VALUE"""),"CORRECT")</f>
        <v>CORRECT</v>
      </c>
      <c r="O141" s="12" t="str">
        <f>IFERROR(__xludf.DUMMYFUNCTION("""COMPUTED_VALUE"""),"LOAD PENDING")</f>
        <v>LOAD PENDING</v>
      </c>
      <c r="P141" s="12" t="str">
        <f t="shared" si="2"/>
        <v/>
      </c>
      <c r="Q141" s="12" t="str">
        <f t="shared" si="3"/>
        <v/>
      </c>
    </row>
    <row r="142">
      <c r="A142" s="1">
        <v>141.0</v>
      </c>
      <c r="B142" s="1" t="s">
        <v>711</v>
      </c>
      <c r="C142" s="1" t="s">
        <v>286</v>
      </c>
      <c r="D142" s="1" t="s">
        <v>712</v>
      </c>
      <c r="E142" s="12" t="str">
        <f t="shared" si="1"/>
        <v>Mrs.NITHYA R</v>
      </c>
      <c r="F142" s="13" t="s">
        <v>667</v>
      </c>
      <c r="G142" s="12" t="s">
        <v>291</v>
      </c>
      <c r="H142" s="12" t="s">
        <v>713</v>
      </c>
      <c r="I14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Col2='""&amp;B142&amp;""'"",0)"),2.0)</f>
        <v>2</v>
      </c>
      <c r="J142" s="12">
        <f>IFERROR(__xludf.DUMMYFUNCTION("""COMPUTED_VALUE"""),2.0)</f>
        <v>2</v>
      </c>
      <c r="K142" s="12">
        <f>IFERROR(__xludf.DUMMYFUNCTION("""COMPUTED_VALUE"""),3.0)</f>
        <v>3</v>
      </c>
      <c r="L142" s="12">
        <f>IFERROR(__xludf.DUMMYFUNCTION("""COMPUTED_VALUE"""),0.0)</f>
        <v>0</v>
      </c>
      <c r="M142" s="12" t="str">
        <f>IFERROR(__xludf.DUMMYFUNCTION("""COMPUTED_VALUE"""),"Working")</f>
        <v>Working</v>
      </c>
      <c r="N142" s="12" t="str">
        <f>IFERROR(__xludf.DUMMYFUNCTION("""COMPUTED_VALUE"""),"CORRECT")</f>
        <v>CORRECT</v>
      </c>
      <c r="O142" s="12" t="str">
        <f>IFERROR(__xludf.DUMMYFUNCTION("""COMPUTED_VALUE"""),"LOAD PENDING")</f>
        <v>LOAD PENDING</v>
      </c>
      <c r="P142" s="12" t="str">
        <f t="shared" si="2"/>
        <v>Extra Theory Load Alloted</v>
      </c>
      <c r="Q142" s="12" t="str">
        <f t="shared" si="3"/>
        <v/>
      </c>
    </row>
    <row r="143">
      <c r="A143" s="1">
        <v>142.0</v>
      </c>
      <c r="B143" s="1" t="s">
        <v>714</v>
      </c>
      <c r="C143" s="1" t="s">
        <v>307</v>
      </c>
      <c r="D143" s="1" t="s">
        <v>715</v>
      </c>
      <c r="E143" s="12" t="str">
        <f t="shared" si="1"/>
        <v>Ms.SANGAVI N</v>
      </c>
      <c r="F143" s="13" t="s">
        <v>667</v>
      </c>
      <c r="G143" s="12" t="s">
        <v>291</v>
      </c>
      <c r="H143" s="12" t="s">
        <v>716</v>
      </c>
      <c r="I14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Col2='""&amp;B143&amp;""'"",0)"),2.0)</f>
        <v>2</v>
      </c>
      <c r="J143" s="12">
        <f>IFERROR(__xludf.DUMMYFUNCTION("""COMPUTED_VALUE"""),2.0)</f>
        <v>2</v>
      </c>
      <c r="K143" s="12">
        <f>IFERROR(__xludf.DUMMYFUNCTION("""COMPUTED_VALUE"""),2.0)</f>
        <v>2</v>
      </c>
      <c r="L143" s="12">
        <f>IFERROR(__xludf.DUMMYFUNCTION("""COMPUTED_VALUE"""),1.0)</f>
        <v>1</v>
      </c>
      <c r="M143" s="12" t="str">
        <f>IFERROR(__xludf.DUMMYFUNCTION("""COMPUTED_VALUE"""),"Working")</f>
        <v>Working</v>
      </c>
      <c r="N143" s="12" t="str">
        <f>IFERROR(__xludf.DUMMYFUNCTION("""COMPUTED_VALUE"""),"CORRECT")</f>
        <v>CORRECT</v>
      </c>
      <c r="O143" s="12" t="str">
        <f>IFERROR(__xludf.DUMMYFUNCTION("""COMPUTED_VALUE"""),"LOAD PENDING")</f>
        <v>LOAD PENDING</v>
      </c>
      <c r="P143" s="12" t="str">
        <f t="shared" si="2"/>
        <v/>
      </c>
      <c r="Q143" s="12" t="str">
        <f t="shared" si="3"/>
        <v/>
      </c>
    </row>
    <row r="144">
      <c r="A144" s="1">
        <v>143.0</v>
      </c>
      <c r="B144" s="1" t="s">
        <v>717</v>
      </c>
      <c r="C144" s="1" t="s">
        <v>271</v>
      </c>
      <c r="D144" s="1" t="s">
        <v>718</v>
      </c>
      <c r="E144" s="12" t="str">
        <f t="shared" si="1"/>
        <v>Mr.SATHISHKANNAN R</v>
      </c>
      <c r="F144" s="13" t="s">
        <v>667</v>
      </c>
      <c r="G144" s="12" t="s">
        <v>274</v>
      </c>
      <c r="H144" s="12" t="s">
        <v>719</v>
      </c>
      <c r="I14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Col2='""&amp;B144&amp;""'"",0)"),1.0)</f>
        <v>1</v>
      </c>
      <c r="J144" s="12">
        <f>IFERROR(__xludf.DUMMYFUNCTION("""COMPUTED_VALUE"""),0.0)</f>
        <v>0</v>
      </c>
      <c r="K144" s="12">
        <f>IFERROR(__xludf.DUMMYFUNCTION("""COMPUTED_VALUE"""),1.0)</f>
        <v>1</v>
      </c>
      <c r="L144" s="12">
        <f>IFERROR(__xludf.DUMMYFUNCTION("""COMPUTED_VALUE"""),0.0)</f>
        <v>0</v>
      </c>
      <c r="M144" s="12" t="str">
        <f>IFERROR(__xludf.DUMMYFUNCTION("""COMPUTED_VALUE"""),"Working")</f>
        <v>Working</v>
      </c>
      <c r="N144" s="12" t="str">
        <f>IFERROR(__xludf.DUMMYFUNCTION("""COMPUTED_VALUE"""),"CORRECT")</f>
        <v>CORRECT</v>
      </c>
      <c r="O144" s="12" t="str">
        <f>IFERROR(__xludf.DUMMYFUNCTION("""COMPUTED_VALUE"""),"CORRECT")</f>
        <v>CORRECT</v>
      </c>
      <c r="P144" s="12" t="str">
        <f t="shared" si="2"/>
        <v/>
      </c>
      <c r="Q144" s="12" t="str">
        <f t="shared" si="3"/>
        <v/>
      </c>
    </row>
    <row r="145">
      <c r="A145" s="1">
        <v>144.0</v>
      </c>
      <c r="B145" s="1" t="s">
        <v>720</v>
      </c>
      <c r="C145" s="1" t="s">
        <v>286</v>
      </c>
      <c r="D145" s="1" t="s">
        <v>721</v>
      </c>
      <c r="E145" s="12" t="str">
        <f t="shared" si="1"/>
        <v>Mrs.KALAIVANI E</v>
      </c>
      <c r="F145" s="13" t="s">
        <v>667</v>
      </c>
      <c r="G145" s="12" t="s">
        <v>301</v>
      </c>
      <c r="H145" s="12" t="s">
        <v>722</v>
      </c>
      <c r="I14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Col2='""&amp;B145&amp;""'"",0)"),2.0)</f>
        <v>2</v>
      </c>
      <c r="J145" s="12">
        <f>IFERROR(__xludf.DUMMYFUNCTION("""COMPUTED_VALUE"""),2.0)</f>
        <v>2</v>
      </c>
      <c r="K145" s="12">
        <f>IFERROR(__xludf.DUMMYFUNCTION("""COMPUTED_VALUE"""),2.0)</f>
        <v>2</v>
      </c>
      <c r="L145" s="12">
        <f>IFERROR(__xludf.DUMMYFUNCTION("""COMPUTED_VALUE"""),1.0)</f>
        <v>1</v>
      </c>
      <c r="M145" s="12" t="str">
        <f>IFERROR(__xludf.DUMMYFUNCTION("""COMPUTED_VALUE"""),"Working")</f>
        <v>Working</v>
      </c>
      <c r="N145" s="12" t="str">
        <f>IFERROR(__xludf.DUMMYFUNCTION("""COMPUTED_VALUE"""),"CORRECT")</f>
        <v>CORRECT</v>
      </c>
      <c r="O145" s="12" t="str">
        <f>IFERROR(__xludf.DUMMYFUNCTION("""COMPUTED_VALUE"""),"LOAD PENDING")</f>
        <v>LOAD PENDING</v>
      </c>
      <c r="P145" s="12" t="str">
        <f t="shared" si="2"/>
        <v/>
      </c>
      <c r="Q145" s="12" t="str">
        <f t="shared" si="3"/>
        <v/>
      </c>
    </row>
    <row r="146">
      <c r="A146" s="1">
        <v>145.0</v>
      </c>
      <c r="B146" s="1" t="s">
        <v>723</v>
      </c>
      <c r="C146" s="1" t="s">
        <v>277</v>
      </c>
      <c r="D146" s="1" t="s">
        <v>724</v>
      </c>
      <c r="E146" s="12" t="str">
        <f t="shared" si="1"/>
        <v>Dr.SARANYA K</v>
      </c>
      <c r="F146" s="13" t="s">
        <v>667</v>
      </c>
      <c r="G146" s="12" t="s">
        <v>279</v>
      </c>
      <c r="H146" s="12" t="s">
        <v>725</v>
      </c>
      <c r="I14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Col2='""&amp;B146&amp;""'"",0)"),2.0)</f>
        <v>2</v>
      </c>
      <c r="J146" s="12">
        <f>IFERROR(__xludf.DUMMYFUNCTION("""COMPUTED_VALUE"""),1.0)</f>
        <v>1</v>
      </c>
      <c r="K146" s="12">
        <f>IFERROR(__xludf.DUMMYFUNCTION("""COMPUTED_VALUE"""),2.0)</f>
        <v>2</v>
      </c>
      <c r="L146" s="12">
        <f>IFERROR(__xludf.DUMMYFUNCTION("""COMPUTED_VALUE"""),0.0)</f>
        <v>0</v>
      </c>
      <c r="M146" s="12" t="str">
        <f>IFERROR(__xludf.DUMMYFUNCTION("""COMPUTED_VALUE"""),"Working")</f>
        <v>Working</v>
      </c>
      <c r="N146" s="12" t="str">
        <f>IFERROR(__xludf.DUMMYFUNCTION("""COMPUTED_VALUE"""),"CORRECT")</f>
        <v>CORRECT</v>
      </c>
      <c r="O146" s="12" t="str">
        <f>IFERROR(__xludf.DUMMYFUNCTION("""COMPUTED_VALUE"""),"LOAD PENDING")</f>
        <v>LOAD PENDING</v>
      </c>
      <c r="P146" s="12" t="str">
        <f t="shared" si="2"/>
        <v/>
      </c>
      <c r="Q146" s="12" t="str">
        <f t="shared" si="3"/>
        <v/>
      </c>
    </row>
    <row r="147">
      <c r="A147" s="1">
        <v>146.0</v>
      </c>
      <c r="B147" s="1" t="s">
        <v>726</v>
      </c>
      <c r="C147" s="1" t="s">
        <v>271</v>
      </c>
      <c r="D147" s="1" t="s">
        <v>727</v>
      </c>
      <c r="E147" s="12" t="str">
        <f t="shared" si="1"/>
        <v>Mr.RAMASAMI S</v>
      </c>
      <c r="F147" s="13" t="s">
        <v>667</v>
      </c>
      <c r="G147" s="12" t="s">
        <v>274</v>
      </c>
      <c r="H147" s="12" t="s">
        <v>728</v>
      </c>
      <c r="I14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Col2='""&amp;B147&amp;""'"",0)"),1.0)</f>
        <v>1</v>
      </c>
      <c r="J147" s="12">
        <f>IFERROR(__xludf.DUMMYFUNCTION("""COMPUTED_VALUE"""),0.0)</f>
        <v>0</v>
      </c>
      <c r="K147" s="12">
        <f>IFERROR(__xludf.DUMMYFUNCTION("""COMPUTED_VALUE"""),1.0)</f>
        <v>1</v>
      </c>
      <c r="L147" s="12">
        <f>IFERROR(__xludf.DUMMYFUNCTION("""COMPUTED_VALUE"""),0.0)</f>
        <v>0</v>
      </c>
      <c r="M147" s="12" t="str">
        <f>IFERROR(__xludf.DUMMYFUNCTION("""COMPUTED_VALUE"""),"Working")</f>
        <v>Working</v>
      </c>
      <c r="N147" s="12" t="str">
        <f>IFERROR(__xludf.DUMMYFUNCTION("""COMPUTED_VALUE"""),"CORRECT")</f>
        <v>CORRECT</v>
      </c>
      <c r="O147" s="12" t="str">
        <f>IFERROR(__xludf.DUMMYFUNCTION("""COMPUTED_VALUE"""),"CORRECT")</f>
        <v>CORRECT</v>
      </c>
      <c r="P147" s="12" t="str">
        <f t="shared" si="2"/>
        <v/>
      </c>
      <c r="Q147" s="12" t="str">
        <f t="shared" si="3"/>
        <v/>
      </c>
    </row>
    <row r="148">
      <c r="A148" s="1">
        <v>147.0</v>
      </c>
      <c r="B148" s="1" t="s">
        <v>729</v>
      </c>
      <c r="C148" s="1" t="s">
        <v>277</v>
      </c>
      <c r="D148" s="1" t="s">
        <v>730</v>
      </c>
      <c r="E148" s="12" t="str">
        <f t="shared" si="1"/>
        <v>Dr.RAJESHKUMAR G</v>
      </c>
      <c r="F148" s="13" t="s">
        <v>667</v>
      </c>
      <c r="G148" s="12" t="s">
        <v>283</v>
      </c>
      <c r="H148" s="12" t="s">
        <v>731</v>
      </c>
      <c r="I14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Col2='""&amp;B148&amp;""'"",0)"),1.0)</f>
        <v>1</v>
      </c>
      <c r="J148" s="12">
        <f>IFERROR(__xludf.DUMMYFUNCTION("""COMPUTED_VALUE"""),1.0)</f>
        <v>1</v>
      </c>
      <c r="K148" s="12">
        <f>IFERROR(__xludf.DUMMYFUNCTION("""COMPUTED_VALUE"""),2.0)</f>
        <v>2</v>
      </c>
      <c r="L148" s="12">
        <f>IFERROR(__xludf.DUMMYFUNCTION("""COMPUTED_VALUE"""),0.0)</f>
        <v>0</v>
      </c>
      <c r="M148" s="12" t="str">
        <f>IFERROR(__xludf.DUMMYFUNCTION("""COMPUTED_VALUE"""),"Working")</f>
        <v>Working</v>
      </c>
      <c r="N148" s="12" t="str">
        <f>IFERROR(__xludf.DUMMYFUNCTION("""COMPUTED_VALUE"""),"CORRECT")</f>
        <v>CORRECT</v>
      </c>
      <c r="O148" s="12" t="str">
        <f>IFERROR(__xludf.DUMMYFUNCTION("""COMPUTED_VALUE"""),"LOAD PENDING")</f>
        <v>LOAD PENDING</v>
      </c>
      <c r="P148" s="12" t="str">
        <f t="shared" si="2"/>
        <v>Extra Theory Load Alloted</v>
      </c>
      <c r="Q148" s="12" t="str">
        <f t="shared" si="3"/>
        <v/>
      </c>
    </row>
    <row r="149">
      <c r="A149" s="1">
        <v>148.0</v>
      </c>
      <c r="B149" s="1" t="s">
        <v>732</v>
      </c>
      <c r="C149" s="1" t="s">
        <v>271</v>
      </c>
      <c r="D149" s="1" t="s">
        <v>733</v>
      </c>
      <c r="E149" s="12" t="str">
        <f t="shared" si="1"/>
        <v>Mr.STEEPHAN AMALRAJ J</v>
      </c>
      <c r="F149" s="13" t="s">
        <v>667</v>
      </c>
      <c r="G149" s="12" t="s">
        <v>301</v>
      </c>
      <c r="H149" s="12" t="s">
        <v>734</v>
      </c>
      <c r="I14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Col2='""&amp;B149&amp;""'"",0)"),2.0)</f>
        <v>2</v>
      </c>
      <c r="J149" s="12">
        <f>IFERROR(__xludf.DUMMYFUNCTION("""COMPUTED_VALUE"""),2.0)</f>
        <v>2</v>
      </c>
      <c r="K149" s="12">
        <f>IFERROR(__xludf.DUMMYFUNCTION("""COMPUTED_VALUE"""),3.0)</f>
        <v>3</v>
      </c>
      <c r="L149" s="12">
        <f>IFERROR(__xludf.DUMMYFUNCTION("""COMPUTED_VALUE"""),1.0)</f>
        <v>1</v>
      </c>
      <c r="M149" s="12" t="str">
        <f>IFERROR(__xludf.DUMMYFUNCTION("""COMPUTED_VALUE"""),"Working")</f>
        <v>Working</v>
      </c>
      <c r="N149" s="12" t="str">
        <f>IFERROR(__xludf.DUMMYFUNCTION("""COMPUTED_VALUE"""),"CORRECT")</f>
        <v>CORRECT</v>
      </c>
      <c r="O149" s="12" t="str">
        <f>IFERROR(__xludf.DUMMYFUNCTION("""COMPUTED_VALUE"""),"LOAD PENDING")</f>
        <v>LOAD PENDING</v>
      </c>
      <c r="P149" s="12" t="str">
        <f t="shared" si="2"/>
        <v>Extra Theory Load Alloted</v>
      </c>
      <c r="Q149" s="12" t="str">
        <f t="shared" si="3"/>
        <v/>
      </c>
    </row>
    <row r="150">
      <c r="A150" s="1">
        <v>149.0</v>
      </c>
      <c r="B150" s="1" t="s">
        <v>735</v>
      </c>
      <c r="C150" s="1" t="s">
        <v>286</v>
      </c>
      <c r="D150" s="1" t="s">
        <v>736</v>
      </c>
      <c r="E150" s="12" t="str">
        <f t="shared" si="1"/>
        <v>Mrs.KAVITHA R</v>
      </c>
      <c r="F150" s="13" t="s">
        <v>667</v>
      </c>
      <c r="G150" s="12" t="s">
        <v>274</v>
      </c>
      <c r="H150" s="12" t="s">
        <v>737</v>
      </c>
      <c r="I15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Col2='""&amp;B150&amp;""'"",0)"),1.0)</f>
        <v>1</v>
      </c>
      <c r="J150" s="12">
        <f>IFERROR(__xludf.DUMMYFUNCTION("""COMPUTED_VALUE"""),1.0)</f>
        <v>1</v>
      </c>
      <c r="K150" s="12">
        <f>IFERROR(__xludf.DUMMYFUNCTION("""COMPUTED_VALUE"""),1.0)</f>
        <v>1</v>
      </c>
      <c r="L150" s="12">
        <f>IFERROR(__xludf.DUMMYFUNCTION("""COMPUTED_VALUE"""),0.0)</f>
        <v>0</v>
      </c>
      <c r="M150" s="12" t="str">
        <f>IFERROR(__xludf.DUMMYFUNCTION("""COMPUTED_VALUE"""),"Working")</f>
        <v>Working</v>
      </c>
      <c r="N150" s="12" t="str">
        <f>IFERROR(__xludf.DUMMYFUNCTION("""COMPUTED_VALUE"""),"CORRECT")</f>
        <v>CORRECT</v>
      </c>
      <c r="O150" s="12" t="str">
        <f>IFERROR(__xludf.DUMMYFUNCTION("""COMPUTED_VALUE"""),"LOAD PENDING")</f>
        <v>LOAD PENDING</v>
      </c>
      <c r="P150" s="12" t="str">
        <f t="shared" si="2"/>
        <v/>
      </c>
      <c r="Q150" s="12" t="str">
        <f t="shared" si="3"/>
        <v/>
      </c>
    </row>
    <row r="151">
      <c r="A151" s="1">
        <v>150.0</v>
      </c>
      <c r="B151" s="1" t="s">
        <v>738</v>
      </c>
      <c r="C151" s="1" t="s">
        <v>271</v>
      </c>
      <c r="D151" s="1" t="s">
        <v>739</v>
      </c>
      <c r="E151" s="12" t="str">
        <f t="shared" si="1"/>
        <v>Mr.SATHYAMOORTHY J</v>
      </c>
      <c r="F151" s="13" t="s">
        <v>667</v>
      </c>
      <c r="G151" s="12" t="s">
        <v>301</v>
      </c>
      <c r="H151" s="12" t="s">
        <v>740</v>
      </c>
      <c r="I15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Col2='""&amp;B151&amp;""'"",0)"),1.0)</f>
        <v>1</v>
      </c>
      <c r="J151" s="12">
        <f>IFERROR(__xludf.DUMMYFUNCTION("""COMPUTED_VALUE"""),0.0)</f>
        <v>0</v>
      </c>
      <c r="K151" s="12">
        <f>IFERROR(__xludf.DUMMYFUNCTION("""COMPUTED_VALUE"""),1.0)</f>
        <v>1</v>
      </c>
      <c r="L151" s="12">
        <f>IFERROR(__xludf.DUMMYFUNCTION("""COMPUTED_VALUE"""),0.0)</f>
        <v>0</v>
      </c>
      <c r="M151" s="12" t="str">
        <f>IFERROR(__xludf.DUMMYFUNCTION("""COMPUTED_VALUE"""),"Working")</f>
        <v>Working</v>
      </c>
      <c r="N151" s="12" t="str">
        <f>IFERROR(__xludf.DUMMYFUNCTION("""COMPUTED_VALUE"""),"CORRECT")</f>
        <v>CORRECT</v>
      </c>
      <c r="O151" s="12" t="str">
        <f>IFERROR(__xludf.DUMMYFUNCTION("""COMPUTED_VALUE"""),"CORRECT")</f>
        <v>CORRECT</v>
      </c>
      <c r="P151" s="12" t="str">
        <f t="shared" si="2"/>
        <v/>
      </c>
      <c r="Q151" s="12" t="str">
        <f t="shared" si="3"/>
        <v/>
      </c>
    </row>
    <row r="152">
      <c r="A152" s="1">
        <v>151.0</v>
      </c>
      <c r="B152" s="1" t="s">
        <v>741</v>
      </c>
      <c r="C152" s="1" t="s">
        <v>286</v>
      </c>
      <c r="D152" s="1" t="s">
        <v>742</v>
      </c>
      <c r="E152" s="12" t="str">
        <f t="shared" si="1"/>
        <v>Mrs.MOHANAMBAL K</v>
      </c>
      <c r="F152" s="13" t="s">
        <v>667</v>
      </c>
      <c r="G152" s="12" t="s">
        <v>301</v>
      </c>
      <c r="H152" s="12" t="s">
        <v>743</v>
      </c>
      <c r="I15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Col2='""&amp;B152&amp;""'"",0)"),2.0)</f>
        <v>2</v>
      </c>
      <c r="J152" s="12">
        <f>IFERROR(__xludf.DUMMYFUNCTION("""COMPUTED_VALUE"""),2.0)</f>
        <v>2</v>
      </c>
      <c r="K152" s="12">
        <f>IFERROR(__xludf.DUMMYFUNCTION("""COMPUTED_VALUE"""),2.0)</f>
        <v>2</v>
      </c>
      <c r="L152" s="12">
        <f>IFERROR(__xludf.DUMMYFUNCTION("""COMPUTED_VALUE"""),0.0)</f>
        <v>0</v>
      </c>
      <c r="M152" s="12" t="str">
        <f>IFERROR(__xludf.DUMMYFUNCTION("""COMPUTED_VALUE"""),"Working")</f>
        <v>Working</v>
      </c>
      <c r="N152" s="12" t="str">
        <f>IFERROR(__xludf.DUMMYFUNCTION("""COMPUTED_VALUE"""),"CORRECT")</f>
        <v>CORRECT</v>
      </c>
      <c r="O152" s="12" t="str">
        <f>IFERROR(__xludf.DUMMYFUNCTION("""COMPUTED_VALUE"""),"LOAD PENDING")</f>
        <v>LOAD PENDING</v>
      </c>
      <c r="P152" s="12" t="str">
        <f t="shared" si="2"/>
        <v/>
      </c>
      <c r="Q152" s="12" t="str">
        <f t="shared" si="3"/>
        <v/>
      </c>
    </row>
    <row r="153">
      <c r="A153" s="1">
        <v>152.0</v>
      </c>
      <c r="B153" s="1" t="s">
        <v>744</v>
      </c>
      <c r="C153" s="1" t="s">
        <v>286</v>
      </c>
      <c r="D153" s="1" t="s">
        <v>745</v>
      </c>
      <c r="E153" s="12" t="str">
        <f t="shared" si="1"/>
        <v>Mrs.CHITRADEVI T N</v>
      </c>
      <c r="F153" s="13" t="s">
        <v>667</v>
      </c>
      <c r="G153" s="12" t="s">
        <v>291</v>
      </c>
      <c r="H153" s="12" t="s">
        <v>746</v>
      </c>
      <c r="I15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Col2='""&amp;B153&amp;""'"",0)"),2.0)</f>
        <v>2</v>
      </c>
      <c r="J153" s="12">
        <f>IFERROR(__xludf.DUMMYFUNCTION("""COMPUTED_VALUE"""),2.0)</f>
        <v>2</v>
      </c>
      <c r="K153" s="12">
        <f>IFERROR(__xludf.DUMMYFUNCTION("""COMPUTED_VALUE"""),2.0)</f>
        <v>2</v>
      </c>
      <c r="L153" s="12">
        <f>IFERROR(__xludf.DUMMYFUNCTION("""COMPUTED_VALUE"""),1.0)</f>
        <v>1</v>
      </c>
      <c r="M153" s="12" t="str">
        <f>IFERROR(__xludf.DUMMYFUNCTION("""COMPUTED_VALUE"""),"Working")</f>
        <v>Working</v>
      </c>
      <c r="N153" s="12" t="str">
        <f>IFERROR(__xludf.DUMMYFUNCTION("""COMPUTED_VALUE"""),"CORRECT")</f>
        <v>CORRECT</v>
      </c>
      <c r="O153" s="12" t="str">
        <f>IFERROR(__xludf.DUMMYFUNCTION("""COMPUTED_VALUE"""),"LOAD PENDING")</f>
        <v>LOAD PENDING</v>
      </c>
      <c r="P153" s="12" t="str">
        <f t="shared" si="2"/>
        <v/>
      </c>
      <c r="Q153" s="12" t="str">
        <f t="shared" si="3"/>
        <v/>
      </c>
    </row>
    <row r="154">
      <c r="A154" s="1">
        <v>153.0</v>
      </c>
      <c r="B154" s="1" t="s">
        <v>747</v>
      </c>
      <c r="C154" s="1" t="s">
        <v>286</v>
      </c>
      <c r="D154" s="1" t="s">
        <v>748</v>
      </c>
      <c r="E154" s="12" t="str">
        <f t="shared" si="1"/>
        <v>Mrs.AMMU V</v>
      </c>
      <c r="F154" s="13" t="s">
        <v>667</v>
      </c>
      <c r="G154" s="12" t="s">
        <v>274</v>
      </c>
      <c r="H154" s="12" t="s">
        <v>749</v>
      </c>
      <c r="I15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Col2='""&amp;B154&amp;""'"",0)"),2.0)</f>
        <v>2</v>
      </c>
      <c r="J154" s="12">
        <f>IFERROR(__xludf.DUMMYFUNCTION("""COMPUTED_VALUE"""),2.0)</f>
        <v>2</v>
      </c>
      <c r="K154" s="12">
        <f>IFERROR(__xludf.DUMMYFUNCTION("""COMPUTED_VALUE"""),2.0)</f>
        <v>2</v>
      </c>
      <c r="L154" s="12">
        <f>IFERROR(__xludf.DUMMYFUNCTION("""COMPUTED_VALUE"""),1.0)</f>
        <v>1</v>
      </c>
      <c r="M154" s="12" t="str">
        <f>IFERROR(__xludf.DUMMYFUNCTION("""COMPUTED_VALUE"""),"Working")</f>
        <v>Working</v>
      </c>
      <c r="N154" s="12" t="str">
        <f>IFERROR(__xludf.DUMMYFUNCTION("""COMPUTED_VALUE"""),"CORRECT")</f>
        <v>CORRECT</v>
      </c>
      <c r="O154" s="12" t="str">
        <f>IFERROR(__xludf.DUMMYFUNCTION("""COMPUTED_VALUE"""),"LOAD PENDING")</f>
        <v>LOAD PENDING</v>
      </c>
      <c r="P154" s="12" t="str">
        <f t="shared" si="2"/>
        <v/>
      </c>
      <c r="Q154" s="12" t="str">
        <f t="shared" si="3"/>
        <v/>
      </c>
    </row>
    <row r="155">
      <c r="A155" s="1">
        <v>154.0</v>
      </c>
      <c r="B155" s="1" t="s">
        <v>750</v>
      </c>
      <c r="C155" s="1" t="s">
        <v>277</v>
      </c>
      <c r="D155" s="1" t="s">
        <v>751</v>
      </c>
      <c r="E155" s="12" t="str">
        <f t="shared" si="1"/>
        <v>Dr.DEEPA PRIYA B S</v>
      </c>
      <c r="F155" s="13" t="s">
        <v>667</v>
      </c>
      <c r="G155" s="12" t="s">
        <v>279</v>
      </c>
      <c r="H155" s="12" t="s">
        <v>752</v>
      </c>
      <c r="I15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Col2='""&amp;B155&amp;""'"",0)"),2.0)</f>
        <v>2</v>
      </c>
      <c r="J155" s="12">
        <f>IFERROR(__xludf.DUMMYFUNCTION("""COMPUTED_VALUE"""),1.0)</f>
        <v>1</v>
      </c>
      <c r="K155" s="12">
        <f>IFERROR(__xludf.DUMMYFUNCTION("""COMPUTED_VALUE"""),2.0)</f>
        <v>2</v>
      </c>
      <c r="L155" s="12">
        <f>IFERROR(__xludf.DUMMYFUNCTION("""COMPUTED_VALUE"""),1.0)</f>
        <v>1</v>
      </c>
      <c r="M155" s="12" t="str">
        <f>IFERROR(__xludf.DUMMYFUNCTION("""COMPUTED_VALUE"""),"Working")</f>
        <v>Working</v>
      </c>
      <c r="N155" s="12" t="str">
        <f>IFERROR(__xludf.DUMMYFUNCTION("""COMPUTED_VALUE"""),"CORRECT")</f>
        <v>CORRECT</v>
      </c>
      <c r="O155" s="12" t="str">
        <f>IFERROR(__xludf.DUMMYFUNCTION("""COMPUTED_VALUE"""),"CORRECT")</f>
        <v>CORRECT</v>
      </c>
      <c r="P155" s="12" t="str">
        <f t="shared" si="2"/>
        <v/>
      </c>
      <c r="Q155" s="12" t="str">
        <f t="shared" si="3"/>
        <v/>
      </c>
    </row>
    <row r="156">
      <c r="A156" s="1">
        <v>155.0</v>
      </c>
      <c r="B156" s="1" t="s">
        <v>753</v>
      </c>
      <c r="C156" s="1" t="s">
        <v>286</v>
      </c>
      <c r="D156" s="1" t="s">
        <v>754</v>
      </c>
      <c r="E156" s="12" t="str">
        <f t="shared" si="1"/>
        <v>Mrs.GUNAVARDINI V</v>
      </c>
      <c r="F156" s="13" t="s">
        <v>667</v>
      </c>
      <c r="G156" s="12" t="s">
        <v>301</v>
      </c>
      <c r="H156" s="12" t="s">
        <v>755</v>
      </c>
      <c r="I15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Col2='""&amp;B156&amp;""'"",0)"),2.0)</f>
        <v>2</v>
      </c>
      <c r="J156" s="12">
        <f>IFERROR(__xludf.DUMMYFUNCTION("""COMPUTED_VALUE"""),2.0)</f>
        <v>2</v>
      </c>
      <c r="K156" s="12">
        <f>IFERROR(__xludf.DUMMYFUNCTION("""COMPUTED_VALUE"""),2.0)</f>
        <v>2</v>
      </c>
      <c r="L156" s="12">
        <f>IFERROR(__xludf.DUMMYFUNCTION("""COMPUTED_VALUE"""),0.0)</f>
        <v>0</v>
      </c>
      <c r="M156" s="12" t="str">
        <f>IFERROR(__xludf.DUMMYFUNCTION("""COMPUTED_VALUE"""),"Working")</f>
        <v>Working</v>
      </c>
      <c r="N156" s="12" t="str">
        <f>IFERROR(__xludf.DUMMYFUNCTION("""COMPUTED_VALUE"""),"CORRECT")</f>
        <v>CORRECT</v>
      </c>
      <c r="O156" s="12" t="str">
        <f>IFERROR(__xludf.DUMMYFUNCTION("""COMPUTED_VALUE"""),"LOAD PENDING")</f>
        <v>LOAD PENDING</v>
      </c>
      <c r="P156" s="12" t="str">
        <f t="shared" si="2"/>
        <v/>
      </c>
      <c r="Q156" s="12" t="str">
        <f t="shared" si="3"/>
        <v/>
      </c>
    </row>
    <row r="157">
      <c r="A157" s="1">
        <v>156.0</v>
      </c>
      <c r="B157" s="1" t="s">
        <v>756</v>
      </c>
      <c r="C157" s="1" t="s">
        <v>286</v>
      </c>
      <c r="D157" s="1" t="s">
        <v>757</v>
      </c>
      <c r="E157" s="12" t="str">
        <f t="shared" si="1"/>
        <v>Mrs.GAYATHRI S</v>
      </c>
      <c r="F157" s="13" t="s">
        <v>667</v>
      </c>
      <c r="G157" s="12" t="s">
        <v>291</v>
      </c>
      <c r="H157" s="12" t="s">
        <v>758</v>
      </c>
      <c r="I15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Col2='""&amp;B157&amp;""'"",0)"),2.0)</f>
        <v>2</v>
      </c>
      <c r="J157" s="12">
        <f>IFERROR(__xludf.DUMMYFUNCTION("""COMPUTED_VALUE"""),2.0)</f>
        <v>2</v>
      </c>
      <c r="K157" s="12">
        <f>IFERROR(__xludf.DUMMYFUNCTION("""COMPUTED_VALUE"""),3.0)</f>
        <v>3</v>
      </c>
      <c r="L157" s="12">
        <f>IFERROR(__xludf.DUMMYFUNCTION("""COMPUTED_VALUE"""),0.0)</f>
        <v>0</v>
      </c>
      <c r="M157" s="12" t="str">
        <f>IFERROR(__xludf.DUMMYFUNCTION("""COMPUTED_VALUE"""),"Working")</f>
        <v>Working</v>
      </c>
      <c r="N157" s="12" t="str">
        <f>IFERROR(__xludf.DUMMYFUNCTION("""COMPUTED_VALUE"""),"CORRECT")</f>
        <v>CORRECT</v>
      </c>
      <c r="O157" s="12" t="str">
        <f>IFERROR(__xludf.DUMMYFUNCTION("""COMPUTED_VALUE"""),"LOAD PENDING")</f>
        <v>LOAD PENDING</v>
      </c>
      <c r="P157" s="12" t="str">
        <f t="shared" si="2"/>
        <v>Extra Theory Load Alloted</v>
      </c>
      <c r="Q157" s="12" t="str">
        <f t="shared" si="3"/>
        <v/>
      </c>
    </row>
    <row r="158">
      <c r="A158" s="1">
        <v>157.0</v>
      </c>
      <c r="B158" s="1" t="s">
        <v>759</v>
      </c>
      <c r="C158" s="1" t="s">
        <v>286</v>
      </c>
      <c r="D158" s="1" t="s">
        <v>760</v>
      </c>
      <c r="E158" s="12" t="str">
        <f t="shared" si="1"/>
        <v>Mrs.PRIYANGA M A</v>
      </c>
      <c r="F158" s="13" t="s">
        <v>667</v>
      </c>
      <c r="G158" s="12" t="s">
        <v>301</v>
      </c>
      <c r="H158" s="12" t="s">
        <v>761</v>
      </c>
      <c r="I15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Col2='""&amp;B158&amp;""'"",0)"),2.0)</f>
        <v>2</v>
      </c>
      <c r="J158" s="12">
        <f>IFERROR(__xludf.DUMMYFUNCTION("""COMPUTED_VALUE"""),2.0)</f>
        <v>2</v>
      </c>
      <c r="K158" s="12">
        <f>IFERROR(__xludf.DUMMYFUNCTION("""COMPUTED_VALUE"""),2.0)</f>
        <v>2</v>
      </c>
      <c r="L158" s="12">
        <f>IFERROR(__xludf.DUMMYFUNCTION("""COMPUTED_VALUE"""),0.0)</f>
        <v>0</v>
      </c>
      <c r="M158" s="12" t="str">
        <f>IFERROR(__xludf.DUMMYFUNCTION("""COMPUTED_VALUE"""),"Working")</f>
        <v>Working</v>
      </c>
      <c r="N158" s="12" t="str">
        <f>IFERROR(__xludf.DUMMYFUNCTION("""COMPUTED_VALUE"""),"CORRECT")</f>
        <v>CORRECT</v>
      </c>
      <c r="O158" s="12" t="str">
        <f>IFERROR(__xludf.DUMMYFUNCTION("""COMPUTED_VALUE"""),"LOAD PENDING")</f>
        <v>LOAD PENDING</v>
      </c>
      <c r="P158" s="12" t="str">
        <f t="shared" si="2"/>
        <v/>
      </c>
      <c r="Q158" s="12" t="str">
        <f t="shared" si="3"/>
        <v/>
      </c>
    </row>
    <row r="159">
      <c r="A159" s="1">
        <v>158.0</v>
      </c>
      <c r="B159" s="1" t="s">
        <v>762</v>
      </c>
      <c r="C159" s="1" t="s">
        <v>307</v>
      </c>
      <c r="D159" s="1" t="s">
        <v>763</v>
      </c>
      <c r="E159" s="12" t="str">
        <f t="shared" si="1"/>
        <v>Ms.SATHIYA B</v>
      </c>
      <c r="F159" s="13" t="s">
        <v>667</v>
      </c>
      <c r="G159" s="12" t="s">
        <v>301</v>
      </c>
      <c r="H159" s="12" t="s">
        <v>764</v>
      </c>
      <c r="I15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Col2='""&amp;B159&amp;""'"",0)"),2.0)</f>
        <v>2</v>
      </c>
      <c r="J159" s="12">
        <f>IFERROR(__xludf.DUMMYFUNCTION("""COMPUTED_VALUE"""),2.0)</f>
        <v>2</v>
      </c>
      <c r="K159" s="12">
        <f>IFERROR(__xludf.DUMMYFUNCTION("""COMPUTED_VALUE"""),2.0)</f>
        <v>2</v>
      </c>
      <c r="L159" s="12">
        <f>IFERROR(__xludf.DUMMYFUNCTION("""COMPUTED_VALUE"""),0.0)</f>
        <v>0</v>
      </c>
      <c r="M159" s="12" t="str">
        <f>IFERROR(__xludf.DUMMYFUNCTION("""COMPUTED_VALUE"""),"Working")</f>
        <v>Working</v>
      </c>
      <c r="N159" s="12" t="str">
        <f>IFERROR(__xludf.DUMMYFUNCTION("""COMPUTED_VALUE"""),"CORRECT")</f>
        <v>CORRECT</v>
      </c>
      <c r="O159" s="12" t="str">
        <f>IFERROR(__xludf.DUMMYFUNCTION("""COMPUTED_VALUE"""),"LOAD PENDING")</f>
        <v>LOAD PENDING</v>
      </c>
      <c r="P159" s="12" t="str">
        <f t="shared" si="2"/>
        <v/>
      </c>
      <c r="Q159" s="12" t="str">
        <f t="shared" si="3"/>
        <v/>
      </c>
    </row>
    <row r="160">
      <c r="A160" s="1">
        <v>159.0</v>
      </c>
      <c r="B160" s="1" t="s">
        <v>765</v>
      </c>
      <c r="C160" s="1" t="s">
        <v>307</v>
      </c>
      <c r="D160" s="1" t="s">
        <v>766</v>
      </c>
      <c r="E160" s="12" t="str">
        <f t="shared" si="1"/>
        <v>Ms.RATHNA S</v>
      </c>
      <c r="F160" s="13" t="s">
        <v>667</v>
      </c>
      <c r="G160" s="12" t="s">
        <v>301</v>
      </c>
      <c r="H160" s="12" t="s">
        <v>767</v>
      </c>
      <c r="I16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Col2='""&amp;B160&amp;""'"",0)"),2.0)</f>
        <v>2</v>
      </c>
      <c r="J160" s="12">
        <f>IFERROR(__xludf.DUMMYFUNCTION("""COMPUTED_VALUE"""),2.0)</f>
        <v>2</v>
      </c>
      <c r="K160" s="12">
        <f>IFERROR(__xludf.DUMMYFUNCTION("""COMPUTED_VALUE"""),2.0)</f>
        <v>2</v>
      </c>
      <c r="L160" s="12">
        <f>IFERROR(__xludf.DUMMYFUNCTION("""COMPUTED_VALUE"""),2.0)</f>
        <v>2</v>
      </c>
      <c r="M160" s="12" t="str">
        <f>IFERROR(__xludf.DUMMYFUNCTION("""COMPUTED_VALUE"""),"Working")</f>
        <v>Working</v>
      </c>
      <c r="N160" s="12" t="str">
        <f>IFERROR(__xludf.DUMMYFUNCTION("""COMPUTED_VALUE"""),"CORRECT")</f>
        <v>CORRECT</v>
      </c>
      <c r="O160" s="12" t="str">
        <f>IFERROR(__xludf.DUMMYFUNCTION("""COMPUTED_VALUE"""),"CORRECT")</f>
        <v>CORRECT</v>
      </c>
      <c r="P160" s="12" t="str">
        <f t="shared" si="2"/>
        <v/>
      </c>
      <c r="Q160" s="12" t="str">
        <f t="shared" si="3"/>
        <v/>
      </c>
    </row>
    <row r="161">
      <c r="A161" s="1">
        <v>160.0</v>
      </c>
      <c r="B161" s="1" t="s">
        <v>768</v>
      </c>
      <c r="C161" s="1" t="s">
        <v>277</v>
      </c>
      <c r="D161" s="1" t="s">
        <v>769</v>
      </c>
      <c r="E161" s="12" t="str">
        <f t="shared" si="1"/>
        <v>Dr.SASIKALA D</v>
      </c>
      <c r="F161" s="13" t="s">
        <v>667</v>
      </c>
      <c r="G161" s="12" t="s">
        <v>283</v>
      </c>
      <c r="H161" s="12" t="s">
        <v>770</v>
      </c>
      <c r="I16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Col2='""&amp;B161&amp;""'"",0)"),1.0)</f>
        <v>1</v>
      </c>
      <c r="J161" s="12">
        <f>IFERROR(__xludf.DUMMYFUNCTION("""COMPUTED_VALUE"""),0.0)</f>
        <v>0</v>
      </c>
      <c r="K161" s="12">
        <f>IFERROR(__xludf.DUMMYFUNCTION("""COMPUTED_VALUE"""),1.0)</f>
        <v>1</v>
      </c>
      <c r="L161" s="12">
        <f>IFERROR(__xludf.DUMMYFUNCTION("""COMPUTED_VALUE"""),0.0)</f>
        <v>0</v>
      </c>
      <c r="M161" s="12" t="str">
        <f>IFERROR(__xludf.DUMMYFUNCTION("""COMPUTED_VALUE"""),"Working")</f>
        <v>Working</v>
      </c>
      <c r="N161" s="12" t="str">
        <f>IFERROR(__xludf.DUMMYFUNCTION("""COMPUTED_VALUE"""),"CORRECT")</f>
        <v>CORRECT</v>
      </c>
      <c r="O161" s="12" t="str">
        <f>IFERROR(__xludf.DUMMYFUNCTION("""COMPUTED_VALUE"""),"CORRECT")</f>
        <v>CORRECT</v>
      </c>
      <c r="P161" s="12" t="str">
        <f t="shared" si="2"/>
        <v/>
      </c>
      <c r="Q161" s="12" t="str">
        <f t="shared" si="3"/>
        <v/>
      </c>
    </row>
    <row r="162">
      <c r="A162" s="1">
        <v>161.0</v>
      </c>
      <c r="B162" s="1" t="s">
        <v>771</v>
      </c>
      <c r="C162" s="1" t="s">
        <v>286</v>
      </c>
      <c r="D162" s="1" t="s">
        <v>772</v>
      </c>
      <c r="E162" s="12" t="str">
        <f t="shared" si="1"/>
        <v>Mrs.ALAMELU M</v>
      </c>
      <c r="F162" s="13" t="s">
        <v>667</v>
      </c>
      <c r="G162" s="12" t="s">
        <v>274</v>
      </c>
      <c r="H162" s="12" t="s">
        <v>773</v>
      </c>
      <c r="I16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Col2='""&amp;B162&amp;""'"",0)"),2.0)</f>
        <v>2</v>
      </c>
      <c r="J162" s="12">
        <f>IFERROR(__xludf.DUMMYFUNCTION("""COMPUTED_VALUE"""),2.0)</f>
        <v>2</v>
      </c>
      <c r="K162" s="12">
        <f>IFERROR(__xludf.DUMMYFUNCTION("""COMPUTED_VALUE"""),2.0)</f>
        <v>2</v>
      </c>
      <c r="L162" s="12">
        <f>IFERROR(__xludf.DUMMYFUNCTION("""COMPUTED_VALUE"""),1.0)</f>
        <v>1</v>
      </c>
      <c r="M162" s="12" t="str">
        <f>IFERROR(__xludf.DUMMYFUNCTION("""COMPUTED_VALUE"""),"Working")</f>
        <v>Working</v>
      </c>
      <c r="N162" s="12" t="str">
        <f>IFERROR(__xludf.DUMMYFUNCTION("""COMPUTED_VALUE"""),"CORRECT")</f>
        <v>CORRECT</v>
      </c>
      <c r="O162" s="12" t="str">
        <f>IFERROR(__xludf.DUMMYFUNCTION("""COMPUTED_VALUE"""),"LOAD PENDING")</f>
        <v>LOAD PENDING</v>
      </c>
      <c r="P162" s="12" t="str">
        <f t="shared" si="2"/>
        <v/>
      </c>
      <c r="Q162" s="12" t="str">
        <f t="shared" si="3"/>
        <v/>
      </c>
    </row>
    <row r="163">
      <c r="A163" s="1">
        <v>162.0</v>
      </c>
      <c r="B163" s="1" t="s">
        <v>774</v>
      </c>
      <c r="C163" s="1" t="s">
        <v>307</v>
      </c>
      <c r="D163" s="1" t="s">
        <v>775</v>
      </c>
      <c r="E163" s="12" t="str">
        <f t="shared" si="1"/>
        <v>Ms.PARKAVI S</v>
      </c>
      <c r="F163" s="13" t="s">
        <v>667</v>
      </c>
      <c r="G163" s="12" t="s">
        <v>301</v>
      </c>
      <c r="H163" s="12" t="s">
        <v>776</v>
      </c>
      <c r="I16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Col2='""&amp;B163&amp;""'"",0)"),2.0)</f>
        <v>2</v>
      </c>
      <c r="J163" s="12">
        <f>IFERROR(__xludf.DUMMYFUNCTION("""COMPUTED_VALUE"""),2.0)</f>
        <v>2</v>
      </c>
      <c r="K163" s="12">
        <f>IFERROR(__xludf.DUMMYFUNCTION("""COMPUTED_VALUE"""),4.0)</f>
        <v>4</v>
      </c>
      <c r="L163" s="12">
        <f>IFERROR(__xludf.DUMMYFUNCTION("""COMPUTED_VALUE"""),0.0)</f>
        <v>0</v>
      </c>
      <c r="M163" s="12" t="str">
        <f>IFERROR(__xludf.DUMMYFUNCTION("""COMPUTED_VALUE"""),"Working")</f>
        <v>Working</v>
      </c>
      <c r="N163" s="12" t="str">
        <f>IFERROR(__xludf.DUMMYFUNCTION("""COMPUTED_VALUE"""),"CORRECT")</f>
        <v>CORRECT</v>
      </c>
      <c r="O163" s="12" t="str">
        <f>IFERROR(__xludf.DUMMYFUNCTION("""COMPUTED_VALUE"""),"LOAD PENDING")</f>
        <v>LOAD PENDING</v>
      </c>
      <c r="P163" s="12" t="str">
        <f t="shared" si="2"/>
        <v>Extra Theory Load Alloted</v>
      </c>
      <c r="Q163" s="12" t="str">
        <f t="shared" si="3"/>
        <v/>
      </c>
    </row>
    <row r="164">
      <c r="A164" s="1">
        <v>163.0</v>
      </c>
      <c r="B164" s="1" t="s">
        <v>777</v>
      </c>
      <c r="C164" s="1" t="s">
        <v>286</v>
      </c>
      <c r="D164" s="1" t="s">
        <v>778</v>
      </c>
      <c r="E164" s="12" t="str">
        <f t="shared" si="1"/>
        <v>Mrs.MYTHILI G M</v>
      </c>
      <c r="F164" s="13" t="s">
        <v>667</v>
      </c>
      <c r="G164" s="12" t="s">
        <v>301</v>
      </c>
      <c r="H164" s="12" t="s">
        <v>779</v>
      </c>
      <c r="I16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Col2='""&amp;B164&amp;""'"",0)"),2.0)</f>
        <v>2</v>
      </c>
      <c r="J164" s="12">
        <f>IFERROR(__xludf.DUMMYFUNCTION("""COMPUTED_VALUE"""),2.0)</f>
        <v>2</v>
      </c>
      <c r="K164" s="12">
        <f>IFERROR(__xludf.DUMMYFUNCTION("""COMPUTED_VALUE"""),3.0)</f>
        <v>3</v>
      </c>
      <c r="L164" s="12">
        <f>IFERROR(__xludf.DUMMYFUNCTION("""COMPUTED_VALUE"""),0.0)</f>
        <v>0</v>
      </c>
      <c r="M164" s="12" t="str">
        <f>IFERROR(__xludf.DUMMYFUNCTION("""COMPUTED_VALUE"""),"Working")</f>
        <v>Working</v>
      </c>
      <c r="N164" s="12" t="str">
        <f>IFERROR(__xludf.DUMMYFUNCTION("""COMPUTED_VALUE"""),"CORRECT")</f>
        <v>CORRECT</v>
      </c>
      <c r="O164" s="12" t="str">
        <f>IFERROR(__xludf.DUMMYFUNCTION("""COMPUTED_VALUE"""),"LOAD PENDING")</f>
        <v>LOAD PENDING</v>
      </c>
      <c r="P164" s="12" t="str">
        <f t="shared" si="2"/>
        <v>Extra Theory Load Alloted</v>
      </c>
      <c r="Q164" s="12" t="str">
        <f t="shared" si="3"/>
        <v/>
      </c>
    </row>
    <row r="165">
      <c r="A165" s="1">
        <v>164.0</v>
      </c>
      <c r="B165" s="1" t="s">
        <v>780</v>
      </c>
      <c r="C165" s="1" t="s">
        <v>307</v>
      </c>
      <c r="D165" s="1" t="s">
        <v>781</v>
      </c>
      <c r="E165" s="12" t="str">
        <f t="shared" si="1"/>
        <v>Ms.GAYATHIRI DEVI S</v>
      </c>
      <c r="F165" s="13" t="s">
        <v>667</v>
      </c>
      <c r="G165" s="12" t="s">
        <v>301</v>
      </c>
      <c r="H165" s="12" t="s">
        <v>782</v>
      </c>
      <c r="I16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Col2='""&amp;B165&amp;""'"",0)"),2.0)</f>
        <v>2</v>
      </c>
      <c r="J165" s="12">
        <f>IFERROR(__xludf.DUMMYFUNCTION("""COMPUTED_VALUE"""),2.0)</f>
        <v>2</v>
      </c>
      <c r="K165" s="12">
        <f>IFERROR(__xludf.DUMMYFUNCTION("""COMPUTED_VALUE"""),2.0)</f>
        <v>2</v>
      </c>
      <c r="L165" s="12">
        <f>IFERROR(__xludf.DUMMYFUNCTION("""COMPUTED_VALUE"""),1.0)</f>
        <v>1</v>
      </c>
      <c r="M165" s="12" t="str">
        <f>IFERROR(__xludf.DUMMYFUNCTION("""COMPUTED_VALUE"""),"Working")</f>
        <v>Working</v>
      </c>
      <c r="N165" s="12" t="str">
        <f>IFERROR(__xludf.DUMMYFUNCTION("""COMPUTED_VALUE"""),"CORRECT")</f>
        <v>CORRECT</v>
      </c>
      <c r="O165" s="12" t="str">
        <f>IFERROR(__xludf.DUMMYFUNCTION("""COMPUTED_VALUE"""),"LOAD PENDING")</f>
        <v>LOAD PENDING</v>
      </c>
      <c r="P165" s="12" t="str">
        <f t="shared" si="2"/>
        <v/>
      </c>
      <c r="Q165" s="12" t="str">
        <f t="shared" si="3"/>
        <v/>
      </c>
    </row>
    <row r="166">
      <c r="A166" s="1">
        <v>165.0</v>
      </c>
      <c r="B166" s="1" t="s">
        <v>783</v>
      </c>
      <c r="C166" s="1" t="s">
        <v>286</v>
      </c>
      <c r="D166" s="1" t="s">
        <v>784</v>
      </c>
      <c r="E166" s="12" t="str">
        <f t="shared" si="1"/>
        <v>Mrs.KAYALVIZHI B</v>
      </c>
      <c r="F166" s="13" t="s">
        <v>667</v>
      </c>
      <c r="G166" s="12" t="s">
        <v>301</v>
      </c>
      <c r="H166" s="12" t="s">
        <v>785</v>
      </c>
      <c r="I16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Col2='""&amp;B166&amp;""'"",0)"),2.0)</f>
        <v>2</v>
      </c>
      <c r="J166" s="12">
        <f>IFERROR(__xludf.DUMMYFUNCTION("""COMPUTED_VALUE"""),2.0)</f>
        <v>2</v>
      </c>
      <c r="K166" s="12">
        <f>IFERROR(__xludf.DUMMYFUNCTION("""COMPUTED_VALUE"""),2.0)</f>
        <v>2</v>
      </c>
      <c r="L166" s="12">
        <f>IFERROR(__xludf.DUMMYFUNCTION("""COMPUTED_VALUE"""),1.0)</f>
        <v>1</v>
      </c>
      <c r="M166" s="12" t="str">
        <f>IFERROR(__xludf.DUMMYFUNCTION("""COMPUTED_VALUE"""),"Working")</f>
        <v>Working</v>
      </c>
      <c r="N166" s="12" t="str">
        <f>IFERROR(__xludf.DUMMYFUNCTION("""COMPUTED_VALUE"""),"CORRECT")</f>
        <v>CORRECT</v>
      </c>
      <c r="O166" s="12" t="str">
        <f>IFERROR(__xludf.DUMMYFUNCTION("""COMPUTED_VALUE"""),"LOAD PENDING")</f>
        <v>LOAD PENDING</v>
      </c>
      <c r="P166" s="12" t="str">
        <f t="shared" si="2"/>
        <v/>
      </c>
      <c r="Q166" s="12" t="str">
        <f t="shared" si="3"/>
        <v/>
      </c>
    </row>
    <row r="167">
      <c r="A167" s="1">
        <v>166.0</v>
      </c>
      <c r="B167" s="1" t="s">
        <v>786</v>
      </c>
      <c r="C167" s="1" t="s">
        <v>307</v>
      </c>
      <c r="D167" s="1" t="s">
        <v>787</v>
      </c>
      <c r="E167" s="12" t="str">
        <f t="shared" si="1"/>
        <v>Ms.THANGATAMILSELVI S</v>
      </c>
      <c r="F167" s="13" t="s">
        <v>667</v>
      </c>
      <c r="G167" s="12" t="s">
        <v>301</v>
      </c>
      <c r="H167" s="12" t="s">
        <v>788</v>
      </c>
      <c r="I16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Col2='""&amp;B167&amp;""'"",0)"),2.0)</f>
        <v>2</v>
      </c>
      <c r="J167" s="12">
        <f>IFERROR(__xludf.DUMMYFUNCTION("""COMPUTED_VALUE"""),2.0)</f>
        <v>2</v>
      </c>
      <c r="K167" s="12">
        <f>IFERROR(__xludf.DUMMYFUNCTION("""COMPUTED_VALUE"""),2.0)</f>
        <v>2</v>
      </c>
      <c r="L167" s="12">
        <f>IFERROR(__xludf.DUMMYFUNCTION("""COMPUTED_VALUE"""),1.0)</f>
        <v>1</v>
      </c>
      <c r="M167" s="12" t="str">
        <f>IFERROR(__xludf.DUMMYFUNCTION("""COMPUTED_VALUE"""),"Working")</f>
        <v>Working</v>
      </c>
      <c r="N167" s="12" t="str">
        <f>IFERROR(__xludf.DUMMYFUNCTION("""COMPUTED_VALUE"""),"CORRECT")</f>
        <v>CORRECT</v>
      </c>
      <c r="O167" s="12" t="str">
        <f>IFERROR(__xludf.DUMMYFUNCTION("""COMPUTED_VALUE"""),"LOAD PENDING")</f>
        <v>LOAD PENDING</v>
      </c>
      <c r="P167" s="12" t="str">
        <f t="shared" si="2"/>
        <v/>
      </c>
      <c r="Q167" s="12" t="str">
        <f t="shared" si="3"/>
        <v/>
      </c>
    </row>
    <row r="168">
      <c r="A168" s="1">
        <v>167.0</v>
      </c>
      <c r="B168" s="1" t="s">
        <v>789</v>
      </c>
      <c r="C168" s="1" t="s">
        <v>307</v>
      </c>
      <c r="D168" s="1" t="s">
        <v>790</v>
      </c>
      <c r="E168" s="12" t="str">
        <f t="shared" si="1"/>
        <v>Ms.MAHESH S</v>
      </c>
      <c r="F168" s="13" t="s">
        <v>667</v>
      </c>
      <c r="G168" s="12" t="s">
        <v>301</v>
      </c>
      <c r="H168" s="12" t="s">
        <v>791</v>
      </c>
      <c r="I16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Col2='""&amp;B168&amp;""'"",0)"),2.0)</f>
        <v>2</v>
      </c>
      <c r="J168" s="12">
        <f>IFERROR(__xludf.DUMMYFUNCTION("""COMPUTED_VALUE"""),2.0)</f>
        <v>2</v>
      </c>
      <c r="K168" s="12">
        <f>IFERROR(__xludf.DUMMYFUNCTION("""COMPUTED_VALUE"""),2.0)</f>
        <v>2</v>
      </c>
      <c r="L168" s="12">
        <f>IFERROR(__xludf.DUMMYFUNCTION("""COMPUTED_VALUE"""),0.0)</f>
        <v>0</v>
      </c>
      <c r="M168" s="12" t="str">
        <f>IFERROR(__xludf.DUMMYFUNCTION("""COMPUTED_VALUE"""),"Working")</f>
        <v>Working</v>
      </c>
      <c r="N168" s="12" t="str">
        <f>IFERROR(__xludf.DUMMYFUNCTION("""COMPUTED_VALUE"""),"CORRECT")</f>
        <v>CORRECT</v>
      </c>
      <c r="O168" s="12" t="str">
        <f>IFERROR(__xludf.DUMMYFUNCTION("""COMPUTED_VALUE"""),"LOAD PENDING")</f>
        <v>LOAD PENDING</v>
      </c>
      <c r="P168" s="12" t="str">
        <f t="shared" si="2"/>
        <v/>
      </c>
      <c r="Q168" s="12" t="str">
        <f t="shared" si="3"/>
        <v/>
      </c>
    </row>
    <row r="169">
      <c r="A169" s="1">
        <v>168.0</v>
      </c>
      <c r="B169" s="1" t="s">
        <v>792</v>
      </c>
      <c r="C169" s="1" t="s">
        <v>271</v>
      </c>
      <c r="D169" s="1" t="s">
        <v>793</v>
      </c>
      <c r="E169" s="12" t="str">
        <f t="shared" si="1"/>
        <v>Mr.JACKSON J</v>
      </c>
      <c r="F169" s="13" t="s">
        <v>667</v>
      </c>
      <c r="G169" s="12" t="s">
        <v>301</v>
      </c>
      <c r="H169" s="12" t="s">
        <v>794</v>
      </c>
      <c r="I16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Col2='""&amp;B169&amp;""'"",0)"),1.0)</f>
        <v>1</v>
      </c>
      <c r="J169" s="12">
        <f>IFERROR(__xludf.DUMMYFUNCTION("""COMPUTED_VALUE"""),0.0)</f>
        <v>0</v>
      </c>
      <c r="K169" s="12">
        <f>IFERROR(__xludf.DUMMYFUNCTION("""COMPUTED_VALUE"""),1.0)</f>
        <v>1</v>
      </c>
      <c r="L169" s="12">
        <f>IFERROR(__xludf.DUMMYFUNCTION("""COMPUTED_VALUE"""),0.0)</f>
        <v>0</v>
      </c>
      <c r="M169" s="12" t="str">
        <f>IFERROR(__xludf.DUMMYFUNCTION("""COMPUTED_VALUE"""),"Working")</f>
        <v>Working</v>
      </c>
      <c r="N169" s="12" t="str">
        <f>IFERROR(__xludf.DUMMYFUNCTION("""COMPUTED_VALUE"""),"CORRECT")</f>
        <v>CORRECT</v>
      </c>
      <c r="O169" s="12" t="str">
        <f>IFERROR(__xludf.DUMMYFUNCTION("""COMPUTED_VALUE"""),"CORRECT")</f>
        <v>CORRECT</v>
      </c>
      <c r="P169" s="12" t="str">
        <f t="shared" si="2"/>
        <v/>
      </c>
      <c r="Q169" s="12" t="str">
        <f t="shared" si="3"/>
        <v/>
      </c>
    </row>
    <row r="170">
      <c r="A170" s="1">
        <v>169.0</v>
      </c>
      <c r="B170" s="1" t="s">
        <v>795</v>
      </c>
      <c r="C170" s="1" t="s">
        <v>271</v>
      </c>
      <c r="D170" s="1" t="s">
        <v>796</v>
      </c>
      <c r="E170" s="12" t="str">
        <f t="shared" si="1"/>
        <v>Mr.RANGARAJ K</v>
      </c>
      <c r="F170" s="13" t="s">
        <v>667</v>
      </c>
      <c r="G170" s="12" t="s">
        <v>301</v>
      </c>
      <c r="H170" s="12" t="s">
        <v>797</v>
      </c>
      <c r="I17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Col2='""&amp;B170&amp;""'"",0)"),1.0)</f>
        <v>1</v>
      </c>
      <c r="J170" s="12">
        <f>IFERROR(__xludf.DUMMYFUNCTION("""COMPUTED_VALUE"""),0.0)</f>
        <v>0</v>
      </c>
      <c r="K170" s="12">
        <f>IFERROR(__xludf.DUMMYFUNCTION("""COMPUTED_VALUE"""),1.0)</f>
        <v>1</v>
      </c>
      <c r="L170" s="12">
        <f>IFERROR(__xludf.DUMMYFUNCTION("""COMPUTED_VALUE"""),0.0)</f>
        <v>0</v>
      </c>
      <c r="M170" s="12" t="str">
        <f>IFERROR(__xludf.DUMMYFUNCTION("""COMPUTED_VALUE"""),"Working")</f>
        <v>Working</v>
      </c>
      <c r="N170" s="12" t="str">
        <f>IFERROR(__xludf.DUMMYFUNCTION("""COMPUTED_VALUE"""),"CORRECT")</f>
        <v>CORRECT</v>
      </c>
      <c r="O170" s="12" t="str">
        <f>IFERROR(__xludf.DUMMYFUNCTION("""COMPUTED_VALUE"""),"CORRECT")</f>
        <v>CORRECT</v>
      </c>
      <c r="P170" s="12" t="str">
        <f t="shared" si="2"/>
        <v/>
      </c>
      <c r="Q170" s="12" t="str">
        <f t="shared" si="3"/>
        <v/>
      </c>
    </row>
    <row r="171">
      <c r="A171" s="1">
        <v>170.0</v>
      </c>
      <c r="B171" s="1" t="s">
        <v>798</v>
      </c>
      <c r="C171" s="1" t="s">
        <v>271</v>
      </c>
      <c r="D171" s="1" t="s">
        <v>799</v>
      </c>
      <c r="E171" s="12" t="str">
        <f t="shared" si="1"/>
        <v>Mr.ASWIN JAYA SURYA M J</v>
      </c>
      <c r="F171" s="13" t="s">
        <v>667</v>
      </c>
      <c r="G171" s="12" t="s">
        <v>301</v>
      </c>
      <c r="H171" s="12" t="s">
        <v>800</v>
      </c>
      <c r="I17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Col2='""&amp;B171&amp;""'"",0)"),2.0)</f>
        <v>2</v>
      </c>
      <c r="J171" s="12">
        <f>IFERROR(__xludf.DUMMYFUNCTION("""COMPUTED_VALUE"""),2.0)</f>
        <v>2</v>
      </c>
      <c r="K171" s="12">
        <f>IFERROR(__xludf.DUMMYFUNCTION("""COMPUTED_VALUE"""),3.0)</f>
        <v>3</v>
      </c>
      <c r="L171" s="12">
        <f>IFERROR(__xludf.DUMMYFUNCTION("""COMPUTED_VALUE"""),0.0)</f>
        <v>0</v>
      </c>
      <c r="M171" s="12" t="str">
        <f>IFERROR(__xludf.DUMMYFUNCTION("""COMPUTED_VALUE"""),"Working")</f>
        <v>Working</v>
      </c>
      <c r="N171" s="12" t="str">
        <f>IFERROR(__xludf.DUMMYFUNCTION("""COMPUTED_VALUE"""),"CORRECT")</f>
        <v>CORRECT</v>
      </c>
      <c r="O171" s="12" t="str">
        <f>IFERROR(__xludf.DUMMYFUNCTION("""COMPUTED_VALUE"""),"LOAD PENDING")</f>
        <v>LOAD PENDING</v>
      </c>
      <c r="P171" s="12" t="str">
        <f t="shared" si="2"/>
        <v>Extra Theory Load Alloted</v>
      </c>
      <c r="Q171" s="12" t="str">
        <f t="shared" si="3"/>
        <v/>
      </c>
    </row>
    <row r="172">
      <c r="A172" s="1">
        <v>171.0</v>
      </c>
      <c r="B172" s="1" t="s">
        <v>801</v>
      </c>
      <c r="C172" s="1" t="s">
        <v>271</v>
      </c>
      <c r="D172" s="1" t="s">
        <v>802</v>
      </c>
      <c r="E172" s="12" t="str">
        <f t="shared" si="1"/>
        <v>Mr.GOKUL M S</v>
      </c>
      <c r="F172" s="13" t="s">
        <v>667</v>
      </c>
      <c r="G172" s="12" t="s">
        <v>301</v>
      </c>
      <c r="H172" s="12" t="s">
        <v>803</v>
      </c>
      <c r="I172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Col2='""&amp;B172&amp;""'"",0)"),"")</f>
        <v/>
      </c>
      <c r="J172" s="12"/>
      <c r="K172" s="12">
        <f>IFERROR(__xludf.DUMMYFUNCTION("""COMPUTED_VALUE"""),0.0)</f>
        <v>0</v>
      </c>
      <c r="L172" s="12">
        <f>IFERROR(__xludf.DUMMYFUNCTION("""COMPUTED_VALUE"""),0.0)</f>
        <v>0</v>
      </c>
      <c r="M172" s="12" t="str">
        <f>IFERROR(__xludf.DUMMYFUNCTION("""COMPUTED_VALUE"""),"Working")</f>
        <v>Working</v>
      </c>
      <c r="N172" s="12" t="str">
        <f>IFERROR(__xludf.DUMMYFUNCTION("""COMPUTED_VALUE"""),"#N/A")</f>
        <v>#N/A</v>
      </c>
      <c r="O172" s="12" t="str">
        <f>IFERROR(__xludf.DUMMYFUNCTION("""COMPUTED_VALUE"""),"CORRECT")</f>
        <v>CORRECT</v>
      </c>
      <c r="P172" s="12" t="str">
        <f t="shared" si="2"/>
        <v/>
      </c>
      <c r="Q172" s="12" t="str">
        <f t="shared" si="3"/>
        <v/>
      </c>
    </row>
    <row r="173">
      <c r="A173" s="1">
        <v>172.0</v>
      </c>
      <c r="B173" s="1" t="s">
        <v>804</v>
      </c>
      <c r="C173" s="1" t="s">
        <v>277</v>
      </c>
      <c r="D173" s="1" t="s">
        <v>805</v>
      </c>
      <c r="E173" s="12" t="str">
        <f t="shared" si="1"/>
        <v>Dr.SATHISHKUMAR P</v>
      </c>
      <c r="F173" s="13" t="s">
        <v>667</v>
      </c>
      <c r="G173" s="12" t="s">
        <v>283</v>
      </c>
      <c r="H173" s="12" t="s">
        <v>806</v>
      </c>
      <c r="I17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Col2='""&amp;B173&amp;""'"",0)"),0.0)</f>
        <v>0</v>
      </c>
      <c r="J173" s="12">
        <f>IFERROR(__xludf.DUMMYFUNCTION("""COMPUTED_VALUE"""),0.0)</f>
        <v>0</v>
      </c>
      <c r="K173" s="12">
        <f>IFERROR(__xludf.DUMMYFUNCTION("""COMPUTED_VALUE"""),0.0)</f>
        <v>0</v>
      </c>
      <c r="L173" s="12">
        <f>IFERROR(__xludf.DUMMYFUNCTION("""COMPUTED_VALUE"""),0.0)</f>
        <v>0</v>
      </c>
      <c r="M173" s="12" t="str">
        <f>IFERROR(__xludf.DUMMYFUNCTION("""COMPUTED_VALUE"""),"Working")</f>
        <v>Working</v>
      </c>
      <c r="N173" s="12" t="str">
        <f>IFERROR(__xludf.DUMMYFUNCTION("""COMPUTED_VALUE"""),"CORRECT")</f>
        <v>CORRECT</v>
      </c>
      <c r="O173" s="12" t="str">
        <f>IFERROR(__xludf.DUMMYFUNCTION("""COMPUTED_VALUE"""),"CORRECT")</f>
        <v>CORRECT</v>
      </c>
      <c r="P173" s="12" t="str">
        <f t="shared" si="2"/>
        <v/>
      </c>
      <c r="Q173" s="12" t="str">
        <f t="shared" si="3"/>
        <v/>
      </c>
    </row>
    <row r="174">
      <c r="A174" s="1">
        <v>173.0</v>
      </c>
      <c r="B174" s="1" t="s">
        <v>807</v>
      </c>
      <c r="C174" s="1" t="s">
        <v>277</v>
      </c>
      <c r="D174" s="1" t="s">
        <v>808</v>
      </c>
      <c r="E174" s="12" t="str">
        <f t="shared" si="1"/>
        <v>Dr.PREMALATHA K</v>
      </c>
      <c r="F174" s="13" t="s">
        <v>667</v>
      </c>
      <c r="G174" s="12" t="s">
        <v>283</v>
      </c>
      <c r="H174" s="12" t="s">
        <v>809</v>
      </c>
      <c r="I17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Col2='""&amp;B174&amp;""'"",0)"),1.0)</f>
        <v>1</v>
      </c>
      <c r="J174" s="12">
        <f>IFERROR(__xludf.DUMMYFUNCTION("""COMPUTED_VALUE"""),1.0)</f>
        <v>1</v>
      </c>
      <c r="K174" s="12">
        <f>IFERROR(__xludf.DUMMYFUNCTION("""COMPUTED_VALUE"""),2.0)</f>
        <v>2</v>
      </c>
      <c r="L174" s="12">
        <f>IFERROR(__xludf.DUMMYFUNCTION("""COMPUTED_VALUE"""),0.0)</f>
        <v>0</v>
      </c>
      <c r="M174" s="12" t="str">
        <f>IFERROR(__xludf.DUMMYFUNCTION("""COMPUTED_VALUE"""),"Working")</f>
        <v>Working</v>
      </c>
      <c r="N174" s="12" t="str">
        <f>IFERROR(__xludf.DUMMYFUNCTION("""COMPUTED_VALUE"""),"CORRECT")</f>
        <v>CORRECT</v>
      </c>
      <c r="O174" s="12" t="str">
        <f>IFERROR(__xludf.DUMMYFUNCTION("""COMPUTED_VALUE"""),"LOAD PENDING")</f>
        <v>LOAD PENDING</v>
      </c>
      <c r="P174" s="12" t="str">
        <f t="shared" si="2"/>
        <v>Extra Theory Load Alloted</v>
      </c>
      <c r="Q174" s="12" t="str">
        <f t="shared" si="3"/>
        <v/>
      </c>
    </row>
    <row r="175">
      <c r="A175" s="1">
        <v>174.0</v>
      </c>
      <c r="B175" s="1" t="s">
        <v>810</v>
      </c>
      <c r="C175" s="1" t="s">
        <v>277</v>
      </c>
      <c r="D175" s="1" t="s">
        <v>811</v>
      </c>
      <c r="E175" s="12" t="str">
        <f t="shared" si="1"/>
        <v>Dr.RAMYA R</v>
      </c>
      <c r="F175" s="13" t="s">
        <v>667</v>
      </c>
      <c r="G175" s="12" t="s">
        <v>279</v>
      </c>
      <c r="H175" s="12" t="s">
        <v>812</v>
      </c>
      <c r="I17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Col2='""&amp;B175&amp;""'"",0)"),2.0)</f>
        <v>2</v>
      </c>
      <c r="J175" s="12">
        <f>IFERROR(__xludf.DUMMYFUNCTION("""COMPUTED_VALUE"""),1.0)</f>
        <v>1</v>
      </c>
      <c r="K175" s="12">
        <f>IFERROR(__xludf.DUMMYFUNCTION("""COMPUTED_VALUE"""),2.0)</f>
        <v>2</v>
      </c>
      <c r="L175" s="12">
        <f>IFERROR(__xludf.DUMMYFUNCTION("""COMPUTED_VALUE"""),1.0)</f>
        <v>1</v>
      </c>
      <c r="M175" s="12" t="str">
        <f>IFERROR(__xludf.DUMMYFUNCTION("""COMPUTED_VALUE"""),"Working")</f>
        <v>Working</v>
      </c>
      <c r="N175" s="12" t="str">
        <f>IFERROR(__xludf.DUMMYFUNCTION("""COMPUTED_VALUE"""),"CORRECT")</f>
        <v>CORRECT</v>
      </c>
      <c r="O175" s="12" t="str">
        <f>IFERROR(__xludf.DUMMYFUNCTION("""COMPUTED_VALUE"""),"CORRECT")</f>
        <v>CORRECT</v>
      </c>
      <c r="P175" s="12" t="str">
        <f t="shared" si="2"/>
        <v/>
      </c>
      <c r="Q175" s="12" t="str">
        <f t="shared" si="3"/>
        <v/>
      </c>
    </row>
    <row r="176">
      <c r="A176" s="1">
        <v>175.0</v>
      </c>
      <c r="B176" s="1" t="s">
        <v>813</v>
      </c>
      <c r="C176" s="1" t="s">
        <v>277</v>
      </c>
      <c r="D176" s="1" t="s">
        <v>814</v>
      </c>
      <c r="E176" s="12" t="str">
        <f t="shared" si="1"/>
        <v>Dr.THANGA PARVATHI B</v>
      </c>
      <c r="F176" s="13" t="s">
        <v>815</v>
      </c>
      <c r="G176" s="12" t="s">
        <v>283</v>
      </c>
      <c r="H176" s="12" t="s">
        <v>816</v>
      </c>
      <c r="I17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Col2='""&amp;B176&amp;""'"",0)"),1.0)</f>
        <v>1</v>
      </c>
      <c r="J176" s="12">
        <f>IFERROR(__xludf.DUMMYFUNCTION("""COMPUTED_VALUE"""),1.0)</f>
        <v>1</v>
      </c>
      <c r="K176" s="12">
        <f>IFERROR(__xludf.DUMMYFUNCTION("""COMPUTED_VALUE"""),2.0)</f>
        <v>2</v>
      </c>
      <c r="L176" s="12">
        <f>IFERROR(__xludf.DUMMYFUNCTION("""COMPUTED_VALUE"""),0.0)</f>
        <v>0</v>
      </c>
      <c r="M176" s="12" t="str">
        <f>IFERROR(__xludf.DUMMYFUNCTION("""COMPUTED_VALUE"""),"Working")</f>
        <v>Working</v>
      </c>
      <c r="N176" s="12" t="str">
        <f>IFERROR(__xludf.DUMMYFUNCTION("""COMPUTED_VALUE"""),"CORRECT")</f>
        <v>CORRECT</v>
      </c>
      <c r="O176" s="12" t="str">
        <f>IFERROR(__xludf.DUMMYFUNCTION("""COMPUTED_VALUE"""),"LOAD PENDING")</f>
        <v>LOAD PENDING</v>
      </c>
      <c r="P176" s="12" t="str">
        <f t="shared" si="2"/>
        <v>Extra Theory Load Alloted</v>
      </c>
      <c r="Q176" s="12" t="str">
        <f t="shared" si="3"/>
        <v/>
      </c>
    </row>
    <row r="177">
      <c r="A177" s="1">
        <v>176.0</v>
      </c>
      <c r="B177" s="1" t="s">
        <v>817</v>
      </c>
      <c r="C177" s="1" t="s">
        <v>286</v>
      </c>
      <c r="D177" s="1" t="s">
        <v>818</v>
      </c>
      <c r="E177" s="12" t="str">
        <f t="shared" si="1"/>
        <v>Mrs.SWEETY PRASANNA KIRUBA G</v>
      </c>
      <c r="F177" s="13" t="s">
        <v>815</v>
      </c>
      <c r="G177" s="12" t="s">
        <v>301</v>
      </c>
      <c r="H177" s="12" t="s">
        <v>819</v>
      </c>
      <c r="I17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Col2='""&amp;B177&amp;""'"",0)"),2.0)</f>
        <v>2</v>
      </c>
      <c r="J177" s="12">
        <f>IFERROR(__xludf.DUMMYFUNCTION("""COMPUTED_VALUE"""),2.0)</f>
        <v>2</v>
      </c>
      <c r="K177" s="12">
        <f>IFERROR(__xludf.DUMMYFUNCTION("""COMPUTED_VALUE"""),2.0)</f>
        <v>2</v>
      </c>
      <c r="L177" s="12">
        <f>IFERROR(__xludf.DUMMYFUNCTION("""COMPUTED_VALUE"""),1.0)</f>
        <v>1</v>
      </c>
      <c r="M177" s="12" t="str">
        <f>IFERROR(__xludf.DUMMYFUNCTION("""COMPUTED_VALUE"""),"Working")</f>
        <v>Working</v>
      </c>
      <c r="N177" s="12" t="str">
        <f>IFERROR(__xludf.DUMMYFUNCTION("""COMPUTED_VALUE"""),"CORRECT")</f>
        <v>CORRECT</v>
      </c>
      <c r="O177" s="12" t="str">
        <f>IFERROR(__xludf.DUMMYFUNCTION("""COMPUTED_VALUE"""),"LOAD PENDING")</f>
        <v>LOAD PENDING</v>
      </c>
      <c r="P177" s="12" t="str">
        <f t="shared" si="2"/>
        <v/>
      </c>
      <c r="Q177" s="12" t="str">
        <f t="shared" si="3"/>
        <v/>
      </c>
    </row>
    <row r="178">
      <c r="A178" s="1">
        <v>177.0</v>
      </c>
      <c r="B178" s="1" t="s">
        <v>820</v>
      </c>
      <c r="C178" s="1" t="s">
        <v>307</v>
      </c>
      <c r="D178" s="1" t="s">
        <v>821</v>
      </c>
      <c r="E178" s="12" t="str">
        <f t="shared" si="1"/>
        <v>Ms.NITHYA M</v>
      </c>
      <c r="F178" s="13" t="s">
        <v>815</v>
      </c>
      <c r="G178" s="12" t="s">
        <v>301</v>
      </c>
      <c r="H178" s="12" t="s">
        <v>822</v>
      </c>
      <c r="I17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Col2='""&amp;B178&amp;""'"",0)"),2.0)</f>
        <v>2</v>
      </c>
      <c r="J178" s="12">
        <f>IFERROR(__xludf.DUMMYFUNCTION("""COMPUTED_VALUE"""),2.0)</f>
        <v>2</v>
      </c>
      <c r="K178" s="12">
        <f>IFERROR(__xludf.DUMMYFUNCTION("""COMPUTED_VALUE"""),2.0)</f>
        <v>2</v>
      </c>
      <c r="L178" s="12">
        <f>IFERROR(__xludf.DUMMYFUNCTION("""COMPUTED_VALUE"""),1.0)</f>
        <v>1</v>
      </c>
      <c r="M178" s="12" t="str">
        <f>IFERROR(__xludf.DUMMYFUNCTION("""COMPUTED_VALUE"""),"Working")</f>
        <v>Working</v>
      </c>
      <c r="N178" s="12" t="str">
        <f>IFERROR(__xludf.DUMMYFUNCTION("""COMPUTED_VALUE"""),"CORRECT")</f>
        <v>CORRECT</v>
      </c>
      <c r="O178" s="12" t="str">
        <f>IFERROR(__xludf.DUMMYFUNCTION("""COMPUTED_VALUE"""),"LOAD PENDING")</f>
        <v>LOAD PENDING</v>
      </c>
      <c r="P178" s="12" t="str">
        <f t="shared" si="2"/>
        <v/>
      </c>
      <c r="Q178" s="12" t="str">
        <f t="shared" si="3"/>
        <v/>
      </c>
    </row>
    <row r="179">
      <c r="A179" s="1">
        <v>178.0</v>
      </c>
      <c r="B179" s="1" t="s">
        <v>823</v>
      </c>
      <c r="C179" s="1" t="s">
        <v>271</v>
      </c>
      <c r="D179" s="1" t="s">
        <v>824</v>
      </c>
      <c r="E179" s="12" t="str">
        <f t="shared" si="1"/>
        <v>Mr.GUNALAN K</v>
      </c>
      <c r="F179" s="13" t="s">
        <v>815</v>
      </c>
      <c r="G179" s="12" t="s">
        <v>291</v>
      </c>
      <c r="H179" s="12" t="s">
        <v>825</v>
      </c>
      <c r="I17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Col2='""&amp;B179&amp;""'"",0)"),2.0)</f>
        <v>2</v>
      </c>
      <c r="J179" s="12">
        <f>IFERROR(__xludf.DUMMYFUNCTION("""COMPUTED_VALUE"""),2.0)</f>
        <v>2</v>
      </c>
      <c r="K179" s="12">
        <f>IFERROR(__xludf.DUMMYFUNCTION("""COMPUTED_VALUE"""),2.0)</f>
        <v>2</v>
      </c>
      <c r="L179" s="12">
        <f>IFERROR(__xludf.DUMMYFUNCTION("""COMPUTED_VALUE"""),1.0)</f>
        <v>1</v>
      </c>
      <c r="M179" s="12" t="str">
        <f>IFERROR(__xludf.DUMMYFUNCTION("""COMPUTED_VALUE"""),"Working")</f>
        <v>Working</v>
      </c>
      <c r="N179" s="12" t="str">
        <f>IFERROR(__xludf.DUMMYFUNCTION("""COMPUTED_VALUE"""),"CORRECT")</f>
        <v>CORRECT</v>
      </c>
      <c r="O179" s="12" t="str">
        <f>IFERROR(__xludf.DUMMYFUNCTION("""COMPUTED_VALUE"""),"LOAD PENDING")</f>
        <v>LOAD PENDING</v>
      </c>
      <c r="P179" s="12" t="str">
        <f t="shared" si="2"/>
        <v/>
      </c>
      <c r="Q179" s="12" t="str">
        <f t="shared" si="3"/>
        <v/>
      </c>
    </row>
    <row r="180">
      <c r="A180" s="1">
        <v>179.0</v>
      </c>
      <c r="B180" s="1" t="s">
        <v>826</v>
      </c>
      <c r="C180" s="1" t="s">
        <v>271</v>
      </c>
      <c r="D180" s="1" t="s">
        <v>827</v>
      </c>
      <c r="E180" s="12" t="str">
        <f t="shared" si="1"/>
        <v>Mr.ANANDAN P</v>
      </c>
      <c r="F180" s="13" t="s">
        <v>815</v>
      </c>
      <c r="G180" s="12" t="s">
        <v>291</v>
      </c>
      <c r="H180" s="12" t="s">
        <v>828</v>
      </c>
      <c r="I18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Col2='""&amp;B180&amp;""'"",0)"),2.0)</f>
        <v>2</v>
      </c>
      <c r="J180" s="12">
        <f>IFERROR(__xludf.DUMMYFUNCTION("""COMPUTED_VALUE"""),2.0)</f>
        <v>2</v>
      </c>
      <c r="K180" s="12">
        <f>IFERROR(__xludf.DUMMYFUNCTION("""COMPUTED_VALUE"""),2.0)</f>
        <v>2</v>
      </c>
      <c r="L180" s="12">
        <f>IFERROR(__xludf.DUMMYFUNCTION("""COMPUTED_VALUE"""),1.0)</f>
        <v>1</v>
      </c>
      <c r="M180" s="12" t="str">
        <f>IFERROR(__xludf.DUMMYFUNCTION("""COMPUTED_VALUE"""),"Working")</f>
        <v>Working</v>
      </c>
      <c r="N180" s="12" t="str">
        <f>IFERROR(__xludf.DUMMYFUNCTION("""COMPUTED_VALUE"""),"CORRECT")</f>
        <v>CORRECT</v>
      </c>
      <c r="O180" s="12" t="str">
        <f>IFERROR(__xludf.DUMMYFUNCTION("""COMPUTED_VALUE"""),"LOAD PENDING")</f>
        <v>LOAD PENDING</v>
      </c>
      <c r="P180" s="12" t="str">
        <f t="shared" si="2"/>
        <v/>
      </c>
      <c r="Q180" s="12" t="str">
        <f t="shared" si="3"/>
        <v/>
      </c>
    </row>
    <row r="181">
      <c r="A181" s="1">
        <v>180.0</v>
      </c>
      <c r="B181" s="1" t="s">
        <v>829</v>
      </c>
      <c r="C181" s="1" t="s">
        <v>286</v>
      </c>
      <c r="D181" s="1" t="s">
        <v>830</v>
      </c>
      <c r="E181" s="12" t="str">
        <f t="shared" si="1"/>
        <v>Mrs.SAVEETHA R</v>
      </c>
      <c r="F181" s="13" t="s">
        <v>815</v>
      </c>
      <c r="G181" s="12" t="s">
        <v>274</v>
      </c>
      <c r="H181" s="12" t="s">
        <v>831</v>
      </c>
      <c r="I18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Col2='""&amp;B181&amp;""'"",0)"),2.0)</f>
        <v>2</v>
      </c>
      <c r="J181" s="12">
        <f>IFERROR(__xludf.DUMMYFUNCTION("""COMPUTED_VALUE"""),2.0)</f>
        <v>2</v>
      </c>
      <c r="K181" s="12">
        <f>IFERROR(__xludf.DUMMYFUNCTION("""COMPUTED_VALUE"""),2.0)</f>
        <v>2</v>
      </c>
      <c r="L181" s="12">
        <f>IFERROR(__xludf.DUMMYFUNCTION("""COMPUTED_VALUE"""),1.0)</f>
        <v>1</v>
      </c>
      <c r="M181" s="12" t="str">
        <f>IFERROR(__xludf.DUMMYFUNCTION("""COMPUTED_VALUE"""),"Working")</f>
        <v>Working</v>
      </c>
      <c r="N181" s="12" t="str">
        <f>IFERROR(__xludf.DUMMYFUNCTION("""COMPUTED_VALUE"""),"CORRECT")</f>
        <v>CORRECT</v>
      </c>
      <c r="O181" s="12" t="str">
        <f>IFERROR(__xludf.DUMMYFUNCTION("""COMPUTED_VALUE"""),"LOAD PENDING")</f>
        <v>LOAD PENDING</v>
      </c>
      <c r="P181" s="12" t="str">
        <f t="shared" si="2"/>
        <v/>
      </c>
      <c r="Q181" s="12" t="str">
        <f t="shared" si="3"/>
        <v/>
      </c>
    </row>
    <row r="182">
      <c r="A182" s="1">
        <v>181.0</v>
      </c>
      <c r="B182" s="1" t="s">
        <v>832</v>
      </c>
      <c r="C182" s="1" t="s">
        <v>277</v>
      </c>
      <c r="D182" s="1" t="s">
        <v>833</v>
      </c>
      <c r="E182" s="12" t="str">
        <f t="shared" si="1"/>
        <v>Dr.MURUGESAN P</v>
      </c>
      <c r="F182" s="13" t="s">
        <v>815</v>
      </c>
      <c r="G182" s="12" t="s">
        <v>274</v>
      </c>
      <c r="H182" s="12" t="s">
        <v>834</v>
      </c>
      <c r="I18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Col2='""&amp;B182&amp;""'"",0)"),1.0)</f>
        <v>1</v>
      </c>
      <c r="J182" s="12">
        <f>IFERROR(__xludf.DUMMYFUNCTION("""COMPUTED_VALUE"""),0.0)</f>
        <v>0</v>
      </c>
      <c r="K182" s="12">
        <f>IFERROR(__xludf.DUMMYFUNCTION("""COMPUTED_VALUE"""),1.0)</f>
        <v>1</v>
      </c>
      <c r="L182" s="12">
        <f>IFERROR(__xludf.DUMMYFUNCTION("""COMPUTED_VALUE"""),0.0)</f>
        <v>0</v>
      </c>
      <c r="M182" s="12" t="str">
        <f>IFERROR(__xludf.DUMMYFUNCTION("""COMPUTED_VALUE"""),"Working")</f>
        <v>Working</v>
      </c>
      <c r="N182" s="12" t="str">
        <f>IFERROR(__xludf.DUMMYFUNCTION("""COMPUTED_VALUE"""),"CORRECT")</f>
        <v>CORRECT</v>
      </c>
      <c r="O182" s="12" t="str">
        <f>IFERROR(__xludf.DUMMYFUNCTION("""COMPUTED_VALUE"""),"CORRECT")</f>
        <v>CORRECT</v>
      </c>
      <c r="P182" s="12" t="str">
        <f t="shared" si="2"/>
        <v/>
      </c>
      <c r="Q182" s="12" t="str">
        <f t="shared" si="3"/>
        <v/>
      </c>
    </row>
    <row r="183">
      <c r="A183" s="1">
        <v>182.0</v>
      </c>
      <c r="B183" s="1" t="s">
        <v>835</v>
      </c>
      <c r="C183" s="1" t="s">
        <v>277</v>
      </c>
      <c r="D183" s="1" t="s">
        <v>836</v>
      </c>
      <c r="E183" s="12" t="str">
        <f t="shared" si="1"/>
        <v>Dr.SANNASI CHAKRAVARTHY S R</v>
      </c>
      <c r="F183" s="13" t="s">
        <v>837</v>
      </c>
      <c r="G183" s="12" t="s">
        <v>279</v>
      </c>
      <c r="H183" s="12" t="s">
        <v>838</v>
      </c>
      <c r="I18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Col2='""&amp;B183&amp;""'"",0)"),1.0)</f>
        <v>1</v>
      </c>
      <c r="J183" s="12">
        <f>IFERROR(__xludf.DUMMYFUNCTION("""COMPUTED_VALUE"""),0.0)</f>
        <v>0</v>
      </c>
      <c r="K183" s="12">
        <f>IFERROR(__xludf.DUMMYFUNCTION("""COMPUTED_VALUE"""),1.0)</f>
        <v>1</v>
      </c>
      <c r="L183" s="12">
        <f>IFERROR(__xludf.DUMMYFUNCTION("""COMPUTED_VALUE"""),0.0)</f>
        <v>0</v>
      </c>
      <c r="M183" s="12" t="str">
        <f>IFERROR(__xludf.DUMMYFUNCTION("""COMPUTED_VALUE"""),"Working")</f>
        <v>Working</v>
      </c>
      <c r="N183" s="12" t="str">
        <f>IFERROR(__xludf.DUMMYFUNCTION("""COMPUTED_VALUE"""),"CORRECT")</f>
        <v>CORRECT</v>
      </c>
      <c r="O183" s="12" t="str">
        <f>IFERROR(__xludf.DUMMYFUNCTION("""COMPUTED_VALUE"""),"CORRECT")</f>
        <v>CORRECT</v>
      </c>
      <c r="P183" s="12" t="str">
        <f t="shared" si="2"/>
        <v/>
      </c>
      <c r="Q183" s="12" t="str">
        <f t="shared" si="3"/>
        <v/>
      </c>
    </row>
    <row r="184">
      <c r="A184" s="1">
        <v>183.0</v>
      </c>
      <c r="B184" s="1" t="s">
        <v>839</v>
      </c>
      <c r="C184" s="1" t="s">
        <v>277</v>
      </c>
      <c r="D184" s="1" t="s">
        <v>840</v>
      </c>
      <c r="E184" s="12" t="str">
        <f t="shared" si="1"/>
        <v>Dr.SAMPOORNAM K P</v>
      </c>
      <c r="F184" s="13" t="s">
        <v>837</v>
      </c>
      <c r="G184" s="12" t="s">
        <v>283</v>
      </c>
      <c r="H184" s="12" t="s">
        <v>841</v>
      </c>
      <c r="I18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Col2='""&amp;B184&amp;""'"",0)"),1.0)</f>
        <v>1</v>
      </c>
      <c r="J184" s="12">
        <f>IFERROR(__xludf.DUMMYFUNCTION("""COMPUTED_VALUE"""),1.0)</f>
        <v>1</v>
      </c>
      <c r="K184" s="12">
        <f>IFERROR(__xludf.DUMMYFUNCTION("""COMPUTED_VALUE"""),2.0)</f>
        <v>2</v>
      </c>
      <c r="L184" s="12">
        <f>IFERROR(__xludf.DUMMYFUNCTION("""COMPUTED_VALUE"""),0.0)</f>
        <v>0</v>
      </c>
      <c r="M184" s="12" t="str">
        <f>IFERROR(__xludf.DUMMYFUNCTION("""COMPUTED_VALUE"""),"Working")</f>
        <v>Working</v>
      </c>
      <c r="N184" s="12" t="str">
        <f>IFERROR(__xludf.DUMMYFUNCTION("""COMPUTED_VALUE"""),"CORRECT")</f>
        <v>CORRECT</v>
      </c>
      <c r="O184" s="12" t="str">
        <f>IFERROR(__xludf.DUMMYFUNCTION("""COMPUTED_VALUE"""),"LOAD PENDING")</f>
        <v>LOAD PENDING</v>
      </c>
      <c r="P184" s="12" t="str">
        <f t="shared" si="2"/>
        <v>Extra Theory Load Alloted</v>
      </c>
      <c r="Q184" s="12" t="str">
        <f t="shared" si="3"/>
        <v/>
      </c>
    </row>
    <row r="185">
      <c r="A185" s="1">
        <v>184.0</v>
      </c>
      <c r="B185" s="1" t="s">
        <v>842</v>
      </c>
      <c r="C185" s="1" t="s">
        <v>271</v>
      </c>
      <c r="D185" s="1" t="s">
        <v>843</v>
      </c>
      <c r="E185" s="12" t="str">
        <f t="shared" si="1"/>
        <v>Mr.KARTHIKEYAN S</v>
      </c>
      <c r="F185" s="13" t="s">
        <v>837</v>
      </c>
      <c r="G185" s="12" t="s">
        <v>274</v>
      </c>
      <c r="H185" s="12" t="s">
        <v>844</v>
      </c>
      <c r="I18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Col2='""&amp;B185&amp;""'"",0)"),2.0)</f>
        <v>2</v>
      </c>
      <c r="J185" s="12">
        <f>IFERROR(__xludf.DUMMYFUNCTION("""COMPUTED_VALUE"""),2.0)</f>
        <v>2</v>
      </c>
      <c r="K185" s="12">
        <f>IFERROR(__xludf.DUMMYFUNCTION("""COMPUTED_VALUE"""),2.0)</f>
        <v>2</v>
      </c>
      <c r="L185" s="12">
        <f>IFERROR(__xludf.DUMMYFUNCTION("""COMPUTED_VALUE"""),1.0)</f>
        <v>1</v>
      </c>
      <c r="M185" s="12" t="str">
        <f>IFERROR(__xludf.DUMMYFUNCTION("""COMPUTED_VALUE"""),"Working")</f>
        <v>Working</v>
      </c>
      <c r="N185" s="12" t="str">
        <f>IFERROR(__xludf.DUMMYFUNCTION("""COMPUTED_VALUE"""),"CORRECT")</f>
        <v>CORRECT</v>
      </c>
      <c r="O185" s="12" t="str">
        <f>IFERROR(__xludf.DUMMYFUNCTION("""COMPUTED_VALUE"""),"LOAD PENDING")</f>
        <v>LOAD PENDING</v>
      </c>
      <c r="P185" s="12" t="str">
        <f t="shared" si="2"/>
        <v/>
      </c>
      <c r="Q185" s="12" t="str">
        <f t="shared" si="3"/>
        <v/>
      </c>
    </row>
    <row r="186">
      <c r="A186" s="1">
        <v>185.0</v>
      </c>
      <c r="B186" s="1" t="s">
        <v>845</v>
      </c>
      <c r="C186" s="1" t="s">
        <v>286</v>
      </c>
      <c r="D186" s="1" t="s">
        <v>563</v>
      </c>
      <c r="E186" s="12" t="str">
        <f t="shared" si="1"/>
        <v>Mrs.SARANYA N</v>
      </c>
      <c r="F186" s="13" t="s">
        <v>837</v>
      </c>
      <c r="G186" s="12" t="s">
        <v>274</v>
      </c>
      <c r="H186" s="12" t="s">
        <v>846</v>
      </c>
      <c r="I18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Col2='""&amp;B186&amp;""'"",0)"),2.0)</f>
        <v>2</v>
      </c>
      <c r="J186" s="12">
        <f>IFERROR(__xludf.DUMMYFUNCTION("""COMPUTED_VALUE"""),2.0)</f>
        <v>2</v>
      </c>
      <c r="K186" s="12">
        <f>IFERROR(__xludf.DUMMYFUNCTION("""COMPUTED_VALUE"""),2.0)</f>
        <v>2</v>
      </c>
      <c r="L186" s="12">
        <f>IFERROR(__xludf.DUMMYFUNCTION("""COMPUTED_VALUE"""),2.0)</f>
        <v>2</v>
      </c>
      <c r="M186" s="12" t="str">
        <f>IFERROR(__xludf.DUMMYFUNCTION("""COMPUTED_VALUE"""),"Working")</f>
        <v>Working</v>
      </c>
      <c r="N186" s="12" t="str">
        <f>IFERROR(__xludf.DUMMYFUNCTION("""COMPUTED_VALUE"""),"CORRECT")</f>
        <v>CORRECT</v>
      </c>
      <c r="O186" s="12" t="str">
        <f>IFERROR(__xludf.DUMMYFUNCTION("""COMPUTED_VALUE"""),"CORRECT")</f>
        <v>CORRECT</v>
      </c>
      <c r="P186" s="12" t="str">
        <f t="shared" si="2"/>
        <v/>
      </c>
      <c r="Q186" s="12" t="str">
        <f t="shared" si="3"/>
        <v/>
      </c>
    </row>
    <row r="187">
      <c r="A187" s="1">
        <v>186.0</v>
      </c>
      <c r="B187" s="1" t="s">
        <v>847</v>
      </c>
      <c r="C187" s="1" t="s">
        <v>271</v>
      </c>
      <c r="D187" s="1" t="s">
        <v>848</v>
      </c>
      <c r="E187" s="12" t="str">
        <f t="shared" si="1"/>
        <v>Mr.BARANIDHARAN V</v>
      </c>
      <c r="F187" s="13" t="s">
        <v>837</v>
      </c>
      <c r="G187" s="12" t="s">
        <v>274</v>
      </c>
      <c r="H187" s="12" t="s">
        <v>849</v>
      </c>
      <c r="I18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Col2='""&amp;B187&amp;""'"",0)"),1.0)</f>
        <v>1</v>
      </c>
      <c r="J187" s="12">
        <f>IFERROR(__xludf.DUMMYFUNCTION("""COMPUTED_VALUE"""),0.0)</f>
        <v>0</v>
      </c>
      <c r="K187" s="12">
        <f>IFERROR(__xludf.DUMMYFUNCTION("""COMPUTED_VALUE"""),1.0)</f>
        <v>1</v>
      </c>
      <c r="L187" s="12">
        <f>IFERROR(__xludf.DUMMYFUNCTION("""COMPUTED_VALUE"""),0.0)</f>
        <v>0</v>
      </c>
      <c r="M187" s="12" t="str">
        <f>IFERROR(__xludf.DUMMYFUNCTION("""COMPUTED_VALUE"""),"Working")</f>
        <v>Working</v>
      </c>
      <c r="N187" s="12" t="str">
        <f>IFERROR(__xludf.DUMMYFUNCTION("""COMPUTED_VALUE"""),"CORRECT")</f>
        <v>CORRECT</v>
      </c>
      <c r="O187" s="12" t="str">
        <f>IFERROR(__xludf.DUMMYFUNCTION("""COMPUTED_VALUE"""),"CORRECT")</f>
        <v>CORRECT</v>
      </c>
      <c r="P187" s="12" t="str">
        <f t="shared" si="2"/>
        <v/>
      </c>
      <c r="Q187" s="12" t="str">
        <f t="shared" si="3"/>
        <v/>
      </c>
    </row>
    <row r="188">
      <c r="A188" s="1">
        <v>187.0</v>
      </c>
      <c r="B188" s="1" t="s">
        <v>850</v>
      </c>
      <c r="C188" s="1" t="s">
        <v>271</v>
      </c>
      <c r="D188" s="1" t="s">
        <v>851</v>
      </c>
      <c r="E188" s="12" t="str">
        <f t="shared" si="1"/>
        <v>Mr.TAMILSELVAN S</v>
      </c>
      <c r="F188" s="13" t="s">
        <v>837</v>
      </c>
      <c r="G188" s="12" t="s">
        <v>274</v>
      </c>
      <c r="H188" s="12" t="s">
        <v>852</v>
      </c>
      <c r="I18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Col2='""&amp;B188&amp;""'"",0)"),2.0)</f>
        <v>2</v>
      </c>
      <c r="J188" s="12">
        <f>IFERROR(__xludf.DUMMYFUNCTION("""COMPUTED_VALUE"""),2.0)</f>
        <v>2</v>
      </c>
      <c r="K188" s="12">
        <f>IFERROR(__xludf.DUMMYFUNCTION("""COMPUTED_VALUE"""),2.0)</f>
        <v>2</v>
      </c>
      <c r="L188" s="12">
        <f>IFERROR(__xludf.DUMMYFUNCTION("""COMPUTED_VALUE"""),2.0)</f>
        <v>2</v>
      </c>
      <c r="M188" s="12" t="str">
        <f>IFERROR(__xludf.DUMMYFUNCTION("""COMPUTED_VALUE"""),"Working")</f>
        <v>Working</v>
      </c>
      <c r="N188" s="12" t="str">
        <f>IFERROR(__xludf.DUMMYFUNCTION("""COMPUTED_VALUE"""),"CORRECT")</f>
        <v>CORRECT</v>
      </c>
      <c r="O188" s="12" t="str">
        <f>IFERROR(__xludf.DUMMYFUNCTION("""COMPUTED_VALUE"""),"CORRECT")</f>
        <v>CORRECT</v>
      </c>
      <c r="P188" s="12" t="str">
        <f t="shared" si="2"/>
        <v/>
      </c>
      <c r="Q188" s="12" t="str">
        <f t="shared" si="3"/>
        <v/>
      </c>
    </row>
    <row r="189">
      <c r="A189" s="1">
        <v>188.0</v>
      </c>
      <c r="B189" s="1" t="s">
        <v>853</v>
      </c>
      <c r="C189" s="1" t="s">
        <v>271</v>
      </c>
      <c r="D189" s="1" t="s">
        <v>854</v>
      </c>
      <c r="E189" s="12" t="str">
        <f t="shared" si="1"/>
        <v>Mr.RAJA SEKAR S</v>
      </c>
      <c r="F189" s="13" t="s">
        <v>837</v>
      </c>
      <c r="G189" s="12" t="s">
        <v>274</v>
      </c>
      <c r="H189" s="12" t="s">
        <v>855</v>
      </c>
      <c r="I18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Col2='""&amp;B189&amp;""'"",0)"),1.0)</f>
        <v>1</v>
      </c>
      <c r="J189" s="12">
        <f>IFERROR(__xludf.DUMMYFUNCTION("""COMPUTED_VALUE"""),1.0)</f>
        <v>1</v>
      </c>
      <c r="K189" s="12">
        <f>IFERROR(__xludf.DUMMYFUNCTION("""COMPUTED_VALUE"""),2.0)</f>
        <v>2</v>
      </c>
      <c r="L189" s="12">
        <f>IFERROR(__xludf.DUMMYFUNCTION("""COMPUTED_VALUE"""),1.0)</f>
        <v>1</v>
      </c>
      <c r="M189" s="12" t="str">
        <f>IFERROR(__xludf.DUMMYFUNCTION("""COMPUTED_VALUE"""),"Working")</f>
        <v>Working</v>
      </c>
      <c r="N189" s="12" t="str">
        <f>IFERROR(__xludf.DUMMYFUNCTION("""COMPUTED_VALUE"""),"CORRECT")</f>
        <v>CORRECT</v>
      </c>
      <c r="O189" s="12" t="str">
        <f>IFERROR(__xludf.DUMMYFUNCTION("""COMPUTED_VALUE"""),"CORRECT")</f>
        <v>CORRECT</v>
      </c>
      <c r="P189" s="12" t="str">
        <f t="shared" si="2"/>
        <v>Extra Theory Load Alloted</v>
      </c>
      <c r="Q189" s="12" t="str">
        <f t="shared" si="3"/>
        <v/>
      </c>
    </row>
    <row r="190">
      <c r="A190" s="1">
        <v>189.0</v>
      </c>
      <c r="B190" s="1" t="s">
        <v>856</v>
      </c>
      <c r="C190" s="1" t="s">
        <v>277</v>
      </c>
      <c r="D190" s="1" t="s">
        <v>857</v>
      </c>
      <c r="E190" s="12" t="str">
        <f t="shared" si="1"/>
        <v>Dr.LEEBAN MOSES M</v>
      </c>
      <c r="F190" s="13" t="s">
        <v>837</v>
      </c>
      <c r="G190" s="12" t="s">
        <v>279</v>
      </c>
      <c r="H190" s="12" t="s">
        <v>858</v>
      </c>
      <c r="I19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Col2='""&amp;B190&amp;""'"",0)"),2.0)</f>
        <v>2</v>
      </c>
      <c r="J190" s="12">
        <f>IFERROR(__xludf.DUMMYFUNCTION("""COMPUTED_VALUE"""),1.0)</f>
        <v>1</v>
      </c>
      <c r="K190" s="12">
        <f>IFERROR(__xludf.DUMMYFUNCTION("""COMPUTED_VALUE"""),2.0)</f>
        <v>2</v>
      </c>
      <c r="L190" s="12">
        <f>IFERROR(__xludf.DUMMYFUNCTION("""COMPUTED_VALUE"""),1.0)</f>
        <v>1</v>
      </c>
      <c r="M190" s="12" t="str">
        <f>IFERROR(__xludf.DUMMYFUNCTION("""COMPUTED_VALUE"""),"Working")</f>
        <v>Working</v>
      </c>
      <c r="N190" s="12" t="str">
        <f>IFERROR(__xludf.DUMMYFUNCTION("""COMPUTED_VALUE"""),"CORRECT")</f>
        <v>CORRECT</v>
      </c>
      <c r="O190" s="12" t="str">
        <f>IFERROR(__xludf.DUMMYFUNCTION("""COMPUTED_VALUE"""),"CORRECT")</f>
        <v>CORRECT</v>
      </c>
      <c r="P190" s="12" t="str">
        <f t="shared" si="2"/>
        <v/>
      </c>
      <c r="Q190" s="12" t="str">
        <f t="shared" si="3"/>
        <v/>
      </c>
    </row>
    <row r="191">
      <c r="A191" s="1">
        <v>190.0</v>
      </c>
      <c r="B191" s="1" t="s">
        <v>859</v>
      </c>
      <c r="C191" s="1" t="s">
        <v>277</v>
      </c>
      <c r="D191" s="1" t="s">
        <v>860</v>
      </c>
      <c r="E191" s="12" t="str">
        <f t="shared" si="1"/>
        <v>Dr.PERARASI T</v>
      </c>
      <c r="F191" s="13" t="s">
        <v>837</v>
      </c>
      <c r="G191" s="12" t="s">
        <v>283</v>
      </c>
      <c r="H191" s="12" t="s">
        <v>861</v>
      </c>
      <c r="I19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Col2='""&amp;B191&amp;""'"",0)"),1.0)</f>
        <v>1</v>
      </c>
      <c r="J191" s="12">
        <f>IFERROR(__xludf.DUMMYFUNCTION("""COMPUTED_VALUE"""),1.0)</f>
        <v>1</v>
      </c>
      <c r="K191" s="12">
        <f>IFERROR(__xludf.DUMMYFUNCTION("""COMPUTED_VALUE"""),1.0)</f>
        <v>1</v>
      </c>
      <c r="L191" s="12">
        <f>IFERROR(__xludf.DUMMYFUNCTION("""COMPUTED_VALUE"""),1.0)</f>
        <v>1</v>
      </c>
      <c r="M191" s="12" t="str">
        <f>IFERROR(__xludf.DUMMYFUNCTION("""COMPUTED_VALUE"""),"Working")</f>
        <v>Working</v>
      </c>
      <c r="N191" s="12" t="str">
        <f>IFERROR(__xludf.DUMMYFUNCTION("""COMPUTED_VALUE"""),"CORRECT")</f>
        <v>CORRECT</v>
      </c>
      <c r="O191" s="12" t="str">
        <f>IFERROR(__xludf.DUMMYFUNCTION("""COMPUTED_VALUE"""),"CORRECT")</f>
        <v>CORRECT</v>
      </c>
      <c r="P191" s="12" t="str">
        <f t="shared" si="2"/>
        <v/>
      </c>
      <c r="Q191" s="12" t="str">
        <f t="shared" si="3"/>
        <v/>
      </c>
    </row>
    <row r="192">
      <c r="A192" s="1">
        <v>191.0</v>
      </c>
      <c r="B192" s="1" t="s">
        <v>862</v>
      </c>
      <c r="C192" s="1" t="s">
        <v>286</v>
      </c>
      <c r="D192" s="1" t="s">
        <v>863</v>
      </c>
      <c r="E192" s="12" t="str">
        <f t="shared" si="1"/>
        <v>Mrs.GAYATHRI R</v>
      </c>
      <c r="F192" s="13" t="s">
        <v>837</v>
      </c>
      <c r="G192" s="12" t="s">
        <v>291</v>
      </c>
      <c r="H192" s="12" t="s">
        <v>864</v>
      </c>
      <c r="I19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Col2='""&amp;B192&amp;""'"",0)"),1.0)</f>
        <v>1</v>
      </c>
      <c r="J192" s="12">
        <f>IFERROR(__xludf.DUMMYFUNCTION("""COMPUTED_VALUE"""),1.0)</f>
        <v>1</v>
      </c>
      <c r="K192" s="12">
        <f>IFERROR(__xludf.DUMMYFUNCTION("""COMPUTED_VALUE"""),1.0)</f>
        <v>1</v>
      </c>
      <c r="L192" s="12">
        <f>IFERROR(__xludf.DUMMYFUNCTION("""COMPUTED_VALUE"""),1.0)</f>
        <v>1</v>
      </c>
      <c r="M192" s="12" t="str">
        <f>IFERROR(__xludf.DUMMYFUNCTION("""COMPUTED_VALUE"""),"Working")</f>
        <v>Working</v>
      </c>
      <c r="N192" s="12" t="str">
        <f>IFERROR(__xludf.DUMMYFUNCTION("""COMPUTED_VALUE"""),"CORRECT")</f>
        <v>CORRECT</v>
      </c>
      <c r="O192" s="12" t="str">
        <f>IFERROR(__xludf.DUMMYFUNCTION("""COMPUTED_VALUE"""),"CORRECT")</f>
        <v>CORRECT</v>
      </c>
      <c r="P192" s="12" t="str">
        <f t="shared" si="2"/>
        <v/>
      </c>
      <c r="Q192" s="12" t="str">
        <f t="shared" si="3"/>
        <v/>
      </c>
    </row>
    <row r="193">
      <c r="A193" s="1">
        <v>192.0</v>
      </c>
      <c r="B193" s="1" t="s">
        <v>865</v>
      </c>
      <c r="C193" s="1" t="s">
        <v>277</v>
      </c>
      <c r="D193" s="1" t="s">
        <v>866</v>
      </c>
      <c r="E193" s="12" t="str">
        <f t="shared" si="1"/>
        <v>Dr.POONGODI C</v>
      </c>
      <c r="F193" s="13" t="s">
        <v>837</v>
      </c>
      <c r="G193" s="12" t="s">
        <v>283</v>
      </c>
      <c r="H193" s="12" t="s">
        <v>867</v>
      </c>
      <c r="I19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Col2='""&amp;B193&amp;""'"",0)"),0.0)</f>
        <v>0</v>
      </c>
      <c r="J193" s="12">
        <f>IFERROR(__xludf.DUMMYFUNCTION("""COMPUTED_VALUE"""),0.0)</f>
        <v>0</v>
      </c>
      <c r="K193" s="12">
        <f>IFERROR(__xludf.DUMMYFUNCTION("""COMPUTED_VALUE"""),1.0)</f>
        <v>1</v>
      </c>
      <c r="L193" s="12">
        <f>IFERROR(__xludf.DUMMYFUNCTION("""COMPUTED_VALUE"""),0.0)</f>
        <v>0</v>
      </c>
      <c r="M193" s="12" t="str">
        <f>IFERROR(__xludf.DUMMYFUNCTION("""COMPUTED_VALUE"""),"Working")</f>
        <v>Working</v>
      </c>
      <c r="N193" s="12" t="str">
        <f>IFERROR(__xludf.DUMMYFUNCTION("""COMPUTED_VALUE"""),"CORRECT")</f>
        <v>CORRECT</v>
      </c>
      <c r="O193" s="12" t="str">
        <f>IFERROR(__xludf.DUMMYFUNCTION("""COMPUTED_VALUE"""),"CORRECT")</f>
        <v>CORRECT</v>
      </c>
      <c r="P193" s="12" t="str">
        <f t="shared" si="2"/>
        <v>Extra Theory Load Alloted</v>
      </c>
      <c r="Q193" s="12" t="str">
        <f t="shared" si="3"/>
        <v/>
      </c>
    </row>
    <row r="194">
      <c r="A194" s="1">
        <v>193.0</v>
      </c>
      <c r="B194" s="1" t="s">
        <v>868</v>
      </c>
      <c r="C194" s="1" t="s">
        <v>286</v>
      </c>
      <c r="D194" s="1" t="s">
        <v>869</v>
      </c>
      <c r="E194" s="12" t="str">
        <f t="shared" si="1"/>
        <v>Mrs.ABINAYA M</v>
      </c>
      <c r="F194" s="13" t="s">
        <v>837</v>
      </c>
      <c r="G194" s="12" t="s">
        <v>291</v>
      </c>
      <c r="H194" s="12" t="s">
        <v>870</v>
      </c>
      <c r="I19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Col2='""&amp;B194&amp;""'"",0)"),2.0)</f>
        <v>2</v>
      </c>
      <c r="J194" s="12">
        <f>IFERROR(__xludf.DUMMYFUNCTION("""COMPUTED_VALUE"""),2.0)</f>
        <v>2</v>
      </c>
      <c r="K194" s="12">
        <f>IFERROR(__xludf.DUMMYFUNCTION("""COMPUTED_VALUE"""),2.0)</f>
        <v>2</v>
      </c>
      <c r="L194" s="12">
        <f>IFERROR(__xludf.DUMMYFUNCTION("""COMPUTED_VALUE"""),2.0)</f>
        <v>2</v>
      </c>
      <c r="M194" s="12" t="str">
        <f>IFERROR(__xludf.DUMMYFUNCTION("""COMPUTED_VALUE"""),"Working")</f>
        <v>Working</v>
      </c>
      <c r="N194" s="12" t="str">
        <f>IFERROR(__xludf.DUMMYFUNCTION("""COMPUTED_VALUE"""),"CORRECT")</f>
        <v>CORRECT</v>
      </c>
      <c r="O194" s="12" t="str">
        <f>IFERROR(__xludf.DUMMYFUNCTION("""COMPUTED_VALUE"""),"CORRECT")</f>
        <v>CORRECT</v>
      </c>
      <c r="P194" s="12" t="str">
        <f t="shared" si="2"/>
        <v/>
      </c>
      <c r="Q194" s="12" t="str">
        <f t="shared" si="3"/>
        <v/>
      </c>
    </row>
    <row r="195">
      <c r="A195" s="1">
        <v>194.0</v>
      </c>
      <c r="B195" s="1" t="s">
        <v>871</v>
      </c>
      <c r="C195" s="1" t="s">
        <v>277</v>
      </c>
      <c r="D195" s="1" t="s">
        <v>872</v>
      </c>
      <c r="E195" s="12" t="str">
        <f t="shared" si="1"/>
        <v>Dr.ARULMURUGAN L</v>
      </c>
      <c r="F195" s="13" t="s">
        <v>837</v>
      </c>
      <c r="G195" s="12" t="s">
        <v>279</v>
      </c>
      <c r="H195" s="12" t="s">
        <v>873</v>
      </c>
      <c r="I19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Col2='""&amp;B195&amp;""'"",0)"),2.0)</f>
        <v>2</v>
      </c>
      <c r="J195" s="12">
        <f>IFERROR(__xludf.DUMMYFUNCTION("""COMPUTED_VALUE"""),1.0)</f>
        <v>1</v>
      </c>
      <c r="K195" s="12">
        <f>IFERROR(__xludf.DUMMYFUNCTION("""COMPUTED_VALUE"""),2.0)</f>
        <v>2</v>
      </c>
      <c r="L195" s="12">
        <f>IFERROR(__xludf.DUMMYFUNCTION("""COMPUTED_VALUE"""),1.0)</f>
        <v>1</v>
      </c>
      <c r="M195" s="12" t="str">
        <f>IFERROR(__xludf.DUMMYFUNCTION("""COMPUTED_VALUE"""),"Working")</f>
        <v>Working</v>
      </c>
      <c r="N195" s="12" t="str">
        <f>IFERROR(__xludf.DUMMYFUNCTION("""COMPUTED_VALUE"""),"CORRECT")</f>
        <v>CORRECT</v>
      </c>
      <c r="O195" s="12" t="str">
        <f>IFERROR(__xludf.DUMMYFUNCTION("""COMPUTED_VALUE"""),"CORRECT")</f>
        <v>CORRECT</v>
      </c>
      <c r="P195" s="12" t="str">
        <f t="shared" si="2"/>
        <v/>
      </c>
      <c r="Q195" s="12" t="str">
        <f t="shared" si="3"/>
        <v/>
      </c>
    </row>
    <row r="196">
      <c r="A196" s="1">
        <v>195.0</v>
      </c>
      <c r="B196" s="1" t="s">
        <v>874</v>
      </c>
      <c r="C196" s="1" t="s">
        <v>286</v>
      </c>
      <c r="D196" s="1" t="s">
        <v>875</v>
      </c>
      <c r="E196" s="12" t="str">
        <f t="shared" si="1"/>
        <v>Mrs.SOUNDARYA B</v>
      </c>
      <c r="F196" s="13" t="s">
        <v>837</v>
      </c>
      <c r="G196" s="12" t="s">
        <v>291</v>
      </c>
      <c r="H196" s="12" t="s">
        <v>876</v>
      </c>
      <c r="I19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Col2='""&amp;B196&amp;""'"",0)"),2.0)</f>
        <v>2</v>
      </c>
      <c r="J196" s="12">
        <f>IFERROR(__xludf.DUMMYFUNCTION("""COMPUTED_VALUE"""),2.0)</f>
        <v>2</v>
      </c>
      <c r="K196" s="12">
        <f>IFERROR(__xludf.DUMMYFUNCTION("""COMPUTED_VALUE"""),2.0)</f>
        <v>2</v>
      </c>
      <c r="L196" s="12">
        <f>IFERROR(__xludf.DUMMYFUNCTION("""COMPUTED_VALUE"""),2.0)</f>
        <v>2</v>
      </c>
      <c r="M196" s="12" t="str">
        <f>IFERROR(__xludf.DUMMYFUNCTION("""COMPUTED_VALUE"""),"Working")</f>
        <v>Working</v>
      </c>
      <c r="N196" s="12" t="str">
        <f>IFERROR(__xludf.DUMMYFUNCTION("""COMPUTED_VALUE"""),"CORRECT")</f>
        <v>CORRECT</v>
      </c>
      <c r="O196" s="12" t="str">
        <f>IFERROR(__xludf.DUMMYFUNCTION("""COMPUTED_VALUE"""),"CORRECT")</f>
        <v>CORRECT</v>
      </c>
      <c r="P196" s="12" t="str">
        <f t="shared" si="2"/>
        <v/>
      </c>
      <c r="Q196" s="12" t="str">
        <f t="shared" si="3"/>
        <v/>
      </c>
    </row>
    <row r="197">
      <c r="A197" s="1">
        <v>196.0</v>
      </c>
      <c r="B197" s="1" t="s">
        <v>877</v>
      </c>
      <c r="C197" s="1" t="s">
        <v>271</v>
      </c>
      <c r="D197" s="1" t="s">
        <v>878</v>
      </c>
      <c r="E197" s="12" t="str">
        <f t="shared" si="1"/>
        <v>Mr.KRISHNARAJ R</v>
      </c>
      <c r="F197" s="13" t="s">
        <v>837</v>
      </c>
      <c r="G197" s="12" t="s">
        <v>291</v>
      </c>
      <c r="H197" s="12" t="s">
        <v>879</v>
      </c>
      <c r="I19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Col2='""&amp;B197&amp;""'"",0)"),2.0)</f>
        <v>2</v>
      </c>
      <c r="J197" s="12">
        <f>IFERROR(__xludf.DUMMYFUNCTION("""COMPUTED_VALUE"""),2.0)</f>
        <v>2</v>
      </c>
      <c r="K197" s="12">
        <f>IFERROR(__xludf.DUMMYFUNCTION("""COMPUTED_VALUE"""),2.0)</f>
        <v>2</v>
      </c>
      <c r="L197" s="12">
        <f>IFERROR(__xludf.DUMMYFUNCTION("""COMPUTED_VALUE"""),2.0)</f>
        <v>2</v>
      </c>
      <c r="M197" s="12" t="str">
        <f>IFERROR(__xludf.DUMMYFUNCTION("""COMPUTED_VALUE"""),"Working")</f>
        <v>Working</v>
      </c>
      <c r="N197" s="12" t="str">
        <f>IFERROR(__xludf.DUMMYFUNCTION("""COMPUTED_VALUE"""),"CORRECT")</f>
        <v>CORRECT</v>
      </c>
      <c r="O197" s="12" t="str">
        <f>IFERROR(__xludf.DUMMYFUNCTION("""COMPUTED_VALUE"""),"CORRECT")</f>
        <v>CORRECT</v>
      </c>
      <c r="P197" s="12" t="str">
        <f t="shared" si="2"/>
        <v/>
      </c>
      <c r="Q197" s="12" t="str">
        <f t="shared" si="3"/>
        <v/>
      </c>
    </row>
    <row r="198">
      <c r="A198" s="1">
        <v>197.0</v>
      </c>
      <c r="B198" s="1" t="s">
        <v>880</v>
      </c>
      <c r="C198" s="1" t="s">
        <v>286</v>
      </c>
      <c r="D198" s="1" t="s">
        <v>881</v>
      </c>
      <c r="E198" s="12" t="str">
        <f t="shared" si="1"/>
        <v>Mrs.MYTHILI S</v>
      </c>
      <c r="F198" s="13" t="s">
        <v>837</v>
      </c>
      <c r="G198" s="12" t="s">
        <v>291</v>
      </c>
      <c r="H198" s="12" t="s">
        <v>882</v>
      </c>
      <c r="I19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Col2='""&amp;B198&amp;""'"",0)"),1.0)</f>
        <v>1</v>
      </c>
      <c r="J198" s="12">
        <f>IFERROR(__xludf.DUMMYFUNCTION("""COMPUTED_VALUE"""),1.0)</f>
        <v>1</v>
      </c>
      <c r="K198" s="12">
        <f>IFERROR(__xludf.DUMMYFUNCTION("""COMPUTED_VALUE"""),2.0)</f>
        <v>2</v>
      </c>
      <c r="L198" s="12">
        <f>IFERROR(__xludf.DUMMYFUNCTION("""COMPUTED_VALUE"""),0.0)</f>
        <v>0</v>
      </c>
      <c r="M198" s="12" t="str">
        <f>IFERROR(__xludf.DUMMYFUNCTION("""COMPUTED_VALUE"""),"Working")</f>
        <v>Working</v>
      </c>
      <c r="N198" s="12" t="str">
        <f>IFERROR(__xludf.DUMMYFUNCTION("""COMPUTED_VALUE"""),"CORRECT")</f>
        <v>CORRECT</v>
      </c>
      <c r="O198" s="12" t="str">
        <f>IFERROR(__xludf.DUMMYFUNCTION("""COMPUTED_VALUE"""),"LOAD PENDING")</f>
        <v>LOAD PENDING</v>
      </c>
      <c r="P198" s="12" t="str">
        <f t="shared" si="2"/>
        <v>Extra Theory Load Alloted</v>
      </c>
      <c r="Q198" s="12" t="str">
        <f t="shared" si="3"/>
        <v/>
      </c>
    </row>
    <row r="199">
      <c r="A199" s="1">
        <v>198.0</v>
      </c>
      <c r="B199" s="1" t="s">
        <v>883</v>
      </c>
      <c r="C199" s="1" t="s">
        <v>307</v>
      </c>
      <c r="D199" s="1" t="s">
        <v>884</v>
      </c>
      <c r="E199" s="12" t="str">
        <f t="shared" si="1"/>
        <v>Ms.POUSIA S</v>
      </c>
      <c r="F199" s="13" t="s">
        <v>837</v>
      </c>
      <c r="G199" s="12" t="s">
        <v>291</v>
      </c>
      <c r="H199" s="12" t="s">
        <v>885</v>
      </c>
      <c r="I19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Col2='""&amp;B199&amp;""'"",0)"),1.0)</f>
        <v>1</v>
      </c>
      <c r="J199" s="12">
        <f>IFERROR(__xludf.DUMMYFUNCTION("""COMPUTED_VALUE"""),0.0)</f>
        <v>0</v>
      </c>
      <c r="K199" s="12">
        <f>IFERROR(__xludf.DUMMYFUNCTION("""COMPUTED_VALUE"""),0.0)</f>
        <v>0</v>
      </c>
      <c r="L199" s="12">
        <f>IFERROR(__xludf.DUMMYFUNCTION("""COMPUTED_VALUE"""),0.0)</f>
        <v>0</v>
      </c>
      <c r="M199" s="12" t="str">
        <f>IFERROR(__xludf.DUMMYFUNCTION("""COMPUTED_VALUE"""),"Working")</f>
        <v>Working</v>
      </c>
      <c r="N199" s="12" t="str">
        <f>IFERROR(__xludf.DUMMYFUNCTION("""COMPUTED_VALUE"""),"LOAD PENDING")</f>
        <v>LOAD PENDING</v>
      </c>
      <c r="O199" s="12" t="str">
        <f>IFERROR(__xludf.DUMMYFUNCTION("""COMPUTED_VALUE"""),"CORRECT")</f>
        <v>CORRECT</v>
      </c>
      <c r="P199" s="12" t="str">
        <f t="shared" si="2"/>
        <v/>
      </c>
      <c r="Q199" s="12" t="str">
        <f t="shared" si="3"/>
        <v/>
      </c>
    </row>
    <row r="200">
      <c r="A200" s="1">
        <v>199.0</v>
      </c>
      <c r="B200" s="1" t="s">
        <v>886</v>
      </c>
      <c r="C200" s="1" t="s">
        <v>307</v>
      </c>
      <c r="D200" s="1" t="s">
        <v>887</v>
      </c>
      <c r="E200" s="12" t="str">
        <f t="shared" si="1"/>
        <v>Ms.SHARMILA A</v>
      </c>
      <c r="F200" s="13" t="s">
        <v>837</v>
      </c>
      <c r="G200" s="12" t="s">
        <v>291</v>
      </c>
      <c r="H200" s="12" t="s">
        <v>888</v>
      </c>
      <c r="I20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Col2='""&amp;B200&amp;""'"",0)"),2.0)</f>
        <v>2</v>
      </c>
      <c r="J200" s="12">
        <f>IFERROR(__xludf.DUMMYFUNCTION("""COMPUTED_VALUE"""),2.0)</f>
        <v>2</v>
      </c>
      <c r="K200" s="12">
        <f>IFERROR(__xludf.DUMMYFUNCTION("""COMPUTED_VALUE"""),2.0)</f>
        <v>2</v>
      </c>
      <c r="L200" s="12">
        <f>IFERROR(__xludf.DUMMYFUNCTION("""COMPUTED_VALUE"""),2.0)</f>
        <v>2</v>
      </c>
      <c r="M200" s="12" t="str">
        <f>IFERROR(__xludf.DUMMYFUNCTION("""COMPUTED_VALUE"""),"Working")</f>
        <v>Working</v>
      </c>
      <c r="N200" s="12" t="str">
        <f>IFERROR(__xludf.DUMMYFUNCTION("""COMPUTED_VALUE"""),"CORRECT")</f>
        <v>CORRECT</v>
      </c>
      <c r="O200" s="12" t="str">
        <f>IFERROR(__xludf.DUMMYFUNCTION("""COMPUTED_VALUE"""),"CORRECT")</f>
        <v>CORRECT</v>
      </c>
      <c r="P200" s="12" t="str">
        <f t="shared" si="2"/>
        <v/>
      </c>
      <c r="Q200" s="12" t="str">
        <f t="shared" si="3"/>
        <v/>
      </c>
    </row>
    <row r="201">
      <c r="A201" s="1">
        <v>200.0</v>
      </c>
      <c r="B201" s="1" t="s">
        <v>889</v>
      </c>
      <c r="C201" s="1" t="s">
        <v>277</v>
      </c>
      <c r="D201" s="1" t="s">
        <v>890</v>
      </c>
      <c r="E201" s="12" t="str">
        <f t="shared" si="1"/>
        <v>Dr.MURUGAN K</v>
      </c>
      <c r="F201" s="13" t="s">
        <v>837</v>
      </c>
      <c r="G201" s="12" t="s">
        <v>279</v>
      </c>
      <c r="H201" s="12" t="s">
        <v>891</v>
      </c>
      <c r="I20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Col2='""&amp;B201&amp;""'"",0)"),2.0)</f>
        <v>2</v>
      </c>
      <c r="J201" s="12">
        <f>IFERROR(__xludf.DUMMYFUNCTION("""COMPUTED_VALUE"""),1.0)</f>
        <v>1</v>
      </c>
      <c r="K201" s="12">
        <f>IFERROR(__xludf.DUMMYFUNCTION("""COMPUTED_VALUE"""),2.0)</f>
        <v>2</v>
      </c>
      <c r="L201" s="12">
        <f>IFERROR(__xludf.DUMMYFUNCTION("""COMPUTED_VALUE"""),1.0)</f>
        <v>1</v>
      </c>
      <c r="M201" s="12" t="str">
        <f>IFERROR(__xludf.DUMMYFUNCTION("""COMPUTED_VALUE"""),"Working")</f>
        <v>Working</v>
      </c>
      <c r="N201" s="12" t="str">
        <f>IFERROR(__xludf.DUMMYFUNCTION("""COMPUTED_VALUE"""),"CORRECT")</f>
        <v>CORRECT</v>
      </c>
      <c r="O201" s="12" t="str">
        <f>IFERROR(__xludf.DUMMYFUNCTION("""COMPUTED_VALUE"""),"CORRECT")</f>
        <v>CORRECT</v>
      </c>
      <c r="P201" s="12" t="str">
        <f t="shared" si="2"/>
        <v/>
      </c>
      <c r="Q201" s="12" t="str">
        <f t="shared" si="3"/>
        <v/>
      </c>
    </row>
    <row r="202">
      <c r="A202" s="1">
        <v>201.0</v>
      </c>
      <c r="B202" s="1" t="s">
        <v>892</v>
      </c>
      <c r="C202" s="1" t="s">
        <v>277</v>
      </c>
      <c r="D202" s="1" t="s">
        <v>893</v>
      </c>
      <c r="E202" s="12" t="str">
        <f t="shared" si="1"/>
        <v>Dr.STEPHEN SAGAYARAJ A</v>
      </c>
      <c r="F202" s="13" t="s">
        <v>837</v>
      </c>
      <c r="G202" s="12" t="s">
        <v>274</v>
      </c>
      <c r="H202" s="12" t="s">
        <v>894</v>
      </c>
      <c r="I20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Col2='""&amp;B202&amp;""'"",0)"),2.0)</f>
        <v>2</v>
      </c>
      <c r="J202" s="12">
        <f>IFERROR(__xludf.DUMMYFUNCTION("""COMPUTED_VALUE"""),2.0)</f>
        <v>2</v>
      </c>
      <c r="K202" s="12">
        <f>IFERROR(__xludf.DUMMYFUNCTION("""COMPUTED_VALUE"""),2.0)</f>
        <v>2</v>
      </c>
      <c r="L202" s="12">
        <f>IFERROR(__xludf.DUMMYFUNCTION("""COMPUTED_VALUE"""),2.0)</f>
        <v>2</v>
      </c>
      <c r="M202" s="12" t="str">
        <f>IFERROR(__xludf.DUMMYFUNCTION("""COMPUTED_VALUE"""),"Working")</f>
        <v>Working</v>
      </c>
      <c r="N202" s="12" t="str">
        <f>IFERROR(__xludf.DUMMYFUNCTION("""COMPUTED_VALUE"""),"CORRECT")</f>
        <v>CORRECT</v>
      </c>
      <c r="O202" s="12" t="str">
        <f>IFERROR(__xludf.DUMMYFUNCTION("""COMPUTED_VALUE"""),"CORRECT")</f>
        <v>CORRECT</v>
      </c>
      <c r="P202" s="12" t="str">
        <f t="shared" si="2"/>
        <v/>
      </c>
      <c r="Q202" s="12" t="str">
        <f t="shared" si="3"/>
        <v/>
      </c>
    </row>
    <row r="203">
      <c r="A203" s="1">
        <v>202.0</v>
      </c>
      <c r="B203" s="1" t="s">
        <v>895</v>
      </c>
      <c r="C203" s="1" t="s">
        <v>286</v>
      </c>
      <c r="D203" s="1" t="s">
        <v>670</v>
      </c>
      <c r="E203" s="12" t="str">
        <f t="shared" si="1"/>
        <v>Mrs.KARTHIGA M</v>
      </c>
      <c r="F203" s="13" t="s">
        <v>837</v>
      </c>
      <c r="G203" s="12" t="s">
        <v>291</v>
      </c>
      <c r="H203" s="12" t="s">
        <v>896</v>
      </c>
      <c r="I20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Col2='""&amp;B203&amp;""'"",0)"),1.0)</f>
        <v>1</v>
      </c>
      <c r="J203" s="12">
        <f>IFERROR(__xludf.DUMMYFUNCTION("""COMPUTED_VALUE"""),0.0)</f>
        <v>0</v>
      </c>
      <c r="K203" s="12">
        <f>IFERROR(__xludf.DUMMYFUNCTION("""COMPUTED_VALUE"""),1.0)</f>
        <v>1</v>
      </c>
      <c r="L203" s="12">
        <f>IFERROR(__xludf.DUMMYFUNCTION("""COMPUTED_VALUE"""),1.0)</f>
        <v>1</v>
      </c>
      <c r="M203" s="12" t="str">
        <f>IFERROR(__xludf.DUMMYFUNCTION("""COMPUTED_VALUE"""),"Working")</f>
        <v>Working</v>
      </c>
      <c r="N203" s="12" t="str">
        <f>IFERROR(__xludf.DUMMYFUNCTION("""COMPUTED_VALUE"""),"CORRECT")</f>
        <v>CORRECT</v>
      </c>
      <c r="O203" s="12" t="str">
        <f>IFERROR(__xludf.DUMMYFUNCTION("""COMPUTED_VALUE"""),"CORRECT")</f>
        <v>CORRECT</v>
      </c>
      <c r="P203" s="12" t="str">
        <f t="shared" si="2"/>
        <v/>
      </c>
      <c r="Q203" s="12" t="str">
        <f t="shared" si="3"/>
        <v>Extra Lab Load Alloted</v>
      </c>
    </row>
    <row r="204">
      <c r="A204" s="1">
        <v>203.0</v>
      </c>
      <c r="B204" s="1" t="s">
        <v>897</v>
      </c>
      <c r="C204" s="1" t="s">
        <v>277</v>
      </c>
      <c r="D204" s="1" t="s">
        <v>898</v>
      </c>
      <c r="E204" s="12" t="str">
        <f t="shared" si="1"/>
        <v>Dr.VENKATESHKUMAR U</v>
      </c>
      <c r="F204" s="13" t="s">
        <v>837</v>
      </c>
      <c r="G204" s="12" t="s">
        <v>279</v>
      </c>
      <c r="H204" s="12" t="s">
        <v>899</v>
      </c>
      <c r="I20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Col2='""&amp;B204&amp;""'"",0)"),2.0)</f>
        <v>2</v>
      </c>
      <c r="J204" s="12">
        <f>IFERROR(__xludf.DUMMYFUNCTION("""COMPUTED_VALUE"""),1.0)</f>
        <v>1</v>
      </c>
      <c r="K204" s="12">
        <f>IFERROR(__xludf.DUMMYFUNCTION("""COMPUTED_VALUE"""),2.0)</f>
        <v>2</v>
      </c>
      <c r="L204" s="12">
        <f>IFERROR(__xludf.DUMMYFUNCTION("""COMPUTED_VALUE"""),1.0)</f>
        <v>1</v>
      </c>
      <c r="M204" s="12" t="str">
        <f>IFERROR(__xludf.DUMMYFUNCTION("""COMPUTED_VALUE"""),"Working")</f>
        <v>Working</v>
      </c>
      <c r="N204" s="12" t="str">
        <f>IFERROR(__xludf.DUMMYFUNCTION("""COMPUTED_VALUE"""),"CORRECT")</f>
        <v>CORRECT</v>
      </c>
      <c r="O204" s="12" t="str">
        <f>IFERROR(__xludf.DUMMYFUNCTION("""COMPUTED_VALUE"""),"CORRECT")</f>
        <v>CORRECT</v>
      </c>
      <c r="P204" s="12" t="str">
        <f t="shared" si="2"/>
        <v/>
      </c>
      <c r="Q204" s="12" t="str">
        <f t="shared" si="3"/>
        <v/>
      </c>
    </row>
    <row r="205">
      <c r="A205" s="1">
        <v>204.0</v>
      </c>
      <c r="B205" s="1" t="s">
        <v>900</v>
      </c>
      <c r="C205" s="1" t="s">
        <v>271</v>
      </c>
      <c r="D205" s="1" t="s">
        <v>901</v>
      </c>
      <c r="E205" s="12" t="str">
        <f t="shared" si="1"/>
        <v>Mr.VELLINGIRI A</v>
      </c>
      <c r="F205" s="13" t="s">
        <v>837</v>
      </c>
      <c r="G205" s="12" t="s">
        <v>274</v>
      </c>
      <c r="H205" s="12" t="s">
        <v>902</v>
      </c>
      <c r="I20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Col2='""&amp;B205&amp;""'"",0)"),2.0)</f>
        <v>2</v>
      </c>
      <c r="J205" s="12">
        <f>IFERROR(__xludf.DUMMYFUNCTION("""COMPUTED_VALUE"""),2.0)</f>
        <v>2</v>
      </c>
      <c r="K205" s="12">
        <f>IFERROR(__xludf.DUMMYFUNCTION("""COMPUTED_VALUE"""),2.0)</f>
        <v>2</v>
      </c>
      <c r="L205" s="12">
        <f>IFERROR(__xludf.DUMMYFUNCTION("""COMPUTED_VALUE"""),2.0)</f>
        <v>2</v>
      </c>
      <c r="M205" s="12" t="str">
        <f>IFERROR(__xludf.DUMMYFUNCTION("""COMPUTED_VALUE"""),"Working")</f>
        <v>Working</v>
      </c>
      <c r="N205" s="12" t="str">
        <f>IFERROR(__xludf.DUMMYFUNCTION("""COMPUTED_VALUE"""),"CORRECT")</f>
        <v>CORRECT</v>
      </c>
      <c r="O205" s="12" t="str">
        <f>IFERROR(__xludf.DUMMYFUNCTION("""COMPUTED_VALUE"""),"CORRECT")</f>
        <v>CORRECT</v>
      </c>
      <c r="P205" s="12" t="str">
        <f t="shared" si="2"/>
        <v/>
      </c>
      <c r="Q205" s="12" t="str">
        <f t="shared" si="3"/>
        <v/>
      </c>
    </row>
    <row r="206">
      <c r="A206" s="1">
        <v>205.0</v>
      </c>
      <c r="B206" s="1" t="s">
        <v>903</v>
      </c>
      <c r="C206" s="1" t="s">
        <v>286</v>
      </c>
      <c r="D206" s="1" t="s">
        <v>904</v>
      </c>
      <c r="E206" s="12" t="str">
        <f t="shared" si="1"/>
        <v>Mrs.MARIAAMUTHA R</v>
      </c>
      <c r="F206" s="13" t="s">
        <v>837</v>
      </c>
      <c r="G206" s="12" t="s">
        <v>301</v>
      </c>
      <c r="H206" s="12" t="s">
        <v>905</v>
      </c>
      <c r="I20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Col2='""&amp;B206&amp;""'"",0)"),2.0)</f>
        <v>2</v>
      </c>
      <c r="J206" s="12">
        <f>IFERROR(__xludf.DUMMYFUNCTION("""COMPUTED_VALUE"""),2.0)</f>
        <v>2</v>
      </c>
      <c r="K206" s="12">
        <f>IFERROR(__xludf.DUMMYFUNCTION("""COMPUTED_VALUE"""),2.0)</f>
        <v>2</v>
      </c>
      <c r="L206" s="12">
        <f>IFERROR(__xludf.DUMMYFUNCTION("""COMPUTED_VALUE"""),2.0)</f>
        <v>2</v>
      </c>
      <c r="M206" s="12" t="str">
        <f>IFERROR(__xludf.DUMMYFUNCTION("""COMPUTED_VALUE"""),"Working")</f>
        <v>Working</v>
      </c>
      <c r="N206" s="12" t="str">
        <f>IFERROR(__xludf.DUMMYFUNCTION("""COMPUTED_VALUE"""),"CORRECT")</f>
        <v>CORRECT</v>
      </c>
      <c r="O206" s="12" t="str">
        <f>IFERROR(__xludf.DUMMYFUNCTION("""COMPUTED_VALUE"""),"CORRECT")</f>
        <v>CORRECT</v>
      </c>
      <c r="P206" s="12" t="str">
        <f t="shared" si="2"/>
        <v/>
      </c>
      <c r="Q206" s="12" t="str">
        <f t="shared" si="3"/>
        <v/>
      </c>
    </row>
    <row r="207">
      <c r="A207" s="1">
        <v>206.0</v>
      </c>
      <c r="B207" s="1" t="s">
        <v>906</v>
      </c>
      <c r="C207" s="1" t="s">
        <v>277</v>
      </c>
      <c r="D207" s="1" t="s">
        <v>907</v>
      </c>
      <c r="E207" s="12" t="str">
        <f t="shared" si="1"/>
        <v>Dr.SATHIYAMURTHI P</v>
      </c>
      <c r="F207" s="13" t="s">
        <v>837</v>
      </c>
      <c r="G207" s="12" t="s">
        <v>279</v>
      </c>
      <c r="H207" s="12" t="s">
        <v>908</v>
      </c>
      <c r="I20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Col2='""&amp;B207&amp;""'"",0)"),2.0)</f>
        <v>2</v>
      </c>
      <c r="J207" s="12">
        <f>IFERROR(__xludf.DUMMYFUNCTION("""COMPUTED_VALUE"""),1.0)</f>
        <v>1</v>
      </c>
      <c r="K207" s="12">
        <f>IFERROR(__xludf.DUMMYFUNCTION("""COMPUTED_VALUE"""),2.0)</f>
        <v>2</v>
      </c>
      <c r="L207" s="12">
        <f>IFERROR(__xludf.DUMMYFUNCTION("""COMPUTED_VALUE"""),1.0)</f>
        <v>1</v>
      </c>
      <c r="M207" s="12" t="str">
        <f>IFERROR(__xludf.DUMMYFUNCTION("""COMPUTED_VALUE"""),"Working")</f>
        <v>Working</v>
      </c>
      <c r="N207" s="12" t="str">
        <f>IFERROR(__xludf.DUMMYFUNCTION("""COMPUTED_VALUE"""),"CORRECT")</f>
        <v>CORRECT</v>
      </c>
      <c r="O207" s="12" t="str">
        <f>IFERROR(__xludf.DUMMYFUNCTION("""COMPUTED_VALUE"""),"CORRECT")</f>
        <v>CORRECT</v>
      </c>
      <c r="P207" s="12" t="str">
        <f t="shared" si="2"/>
        <v/>
      </c>
      <c r="Q207" s="12" t="str">
        <f t="shared" si="3"/>
        <v/>
      </c>
    </row>
    <row r="208">
      <c r="A208" s="1">
        <v>207.0</v>
      </c>
      <c r="B208" s="1" t="s">
        <v>909</v>
      </c>
      <c r="C208" s="1" t="s">
        <v>286</v>
      </c>
      <c r="D208" s="1" t="s">
        <v>910</v>
      </c>
      <c r="E208" s="12" t="str">
        <f t="shared" si="1"/>
        <v>Mrs.NIVETHA G</v>
      </c>
      <c r="F208" s="13" t="s">
        <v>837</v>
      </c>
      <c r="G208" s="12" t="s">
        <v>301</v>
      </c>
      <c r="H208" s="12" t="s">
        <v>911</v>
      </c>
      <c r="I20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Col2='""&amp;B208&amp;""'"",0)"),2.0)</f>
        <v>2</v>
      </c>
      <c r="J208" s="12">
        <f>IFERROR(__xludf.DUMMYFUNCTION("""COMPUTED_VALUE"""),2.0)</f>
        <v>2</v>
      </c>
      <c r="K208" s="12">
        <f>IFERROR(__xludf.DUMMYFUNCTION("""COMPUTED_VALUE"""),2.0)</f>
        <v>2</v>
      </c>
      <c r="L208" s="12">
        <f>IFERROR(__xludf.DUMMYFUNCTION("""COMPUTED_VALUE"""),2.0)</f>
        <v>2</v>
      </c>
      <c r="M208" s="12" t="str">
        <f>IFERROR(__xludf.DUMMYFUNCTION("""COMPUTED_VALUE"""),"Working")</f>
        <v>Working</v>
      </c>
      <c r="N208" s="12" t="str">
        <f>IFERROR(__xludf.DUMMYFUNCTION("""COMPUTED_VALUE"""),"CORRECT")</f>
        <v>CORRECT</v>
      </c>
      <c r="O208" s="12" t="str">
        <f>IFERROR(__xludf.DUMMYFUNCTION("""COMPUTED_VALUE"""),"CORRECT")</f>
        <v>CORRECT</v>
      </c>
      <c r="P208" s="12" t="str">
        <f t="shared" si="2"/>
        <v/>
      </c>
      <c r="Q208" s="12" t="str">
        <f t="shared" si="3"/>
        <v/>
      </c>
    </row>
    <row r="209">
      <c r="A209" s="1">
        <v>208.0</v>
      </c>
      <c r="B209" s="1" t="s">
        <v>912</v>
      </c>
      <c r="C209" s="1" t="s">
        <v>271</v>
      </c>
      <c r="D209" s="1" t="s">
        <v>913</v>
      </c>
      <c r="E209" s="12" t="str">
        <f t="shared" si="1"/>
        <v>Mr.HARISH KUMAAR P</v>
      </c>
      <c r="F209" s="13" t="s">
        <v>837</v>
      </c>
      <c r="G209" s="12" t="s">
        <v>291</v>
      </c>
      <c r="H209" s="12" t="s">
        <v>914</v>
      </c>
      <c r="I20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Col2='""&amp;B209&amp;""'"",0)"),2.0)</f>
        <v>2</v>
      </c>
      <c r="J209" s="12">
        <f>IFERROR(__xludf.DUMMYFUNCTION("""COMPUTED_VALUE"""),2.0)</f>
        <v>2</v>
      </c>
      <c r="K209" s="12">
        <f>IFERROR(__xludf.DUMMYFUNCTION("""COMPUTED_VALUE"""),2.0)</f>
        <v>2</v>
      </c>
      <c r="L209" s="12">
        <f>IFERROR(__xludf.DUMMYFUNCTION("""COMPUTED_VALUE"""),2.0)</f>
        <v>2</v>
      </c>
      <c r="M209" s="12" t="str">
        <f>IFERROR(__xludf.DUMMYFUNCTION("""COMPUTED_VALUE"""),"Working")</f>
        <v>Working</v>
      </c>
      <c r="N209" s="12" t="str">
        <f>IFERROR(__xludf.DUMMYFUNCTION("""COMPUTED_VALUE"""),"CORRECT")</f>
        <v>CORRECT</v>
      </c>
      <c r="O209" s="12" t="str">
        <f>IFERROR(__xludf.DUMMYFUNCTION("""COMPUTED_VALUE"""),"CORRECT")</f>
        <v>CORRECT</v>
      </c>
      <c r="P209" s="12" t="str">
        <f t="shared" si="2"/>
        <v/>
      </c>
      <c r="Q209" s="12" t="str">
        <f t="shared" si="3"/>
        <v/>
      </c>
    </row>
    <row r="210">
      <c r="A210" s="1">
        <v>209.0</v>
      </c>
      <c r="B210" s="1" t="s">
        <v>915</v>
      </c>
      <c r="C210" s="1" t="s">
        <v>286</v>
      </c>
      <c r="D210" s="1" t="s">
        <v>916</v>
      </c>
      <c r="E210" s="12" t="str">
        <f t="shared" si="1"/>
        <v>Mrs.DHANALAKSHMI S</v>
      </c>
      <c r="F210" s="13" t="s">
        <v>837</v>
      </c>
      <c r="G210" s="12" t="s">
        <v>274</v>
      </c>
      <c r="H210" s="12" t="s">
        <v>917</v>
      </c>
      <c r="I21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Col2='""&amp;B210&amp;""'"",0)"),2.0)</f>
        <v>2</v>
      </c>
      <c r="J210" s="12">
        <f>IFERROR(__xludf.DUMMYFUNCTION("""COMPUTED_VALUE"""),2.0)</f>
        <v>2</v>
      </c>
      <c r="K210" s="12">
        <f>IFERROR(__xludf.DUMMYFUNCTION("""COMPUTED_VALUE"""),2.0)</f>
        <v>2</v>
      </c>
      <c r="L210" s="12">
        <f>IFERROR(__xludf.DUMMYFUNCTION("""COMPUTED_VALUE"""),2.0)</f>
        <v>2</v>
      </c>
      <c r="M210" s="12" t="str">
        <f>IFERROR(__xludf.DUMMYFUNCTION("""COMPUTED_VALUE"""),"Working")</f>
        <v>Working</v>
      </c>
      <c r="N210" s="12" t="str">
        <f>IFERROR(__xludf.DUMMYFUNCTION("""COMPUTED_VALUE"""),"CORRECT")</f>
        <v>CORRECT</v>
      </c>
      <c r="O210" s="12" t="str">
        <f>IFERROR(__xludf.DUMMYFUNCTION("""COMPUTED_VALUE"""),"CORRECT")</f>
        <v>CORRECT</v>
      </c>
      <c r="P210" s="12" t="str">
        <f t="shared" si="2"/>
        <v/>
      </c>
      <c r="Q210" s="12" t="str">
        <f t="shared" si="3"/>
        <v/>
      </c>
    </row>
    <row r="211">
      <c r="A211" s="1">
        <v>210.0</v>
      </c>
      <c r="B211" s="1" t="s">
        <v>918</v>
      </c>
      <c r="C211" s="1" t="s">
        <v>271</v>
      </c>
      <c r="D211" s="1" t="s">
        <v>919</v>
      </c>
      <c r="E211" s="12" t="str">
        <f t="shared" si="1"/>
        <v>Mr.RAMESH R</v>
      </c>
      <c r="F211" s="13" t="s">
        <v>837</v>
      </c>
      <c r="G211" s="12" t="s">
        <v>301</v>
      </c>
      <c r="H211" s="12" t="s">
        <v>920</v>
      </c>
      <c r="I21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Col2='""&amp;B211&amp;""'"",0)"),1.0)</f>
        <v>1</v>
      </c>
      <c r="J211" s="12">
        <f>IFERROR(__xludf.DUMMYFUNCTION("""COMPUTED_VALUE"""),0.0)</f>
        <v>0</v>
      </c>
      <c r="K211" s="12">
        <f>IFERROR(__xludf.DUMMYFUNCTION("""COMPUTED_VALUE"""),2.0)</f>
        <v>2</v>
      </c>
      <c r="L211" s="12">
        <f>IFERROR(__xludf.DUMMYFUNCTION("""COMPUTED_VALUE"""),0.0)</f>
        <v>0</v>
      </c>
      <c r="M211" s="12" t="str">
        <f>IFERROR(__xludf.DUMMYFUNCTION("""COMPUTED_VALUE"""),"Working")</f>
        <v>Working</v>
      </c>
      <c r="N211" s="12" t="str">
        <f>IFERROR(__xludf.DUMMYFUNCTION("""COMPUTED_VALUE"""),"CORRECT")</f>
        <v>CORRECT</v>
      </c>
      <c r="O211" s="12" t="str">
        <f>IFERROR(__xludf.DUMMYFUNCTION("""COMPUTED_VALUE"""),"CORRECT")</f>
        <v>CORRECT</v>
      </c>
      <c r="P211" s="12" t="str">
        <f t="shared" si="2"/>
        <v>Extra Theory Load Alloted</v>
      </c>
      <c r="Q211" s="12" t="str">
        <f t="shared" si="3"/>
        <v/>
      </c>
    </row>
    <row r="212">
      <c r="A212" s="1">
        <v>211.0</v>
      </c>
      <c r="B212" s="1" t="s">
        <v>921</v>
      </c>
      <c r="C212" s="1" t="s">
        <v>286</v>
      </c>
      <c r="D212" s="1" t="s">
        <v>922</v>
      </c>
      <c r="E212" s="12" t="str">
        <f t="shared" si="1"/>
        <v>Mrs.SANDHIYADEVI P</v>
      </c>
      <c r="F212" s="13" t="s">
        <v>837</v>
      </c>
      <c r="G212" s="12" t="s">
        <v>301</v>
      </c>
      <c r="H212" s="12" t="s">
        <v>923</v>
      </c>
      <c r="I21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Col2='""&amp;B212&amp;""'"",0)"),2.0)</f>
        <v>2</v>
      </c>
      <c r="J212" s="12">
        <f>IFERROR(__xludf.DUMMYFUNCTION("""COMPUTED_VALUE"""),2.0)</f>
        <v>2</v>
      </c>
      <c r="K212" s="12">
        <f>IFERROR(__xludf.DUMMYFUNCTION("""COMPUTED_VALUE"""),2.0)</f>
        <v>2</v>
      </c>
      <c r="L212" s="12">
        <f>IFERROR(__xludf.DUMMYFUNCTION("""COMPUTED_VALUE"""),2.0)</f>
        <v>2</v>
      </c>
      <c r="M212" s="12" t="str">
        <f>IFERROR(__xludf.DUMMYFUNCTION("""COMPUTED_VALUE"""),"Working")</f>
        <v>Working</v>
      </c>
      <c r="N212" s="12" t="str">
        <f>IFERROR(__xludf.DUMMYFUNCTION("""COMPUTED_VALUE"""),"CORRECT")</f>
        <v>CORRECT</v>
      </c>
      <c r="O212" s="12" t="str">
        <f>IFERROR(__xludf.DUMMYFUNCTION("""COMPUTED_VALUE"""),"CORRECT")</f>
        <v>CORRECT</v>
      </c>
      <c r="P212" s="12" t="str">
        <f t="shared" si="2"/>
        <v/>
      </c>
      <c r="Q212" s="12" t="str">
        <f t="shared" si="3"/>
        <v/>
      </c>
    </row>
    <row r="213">
      <c r="A213" s="1">
        <v>212.0</v>
      </c>
      <c r="B213" s="1" t="s">
        <v>924</v>
      </c>
      <c r="C213" s="1" t="s">
        <v>277</v>
      </c>
      <c r="D213" s="1" t="s">
        <v>925</v>
      </c>
      <c r="E213" s="12" t="str">
        <f t="shared" si="1"/>
        <v>Dr.SANKARANANTH S</v>
      </c>
      <c r="F213" s="13" t="s">
        <v>837</v>
      </c>
      <c r="G213" s="12" t="s">
        <v>274</v>
      </c>
      <c r="H213" s="12" t="s">
        <v>926</v>
      </c>
      <c r="I21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Col2='""&amp;B213&amp;""'"",0)"),2.0)</f>
        <v>2</v>
      </c>
      <c r="J213" s="12">
        <f>IFERROR(__xludf.DUMMYFUNCTION("""COMPUTED_VALUE"""),2.0)</f>
        <v>2</v>
      </c>
      <c r="K213" s="12">
        <f>IFERROR(__xludf.DUMMYFUNCTION("""COMPUTED_VALUE"""),2.0)</f>
        <v>2</v>
      </c>
      <c r="L213" s="12">
        <f>IFERROR(__xludf.DUMMYFUNCTION("""COMPUTED_VALUE"""),2.0)</f>
        <v>2</v>
      </c>
      <c r="M213" s="12" t="str">
        <f>IFERROR(__xludf.DUMMYFUNCTION("""COMPUTED_VALUE"""),"Working")</f>
        <v>Working</v>
      </c>
      <c r="N213" s="12" t="str">
        <f>IFERROR(__xludf.DUMMYFUNCTION("""COMPUTED_VALUE"""),"CORRECT")</f>
        <v>CORRECT</v>
      </c>
      <c r="O213" s="12" t="str">
        <f>IFERROR(__xludf.DUMMYFUNCTION("""COMPUTED_VALUE"""),"CORRECT")</f>
        <v>CORRECT</v>
      </c>
      <c r="P213" s="12" t="str">
        <f t="shared" si="2"/>
        <v/>
      </c>
      <c r="Q213" s="12" t="str">
        <f t="shared" si="3"/>
        <v/>
      </c>
    </row>
    <row r="214">
      <c r="A214" s="1">
        <v>213.0</v>
      </c>
      <c r="B214" s="1" t="s">
        <v>927</v>
      </c>
      <c r="C214" s="1" t="s">
        <v>286</v>
      </c>
      <c r="D214" s="1" t="s">
        <v>928</v>
      </c>
      <c r="E214" s="12" t="str">
        <f t="shared" si="1"/>
        <v>Mrs.RAGAVI M</v>
      </c>
      <c r="F214" s="13" t="s">
        <v>837</v>
      </c>
      <c r="G214" s="12" t="s">
        <v>301</v>
      </c>
      <c r="H214" s="12" t="s">
        <v>929</v>
      </c>
      <c r="I21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Col2='""&amp;B214&amp;""'"",0)"),2.0)</f>
        <v>2</v>
      </c>
      <c r="J214" s="12">
        <f>IFERROR(__xludf.DUMMYFUNCTION("""COMPUTED_VALUE"""),2.0)</f>
        <v>2</v>
      </c>
      <c r="K214" s="12">
        <f>IFERROR(__xludf.DUMMYFUNCTION("""COMPUTED_VALUE"""),2.0)</f>
        <v>2</v>
      </c>
      <c r="L214" s="12">
        <f>IFERROR(__xludf.DUMMYFUNCTION("""COMPUTED_VALUE"""),2.0)</f>
        <v>2</v>
      </c>
      <c r="M214" s="12" t="str">
        <f>IFERROR(__xludf.DUMMYFUNCTION("""COMPUTED_VALUE"""),"Working")</f>
        <v>Working</v>
      </c>
      <c r="N214" s="12" t="str">
        <f>IFERROR(__xludf.DUMMYFUNCTION("""COMPUTED_VALUE"""),"CORRECT")</f>
        <v>CORRECT</v>
      </c>
      <c r="O214" s="12" t="str">
        <f>IFERROR(__xludf.DUMMYFUNCTION("""COMPUTED_VALUE"""),"CORRECT")</f>
        <v>CORRECT</v>
      </c>
      <c r="P214" s="12" t="str">
        <f t="shared" si="2"/>
        <v/>
      </c>
      <c r="Q214" s="12" t="str">
        <f t="shared" si="3"/>
        <v/>
      </c>
    </row>
    <row r="215">
      <c r="A215" s="1">
        <v>214.0</v>
      </c>
      <c r="B215" s="1" t="s">
        <v>930</v>
      </c>
      <c r="C215" s="1" t="s">
        <v>277</v>
      </c>
      <c r="D215" s="1" t="s">
        <v>931</v>
      </c>
      <c r="E215" s="12" t="str">
        <f t="shared" si="1"/>
        <v>Dr.TAMILARASI R</v>
      </c>
      <c r="F215" s="13" t="s">
        <v>837</v>
      </c>
      <c r="G215" s="12" t="s">
        <v>274</v>
      </c>
      <c r="H215" s="12" t="s">
        <v>932</v>
      </c>
      <c r="I215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Col2='""&amp;B215&amp;""'"",0)"),"")</f>
        <v/>
      </c>
      <c r="J215" s="12"/>
      <c r="K215" s="12">
        <f>IFERROR(__xludf.DUMMYFUNCTION("""COMPUTED_VALUE"""),0.0)</f>
        <v>0</v>
      </c>
      <c r="L215" s="12">
        <f>IFERROR(__xludf.DUMMYFUNCTION("""COMPUTED_VALUE"""),0.0)</f>
        <v>0</v>
      </c>
      <c r="M215" s="12" t="str">
        <f>IFERROR(__xludf.DUMMYFUNCTION("""COMPUTED_VALUE"""),"Working")</f>
        <v>Working</v>
      </c>
      <c r="N215" s="12" t="str">
        <f>IFERROR(__xludf.DUMMYFUNCTION("""COMPUTED_VALUE"""),"#N/A")</f>
        <v>#N/A</v>
      </c>
      <c r="O215" s="12" t="str">
        <f>IFERROR(__xludf.DUMMYFUNCTION("""COMPUTED_VALUE"""),"CORRECT")</f>
        <v>CORRECT</v>
      </c>
      <c r="P215" s="12" t="str">
        <f t="shared" si="2"/>
        <v/>
      </c>
      <c r="Q215" s="12" t="str">
        <f t="shared" si="3"/>
        <v/>
      </c>
    </row>
    <row r="216">
      <c r="A216" s="1">
        <v>215.0</v>
      </c>
      <c r="B216" s="1" t="s">
        <v>933</v>
      </c>
      <c r="C216" s="1" t="s">
        <v>286</v>
      </c>
      <c r="D216" s="1" t="s">
        <v>934</v>
      </c>
      <c r="E216" s="12" t="str">
        <f t="shared" si="1"/>
        <v>Mrs.NALIFABEGAM J</v>
      </c>
      <c r="F216" s="13" t="s">
        <v>837</v>
      </c>
      <c r="G216" s="12" t="s">
        <v>301</v>
      </c>
      <c r="H216" s="12" t="s">
        <v>935</v>
      </c>
      <c r="I216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Col2='""&amp;B216&amp;""'"",0)"),"")</f>
        <v/>
      </c>
      <c r="J216" s="12"/>
      <c r="K216" s="12">
        <f>IFERROR(__xludf.DUMMYFUNCTION("""COMPUTED_VALUE"""),0.0)</f>
        <v>0</v>
      </c>
      <c r="L216" s="12">
        <f>IFERROR(__xludf.DUMMYFUNCTION("""COMPUTED_VALUE"""),0.0)</f>
        <v>0</v>
      </c>
      <c r="M216" s="12" t="str">
        <f>IFERROR(__xludf.DUMMYFUNCTION("""COMPUTED_VALUE"""),"Working")</f>
        <v>Working</v>
      </c>
      <c r="N216" s="12" t="str">
        <f>IFERROR(__xludf.DUMMYFUNCTION("""COMPUTED_VALUE"""),"#N/A")</f>
        <v>#N/A</v>
      </c>
      <c r="O216" s="12" t="str">
        <f>IFERROR(__xludf.DUMMYFUNCTION("""COMPUTED_VALUE"""),"CORRECT")</f>
        <v>CORRECT</v>
      </c>
      <c r="P216" s="12" t="str">
        <f t="shared" si="2"/>
        <v/>
      </c>
      <c r="Q216" s="12" t="str">
        <f t="shared" si="3"/>
        <v/>
      </c>
    </row>
    <row r="217">
      <c r="A217" s="1">
        <v>216.0</v>
      </c>
      <c r="B217" s="1" t="s">
        <v>936</v>
      </c>
      <c r="C217" s="1" t="s">
        <v>277</v>
      </c>
      <c r="D217" s="1" t="s">
        <v>937</v>
      </c>
      <c r="E217" s="12" t="str">
        <f t="shared" si="1"/>
        <v>Dr.LINO L</v>
      </c>
      <c r="F217" s="13" t="s">
        <v>837</v>
      </c>
      <c r="G217" s="12" t="s">
        <v>595</v>
      </c>
      <c r="H217" s="12" t="s">
        <v>938</v>
      </c>
      <c r="I217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Col2='""&amp;B217&amp;""'"",0)"),"")</f>
        <v/>
      </c>
      <c r="J217" s="12"/>
      <c r="K217" s="12">
        <f>IFERROR(__xludf.DUMMYFUNCTION("""COMPUTED_VALUE"""),0.0)</f>
        <v>0</v>
      </c>
      <c r="L217" s="12">
        <f>IFERROR(__xludf.DUMMYFUNCTION("""COMPUTED_VALUE"""),0.0)</f>
        <v>0</v>
      </c>
      <c r="M217" s="12" t="str">
        <f>IFERROR(__xludf.DUMMYFUNCTION("""COMPUTED_VALUE"""),"Working")</f>
        <v>Working</v>
      </c>
      <c r="N217" s="12" t="str">
        <f>IFERROR(__xludf.DUMMYFUNCTION("""COMPUTED_VALUE"""),"#N/A")</f>
        <v>#N/A</v>
      </c>
      <c r="O217" s="12" t="str">
        <f>IFERROR(__xludf.DUMMYFUNCTION("""COMPUTED_VALUE"""),"CORRECT")</f>
        <v>CORRECT</v>
      </c>
      <c r="P217" s="12" t="str">
        <f t="shared" si="2"/>
        <v/>
      </c>
      <c r="Q217" s="12" t="str">
        <f t="shared" si="3"/>
        <v/>
      </c>
    </row>
    <row r="218">
      <c r="A218" s="1">
        <v>217.0</v>
      </c>
      <c r="B218" s="1" t="s">
        <v>939</v>
      </c>
      <c r="C218" s="1" t="s">
        <v>277</v>
      </c>
      <c r="D218" s="1" t="s">
        <v>940</v>
      </c>
      <c r="E218" s="12" t="str">
        <f t="shared" si="1"/>
        <v>Dr.HARIKUMAR R</v>
      </c>
      <c r="F218" s="13" t="s">
        <v>837</v>
      </c>
      <c r="G218" s="12" t="s">
        <v>283</v>
      </c>
      <c r="H218" s="12" t="s">
        <v>941</v>
      </c>
      <c r="I21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Col2='""&amp;B218&amp;""'"",0)"),1.0)</f>
        <v>1</v>
      </c>
      <c r="J218" s="12">
        <f>IFERROR(__xludf.DUMMYFUNCTION("""COMPUTED_VALUE"""),1.0)</f>
        <v>1</v>
      </c>
      <c r="K218" s="12">
        <f>IFERROR(__xludf.DUMMYFUNCTION("""COMPUTED_VALUE"""),2.0)</f>
        <v>2</v>
      </c>
      <c r="L218" s="12">
        <f>IFERROR(__xludf.DUMMYFUNCTION("""COMPUTED_VALUE"""),0.0)</f>
        <v>0</v>
      </c>
      <c r="M218" s="12" t="str">
        <f>IFERROR(__xludf.DUMMYFUNCTION("""COMPUTED_VALUE"""),"Working")</f>
        <v>Working</v>
      </c>
      <c r="N218" s="12" t="str">
        <f>IFERROR(__xludf.DUMMYFUNCTION("""COMPUTED_VALUE"""),"CORRECT")</f>
        <v>CORRECT</v>
      </c>
      <c r="O218" s="12" t="str">
        <f>IFERROR(__xludf.DUMMYFUNCTION("""COMPUTED_VALUE"""),"LOAD PENDING")</f>
        <v>LOAD PENDING</v>
      </c>
      <c r="P218" s="12" t="str">
        <f t="shared" si="2"/>
        <v>Extra Theory Load Alloted</v>
      </c>
      <c r="Q218" s="12" t="str">
        <f t="shared" si="3"/>
        <v/>
      </c>
    </row>
    <row r="219">
      <c r="A219" s="1">
        <v>218.0</v>
      </c>
      <c r="B219" s="1" t="s">
        <v>942</v>
      </c>
      <c r="C219" s="1" t="s">
        <v>277</v>
      </c>
      <c r="D219" s="1" t="s">
        <v>943</v>
      </c>
      <c r="E219" s="12" t="str">
        <f t="shared" si="1"/>
        <v>Dr.PRAKASH S P</v>
      </c>
      <c r="F219" s="13" t="s">
        <v>837</v>
      </c>
      <c r="G219" s="12" t="s">
        <v>279</v>
      </c>
      <c r="H219" s="12" t="s">
        <v>944</v>
      </c>
      <c r="I21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Col2='""&amp;B219&amp;""'"",0)"),1.0)</f>
        <v>1</v>
      </c>
      <c r="J219" s="12">
        <f>IFERROR(__xludf.DUMMYFUNCTION("""COMPUTED_VALUE"""),0.0)</f>
        <v>0</v>
      </c>
      <c r="K219" s="12">
        <f>IFERROR(__xludf.DUMMYFUNCTION("""COMPUTED_VALUE"""),1.0)</f>
        <v>1</v>
      </c>
      <c r="L219" s="12">
        <f>IFERROR(__xludf.DUMMYFUNCTION("""COMPUTED_VALUE"""),0.0)</f>
        <v>0</v>
      </c>
      <c r="M219" s="12" t="str">
        <f>IFERROR(__xludf.DUMMYFUNCTION("""COMPUTED_VALUE"""),"Working")</f>
        <v>Working</v>
      </c>
      <c r="N219" s="12" t="str">
        <f>IFERROR(__xludf.DUMMYFUNCTION("""COMPUTED_VALUE"""),"CORRECT")</f>
        <v>CORRECT</v>
      </c>
      <c r="O219" s="12" t="str">
        <f>IFERROR(__xludf.DUMMYFUNCTION("""COMPUTED_VALUE"""),"CORRECT")</f>
        <v>CORRECT</v>
      </c>
      <c r="P219" s="12" t="str">
        <f t="shared" si="2"/>
        <v/>
      </c>
      <c r="Q219" s="12" t="str">
        <f t="shared" si="3"/>
        <v/>
      </c>
    </row>
    <row r="220">
      <c r="A220" s="1">
        <v>219.0</v>
      </c>
      <c r="B220" s="1" t="s">
        <v>945</v>
      </c>
      <c r="C220" s="1" t="s">
        <v>277</v>
      </c>
      <c r="D220" s="1" t="s">
        <v>946</v>
      </c>
      <c r="E220" s="12" t="str">
        <f t="shared" si="1"/>
        <v>Dr.PUSHPAVALLI M</v>
      </c>
      <c r="F220" s="13" t="s">
        <v>837</v>
      </c>
      <c r="G220" s="12" t="s">
        <v>279</v>
      </c>
      <c r="H220" s="12" t="s">
        <v>947</v>
      </c>
      <c r="I22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Col2='""&amp;B220&amp;""'"",0)"),2.0)</f>
        <v>2</v>
      </c>
      <c r="J220" s="12">
        <f>IFERROR(__xludf.DUMMYFUNCTION("""COMPUTED_VALUE"""),1.0)</f>
        <v>1</v>
      </c>
      <c r="K220" s="12">
        <f>IFERROR(__xludf.DUMMYFUNCTION("""COMPUTED_VALUE"""),2.0)</f>
        <v>2</v>
      </c>
      <c r="L220" s="12">
        <f>IFERROR(__xludf.DUMMYFUNCTION("""COMPUTED_VALUE"""),1.0)</f>
        <v>1</v>
      </c>
      <c r="M220" s="12" t="str">
        <f>IFERROR(__xludf.DUMMYFUNCTION("""COMPUTED_VALUE"""),"Working")</f>
        <v>Working</v>
      </c>
      <c r="N220" s="12" t="str">
        <f>IFERROR(__xludf.DUMMYFUNCTION("""COMPUTED_VALUE"""),"CORRECT")</f>
        <v>CORRECT</v>
      </c>
      <c r="O220" s="12" t="str">
        <f>IFERROR(__xludf.DUMMYFUNCTION("""COMPUTED_VALUE"""),"CORRECT")</f>
        <v>CORRECT</v>
      </c>
      <c r="P220" s="12" t="str">
        <f t="shared" si="2"/>
        <v/>
      </c>
      <c r="Q220" s="12" t="str">
        <f t="shared" si="3"/>
        <v/>
      </c>
    </row>
    <row r="221">
      <c r="A221" s="1">
        <v>220.0</v>
      </c>
      <c r="B221" s="1" t="s">
        <v>948</v>
      </c>
      <c r="C221" s="1" t="s">
        <v>271</v>
      </c>
      <c r="D221" s="1" t="s">
        <v>949</v>
      </c>
      <c r="E221" s="12" t="str">
        <f t="shared" si="1"/>
        <v>Mr.NIRMAL KUMAR R</v>
      </c>
      <c r="F221" s="13" t="s">
        <v>837</v>
      </c>
      <c r="G221" s="12" t="s">
        <v>274</v>
      </c>
      <c r="H221" s="12" t="s">
        <v>950</v>
      </c>
      <c r="I22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Col2='""&amp;B221&amp;""'"",0)"),0.0)</f>
        <v>0</v>
      </c>
      <c r="J221" s="12">
        <f>IFERROR(__xludf.DUMMYFUNCTION("""COMPUTED_VALUE"""),0.0)</f>
        <v>0</v>
      </c>
      <c r="K221" s="12">
        <f>IFERROR(__xludf.DUMMYFUNCTION("""COMPUTED_VALUE"""),0.0)</f>
        <v>0</v>
      </c>
      <c r="L221" s="12">
        <f>IFERROR(__xludf.DUMMYFUNCTION("""COMPUTED_VALUE"""),0.0)</f>
        <v>0</v>
      </c>
      <c r="M221" s="12" t="str">
        <f>IFERROR(__xludf.DUMMYFUNCTION("""COMPUTED_VALUE"""),"Working")</f>
        <v>Working</v>
      </c>
      <c r="N221" s="12" t="str">
        <f>IFERROR(__xludf.DUMMYFUNCTION("""COMPUTED_VALUE"""),"CORRECT")</f>
        <v>CORRECT</v>
      </c>
      <c r="O221" s="12" t="str">
        <f>IFERROR(__xludf.DUMMYFUNCTION("""COMPUTED_VALUE"""),"CORRECT")</f>
        <v>CORRECT</v>
      </c>
      <c r="P221" s="12" t="str">
        <f t="shared" si="2"/>
        <v/>
      </c>
      <c r="Q221" s="12" t="str">
        <f t="shared" si="3"/>
        <v/>
      </c>
    </row>
    <row r="222">
      <c r="A222" s="1">
        <v>221.0</v>
      </c>
      <c r="B222" s="1" t="s">
        <v>951</v>
      </c>
      <c r="C222" s="1" t="s">
        <v>277</v>
      </c>
      <c r="D222" s="1" t="s">
        <v>952</v>
      </c>
      <c r="E222" s="12" t="str">
        <f t="shared" si="1"/>
        <v>Dr.RAMYA P</v>
      </c>
      <c r="F222" s="13" t="s">
        <v>837</v>
      </c>
      <c r="G222" s="12" t="s">
        <v>279</v>
      </c>
      <c r="H222" s="12" t="s">
        <v>953</v>
      </c>
      <c r="I22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Col2='""&amp;B222&amp;""'"",0)"),2.0)</f>
        <v>2</v>
      </c>
      <c r="J222" s="12">
        <f>IFERROR(__xludf.DUMMYFUNCTION("""COMPUTED_VALUE"""),1.0)</f>
        <v>1</v>
      </c>
      <c r="K222" s="12">
        <f>IFERROR(__xludf.DUMMYFUNCTION("""COMPUTED_VALUE"""),2.0)</f>
        <v>2</v>
      </c>
      <c r="L222" s="12">
        <f>IFERROR(__xludf.DUMMYFUNCTION("""COMPUTED_VALUE"""),1.0)</f>
        <v>1</v>
      </c>
      <c r="M222" s="12" t="str">
        <f>IFERROR(__xludf.DUMMYFUNCTION("""COMPUTED_VALUE"""),"Working")</f>
        <v>Working</v>
      </c>
      <c r="N222" s="12" t="str">
        <f>IFERROR(__xludf.DUMMYFUNCTION("""COMPUTED_VALUE"""),"CORRECT")</f>
        <v>CORRECT</v>
      </c>
      <c r="O222" s="12" t="str">
        <f>IFERROR(__xludf.DUMMYFUNCTION("""COMPUTED_VALUE"""),"CORRECT")</f>
        <v>CORRECT</v>
      </c>
      <c r="P222" s="12" t="str">
        <f t="shared" si="2"/>
        <v/>
      </c>
      <c r="Q222" s="12" t="str">
        <f t="shared" si="3"/>
        <v/>
      </c>
    </row>
    <row r="223">
      <c r="A223" s="1">
        <v>222.0</v>
      </c>
      <c r="B223" s="1" t="s">
        <v>954</v>
      </c>
      <c r="C223" s="1" t="s">
        <v>277</v>
      </c>
      <c r="D223" s="1" t="s">
        <v>955</v>
      </c>
      <c r="E223" s="12" t="str">
        <f t="shared" si="1"/>
        <v>Dr.SANJOY DEB</v>
      </c>
      <c r="F223" s="13" t="s">
        <v>837</v>
      </c>
      <c r="G223" s="12" t="s">
        <v>283</v>
      </c>
      <c r="H223" s="12" t="s">
        <v>956</v>
      </c>
      <c r="I22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Col2='""&amp;B223&amp;""'"",0)"),1.0)</f>
        <v>1</v>
      </c>
      <c r="J223" s="12">
        <f>IFERROR(__xludf.DUMMYFUNCTION("""COMPUTED_VALUE"""),1.0)</f>
        <v>1</v>
      </c>
      <c r="K223" s="12">
        <f>IFERROR(__xludf.DUMMYFUNCTION("""COMPUTED_VALUE"""),2.0)</f>
        <v>2</v>
      </c>
      <c r="L223" s="12">
        <f>IFERROR(__xludf.DUMMYFUNCTION("""COMPUTED_VALUE"""),0.0)</f>
        <v>0</v>
      </c>
      <c r="M223" s="12" t="str">
        <f>IFERROR(__xludf.DUMMYFUNCTION("""COMPUTED_VALUE"""),"Working")</f>
        <v>Working</v>
      </c>
      <c r="N223" s="12" t="str">
        <f>IFERROR(__xludf.DUMMYFUNCTION("""COMPUTED_VALUE"""),"CORRECT")</f>
        <v>CORRECT</v>
      </c>
      <c r="O223" s="12" t="str">
        <f>IFERROR(__xludf.DUMMYFUNCTION("""COMPUTED_VALUE"""),"LOAD PENDING")</f>
        <v>LOAD PENDING</v>
      </c>
      <c r="P223" s="12" t="str">
        <f t="shared" si="2"/>
        <v>Extra Theory Load Alloted</v>
      </c>
      <c r="Q223" s="12" t="str">
        <f t="shared" si="3"/>
        <v/>
      </c>
    </row>
    <row r="224">
      <c r="A224" s="1">
        <v>223.0</v>
      </c>
      <c r="B224" s="1" t="s">
        <v>957</v>
      </c>
      <c r="C224" s="1" t="s">
        <v>277</v>
      </c>
      <c r="D224" s="1" t="s">
        <v>958</v>
      </c>
      <c r="E224" s="12" t="str">
        <f t="shared" si="1"/>
        <v>Dr.ELANGO S</v>
      </c>
      <c r="F224" s="13" t="s">
        <v>837</v>
      </c>
      <c r="G224" s="12" t="s">
        <v>279</v>
      </c>
      <c r="H224" s="12" t="s">
        <v>959</v>
      </c>
      <c r="I22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Col2='""&amp;B224&amp;""'"",0)"),1.0)</f>
        <v>1</v>
      </c>
      <c r="J224" s="12">
        <f>IFERROR(__xludf.DUMMYFUNCTION("""COMPUTED_VALUE"""),0.0)</f>
        <v>0</v>
      </c>
      <c r="K224" s="12">
        <f>IFERROR(__xludf.DUMMYFUNCTION("""COMPUTED_VALUE"""),2.0)</f>
        <v>2</v>
      </c>
      <c r="L224" s="12">
        <f>IFERROR(__xludf.DUMMYFUNCTION("""COMPUTED_VALUE"""),0.0)</f>
        <v>0</v>
      </c>
      <c r="M224" s="12" t="str">
        <f>IFERROR(__xludf.DUMMYFUNCTION("""COMPUTED_VALUE"""),"Working")</f>
        <v>Working</v>
      </c>
      <c r="N224" s="12" t="str">
        <f>IFERROR(__xludf.DUMMYFUNCTION("""COMPUTED_VALUE"""),"CORRECT")</f>
        <v>CORRECT</v>
      </c>
      <c r="O224" s="12" t="str">
        <f>IFERROR(__xludf.DUMMYFUNCTION("""COMPUTED_VALUE"""),"CORRECT")</f>
        <v>CORRECT</v>
      </c>
      <c r="P224" s="12" t="str">
        <f t="shared" si="2"/>
        <v>Extra Theory Load Alloted</v>
      </c>
      <c r="Q224" s="12" t="str">
        <f t="shared" si="3"/>
        <v/>
      </c>
    </row>
    <row r="225">
      <c r="A225" s="1">
        <v>224.0</v>
      </c>
      <c r="B225" s="1" t="s">
        <v>960</v>
      </c>
      <c r="C225" s="1" t="s">
        <v>277</v>
      </c>
      <c r="D225" s="1" t="s">
        <v>961</v>
      </c>
      <c r="E225" s="12" t="str">
        <f t="shared" si="1"/>
        <v>Dr.DANIEL RAJ A</v>
      </c>
      <c r="F225" s="13" t="s">
        <v>837</v>
      </c>
      <c r="G225" s="12" t="s">
        <v>279</v>
      </c>
      <c r="H225" s="12" t="s">
        <v>962</v>
      </c>
      <c r="I22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Col2='""&amp;B225&amp;""'"",0)"),1.0)</f>
        <v>1</v>
      </c>
      <c r="J225" s="12">
        <f>IFERROR(__xludf.DUMMYFUNCTION("""COMPUTED_VALUE"""),0.0)</f>
        <v>0</v>
      </c>
      <c r="K225" s="12">
        <f>IFERROR(__xludf.DUMMYFUNCTION("""COMPUTED_VALUE"""),2.0)</f>
        <v>2</v>
      </c>
      <c r="L225" s="12">
        <f>IFERROR(__xludf.DUMMYFUNCTION("""COMPUTED_VALUE"""),0.0)</f>
        <v>0</v>
      </c>
      <c r="M225" s="12" t="str">
        <f>IFERROR(__xludf.DUMMYFUNCTION("""COMPUTED_VALUE"""),"Working")</f>
        <v>Working</v>
      </c>
      <c r="N225" s="12" t="str">
        <f>IFERROR(__xludf.DUMMYFUNCTION("""COMPUTED_VALUE"""),"CORRECT")</f>
        <v>CORRECT</v>
      </c>
      <c r="O225" s="12" t="str">
        <f>IFERROR(__xludf.DUMMYFUNCTION("""COMPUTED_VALUE"""),"CORRECT")</f>
        <v>CORRECT</v>
      </c>
      <c r="P225" s="12" t="str">
        <f t="shared" si="2"/>
        <v>Extra Theory Load Alloted</v>
      </c>
      <c r="Q225" s="12" t="str">
        <f t="shared" si="3"/>
        <v/>
      </c>
    </row>
    <row r="226">
      <c r="A226" s="1">
        <v>225.0</v>
      </c>
      <c r="B226" s="1" t="s">
        <v>963</v>
      </c>
      <c r="C226" s="1" t="s">
        <v>277</v>
      </c>
      <c r="D226" s="1" t="s">
        <v>964</v>
      </c>
      <c r="E226" s="12" t="str">
        <f t="shared" si="1"/>
        <v>Dr.SAJAN P PHILIP</v>
      </c>
      <c r="F226" s="13" t="s">
        <v>837</v>
      </c>
      <c r="G226" s="12" t="s">
        <v>279</v>
      </c>
      <c r="H226" s="12" t="s">
        <v>965</v>
      </c>
      <c r="I22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Col2='""&amp;B226&amp;""'"",0)"),1.0)</f>
        <v>1</v>
      </c>
      <c r="J226" s="12">
        <f>IFERROR(__xludf.DUMMYFUNCTION("""COMPUTED_VALUE"""),0.0)</f>
        <v>0</v>
      </c>
      <c r="K226" s="12">
        <f>IFERROR(__xludf.DUMMYFUNCTION("""COMPUTED_VALUE"""),1.0)</f>
        <v>1</v>
      </c>
      <c r="L226" s="12">
        <f>IFERROR(__xludf.DUMMYFUNCTION("""COMPUTED_VALUE"""),0.0)</f>
        <v>0</v>
      </c>
      <c r="M226" s="12" t="str">
        <f>IFERROR(__xludf.DUMMYFUNCTION("""COMPUTED_VALUE"""),"Working")</f>
        <v>Working</v>
      </c>
      <c r="N226" s="12" t="str">
        <f>IFERROR(__xludf.DUMMYFUNCTION("""COMPUTED_VALUE"""),"CORRECT")</f>
        <v>CORRECT</v>
      </c>
      <c r="O226" s="12" t="str">
        <f>IFERROR(__xludf.DUMMYFUNCTION("""COMPUTED_VALUE"""),"CORRECT")</f>
        <v>CORRECT</v>
      </c>
      <c r="P226" s="12" t="str">
        <f t="shared" si="2"/>
        <v/>
      </c>
      <c r="Q226" s="12" t="str">
        <f t="shared" si="3"/>
        <v/>
      </c>
    </row>
    <row r="227">
      <c r="A227" s="1">
        <v>226.0</v>
      </c>
      <c r="B227" s="1" t="s">
        <v>966</v>
      </c>
      <c r="C227" s="1" t="s">
        <v>277</v>
      </c>
      <c r="D227" s="1" t="s">
        <v>967</v>
      </c>
      <c r="E227" s="12" t="str">
        <f t="shared" si="1"/>
        <v>Dr.RAMKUMAR R</v>
      </c>
      <c r="F227" s="13" t="s">
        <v>837</v>
      </c>
      <c r="G227" s="12" t="s">
        <v>279</v>
      </c>
      <c r="H227" s="12" t="s">
        <v>968</v>
      </c>
      <c r="I22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Col2='""&amp;B227&amp;""'"",0)"),1.0)</f>
        <v>1</v>
      </c>
      <c r="J227" s="12">
        <f>IFERROR(__xludf.DUMMYFUNCTION("""COMPUTED_VALUE"""),0.0)</f>
        <v>0</v>
      </c>
      <c r="K227" s="12">
        <f>IFERROR(__xludf.DUMMYFUNCTION("""COMPUTED_VALUE"""),2.0)</f>
        <v>2</v>
      </c>
      <c r="L227" s="12">
        <f>IFERROR(__xludf.DUMMYFUNCTION("""COMPUTED_VALUE"""),0.0)</f>
        <v>0</v>
      </c>
      <c r="M227" s="12" t="str">
        <f>IFERROR(__xludf.DUMMYFUNCTION("""COMPUTED_VALUE"""),"Working")</f>
        <v>Working</v>
      </c>
      <c r="N227" s="12" t="str">
        <f>IFERROR(__xludf.DUMMYFUNCTION("""COMPUTED_VALUE"""),"CORRECT")</f>
        <v>CORRECT</v>
      </c>
      <c r="O227" s="12" t="str">
        <f>IFERROR(__xludf.DUMMYFUNCTION("""COMPUTED_VALUE"""),"CORRECT")</f>
        <v>CORRECT</v>
      </c>
      <c r="P227" s="12" t="str">
        <f t="shared" si="2"/>
        <v>Extra Theory Load Alloted</v>
      </c>
      <c r="Q227" s="12" t="str">
        <f t="shared" si="3"/>
        <v/>
      </c>
    </row>
    <row r="228">
      <c r="A228" s="1">
        <v>227.0</v>
      </c>
      <c r="B228" s="1" t="s">
        <v>969</v>
      </c>
      <c r="C228" s="1" t="s">
        <v>277</v>
      </c>
      <c r="D228" s="1" t="s">
        <v>970</v>
      </c>
      <c r="E228" s="12" t="str">
        <f t="shared" si="1"/>
        <v>Dr.ALEX STANLEY RAJA T</v>
      </c>
      <c r="F228" s="13" t="s">
        <v>971</v>
      </c>
      <c r="G228" s="12" t="s">
        <v>274</v>
      </c>
      <c r="H228" s="12" t="s">
        <v>972</v>
      </c>
      <c r="I22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Col2='""&amp;B228&amp;""'"",0)"),1.0)</f>
        <v>1</v>
      </c>
      <c r="J228" s="12">
        <f>IFERROR(__xludf.DUMMYFUNCTION("""COMPUTED_VALUE"""),0.0)</f>
        <v>0</v>
      </c>
      <c r="K228" s="12">
        <f>IFERROR(__xludf.DUMMYFUNCTION("""COMPUTED_VALUE"""),2.0)</f>
        <v>2</v>
      </c>
      <c r="L228" s="12">
        <f>IFERROR(__xludf.DUMMYFUNCTION("""COMPUTED_VALUE"""),1.0)</f>
        <v>1</v>
      </c>
      <c r="M228" s="12" t="str">
        <f>IFERROR(__xludf.DUMMYFUNCTION("""COMPUTED_VALUE"""),"Working")</f>
        <v>Working</v>
      </c>
      <c r="N228" s="12" t="str">
        <f>IFERROR(__xludf.DUMMYFUNCTION("""COMPUTED_VALUE"""),"CORRECT")</f>
        <v>CORRECT</v>
      </c>
      <c r="O228" s="12" t="str">
        <f>IFERROR(__xludf.DUMMYFUNCTION("""COMPUTED_VALUE"""),"CORRECT")</f>
        <v>CORRECT</v>
      </c>
      <c r="P228" s="12" t="str">
        <f t="shared" si="2"/>
        <v>Extra Theory Load Alloted</v>
      </c>
      <c r="Q228" s="12" t="str">
        <f t="shared" si="3"/>
        <v>Extra Lab Load Alloted</v>
      </c>
    </row>
    <row r="229">
      <c r="A229" s="1">
        <v>228.0</v>
      </c>
      <c r="B229" s="1" t="s">
        <v>973</v>
      </c>
      <c r="C229" s="1" t="s">
        <v>271</v>
      </c>
      <c r="D229" s="1" t="s">
        <v>974</v>
      </c>
      <c r="E229" s="12" t="str">
        <f t="shared" si="1"/>
        <v>Mr.ARUN CHENDHURAN R</v>
      </c>
      <c r="F229" s="13" t="s">
        <v>971</v>
      </c>
      <c r="G229" s="12" t="s">
        <v>274</v>
      </c>
      <c r="H229" s="12" t="s">
        <v>975</v>
      </c>
      <c r="I22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Col2='""&amp;B229&amp;""'"",0)"),2.0)</f>
        <v>2</v>
      </c>
      <c r="J229" s="12">
        <f>IFERROR(__xludf.DUMMYFUNCTION("""COMPUTED_VALUE"""),2.0)</f>
        <v>2</v>
      </c>
      <c r="K229" s="12">
        <f>IFERROR(__xludf.DUMMYFUNCTION("""COMPUTED_VALUE"""),2.0)</f>
        <v>2</v>
      </c>
      <c r="L229" s="12">
        <f>IFERROR(__xludf.DUMMYFUNCTION("""COMPUTED_VALUE"""),2.0)</f>
        <v>2</v>
      </c>
      <c r="M229" s="12" t="str">
        <f>IFERROR(__xludf.DUMMYFUNCTION("""COMPUTED_VALUE"""),"Working")</f>
        <v>Working</v>
      </c>
      <c r="N229" s="12" t="str">
        <f>IFERROR(__xludf.DUMMYFUNCTION("""COMPUTED_VALUE"""),"CORRECT")</f>
        <v>CORRECT</v>
      </c>
      <c r="O229" s="12" t="str">
        <f>IFERROR(__xludf.DUMMYFUNCTION("""COMPUTED_VALUE"""),"CORRECT")</f>
        <v>CORRECT</v>
      </c>
      <c r="P229" s="12" t="str">
        <f t="shared" si="2"/>
        <v/>
      </c>
      <c r="Q229" s="12" t="str">
        <f t="shared" si="3"/>
        <v/>
      </c>
    </row>
    <row r="230">
      <c r="A230" s="1">
        <v>229.0</v>
      </c>
      <c r="B230" s="1" t="s">
        <v>976</v>
      </c>
      <c r="C230" s="1" t="s">
        <v>277</v>
      </c>
      <c r="D230" s="1" t="s">
        <v>977</v>
      </c>
      <c r="E230" s="12" t="str">
        <f t="shared" si="1"/>
        <v>Dr.SATHISHKUMAR S</v>
      </c>
      <c r="F230" s="13" t="s">
        <v>971</v>
      </c>
      <c r="G230" s="12" t="s">
        <v>279</v>
      </c>
      <c r="H230" s="12" t="s">
        <v>978</v>
      </c>
      <c r="I23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Col2='""&amp;B230&amp;""'"",0)"),1.0)</f>
        <v>1</v>
      </c>
      <c r="J230" s="12">
        <f>IFERROR(__xludf.DUMMYFUNCTION("""COMPUTED_VALUE"""),0.0)</f>
        <v>0</v>
      </c>
      <c r="K230" s="12">
        <f>IFERROR(__xludf.DUMMYFUNCTION("""COMPUTED_VALUE"""),2.0)</f>
        <v>2</v>
      </c>
      <c r="L230" s="12">
        <f>IFERROR(__xludf.DUMMYFUNCTION("""COMPUTED_VALUE"""),0.0)</f>
        <v>0</v>
      </c>
      <c r="M230" s="12" t="str">
        <f>IFERROR(__xludf.DUMMYFUNCTION("""COMPUTED_VALUE"""),"Working")</f>
        <v>Working</v>
      </c>
      <c r="N230" s="12" t="str">
        <f>IFERROR(__xludf.DUMMYFUNCTION("""COMPUTED_VALUE"""),"CORRECT")</f>
        <v>CORRECT</v>
      </c>
      <c r="O230" s="12" t="str">
        <f>IFERROR(__xludf.DUMMYFUNCTION("""COMPUTED_VALUE"""),"CORRECT")</f>
        <v>CORRECT</v>
      </c>
      <c r="P230" s="12" t="str">
        <f t="shared" si="2"/>
        <v>Extra Theory Load Alloted</v>
      </c>
      <c r="Q230" s="12" t="str">
        <f t="shared" si="3"/>
        <v/>
      </c>
    </row>
    <row r="231">
      <c r="A231" s="1">
        <v>230.0</v>
      </c>
      <c r="B231" s="1" t="s">
        <v>979</v>
      </c>
      <c r="C231" s="1" t="s">
        <v>277</v>
      </c>
      <c r="D231" s="1" t="s">
        <v>980</v>
      </c>
      <c r="E231" s="12" t="str">
        <f t="shared" si="1"/>
        <v>Dr.BHARANI KUMAR R</v>
      </c>
      <c r="F231" s="13" t="s">
        <v>971</v>
      </c>
      <c r="G231" s="12" t="s">
        <v>283</v>
      </c>
      <c r="H231" s="12" t="s">
        <v>981</v>
      </c>
      <c r="I23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Col2='""&amp;B231&amp;""'"",0)"),0.0)</f>
        <v>0</v>
      </c>
      <c r="J231" s="12">
        <f>IFERROR(__xludf.DUMMYFUNCTION("""COMPUTED_VALUE"""),0.0)</f>
        <v>0</v>
      </c>
      <c r="K231" s="12">
        <f>IFERROR(__xludf.DUMMYFUNCTION("""COMPUTED_VALUE"""),1.0)</f>
        <v>1</v>
      </c>
      <c r="L231" s="12">
        <f>IFERROR(__xludf.DUMMYFUNCTION("""COMPUTED_VALUE"""),0.0)</f>
        <v>0</v>
      </c>
      <c r="M231" s="12" t="str">
        <f>IFERROR(__xludf.DUMMYFUNCTION("""COMPUTED_VALUE"""),"Working")</f>
        <v>Working</v>
      </c>
      <c r="N231" s="12" t="str">
        <f>IFERROR(__xludf.DUMMYFUNCTION("""COMPUTED_VALUE"""),"CORRECT")</f>
        <v>CORRECT</v>
      </c>
      <c r="O231" s="12" t="str">
        <f>IFERROR(__xludf.DUMMYFUNCTION("""COMPUTED_VALUE"""),"CORRECT")</f>
        <v>CORRECT</v>
      </c>
      <c r="P231" s="12" t="str">
        <f t="shared" si="2"/>
        <v>Extra Theory Load Alloted</v>
      </c>
      <c r="Q231" s="12" t="str">
        <f t="shared" si="3"/>
        <v/>
      </c>
    </row>
    <row r="232">
      <c r="A232" s="1">
        <v>231.0</v>
      </c>
      <c r="B232" s="1" t="s">
        <v>982</v>
      </c>
      <c r="C232" s="1" t="s">
        <v>286</v>
      </c>
      <c r="D232" s="1" t="s">
        <v>983</v>
      </c>
      <c r="E232" s="12" t="str">
        <f t="shared" si="1"/>
        <v>Mrs.NITHYA G</v>
      </c>
      <c r="F232" s="13" t="s">
        <v>971</v>
      </c>
      <c r="G232" s="12" t="s">
        <v>274</v>
      </c>
      <c r="H232" s="12" t="s">
        <v>984</v>
      </c>
      <c r="I23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Col2='""&amp;B232&amp;""'"",0)"),2.0)</f>
        <v>2</v>
      </c>
      <c r="J232" s="12">
        <f>IFERROR(__xludf.DUMMYFUNCTION("""COMPUTED_VALUE"""),2.0)</f>
        <v>2</v>
      </c>
      <c r="K232" s="12">
        <f>IFERROR(__xludf.DUMMYFUNCTION("""COMPUTED_VALUE"""),2.0)</f>
        <v>2</v>
      </c>
      <c r="L232" s="12">
        <f>IFERROR(__xludf.DUMMYFUNCTION("""COMPUTED_VALUE"""),2.0)</f>
        <v>2</v>
      </c>
      <c r="M232" s="12" t="str">
        <f>IFERROR(__xludf.DUMMYFUNCTION("""COMPUTED_VALUE"""),"Working")</f>
        <v>Working</v>
      </c>
      <c r="N232" s="12" t="str">
        <f>IFERROR(__xludf.DUMMYFUNCTION("""COMPUTED_VALUE"""),"CORRECT")</f>
        <v>CORRECT</v>
      </c>
      <c r="O232" s="12" t="str">
        <f>IFERROR(__xludf.DUMMYFUNCTION("""COMPUTED_VALUE"""),"CORRECT")</f>
        <v>CORRECT</v>
      </c>
      <c r="P232" s="12" t="str">
        <f t="shared" si="2"/>
        <v/>
      </c>
      <c r="Q232" s="12" t="str">
        <f t="shared" si="3"/>
        <v/>
      </c>
    </row>
    <row r="233">
      <c r="A233" s="1">
        <v>232.0</v>
      </c>
      <c r="B233" s="1" t="s">
        <v>985</v>
      </c>
      <c r="C233" s="1" t="s">
        <v>286</v>
      </c>
      <c r="D233" s="1" t="s">
        <v>986</v>
      </c>
      <c r="E233" s="12" t="str">
        <f t="shared" si="1"/>
        <v>Mrs.MADHUMITHA J</v>
      </c>
      <c r="F233" s="13" t="s">
        <v>971</v>
      </c>
      <c r="G233" s="12" t="s">
        <v>301</v>
      </c>
      <c r="H233" s="12" t="s">
        <v>987</v>
      </c>
      <c r="I23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Col2='""&amp;B233&amp;""'"",0)"),0.0)</f>
        <v>0</v>
      </c>
      <c r="J233" s="12">
        <f>IFERROR(__xludf.DUMMYFUNCTION("""COMPUTED_VALUE"""),0.0)</f>
        <v>0</v>
      </c>
      <c r="K233" s="12">
        <f>IFERROR(__xludf.DUMMYFUNCTION("""COMPUTED_VALUE"""),2.0)</f>
        <v>2</v>
      </c>
      <c r="L233" s="12">
        <f>IFERROR(__xludf.DUMMYFUNCTION("""COMPUTED_VALUE"""),2.0)</f>
        <v>2</v>
      </c>
      <c r="M233" s="12" t="str">
        <f>IFERROR(__xludf.DUMMYFUNCTION("""COMPUTED_VALUE"""),"Working")</f>
        <v>Working</v>
      </c>
      <c r="N233" s="12" t="str">
        <f>IFERROR(__xludf.DUMMYFUNCTION("""COMPUTED_VALUE"""),"CORRECT")</f>
        <v>CORRECT</v>
      </c>
      <c r="O233" s="12" t="str">
        <f>IFERROR(__xludf.DUMMYFUNCTION("""COMPUTED_VALUE"""),"CORRECT")</f>
        <v>CORRECT</v>
      </c>
      <c r="P233" s="12" t="str">
        <f t="shared" si="2"/>
        <v>Extra Theory Load Alloted</v>
      </c>
      <c r="Q233" s="12" t="str">
        <f t="shared" si="3"/>
        <v>Extra Lab Load Alloted</v>
      </c>
    </row>
    <row r="234">
      <c r="A234" s="1">
        <v>233.0</v>
      </c>
      <c r="B234" s="1" t="s">
        <v>988</v>
      </c>
      <c r="C234" s="1" t="s">
        <v>277</v>
      </c>
      <c r="D234" s="1" t="s">
        <v>989</v>
      </c>
      <c r="E234" s="12" t="str">
        <f t="shared" si="1"/>
        <v>Dr.SENTHIL KUMAR J</v>
      </c>
      <c r="F234" s="13" t="s">
        <v>971</v>
      </c>
      <c r="G234" s="12" t="s">
        <v>274</v>
      </c>
      <c r="H234" s="12" t="s">
        <v>990</v>
      </c>
      <c r="I23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Col2='""&amp;B234&amp;""'"",0)"),2.0)</f>
        <v>2</v>
      </c>
      <c r="J234" s="12">
        <f>IFERROR(__xludf.DUMMYFUNCTION("""COMPUTED_VALUE"""),2.0)</f>
        <v>2</v>
      </c>
      <c r="K234" s="12">
        <f>IFERROR(__xludf.DUMMYFUNCTION("""COMPUTED_VALUE"""),2.0)</f>
        <v>2</v>
      </c>
      <c r="L234" s="12">
        <f>IFERROR(__xludf.DUMMYFUNCTION("""COMPUTED_VALUE"""),1.0)</f>
        <v>1</v>
      </c>
      <c r="M234" s="12" t="str">
        <f>IFERROR(__xludf.DUMMYFUNCTION("""COMPUTED_VALUE"""),"Working")</f>
        <v>Working</v>
      </c>
      <c r="N234" s="12" t="str">
        <f>IFERROR(__xludf.DUMMYFUNCTION("""COMPUTED_VALUE"""),"CORRECT")</f>
        <v>CORRECT</v>
      </c>
      <c r="O234" s="12" t="str">
        <f>IFERROR(__xludf.DUMMYFUNCTION("""COMPUTED_VALUE"""),"LOAD PENDING")</f>
        <v>LOAD PENDING</v>
      </c>
      <c r="P234" s="12" t="str">
        <f t="shared" si="2"/>
        <v/>
      </c>
      <c r="Q234" s="12" t="str">
        <f t="shared" si="3"/>
        <v/>
      </c>
    </row>
    <row r="235">
      <c r="A235" s="1">
        <v>234.0</v>
      </c>
      <c r="B235" s="1" t="s">
        <v>991</v>
      </c>
      <c r="C235" s="1" t="s">
        <v>271</v>
      </c>
      <c r="D235" s="1" t="s">
        <v>992</v>
      </c>
      <c r="E235" s="12" t="str">
        <f t="shared" si="1"/>
        <v>Mr.RISHIKESH N</v>
      </c>
      <c r="F235" s="13" t="s">
        <v>971</v>
      </c>
      <c r="G235" s="12" t="s">
        <v>274</v>
      </c>
      <c r="H235" s="12" t="s">
        <v>993</v>
      </c>
      <c r="I23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Col2='""&amp;B235&amp;""'"",0)"),1.0)</f>
        <v>1</v>
      </c>
      <c r="J235" s="12">
        <f>IFERROR(__xludf.DUMMYFUNCTION("""COMPUTED_VALUE"""),0.0)</f>
        <v>0</v>
      </c>
      <c r="K235" s="12">
        <f>IFERROR(__xludf.DUMMYFUNCTION("""COMPUTED_VALUE"""),2.0)</f>
        <v>2</v>
      </c>
      <c r="L235" s="12">
        <f>IFERROR(__xludf.DUMMYFUNCTION("""COMPUTED_VALUE"""),2.0)</f>
        <v>2</v>
      </c>
      <c r="M235" s="12" t="str">
        <f>IFERROR(__xludf.DUMMYFUNCTION("""COMPUTED_VALUE"""),"Working")</f>
        <v>Working</v>
      </c>
      <c r="N235" s="12" t="str">
        <f>IFERROR(__xludf.DUMMYFUNCTION("""COMPUTED_VALUE"""),"CORRECT")</f>
        <v>CORRECT</v>
      </c>
      <c r="O235" s="12" t="str">
        <f>IFERROR(__xludf.DUMMYFUNCTION("""COMPUTED_VALUE"""),"CORRECT")</f>
        <v>CORRECT</v>
      </c>
      <c r="P235" s="12" t="str">
        <f t="shared" si="2"/>
        <v>Extra Theory Load Alloted</v>
      </c>
      <c r="Q235" s="12" t="str">
        <f t="shared" si="3"/>
        <v>Extra Lab Load Alloted</v>
      </c>
    </row>
    <row r="236">
      <c r="A236" s="1">
        <v>235.0</v>
      </c>
      <c r="B236" s="1" t="s">
        <v>994</v>
      </c>
      <c r="C236" s="1" t="s">
        <v>286</v>
      </c>
      <c r="D236" s="1" t="s">
        <v>995</v>
      </c>
      <c r="E236" s="12" t="str">
        <f t="shared" si="1"/>
        <v>Mrs.GOPIKA N P</v>
      </c>
      <c r="F236" s="13" t="s">
        <v>971</v>
      </c>
      <c r="G236" s="12" t="s">
        <v>291</v>
      </c>
      <c r="H236" s="12" t="s">
        <v>996</v>
      </c>
      <c r="I23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Col2='""&amp;B236&amp;""'"",0)"),2.0)</f>
        <v>2</v>
      </c>
      <c r="J236" s="12">
        <f>IFERROR(__xludf.DUMMYFUNCTION("""COMPUTED_VALUE"""),2.0)</f>
        <v>2</v>
      </c>
      <c r="K236" s="12">
        <f>IFERROR(__xludf.DUMMYFUNCTION("""COMPUTED_VALUE"""),2.0)</f>
        <v>2</v>
      </c>
      <c r="L236" s="12">
        <f>IFERROR(__xludf.DUMMYFUNCTION("""COMPUTED_VALUE"""),2.0)</f>
        <v>2</v>
      </c>
      <c r="M236" s="12" t="str">
        <f>IFERROR(__xludf.DUMMYFUNCTION("""COMPUTED_VALUE"""),"Working")</f>
        <v>Working</v>
      </c>
      <c r="N236" s="12" t="str">
        <f>IFERROR(__xludf.DUMMYFUNCTION("""COMPUTED_VALUE"""),"CORRECT")</f>
        <v>CORRECT</v>
      </c>
      <c r="O236" s="12" t="str">
        <f>IFERROR(__xludf.DUMMYFUNCTION("""COMPUTED_VALUE"""),"CORRECT")</f>
        <v>CORRECT</v>
      </c>
      <c r="P236" s="12" t="str">
        <f t="shared" si="2"/>
        <v/>
      </c>
      <c r="Q236" s="12" t="str">
        <f t="shared" si="3"/>
        <v/>
      </c>
    </row>
    <row r="237">
      <c r="A237" s="1">
        <v>236.0</v>
      </c>
      <c r="B237" s="1" t="s">
        <v>997</v>
      </c>
      <c r="C237" s="1" t="s">
        <v>277</v>
      </c>
      <c r="D237" s="1" t="s">
        <v>998</v>
      </c>
      <c r="E237" s="12" t="str">
        <f t="shared" si="1"/>
        <v>Dr.MANOJKUMAR P</v>
      </c>
      <c r="F237" s="13" t="s">
        <v>971</v>
      </c>
      <c r="G237" s="12" t="s">
        <v>279</v>
      </c>
      <c r="H237" s="12" t="s">
        <v>999</v>
      </c>
      <c r="I23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Col2='""&amp;B237&amp;""'"",0)"),1.0)</f>
        <v>1</v>
      </c>
      <c r="J237" s="12">
        <f>IFERROR(__xludf.DUMMYFUNCTION("""COMPUTED_VALUE"""),0.0)</f>
        <v>0</v>
      </c>
      <c r="K237" s="12">
        <f>IFERROR(__xludf.DUMMYFUNCTION("""COMPUTED_VALUE"""),2.0)</f>
        <v>2</v>
      </c>
      <c r="L237" s="12">
        <f>IFERROR(__xludf.DUMMYFUNCTION("""COMPUTED_VALUE"""),1.0)</f>
        <v>1</v>
      </c>
      <c r="M237" s="12" t="str">
        <f>IFERROR(__xludf.DUMMYFUNCTION("""COMPUTED_VALUE"""),"Working")</f>
        <v>Working</v>
      </c>
      <c r="N237" s="12" t="str">
        <f>IFERROR(__xludf.DUMMYFUNCTION("""COMPUTED_VALUE"""),"CORRECT")</f>
        <v>CORRECT</v>
      </c>
      <c r="O237" s="12" t="str">
        <f>IFERROR(__xludf.DUMMYFUNCTION("""COMPUTED_VALUE"""),"CORRECT")</f>
        <v>CORRECT</v>
      </c>
      <c r="P237" s="12" t="str">
        <f t="shared" si="2"/>
        <v>Extra Theory Load Alloted</v>
      </c>
      <c r="Q237" s="12" t="str">
        <f t="shared" si="3"/>
        <v>Extra Lab Load Alloted</v>
      </c>
    </row>
    <row r="238">
      <c r="A238" s="1">
        <v>237.0</v>
      </c>
      <c r="B238" s="1" t="s">
        <v>1000</v>
      </c>
      <c r="C238" s="1" t="s">
        <v>277</v>
      </c>
      <c r="D238" s="1" t="s">
        <v>1001</v>
      </c>
      <c r="E238" s="12" t="str">
        <f t="shared" si="1"/>
        <v>Dr.CHINNADURRAI CL</v>
      </c>
      <c r="F238" s="13" t="s">
        <v>971</v>
      </c>
      <c r="G238" s="12" t="s">
        <v>274</v>
      </c>
      <c r="H238" s="12" t="s">
        <v>1002</v>
      </c>
      <c r="I23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Col2='""&amp;B238&amp;""'"",0)"),1.0)</f>
        <v>1</v>
      </c>
      <c r="J238" s="12">
        <f>IFERROR(__xludf.DUMMYFUNCTION("""COMPUTED_VALUE"""),0.0)</f>
        <v>0</v>
      </c>
      <c r="K238" s="12">
        <f>IFERROR(__xludf.DUMMYFUNCTION("""COMPUTED_VALUE"""),2.0)</f>
        <v>2</v>
      </c>
      <c r="L238" s="12">
        <f>IFERROR(__xludf.DUMMYFUNCTION("""COMPUTED_VALUE"""),1.0)</f>
        <v>1</v>
      </c>
      <c r="M238" s="12" t="str">
        <f>IFERROR(__xludf.DUMMYFUNCTION("""COMPUTED_VALUE"""),"Working")</f>
        <v>Working</v>
      </c>
      <c r="N238" s="12" t="str">
        <f>IFERROR(__xludf.DUMMYFUNCTION("""COMPUTED_VALUE"""),"CORRECT")</f>
        <v>CORRECT</v>
      </c>
      <c r="O238" s="12" t="str">
        <f>IFERROR(__xludf.DUMMYFUNCTION("""COMPUTED_VALUE"""),"CORRECT")</f>
        <v>CORRECT</v>
      </c>
      <c r="P238" s="12" t="str">
        <f t="shared" si="2"/>
        <v>Extra Theory Load Alloted</v>
      </c>
      <c r="Q238" s="12" t="str">
        <f t="shared" si="3"/>
        <v>Extra Lab Load Alloted</v>
      </c>
    </row>
    <row r="239">
      <c r="A239" s="1">
        <v>238.0</v>
      </c>
      <c r="B239" s="1" t="s">
        <v>1003</v>
      </c>
      <c r="C239" s="1" t="s">
        <v>277</v>
      </c>
      <c r="D239" s="1" t="s">
        <v>1004</v>
      </c>
      <c r="E239" s="12" t="str">
        <f t="shared" si="1"/>
        <v>Dr.GOLDVIN SUGIRTHA DHAS B</v>
      </c>
      <c r="F239" s="13" t="s">
        <v>971</v>
      </c>
      <c r="G239" s="12" t="s">
        <v>274</v>
      </c>
      <c r="H239" s="12" t="s">
        <v>1005</v>
      </c>
      <c r="I23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Col2='""&amp;B239&amp;""'"",0)"),2.0)</f>
        <v>2</v>
      </c>
      <c r="J239" s="12">
        <f>IFERROR(__xludf.DUMMYFUNCTION("""COMPUTED_VALUE"""),2.0)</f>
        <v>2</v>
      </c>
      <c r="K239" s="12">
        <f>IFERROR(__xludf.DUMMYFUNCTION("""COMPUTED_VALUE"""),2.0)</f>
        <v>2</v>
      </c>
      <c r="L239" s="12">
        <f>IFERROR(__xludf.DUMMYFUNCTION("""COMPUTED_VALUE"""),2.0)</f>
        <v>2</v>
      </c>
      <c r="M239" s="12" t="str">
        <f>IFERROR(__xludf.DUMMYFUNCTION("""COMPUTED_VALUE"""),"Working")</f>
        <v>Working</v>
      </c>
      <c r="N239" s="12" t="str">
        <f>IFERROR(__xludf.DUMMYFUNCTION("""COMPUTED_VALUE"""),"CORRECT")</f>
        <v>CORRECT</v>
      </c>
      <c r="O239" s="12" t="str">
        <f>IFERROR(__xludf.DUMMYFUNCTION("""COMPUTED_VALUE"""),"CORRECT")</f>
        <v>CORRECT</v>
      </c>
      <c r="P239" s="12" t="str">
        <f t="shared" si="2"/>
        <v/>
      </c>
      <c r="Q239" s="12" t="str">
        <f t="shared" si="3"/>
        <v/>
      </c>
    </row>
    <row r="240">
      <c r="A240" s="1">
        <v>239.0</v>
      </c>
      <c r="B240" s="1" t="s">
        <v>1006</v>
      </c>
      <c r="C240" s="1" t="s">
        <v>286</v>
      </c>
      <c r="D240" s="1" t="s">
        <v>1007</v>
      </c>
      <c r="E240" s="12" t="str">
        <f t="shared" si="1"/>
        <v>Mrs.KIRUTHIKA M</v>
      </c>
      <c r="F240" s="13" t="s">
        <v>971</v>
      </c>
      <c r="G240" s="12" t="s">
        <v>301</v>
      </c>
      <c r="H240" s="12" t="s">
        <v>1008</v>
      </c>
      <c r="I240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Col2='""&amp;B240&amp;""'"",0)"),"")</f>
        <v/>
      </c>
      <c r="J240" s="12"/>
      <c r="K240" s="12">
        <f>IFERROR(__xludf.DUMMYFUNCTION("""COMPUTED_VALUE"""),0.0)</f>
        <v>0</v>
      </c>
      <c r="L240" s="12">
        <f>IFERROR(__xludf.DUMMYFUNCTION("""COMPUTED_VALUE"""),0.0)</f>
        <v>0</v>
      </c>
      <c r="M240" s="12" t="str">
        <f>IFERROR(__xludf.DUMMYFUNCTION("""COMPUTED_VALUE"""),"Working")</f>
        <v>Working</v>
      </c>
      <c r="N240" s="12" t="str">
        <f>IFERROR(__xludf.DUMMYFUNCTION("""COMPUTED_VALUE"""),"#N/A")</f>
        <v>#N/A</v>
      </c>
      <c r="O240" s="12" t="str">
        <f>IFERROR(__xludf.DUMMYFUNCTION("""COMPUTED_VALUE"""),"CORRECT")</f>
        <v>CORRECT</v>
      </c>
      <c r="P240" s="12" t="str">
        <f t="shared" si="2"/>
        <v/>
      </c>
      <c r="Q240" s="12" t="str">
        <f t="shared" si="3"/>
        <v/>
      </c>
    </row>
    <row r="241">
      <c r="A241" s="1">
        <v>240.0</v>
      </c>
      <c r="B241" s="1" t="s">
        <v>1009</v>
      </c>
      <c r="C241" s="1" t="s">
        <v>277</v>
      </c>
      <c r="D241" s="1" t="s">
        <v>1010</v>
      </c>
      <c r="E241" s="12" t="str">
        <f t="shared" si="1"/>
        <v>Dr.SURESH N S</v>
      </c>
      <c r="F241" s="13" t="s">
        <v>971</v>
      </c>
      <c r="G241" s="12" t="s">
        <v>274</v>
      </c>
      <c r="H241" s="12" t="s">
        <v>1011</v>
      </c>
      <c r="I241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Col2='""&amp;B241&amp;""'"",0)"),"")</f>
        <v/>
      </c>
      <c r="J241" s="12"/>
      <c r="K241" s="12">
        <f>IFERROR(__xludf.DUMMYFUNCTION("""COMPUTED_VALUE"""),0.0)</f>
        <v>0</v>
      </c>
      <c r="L241" s="12">
        <f>IFERROR(__xludf.DUMMYFUNCTION("""COMPUTED_VALUE"""),0.0)</f>
        <v>0</v>
      </c>
      <c r="M241" s="12" t="str">
        <f>IFERROR(__xludf.DUMMYFUNCTION("""COMPUTED_VALUE"""),"Working")</f>
        <v>Working</v>
      </c>
      <c r="N241" s="12" t="str">
        <f>IFERROR(__xludf.DUMMYFUNCTION("""COMPUTED_VALUE"""),"#N/A")</f>
        <v>#N/A</v>
      </c>
      <c r="O241" s="12" t="str">
        <f>IFERROR(__xludf.DUMMYFUNCTION("""COMPUTED_VALUE"""),"CORRECT")</f>
        <v>CORRECT</v>
      </c>
      <c r="P241" s="12" t="str">
        <f t="shared" si="2"/>
        <v/>
      </c>
      <c r="Q241" s="12" t="str">
        <f t="shared" si="3"/>
        <v/>
      </c>
    </row>
    <row r="242">
      <c r="A242" s="1">
        <v>241.0</v>
      </c>
      <c r="B242" s="1" t="s">
        <v>1012</v>
      </c>
      <c r="C242" s="1" t="s">
        <v>277</v>
      </c>
      <c r="D242" s="1" t="s">
        <v>1013</v>
      </c>
      <c r="E242" s="12" t="str">
        <f t="shared" si="1"/>
        <v>Dr.SRINIVASAN M</v>
      </c>
      <c r="F242" s="13" t="s">
        <v>971</v>
      </c>
      <c r="G242" s="12" t="s">
        <v>279</v>
      </c>
      <c r="H242" s="12" t="s">
        <v>1014</v>
      </c>
      <c r="I24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Col2='""&amp;B242&amp;""'"",0)"),2.0)</f>
        <v>2</v>
      </c>
      <c r="J242" s="12">
        <f>IFERROR(__xludf.DUMMYFUNCTION("""COMPUTED_VALUE"""),1.0)</f>
        <v>1</v>
      </c>
      <c r="K242" s="12">
        <f>IFERROR(__xludf.DUMMYFUNCTION("""COMPUTED_VALUE"""),2.0)</f>
        <v>2</v>
      </c>
      <c r="L242" s="12">
        <f>IFERROR(__xludf.DUMMYFUNCTION("""COMPUTED_VALUE"""),1.0)</f>
        <v>1</v>
      </c>
      <c r="M242" s="12" t="str">
        <f>IFERROR(__xludf.DUMMYFUNCTION("""COMPUTED_VALUE"""),"Working")</f>
        <v>Working</v>
      </c>
      <c r="N242" s="12" t="str">
        <f>IFERROR(__xludf.DUMMYFUNCTION("""COMPUTED_VALUE"""),"CORRECT")</f>
        <v>CORRECT</v>
      </c>
      <c r="O242" s="12" t="str">
        <f>IFERROR(__xludf.DUMMYFUNCTION("""COMPUTED_VALUE"""),"CORRECT")</f>
        <v>CORRECT</v>
      </c>
      <c r="P242" s="12" t="str">
        <f t="shared" si="2"/>
        <v/>
      </c>
      <c r="Q242" s="12" t="str">
        <f t="shared" si="3"/>
        <v/>
      </c>
    </row>
    <row r="243">
      <c r="A243" s="1">
        <v>242.0</v>
      </c>
      <c r="B243" s="1" t="s">
        <v>1015</v>
      </c>
      <c r="C243" s="1" t="s">
        <v>277</v>
      </c>
      <c r="D243" s="1" t="s">
        <v>1016</v>
      </c>
      <c r="E243" s="12" t="str">
        <f t="shared" si="1"/>
        <v>Dr.RAJALASHMI K</v>
      </c>
      <c r="F243" s="13" t="s">
        <v>971</v>
      </c>
      <c r="G243" s="12" t="s">
        <v>274</v>
      </c>
      <c r="H243" s="12" t="s">
        <v>1017</v>
      </c>
      <c r="I24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Col2='""&amp;B243&amp;""'"",0)"),2.0)</f>
        <v>2</v>
      </c>
      <c r="J243" s="12">
        <f>IFERROR(__xludf.DUMMYFUNCTION("""COMPUTED_VALUE"""),2.0)</f>
        <v>2</v>
      </c>
      <c r="K243" s="12">
        <f>IFERROR(__xludf.DUMMYFUNCTION("""COMPUTED_VALUE"""),2.0)</f>
        <v>2</v>
      </c>
      <c r="L243" s="12">
        <f>IFERROR(__xludf.DUMMYFUNCTION("""COMPUTED_VALUE"""),1.0)</f>
        <v>1</v>
      </c>
      <c r="M243" s="12" t="str">
        <f>IFERROR(__xludf.DUMMYFUNCTION("""COMPUTED_VALUE"""),"Working")</f>
        <v>Working</v>
      </c>
      <c r="N243" s="12" t="str">
        <f>IFERROR(__xludf.DUMMYFUNCTION("""COMPUTED_VALUE"""),"CORRECT")</f>
        <v>CORRECT</v>
      </c>
      <c r="O243" s="12" t="str">
        <f>IFERROR(__xludf.DUMMYFUNCTION("""COMPUTED_VALUE"""),"LOAD PENDING")</f>
        <v>LOAD PENDING</v>
      </c>
      <c r="P243" s="12" t="str">
        <f t="shared" si="2"/>
        <v/>
      </c>
      <c r="Q243" s="12" t="str">
        <f t="shared" si="3"/>
        <v/>
      </c>
    </row>
    <row r="244">
      <c r="A244" s="1">
        <v>243.0</v>
      </c>
      <c r="B244" s="1" t="s">
        <v>1018</v>
      </c>
      <c r="C244" s="1" t="s">
        <v>277</v>
      </c>
      <c r="D244" s="1" t="s">
        <v>1019</v>
      </c>
      <c r="E244" s="12" t="str">
        <f t="shared" si="1"/>
        <v>Dr.SIVARAMAN P</v>
      </c>
      <c r="F244" s="13" t="s">
        <v>971</v>
      </c>
      <c r="G244" s="12" t="s">
        <v>283</v>
      </c>
      <c r="H244" s="12" t="s">
        <v>1020</v>
      </c>
      <c r="I24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Col2='""&amp;B244&amp;""'"",0)"),1.0)</f>
        <v>1</v>
      </c>
      <c r="J244" s="12">
        <f>IFERROR(__xludf.DUMMYFUNCTION("""COMPUTED_VALUE"""),1.0)</f>
        <v>1</v>
      </c>
      <c r="K244" s="12">
        <f>IFERROR(__xludf.DUMMYFUNCTION("""COMPUTED_VALUE"""),2.0)</f>
        <v>2</v>
      </c>
      <c r="L244" s="12">
        <f>IFERROR(__xludf.DUMMYFUNCTION("""COMPUTED_VALUE"""),1.0)</f>
        <v>1</v>
      </c>
      <c r="M244" s="12" t="str">
        <f>IFERROR(__xludf.DUMMYFUNCTION("""COMPUTED_VALUE"""),"Working")</f>
        <v>Working</v>
      </c>
      <c r="N244" s="12" t="str">
        <f>IFERROR(__xludf.DUMMYFUNCTION("""COMPUTED_VALUE"""),"CORRECT")</f>
        <v>CORRECT</v>
      </c>
      <c r="O244" s="12" t="str">
        <f>IFERROR(__xludf.DUMMYFUNCTION("""COMPUTED_VALUE"""),"CORRECT")</f>
        <v>CORRECT</v>
      </c>
      <c r="P244" s="12" t="str">
        <f t="shared" si="2"/>
        <v>Extra Theory Load Alloted</v>
      </c>
      <c r="Q244" s="12" t="str">
        <f t="shared" si="3"/>
        <v/>
      </c>
    </row>
    <row r="245">
      <c r="A245" s="1">
        <v>244.0</v>
      </c>
      <c r="B245" s="1" t="s">
        <v>1021</v>
      </c>
      <c r="C245" s="1" t="s">
        <v>277</v>
      </c>
      <c r="D245" s="1" t="s">
        <v>1022</v>
      </c>
      <c r="E245" s="12" t="str">
        <f t="shared" si="1"/>
        <v>Dr.VEERAKUMAR S</v>
      </c>
      <c r="F245" s="13" t="s">
        <v>971</v>
      </c>
      <c r="G245" s="12" t="s">
        <v>279</v>
      </c>
      <c r="H245" s="12" t="s">
        <v>1023</v>
      </c>
      <c r="I24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Col2='""&amp;B245&amp;""'"",0)"),1.0)</f>
        <v>1</v>
      </c>
      <c r="J245" s="12">
        <f>IFERROR(__xludf.DUMMYFUNCTION("""COMPUTED_VALUE"""),0.0)</f>
        <v>0</v>
      </c>
      <c r="K245" s="12">
        <f>IFERROR(__xludf.DUMMYFUNCTION("""COMPUTED_VALUE"""),2.0)</f>
        <v>2</v>
      </c>
      <c r="L245" s="12">
        <f>IFERROR(__xludf.DUMMYFUNCTION("""COMPUTED_VALUE"""),1.0)</f>
        <v>1</v>
      </c>
      <c r="M245" s="12" t="str">
        <f>IFERROR(__xludf.DUMMYFUNCTION("""COMPUTED_VALUE"""),"Working")</f>
        <v>Working</v>
      </c>
      <c r="N245" s="12" t="str">
        <f>IFERROR(__xludf.DUMMYFUNCTION("""COMPUTED_VALUE"""),"CORRECT")</f>
        <v>CORRECT</v>
      </c>
      <c r="O245" s="12" t="str">
        <f>IFERROR(__xludf.DUMMYFUNCTION("""COMPUTED_VALUE"""),"CORRECT")</f>
        <v>CORRECT</v>
      </c>
      <c r="P245" s="12" t="str">
        <f t="shared" si="2"/>
        <v>Extra Theory Load Alloted</v>
      </c>
      <c r="Q245" s="12" t="str">
        <f t="shared" si="3"/>
        <v>Extra Lab Load Alloted</v>
      </c>
    </row>
    <row r="246">
      <c r="A246" s="1">
        <v>245.0</v>
      </c>
      <c r="B246" s="1" t="s">
        <v>1024</v>
      </c>
      <c r="C246" s="1" t="s">
        <v>277</v>
      </c>
      <c r="D246" s="1" t="s">
        <v>1025</v>
      </c>
      <c r="E246" s="12" t="str">
        <f t="shared" si="1"/>
        <v>Dr.MAHESWARI K T</v>
      </c>
      <c r="F246" s="13" t="s">
        <v>971</v>
      </c>
      <c r="G246" s="12" t="s">
        <v>279</v>
      </c>
      <c r="H246" s="12" t="s">
        <v>1026</v>
      </c>
      <c r="I24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Col2='""&amp;B246&amp;""'"",0)"),1.0)</f>
        <v>1</v>
      </c>
      <c r="J246" s="12">
        <f>IFERROR(__xludf.DUMMYFUNCTION("""COMPUTED_VALUE"""),0.0)</f>
        <v>0</v>
      </c>
      <c r="K246" s="12">
        <f>IFERROR(__xludf.DUMMYFUNCTION("""COMPUTED_VALUE"""),2.0)</f>
        <v>2</v>
      </c>
      <c r="L246" s="12">
        <f>IFERROR(__xludf.DUMMYFUNCTION("""COMPUTED_VALUE"""),0.0)</f>
        <v>0</v>
      </c>
      <c r="M246" s="12" t="str">
        <f>IFERROR(__xludf.DUMMYFUNCTION("""COMPUTED_VALUE"""),"Working")</f>
        <v>Working</v>
      </c>
      <c r="N246" s="12" t="str">
        <f>IFERROR(__xludf.DUMMYFUNCTION("""COMPUTED_VALUE"""),"CORRECT")</f>
        <v>CORRECT</v>
      </c>
      <c r="O246" s="12" t="str">
        <f>IFERROR(__xludf.DUMMYFUNCTION("""COMPUTED_VALUE"""),"CORRECT")</f>
        <v>CORRECT</v>
      </c>
      <c r="P246" s="12" t="str">
        <f t="shared" si="2"/>
        <v>Extra Theory Load Alloted</v>
      </c>
      <c r="Q246" s="12" t="str">
        <f t="shared" si="3"/>
        <v/>
      </c>
    </row>
    <row r="247">
      <c r="A247" s="1">
        <v>246.0</v>
      </c>
      <c r="B247" s="1" t="s">
        <v>1027</v>
      </c>
      <c r="C247" s="1" t="s">
        <v>277</v>
      </c>
      <c r="D247" s="1" t="s">
        <v>1028</v>
      </c>
      <c r="E247" s="12" t="str">
        <f t="shared" si="1"/>
        <v>Dr.NANDHAKUMAR A</v>
      </c>
      <c r="F247" s="13" t="s">
        <v>971</v>
      </c>
      <c r="G247" s="12" t="s">
        <v>274</v>
      </c>
      <c r="H247" s="12" t="s">
        <v>1029</v>
      </c>
      <c r="I24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Col2='""&amp;B247&amp;""'"",0)"),2.0)</f>
        <v>2</v>
      </c>
      <c r="J247" s="12">
        <f>IFERROR(__xludf.DUMMYFUNCTION("""COMPUTED_VALUE"""),2.0)</f>
        <v>2</v>
      </c>
      <c r="K247" s="12">
        <f>IFERROR(__xludf.DUMMYFUNCTION("""COMPUTED_VALUE"""),3.0)</f>
        <v>3</v>
      </c>
      <c r="L247" s="12">
        <f>IFERROR(__xludf.DUMMYFUNCTION("""COMPUTED_VALUE"""),3.0)</f>
        <v>3</v>
      </c>
      <c r="M247" s="12" t="str">
        <f>IFERROR(__xludf.DUMMYFUNCTION("""COMPUTED_VALUE"""),"Working")</f>
        <v>Working</v>
      </c>
      <c r="N247" s="12" t="str">
        <f>IFERROR(__xludf.DUMMYFUNCTION("""COMPUTED_VALUE"""),"CORRECT")</f>
        <v>CORRECT</v>
      </c>
      <c r="O247" s="12" t="str">
        <f>IFERROR(__xludf.DUMMYFUNCTION("""COMPUTED_VALUE"""),"CORRECT")</f>
        <v>CORRECT</v>
      </c>
      <c r="P247" s="12" t="str">
        <f t="shared" si="2"/>
        <v>Extra Theory Load Alloted</v>
      </c>
      <c r="Q247" s="12" t="str">
        <f t="shared" si="3"/>
        <v>Extra Lab Load Alloted</v>
      </c>
    </row>
    <row r="248">
      <c r="A248" s="1">
        <v>247.0</v>
      </c>
      <c r="B248" s="1" t="s">
        <v>1030</v>
      </c>
      <c r="C248" s="1" t="s">
        <v>277</v>
      </c>
      <c r="D248" s="1" t="s">
        <v>1031</v>
      </c>
      <c r="E248" s="12" t="str">
        <f t="shared" si="1"/>
        <v>Dr.SRITHA P</v>
      </c>
      <c r="F248" s="13" t="s">
        <v>971</v>
      </c>
      <c r="G248" s="12" t="s">
        <v>274</v>
      </c>
      <c r="H248" s="12" t="s">
        <v>1032</v>
      </c>
      <c r="I24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Col2='""&amp;B248&amp;""'"",0)"),2.0)</f>
        <v>2</v>
      </c>
      <c r="J248" s="12">
        <f>IFERROR(__xludf.DUMMYFUNCTION("""COMPUTED_VALUE"""),2.0)</f>
        <v>2</v>
      </c>
      <c r="K248" s="12">
        <f>IFERROR(__xludf.DUMMYFUNCTION("""COMPUTED_VALUE"""),2.0)</f>
        <v>2</v>
      </c>
      <c r="L248" s="12">
        <f>IFERROR(__xludf.DUMMYFUNCTION("""COMPUTED_VALUE"""),2.0)</f>
        <v>2</v>
      </c>
      <c r="M248" s="12" t="str">
        <f>IFERROR(__xludf.DUMMYFUNCTION("""COMPUTED_VALUE"""),"Working")</f>
        <v>Working</v>
      </c>
      <c r="N248" s="12" t="str">
        <f>IFERROR(__xludf.DUMMYFUNCTION("""COMPUTED_VALUE"""),"CORRECT")</f>
        <v>CORRECT</v>
      </c>
      <c r="O248" s="12" t="str">
        <f>IFERROR(__xludf.DUMMYFUNCTION("""COMPUTED_VALUE"""),"CORRECT")</f>
        <v>CORRECT</v>
      </c>
      <c r="P248" s="12" t="str">
        <f t="shared" si="2"/>
        <v/>
      </c>
      <c r="Q248" s="12" t="str">
        <f t="shared" si="3"/>
        <v/>
      </c>
    </row>
    <row r="249">
      <c r="A249" s="1">
        <v>248.0</v>
      </c>
      <c r="B249" s="1" t="s">
        <v>1033</v>
      </c>
      <c r="C249" s="1" t="s">
        <v>286</v>
      </c>
      <c r="D249" s="1" t="s">
        <v>1034</v>
      </c>
      <c r="E249" s="12" t="str">
        <f t="shared" si="1"/>
        <v>Mrs.MOHANAPRIYA V</v>
      </c>
      <c r="F249" s="13" t="s">
        <v>971</v>
      </c>
      <c r="G249" s="12" t="s">
        <v>274</v>
      </c>
      <c r="H249" s="12" t="s">
        <v>1035</v>
      </c>
      <c r="I24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Col2='""&amp;B249&amp;""'"",0)"),2.0)</f>
        <v>2</v>
      </c>
      <c r="J249" s="12">
        <f>IFERROR(__xludf.DUMMYFUNCTION("""COMPUTED_VALUE"""),2.0)</f>
        <v>2</v>
      </c>
      <c r="K249" s="12">
        <f>IFERROR(__xludf.DUMMYFUNCTION("""COMPUTED_VALUE"""),2.0)</f>
        <v>2</v>
      </c>
      <c r="L249" s="12">
        <f>IFERROR(__xludf.DUMMYFUNCTION("""COMPUTED_VALUE"""),2.0)</f>
        <v>2</v>
      </c>
      <c r="M249" s="12" t="str">
        <f>IFERROR(__xludf.DUMMYFUNCTION("""COMPUTED_VALUE"""),"Working")</f>
        <v>Working</v>
      </c>
      <c r="N249" s="12" t="str">
        <f>IFERROR(__xludf.DUMMYFUNCTION("""COMPUTED_VALUE"""),"CORRECT")</f>
        <v>CORRECT</v>
      </c>
      <c r="O249" s="12" t="str">
        <f>IFERROR(__xludf.DUMMYFUNCTION("""COMPUTED_VALUE"""),"CORRECT")</f>
        <v>CORRECT</v>
      </c>
      <c r="P249" s="12" t="str">
        <f t="shared" si="2"/>
        <v/>
      </c>
      <c r="Q249" s="12" t="str">
        <f t="shared" si="3"/>
        <v/>
      </c>
    </row>
    <row r="250">
      <c r="A250" s="1">
        <v>249.0</v>
      </c>
      <c r="B250" s="1" t="s">
        <v>1036</v>
      </c>
      <c r="C250" s="1" t="s">
        <v>271</v>
      </c>
      <c r="D250" s="1" t="s">
        <v>1037</v>
      </c>
      <c r="E250" s="12" t="str">
        <f t="shared" si="1"/>
        <v>Mr.SUNDAR S</v>
      </c>
      <c r="F250" s="13" t="s">
        <v>971</v>
      </c>
      <c r="G250" s="12" t="s">
        <v>274</v>
      </c>
      <c r="H250" s="12" t="s">
        <v>1038</v>
      </c>
      <c r="I25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Col2='""&amp;B250&amp;""'"",0)"),2.0)</f>
        <v>2</v>
      </c>
      <c r="J250" s="12">
        <f>IFERROR(__xludf.DUMMYFUNCTION("""COMPUTED_VALUE"""),2.0)</f>
        <v>2</v>
      </c>
      <c r="K250" s="12">
        <f>IFERROR(__xludf.DUMMYFUNCTION("""COMPUTED_VALUE"""),1.0)</f>
        <v>1</v>
      </c>
      <c r="L250" s="12">
        <f>IFERROR(__xludf.DUMMYFUNCTION("""COMPUTED_VALUE"""),1.0)</f>
        <v>1</v>
      </c>
      <c r="M250" s="12" t="str">
        <f>IFERROR(__xludf.DUMMYFUNCTION("""COMPUTED_VALUE"""),"Working")</f>
        <v>Working</v>
      </c>
      <c r="N250" s="12" t="str">
        <f>IFERROR(__xludf.DUMMYFUNCTION("""COMPUTED_VALUE"""),"LOAD PENDING")</f>
        <v>LOAD PENDING</v>
      </c>
      <c r="O250" s="12" t="str">
        <f>IFERROR(__xludf.DUMMYFUNCTION("""COMPUTED_VALUE"""),"LOAD PENDING")</f>
        <v>LOAD PENDING</v>
      </c>
      <c r="P250" s="12" t="str">
        <f t="shared" si="2"/>
        <v/>
      </c>
      <c r="Q250" s="12" t="str">
        <f t="shared" si="3"/>
        <v/>
      </c>
    </row>
    <row r="251">
      <c r="A251" s="1">
        <v>250.0</v>
      </c>
      <c r="B251" s="1" t="s">
        <v>1039</v>
      </c>
      <c r="C251" s="1" t="s">
        <v>277</v>
      </c>
      <c r="D251" s="1" t="s">
        <v>1040</v>
      </c>
      <c r="E251" s="12" t="str">
        <f t="shared" si="1"/>
        <v>Dr.BALAMURUGAN V T</v>
      </c>
      <c r="F251" s="13" t="s">
        <v>1041</v>
      </c>
      <c r="G251" s="12" t="s">
        <v>283</v>
      </c>
      <c r="H251" s="12" t="s">
        <v>1042</v>
      </c>
      <c r="I25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Col2='""&amp;B251&amp;""'"",0)"),1.0)</f>
        <v>1</v>
      </c>
      <c r="J251" s="12">
        <f>IFERROR(__xludf.DUMMYFUNCTION("""COMPUTED_VALUE"""),0.0)</f>
        <v>0</v>
      </c>
      <c r="K251" s="12">
        <f>IFERROR(__xludf.DUMMYFUNCTION("""COMPUTED_VALUE"""),1.0)</f>
        <v>1</v>
      </c>
      <c r="L251" s="12">
        <f>IFERROR(__xludf.DUMMYFUNCTION("""COMPUTED_VALUE"""),0.0)</f>
        <v>0</v>
      </c>
      <c r="M251" s="12" t="str">
        <f>IFERROR(__xludf.DUMMYFUNCTION("""COMPUTED_VALUE"""),"Working")</f>
        <v>Working</v>
      </c>
      <c r="N251" s="12" t="str">
        <f>IFERROR(__xludf.DUMMYFUNCTION("""COMPUTED_VALUE"""),"CORRECT")</f>
        <v>CORRECT</v>
      </c>
      <c r="O251" s="12" t="str">
        <f>IFERROR(__xludf.DUMMYFUNCTION("""COMPUTED_VALUE"""),"CORRECT")</f>
        <v>CORRECT</v>
      </c>
      <c r="P251" s="12" t="str">
        <f t="shared" si="2"/>
        <v/>
      </c>
      <c r="Q251" s="12" t="str">
        <f t="shared" si="3"/>
        <v/>
      </c>
    </row>
    <row r="252">
      <c r="A252" s="1">
        <v>251.0</v>
      </c>
      <c r="B252" s="1" t="s">
        <v>1043</v>
      </c>
      <c r="C252" s="1" t="s">
        <v>277</v>
      </c>
      <c r="D252" s="1" t="s">
        <v>1044</v>
      </c>
      <c r="E252" s="12" t="str">
        <f t="shared" si="1"/>
        <v>Dr.DHANASEKAR R</v>
      </c>
      <c r="F252" s="13" t="s">
        <v>1041</v>
      </c>
      <c r="G252" s="12" t="s">
        <v>274</v>
      </c>
      <c r="H252" s="12" t="s">
        <v>1045</v>
      </c>
      <c r="I25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Col2='""&amp;B252&amp;""'"",0)"),1.0)</f>
        <v>1</v>
      </c>
      <c r="J252" s="12">
        <f>IFERROR(__xludf.DUMMYFUNCTION("""COMPUTED_VALUE"""),0.0)</f>
        <v>0</v>
      </c>
      <c r="K252" s="12">
        <f>IFERROR(__xludf.DUMMYFUNCTION("""COMPUTED_VALUE"""),1.0)</f>
        <v>1</v>
      </c>
      <c r="L252" s="12">
        <f>IFERROR(__xludf.DUMMYFUNCTION("""COMPUTED_VALUE"""),0.0)</f>
        <v>0</v>
      </c>
      <c r="M252" s="12" t="str">
        <f>IFERROR(__xludf.DUMMYFUNCTION("""COMPUTED_VALUE"""),"Working")</f>
        <v>Working</v>
      </c>
      <c r="N252" s="12" t="str">
        <f>IFERROR(__xludf.DUMMYFUNCTION("""COMPUTED_VALUE"""),"CORRECT")</f>
        <v>CORRECT</v>
      </c>
      <c r="O252" s="12" t="str">
        <f>IFERROR(__xludf.DUMMYFUNCTION("""COMPUTED_VALUE"""),"CORRECT")</f>
        <v>CORRECT</v>
      </c>
      <c r="P252" s="12" t="str">
        <f t="shared" si="2"/>
        <v/>
      </c>
      <c r="Q252" s="12" t="str">
        <f t="shared" si="3"/>
        <v/>
      </c>
    </row>
    <row r="253">
      <c r="A253" s="1">
        <v>252.0</v>
      </c>
      <c r="B253" s="1" t="s">
        <v>1046</v>
      </c>
      <c r="C253" s="1" t="s">
        <v>277</v>
      </c>
      <c r="D253" s="1" t="s">
        <v>1047</v>
      </c>
      <c r="E253" s="12" t="str">
        <f t="shared" si="1"/>
        <v>Dr.HARITHA J</v>
      </c>
      <c r="F253" s="13" t="s">
        <v>1041</v>
      </c>
      <c r="G253" s="12" t="s">
        <v>274</v>
      </c>
      <c r="H253" s="12" t="s">
        <v>1048</v>
      </c>
      <c r="I25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Col2='""&amp;B253&amp;""'"",0)"),1.0)</f>
        <v>1</v>
      </c>
      <c r="J253" s="12">
        <f>IFERROR(__xludf.DUMMYFUNCTION("""COMPUTED_VALUE"""),0.0)</f>
        <v>0</v>
      </c>
      <c r="K253" s="12">
        <f>IFERROR(__xludf.DUMMYFUNCTION("""COMPUTED_VALUE"""),1.0)</f>
        <v>1</v>
      </c>
      <c r="L253" s="12">
        <f>IFERROR(__xludf.DUMMYFUNCTION("""COMPUTED_VALUE"""),0.0)</f>
        <v>0</v>
      </c>
      <c r="M253" s="12" t="str">
        <f>IFERROR(__xludf.DUMMYFUNCTION("""COMPUTED_VALUE"""),"Working")</f>
        <v>Working</v>
      </c>
      <c r="N253" s="12" t="str">
        <f>IFERROR(__xludf.DUMMYFUNCTION("""COMPUTED_VALUE"""),"CORRECT")</f>
        <v>CORRECT</v>
      </c>
      <c r="O253" s="12" t="str">
        <f>IFERROR(__xludf.DUMMYFUNCTION("""COMPUTED_VALUE"""),"CORRECT")</f>
        <v>CORRECT</v>
      </c>
      <c r="P253" s="12" t="str">
        <f t="shared" si="2"/>
        <v/>
      </c>
      <c r="Q253" s="12" t="str">
        <f t="shared" si="3"/>
        <v/>
      </c>
    </row>
    <row r="254">
      <c r="A254" s="1">
        <v>253.0</v>
      </c>
      <c r="B254" s="1" t="s">
        <v>1049</v>
      </c>
      <c r="C254" s="1" t="s">
        <v>277</v>
      </c>
      <c r="D254" s="1" t="s">
        <v>1050</v>
      </c>
      <c r="E254" s="12" t="str">
        <f t="shared" si="1"/>
        <v>Dr.NANDHINI K M</v>
      </c>
      <c r="F254" s="13" t="s">
        <v>1041</v>
      </c>
      <c r="G254" s="12" t="s">
        <v>274</v>
      </c>
      <c r="H254" s="12" t="s">
        <v>1051</v>
      </c>
      <c r="I25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Col2='""&amp;B254&amp;""'"",0)"),1.0)</f>
        <v>1</v>
      </c>
      <c r="J254" s="12">
        <f>IFERROR(__xludf.DUMMYFUNCTION("""COMPUTED_VALUE"""),0.0)</f>
        <v>0</v>
      </c>
      <c r="K254" s="12">
        <f>IFERROR(__xludf.DUMMYFUNCTION("""COMPUTED_VALUE"""),0.0)</f>
        <v>0</v>
      </c>
      <c r="L254" s="12">
        <f>IFERROR(__xludf.DUMMYFUNCTION("""COMPUTED_VALUE"""),0.0)</f>
        <v>0</v>
      </c>
      <c r="M254" s="12" t="str">
        <f>IFERROR(__xludf.DUMMYFUNCTION("""COMPUTED_VALUE"""),"Working")</f>
        <v>Working</v>
      </c>
      <c r="N254" s="12" t="str">
        <f>IFERROR(__xludf.DUMMYFUNCTION("""COMPUTED_VALUE"""),"LOAD PENDING")</f>
        <v>LOAD PENDING</v>
      </c>
      <c r="O254" s="12" t="str">
        <f>IFERROR(__xludf.DUMMYFUNCTION("""COMPUTED_VALUE"""),"CORRECT")</f>
        <v>CORRECT</v>
      </c>
      <c r="P254" s="12" t="str">
        <f t="shared" si="2"/>
        <v/>
      </c>
      <c r="Q254" s="12" t="str">
        <f t="shared" si="3"/>
        <v/>
      </c>
    </row>
    <row r="255">
      <c r="A255" s="1">
        <v>254.0</v>
      </c>
      <c r="B255" s="1" t="s">
        <v>1052</v>
      </c>
      <c r="C255" s="1" t="s">
        <v>277</v>
      </c>
      <c r="D255" s="1" t="s">
        <v>1053</v>
      </c>
      <c r="E255" s="12" t="str">
        <f t="shared" si="1"/>
        <v>Dr.SAKTHIYA RAM S</v>
      </c>
      <c r="F255" s="13" t="s">
        <v>1041</v>
      </c>
      <c r="G255" s="12" t="s">
        <v>274</v>
      </c>
      <c r="H255" s="12" t="s">
        <v>1054</v>
      </c>
      <c r="I25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Col2='""&amp;B255&amp;""'"",0)"),0.0)</f>
        <v>0</v>
      </c>
      <c r="J255" s="12">
        <f>IFERROR(__xludf.DUMMYFUNCTION("""COMPUTED_VALUE"""),0.0)</f>
        <v>0</v>
      </c>
      <c r="K255" s="12">
        <f>IFERROR(__xludf.DUMMYFUNCTION("""COMPUTED_VALUE"""),0.0)</f>
        <v>0</v>
      </c>
      <c r="L255" s="12">
        <f>IFERROR(__xludf.DUMMYFUNCTION("""COMPUTED_VALUE"""),0.0)</f>
        <v>0</v>
      </c>
      <c r="M255" s="12" t="str">
        <f>IFERROR(__xludf.DUMMYFUNCTION("""COMPUTED_VALUE"""),"Working")</f>
        <v>Working</v>
      </c>
      <c r="N255" s="12" t="str">
        <f>IFERROR(__xludf.DUMMYFUNCTION("""COMPUTED_VALUE"""),"CORRECT")</f>
        <v>CORRECT</v>
      </c>
      <c r="O255" s="12" t="str">
        <f>IFERROR(__xludf.DUMMYFUNCTION("""COMPUTED_VALUE"""),"CORRECT")</f>
        <v>CORRECT</v>
      </c>
      <c r="P255" s="12" t="str">
        <f t="shared" si="2"/>
        <v/>
      </c>
      <c r="Q255" s="12" t="str">
        <f t="shared" si="3"/>
        <v/>
      </c>
    </row>
    <row r="256">
      <c r="A256" s="1">
        <v>255.0</v>
      </c>
      <c r="B256" s="1" t="s">
        <v>1055</v>
      </c>
      <c r="C256" s="1" t="s">
        <v>277</v>
      </c>
      <c r="D256" s="1" t="s">
        <v>1056</v>
      </c>
      <c r="E256" s="12" t="str">
        <f t="shared" si="1"/>
        <v>Dr.KALAIYARASI M</v>
      </c>
      <c r="F256" s="13" t="s">
        <v>1041</v>
      </c>
      <c r="G256" s="12" t="s">
        <v>279</v>
      </c>
      <c r="H256" s="12" t="s">
        <v>1057</v>
      </c>
      <c r="I25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Col2='""&amp;B256&amp;""'"",0)"),0.0)</f>
        <v>0</v>
      </c>
      <c r="J256" s="12">
        <f>IFERROR(__xludf.DUMMYFUNCTION("""COMPUTED_VALUE"""),0.0)</f>
        <v>0</v>
      </c>
      <c r="K256" s="12">
        <f>IFERROR(__xludf.DUMMYFUNCTION("""COMPUTED_VALUE"""),0.0)</f>
        <v>0</v>
      </c>
      <c r="L256" s="12">
        <f>IFERROR(__xludf.DUMMYFUNCTION("""COMPUTED_VALUE"""),0.0)</f>
        <v>0</v>
      </c>
      <c r="M256" s="12" t="str">
        <f>IFERROR(__xludf.DUMMYFUNCTION("""COMPUTED_VALUE"""),"Working")</f>
        <v>Working</v>
      </c>
      <c r="N256" s="12" t="str">
        <f>IFERROR(__xludf.DUMMYFUNCTION("""COMPUTED_VALUE"""),"CORRECT")</f>
        <v>CORRECT</v>
      </c>
      <c r="O256" s="12" t="str">
        <f>IFERROR(__xludf.DUMMYFUNCTION("""COMPUTED_VALUE"""),"CORRECT")</f>
        <v>CORRECT</v>
      </c>
      <c r="P256" s="12" t="str">
        <f t="shared" si="2"/>
        <v/>
      </c>
      <c r="Q256" s="12" t="str">
        <f t="shared" si="3"/>
        <v/>
      </c>
    </row>
    <row r="257">
      <c r="A257" s="1">
        <v>256.0</v>
      </c>
      <c r="B257" s="1" t="s">
        <v>1058</v>
      </c>
      <c r="C257" s="1" t="s">
        <v>271</v>
      </c>
      <c r="D257" s="1" t="s">
        <v>1059</v>
      </c>
      <c r="E257" s="12" t="str">
        <f t="shared" si="1"/>
        <v>Mr.PRAVIN SAVARIDASS M</v>
      </c>
      <c r="F257" s="13" t="s">
        <v>1041</v>
      </c>
      <c r="G257" s="12" t="s">
        <v>274</v>
      </c>
      <c r="H257" s="12" t="s">
        <v>1060</v>
      </c>
      <c r="I25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Col2='""&amp;B257&amp;""'"",0)"),2.0)</f>
        <v>2</v>
      </c>
      <c r="J257" s="12">
        <f>IFERROR(__xludf.DUMMYFUNCTION("""COMPUTED_VALUE"""),2.0)</f>
        <v>2</v>
      </c>
      <c r="K257" s="12">
        <f>IFERROR(__xludf.DUMMYFUNCTION("""COMPUTED_VALUE"""),2.0)</f>
        <v>2</v>
      </c>
      <c r="L257" s="12">
        <f>IFERROR(__xludf.DUMMYFUNCTION("""COMPUTED_VALUE"""),1.0)</f>
        <v>1</v>
      </c>
      <c r="M257" s="12" t="str">
        <f>IFERROR(__xludf.DUMMYFUNCTION("""COMPUTED_VALUE"""),"Working")</f>
        <v>Working</v>
      </c>
      <c r="N257" s="12" t="str">
        <f>IFERROR(__xludf.DUMMYFUNCTION("""COMPUTED_VALUE"""),"CORRECT")</f>
        <v>CORRECT</v>
      </c>
      <c r="O257" s="12" t="str">
        <f>IFERROR(__xludf.DUMMYFUNCTION("""COMPUTED_VALUE"""),"LOAD PENDING")</f>
        <v>LOAD PENDING</v>
      </c>
      <c r="P257" s="12" t="str">
        <f t="shared" si="2"/>
        <v/>
      </c>
      <c r="Q257" s="12" t="str">
        <f t="shared" si="3"/>
        <v/>
      </c>
    </row>
    <row r="258">
      <c r="A258" s="1">
        <v>257.0</v>
      </c>
      <c r="B258" s="1" t="s">
        <v>1061</v>
      </c>
      <c r="C258" s="1" t="s">
        <v>271</v>
      </c>
      <c r="D258" s="1" t="s">
        <v>1062</v>
      </c>
      <c r="E258" s="12" t="str">
        <f t="shared" si="1"/>
        <v>Mr.PRATHAP M R</v>
      </c>
      <c r="F258" s="13" t="s">
        <v>1041</v>
      </c>
      <c r="G258" s="12" t="s">
        <v>291</v>
      </c>
      <c r="H258" s="12" t="s">
        <v>1063</v>
      </c>
      <c r="I25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Col2='""&amp;B258&amp;""'"",0)"),2.0)</f>
        <v>2</v>
      </c>
      <c r="J258" s="12">
        <f>IFERROR(__xludf.DUMMYFUNCTION("""COMPUTED_VALUE"""),2.0)</f>
        <v>2</v>
      </c>
      <c r="K258" s="12">
        <f>IFERROR(__xludf.DUMMYFUNCTION("""COMPUTED_VALUE"""),2.0)</f>
        <v>2</v>
      </c>
      <c r="L258" s="12">
        <f>IFERROR(__xludf.DUMMYFUNCTION("""COMPUTED_VALUE"""),1.0)</f>
        <v>1</v>
      </c>
      <c r="M258" s="12" t="str">
        <f>IFERROR(__xludf.DUMMYFUNCTION("""COMPUTED_VALUE"""),"Working")</f>
        <v>Working</v>
      </c>
      <c r="N258" s="12" t="str">
        <f>IFERROR(__xludf.DUMMYFUNCTION("""COMPUTED_VALUE"""),"CORRECT")</f>
        <v>CORRECT</v>
      </c>
      <c r="O258" s="12" t="str">
        <f>IFERROR(__xludf.DUMMYFUNCTION("""COMPUTED_VALUE"""),"LOAD PENDING")</f>
        <v>LOAD PENDING</v>
      </c>
      <c r="P258" s="12" t="str">
        <f t="shared" si="2"/>
        <v/>
      </c>
      <c r="Q258" s="12" t="str">
        <f t="shared" si="3"/>
        <v/>
      </c>
    </row>
    <row r="259">
      <c r="A259" s="1">
        <v>258.0</v>
      </c>
      <c r="B259" s="1" t="s">
        <v>1064</v>
      </c>
      <c r="C259" s="1" t="s">
        <v>271</v>
      </c>
      <c r="D259" s="1" t="s">
        <v>1065</v>
      </c>
      <c r="E259" s="12" t="str">
        <f t="shared" si="1"/>
        <v>Mr.KUMARESAN K</v>
      </c>
      <c r="F259" s="13" t="s">
        <v>1041</v>
      </c>
      <c r="G259" s="12" t="s">
        <v>301</v>
      </c>
      <c r="H259" s="12" t="s">
        <v>1066</v>
      </c>
      <c r="I25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Col2='""&amp;B259&amp;""'"",0)"),1.0)</f>
        <v>1</v>
      </c>
      <c r="J259" s="12">
        <f>IFERROR(__xludf.DUMMYFUNCTION("""COMPUTED_VALUE"""),0.0)</f>
        <v>0</v>
      </c>
      <c r="K259" s="12">
        <f>IFERROR(__xludf.DUMMYFUNCTION("""COMPUTED_VALUE"""),1.0)</f>
        <v>1</v>
      </c>
      <c r="L259" s="12">
        <f>IFERROR(__xludf.DUMMYFUNCTION("""COMPUTED_VALUE"""),0.0)</f>
        <v>0</v>
      </c>
      <c r="M259" s="12" t="str">
        <f>IFERROR(__xludf.DUMMYFUNCTION("""COMPUTED_VALUE"""),"Working")</f>
        <v>Working</v>
      </c>
      <c r="N259" s="12" t="str">
        <f>IFERROR(__xludf.DUMMYFUNCTION("""COMPUTED_VALUE"""),"CORRECT")</f>
        <v>CORRECT</v>
      </c>
      <c r="O259" s="12" t="str">
        <f>IFERROR(__xludf.DUMMYFUNCTION("""COMPUTED_VALUE"""),"CORRECT")</f>
        <v>CORRECT</v>
      </c>
      <c r="P259" s="12" t="str">
        <f t="shared" si="2"/>
        <v/>
      </c>
      <c r="Q259" s="12" t="str">
        <f t="shared" si="3"/>
        <v/>
      </c>
    </row>
    <row r="260">
      <c r="A260" s="1">
        <v>259.0</v>
      </c>
      <c r="B260" s="1" t="s">
        <v>1067</v>
      </c>
      <c r="C260" s="1" t="s">
        <v>277</v>
      </c>
      <c r="D260" s="1" t="s">
        <v>1068</v>
      </c>
      <c r="E260" s="12" t="str">
        <f t="shared" si="1"/>
        <v>Dr.GANESH BABU C</v>
      </c>
      <c r="F260" s="13" t="s">
        <v>1041</v>
      </c>
      <c r="G260" s="12" t="s">
        <v>283</v>
      </c>
      <c r="H260" s="12" t="s">
        <v>1069</v>
      </c>
      <c r="I26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Col2='""&amp;B260&amp;""'"",0)"),1.0)</f>
        <v>1</v>
      </c>
      <c r="J260" s="12">
        <f>IFERROR(__xludf.DUMMYFUNCTION("""COMPUTED_VALUE"""),1.0)</f>
        <v>1</v>
      </c>
      <c r="K260" s="12">
        <f>IFERROR(__xludf.DUMMYFUNCTION("""COMPUTED_VALUE"""),2.0)</f>
        <v>2</v>
      </c>
      <c r="L260" s="12">
        <f>IFERROR(__xludf.DUMMYFUNCTION("""COMPUTED_VALUE"""),0.0)</f>
        <v>0</v>
      </c>
      <c r="M260" s="12" t="str">
        <f>IFERROR(__xludf.DUMMYFUNCTION("""COMPUTED_VALUE"""),"Working")</f>
        <v>Working</v>
      </c>
      <c r="N260" s="12" t="str">
        <f>IFERROR(__xludf.DUMMYFUNCTION("""COMPUTED_VALUE"""),"CORRECT")</f>
        <v>CORRECT</v>
      </c>
      <c r="O260" s="12" t="str">
        <f>IFERROR(__xludf.DUMMYFUNCTION("""COMPUTED_VALUE"""),"LOAD PENDING")</f>
        <v>LOAD PENDING</v>
      </c>
      <c r="P260" s="12" t="str">
        <f t="shared" si="2"/>
        <v>Extra Theory Load Alloted</v>
      </c>
      <c r="Q260" s="12" t="str">
        <f t="shared" si="3"/>
        <v/>
      </c>
    </row>
    <row r="261">
      <c r="A261" s="1">
        <v>260.0</v>
      </c>
      <c r="B261" s="1" t="s">
        <v>1070</v>
      </c>
      <c r="C261" s="1" t="s">
        <v>277</v>
      </c>
      <c r="D261" s="1" t="s">
        <v>1071</v>
      </c>
      <c r="E261" s="12" t="str">
        <f t="shared" si="1"/>
        <v>Dr.VAIRAVEL K S</v>
      </c>
      <c r="F261" s="13" t="s">
        <v>1041</v>
      </c>
      <c r="G261" s="12" t="s">
        <v>279</v>
      </c>
      <c r="H261" s="12" t="s">
        <v>1072</v>
      </c>
      <c r="I26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Col2='""&amp;B261&amp;""'"",0)"),1.0)</f>
        <v>1</v>
      </c>
      <c r="J261" s="12">
        <f>IFERROR(__xludf.DUMMYFUNCTION("""COMPUTED_VALUE"""),0.0)</f>
        <v>0</v>
      </c>
      <c r="K261" s="12">
        <f>IFERROR(__xludf.DUMMYFUNCTION("""COMPUTED_VALUE"""),1.0)</f>
        <v>1</v>
      </c>
      <c r="L261" s="12">
        <f>IFERROR(__xludf.DUMMYFUNCTION("""COMPUTED_VALUE"""),0.0)</f>
        <v>0</v>
      </c>
      <c r="M261" s="12" t="str">
        <f>IFERROR(__xludf.DUMMYFUNCTION("""COMPUTED_VALUE"""),"Working")</f>
        <v>Working</v>
      </c>
      <c r="N261" s="12" t="str">
        <f>IFERROR(__xludf.DUMMYFUNCTION("""COMPUTED_VALUE"""),"CORRECT")</f>
        <v>CORRECT</v>
      </c>
      <c r="O261" s="12" t="str">
        <f>IFERROR(__xludf.DUMMYFUNCTION("""COMPUTED_VALUE"""),"CORRECT")</f>
        <v>CORRECT</v>
      </c>
      <c r="P261" s="12" t="str">
        <f t="shared" si="2"/>
        <v/>
      </c>
      <c r="Q261" s="12" t="str">
        <f t="shared" si="3"/>
        <v/>
      </c>
    </row>
    <row r="262">
      <c r="A262" s="1">
        <v>261.0</v>
      </c>
      <c r="B262" s="1" t="s">
        <v>1073</v>
      </c>
      <c r="C262" s="1" t="s">
        <v>277</v>
      </c>
      <c r="D262" s="1" t="s">
        <v>1074</v>
      </c>
      <c r="E262" s="12" t="str">
        <f t="shared" si="1"/>
        <v>Dr.SUDHAHAR S</v>
      </c>
      <c r="F262" s="13" t="s">
        <v>1041</v>
      </c>
      <c r="G262" s="12" t="s">
        <v>279</v>
      </c>
      <c r="H262" s="12" t="s">
        <v>1075</v>
      </c>
      <c r="I26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Col2='""&amp;B262&amp;""'"",0)"),2.0)</f>
        <v>2</v>
      </c>
      <c r="J262" s="12">
        <f>IFERROR(__xludf.DUMMYFUNCTION("""COMPUTED_VALUE"""),1.0)</f>
        <v>1</v>
      </c>
      <c r="K262" s="12">
        <f>IFERROR(__xludf.DUMMYFUNCTION("""COMPUTED_VALUE"""),2.0)</f>
        <v>2</v>
      </c>
      <c r="L262" s="12">
        <f>IFERROR(__xludf.DUMMYFUNCTION("""COMPUTED_VALUE"""),1.0)</f>
        <v>1</v>
      </c>
      <c r="M262" s="12" t="str">
        <f>IFERROR(__xludf.DUMMYFUNCTION("""COMPUTED_VALUE"""),"Working")</f>
        <v>Working</v>
      </c>
      <c r="N262" s="12" t="str">
        <f>IFERROR(__xludf.DUMMYFUNCTION("""COMPUTED_VALUE"""),"CORRECT")</f>
        <v>CORRECT</v>
      </c>
      <c r="O262" s="12" t="str">
        <f>IFERROR(__xludf.DUMMYFUNCTION("""COMPUTED_VALUE"""),"CORRECT")</f>
        <v>CORRECT</v>
      </c>
      <c r="P262" s="12" t="str">
        <f t="shared" si="2"/>
        <v/>
      </c>
      <c r="Q262" s="12" t="str">
        <f t="shared" si="3"/>
        <v/>
      </c>
    </row>
    <row r="263">
      <c r="A263" s="1">
        <v>262.0</v>
      </c>
      <c r="B263" s="1" t="s">
        <v>1076</v>
      </c>
      <c r="C263" s="1" t="s">
        <v>277</v>
      </c>
      <c r="D263" s="1" t="s">
        <v>1077</v>
      </c>
      <c r="E263" s="12" t="str">
        <f t="shared" si="1"/>
        <v>Dr.ARUN JAYAKAR S</v>
      </c>
      <c r="F263" s="13" t="s">
        <v>1041</v>
      </c>
      <c r="G263" s="12" t="s">
        <v>279</v>
      </c>
      <c r="H263" s="12" t="s">
        <v>1078</v>
      </c>
      <c r="I26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Col2='""&amp;B263&amp;""'"",0)"),1.0)</f>
        <v>1</v>
      </c>
      <c r="J263" s="12">
        <f>IFERROR(__xludf.DUMMYFUNCTION("""COMPUTED_VALUE"""),0.0)</f>
        <v>0</v>
      </c>
      <c r="K263" s="12">
        <f>IFERROR(__xludf.DUMMYFUNCTION("""COMPUTED_VALUE"""),1.0)</f>
        <v>1</v>
      </c>
      <c r="L263" s="12">
        <f>IFERROR(__xludf.DUMMYFUNCTION("""COMPUTED_VALUE"""),0.0)</f>
        <v>0</v>
      </c>
      <c r="M263" s="12" t="str">
        <f>IFERROR(__xludf.DUMMYFUNCTION("""COMPUTED_VALUE"""),"Working")</f>
        <v>Working</v>
      </c>
      <c r="N263" s="12" t="str">
        <f>IFERROR(__xludf.DUMMYFUNCTION("""COMPUTED_VALUE"""),"CORRECT")</f>
        <v>CORRECT</v>
      </c>
      <c r="O263" s="12" t="str">
        <f>IFERROR(__xludf.DUMMYFUNCTION("""COMPUTED_VALUE"""),"CORRECT")</f>
        <v>CORRECT</v>
      </c>
      <c r="P263" s="12" t="str">
        <f t="shared" si="2"/>
        <v/>
      </c>
      <c r="Q263" s="12" t="str">
        <f t="shared" si="3"/>
        <v/>
      </c>
    </row>
    <row r="264">
      <c r="A264" s="1">
        <v>263.0</v>
      </c>
      <c r="B264" s="1" t="s">
        <v>1079</v>
      </c>
      <c r="C264" s="1" t="s">
        <v>271</v>
      </c>
      <c r="D264" s="1" t="s">
        <v>1080</v>
      </c>
      <c r="E264" s="12" t="str">
        <f t="shared" si="1"/>
        <v>Mr.GOWRISHANKAR L</v>
      </c>
      <c r="F264" s="13" t="s">
        <v>1081</v>
      </c>
      <c r="G264" s="12" t="s">
        <v>274</v>
      </c>
      <c r="H264" s="12" t="s">
        <v>1082</v>
      </c>
      <c r="I26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Col2='""&amp;B264&amp;""'"",0)"),1.0)</f>
        <v>1</v>
      </c>
      <c r="J264" s="12">
        <f>IFERROR(__xludf.DUMMYFUNCTION("""COMPUTED_VALUE"""),0.0)</f>
        <v>0</v>
      </c>
      <c r="K264" s="12">
        <f>IFERROR(__xludf.DUMMYFUNCTION("""COMPUTED_VALUE"""),1.0)</f>
        <v>1</v>
      </c>
      <c r="L264" s="12">
        <f>IFERROR(__xludf.DUMMYFUNCTION("""COMPUTED_VALUE"""),0.0)</f>
        <v>0</v>
      </c>
      <c r="M264" s="12" t="str">
        <f>IFERROR(__xludf.DUMMYFUNCTION("""COMPUTED_VALUE"""),"Working")</f>
        <v>Working</v>
      </c>
      <c r="N264" s="12" t="str">
        <f>IFERROR(__xludf.DUMMYFUNCTION("""COMPUTED_VALUE"""),"CORRECT")</f>
        <v>CORRECT</v>
      </c>
      <c r="O264" s="12" t="str">
        <f>IFERROR(__xludf.DUMMYFUNCTION("""COMPUTED_VALUE"""),"CORRECT")</f>
        <v>CORRECT</v>
      </c>
      <c r="P264" s="12" t="str">
        <f t="shared" si="2"/>
        <v/>
      </c>
      <c r="Q264" s="12" t="str">
        <f t="shared" si="3"/>
        <v/>
      </c>
    </row>
    <row r="265">
      <c r="A265" s="1">
        <v>264.0</v>
      </c>
      <c r="B265" s="1" t="s">
        <v>1083</v>
      </c>
      <c r="C265" s="1" t="s">
        <v>307</v>
      </c>
      <c r="D265" s="1" t="s">
        <v>1084</v>
      </c>
      <c r="E265" s="12" t="str">
        <f t="shared" si="1"/>
        <v>Ms.PIDATHALA SAHITYA</v>
      </c>
      <c r="F265" s="13" t="s">
        <v>1081</v>
      </c>
      <c r="G265" s="12" t="s">
        <v>301</v>
      </c>
      <c r="H265" s="12" t="s">
        <v>1085</v>
      </c>
      <c r="I26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Col2='""&amp;B265&amp;""'"",0)"),2.0)</f>
        <v>2</v>
      </c>
      <c r="J265" s="12">
        <f>IFERROR(__xludf.DUMMYFUNCTION("""COMPUTED_VALUE"""),2.0)</f>
        <v>2</v>
      </c>
      <c r="K265" s="12">
        <f>IFERROR(__xludf.DUMMYFUNCTION("""COMPUTED_VALUE"""),3.0)</f>
        <v>3</v>
      </c>
      <c r="L265" s="12">
        <f>IFERROR(__xludf.DUMMYFUNCTION("""COMPUTED_VALUE"""),0.0)</f>
        <v>0</v>
      </c>
      <c r="M265" s="12" t="str">
        <f>IFERROR(__xludf.DUMMYFUNCTION("""COMPUTED_VALUE"""),"Working")</f>
        <v>Working</v>
      </c>
      <c r="N265" s="12" t="str">
        <f>IFERROR(__xludf.DUMMYFUNCTION("""COMPUTED_VALUE"""),"CORRECT")</f>
        <v>CORRECT</v>
      </c>
      <c r="O265" s="12" t="str">
        <f>IFERROR(__xludf.DUMMYFUNCTION("""COMPUTED_VALUE"""),"LOAD PENDING")</f>
        <v>LOAD PENDING</v>
      </c>
      <c r="P265" s="12" t="str">
        <f t="shared" si="2"/>
        <v>Extra Theory Load Alloted</v>
      </c>
      <c r="Q265" s="12" t="str">
        <f t="shared" si="3"/>
        <v/>
      </c>
    </row>
    <row r="266">
      <c r="A266" s="1">
        <v>265.0</v>
      </c>
      <c r="B266" s="1" t="s">
        <v>1086</v>
      </c>
      <c r="C266" s="1" t="s">
        <v>307</v>
      </c>
      <c r="D266" s="1" t="s">
        <v>1087</v>
      </c>
      <c r="E266" s="12" t="str">
        <f t="shared" si="1"/>
        <v>Ms.NITHIYA PRIYA B T</v>
      </c>
      <c r="F266" s="13" t="s">
        <v>1081</v>
      </c>
      <c r="G266" s="12" t="s">
        <v>301</v>
      </c>
      <c r="H266" s="12" t="s">
        <v>1088</v>
      </c>
      <c r="I26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Col2='""&amp;B266&amp;""'"",0)"),2.0)</f>
        <v>2</v>
      </c>
      <c r="J266" s="12">
        <f>IFERROR(__xludf.DUMMYFUNCTION("""COMPUTED_VALUE"""),2.0)</f>
        <v>2</v>
      </c>
      <c r="K266" s="12">
        <f>IFERROR(__xludf.DUMMYFUNCTION("""COMPUTED_VALUE"""),2.0)</f>
        <v>2</v>
      </c>
      <c r="L266" s="12">
        <f>IFERROR(__xludf.DUMMYFUNCTION("""COMPUTED_VALUE"""),1.0)</f>
        <v>1</v>
      </c>
      <c r="M266" s="12" t="str">
        <f>IFERROR(__xludf.DUMMYFUNCTION("""COMPUTED_VALUE"""),"Working")</f>
        <v>Working</v>
      </c>
      <c r="N266" s="12" t="str">
        <f>IFERROR(__xludf.DUMMYFUNCTION("""COMPUTED_VALUE"""),"CORRECT")</f>
        <v>CORRECT</v>
      </c>
      <c r="O266" s="12" t="str">
        <f>IFERROR(__xludf.DUMMYFUNCTION("""COMPUTED_VALUE"""),"LOAD PENDING")</f>
        <v>LOAD PENDING</v>
      </c>
      <c r="P266" s="12" t="str">
        <f t="shared" si="2"/>
        <v/>
      </c>
      <c r="Q266" s="12" t="str">
        <f t="shared" si="3"/>
        <v/>
      </c>
    </row>
    <row r="267">
      <c r="A267" s="1">
        <v>266.0</v>
      </c>
      <c r="B267" s="1" t="s">
        <v>1089</v>
      </c>
      <c r="C267" s="1" t="s">
        <v>277</v>
      </c>
      <c r="D267" s="1" t="s">
        <v>1090</v>
      </c>
      <c r="E267" s="12" t="str">
        <f t="shared" si="1"/>
        <v>Dr.ARUNASREE TNA</v>
      </c>
      <c r="F267" s="13" t="s">
        <v>1081</v>
      </c>
      <c r="G267" s="12" t="s">
        <v>291</v>
      </c>
      <c r="H267" s="12" t="s">
        <v>1091</v>
      </c>
      <c r="I26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Col2='""&amp;B267&amp;""'"",0)"),1.0)</f>
        <v>1</v>
      </c>
      <c r="J267" s="12">
        <f>IFERROR(__xludf.DUMMYFUNCTION("""COMPUTED_VALUE"""),0.0)</f>
        <v>0</v>
      </c>
      <c r="K267" s="12">
        <f>IFERROR(__xludf.DUMMYFUNCTION("""COMPUTED_VALUE"""),1.0)</f>
        <v>1</v>
      </c>
      <c r="L267" s="12">
        <f>IFERROR(__xludf.DUMMYFUNCTION("""COMPUTED_VALUE"""),0.0)</f>
        <v>0</v>
      </c>
      <c r="M267" s="12" t="str">
        <f>IFERROR(__xludf.DUMMYFUNCTION("""COMPUTED_VALUE"""),"Working")</f>
        <v>Working</v>
      </c>
      <c r="N267" s="12" t="str">
        <f>IFERROR(__xludf.DUMMYFUNCTION("""COMPUTED_VALUE"""),"CORRECT")</f>
        <v>CORRECT</v>
      </c>
      <c r="O267" s="12" t="str">
        <f>IFERROR(__xludf.DUMMYFUNCTION("""COMPUTED_VALUE"""),"CORRECT")</f>
        <v>CORRECT</v>
      </c>
      <c r="P267" s="12" t="str">
        <f t="shared" si="2"/>
        <v/>
      </c>
      <c r="Q267" s="12" t="str">
        <f t="shared" si="3"/>
        <v/>
      </c>
    </row>
    <row r="268">
      <c r="A268" s="1">
        <v>267.0</v>
      </c>
      <c r="B268" s="1" t="s">
        <v>1092</v>
      </c>
      <c r="C268" s="1" t="s">
        <v>307</v>
      </c>
      <c r="D268" s="1" t="s">
        <v>1093</v>
      </c>
      <c r="E268" s="12" t="str">
        <f t="shared" si="1"/>
        <v>Ms.SIVARAHINI K</v>
      </c>
      <c r="F268" s="13" t="s">
        <v>1081</v>
      </c>
      <c r="G268" s="12" t="s">
        <v>301</v>
      </c>
      <c r="H268" s="12" t="s">
        <v>1094</v>
      </c>
      <c r="I26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Col2='""&amp;B268&amp;""'"",0)"),2.0)</f>
        <v>2</v>
      </c>
      <c r="J268" s="12">
        <f>IFERROR(__xludf.DUMMYFUNCTION("""COMPUTED_VALUE"""),2.0)</f>
        <v>2</v>
      </c>
      <c r="K268" s="12">
        <f>IFERROR(__xludf.DUMMYFUNCTION("""COMPUTED_VALUE"""),3.0)</f>
        <v>3</v>
      </c>
      <c r="L268" s="12">
        <f>IFERROR(__xludf.DUMMYFUNCTION("""COMPUTED_VALUE"""),0.0)</f>
        <v>0</v>
      </c>
      <c r="M268" s="12" t="str">
        <f>IFERROR(__xludf.DUMMYFUNCTION("""COMPUTED_VALUE"""),"Working")</f>
        <v>Working</v>
      </c>
      <c r="N268" s="12" t="str">
        <f>IFERROR(__xludf.DUMMYFUNCTION("""COMPUTED_VALUE"""),"CORRECT")</f>
        <v>CORRECT</v>
      </c>
      <c r="O268" s="12" t="str">
        <f>IFERROR(__xludf.DUMMYFUNCTION("""COMPUTED_VALUE"""),"LOAD PENDING")</f>
        <v>LOAD PENDING</v>
      </c>
      <c r="P268" s="12" t="str">
        <f t="shared" si="2"/>
        <v>Extra Theory Load Alloted</v>
      </c>
      <c r="Q268" s="12" t="str">
        <f t="shared" si="3"/>
        <v/>
      </c>
    </row>
    <row r="269">
      <c r="A269" s="1">
        <v>268.0</v>
      </c>
      <c r="B269" s="1" t="s">
        <v>1095</v>
      </c>
      <c r="C269" s="1" t="s">
        <v>271</v>
      </c>
      <c r="D269" s="1" t="s">
        <v>1096</v>
      </c>
      <c r="E269" s="12" t="str">
        <f t="shared" si="1"/>
        <v>Mr.EDAMAKANTI RAMANJI REDDY</v>
      </c>
      <c r="F269" s="13" t="s">
        <v>1081</v>
      </c>
      <c r="G269" s="12" t="s">
        <v>301</v>
      </c>
      <c r="H269" s="12" t="s">
        <v>1097</v>
      </c>
      <c r="I26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Col2='""&amp;B269&amp;""'"",0)"),1.0)</f>
        <v>1</v>
      </c>
      <c r="J269" s="12">
        <f>IFERROR(__xludf.DUMMYFUNCTION("""COMPUTED_VALUE"""),1.0)</f>
        <v>1</v>
      </c>
      <c r="K269" s="12">
        <f>IFERROR(__xludf.DUMMYFUNCTION("""COMPUTED_VALUE"""),1.0)</f>
        <v>1</v>
      </c>
      <c r="L269" s="12">
        <f>IFERROR(__xludf.DUMMYFUNCTION("""COMPUTED_VALUE"""),1.0)</f>
        <v>1</v>
      </c>
      <c r="M269" s="12" t="str">
        <f>IFERROR(__xludf.DUMMYFUNCTION("""COMPUTED_VALUE"""),"Working")</f>
        <v>Working</v>
      </c>
      <c r="N269" s="12" t="str">
        <f>IFERROR(__xludf.DUMMYFUNCTION("""COMPUTED_VALUE"""),"CORRECT")</f>
        <v>CORRECT</v>
      </c>
      <c r="O269" s="12" t="str">
        <f>IFERROR(__xludf.DUMMYFUNCTION("""COMPUTED_VALUE"""),"CORRECT")</f>
        <v>CORRECT</v>
      </c>
      <c r="P269" s="12" t="str">
        <f t="shared" si="2"/>
        <v/>
      </c>
      <c r="Q269" s="12" t="str">
        <f t="shared" si="3"/>
        <v/>
      </c>
    </row>
    <row r="270">
      <c r="A270" s="1">
        <v>269.0</v>
      </c>
      <c r="B270" s="1" t="s">
        <v>1098</v>
      </c>
      <c r="C270" s="1" t="s">
        <v>286</v>
      </c>
      <c r="D270" s="1" t="s">
        <v>1099</v>
      </c>
      <c r="E270" s="12" t="str">
        <f t="shared" si="1"/>
        <v>Mrs.SARANYA D V</v>
      </c>
      <c r="F270" s="13" t="s">
        <v>1100</v>
      </c>
      <c r="G270" s="12" t="s">
        <v>274</v>
      </c>
      <c r="H270" s="12" t="s">
        <v>1101</v>
      </c>
      <c r="I27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Col2='""&amp;B270&amp;""'"",0)"),1.0)</f>
        <v>1</v>
      </c>
      <c r="J270" s="12">
        <f>IFERROR(__xludf.DUMMYFUNCTION("""COMPUTED_VALUE"""),0.0)</f>
        <v>0</v>
      </c>
      <c r="K270" s="12">
        <f>IFERROR(__xludf.DUMMYFUNCTION("""COMPUTED_VALUE"""),1.0)</f>
        <v>1</v>
      </c>
      <c r="L270" s="12">
        <f>IFERROR(__xludf.DUMMYFUNCTION("""COMPUTED_VALUE"""),0.0)</f>
        <v>0</v>
      </c>
      <c r="M270" s="12" t="str">
        <f>IFERROR(__xludf.DUMMYFUNCTION("""COMPUTED_VALUE"""),"Working")</f>
        <v>Working</v>
      </c>
      <c r="N270" s="12" t="str">
        <f>IFERROR(__xludf.DUMMYFUNCTION("""COMPUTED_VALUE"""),"CORRECT")</f>
        <v>CORRECT</v>
      </c>
      <c r="O270" s="12" t="str">
        <f>IFERROR(__xludf.DUMMYFUNCTION("""COMPUTED_VALUE"""),"CORRECT")</f>
        <v>CORRECT</v>
      </c>
      <c r="P270" s="12" t="str">
        <f t="shared" si="2"/>
        <v/>
      </c>
      <c r="Q270" s="12" t="str">
        <f t="shared" si="3"/>
        <v/>
      </c>
    </row>
    <row r="271">
      <c r="A271" s="1">
        <v>270.0</v>
      </c>
      <c r="B271" s="1" t="s">
        <v>1102</v>
      </c>
      <c r="C271" s="1" t="s">
        <v>286</v>
      </c>
      <c r="D271" s="1" t="s">
        <v>1103</v>
      </c>
      <c r="E271" s="12" t="str">
        <f t="shared" si="1"/>
        <v>Mrs.MEKALA N</v>
      </c>
      <c r="F271" s="13" t="s">
        <v>1100</v>
      </c>
      <c r="G271" s="12" t="s">
        <v>291</v>
      </c>
      <c r="H271" s="12" t="s">
        <v>1104</v>
      </c>
      <c r="I27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Col2='""&amp;B271&amp;""'"",0)"),2.0)</f>
        <v>2</v>
      </c>
      <c r="J271" s="12">
        <f>IFERROR(__xludf.DUMMYFUNCTION("""COMPUTED_VALUE"""),2.0)</f>
        <v>2</v>
      </c>
      <c r="K271" s="12">
        <f>IFERROR(__xludf.DUMMYFUNCTION("""COMPUTED_VALUE"""),2.0)</f>
        <v>2</v>
      </c>
      <c r="L271" s="12">
        <f>IFERROR(__xludf.DUMMYFUNCTION("""COMPUTED_VALUE"""),0.0)</f>
        <v>0</v>
      </c>
      <c r="M271" s="12" t="str">
        <f>IFERROR(__xludf.DUMMYFUNCTION("""COMPUTED_VALUE"""),"Working")</f>
        <v>Working</v>
      </c>
      <c r="N271" s="12" t="str">
        <f>IFERROR(__xludf.DUMMYFUNCTION("""COMPUTED_VALUE"""),"CORRECT")</f>
        <v>CORRECT</v>
      </c>
      <c r="O271" s="12" t="str">
        <f>IFERROR(__xludf.DUMMYFUNCTION("""COMPUTED_VALUE"""),"LOAD PENDING")</f>
        <v>LOAD PENDING</v>
      </c>
      <c r="P271" s="12" t="str">
        <f t="shared" si="2"/>
        <v/>
      </c>
      <c r="Q271" s="12" t="str">
        <f t="shared" si="3"/>
        <v/>
      </c>
    </row>
    <row r="272">
      <c r="A272" s="1">
        <v>271.0</v>
      </c>
      <c r="B272" s="1" t="s">
        <v>1105</v>
      </c>
      <c r="C272" s="1" t="s">
        <v>277</v>
      </c>
      <c r="D272" s="1" t="s">
        <v>1106</v>
      </c>
      <c r="E272" s="12" t="str">
        <f t="shared" si="1"/>
        <v>Dr.MOHAN BHARATHI C</v>
      </c>
      <c r="F272" s="13" t="s">
        <v>1100</v>
      </c>
      <c r="G272" s="12" t="s">
        <v>274</v>
      </c>
      <c r="H272" s="12" t="s">
        <v>1107</v>
      </c>
      <c r="I27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Col2='""&amp;B272&amp;""'"",0)"),2.0)</f>
        <v>2</v>
      </c>
      <c r="J272" s="12">
        <f>IFERROR(__xludf.DUMMYFUNCTION("""COMPUTED_VALUE"""),2.0)</f>
        <v>2</v>
      </c>
      <c r="K272" s="12">
        <f>IFERROR(__xludf.DUMMYFUNCTION("""COMPUTED_VALUE"""),2.0)</f>
        <v>2</v>
      </c>
      <c r="L272" s="12">
        <f>IFERROR(__xludf.DUMMYFUNCTION("""COMPUTED_VALUE"""),0.0)</f>
        <v>0</v>
      </c>
      <c r="M272" s="12" t="str">
        <f>IFERROR(__xludf.DUMMYFUNCTION("""COMPUTED_VALUE"""),"Working")</f>
        <v>Working</v>
      </c>
      <c r="N272" s="12" t="str">
        <f>IFERROR(__xludf.DUMMYFUNCTION("""COMPUTED_VALUE"""),"CORRECT")</f>
        <v>CORRECT</v>
      </c>
      <c r="O272" s="12" t="str">
        <f>IFERROR(__xludf.DUMMYFUNCTION("""COMPUTED_VALUE"""),"LOAD PENDING")</f>
        <v>LOAD PENDING</v>
      </c>
      <c r="P272" s="12" t="str">
        <f t="shared" si="2"/>
        <v/>
      </c>
      <c r="Q272" s="12" t="str">
        <f t="shared" si="3"/>
        <v/>
      </c>
    </row>
    <row r="273">
      <c r="A273" s="1">
        <v>272.0</v>
      </c>
      <c r="B273" s="1" t="s">
        <v>1108</v>
      </c>
      <c r="C273" s="1" t="s">
        <v>277</v>
      </c>
      <c r="D273" s="1" t="s">
        <v>1109</v>
      </c>
      <c r="E273" s="12" t="str">
        <f t="shared" si="1"/>
        <v>Dr.AJAI A</v>
      </c>
      <c r="F273" s="13" t="s">
        <v>1110</v>
      </c>
      <c r="G273" s="12" t="s">
        <v>301</v>
      </c>
      <c r="H273" s="12" t="s">
        <v>1111</v>
      </c>
      <c r="I27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Col2='""&amp;B273&amp;""'"",0)"),1.0)</f>
        <v>1</v>
      </c>
      <c r="J273" s="12">
        <f>IFERROR(__xludf.DUMMYFUNCTION("""COMPUTED_VALUE"""),0.0)</f>
        <v>0</v>
      </c>
      <c r="K273" s="12">
        <f>IFERROR(__xludf.DUMMYFUNCTION("""COMPUTED_VALUE"""),0.0)</f>
        <v>0</v>
      </c>
      <c r="L273" s="12">
        <f>IFERROR(__xludf.DUMMYFUNCTION("""COMPUTED_VALUE"""),3.0)</f>
        <v>3</v>
      </c>
      <c r="M273" s="12" t="str">
        <f>IFERROR(__xludf.DUMMYFUNCTION("""COMPUTED_VALUE"""),"Working")</f>
        <v>Working</v>
      </c>
      <c r="N273" s="12" t="str">
        <f>IFERROR(__xludf.DUMMYFUNCTION("""COMPUTED_VALUE"""),"LOAD PENDING")</f>
        <v>LOAD PENDING</v>
      </c>
      <c r="O273" s="12" t="str">
        <f>IFERROR(__xludf.DUMMYFUNCTION("""COMPUTED_VALUE"""),"CORRECT")</f>
        <v>CORRECT</v>
      </c>
      <c r="P273" s="12" t="str">
        <f t="shared" si="2"/>
        <v/>
      </c>
      <c r="Q273" s="12" t="str">
        <f t="shared" si="3"/>
        <v>Extra Lab Load Alloted</v>
      </c>
    </row>
    <row r="274">
      <c r="A274" s="1">
        <v>273.0</v>
      </c>
      <c r="B274" s="1" t="s">
        <v>1112</v>
      </c>
      <c r="C274" s="1" t="s">
        <v>277</v>
      </c>
      <c r="D274" s="1" t="s">
        <v>1113</v>
      </c>
      <c r="E274" s="12" t="str">
        <f t="shared" si="1"/>
        <v>Dr.SAGUNTHALA DEVI P</v>
      </c>
      <c r="F274" s="13" t="s">
        <v>1110</v>
      </c>
      <c r="G274" s="12" t="s">
        <v>301</v>
      </c>
      <c r="H274" s="12" t="s">
        <v>1114</v>
      </c>
      <c r="I27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Col2='""&amp;B274&amp;""'"",0)"),2.0)</f>
        <v>2</v>
      </c>
      <c r="J274" s="12">
        <f>IFERROR(__xludf.DUMMYFUNCTION("""COMPUTED_VALUE"""),2.0)</f>
        <v>2</v>
      </c>
      <c r="K274" s="12">
        <f>IFERROR(__xludf.DUMMYFUNCTION("""COMPUTED_VALUE"""),0.0)</f>
        <v>0</v>
      </c>
      <c r="L274" s="12">
        <f>IFERROR(__xludf.DUMMYFUNCTION("""COMPUTED_VALUE"""),11.0)</f>
        <v>11</v>
      </c>
      <c r="M274" s="12" t="str">
        <f>IFERROR(__xludf.DUMMYFUNCTION("""COMPUTED_VALUE"""),"Working")</f>
        <v>Working</v>
      </c>
      <c r="N274" s="12" t="str">
        <f>IFERROR(__xludf.DUMMYFUNCTION("""COMPUTED_VALUE"""),"LOAD PENDING")</f>
        <v>LOAD PENDING</v>
      </c>
      <c r="O274" s="12" t="str">
        <f>IFERROR(__xludf.DUMMYFUNCTION("""COMPUTED_VALUE"""),"CORRECT")</f>
        <v>CORRECT</v>
      </c>
      <c r="P274" s="12" t="str">
        <f t="shared" si="2"/>
        <v/>
      </c>
      <c r="Q274" s="12" t="str">
        <f t="shared" si="3"/>
        <v>Extra Lab Load Alloted</v>
      </c>
    </row>
    <row r="275">
      <c r="A275" s="1">
        <v>274.0</v>
      </c>
      <c r="B275" s="1" t="s">
        <v>1115</v>
      </c>
      <c r="C275" s="1" t="s">
        <v>307</v>
      </c>
      <c r="D275" s="1" t="s">
        <v>1116</v>
      </c>
      <c r="E275" s="12" t="str">
        <f t="shared" si="1"/>
        <v>Ms.KAMALI D</v>
      </c>
      <c r="F275" s="13" t="s">
        <v>1110</v>
      </c>
      <c r="G275" s="12" t="s">
        <v>301</v>
      </c>
      <c r="H275" s="12" t="s">
        <v>1117</v>
      </c>
      <c r="I27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Col2='""&amp;B275&amp;""'"",0)"),2.0)</f>
        <v>2</v>
      </c>
      <c r="J275" s="12">
        <f>IFERROR(__xludf.DUMMYFUNCTION("""COMPUTED_VALUE"""),2.0)</f>
        <v>2</v>
      </c>
      <c r="K275" s="12">
        <f>IFERROR(__xludf.DUMMYFUNCTION("""COMPUTED_VALUE"""),0.0)</f>
        <v>0</v>
      </c>
      <c r="L275" s="12">
        <f>IFERROR(__xludf.DUMMYFUNCTION("""COMPUTED_VALUE"""),12.0)</f>
        <v>12</v>
      </c>
      <c r="M275" s="12" t="str">
        <f>IFERROR(__xludf.DUMMYFUNCTION("""COMPUTED_VALUE"""),"Working")</f>
        <v>Working</v>
      </c>
      <c r="N275" s="12" t="str">
        <f>IFERROR(__xludf.DUMMYFUNCTION("""COMPUTED_VALUE"""),"LOAD PENDING")</f>
        <v>LOAD PENDING</v>
      </c>
      <c r="O275" s="12" t="str">
        <f>IFERROR(__xludf.DUMMYFUNCTION("""COMPUTED_VALUE"""),"CORRECT")</f>
        <v>CORRECT</v>
      </c>
      <c r="P275" s="12" t="str">
        <f t="shared" si="2"/>
        <v/>
      </c>
      <c r="Q275" s="12" t="str">
        <f t="shared" si="3"/>
        <v>Extra Lab Load Alloted</v>
      </c>
    </row>
    <row r="276">
      <c r="A276" s="1">
        <v>275.0</v>
      </c>
      <c r="B276" s="14" t="s">
        <v>1118</v>
      </c>
      <c r="C276" s="14" t="s">
        <v>277</v>
      </c>
      <c r="D276" s="14" t="s">
        <v>1119</v>
      </c>
      <c r="E276" s="12" t="str">
        <f t="shared" si="1"/>
        <v>Dr.GAYATHRI G M</v>
      </c>
      <c r="F276" s="13" t="s">
        <v>1110</v>
      </c>
      <c r="G276" s="12" t="s">
        <v>301</v>
      </c>
      <c r="H276" s="12" t="s">
        <v>1120</v>
      </c>
      <c r="I27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Col2='""&amp;B276&amp;""'"",0)"),2.0)</f>
        <v>2</v>
      </c>
      <c r="J276" s="12">
        <f>IFERROR(__xludf.DUMMYFUNCTION("""COMPUTED_VALUE"""),2.0)</f>
        <v>2</v>
      </c>
      <c r="K276" s="12">
        <f>IFERROR(__xludf.DUMMYFUNCTION("""COMPUTED_VALUE"""),0.0)</f>
        <v>0</v>
      </c>
      <c r="L276" s="12">
        <f>IFERROR(__xludf.DUMMYFUNCTION("""COMPUTED_VALUE"""),7.0)</f>
        <v>7</v>
      </c>
      <c r="M276" s="12" t="str">
        <f>IFERROR(__xludf.DUMMYFUNCTION("""COMPUTED_VALUE"""),"Working")</f>
        <v>Working</v>
      </c>
      <c r="N276" s="12" t="str">
        <f>IFERROR(__xludf.DUMMYFUNCTION("""COMPUTED_VALUE"""),"LOAD PENDING")</f>
        <v>LOAD PENDING</v>
      </c>
      <c r="O276" s="12" t="str">
        <f>IFERROR(__xludf.DUMMYFUNCTION("""COMPUTED_VALUE"""),"CORRECT")</f>
        <v>CORRECT</v>
      </c>
      <c r="P276" s="12" t="str">
        <f t="shared" si="2"/>
        <v/>
      </c>
      <c r="Q276" s="12" t="str">
        <f t="shared" si="3"/>
        <v>Extra Lab Load Alloted</v>
      </c>
    </row>
    <row r="277">
      <c r="A277" s="1">
        <v>276.0</v>
      </c>
      <c r="B277" s="1" t="s">
        <v>1121</v>
      </c>
      <c r="C277" s="1" t="s">
        <v>277</v>
      </c>
      <c r="D277" s="1" t="s">
        <v>1122</v>
      </c>
      <c r="E277" s="12" t="str">
        <f t="shared" si="1"/>
        <v>Dr.ASLIN JERUSHA D</v>
      </c>
      <c r="F277" s="13" t="s">
        <v>1110</v>
      </c>
      <c r="G277" s="12" t="s">
        <v>301</v>
      </c>
      <c r="H277" s="12" t="s">
        <v>1123</v>
      </c>
      <c r="I27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Col2='""&amp;B277&amp;""'"",0)"),2.0)</f>
        <v>2</v>
      </c>
      <c r="J277" s="12">
        <f>IFERROR(__xludf.DUMMYFUNCTION("""COMPUTED_VALUE"""),2.0)</f>
        <v>2</v>
      </c>
      <c r="K277" s="12">
        <f>IFERROR(__xludf.DUMMYFUNCTION("""COMPUTED_VALUE"""),0.0)</f>
        <v>0</v>
      </c>
      <c r="L277" s="12">
        <f>IFERROR(__xludf.DUMMYFUNCTION("""COMPUTED_VALUE"""),7.0)</f>
        <v>7</v>
      </c>
      <c r="M277" s="12" t="str">
        <f>IFERROR(__xludf.DUMMYFUNCTION("""COMPUTED_VALUE"""),"Working")</f>
        <v>Working</v>
      </c>
      <c r="N277" s="12" t="str">
        <f>IFERROR(__xludf.DUMMYFUNCTION("""COMPUTED_VALUE"""),"LOAD PENDING")</f>
        <v>LOAD PENDING</v>
      </c>
      <c r="O277" s="12" t="str">
        <f>IFERROR(__xludf.DUMMYFUNCTION("""COMPUTED_VALUE"""),"CORRECT")</f>
        <v>CORRECT</v>
      </c>
      <c r="P277" s="12" t="str">
        <f t="shared" si="2"/>
        <v/>
      </c>
      <c r="Q277" s="12" t="str">
        <f t="shared" si="3"/>
        <v>Extra Lab Load Alloted</v>
      </c>
    </row>
    <row r="278">
      <c r="A278" s="1">
        <v>277.0</v>
      </c>
      <c r="B278" s="1" t="s">
        <v>1124</v>
      </c>
      <c r="C278" s="1" t="s">
        <v>277</v>
      </c>
      <c r="D278" s="1" t="s">
        <v>1125</v>
      </c>
      <c r="E278" s="12" t="str">
        <f t="shared" si="1"/>
        <v>Dr.EZHIL G</v>
      </c>
      <c r="F278" s="13" t="s">
        <v>1110</v>
      </c>
      <c r="G278" s="12" t="s">
        <v>301</v>
      </c>
      <c r="H278" s="12" t="s">
        <v>1126</v>
      </c>
      <c r="I27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Col2='""&amp;B278&amp;""'"",0)"),2.0)</f>
        <v>2</v>
      </c>
      <c r="J278" s="12">
        <f>IFERROR(__xludf.DUMMYFUNCTION("""COMPUTED_VALUE"""),2.0)</f>
        <v>2</v>
      </c>
      <c r="K278" s="12">
        <f>IFERROR(__xludf.DUMMYFUNCTION("""COMPUTED_VALUE"""),0.0)</f>
        <v>0</v>
      </c>
      <c r="L278" s="12">
        <f>IFERROR(__xludf.DUMMYFUNCTION("""COMPUTED_VALUE"""),5.0)</f>
        <v>5</v>
      </c>
      <c r="M278" s="12" t="str">
        <f>IFERROR(__xludf.DUMMYFUNCTION("""COMPUTED_VALUE"""),"Working")</f>
        <v>Working</v>
      </c>
      <c r="N278" s="12" t="str">
        <f>IFERROR(__xludf.DUMMYFUNCTION("""COMPUTED_VALUE"""),"LOAD PENDING")</f>
        <v>LOAD PENDING</v>
      </c>
      <c r="O278" s="12" t="str">
        <f>IFERROR(__xludf.DUMMYFUNCTION("""COMPUTED_VALUE"""),"CORRECT")</f>
        <v>CORRECT</v>
      </c>
      <c r="P278" s="12" t="str">
        <f t="shared" si="2"/>
        <v/>
      </c>
      <c r="Q278" s="12" t="str">
        <f t="shared" si="3"/>
        <v>Extra Lab Load Alloted</v>
      </c>
    </row>
    <row r="279">
      <c r="A279" s="1">
        <v>278.0</v>
      </c>
      <c r="B279" s="1" t="s">
        <v>1127</v>
      </c>
      <c r="C279" s="1" t="s">
        <v>277</v>
      </c>
      <c r="D279" s="1" t="s">
        <v>1128</v>
      </c>
      <c r="E279" s="12" t="str">
        <f t="shared" si="1"/>
        <v>Dr.NITHYA S</v>
      </c>
      <c r="F279" s="13" t="s">
        <v>1110</v>
      </c>
      <c r="G279" s="12" t="s">
        <v>301</v>
      </c>
      <c r="H279" s="12" t="s">
        <v>1129</v>
      </c>
      <c r="I27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Col2='""&amp;B279&amp;""'"",0)"),2.0)</f>
        <v>2</v>
      </c>
      <c r="J279" s="12">
        <f>IFERROR(__xludf.DUMMYFUNCTION("""COMPUTED_VALUE"""),2.0)</f>
        <v>2</v>
      </c>
      <c r="K279" s="12">
        <f>IFERROR(__xludf.DUMMYFUNCTION("""COMPUTED_VALUE"""),0.0)</f>
        <v>0</v>
      </c>
      <c r="L279" s="12">
        <f>IFERROR(__xludf.DUMMYFUNCTION("""COMPUTED_VALUE"""),10.0)</f>
        <v>10</v>
      </c>
      <c r="M279" s="12" t="str">
        <f>IFERROR(__xludf.DUMMYFUNCTION("""COMPUTED_VALUE"""),"Working")</f>
        <v>Working</v>
      </c>
      <c r="N279" s="12" t="str">
        <f>IFERROR(__xludf.DUMMYFUNCTION("""COMPUTED_VALUE"""),"LOAD PENDING")</f>
        <v>LOAD PENDING</v>
      </c>
      <c r="O279" s="12" t="str">
        <f>IFERROR(__xludf.DUMMYFUNCTION("""COMPUTED_VALUE"""),"CORRECT")</f>
        <v>CORRECT</v>
      </c>
      <c r="P279" s="12" t="str">
        <f t="shared" si="2"/>
        <v/>
      </c>
      <c r="Q279" s="12" t="str">
        <f t="shared" si="3"/>
        <v>Extra Lab Load Alloted</v>
      </c>
    </row>
    <row r="280">
      <c r="A280" s="1">
        <v>279.0</v>
      </c>
      <c r="B280" s="1" t="s">
        <v>1130</v>
      </c>
      <c r="C280" s="1" t="s">
        <v>271</v>
      </c>
      <c r="D280" s="1" t="s">
        <v>1131</v>
      </c>
      <c r="E280" s="12" t="str">
        <f t="shared" si="1"/>
        <v>Mr.SHYAMSUNDAR S</v>
      </c>
      <c r="F280" s="13" t="s">
        <v>1110</v>
      </c>
      <c r="G280" s="12" t="s">
        <v>301</v>
      </c>
      <c r="H280" s="12" t="s">
        <v>1132</v>
      </c>
      <c r="I28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Col2='""&amp;B280&amp;""'"",0)"),2.0)</f>
        <v>2</v>
      </c>
      <c r="J280" s="12">
        <f>IFERROR(__xludf.DUMMYFUNCTION("""COMPUTED_VALUE"""),2.0)</f>
        <v>2</v>
      </c>
      <c r="K280" s="12">
        <f>IFERROR(__xludf.DUMMYFUNCTION("""COMPUTED_VALUE"""),0.0)</f>
        <v>0</v>
      </c>
      <c r="L280" s="12">
        <f>IFERROR(__xludf.DUMMYFUNCTION("""COMPUTED_VALUE"""),9.0)</f>
        <v>9</v>
      </c>
      <c r="M280" s="12" t="str">
        <f>IFERROR(__xludf.DUMMYFUNCTION("""COMPUTED_VALUE"""),"Working")</f>
        <v>Working</v>
      </c>
      <c r="N280" s="12" t="str">
        <f>IFERROR(__xludf.DUMMYFUNCTION("""COMPUTED_VALUE"""),"LOAD PENDING")</f>
        <v>LOAD PENDING</v>
      </c>
      <c r="O280" s="12" t="str">
        <f>IFERROR(__xludf.DUMMYFUNCTION("""COMPUTED_VALUE"""),"CORRECT")</f>
        <v>CORRECT</v>
      </c>
      <c r="P280" s="12" t="str">
        <f t="shared" si="2"/>
        <v/>
      </c>
      <c r="Q280" s="12" t="str">
        <f t="shared" si="3"/>
        <v>Extra Lab Load Alloted</v>
      </c>
    </row>
    <row r="281">
      <c r="A281" s="1">
        <v>280.0</v>
      </c>
      <c r="B281" s="1" t="s">
        <v>1133</v>
      </c>
      <c r="C281" s="1" t="s">
        <v>277</v>
      </c>
      <c r="D281" s="1" t="s">
        <v>1134</v>
      </c>
      <c r="E281" s="12" t="str">
        <f t="shared" si="1"/>
        <v>Dr.JAYA K</v>
      </c>
      <c r="F281" s="13" t="s">
        <v>1110</v>
      </c>
      <c r="G281" s="12" t="s">
        <v>301</v>
      </c>
      <c r="H281" s="12" t="s">
        <v>1135</v>
      </c>
      <c r="I28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Col2='""&amp;B281&amp;""'"",0)"),2.0)</f>
        <v>2</v>
      </c>
      <c r="J281" s="12">
        <f>IFERROR(__xludf.DUMMYFUNCTION("""COMPUTED_VALUE"""),2.0)</f>
        <v>2</v>
      </c>
      <c r="K281" s="12">
        <f>IFERROR(__xludf.DUMMYFUNCTION("""COMPUTED_VALUE"""),0.0)</f>
        <v>0</v>
      </c>
      <c r="L281" s="12">
        <f>IFERROR(__xludf.DUMMYFUNCTION("""COMPUTED_VALUE"""),10.0)</f>
        <v>10</v>
      </c>
      <c r="M281" s="12" t="str">
        <f>IFERROR(__xludf.DUMMYFUNCTION("""COMPUTED_VALUE"""),"Working")</f>
        <v>Working</v>
      </c>
      <c r="N281" s="12" t="str">
        <f>IFERROR(__xludf.DUMMYFUNCTION("""COMPUTED_VALUE"""),"LOAD PENDING")</f>
        <v>LOAD PENDING</v>
      </c>
      <c r="O281" s="12" t="str">
        <f>IFERROR(__xludf.DUMMYFUNCTION("""COMPUTED_VALUE"""),"CORRECT")</f>
        <v>CORRECT</v>
      </c>
      <c r="P281" s="12" t="str">
        <f t="shared" si="2"/>
        <v/>
      </c>
      <c r="Q281" s="12" t="str">
        <f t="shared" si="3"/>
        <v>Extra Lab Load Alloted</v>
      </c>
    </row>
    <row r="282">
      <c r="A282" s="1">
        <v>281.0</v>
      </c>
      <c r="B282" s="1" t="s">
        <v>1136</v>
      </c>
      <c r="C282" s="1" t="s">
        <v>271</v>
      </c>
      <c r="D282" s="1" t="s">
        <v>1137</v>
      </c>
      <c r="E282" s="12" t="str">
        <f t="shared" si="1"/>
        <v>Mr.RANGANATHAN A</v>
      </c>
      <c r="F282" s="13" t="s">
        <v>1110</v>
      </c>
      <c r="G282" s="12" t="s">
        <v>1138</v>
      </c>
      <c r="H282" s="12" t="s">
        <v>1139</v>
      </c>
      <c r="I28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Col2='""&amp;B282&amp;""'"",0)"),2.0)</f>
        <v>2</v>
      </c>
      <c r="J282" s="12">
        <f>IFERROR(__xludf.DUMMYFUNCTION("""COMPUTED_VALUE"""),2.0)</f>
        <v>2</v>
      </c>
      <c r="K282" s="12">
        <f>IFERROR(__xludf.DUMMYFUNCTION("""COMPUTED_VALUE"""),0.0)</f>
        <v>0</v>
      </c>
      <c r="L282" s="12">
        <f>IFERROR(__xludf.DUMMYFUNCTION("""COMPUTED_VALUE"""),0.0)</f>
        <v>0</v>
      </c>
      <c r="M282" s="12" t="str">
        <f>IFERROR(__xludf.DUMMYFUNCTION("""COMPUTED_VALUE"""),"Working")</f>
        <v>Working</v>
      </c>
      <c r="N282" s="12" t="str">
        <f>IFERROR(__xludf.DUMMYFUNCTION("""COMPUTED_VALUE"""),"LOAD PENDING")</f>
        <v>LOAD PENDING</v>
      </c>
      <c r="O282" s="12" t="str">
        <f>IFERROR(__xludf.DUMMYFUNCTION("""COMPUTED_VALUE"""),"LOAD PENDING")</f>
        <v>LOAD PENDING</v>
      </c>
      <c r="P282" s="12" t="str">
        <f t="shared" si="2"/>
        <v/>
      </c>
      <c r="Q282" s="12" t="str">
        <f t="shared" si="3"/>
        <v/>
      </c>
    </row>
    <row r="283">
      <c r="A283" s="1">
        <v>282.0</v>
      </c>
      <c r="B283" s="1" t="s">
        <v>1140</v>
      </c>
      <c r="C283" s="1" t="s">
        <v>271</v>
      </c>
      <c r="D283" s="1" t="s">
        <v>1141</v>
      </c>
      <c r="E283" s="12" t="str">
        <f t="shared" si="1"/>
        <v>Mr.GOPAL R</v>
      </c>
      <c r="F283" s="13" t="s">
        <v>1142</v>
      </c>
      <c r="G283" s="12" t="s">
        <v>274</v>
      </c>
      <c r="H283" s="12" t="s">
        <v>1143</v>
      </c>
      <c r="I28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Col2='""&amp;B283&amp;""'"",0)"),1.0)</f>
        <v>1</v>
      </c>
      <c r="J283" s="12">
        <f>IFERROR(__xludf.DUMMYFUNCTION("""COMPUTED_VALUE"""),1.0)</f>
        <v>1</v>
      </c>
      <c r="K283" s="12">
        <f>IFERROR(__xludf.DUMMYFUNCTION("""COMPUTED_VALUE"""),1.0)</f>
        <v>1</v>
      </c>
      <c r="L283" s="12">
        <f>IFERROR(__xludf.DUMMYFUNCTION("""COMPUTED_VALUE"""),1.0)</f>
        <v>1</v>
      </c>
      <c r="M283" s="12" t="str">
        <f>IFERROR(__xludf.DUMMYFUNCTION("""COMPUTED_VALUE"""),"Working")</f>
        <v>Working</v>
      </c>
      <c r="N283" s="12" t="str">
        <f>IFERROR(__xludf.DUMMYFUNCTION("""COMPUTED_VALUE"""),"CORRECT")</f>
        <v>CORRECT</v>
      </c>
      <c r="O283" s="12" t="str">
        <f>IFERROR(__xludf.DUMMYFUNCTION("""COMPUTED_VALUE"""),"CORRECT")</f>
        <v>CORRECT</v>
      </c>
      <c r="P283" s="12" t="str">
        <f t="shared" si="2"/>
        <v/>
      </c>
      <c r="Q283" s="12" t="str">
        <f t="shared" si="3"/>
        <v/>
      </c>
    </row>
    <row r="284">
      <c r="A284" s="1">
        <v>283.0</v>
      </c>
      <c r="B284" s="1" t="s">
        <v>1144</v>
      </c>
      <c r="C284" s="1" t="s">
        <v>271</v>
      </c>
      <c r="D284" s="1" t="s">
        <v>1145</v>
      </c>
      <c r="E284" s="12" t="str">
        <f t="shared" si="1"/>
        <v>Mr.PANDIYAN M</v>
      </c>
      <c r="F284" s="13" t="s">
        <v>1142</v>
      </c>
      <c r="G284" s="12" t="s">
        <v>274</v>
      </c>
      <c r="H284" s="12" t="s">
        <v>1146</v>
      </c>
      <c r="I28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Col2='""&amp;B284&amp;""'"",0)"),1.0)</f>
        <v>1</v>
      </c>
      <c r="J284" s="12">
        <f>IFERROR(__xludf.DUMMYFUNCTION("""COMPUTED_VALUE"""),0.0)</f>
        <v>0</v>
      </c>
      <c r="K284" s="12">
        <f>IFERROR(__xludf.DUMMYFUNCTION("""COMPUTED_VALUE"""),1.0)</f>
        <v>1</v>
      </c>
      <c r="L284" s="12">
        <f>IFERROR(__xludf.DUMMYFUNCTION("""COMPUTED_VALUE"""),0.0)</f>
        <v>0</v>
      </c>
      <c r="M284" s="12" t="str">
        <f>IFERROR(__xludf.DUMMYFUNCTION("""COMPUTED_VALUE"""),"Working")</f>
        <v>Working</v>
      </c>
      <c r="N284" s="12" t="str">
        <f>IFERROR(__xludf.DUMMYFUNCTION("""COMPUTED_VALUE"""),"CORRECT")</f>
        <v>CORRECT</v>
      </c>
      <c r="O284" s="12" t="str">
        <f>IFERROR(__xludf.DUMMYFUNCTION("""COMPUTED_VALUE"""),"CORRECT")</f>
        <v>CORRECT</v>
      </c>
      <c r="P284" s="12" t="str">
        <f t="shared" si="2"/>
        <v/>
      </c>
      <c r="Q284" s="12" t="str">
        <f t="shared" si="3"/>
        <v/>
      </c>
    </row>
    <row r="285">
      <c r="A285" s="1">
        <v>284.0</v>
      </c>
      <c r="B285" s="1" t="s">
        <v>1147</v>
      </c>
      <c r="C285" s="1" t="s">
        <v>307</v>
      </c>
      <c r="D285" s="1" t="s">
        <v>1148</v>
      </c>
      <c r="E285" s="12" t="str">
        <f t="shared" si="1"/>
        <v>Ms.POORNIMA A</v>
      </c>
      <c r="F285" s="13" t="s">
        <v>1142</v>
      </c>
      <c r="G285" s="12" t="s">
        <v>301</v>
      </c>
      <c r="H285" s="12" t="s">
        <v>1149</v>
      </c>
      <c r="I28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Col2='""&amp;B285&amp;""'"",0)"),2.0)</f>
        <v>2</v>
      </c>
      <c r="J285" s="12">
        <f>IFERROR(__xludf.DUMMYFUNCTION("""COMPUTED_VALUE"""),2.0)</f>
        <v>2</v>
      </c>
      <c r="K285" s="12">
        <f>IFERROR(__xludf.DUMMYFUNCTION("""COMPUTED_VALUE"""),1.0)</f>
        <v>1</v>
      </c>
      <c r="L285" s="12">
        <f>IFERROR(__xludf.DUMMYFUNCTION("""COMPUTED_VALUE"""),0.0)</f>
        <v>0</v>
      </c>
      <c r="M285" s="12" t="str">
        <f>IFERROR(__xludf.DUMMYFUNCTION("""COMPUTED_VALUE"""),"Working")</f>
        <v>Working</v>
      </c>
      <c r="N285" s="12" t="str">
        <f>IFERROR(__xludf.DUMMYFUNCTION("""COMPUTED_VALUE"""),"LOAD PENDING")</f>
        <v>LOAD PENDING</v>
      </c>
      <c r="O285" s="12" t="str">
        <f>IFERROR(__xludf.DUMMYFUNCTION("""COMPUTED_VALUE"""),"LOAD PENDING")</f>
        <v>LOAD PENDING</v>
      </c>
      <c r="P285" s="12" t="str">
        <f t="shared" si="2"/>
        <v/>
      </c>
      <c r="Q285" s="12" t="str">
        <f t="shared" si="3"/>
        <v/>
      </c>
    </row>
    <row r="286">
      <c r="A286" s="1">
        <v>285.0</v>
      </c>
      <c r="B286" s="1" t="s">
        <v>1150</v>
      </c>
      <c r="C286" s="1" t="s">
        <v>271</v>
      </c>
      <c r="D286" s="1" t="s">
        <v>1151</v>
      </c>
      <c r="E286" s="12" t="str">
        <f t="shared" si="1"/>
        <v>Mr.SOMASUNDARAM K</v>
      </c>
      <c r="F286" s="13" t="s">
        <v>1142</v>
      </c>
      <c r="G286" s="12" t="s">
        <v>274</v>
      </c>
      <c r="H286" s="12" t="s">
        <v>1152</v>
      </c>
      <c r="I28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Col2='""&amp;B286&amp;""'"",0)"),1.0)</f>
        <v>1</v>
      </c>
      <c r="J286" s="12">
        <f>IFERROR(__xludf.DUMMYFUNCTION("""COMPUTED_VALUE"""),0.0)</f>
        <v>0</v>
      </c>
      <c r="K286" s="12">
        <f>IFERROR(__xludf.DUMMYFUNCTION("""COMPUTED_VALUE"""),1.0)</f>
        <v>1</v>
      </c>
      <c r="L286" s="12">
        <f>IFERROR(__xludf.DUMMYFUNCTION("""COMPUTED_VALUE"""),0.0)</f>
        <v>0</v>
      </c>
      <c r="M286" s="12" t="str">
        <f>IFERROR(__xludf.DUMMYFUNCTION("""COMPUTED_VALUE"""),"Working")</f>
        <v>Working</v>
      </c>
      <c r="N286" s="12" t="str">
        <f>IFERROR(__xludf.DUMMYFUNCTION("""COMPUTED_VALUE"""),"CORRECT")</f>
        <v>CORRECT</v>
      </c>
      <c r="O286" s="12" t="str">
        <f>IFERROR(__xludf.DUMMYFUNCTION("""COMPUTED_VALUE"""),"CORRECT")</f>
        <v>CORRECT</v>
      </c>
      <c r="P286" s="12" t="str">
        <f t="shared" si="2"/>
        <v/>
      </c>
      <c r="Q286" s="12" t="str">
        <f t="shared" si="3"/>
        <v/>
      </c>
    </row>
    <row r="287">
      <c r="A287" s="1">
        <v>286.0</v>
      </c>
      <c r="B287" s="1" t="s">
        <v>1153</v>
      </c>
      <c r="C287" s="1" t="s">
        <v>277</v>
      </c>
      <c r="D287" s="1" t="s">
        <v>1154</v>
      </c>
      <c r="E287" s="12" t="str">
        <f t="shared" si="1"/>
        <v>Dr.ANANDAKUMAR K</v>
      </c>
      <c r="F287" s="13" t="s">
        <v>1142</v>
      </c>
      <c r="G287" s="12" t="s">
        <v>274</v>
      </c>
      <c r="H287" s="12" t="s">
        <v>1155</v>
      </c>
      <c r="I28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Col2='""&amp;B287&amp;""'"",0)"),2.0)</f>
        <v>2</v>
      </c>
      <c r="J287" s="12">
        <f>IFERROR(__xludf.DUMMYFUNCTION("""COMPUTED_VALUE"""),2.0)</f>
        <v>2</v>
      </c>
      <c r="K287" s="12">
        <f>IFERROR(__xludf.DUMMYFUNCTION("""COMPUTED_VALUE"""),2.0)</f>
        <v>2</v>
      </c>
      <c r="L287" s="12">
        <f>IFERROR(__xludf.DUMMYFUNCTION("""COMPUTED_VALUE"""),1.0)</f>
        <v>1</v>
      </c>
      <c r="M287" s="12" t="str">
        <f>IFERROR(__xludf.DUMMYFUNCTION("""COMPUTED_VALUE"""),"Working")</f>
        <v>Working</v>
      </c>
      <c r="N287" s="12" t="str">
        <f>IFERROR(__xludf.DUMMYFUNCTION("""COMPUTED_VALUE"""),"CORRECT")</f>
        <v>CORRECT</v>
      </c>
      <c r="O287" s="12" t="str">
        <f>IFERROR(__xludf.DUMMYFUNCTION("""COMPUTED_VALUE"""),"LOAD PENDING")</f>
        <v>LOAD PENDING</v>
      </c>
      <c r="P287" s="12" t="str">
        <f t="shared" si="2"/>
        <v/>
      </c>
      <c r="Q287" s="12" t="str">
        <f t="shared" si="3"/>
        <v/>
      </c>
    </row>
    <row r="288">
      <c r="A288" s="1">
        <v>287.0</v>
      </c>
      <c r="B288" s="1" t="s">
        <v>1156</v>
      </c>
      <c r="C288" s="1" t="s">
        <v>307</v>
      </c>
      <c r="D288" s="1" t="s">
        <v>1157</v>
      </c>
      <c r="E288" s="12" t="str">
        <f t="shared" si="1"/>
        <v>Ms.SABARMATHI K R</v>
      </c>
      <c r="F288" s="13" t="s">
        <v>1158</v>
      </c>
      <c r="G288" s="12" t="s">
        <v>274</v>
      </c>
      <c r="H288" s="12" t="s">
        <v>1159</v>
      </c>
      <c r="I28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Col2='""&amp;B288&amp;""'"",0)"),2.0)</f>
        <v>2</v>
      </c>
      <c r="J288" s="12">
        <f>IFERROR(__xludf.DUMMYFUNCTION("""COMPUTED_VALUE"""),2.0)</f>
        <v>2</v>
      </c>
      <c r="K288" s="12">
        <f>IFERROR(__xludf.DUMMYFUNCTION("""COMPUTED_VALUE"""),2.0)</f>
        <v>2</v>
      </c>
      <c r="L288" s="12">
        <f>IFERROR(__xludf.DUMMYFUNCTION("""COMPUTED_VALUE"""),1.0)</f>
        <v>1</v>
      </c>
      <c r="M288" s="12" t="str">
        <f>IFERROR(__xludf.DUMMYFUNCTION("""COMPUTED_VALUE"""),"Working")</f>
        <v>Working</v>
      </c>
      <c r="N288" s="12" t="str">
        <f>IFERROR(__xludf.DUMMYFUNCTION("""COMPUTED_VALUE"""),"CORRECT")</f>
        <v>CORRECT</v>
      </c>
      <c r="O288" s="12" t="str">
        <f>IFERROR(__xludf.DUMMYFUNCTION("""COMPUTED_VALUE"""),"LOAD PENDING")</f>
        <v>LOAD PENDING</v>
      </c>
      <c r="P288" s="12" t="str">
        <f t="shared" si="2"/>
        <v/>
      </c>
      <c r="Q288" s="12" t="str">
        <f t="shared" si="3"/>
        <v/>
      </c>
    </row>
    <row r="289">
      <c r="A289" s="1">
        <v>288.0</v>
      </c>
      <c r="B289" s="1" t="s">
        <v>1160</v>
      </c>
      <c r="C289" s="1" t="s">
        <v>277</v>
      </c>
      <c r="D289" s="1" t="s">
        <v>1161</v>
      </c>
      <c r="E289" s="12" t="str">
        <f t="shared" si="1"/>
        <v>Dr.SRI VINITHA V</v>
      </c>
      <c r="F289" s="13" t="s">
        <v>1158</v>
      </c>
      <c r="G289" s="12" t="s">
        <v>279</v>
      </c>
      <c r="H289" s="12" t="s">
        <v>1162</v>
      </c>
      <c r="I28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Col2='""&amp;B289&amp;""'"",0)"),2.0)</f>
        <v>2</v>
      </c>
      <c r="J289" s="12">
        <f>IFERROR(__xludf.DUMMYFUNCTION("""COMPUTED_VALUE"""),1.0)</f>
        <v>1</v>
      </c>
      <c r="K289" s="12">
        <f>IFERROR(__xludf.DUMMYFUNCTION("""COMPUTED_VALUE"""),2.0)</f>
        <v>2</v>
      </c>
      <c r="L289" s="12">
        <f>IFERROR(__xludf.DUMMYFUNCTION("""COMPUTED_VALUE"""),1.0)</f>
        <v>1</v>
      </c>
      <c r="M289" s="12" t="str">
        <f>IFERROR(__xludf.DUMMYFUNCTION("""COMPUTED_VALUE"""),"Working")</f>
        <v>Working</v>
      </c>
      <c r="N289" s="12" t="str">
        <f>IFERROR(__xludf.DUMMYFUNCTION("""COMPUTED_VALUE"""),"CORRECT")</f>
        <v>CORRECT</v>
      </c>
      <c r="O289" s="12" t="str">
        <f>IFERROR(__xludf.DUMMYFUNCTION("""COMPUTED_VALUE"""),"CORRECT")</f>
        <v>CORRECT</v>
      </c>
      <c r="P289" s="12" t="str">
        <f t="shared" si="2"/>
        <v/>
      </c>
      <c r="Q289" s="12" t="str">
        <f t="shared" si="3"/>
        <v/>
      </c>
    </row>
    <row r="290">
      <c r="A290" s="1">
        <v>289.0</v>
      </c>
      <c r="B290" s="1" t="s">
        <v>1163</v>
      </c>
      <c r="C290" s="1" t="s">
        <v>271</v>
      </c>
      <c r="D290" s="1" t="s">
        <v>1164</v>
      </c>
      <c r="E290" s="12" t="str">
        <f t="shared" si="1"/>
        <v>Mr.VINOTH M</v>
      </c>
      <c r="F290" s="13" t="s">
        <v>1158</v>
      </c>
      <c r="G290" s="12" t="s">
        <v>274</v>
      </c>
      <c r="H290" s="12" t="s">
        <v>1165</v>
      </c>
      <c r="I29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Col2='""&amp;B290&amp;""'"",0)"),0.0)</f>
        <v>0</v>
      </c>
      <c r="J290" s="12">
        <f>IFERROR(__xludf.DUMMYFUNCTION("""COMPUTED_VALUE"""),0.0)</f>
        <v>0</v>
      </c>
      <c r="K290" s="12">
        <f>IFERROR(__xludf.DUMMYFUNCTION("""COMPUTED_VALUE"""),0.0)</f>
        <v>0</v>
      </c>
      <c r="L290" s="12">
        <f>IFERROR(__xludf.DUMMYFUNCTION("""COMPUTED_VALUE"""),0.0)</f>
        <v>0</v>
      </c>
      <c r="M290" s="12" t="str">
        <f>IFERROR(__xludf.DUMMYFUNCTION("""COMPUTED_VALUE"""),"Working")</f>
        <v>Working</v>
      </c>
      <c r="N290" s="12" t="str">
        <f>IFERROR(__xludf.DUMMYFUNCTION("""COMPUTED_VALUE"""),"CORRECT")</f>
        <v>CORRECT</v>
      </c>
      <c r="O290" s="12" t="str">
        <f>IFERROR(__xludf.DUMMYFUNCTION("""COMPUTED_VALUE"""),"CORRECT")</f>
        <v>CORRECT</v>
      </c>
      <c r="P290" s="12" t="str">
        <f t="shared" si="2"/>
        <v/>
      </c>
      <c r="Q290" s="12" t="str">
        <f t="shared" si="3"/>
        <v/>
      </c>
    </row>
    <row r="291">
      <c r="A291" s="1">
        <v>290.0</v>
      </c>
      <c r="B291" s="1" t="s">
        <v>1166</v>
      </c>
      <c r="C291" s="1" t="s">
        <v>286</v>
      </c>
      <c r="D291" s="1" t="s">
        <v>1167</v>
      </c>
      <c r="E291" s="12" t="str">
        <f t="shared" si="1"/>
        <v>Mrs.SOBIYAA P</v>
      </c>
      <c r="F291" s="13" t="s">
        <v>1158</v>
      </c>
      <c r="G291" s="12" t="s">
        <v>274</v>
      </c>
      <c r="H291" s="12" t="s">
        <v>1168</v>
      </c>
      <c r="I29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Col2='""&amp;B291&amp;""'"",0)"),1.0)</f>
        <v>1</v>
      </c>
      <c r="J291" s="12">
        <f>IFERROR(__xludf.DUMMYFUNCTION("""COMPUTED_VALUE"""),0.0)</f>
        <v>0</v>
      </c>
      <c r="K291" s="12">
        <f>IFERROR(__xludf.DUMMYFUNCTION("""COMPUTED_VALUE"""),1.0)</f>
        <v>1</v>
      </c>
      <c r="L291" s="12">
        <f>IFERROR(__xludf.DUMMYFUNCTION("""COMPUTED_VALUE"""),0.0)</f>
        <v>0</v>
      </c>
      <c r="M291" s="12" t="str">
        <f>IFERROR(__xludf.DUMMYFUNCTION("""COMPUTED_VALUE"""),"Working")</f>
        <v>Working</v>
      </c>
      <c r="N291" s="12" t="str">
        <f>IFERROR(__xludf.DUMMYFUNCTION("""COMPUTED_VALUE"""),"CORRECT")</f>
        <v>CORRECT</v>
      </c>
      <c r="O291" s="12" t="str">
        <f>IFERROR(__xludf.DUMMYFUNCTION("""COMPUTED_VALUE"""),"CORRECT")</f>
        <v>CORRECT</v>
      </c>
      <c r="P291" s="12" t="str">
        <f t="shared" si="2"/>
        <v/>
      </c>
      <c r="Q291" s="12" t="str">
        <f t="shared" si="3"/>
        <v/>
      </c>
    </row>
    <row r="292">
      <c r="A292" s="1">
        <v>291.0</v>
      </c>
      <c r="B292" s="1" t="s">
        <v>1169</v>
      </c>
      <c r="C292" s="1" t="s">
        <v>286</v>
      </c>
      <c r="D292" s="1" t="s">
        <v>1170</v>
      </c>
      <c r="E292" s="12" t="str">
        <f t="shared" si="1"/>
        <v>Mrs.JANANI T</v>
      </c>
      <c r="F292" s="13" t="s">
        <v>1158</v>
      </c>
      <c r="G292" s="12" t="s">
        <v>291</v>
      </c>
      <c r="H292" s="12" t="s">
        <v>1171</v>
      </c>
      <c r="I29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Col2='""&amp;B292&amp;""'"",0)"),2.0)</f>
        <v>2</v>
      </c>
      <c r="J292" s="12">
        <f>IFERROR(__xludf.DUMMYFUNCTION("""COMPUTED_VALUE"""),2.0)</f>
        <v>2</v>
      </c>
      <c r="K292" s="12">
        <f>IFERROR(__xludf.DUMMYFUNCTION("""COMPUTED_VALUE"""),2.0)</f>
        <v>2</v>
      </c>
      <c r="L292" s="12">
        <f>IFERROR(__xludf.DUMMYFUNCTION("""COMPUTED_VALUE"""),1.0)</f>
        <v>1</v>
      </c>
      <c r="M292" s="12" t="str">
        <f>IFERROR(__xludf.DUMMYFUNCTION("""COMPUTED_VALUE"""),"Working")</f>
        <v>Working</v>
      </c>
      <c r="N292" s="12" t="str">
        <f>IFERROR(__xludf.DUMMYFUNCTION("""COMPUTED_VALUE"""),"CORRECT")</f>
        <v>CORRECT</v>
      </c>
      <c r="O292" s="12" t="str">
        <f>IFERROR(__xludf.DUMMYFUNCTION("""COMPUTED_VALUE"""),"LOAD PENDING")</f>
        <v>LOAD PENDING</v>
      </c>
      <c r="P292" s="12" t="str">
        <f t="shared" si="2"/>
        <v/>
      </c>
      <c r="Q292" s="12" t="str">
        <f t="shared" si="3"/>
        <v/>
      </c>
    </row>
    <row r="293">
      <c r="A293" s="1">
        <v>292.0</v>
      </c>
      <c r="B293" s="1" t="s">
        <v>1172</v>
      </c>
      <c r="C293" s="1" t="s">
        <v>286</v>
      </c>
      <c r="D293" s="1" t="s">
        <v>1173</v>
      </c>
      <c r="E293" s="12" t="str">
        <f t="shared" si="1"/>
        <v>Mrs.PRIYA L</v>
      </c>
      <c r="F293" s="13" t="s">
        <v>1158</v>
      </c>
      <c r="G293" s="12" t="s">
        <v>274</v>
      </c>
      <c r="H293" s="12" t="s">
        <v>1174</v>
      </c>
      <c r="I29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Col2='""&amp;B293&amp;""'"",0)"),1.0)</f>
        <v>1</v>
      </c>
      <c r="J293" s="12">
        <f>IFERROR(__xludf.DUMMYFUNCTION("""COMPUTED_VALUE"""),0.0)</f>
        <v>0</v>
      </c>
      <c r="K293" s="12">
        <f>IFERROR(__xludf.DUMMYFUNCTION("""COMPUTED_VALUE"""),1.0)</f>
        <v>1</v>
      </c>
      <c r="L293" s="12">
        <f>IFERROR(__xludf.DUMMYFUNCTION("""COMPUTED_VALUE"""),0.0)</f>
        <v>0</v>
      </c>
      <c r="M293" s="12" t="str">
        <f>IFERROR(__xludf.DUMMYFUNCTION("""COMPUTED_VALUE"""),"Working")</f>
        <v>Working</v>
      </c>
      <c r="N293" s="12" t="str">
        <f>IFERROR(__xludf.DUMMYFUNCTION("""COMPUTED_VALUE"""),"CORRECT")</f>
        <v>CORRECT</v>
      </c>
      <c r="O293" s="12" t="str">
        <f>IFERROR(__xludf.DUMMYFUNCTION("""COMPUTED_VALUE"""),"CORRECT")</f>
        <v>CORRECT</v>
      </c>
      <c r="P293" s="12" t="str">
        <f t="shared" si="2"/>
        <v/>
      </c>
      <c r="Q293" s="12" t="str">
        <f t="shared" si="3"/>
        <v/>
      </c>
    </row>
    <row r="294">
      <c r="A294" s="1">
        <v>293.0</v>
      </c>
      <c r="B294" s="1" t="s">
        <v>1175</v>
      </c>
      <c r="C294" s="1" t="s">
        <v>277</v>
      </c>
      <c r="D294" s="1" t="s">
        <v>1176</v>
      </c>
      <c r="E294" s="12" t="str">
        <f t="shared" si="1"/>
        <v>Dr.CHANDRAPRABHA K</v>
      </c>
      <c r="F294" s="13" t="s">
        <v>1158</v>
      </c>
      <c r="G294" s="12" t="s">
        <v>279</v>
      </c>
      <c r="H294" s="12" t="s">
        <v>1177</v>
      </c>
      <c r="I29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Col2='""&amp;B294&amp;""'"",0)"),2.0)</f>
        <v>2</v>
      </c>
      <c r="J294" s="12">
        <f>IFERROR(__xludf.DUMMYFUNCTION("""COMPUTED_VALUE"""),1.0)</f>
        <v>1</v>
      </c>
      <c r="K294" s="12">
        <f>IFERROR(__xludf.DUMMYFUNCTION("""COMPUTED_VALUE"""),2.0)</f>
        <v>2</v>
      </c>
      <c r="L294" s="12">
        <f>IFERROR(__xludf.DUMMYFUNCTION("""COMPUTED_VALUE"""),1.0)</f>
        <v>1</v>
      </c>
      <c r="M294" s="12" t="str">
        <f>IFERROR(__xludf.DUMMYFUNCTION("""COMPUTED_VALUE"""),"Working")</f>
        <v>Working</v>
      </c>
      <c r="N294" s="12" t="str">
        <f>IFERROR(__xludf.DUMMYFUNCTION("""COMPUTED_VALUE"""),"CORRECT")</f>
        <v>CORRECT</v>
      </c>
      <c r="O294" s="12" t="str">
        <f>IFERROR(__xludf.DUMMYFUNCTION("""COMPUTED_VALUE"""),"CORRECT")</f>
        <v>CORRECT</v>
      </c>
      <c r="P294" s="12" t="str">
        <f t="shared" si="2"/>
        <v/>
      </c>
      <c r="Q294" s="12" t="str">
        <f t="shared" si="3"/>
        <v/>
      </c>
    </row>
    <row r="295">
      <c r="A295" s="1">
        <v>294.0</v>
      </c>
      <c r="B295" s="1" t="s">
        <v>1178</v>
      </c>
      <c r="C295" s="1" t="s">
        <v>277</v>
      </c>
      <c r="D295" s="1" t="s">
        <v>1179</v>
      </c>
      <c r="E295" s="12" t="str">
        <f t="shared" si="1"/>
        <v>Dr.VENKATESAN R</v>
      </c>
      <c r="F295" s="13" t="s">
        <v>1158</v>
      </c>
      <c r="G295" s="12" t="s">
        <v>279</v>
      </c>
      <c r="H295" s="12" t="s">
        <v>1180</v>
      </c>
      <c r="I29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Col2='""&amp;B295&amp;""'"",0)"),1.0)</f>
        <v>1</v>
      </c>
      <c r="J295" s="12">
        <f>IFERROR(__xludf.DUMMYFUNCTION("""COMPUTED_VALUE"""),0.0)</f>
        <v>0</v>
      </c>
      <c r="K295" s="12">
        <f>IFERROR(__xludf.DUMMYFUNCTION("""COMPUTED_VALUE"""),1.0)</f>
        <v>1</v>
      </c>
      <c r="L295" s="12">
        <f>IFERROR(__xludf.DUMMYFUNCTION("""COMPUTED_VALUE"""),0.0)</f>
        <v>0</v>
      </c>
      <c r="M295" s="12" t="str">
        <f>IFERROR(__xludf.DUMMYFUNCTION("""COMPUTED_VALUE"""),"Working")</f>
        <v>Working</v>
      </c>
      <c r="N295" s="12" t="str">
        <f>IFERROR(__xludf.DUMMYFUNCTION("""COMPUTED_VALUE"""),"CORRECT")</f>
        <v>CORRECT</v>
      </c>
      <c r="O295" s="12" t="str">
        <f>IFERROR(__xludf.DUMMYFUNCTION("""COMPUTED_VALUE"""),"CORRECT")</f>
        <v>CORRECT</v>
      </c>
      <c r="P295" s="12" t="str">
        <f t="shared" si="2"/>
        <v/>
      </c>
      <c r="Q295" s="12" t="str">
        <f t="shared" si="3"/>
        <v/>
      </c>
    </row>
    <row r="296">
      <c r="A296" s="1">
        <v>295.0</v>
      </c>
      <c r="B296" s="1" t="s">
        <v>1181</v>
      </c>
      <c r="C296" s="1" t="s">
        <v>271</v>
      </c>
      <c r="D296" s="1" t="s">
        <v>1182</v>
      </c>
      <c r="E296" s="12" t="str">
        <f t="shared" si="1"/>
        <v>Mr.SELVAKUMAR M</v>
      </c>
      <c r="F296" s="13" t="s">
        <v>1158</v>
      </c>
      <c r="G296" s="12" t="s">
        <v>274</v>
      </c>
      <c r="H296" s="12" t="s">
        <v>1183</v>
      </c>
      <c r="I29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Col2='""&amp;B296&amp;""'"",0)"),2.0)</f>
        <v>2</v>
      </c>
      <c r="J296" s="12">
        <f>IFERROR(__xludf.DUMMYFUNCTION("""COMPUTED_VALUE"""),2.0)</f>
        <v>2</v>
      </c>
      <c r="K296" s="12">
        <f>IFERROR(__xludf.DUMMYFUNCTION("""COMPUTED_VALUE"""),2.0)</f>
        <v>2</v>
      </c>
      <c r="L296" s="12">
        <f>IFERROR(__xludf.DUMMYFUNCTION("""COMPUTED_VALUE"""),1.0)</f>
        <v>1</v>
      </c>
      <c r="M296" s="12" t="str">
        <f>IFERROR(__xludf.DUMMYFUNCTION("""COMPUTED_VALUE"""),"Working")</f>
        <v>Working</v>
      </c>
      <c r="N296" s="12" t="str">
        <f>IFERROR(__xludf.DUMMYFUNCTION("""COMPUTED_VALUE"""),"CORRECT")</f>
        <v>CORRECT</v>
      </c>
      <c r="O296" s="12" t="str">
        <f>IFERROR(__xludf.DUMMYFUNCTION("""COMPUTED_VALUE"""),"LOAD PENDING")</f>
        <v>LOAD PENDING</v>
      </c>
      <c r="P296" s="12" t="str">
        <f t="shared" si="2"/>
        <v/>
      </c>
      <c r="Q296" s="12" t="str">
        <f t="shared" si="3"/>
        <v/>
      </c>
    </row>
    <row r="297">
      <c r="A297" s="1">
        <v>296.0</v>
      </c>
      <c r="B297" s="1" t="s">
        <v>1184</v>
      </c>
      <c r="C297" s="1" t="s">
        <v>307</v>
      </c>
      <c r="D297" s="1" t="s">
        <v>1185</v>
      </c>
      <c r="E297" s="12" t="str">
        <f t="shared" si="1"/>
        <v>Ms.NIKITHA M</v>
      </c>
      <c r="F297" s="13" t="s">
        <v>1158</v>
      </c>
      <c r="G297" s="12" t="s">
        <v>291</v>
      </c>
      <c r="H297" s="12" t="s">
        <v>1186</v>
      </c>
      <c r="I29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Col2='""&amp;B297&amp;""'"",0)"),1.0)</f>
        <v>1</v>
      </c>
      <c r="J297" s="12">
        <f>IFERROR(__xludf.DUMMYFUNCTION("""COMPUTED_VALUE"""),0.0)</f>
        <v>0</v>
      </c>
      <c r="K297" s="12">
        <f>IFERROR(__xludf.DUMMYFUNCTION("""COMPUTED_VALUE"""),1.0)</f>
        <v>1</v>
      </c>
      <c r="L297" s="12">
        <f>IFERROR(__xludf.DUMMYFUNCTION("""COMPUTED_VALUE"""),0.0)</f>
        <v>0</v>
      </c>
      <c r="M297" s="12" t="str">
        <f>IFERROR(__xludf.DUMMYFUNCTION("""COMPUTED_VALUE"""),"Working")</f>
        <v>Working</v>
      </c>
      <c r="N297" s="12" t="str">
        <f>IFERROR(__xludf.DUMMYFUNCTION("""COMPUTED_VALUE"""),"CORRECT")</f>
        <v>CORRECT</v>
      </c>
      <c r="O297" s="12" t="str">
        <f>IFERROR(__xludf.DUMMYFUNCTION("""COMPUTED_VALUE"""),"CORRECT")</f>
        <v>CORRECT</v>
      </c>
      <c r="P297" s="12" t="str">
        <f t="shared" si="2"/>
        <v/>
      </c>
      <c r="Q297" s="12" t="str">
        <f t="shared" si="3"/>
        <v/>
      </c>
    </row>
    <row r="298">
      <c r="A298" s="1">
        <v>297.0</v>
      </c>
      <c r="B298" s="1" t="s">
        <v>1187</v>
      </c>
      <c r="C298" s="1" t="s">
        <v>277</v>
      </c>
      <c r="D298" s="1" t="s">
        <v>1188</v>
      </c>
      <c r="E298" s="12" t="str">
        <f t="shared" si="1"/>
        <v>Dr.PRIYA J</v>
      </c>
      <c r="F298" s="13" t="s">
        <v>1158</v>
      </c>
      <c r="G298" s="12" t="s">
        <v>279</v>
      </c>
      <c r="H298" s="12" t="s">
        <v>1189</v>
      </c>
      <c r="I29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Col2='""&amp;B298&amp;""'"",0)"),2.0)</f>
        <v>2</v>
      </c>
      <c r="J298" s="12">
        <f>IFERROR(__xludf.DUMMYFUNCTION("""COMPUTED_VALUE"""),1.0)</f>
        <v>1</v>
      </c>
      <c r="K298" s="12">
        <f>IFERROR(__xludf.DUMMYFUNCTION("""COMPUTED_VALUE"""),2.0)</f>
        <v>2</v>
      </c>
      <c r="L298" s="12">
        <f>IFERROR(__xludf.DUMMYFUNCTION("""COMPUTED_VALUE"""),1.0)</f>
        <v>1</v>
      </c>
      <c r="M298" s="12" t="str">
        <f>IFERROR(__xludf.DUMMYFUNCTION("""COMPUTED_VALUE"""),"Working")</f>
        <v>Working</v>
      </c>
      <c r="N298" s="12" t="str">
        <f>IFERROR(__xludf.DUMMYFUNCTION("""COMPUTED_VALUE"""),"CORRECT")</f>
        <v>CORRECT</v>
      </c>
      <c r="O298" s="12" t="str">
        <f>IFERROR(__xludf.DUMMYFUNCTION("""COMPUTED_VALUE"""),"CORRECT")</f>
        <v>CORRECT</v>
      </c>
      <c r="P298" s="12" t="str">
        <f t="shared" si="2"/>
        <v/>
      </c>
      <c r="Q298" s="12" t="str">
        <f t="shared" si="3"/>
        <v/>
      </c>
    </row>
    <row r="299">
      <c r="A299" s="1">
        <v>298.0</v>
      </c>
      <c r="B299" s="1" t="s">
        <v>1190</v>
      </c>
      <c r="C299" s="1" t="s">
        <v>277</v>
      </c>
      <c r="D299" s="1" t="s">
        <v>1191</v>
      </c>
      <c r="E299" s="12" t="str">
        <f t="shared" si="1"/>
        <v>Dr.SADHASIVAM N</v>
      </c>
      <c r="F299" s="13" t="s">
        <v>1158</v>
      </c>
      <c r="G299" s="12" t="s">
        <v>283</v>
      </c>
      <c r="H299" s="12" t="s">
        <v>1192</v>
      </c>
      <c r="I29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Col2='""&amp;B299&amp;""'"",0)"),1.0)</f>
        <v>1</v>
      </c>
      <c r="J299" s="12">
        <f>IFERROR(__xludf.DUMMYFUNCTION("""COMPUTED_VALUE"""),1.0)</f>
        <v>1</v>
      </c>
      <c r="K299" s="12">
        <f>IFERROR(__xludf.DUMMYFUNCTION("""COMPUTED_VALUE"""),2.0)</f>
        <v>2</v>
      </c>
      <c r="L299" s="12">
        <f>IFERROR(__xludf.DUMMYFUNCTION("""COMPUTED_VALUE"""),0.0)</f>
        <v>0</v>
      </c>
      <c r="M299" s="12" t="str">
        <f>IFERROR(__xludf.DUMMYFUNCTION("""COMPUTED_VALUE"""),"Working")</f>
        <v>Working</v>
      </c>
      <c r="N299" s="12" t="str">
        <f>IFERROR(__xludf.DUMMYFUNCTION("""COMPUTED_VALUE"""),"CORRECT")</f>
        <v>CORRECT</v>
      </c>
      <c r="O299" s="12" t="str">
        <f>IFERROR(__xludf.DUMMYFUNCTION("""COMPUTED_VALUE"""),"LOAD PENDING")</f>
        <v>LOAD PENDING</v>
      </c>
      <c r="P299" s="12" t="str">
        <f t="shared" si="2"/>
        <v>Extra Theory Load Alloted</v>
      </c>
      <c r="Q299" s="12" t="str">
        <f t="shared" si="3"/>
        <v/>
      </c>
    </row>
    <row r="300">
      <c r="A300" s="1">
        <v>299.0</v>
      </c>
      <c r="B300" s="1" t="s">
        <v>1193</v>
      </c>
      <c r="C300" s="1" t="s">
        <v>286</v>
      </c>
      <c r="D300" s="1" t="s">
        <v>1194</v>
      </c>
      <c r="E300" s="12" t="str">
        <f t="shared" si="1"/>
        <v>Mrs.SANTHIYA B</v>
      </c>
      <c r="F300" s="13" t="s">
        <v>1158</v>
      </c>
      <c r="G300" s="12" t="s">
        <v>301</v>
      </c>
      <c r="H300" s="12" t="s">
        <v>1195</v>
      </c>
      <c r="I30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Col2='""&amp;B300&amp;""'"",0)"),2.0)</f>
        <v>2</v>
      </c>
      <c r="J300" s="12">
        <f>IFERROR(__xludf.DUMMYFUNCTION("""COMPUTED_VALUE"""),2.0)</f>
        <v>2</v>
      </c>
      <c r="K300" s="12">
        <f>IFERROR(__xludf.DUMMYFUNCTION("""COMPUTED_VALUE"""),2.0)</f>
        <v>2</v>
      </c>
      <c r="L300" s="12">
        <f>IFERROR(__xludf.DUMMYFUNCTION("""COMPUTED_VALUE"""),1.0)</f>
        <v>1</v>
      </c>
      <c r="M300" s="12" t="str">
        <f>IFERROR(__xludf.DUMMYFUNCTION("""COMPUTED_VALUE"""),"Working")</f>
        <v>Working</v>
      </c>
      <c r="N300" s="12" t="str">
        <f>IFERROR(__xludf.DUMMYFUNCTION("""COMPUTED_VALUE"""),"CORRECT")</f>
        <v>CORRECT</v>
      </c>
      <c r="O300" s="12" t="str">
        <f>IFERROR(__xludf.DUMMYFUNCTION("""COMPUTED_VALUE"""),"LOAD PENDING")</f>
        <v>LOAD PENDING</v>
      </c>
      <c r="P300" s="12" t="str">
        <f t="shared" si="2"/>
        <v/>
      </c>
      <c r="Q300" s="12" t="str">
        <f t="shared" si="3"/>
        <v/>
      </c>
    </row>
    <row r="301">
      <c r="A301" s="1">
        <v>300.0</v>
      </c>
      <c r="B301" s="1" t="s">
        <v>1196</v>
      </c>
      <c r="C301" s="1" t="s">
        <v>307</v>
      </c>
      <c r="D301" s="1" t="s">
        <v>1197</v>
      </c>
      <c r="E301" s="12" t="str">
        <f t="shared" si="1"/>
        <v>Ms.MUTHUMEENA S</v>
      </c>
      <c r="F301" s="13" t="s">
        <v>1158</v>
      </c>
      <c r="G301" s="12" t="s">
        <v>301</v>
      </c>
      <c r="H301" s="12" t="s">
        <v>1198</v>
      </c>
      <c r="I30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Col2='""&amp;B301&amp;""'"",0)"),2.0)</f>
        <v>2</v>
      </c>
      <c r="J301" s="12">
        <f>IFERROR(__xludf.DUMMYFUNCTION("""COMPUTED_VALUE"""),2.0)</f>
        <v>2</v>
      </c>
      <c r="K301" s="12">
        <f>IFERROR(__xludf.DUMMYFUNCTION("""COMPUTED_VALUE"""),2.0)</f>
        <v>2</v>
      </c>
      <c r="L301" s="12">
        <f>IFERROR(__xludf.DUMMYFUNCTION("""COMPUTED_VALUE"""),1.0)</f>
        <v>1</v>
      </c>
      <c r="M301" s="12" t="str">
        <f>IFERROR(__xludf.DUMMYFUNCTION("""COMPUTED_VALUE"""),"Working")</f>
        <v>Working</v>
      </c>
      <c r="N301" s="12" t="str">
        <f>IFERROR(__xludf.DUMMYFUNCTION("""COMPUTED_VALUE"""),"CORRECT")</f>
        <v>CORRECT</v>
      </c>
      <c r="O301" s="12" t="str">
        <f>IFERROR(__xludf.DUMMYFUNCTION("""COMPUTED_VALUE"""),"LOAD PENDING")</f>
        <v>LOAD PENDING</v>
      </c>
      <c r="P301" s="12" t="str">
        <f t="shared" si="2"/>
        <v/>
      </c>
      <c r="Q301" s="12" t="str">
        <f t="shared" si="3"/>
        <v/>
      </c>
    </row>
    <row r="302">
      <c r="A302" s="1">
        <v>301.0</v>
      </c>
      <c r="B302" s="1" t="s">
        <v>1199</v>
      </c>
      <c r="C302" s="1" t="s">
        <v>277</v>
      </c>
      <c r="D302" s="1" t="s">
        <v>1200</v>
      </c>
      <c r="E302" s="12" t="str">
        <f t="shared" si="1"/>
        <v>Dr.TAMILTHENDRAL M</v>
      </c>
      <c r="F302" s="13" t="s">
        <v>1158</v>
      </c>
      <c r="G302" s="12" t="s">
        <v>274</v>
      </c>
      <c r="H302" s="12" t="s">
        <v>1201</v>
      </c>
      <c r="I30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Col2='""&amp;B302&amp;""'"",0)"),2.0)</f>
        <v>2</v>
      </c>
      <c r="J302" s="12">
        <f>IFERROR(__xludf.DUMMYFUNCTION("""COMPUTED_VALUE"""),2.0)</f>
        <v>2</v>
      </c>
      <c r="K302" s="12">
        <f>IFERROR(__xludf.DUMMYFUNCTION("""COMPUTED_VALUE"""),2.0)</f>
        <v>2</v>
      </c>
      <c r="L302" s="12">
        <f>IFERROR(__xludf.DUMMYFUNCTION("""COMPUTED_VALUE"""),1.0)</f>
        <v>1</v>
      </c>
      <c r="M302" s="12" t="str">
        <f>IFERROR(__xludf.DUMMYFUNCTION("""COMPUTED_VALUE"""),"Working")</f>
        <v>Working</v>
      </c>
      <c r="N302" s="12" t="str">
        <f>IFERROR(__xludf.DUMMYFUNCTION("""COMPUTED_VALUE"""),"CORRECT")</f>
        <v>CORRECT</v>
      </c>
      <c r="O302" s="12" t="str">
        <f>IFERROR(__xludf.DUMMYFUNCTION("""COMPUTED_VALUE"""),"LOAD PENDING")</f>
        <v>LOAD PENDING</v>
      </c>
      <c r="P302" s="12" t="str">
        <f t="shared" si="2"/>
        <v/>
      </c>
      <c r="Q302" s="12" t="str">
        <f t="shared" si="3"/>
        <v/>
      </c>
    </row>
    <row r="303">
      <c r="A303" s="1">
        <v>302.0</v>
      </c>
      <c r="B303" s="1" t="s">
        <v>1202</v>
      </c>
      <c r="C303" s="1" t="s">
        <v>277</v>
      </c>
      <c r="D303" s="1" t="s">
        <v>1203</v>
      </c>
      <c r="E303" s="12" t="str">
        <f t="shared" si="1"/>
        <v>Dr.NIVEDHA S</v>
      </c>
      <c r="F303" s="13" t="s">
        <v>1158</v>
      </c>
      <c r="G303" s="12" t="s">
        <v>274</v>
      </c>
      <c r="H303" s="12" t="s">
        <v>1204</v>
      </c>
      <c r="I30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Col2='""&amp;B303&amp;""'"",0)"),1.0)</f>
        <v>1</v>
      </c>
      <c r="J303" s="12">
        <f>IFERROR(__xludf.DUMMYFUNCTION("""COMPUTED_VALUE"""),1.0)</f>
        <v>1</v>
      </c>
      <c r="K303" s="12">
        <f>IFERROR(__xludf.DUMMYFUNCTION("""COMPUTED_VALUE"""),1.0)</f>
        <v>1</v>
      </c>
      <c r="L303" s="12">
        <f>IFERROR(__xludf.DUMMYFUNCTION("""COMPUTED_VALUE"""),1.0)</f>
        <v>1</v>
      </c>
      <c r="M303" s="12" t="str">
        <f>IFERROR(__xludf.DUMMYFUNCTION("""COMPUTED_VALUE"""),"Working")</f>
        <v>Working</v>
      </c>
      <c r="N303" s="12" t="str">
        <f>IFERROR(__xludf.DUMMYFUNCTION("""COMPUTED_VALUE"""),"CORRECT")</f>
        <v>CORRECT</v>
      </c>
      <c r="O303" s="12" t="str">
        <f>IFERROR(__xludf.DUMMYFUNCTION("""COMPUTED_VALUE"""),"CORRECT")</f>
        <v>CORRECT</v>
      </c>
      <c r="P303" s="12" t="str">
        <f t="shared" si="2"/>
        <v/>
      </c>
      <c r="Q303" s="12" t="str">
        <f t="shared" si="3"/>
        <v/>
      </c>
    </row>
    <row r="304">
      <c r="A304" s="1">
        <v>303.0</v>
      </c>
      <c r="B304" s="1" t="s">
        <v>1205</v>
      </c>
      <c r="C304" s="1" t="s">
        <v>286</v>
      </c>
      <c r="D304" s="1" t="s">
        <v>1206</v>
      </c>
      <c r="E304" s="12" t="str">
        <f t="shared" si="1"/>
        <v>Mrs.KAVITHA V</v>
      </c>
      <c r="F304" s="13" t="s">
        <v>1158</v>
      </c>
      <c r="G304" s="12" t="s">
        <v>301</v>
      </c>
      <c r="H304" s="12" t="s">
        <v>1207</v>
      </c>
      <c r="I30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Col2='""&amp;B304&amp;""'"",0)"),2.0)</f>
        <v>2</v>
      </c>
      <c r="J304" s="12">
        <f>IFERROR(__xludf.DUMMYFUNCTION("""COMPUTED_VALUE"""),2.0)</f>
        <v>2</v>
      </c>
      <c r="K304" s="12">
        <f>IFERROR(__xludf.DUMMYFUNCTION("""COMPUTED_VALUE"""),2.0)</f>
        <v>2</v>
      </c>
      <c r="L304" s="12">
        <f>IFERROR(__xludf.DUMMYFUNCTION("""COMPUTED_VALUE"""),1.0)</f>
        <v>1</v>
      </c>
      <c r="M304" s="12" t="str">
        <f>IFERROR(__xludf.DUMMYFUNCTION("""COMPUTED_VALUE"""),"Working")</f>
        <v>Working</v>
      </c>
      <c r="N304" s="12" t="str">
        <f>IFERROR(__xludf.DUMMYFUNCTION("""COMPUTED_VALUE"""),"CORRECT")</f>
        <v>CORRECT</v>
      </c>
      <c r="O304" s="12" t="str">
        <f>IFERROR(__xludf.DUMMYFUNCTION("""COMPUTED_VALUE"""),"LOAD PENDING")</f>
        <v>LOAD PENDING</v>
      </c>
      <c r="P304" s="12" t="str">
        <f t="shared" si="2"/>
        <v/>
      </c>
      <c r="Q304" s="12" t="str">
        <f t="shared" si="3"/>
        <v/>
      </c>
    </row>
    <row r="305">
      <c r="A305" s="1">
        <v>304.0</v>
      </c>
      <c r="B305" s="1" t="s">
        <v>1208</v>
      </c>
      <c r="C305" s="1" t="s">
        <v>286</v>
      </c>
      <c r="D305" s="1" t="s">
        <v>1209</v>
      </c>
      <c r="E305" s="12" t="str">
        <f t="shared" si="1"/>
        <v>Mrs.PRIYA A</v>
      </c>
      <c r="F305" s="13" t="s">
        <v>1158</v>
      </c>
      <c r="G305" s="12" t="s">
        <v>301</v>
      </c>
      <c r="H305" s="12" t="s">
        <v>1210</v>
      </c>
      <c r="I30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Col2='""&amp;B305&amp;""'"",0)"),2.0)</f>
        <v>2</v>
      </c>
      <c r="J305" s="12">
        <f>IFERROR(__xludf.DUMMYFUNCTION("""COMPUTED_VALUE"""),2.0)</f>
        <v>2</v>
      </c>
      <c r="K305" s="12">
        <f>IFERROR(__xludf.DUMMYFUNCTION("""COMPUTED_VALUE"""),2.0)</f>
        <v>2</v>
      </c>
      <c r="L305" s="12">
        <f>IFERROR(__xludf.DUMMYFUNCTION("""COMPUTED_VALUE"""),2.0)</f>
        <v>2</v>
      </c>
      <c r="M305" s="12" t="str">
        <f>IFERROR(__xludf.DUMMYFUNCTION("""COMPUTED_VALUE"""),"Working")</f>
        <v>Working</v>
      </c>
      <c r="N305" s="12" t="str">
        <f>IFERROR(__xludf.DUMMYFUNCTION("""COMPUTED_VALUE"""),"CORRECT")</f>
        <v>CORRECT</v>
      </c>
      <c r="O305" s="12" t="str">
        <f>IFERROR(__xludf.DUMMYFUNCTION("""COMPUTED_VALUE"""),"CORRECT")</f>
        <v>CORRECT</v>
      </c>
      <c r="P305" s="12" t="str">
        <f t="shared" si="2"/>
        <v/>
      </c>
      <c r="Q305" s="12" t="str">
        <f t="shared" si="3"/>
        <v/>
      </c>
    </row>
    <row r="306">
      <c r="A306" s="1">
        <v>305.0</v>
      </c>
      <c r="B306" s="1" t="s">
        <v>1211</v>
      </c>
      <c r="C306" s="1" t="s">
        <v>286</v>
      </c>
      <c r="D306" s="1" t="s">
        <v>1212</v>
      </c>
      <c r="E306" s="12" t="str">
        <f t="shared" si="1"/>
        <v>Mrs.KEERTHANA K</v>
      </c>
      <c r="F306" s="13" t="s">
        <v>1158</v>
      </c>
      <c r="G306" s="12" t="s">
        <v>291</v>
      </c>
      <c r="H306" s="12" t="s">
        <v>1213</v>
      </c>
      <c r="I30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Col2='""&amp;B306&amp;""'"",0)"),2.0)</f>
        <v>2</v>
      </c>
      <c r="J306" s="12">
        <f>IFERROR(__xludf.DUMMYFUNCTION("""COMPUTED_VALUE"""),2.0)</f>
        <v>2</v>
      </c>
      <c r="K306" s="12">
        <f>IFERROR(__xludf.DUMMYFUNCTION("""COMPUTED_VALUE"""),2.0)</f>
        <v>2</v>
      </c>
      <c r="L306" s="12">
        <f>IFERROR(__xludf.DUMMYFUNCTION("""COMPUTED_VALUE"""),1.0)</f>
        <v>1</v>
      </c>
      <c r="M306" s="12" t="str">
        <f>IFERROR(__xludf.DUMMYFUNCTION("""COMPUTED_VALUE"""),"Working")</f>
        <v>Working</v>
      </c>
      <c r="N306" s="12" t="str">
        <f>IFERROR(__xludf.DUMMYFUNCTION("""COMPUTED_VALUE"""),"CORRECT")</f>
        <v>CORRECT</v>
      </c>
      <c r="O306" s="12" t="str">
        <f>IFERROR(__xludf.DUMMYFUNCTION("""COMPUTED_VALUE"""),"LOAD PENDING")</f>
        <v>LOAD PENDING</v>
      </c>
      <c r="P306" s="12" t="str">
        <f t="shared" si="2"/>
        <v/>
      </c>
      <c r="Q306" s="12" t="str">
        <f t="shared" si="3"/>
        <v/>
      </c>
    </row>
    <row r="307">
      <c r="A307" s="1">
        <v>306.0</v>
      </c>
      <c r="B307" s="1" t="s">
        <v>1214</v>
      </c>
      <c r="C307" s="1" t="s">
        <v>286</v>
      </c>
      <c r="D307" s="1" t="s">
        <v>1215</v>
      </c>
      <c r="E307" s="12" t="str">
        <f t="shared" si="1"/>
        <v>Mrs.SHANGARA NARAYANEE N P</v>
      </c>
      <c r="F307" s="13" t="s">
        <v>1158</v>
      </c>
      <c r="G307" s="12" t="s">
        <v>301</v>
      </c>
      <c r="H307" s="12" t="s">
        <v>1216</v>
      </c>
      <c r="I30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Col2='""&amp;B307&amp;""'"",0)"),2.0)</f>
        <v>2</v>
      </c>
      <c r="J307" s="12">
        <f>IFERROR(__xludf.DUMMYFUNCTION("""COMPUTED_VALUE"""),2.0)</f>
        <v>2</v>
      </c>
      <c r="K307" s="12">
        <f>IFERROR(__xludf.DUMMYFUNCTION("""COMPUTED_VALUE"""),2.0)</f>
        <v>2</v>
      </c>
      <c r="L307" s="12">
        <f>IFERROR(__xludf.DUMMYFUNCTION("""COMPUTED_VALUE"""),1.0)</f>
        <v>1</v>
      </c>
      <c r="M307" s="12" t="str">
        <f>IFERROR(__xludf.DUMMYFUNCTION("""COMPUTED_VALUE"""),"Working")</f>
        <v>Working</v>
      </c>
      <c r="N307" s="12" t="str">
        <f>IFERROR(__xludf.DUMMYFUNCTION("""COMPUTED_VALUE"""),"CORRECT")</f>
        <v>CORRECT</v>
      </c>
      <c r="O307" s="12" t="str">
        <f>IFERROR(__xludf.DUMMYFUNCTION("""COMPUTED_VALUE"""),"LOAD PENDING")</f>
        <v>LOAD PENDING</v>
      </c>
      <c r="P307" s="12" t="str">
        <f t="shared" si="2"/>
        <v/>
      </c>
      <c r="Q307" s="12" t="str">
        <f t="shared" si="3"/>
        <v/>
      </c>
    </row>
    <row r="308">
      <c r="A308" s="1">
        <v>307.0</v>
      </c>
      <c r="B308" s="1" t="s">
        <v>1217</v>
      </c>
      <c r="C308" s="1" t="s">
        <v>307</v>
      </c>
      <c r="D308" s="1" t="s">
        <v>1218</v>
      </c>
      <c r="E308" s="12" t="str">
        <f t="shared" si="1"/>
        <v>Ms.INDHU BHASHINI V</v>
      </c>
      <c r="F308" s="13" t="s">
        <v>1158</v>
      </c>
      <c r="G308" s="12" t="s">
        <v>301</v>
      </c>
      <c r="H308" s="12" t="s">
        <v>1219</v>
      </c>
      <c r="I30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Col2='""&amp;B308&amp;""'"",0)"),2.0)</f>
        <v>2</v>
      </c>
      <c r="J308" s="12">
        <f>IFERROR(__xludf.DUMMYFUNCTION("""COMPUTED_VALUE"""),2.0)</f>
        <v>2</v>
      </c>
      <c r="K308" s="12">
        <f>IFERROR(__xludf.DUMMYFUNCTION("""COMPUTED_VALUE"""),2.0)</f>
        <v>2</v>
      </c>
      <c r="L308" s="12">
        <f>IFERROR(__xludf.DUMMYFUNCTION("""COMPUTED_VALUE"""),1.0)</f>
        <v>1</v>
      </c>
      <c r="M308" s="12" t="str">
        <f>IFERROR(__xludf.DUMMYFUNCTION("""COMPUTED_VALUE"""),"Working")</f>
        <v>Working</v>
      </c>
      <c r="N308" s="12" t="str">
        <f>IFERROR(__xludf.DUMMYFUNCTION("""COMPUTED_VALUE"""),"CORRECT")</f>
        <v>CORRECT</v>
      </c>
      <c r="O308" s="12" t="str">
        <f>IFERROR(__xludf.DUMMYFUNCTION("""COMPUTED_VALUE"""),"LOAD PENDING")</f>
        <v>LOAD PENDING</v>
      </c>
      <c r="P308" s="12" t="str">
        <f t="shared" si="2"/>
        <v/>
      </c>
      <c r="Q308" s="12" t="str">
        <f t="shared" si="3"/>
        <v/>
      </c>
    </row>
    <row r="309">
      <c r="A309" s="1">
        <v>308.0</v>
      </c>
      <c r="B309" s="1" t="s">
        <v>1220</v>
      </c>
      <c r="C309" s="1" t="s">
        <v>271</v>
      </c>
      <c r="D309" s="1" t="s">
        <v>1221</v>
      </c>
      <c r="E309" s="12" t="str">
        <f t="shared" si="1"/>
        <v>Mr.MOHEMMED YOUSUF</v>
      </c>
      <c r="F309" s="13" t="s">
        <v>1158</v>
      </c>
      <c r="G309" s="12" t="s">
        <v>291</v>
      </c>
      <c r="H309" s="12" t="s">
        <v>1222</v>
      </c>
      <c r="I30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Col2='""&amp;B309&amp;""'"",0)"),2.0)</f>
        <v>2</v>
      </c>
      <c r="J309" s="12">
        <f>IFERROR(__xludf.DUMMYFUNCTION("""COMPUTED_VALUE"""),2.0)</f>
        <v>2</v>
      </c>
      <c r="K309" s="12">
        <f>IFERROR(__xludf.DUMMYFUNCTION("""COMPUTED_VALUE"""),2.0)</f>
        <v>2</v>
      </c>
      <c r="L309" s="12">
        <f>IFERROR(__xludf.DUMMYFUNCTION("""COMPUTED_VALUE"""),1.0)</f>
        <v>1</v>
      </c>
      <c r="M309" s="12" t="str">
        <f>IFERROR(__xludf.DUMMYFUNCTION("""COMPUTED_VALUE"""),"Working")</f>
        <v>Working</v>
      </c>
      <c r="N309" s="12" t="str">
        <f>IFERROR(__xludf.DUMMYFUNCTION("""COMPUTED_VALUE"""),"CORRECT")</f>
        <v>CORRECT</v>
      </c>
      <c r="O309" s="12" t="str">
        <f>IFERROR(__xludf.DUMMYFUNCTION("""COMPUTED_VALUE"""),"LOAD PENDING")</f>
        <v>LOAD PENDING</v>
      </c>
      <c r="P309" s="12" t="str">
        <f t="shared" si="2"/>
        <v/>
      </c>
      <c r="Q309" s="12" t="str">
        <f t="shared" si="3"/>
        <v/>
      </c>
    </row>
    <row r="310">
      <c r="A310" s="1">
        <v>309.0</v>
      </c>
      <c r="B310" s="1" t="s">
        <v>1223</v>
      </c>
      <c r="C310" s="1" t="s">
        <v>271</v>
      </c>
      <c r="D310" s="1" t="s">
        <v>1224</v>
      </c>
      <c r="E310" s="12" t="str">
        <f t="shared" si="1"/>
        <v>Mr.SENTHILNATHAN S</v>
      </c>
      <c r="F310" s="13" t="s">
        <v>1158</v>
      </c>
      <c r="G310" s="12" t="s">
        <v>291</v>
      </c>
      <c r="H310" s="12" t="s">
        <v>1225</v>
      </c>
      <c r="I31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Col2='""&amp;B310&amp;""'"",0)"),2.0)</f>
        <v>2</v>
      </c>
      <c r="J310" s="12">
        <f>IFERROR(__xludf.DUMMYFUNCTION("""COMPUTED_VALUE"""),2.0)</f>
        <v>2</v>
      </c>
      <c r="K310" s="12">
        <f>IFERROR(__xludf.DUMMYFUNCTION("""COMPUTED_VALUE"""),2.0)</f>
        <v>2</v>
      </c>
      <c r="L310" s="12">
        <f>IFERROR(__xludf.DUMMYFUNCTION("""COMPUTED_VALUE"""),1.0)</f>
        <v>1</v>
      </c>
      <c r="M310" s="12" t="str">
        <f>IFERROR(__xludf.DUMMYFUNCTION("""COMPUTED_VALUE"""),"Working")</f>
        <v>Working</v>
      </c>
      <c r="N310" s="12" t="str">
        <f>IFERROR(__xludf.DUMMYFUNCTION("""COMPUTED_VALUE"""),"CORRECT")</f>
        <v>CORRECT</v>
      </c>
      <c r="O310" s="12" t="str">
        <f>IFERROR(__xludf.DUMMYFUNCTION("""COMPUTED_VALUE"""),"LOAD PENDING")</f>
        <v>LOAD PENDING</v>
      </c>
      <c r="P310" s="12" t="str">
        <f t="shared" si="2"/>
        <v/>
      </c>
      <c r="Q310" s="12" t="str">
        <f t="shared" si="3"/>
        <v/>
      </c>
    </row>
    <row r="311">
      <c r="A311" s="1">
        <v>310.0</v>
      </c>
      <c r="B311" s="1" t="s">
        <v>1226</v>
      </c>
      <c r="C311" s="1" t="s">
        <v>286</v>
      </c>
      <c r="D311" s="1" t="s">
        <v>1227</v>
      </c>
      <c r="E311" s="12" t="str">
        <f t="shared" si="1"/>
        <v>Mrs.DEEPA SUMATHI M</v>
      </c>
      <c r="F311" s="13" t="s">
        <v>1158</v>
      </c>
      <c r="G311" s="12" t="s">
        <v>301</v>
      </c>
      <c r="H311" s="12" t="s">
        <v>1228</v>
      </c>
      <c r="I31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Col2='""&amp;B311&amp;""'"",0)"),2.0)</f>
        <v>2</v>
      </c>
      <c r="J311" s="12">
        <f>IFERROR(__xludf.DUMMYFUNCTION("""COMPUTED_VALUE"""),2.0)</f>
        <v>2</v>
      </c>
      <c r="K311" s="12">
        <f>IFERROR(__xludf.DUMMYFUNCTION("""COMPUTED_VALUE"""),2.0)</f>
        <v>2</v>
      </c>
      <c r="L311" s="12">
        <f>IFERROR(__xludf.DUMMYFUNCTION("""COMPUTED_VALUE"""),1.0)</f>
        <v>1</v>
      </c>
      <c r="M311" s="12" t="str">
        <f>IFERROR(__xludf.DUMMYFUNCTION("""COMPUTED_VALUE"""),"Working")</f>
        <v>Working</v>
      </c>
      <c r="N311" s="12" t="str">
        <f>IFERROR(__xludf.DUMMYFUNCTION("""COMPUTED_VALUE"""),"CORRECT")</f>
        <v>CORRECT</v>
      </c>
      <c r="O311" s="12" t="str">
        <f>IFERROR(__xludf.DUMMYFUNCTION("""COMPUTED_VALUE"""),"LOAD PENDING")</f>
        <v>LOAD PENDING</v>
      </c>
      <c r="P311" s="12" t="str">
        <f t="shared" si="2"/>
        <v/>
      </c>
      <c r="Q311" s="12" t="str">
        <f t="shared" si="3"/>
        <v/>
      </c>
    </row>
    <row r="312">
      <c r="A312" s="1">
        <v>311.0</v>
      </c>
      <c r="B312" s="1" t="s">
        <v>1229</v>
      </c>
      <c r="C312" s="1" t="s">
        <v>286</v>
      </c>
      <c r="D312" s="1" t="s">
        <v>1230</v>
      </c>
      <c r="E312" s="12" t="str">
        <f t="shared" si="1"/>
        <v>Mrs.ELAVARASI T</v>
      </c>
      <c r="F312" s="13" t="s">
        <v>1158</v>
      </c>
      <c r="G312" s="12" t="s">
        <v>301</v>
      </c>
      <c r="H312" s="12" t="s">
        <v>1231</v>
      </c>
      <c r="I31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Col2='""&amp;B312&amp;""'"",0)"),2.0)</f>
        <v>2</v>
      </c>
      <c r="J312" s="12">
        <f>IFERROR(__xludf.DUMMYFUNCTION("""COMPUTED_VALUE"""),2.0)</f>
        <v>2</v>
      </c>
      <c r="K312" s="12">
        <f>IFERROR(__xludf.DUMMYFUNCTION("""COMPUTED_VALUE"""),2.0)</f>
        <v>2</v>
      </c>
      <c r="L312" s="12">
        <f>IFERROR(__xludf.DUMMYFUNCTION("""COMPUTED_VALUE"""),1.0)</f>
        <v>1</v>
      </c>
      <c r="M312" s="12" t="str">
        <f>IFERROR(__xludf.DUMMYFUNCTION("""COMPUTED_VALUE"""),"Working")</f>
        <v>Working</v>
      </c>
      <c r="N312" s="12" t="str">
        <f>IFERROR(__xludf.DUMMYFUNCTION("""COMPUTED_VALUE"""),"CORRECT")</f>
        <v>CORRECT</v>
      </c>
      <c r="O312" s="12" t="str">
        <f>IFERROR(__xludf.DUMMYFUNCTION("""COMPUTED_VALUE"""),"LOAD PENDING")</f>
        <v>LOAD PENDING</v>
      </c>
      <c r="P312" s="12" t="str">
        <f t="shared" si="2"/>
        <v/>
      </c>
      <c r="Q312" s="12" t="str">
        <f t="shared" si="3"/>
        <v/>
      </c>
    </row>
    <row r="313">
      <c r="A313" s="1">
        <v>312.0</v>
      </c>
      <c r="B313" s="1" t="s">
        <v>1232</v>
      </c>
      <c r="C313" s="1" t="s">
        <v>286</v>
      </c>
      <c r="D313" s="1" t="s">
        <v>1233</v>
      </c>
      <c r="E313" s="12" t="str">
        <f t="shared" si="1"/>
        <v>Mrs.SHOBANA K B</v>
      </c>
      <c r="F313" s="13" t="s">
        <v>1158</v>
      </c>
      <c r="G313" s="12" t="s">
        <v>301</v>
      </c>
      <c r="H313" s="12" t="s">
        <v>1234</v>
      </c>
      <c r="I31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Col2='""&amp;B313&amp;""'"",0)"),2.0)</f>
        <v>2</v>
      </c>
      <c r="J313" s="12">
        <f>IFERROR(__xludf.DUMMYFUNCTION("""COMPUTED_VALUE"""),2.0)</f>
        <v>2</v>
      </c>
      <c r="K313" s="12">
        <f>IFERROR(__xludf.DUMMYFUNCTION("""COMPUTED_VALUE"""),0.0)</f>
        <v>0</v>
      </c>
      <c r="L313" s="12">
        <f>IFERROR(__xludf.DUMMYFUNCTION("""COMPUTED_VALUE"""),0.0)</f>
        <v>0</v>
      </c>
      <c r="M313" s="12" t="str">
        <f>IFERROR(__xludf.DUMMYFUNCTION("""COMPUTED_VALUE"""),"Working")</f>
        <v>Working</v>
      </c>
      <c r="N313" s="12" t="str">
        <f>IFERROR(__xludf.DUMMYFUNCTION("""COMPUTED_VALUE"""),"LOAD PENDING")</f>
        <v>LOAD PENDING</v>
      </c>
      <c r="O313" s="12" t="str">
        <f>IFERROR(__xludf.DUMMYFUNCTION("""COMPUTED_VALUE"""),"LOAD PENDING")</f>
        <v>LOAD PENDING</v>
      </c>
      <c r="P313" s="12" t="str">
        <f t="shared" si="2"/>
        <v/>
      </c>
      <c r="Q313" s="12" t="str">
        <f t="shared" si="3"/>
        <v/>
      </c>
    </row>
    <row r="314">
      <c r="A314" s="1">
        <v>313.0</v>
      </c>
      <c r="B314" s="1" t="s">
        <v>1235</v>
      </c>
      <c r="C314" s="1" t="s">
        <v>286</v>
      </c>
      <c r="D314" s="1" t="s">
        <v>1236</v>
      </c>
      <c r="E314" s="12" t="str">
        <f t="shared" si="1"/>
        <v>Mrs.GAYATHRI D</v>
      </c>
      <c r="F314" s="13" t="s">
        <v>1158</v>
      </c>
      <c r="G314" s="12" t="s">
        <v>301</v>
      </c>
      <c r="H314" s="12" t="s">
        <v>1237</v>
      </c>
      <c r="I31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Col2='""&amp;B314&amp;""'"",0)"),2.0)</f>
        <v>2</v>
      </c>
      <c r="J314" s="12">
        <f>IFERROR(__xludf.DUMMYFUNCTION("""COMPUTED_VALUE"""),2.0)</f>
        <v>2</v>
      </c>
      <c r="K314" s="12">
        <f>IFERROR(__xludf.DUMMYFUNCTION("""COMPUTED_VALUE"""),2.0)</f>
        <v>2</v>
      </c>
      <c r="L314" s="12">
        <f>IFERROR(__xludf.DUMMYFUNCTION("""COMPUTED_VALUE"""),1.0)</f>
        <v>1</v>
      </c>
      <c r="M314" s="12" t="str">
        <f>IFERROR(__xludf.DUMMYFUNCTION("""COMPUTED_VALUE"""),"Working")</f>
        <v>Working</v>
      </c>
      <c r="N314" s="12" t="str">
        <f>IFERROR(__xludf.DUMMYFUNCTION("""COMPUTED_VALUE"""),"CORRECT")</f>
        <v>CORRECT</v>
      </c>
      <c r="O314" s="12" t="str">
        <f>IFERROR(__xludf.DUMMYFUNCTION("""COMPUTED_VALUE"""),"LOAD PENDING")</f>
        <v>LOAD PENDING</v>
      </c>
      <c r="P314" s="12" t="str">
        <f t="shared" si="2"/>
        <v/>
      </c>
      <c r="Q314" s="12" t="str">
        <f t="shared" si="3"/>
        <v/>
      </c>
    </row>
    <row r="315">
      <c r="A315" s="1">
        <v>314.0</v>
      </c>
      <c r="B315" s="1" t="s">
        <v>1238</v>
      </c>
      <c r="C315" s="1" t="s">
        <v>271</v>
      </c>
      <c r="D315" s="1" t="s">
        <v>1239</v>
      </c>
      <c r="E315" s="12" t="str">
        <f t="shared" si="1"/>
        <v>Mr.SATHYARAJ S</v>
      </c>
      <c r="F315" s="13" t="s">
        <v>1158</v>
      </c>
      <c r="G315" s="12" t="s">
        <v>291</v>
      </c>
      <c r="H315" s="12" t="s">
        <v>1240</v>
      </c>
      <c r="I315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Col2='""&amp;B315&amp;""'"",0)"),"")</f>
        <v/>
      </c>
      <c r="J315" s="12"/>
      <c r="K315" s="12">
        <f>IFERROR(__xludf.DUMMYFUNCTION("""COMPUTED_VALUE"""),0.0)</f>
        <v>0</v>
      </c>
      <c r="L315" s="12">
        <f>IFERROR(__xludf.DUMMYFUNCTION("""COMPUTED_VALUE"""),0.0)</f>
        <v>0</v>
      </c>
      <c r="M315" s="12" t="str">
        <f>IFERROR(__xludf.DUMMYFUNCTION("""COMPUTED_VALUE"""),"Working")</f>
        <v>Working</v>
      </c>
      <c r="N315" s="12" t="str">
        <f>IFERROR(__xludf.DUMMYFUNCTION("""COMPUTED_VALUE"""),"#N/A")</f>
        <v>#N/A</v>
      </c>
      <c r="O315" s="12" t="str">
        <f>IFERROR(__xludf.DUMMYFUNCTION("""COMPUTED_VALUE"""),"CORRECT")</f>
        <v>CORRECT</v>
      </c>
      <c r="P315" s="12" t="str">
        <f t="shared" si="2"/>
        <v/>
      </c>
      <c r="Q315" s="12" t="str">
        <f t="shared" si="3"/>
        <v/>
      </c>
    </row>
    <row r="316">
      <c r="A316" s="1">
        <v>315.0</v>
      </c>
      <c r="B316" s="1" t="s">
        <v>1241</v>
      </c>
      <c r="C316" s="1" t="s">
        <v>307</v>
      </c>
      <c r="D316" s="1" t="s">
        <v>1242</v>
      </c>
      <c r="E316" s="12" t="str">
        <f t="shared" si="1"/>
        <v>Ms.MANISHA G</v>
      </c>
      <c r="F316" s="13" t="s">
        <v>1158</v>
      </c>
      <c r="G316" s="12" t="s">
        <v>301</v>
      </c>
      <c r="H316" s="12" t="s">
        <v>1243</v>
      </c>
      <c r="I316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Col2='""&amp;B316&amp;""'"",0)"),"")</f>
        <v/>
      </c>
      <c r="J316" s="12"/>
      <c r="K316" s="12">
        <f>IFERROR(__xludf.DUMMYFUNCTION("""COMPUTED_VALUE"""),0.0)</f>
        <v>0</v>
      </c>
      <c r="L316" s="12">
        <f>IFERROR(__xludf.DUMMYFUNCTION("""COMPUTED_VALUE"""),0.0)</f>
        <v>0</v>
      </c>
      <c r="M316" s="12" t="str">
        <f>IFERROR(__xludf.DUMMYFUNCTION("""COMPUTED_VALUE"""),"Working")</f>
        <v>Working</v>
      </c>
      <c r="N316" s="12" t="str">
        <f>IFERROR(__xludf.DUMMYFUNCTION("""COMPUTED_VALUE"""),"#N/A")</f>
        <v>#N/A</v>
      </c>
      <c r="O316" s="12" t="str">
        <f>IFERROR(__xludf.DUMMYFUNCTION("""COMPUTED_VALUE"""),"CORRECT")</f>
        <v>CORRECT</v>
      </c>
      <c r="P316" s="12" t="str">
        <f t="shared" si="2"/>
        <v/>
      </c>
      <c r="Q316" s="12" t="str">
        <f t="shared" si="3"/>
        <v/>
      </c>
    </row>
    <row r="317">
      <c r="A317" s="1">
        <v>316.0</v>
      </c>
      <c r="B317" s="1" t="s">
        <v>1244</v>
      </c>
      <c r="C317" s="1" t="s">
        <v>277</v>
      </c>
      <c r="D317" s="1" t="s">
        <v>1245</v>
      </c>
      <c r="E317" s="12" t="str">
        <f t="shared" si="1"/>
        <v>Dr.PAARIVALLAL RA</v>
      </c>
      <c r="F317" s="13" t="s">
        <v>1158</v>
      </c>
      <c r="G317" s="12" t="s">
        <v>279</v>
      </c>
      <c r="H317" s="1" t="s">
        <v>1246</v>
      </c>
      <c r="I31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Col2='""&amp;B317&amp;""'"",0)"),2.0)</f>
        <v>2</v>
      </c>
      <c r="J317" s="12">
        <f>IFERROR(__xludf.DUMMYFUNCTION("""COMPUTED_VALUE"""),1.0)</f>
        <v>1</v>
      </c>
      <c r="K317" s="12">
        <f>IFERROR(__xludf.DUMMYFUNCTION("""COMPUTED_VALUE"""),0.0)</f>
        <v>0</v>
      </c>
      <c r="L317" s="12">
        <f>IFERROR(__xludf.DUMMYFUNCTION("""COMPUTED_VALUE"""),0.0)</f>
        <v>0</v>
      </c>
      <c r="M317" s="12" t="str">
        <f>IFERROR(__xludf.DUMMYFUNCTION("""COMPUTED_VALUE"""),"Working")</f>
        <v>Working</v>
      </c>
      <c r="N317" s="12" t="str">
        <f>IFERROR(__xludf.DUMMYFUNCTION("""COMPUTED_VALUE"""),"LOAD PENDING")</f>
        <v>LOAD PENDING</v>
      </c>
      <c r="O317" s="12" t="str">
        <f>IFERROR(__xludf.DUMMYFUNCTION("""COMPUTED_VALUE"""),"LOAD PENDING")</f>
        <v>LOAD PENDING</v>
      </c>
      <c r="P317" s="12" t="str">
        <f t="shared" si="2"/>
        <v/>
      </c>
      <c r="Q317" s="12" t="str">
        <f t="shared" si="3"/>
        <v/>
      </c>
    </row>
    <row r="318">
      <c r="A318" s="1">
        <v>317.0</v>
      </c>
      <c r="B318" s="1" t="s">
        <v>1247</v>
      </c>
      <c r="C318" s="1" t="s">
        <v>277</v>
      </c>
      <c r="D318" s="1" t="s">
        <v>1248</v>
      </c>
      <c r="E318" s="12" t="str">
        <f t="shared" si="1"/>
        <v>Dr.PALANISAMY C</v>
      </c>
      <c r="F318" s="13" t="s">
        <v>1158</v>
      </c>
      <c r="G318" s="12" t="s">
        <v>283</v>
      </c>
      <c r="H318" s="12" t="s">
        <v>1249</v>
      </c>
      <c r="I31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Col2='""&amp;B318&amp;""'"",0)"),1.0)</f>
        <v>1</v>
      </c>
      <c r="J318" s="1">
        <f>IFERROR(__xludf.DUMMYFUNCTION("""COMPUTED_VALUE"""),1.0)</f>
        <v>1</v>
      </c>
      <c r="K318" s="12">
        <f>IFERROR(__xludf.DUMMYFUNCTION("""COMPUTED_VALUE"""),0.0)</f>
        <v>0</v>
      </c>
      <c r="L318" s="12">
        <f>IFERROR(__xludf.DUMMYFUNCTION("""COMPUTED_VALUE"""),0.0)</f>
        <v>0</v>
      </c>
      <c r="M318" s="12" t="str">
        <f>IFERROR(__xludf.DUMMYFUNCTION("""COMPUTED_VALUE"""),"Working")</f>
        <v>Working</v>
      </c>
      <c r="N318" s="12" t="str">
        <f>IFERROR(__xludf.DUMMYFUNCTION("""COMPUTED_VALUE"""),"LOAD PENDING")</f>
        <v>LOAD PENDING</v>
      </c>
      <c r="O318" s="1" t="str">
        <f>IFERROR(__xludf.DUMMYFUNCTION("""COMPUTED_VALUE"""),"LOAD PENDING")</f>
        <v>LOAD PENDING</v>
      </c>
      <c r="P318" s="12" t="str">
        <f t="shared" si="2"/>
        <v/>
      </c>
      <c r="Q318" s="12" t="str">
        <f t="shared" si="3"/>
        <v/>
      </c>
    </row>
    <row r="319">
      <c r="A319" s="1">
        <v>318.0</v>
      </c>
      <c r="B319" s="1" t="s">
        <v>1250</v>
      </c>
      <c r="C319" s="1" t="s">
        <v>277</v>
      </c>
      <c r="D319" s="1" t="s">
        <v>1251</v>
      </c>
      <c r="E319" s="12" t="str">
        <f t="shared" si="1"/>
        <v>Dr.SATHIS KUMAR K</v>
      </c>
      <c r="F319" s="13" t="s">
        <v>1158</v>
      </c>
      <c r="G319" s="12" t="s">
        <v>279</v>
      </c>
      <c r="H319" s="12" t="s">
        <v>1252</v>
      </c>
      <c r="I31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Col2='""&amp;B319&amp;""'"",0)"),1.0)</f>
        <v>1</v>
      </c>
      <c r="J319" s="12">
        <f>IFERROR(__xludf.DUMMYFUNCTION("""COMPUTED_VALUE"""),0.0)</f>
        <v>0</v>
      </c>
      <c r="K319" s="12">
        <f>IFERROR(__xludf.DUMMYFUNCTION("""COMPUTED_VALUE"""),1.0)</f>
        <v>1</v>
      </c>
      <c r="L319" s="12">
        <f>IFERROR(__xludf.DUMMYFUNCTION("""COMPUTED_VALUE"""),0.0)</f>
        <v>0</v>
      </c>
      <c r="M319" s="12" t="str">
        <f>IFERROR(__xludf.DUMMYFUNCTION("""COMPUTED_VALUE"""),"Working")</f>
        <v>Working</v>
      </c>
      <c r="N319" s="12" t="str">
        <f>IFERROR(__xludf.DUMMYFUNCTION("""COMPUTED_VALUE"""),"CORRECT")</f>
        <v>CORRECT</v>
      </c>
      <c r="O319" s="12" t="str">
        <f>IFERROR(__xludf.DUMMYFUNCTION("""COMPUTED_VALUE"""),"CORRECT")</f>
        <v>CORRECT</v>
      </c>
      <c r="P319" s="12" t="str">
        <f t="shared" si="2"/>
        <v/>
      </c>
      <c r="Q319" s="12" t="str">
        <f t="shared" si="3"/>
        <v/>
      </c>
    </row>
    <row r="320">
      <c r="A320" s="1">
        <v>319.0</v>
      </c>
      <c r="B320" s="1" t="s">
        <v>1253</v>
      </c>
      <c r="C320" s="1" t="s">
        <v>277</v>
      </c>
      <c r="D320" s="1" t="s">
        <v>1254</v>
      </c>
      <c r="E320" s="12" t="str">
        <f t="shared" si="1"/>
        <v>Dr.NAVEENA S</v>
      </c>
      <c r="F320" s="13" t="s">
        <v>1158</v>
      </c>
      <c r="G320" s="12" t="s">
        <v>279</v>
      </c>
      <c r="H320" s="12" t="s">
        <v>1255</v>
      </c>
      <c r="I32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Col2='""&amp;B320&amp;""'"",0)"),1.0)</f>
        <v>1</v>
      </c>
      <c r="J320" s="12">
        <f>IFERROR(__xludf.DUMMYFUNCTION("""COMPUTED_VALUE"""),0.0)</f>
        <v>0</v>
      </c>
      <c r="K320" s="12">
        <f>IFERROR(__xludf.DUMMYFUNCTION("""COMPUTED_VALUE"""),1.0)</f>
        <v>1</v>
      </c>
      <c r="L320" s="12">
        <f>IFERROR(__xludf.DUMMYFUNCTION("""COMPUTED_VALUE"""),0.0)</f>
        <v>0</v>
      </c>
      <c r="M320" s="12" t="str">
        <f>IFERROR(__xludf.DUMMYFUNCTION("""COMPUTED_VALUE"""),"Working")</f>
        <v>Working</v>
      </c>
      <c r="N320" s="12" t="str">
        <f>IFERROR(__xludf.DUMMYFUNCTION("""COMPUTED_VALUE"""),"CORRECT")</f>
        <v>CORRECT</v>
      </c>
      <c r="O320" s="12" t="str">
        <f>IFERROR(__xludf.DUMMYFUNCTION("""COMPUTED_VALUE"""),"CORRECT")</f>
        <v>CORRECT</v>
      </c>
      <c r="P320" s="12" t="str">
        <f t="shared" si="2"/>
        <v/>
      </c>
      <c r="Q320" s="12" t="str">
        <f t="shared" si="3"/>
        <v/>
      </c>
    </row>
    <row r="321">
      <c r="A321" s="1">
        <v>320.0</v>
      </c>
      <c r="B321" s="1" t="s">
        <v>1256</v>
      </c>
      <c r="C321" s="1" t="s">
        <v>271</v>
      </c>
      <c r="D321" s="1" t="s">
        <v>1257</v>
      </c>
      <c r="E321" s="12" t="str">
        <f t="shared" si="1"/>
        <v>Mr.PRABHU P S</v>
      </c>
      <c r="F321" s="13" t="s">
        <v>1158</v>
      </c>
      <c r="G321" s="12" t="s">
        <v>291</v>
      </c>
      <c r="H321" s="12" t="s">
        <v>1258</v>
      </c>
      <c r="I32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Col2='""&amp;B321&amp;""'"",0)"),2.0)</f>
        <v>2</v>
      </c>
      <c r="J321" s="12">
        <f>IFERROR(__xludf.DUMMYFUNCTION("""COMPUTED_VALUE"""),2.0)</f>
        <v>2</v>
      </c>
      <c r="K321" s="12">
        <f>IFERROR(__xludf.DUMMYFUNCTION("""COMPUTED_VALUE"""),1.0)</f>
        <v>1</v>
      </c>
      <c r="L321" s="12">
        <f>IFERROR(__xludf.DUMMYFUNCTION("""COMPUTED_VALUE"""),0.0)</f>
        <v>0</v>
      </c>
      <c r="M321" s="12" t="str">
        <f>IFERROR(__xludf.DUMMYFUNCTION("""COMPUTED_VALUE"""),"Working")</f>
        <v>Working</v>
      </c>
      <c r="N321" s="12" t="str">
        <f>IFERROR(__xludf.DUMMYFUNCTION("""COMPUTED_VALUE"""),"LOAD PENDING")</f>
        <v>LOAD PENDING</v>
      </c>
      <c r="O321" s="12" t="str">
        <f>IFERROR(__xludf.DUMMYFUNCTION("""COMPUTED_VALUE"""),"LOAD PENDING")</f>
        <v>LOAD PENDING</v>
      </c>
      <c r="P321" s="12" t="str">
        <f t="shared" si="2"/>
        <v/>
      </c>
      <c r="Q321" s="12" t="str">
        <f t="shared" si="3"/>
        <v/>
      </c>
    </row>
    <row r="322">
      <c r="A322" s="1">
        <v>321.0</v>
      </c>
      <c r="B322" s="1" t="s">
        <v>1259</v>
      </c>
      <c r="C322" s="1" t="s">
        <v>277</v>
      </c>
      <c r="D322" s="1" t="s">
        <v>1260</v>
      </c>
      <c r="E322" s="12" t="str">
        <f t="shared" si="1"/>
        <v>Dr.NATARAJ N</v>
      </c>
      <c r="F322" s="13" t="s">
        <v>1158</v>
      </c>
      <c r="G322" s="12" t="s">
        <v>279</v>
      </c>
      <c r="H322" s="12" t="s">
        <v>1261</v>
      </c>
      <c r="I32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Col2='""&amp;B322&amp;""'"",0)"),1.0)</f>
        <v>1</v>
      </c>
      <c r="J322" s="12">
        <f>IFERROR(__xludf.DUMMYFUNCTION("""COMPUTED_VALUE"""),0.0)</f>
        <v>0</v>
      </c>
      <c r="K322" s="12">
        <f>IFERROR(__xludf.DUMMYFUNCTION("""COMPUTED_VALUE"""),1.0)</f>
        <v>1</v>
      </c>
      <c r="L322" s="12">
        <f>IFERROR(__xludf.DUMMYFUNCTION("""COMPUTED_VALUE"""),0.0)</f>
        <v>0</v>
      </c>
      <c r="M322" s="12" t="str">
        <f>IFERROR(__xludf.DUMMYFUNCTION("""COMPUTED_VALUE"""),"Working")</f>
        <v>Working</v>
      </c>
      <c r="N322" s="12" t="str">
        <f>IFERROR(__xludf.DUMMYFUNCTION("""COMPUTED_VALUE"""),"CORRECT")</f>
        <v>CORRECT</v>
      </c>
      <c r="O322" s="12" t="str">
        <f>IFERROR(__xludf.DUMMYFUNCTION("""COMPUTED_VALUE"""),"CORRECT")</f>
        <v>CORRECT</v>
      </c>
      <c r="P322" s="12" t="str">
        <f t="shared" si="2"/>
        <v/>
      </c>
      <c r="Q322" s="12" t="str">
        <f t="shared" si="3"/>
        <v/>
      </c>
    </row>
    <row r="323">
      <c r="A323" s="1">
        <v>322.0</v>
      </c>
      <c r="B323" s="1" t="s">
        <v>1262</v>
      </c>
      <c r="C323" s="1" t="s">
        <v>286</v>
      </c>
      <c r="D323" s="1" t="s">
        <v>1263</v>
      </c>
      <c r="E323" s="12" t="str">
        <f t="shared" si="1"/>
        <v>Mrs.PREETHA R</v>
      </c>
      <c r="F323" s="13" t="s">
        <v>1264</v>
      </c>
      <c r="G323" s="12" t="s">
        <v>274</v>
      </c>
      <c r="H323" s="12" t="s">
        <v>1265</v>
      </c>
      <c r="I32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Col2='""&amp;B323&amp;""'"",0)"),2.0)</f>
        <v>2</v>
      </c>
      <c r="J323" s="12">
        <f>IFERROR(__xludf.DUMMYFUNCTION("""COMPUTED_VALUE"""),2.0)</f>
        <v>2</v>
      </c>
      <c r="K323" s="12">
        <f>IFERROR(__xludf.DUMMYFUNCTION("""COMPUTED_VALUE"""),3.0)</f>
        <v>3</v>
      </c>
      <c r="L323" s="12">
        <f>IFERROR(__xludf.DUMMYFUNCTION("""COMPUTED_VALUE"""),0.0)</f>
        <v>0</v>
      </c>
      <c r="M323" s="12" t="str">
        <f>IFERROR(__xludf.DUMMYFUNCTION("""COMPUTED_VALUE"""),"Working")</f>
        <v>Working</v>
      </c>
      <c r="N323" s="12" t="str">
        <f>IFERROR(__xludf.DUMMYFUNCTION("""COMPUTED_VALUE"""),"CORRECT")</f>
        <v>CORRECT</v>
      </c>
      <c r="O323" s="12" t="str">
        <f>IFERROR(__xludf.DUMMYFUNCTION("""COMPUTED_VALUE"""),"LOAD PENDING")</f>
        <v>LOAD PENDING</v>
      </c>
      <c r="P323" s="12" t="str">
        <f t="shared" si="2"/>
        <v>Extra Theory Load Alloted</v>
      </c>
      <c r="Q323" s="12" t="str">
        <f t="shared" si="3"/>
        <v/>
      </c>
    </row>
    <row r="324">
      <c r="A324" s="1">
        <v>323.0</v>
      </c>
      <c r="B324" s="1" t="s">
        <v>1266</v>
      </c>
      <c r="C324" s="1" t="s">
        <v>277</v>
      </c>
      <c r="D324" s="1" t="s">
        <v>1267</v>
      </c>
      <c r="E324" s="12" t="str">
        <f t="shared" si="1"/>
        <v>Dr.SARANYA D</v>
      </c>
      <c r="F324" s="13" t="s">
        <v>1264</v>
      </c>
      <c r="G324" s="12" t="s">
        <v>274</v>
      </c>
      <c r="H324" s="12" t="s">
        <v>1268</v>
      </c>
      <c r="I32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Col2='""&amp;B324&amp;""'"",0)"),2.0)</f>
        <v>2</v>
      </c>
      <c r="J324" s="12">
        <f>IFERROR(__xludf.DUMMYFUNCTION("""COMPUTED_VALUE"""),2.0)</f>
        <v>2</v>
      </c>
      <c r="K324" s="12">
        <f>IFERROR(__xludf.DUMMYFUNCTION("""COMPUTED_VALUE"""),3.0)</f>
        <v>3</v>
      </c>
      <c r="L324" s="12">
        <f>IFERROR(__xludf.DUMMYFUNCTION("""COMPUTED_VALUE"""),0.0)</f>
        <v>0</v>
      </c>
      <c r="M324" s="12" t="str">
        <f>IFERROR(__xludf.DUMMYFUNCTION("""COMPUTED_VALUE"""),"Working")</f>
        <v>Working</v>
      </c>
      <c r="N324" s="12" t="str">
        <f>IFERROR(__xludf.DUMMYFUNCTION("""COMPUTED_VALUE"""),"CORRECT")</f>
        <v>CORRECT</v>
      </c>
      <c r="O324" s="12" t="str">
        <f>IFERROR(__xludf.DUMMYFUNCTION("""COMPUTED_VALUE"""),"LOAD PENDING")</f>
        <v>LOAD PENDING</v>
      </c>
      <c r="P324" s="12" t="str">
        <f t="shared" si="2"/>
        <v>Extra Theory Load Alloted</v>
      </c>
      <c r="Q324" s="12" t="str">
        <f t="shared" si="3"/>
        <v/>
      </c>
    </row>
    <row r="325">
      <c r="A325" s="1">
        <v>324.0</v>
      </c>
      <c r="B325" s="14" t="s">
        <v>1269</v>
      </c>
      <c r="C325" s="14" t="s">
        <v>271</v>
      </c>
      <c r="D325" s="1" t="s">
        <v>1270</v>
      </c>
      <c r="E325" s="12" t="str">
        <f t="shared" si="1"/>
        <v>Mr.KARUPPUSAMY M</v>
      </c>
      <c r="F325" s="13" t="s">
        <v>1264</v>
      </c>
      <c r="G325" s="12" t="s">
        <v>274</v>
      </c>
      <c r="H325" s="12" t="s">
        <v>1271</v>
      </c>
      <c r="I32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Col2='""&amp;B325&amp;""'"",0)"),1.0)</f>
        <v>1</v>
      </c>
      <c r="J325" s="12">
        <f>IFERROR(__xludf.DUMMYFUNCTION("""COMPUTED_VALUE"""),0.0)</f>
        <v>0</v>
      </c>
      <c r="K325" s="12">
        <f>IFERROR(__xludf.DUMMYFUNCTION("""COMPUTED_VALUE"""),1.0)</f>
        <v>1</v>
      </c>
      <c r="L325" s="12">
        <f>IFERROR(__xludf.DUMMYFUNCTION("""COMPUTED_VALUE"""),0.0)</f>
        <v>0</v>
      </c>
      <c r="M325" s="12" t="str">
        <f>IFERROR(__xludf.DUMMYFUNCTION("""COMPUTED_VALUE"""),"Working")</f>
        <v>Working</v>
      </c>
      <c r="N325" s="12" t="str">
        <f>IFERROR(__xludf.DUMMYFUNCTION("""COMPUTED_VALUE"""),"CORRECT")</f>
        <v>CORRECT</v>
      </c>
      <c r="O325" s="12" t="str">
        <f>IFERROR(__xludf.DUMMYFUNCTION("""COMPUTED_VALUE"""),"CORRECT")</f>
        <v>CORRECT</v>
      </c>
      <c r="P325" s="12" t="str">
        <f t="shared" si="2"/>
        <v/>
      </c>
      <c r="Q325" s="12" t="str">
        <f t="shared" si="3"/>
        <v/>
      </c>
    </row>
    <row r="326">
      <c r="A326" s="1">
        <v>325.0</v>
      </c>
      <c r="B326" s="1" t="s">
        <v>1272</v>
      </c>
      <c r="C326" s="1" t="s">
        <v>286</v>
      </c>
      <c r="D326" s="1" t="s">
        <v>1273</v>
      </c>
      <c r="E326" s="12" t="str">
        <f t="shared" si="1"/>
        <v>Mrs.KARTHIKA M</v>
      </c>
      <c r="F326" s="13" t="s">
        <v>1264</v>
      </c>
      <c r="G326" s="12" t="s">
        <v>274</v>
      </c>
      <c r="H326" s="12" t="s">
        <v>1274</v>
      </c>
      <c r="I32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Col2='""&amp;B326&amp;""'"",0)"),1.0)</f>
        <v>1</v>
      </c>
      <c r="J326" s="12">
        <f>IFERROR(__xludf.DUMMYFUNCTION("""COMPUTED_VALUE"""),0.0)</f>
        <v>0</v>
      </c>
      <c r="K326" s="12">
        <f>IFERROR(__xludf.DUMMYFUNCTION("""COMPUTED_VALUE"""),1.0)</f>
        <v>1</v>
      </c>
      <c r="L326" s="12">
        <f>IFERROR(__xludf.DUMMYFUNCTION("""COMPUTED_VALUE"""),0.0)</f>
        <v>0</v>
      </c>
      <c r="M326" s="12" t="str">
        <f>IFERROR(__xludf.DUMMYFUNCTION("""COMPUTED_VALUE"""),"Working")</f>
        <v>Working</v>
      </c>
      <c r="N326" s="12" t="str">
        <f>IFERROR(__xludf.DUMMYFUNCTION("""COMPUTED_VALUE"""),"CORRECT")</f>
        <v>CORRECT</v>
      </c>
      <c r="O326" s="12" t="str">
        <f>IFERROR(__xludf.DUMMYFUNCTION("""COMPUTED_VALUE"""),"CORRECT")</f>
        <v>CORRECT</v>
      </c>
      <c r="P326" s="12" t="str">
        <f t="shared" si="2"/>
        <v/>
      </c>
      <c r="Q326" s="12" t="str">
        <f t="shared" si="3"/>
        <v/>
      </c>
    </row>
    <row r="327">
      <c r="A327" s="1">
        <v>326.0</v>
      </c>
      <c r="B327" s="1" t="s">
        <v>1275</v>
      </c>
      <c r="C327" s="1" t="s">
        <v>271</v>
      </c>
      <c r="D327" s="1" t="s">
        <v>1276</v>
      </c>
      <c r="E327" s="12" t="str">
        <f t="shared" si="1"/>
        <v>Mr.KALAISELVAN S</v>
      </c>
      <c r="F327" s="13" t="s">
        <v>1264</v>
      </c>
      <c r="G327" s="12" t="s">
        <v>274</v>
      </c>
      <c r="H327" s="12" t="s">
        <v>1277</v>
      </c>
      <c r="I32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Col2='""&amp;B327&amp;""'"",0)"),2.0)</f>
        <v>2</v>
      </c>
      <c r="J327" s="12">
        <f>IFERROR(__xludf.DUMMYFUNCTION("""COMPUTED_VALUE"""),2.0)</f>
        <v>2</v>
      </c>
      <c r="K327" s="12">
        <f>IFERROR(__xludf.DUMMYFUNCTION("""COMPUTED_VALUE"""),3.0)</f>
        <v>3</v>
      </c>
      <c r="L327" s="12">
        <f>IFERROR(__xludf.DUMMYFUNCTION("""COMPUTED_VALUE"""),0.0)</f>
        <v>0</v>
      </c>
      <c r="M327" s="12" t="str">
        <f>IFERROR(__xludf.DUMMYFUNCTION("""COMPUTED_VALUE"""),"Working")</f>
        <v>Working</v>
      </c>
      <c r="N327" s="12" t="str">
        <f>IFERROR(__xludf.DUMMYFUNCTION("""COMPUTED_VALUE"""),"CORRECT")</f>
        <v>CORRECT</v>
      </c>
      <c r="O327" s="12" t="str">
        <f>IFERROR(__xludf.DUMMYFUNCTION("""COMPUTED_VALUE"""),"LOAD PENDING")</f>
        <v>LOAD PENDING</v>
      </c>
      <c r="P327" s="12" t="str">
        <f t="shared" si="2"/>
        <v>Extra Theory Load Alloted</v>
      </c>
      <c r="Q327" s="12" t="str">
        <f t="shared" si="3"/>
        <v/>
      </c>
    </row>
    <row r="328">
      <c r="A328" s="1">
        <v>327.0</v>
      </c>
      <c r="B328" s="1" t="s">
        <v>1278</v>
      </c>
      <c r="C328" s="1" t="s">
        <v>277</v>
      </c>
      <c r="D328" s="1" t="s">
        <v>1279</v>
      </c>
      <c r="E328" s="12" t="str">
        <f t="shared" si="1"/>
        <v>Dr.PRABAKARAN P</v>
      </c>
      <c r="F328" s="13" t="s">
        <v>1264</v>
      </c>
      <c r="G328" s="12" t="s">
        <v>274</v>
      </c>
      <c r="H328" s="12" t="s">
        <v>1280</v>
      </c>
      <c r="I32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Col2='""&amp;B328&amp;""'"",0)"),2.0)</f>
        <v>2</v>
      </c>
      <c r="J328" s="12">
        <f>IFERROR(__xludf.DUMMYFUNCTION("""COMPUTED_VALUE"""),2.0)</f>
        <v>2</v>
      </c>
      <c r="K328" s="12">
        <f>IFERROR(__xludf.DUMMYFUNCTION("""COMPUTED_VALUE"""),2.0)</f>
        <v>2</v>
      </c>
      <c r="L328" s="12">
        <f>IFERROR(__xludf.DUMMYFUNCTION("""COMPUTED_VALUE"""),0.0)</f>
        <v>0</v>
      </c>
      <c r="M328" s="12" t="str">
        <f>IFERROR(__xludf.DUMMYFUNCTION("""COMPUTED_VALUE"""),"Working")</f>
        <v>Working</v>
      </c>
      <c r="N328" s="12" t="str">
        <f>IFERROR(__xludf.DUMMYFUNCTION("""COMPUTED_VALUE"""),"CORRECT")</f>
        <v>CORRECT</v>
      </c>
      <c r="O328" s="12" t="str">
        <f>IFERROR(__xludf.DUMMYFUNCTION("""COMPUTED_VALUE"""),"LOAD PENDING")</f>
        <v>LOAD PENDING</v>
      </c>
      <c r="P328" s="12" t="str">
        <f t="shared" si="2"/>
        <v/>
      </c>
      <c r="Q328" s="12" t="str">
        <f t="shared" si="3"/>
        <v/>
      </c>
    </row>
    <row r="329">
      <c r="A329" s="1">
        <v>328.0</v>
      </c>
      <c r="B329" s="1" t="s">
        <v>1281</v>
      </c>
      <c r="C329" s="1" t="s">
        <v>277</v>
      </c>
      <c r="D329" s="1" t="s">
        <v>1282</v>
      </c>
      <c r="E329" s="12" t="str">
        <f t="shared" si="1"/>
        <v>Dr.REVATHI V M</v>
      </c>
      <c r="F329" s="13" t="s">
        <v>1264</v>
      </c>
      <c r="G329" s="12" t="s">
        <v>274</v>
      </c>
      <c r="H329" s="12" t="s">
        <v>1283</v>
      </c>
      <c r="I32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Col2='""&amp;B329&amp;""'"",0)"),2.0)</f>
        <v>2</v>
      </c>
      <c r="J329" s="12">
        <f>IFERROR(__xludf.DUMMYFUNCTION("""COMPUTED_VALUE"""),2.0)</f>
        <v>2</v>
      </c>
      <c r="K329" s="12">
        <f>IFERROR(__xludf.DUMMYFUNCTION("""COMPUTED_VALUE"""),3.0)</f>
        <v>3</v>
      </c>
      <c r="L329" s="12">
        <f>IFERROR(__xludf.DUMMYFUNCTION("""COMPUTED_VALUE"""),0.0)</f>
        <v>0</v>
      </c>
      <c r="M329" s="12" t="str">
        <f>IFERROR(__xludf.DUMMYFUNCTION("""COMPUTED_VALUE"""),"Working")</f>
        <v>Working</v>
      </c>
      <c r="N329" s="12" t="str">
        <f>IFERROR(__xludf.DUMMYFUNCTION("""COMPUTED_VALUE"""),"CORRECT")</f>
        <v>CORRECT</v>
      </c>
      <c r="O329" s="12" t="str">
        <f>IFERROR(__xludf.DUMMYFUNCTION("""COMPUTED_VALUE"""),"LOAD PENDING")</f>
        <v>LOAD PENDING</v>
      </c>
      <c r="P329" s="12" t="str">
        <f t="shared" si="2"/>
        <v>Extra Theory Load Alloted</v>
      </c>
      <c r="Q329" s="12" t="str">
        <f t="shared" si="3"/>
        <v/>
      </c>
    </row>
    <row r="330">
      <c r="A330" s="1">
        <v>329.0</v>
      </c>
      <c r="B330" s="1" t="s">
        <v>1284</v>
      </c>
      <c r="C330" s="1" t="s">
        <v>277</v>
      </c>
      <c r="D330" s="1" t="s">
        <v>1285</v>
      </c>
      <c r="E330" s="12" t="str">
        <f t="shared" si="1"/>
        <v>Dr.GOMATHI M</v>
      </c>
      <c r="F330" s="13" t="s">
        <v>1264</v>
      </c>
      <c r="G330" s="12" t="s">
        <v>291</v>
      </c>
      <c r="H330" s="12" t="s">
        <v>1286</v>
      </c>
      <c r="I33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Col2='""&amp;B330&amp;""'"",0)"),2.0)</f>
        <v>2</v>
      </c>
      <c r="J330" s="12">
        <f>IFERROR(__xludf.DUMMYFUNCTION("""COMPUTED_VALUE"""),2.0)</f>
        <v>2</v>
      </c>
      <c r="K330" s="12">
        <f>IFERROR(__xludf.DUMMYFUNCTION("""COMPUTED_VALUE"""),3.0)</f>
        <v>3</v>
      </c>
      <c r="L330" s="12">
        <f>IFERROR(__xludf.DUMMYFUNCTION("""COMPUTED_VALUE"""),0.0)</f>
        <v>0</v>
      </c>
      <c r="M330" s="12" t="str">
        <f>IFERROR(__xludf.DUMMYFUNCTION("""COMPUTED_VALUE"""),"Working")</f>
        <v>Working</v>
      </c>
      <c r="N330" s="12" t="str">
        <f>IFERROR(__xludf.DUMMYFUNCTION("""COMPUTED_VALUE"""),"CORRECT")</f>
        <v>CORRECT</v>
      </c>
      <c r="O330" s="12" t="str">
        <f>IFERROR(__xludf.DUMMYFUNCTION("""COMPUTED_VALUE"""),"LOAD PENDING")</f>
        <v>LOAD PENDING</v>
      </c>
      <c r="P330" s="12" t="str">
        <f t="shared" si="2"/>
        <v>Extra Theory Load Alloted</v>
      </c>
      <c r="Q330" s="12" t="str">
        <f t="shared" si="3"/>
        <v/>
      </c>
    </row>
    <row r="331">
      <c r="A331" s="1">
        <v>330.0</v>
      </c>
      <c r="B331" s="1" t="s">
        <v>1287</v>
      </c>
      <c r="C331" s="1" t="s">
        <v>277</v>
      </c>
      <c r="D331" s="1" t="s">
        <v>1288</v>
      </c>
      <c r="E331" s="12" t="str">
        <f t="shared" si="1"/>
        <v>Dr.GAYATHIRI B</v>
      </c>
      <c r="F331" s="13" t="s">
        <v>1264</v>
      </c>
      <c r="G331" s="12" t="s">
        <v>274</v>
      </c>
      <c r="H331" s="12" t="s">
        <v>1289</v>
      </c>
      <c r="I33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Col2='""&amp;B331&amp;""'"",0)"),2.0)</f>
        <v>2</v>
      </c>
      <c r="J331" s="12">
        <f>IFERROR(__xludf.DUMMYFUNCTION("""COMPUTED_VALUE"""),2.0)</f>
        <v>2</v>
      </c>
      <c r="K331" s="12">
        <f>IFERROR(__xludf.DUMMYFUNCTION("""COMPUTED_VALUE"""),2.0)</f>
        <v>2</v>
      </c>
      <c r="L331" s="12">
        <f>IFERROR(__xludf.DUMMYFUNCTION("""COMPUTED_VALUE"""),0.0)</f>
        <v>0</v>
      </c>
      <c r="M331" s="12" t="str">
        <f>IFERROR(__xludf.DUMMYFUNCTION("""COMPUTED_VALUE"""),"Working")</f>
        <v>Working</v>
      </c>
      <c r="N331" s="12" t="str">
        <f>IFERROR(__xludf.DUMMYFUNCTION("""COMPUTED_VALUE"""),"CORRECT")</f>
        <v>CORRECT</v>
      </c>
      <c r="O331" s="12" t="str">
        <f>IFERROR(__xludf.DUMMYFUNCTION("""COMPUTED_VALUE"""),"LOAD PENDING")</f>
        <v>LOAD PENDING</v>
      </c>
      <c r="P331" s="12" t="str">
        <f t="shared" si="2"/>
        <v/>
      </c>
      <c r="Q331" s="12" t="str">
        <f t="shared" si="3"/>
        <v/>
      </c>
    </row>
    <row r="332">
      <c r="A332" s="1">
        <v>331.0</v>
      </c>
      <c r="B332" s="1" t="s">
        <v>1290</v>
      </c>
      <c r="C332" s="1" t="s">
        <v>271</v>
      </c>
      <c r="D332" s="1" t="s">
        <v>1291</v>
      </c>
      <c r="E332" s="12" t="str">
        <f t="shared" si="1"/>
        <v>Mr.SURESH R</v>
      </c>
      <c r="F332" s="13" t="s">
        <v>1264</v>
      </c>
      <c r="G332" s="12" t="s">
        <v>291</v>
      </c>
      <c r="H332" s="12" t="s">
        <v>1292</v>
      </c>
      <c r="I33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Col2='""&amp;B332&amp;""'"",0)"),2.0)</f>
        <v>2</v>
      </c>
      <c r="J332" s="12">
        <f>IFERROR(__xludf.DUMMYFUNCTION("""COMPUTED_VALUE"""),2.0)</f>
        <v>2</v>
      </c>
      <c r="K332" s="12">
        <f>IFERROR(__xludf.DUMMYFUNCTION("""COMPUTED_VALUE"""),3.0)</f>
        <v>3</v>
      </c>
      <c r="L332" s="12">
        <f>IFERROR(__xludf.DUMMYFUNCTION("""COMPUTED_VALUE"""),0.0)</f>
        <v>0</v>
      </c>
      <c r="M332" s="12" t="str">
        <f>IFERROR(__xludf.DUMMYFUNCTION("""COMPUTED_VALUE"""),"Working")</f>
        <v>Working</v>
      </c>
      <c r="N332" s="12" t="str">
        <f>IFERROR(__xludf.DUMMYFUNCTION("""COMPUTED_VALUE"""),"CORRECT")</f>
        <v>CORRECT</v>
      </c>
      <c r="O332" s="12" t="str">
        <f>IFERROR(__xludf.DUMMYFUNCTION("""COMPUTED_VALUE"""),"LOAD PENDING")</f>
        <v>LOAD PENDING</v>
      </c>
      <c r="P332" s="12" t="str">
        <f t="shared" si="2"/>
        <v>Extra Theory Load Alloted</v>
      </c>
      <c r="Q332" s="12" t="str">
        <f t="shared" si="3"/>
        <v/>
      </c>
    </row>
    <row r="333">
      <c r="A333" s="1">
        <v>332.0</v>
      </c>
      <c r="B333" s="1" t="s">
        <v>1293</v>
      </c>
      <c r="C333" s="1" t="s">
        <v>277</v>
      </c>
      <c r="D333" s="1" t="s">
        <v>1294</v>
      </c>
      <c r="E333" s="12" t="str">
        <f t="shared" si="1"/>
        <v>Dr.MALATHI M</v>
      </c>
      <c r="F333" s="13" t="s">
        <v>1264</v>
      </c>
      <c r="G333" s="12" t="s">
        <v>291</v>
      </c>
      <c r="H333" s="12" t="s">
        <v>1295</v>
      </c>
      <c r="I33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Col2='""&amp;B333&amp;""'"",0)"),2.0)</f>
        <v>2</v>
      </c>
      <c r="J333" s="12">
        <f>IFERROR(__xludf.DUMMYFUNCTION("""COMPUTED_VALUE"""),2.0)</f>
        <v>2</v>
      </c>
      <c r="K333" s="12">
        <f>IFERROR(__xludf.DUMMYFUNCTION("""COMPUTED_VALUE"""),3.0)</f>
        <v>3</v>
      </c>
      <c r="L333" s="12">
        <f>IFERROR(__xludf.DUMMYFUNCTION("""COMPUTED_VALUE"""),0.0)</f>
        <v>0</v>
      </c>
      <c r="M333" s="12" t="str">
        <f>IFERROR(__xludf.DUMMYFUNCTION("""COMPUTED_VALUE"""),"Working")</f>
        <v>Working</v>
      </c>
      <c r="N333" s="12" t="str">
        <f>IFERROR(__xludf.DUMMYFUNCTION("""COMPUTED_VALUE"""),"CORRECT")</f>
        <v>CORRECT</v>
      </c>
      <c r="O333" s="12" t="str">
        <f>IFERROR(__xludf.DUMMYFUNCTION("""COMPUTED_VALUE"""),"LOAD PENDING")</f>
        <v>LOAD PENDING</v>
      </c>
      <c r="P333" s="12" t="str">
        <f t="shared" si="2"/>
        <v>Extra Theory Load Alloted</v>
      </c>
      <c r="Q333" s="12" t="str">
        <f t="shared" si="3"/>
        <v/>
      </c>
    </row>
    <row r="334">
      <c r="A334" s="1">
        <v>333.0</v>
      </c>
      <c r="B334" s="1" t="s">
        <v>1296</v>
      </c>
      <c r="C334" s="1" t="s">
        <v>277</v>
      </c>
      <c r="D334" s="1" t="s">
        <v>1297</v>
      </c>
      <c r="E334" s="12" t="str">
        <f t="shared" si="1"/>
        <v>Dr.AKALYADEVI K</v>
      </c>
      <c r="F334" s="13" t="s">
        <v>1264</v>
      </c>
      <c r="G334" s="12" t="s">
        <v>291</v>
      </c>
      <c r="H334" s="12" t="s">
        <v>1298</v>
      </c>
      <c r="I33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Col2='""&amp;B334&amp;""'"",0)"),2.0)</f>
        <v>2</v>
      </c>
      <c r="J334" s="12">
        <f>IFERROR(__xludf.DUMMYFUNCTION("""COMPUTED_VALUE"""),2.0)</f>
        <v>2</v>
      </c>
      <c r="K334" s="12">
        <f>IFERROR(__xludf.DUMMYFUNCTION("""COMPUTED_VALUE"""),3.0)</f>
        <v>3</v>
      </c>
      <c r="L334" s="12">
        <f>IFERROR(__xludf.DUMMYFUNCTION("""COMPUTED_VALUE"""),0.0)</f>
        <v>0</v>
      </c>
      <c r="M334" s="12" t="str">
        <f>IFERROR(__xludf.DUMMYFUNCTION("""COMPUTED_VALUE"""),"Working")</f>
        <v>Working</v>
      </c>
      <c r="N334" s="12" t="str">
        <f>IFERROR(__xludf.DUMMYFUNCTION("""COMPUTED_VALUE"""),"CORRECT")</f>
        <v>CORRECT</v>
      </c>
      <c r="O334" s="12" t="str">
        <f>IFERROR(__xludf.DUMMYFUNCTION("""COMPUTED_VALUE"""),"LOAD PENDING")</f>
        <v>LOAD PENDING</v>
      </c>
      <c r="P334" s="12" t="str">
        <f t="shared" si="2"/>
        <v>Extra Theory Load Alloted</v>
      </c>
      <c r="Q334" s="12" t="str">
        <f t="shared" si="3"/>
        <v/>
      </c>
    </row>
    <row r="335">
      <c r="A335" s="1">
        <v>334.0</v>
      </c>
      <c r="B335" s="1" t="s">
        <v>1299</v>
      </c>
      <c r="C335" s="1" t="s">
        <v>277</v>
      </c>
      <c r="D335" s="1" t="s">
        <v>1300</v>
      </c>
      <c r="E335" s="12" t="str">
        <f t="shared" si="1"/>
        <v>Dr.HEMALATHA B</v>
      </c>
      <c r="F335" s="13" t="s">
        <v>1264</v>
      </c>
      <c r="G335" s="12" t="s">
        <v>301</v>
      </c>
      <c r="H335" s="12" t="s">
        <v>1301</v>
      </c>
      <c r="I33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Col2='""&amp;B335&amp;""'"",0)"),2.0)</f>
        <v>2</v>
      </c>
      <c r="J335" s="12">
        <f>IFERROR(__xludf.DUMMYFUNCTION("""COMPUTED_VALUE"""),2.0)</f>
        <v>2</v>
      </c>
      <c r="K335" s="12">
        <f>IFERROR(__xludf.DUMMYFUNCTION("""COMPUTED_VALUE"""),3.0)</f>
        <v>3</v>
      </c>
      <c r="L335" s="12">
        <f>IFERROR(__xludf.DUMMYFUNCTION("""COMPUTED_VALUE"""),0.0)</f>
        <v>0</v>
      </c>
      <c r="M335" s="12" t="str">
        <f>IFERROR(__xludf.DUMMYFUNCTION("""COMPUTED_VALUE"""),"Working")</f>
        <v>Working</v>
      </c>
      <c r="N335" s="12" t="str">
        <f>IFERROR(__xludf.DUMMYFUNCTION("""COMPUTED_VALUE"""),"CORRECT")</f>
        <v>CORRECT</v>
      </c>
      <c r="O335" s="12" t="str">
        <f>IFERROR(__xludf.DUMMYFUNCTION("""COMPUTED_VALUE"""),"LOAD PENDING")</f>
        <v>LOAD PENDING</v>
      </c>
      <c r="P335" s="12" t="str">
        <f t="shared" si="2"/>
        <v>Extra Theory Load Alloted</v>
      </c>
      <c r="Q335" s="12" t="str">
        <f t="shared" si="3"/>
        <v/>
      </c>
    </row>
    <row r="336">
      <c r="A336" s="1">
        <v>335.0</v>
      </c>
      <c r="B336" s="1" t="s">
        <v>1302</v>
      </c>
      <c r="C336" s="1" t="s">
        <v>277</v>
      </c>
      <c r="D336" s="1" t="s">
        <v>1303</v>
      </c>
      <c r="E336" s="12" t="str">
        <f t="shared" si="1"/>
        <v>Dr.INDIRANI C</v>
      </c>
      <c r="F336" s="13" t="s">
        <v>1264</v>
      </c>
      <c r="G336" s="12" t="s">
        <v>274</v>
      </c>
      <c r="H336" s="12" t="s">
        <v>1304</v>
      </c>
      <c r="I33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Col2='""&amp;B336&amp;""'"",0)"),2.0)</f>
        <v>2</v>
      </c>
      <c r="J336" s="12">
        <f>IFERROR(__xludf.DUMMYFUNCTION("""COMPUTED_VALUE"""),2.0)</f>
        <v>2</v>
      </c>
      <c r="K336" s="12">
        <f>IFERROR(__xludf.DUMMYFUNCTION("""COMPUTED_VALUE"""),2.0)</f>
        <v>2</v>
      </c>
      <c r="L336" s="12">
        <f>IFERROR(__xludf.DUMMYFUNCTION("""COMPUTED_VALUE"""),0.0)</f>
        <v>0</v>
      </c>
      <c r="M336" s="12" t="str">
        <f>IFERROR(__xludf.DUMMYFUNCTION("""COMPUTED_VALUE"""),"Working")</f>
        <v>Working</v>
      </c>
      <c r="N336" s="12" t="str">
        <f>IFERROR(__xludf.DUMMYFUNCTION("""COMPUTED_VALUE"""),"CORRECT")</f>
        <v>CORRECT</v>
      </c>
      <c r="O336" s="12" t="str">
        <f>IFERROR(__xludf.DUMMYFUNCTION("""COMPUTED_VALUE"""),"LOAD PENDING")</f>
        <v>LOAD PENDING</v>
      </c>
      <c r="P336" s="12" t="str">
        <f t="shared" si="2"/>
        <v/>
      </c>
      <c r="Q336" s="12" t="str">
        <f t="shared" si="3"/>
        <v/>
      </c>
    </row>
    <row r="337">
      <c r="A337" s="1">
        <v>336.0</v>
      </c>
      <c r="B337" s="1" t="s">
        <v>1305</v>
      </c>
      <c r="C337" s="1" t="s">
        <v>277</v>
      </c>
      <c r="D337" s="1" t="s">
        <v>1306</v>
      </c>
      <c r="E337" s="12" t="str">
        <f t="shared" si="1"/>
        <v>Dr.THULASIMANI T</v>
      </c>
      <c r="F337" s="13" t="s">
        <v>1264</v>
      </c>
      <c r="G337" s="12" t="s">
        <v>279</v>
      </c>
      <c r="H337" s="12" t="s">
        <v>1307</v>
      </c>
      <c r="I33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Col2='""&amp;B337&amp;""'"",0)"),2.0)</f>
        <v>2</v>
      </c>
      <c r="J337" s="12">
        <f>IFERROR(__xludf.DUMMYFUNCTION("""COMPUTED_VALUE"""),1.0)</f>
        <v>1</v>
      </c>
      <c r="K337" s="12">
        <f>IFERROR(__xludf.DUMMYFUNCTION("""COMPUTED_VALUE"""),2.0)</f>
        <v>2</v>
      </c>
      <c r="L337" s="12">
        <f>IFERROR(__xludf.DUMMYFUNCTION("""COMPUTED_VALUE"""),0.0)</f>
        <v>0</v>
      </c>
      <c r="M337" s="12" t="str">
        <f>IFERROR(__xludf.DUMMYFUNCTION("""COMPUTED_VALUE"""),"Working")</f>
        <v>Working</v>
      </c>
      <c r="N337" s="12" t="str">
        <f>IFERROR(__xludf.DUMMYFUNCTION("""COMPUTED_VALUE"""),"CORRECT")</f>
        <v>CORRECT</v>
      </c>
      <c r="O337" s="12" t="str">
        <f>IFERROR(__xludf.DUMMYFUNCTION("""COMPUTED_VALUE"""),"LOAD PENDING")</f>
        <v>LOAD PENDING</v>
      </c>
      <c r="P337" s="12" t="str">
        <f t="shared" si="2"/>
        <v/>
      </c>
      <c r="Q337" s="12" t="str">
        <f t="shared" si="3"/>
        <v/>
      </c>
    </row>
    <row r="338">
      <c r="A338" s="1">
        <v>337.0</v>
      </c>
      <c r="B338" s="1" t="s">
        <v>1308</v>
      </c>
      <c r="C338" s="1" t="s">
        <v>277</v>
      </c>
      <c r="D338" s="1" t="s">
        <v>1309</v>
      </c>
      <c r="E338" s="12" t="str">
        <f t="shared" si="1"/>
        <v>Dr.PRABHAVATHI K</v>
      </c>
      <c r="F338" s="13" t="s">
        <v>1264</v>
      </c>
      <c r="G338" s="12" t="s">
        <v>274</v>
      </c>
      <c r="H338" s="12" t="s">
        <v>1310</v>
      </c>
      <c r="I33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Col2='""&amp;B338&amp;""'"",0)"),2.0)</f>
        <v>2</v>
      </c>
      <c r="J338" s="12">
        <f>IFERROR(__xludf.DUMMYFUNCTION("""COMPUTED_VALUE"""),2.0)</f>
        <v>2</v>
      </c>
      <c r="K338" s="12">
        <f>IFERROR(__xludf.DUMMYFUNCTION("""COMPUTED_VALUE"""),2.0)</f>
        <v>2</v>
      </c>
      <c r="L338" s="12">
        <f>IFERROR(__xludf.DUMMYFUNCTION("""COMPUTED_VALUE"""),0.0)</f>
        <v>0</v>
      </c>
      <c r="M338" s="12" t="str">
        <f>IFERROR(__xludf.DUMMYFUNCTION("""COMPUTED_VALUE"""),"Working")</f>
        <v>Working</v>
      </c>
      <c r="N338" s="12" t="str">
        <f>IFERROR(__xludf.DUMMYFUNCTION("""COMPUTED_VALUE"""),"CORRECT")</f>
        <v>CORRECT</v>
      </c>
      <c r="O338" s="12" t="str">
        <f>IFERROR(__xludf.DUMMYFUNCTION("""COMPUTED_VALUE"""),"LOAD PENDING")</f>
        <v>LOAD PENDING</v>
      </c>
      <c r="P338" s="12" t="str">
        <f t="shared" si="2"/>
        <v/>
      </c>
      <c r="Q338" s="12" t="str">
        <f t="shared" si="3"/>
        <v/>
      </c>
    </row>
    <row r="339">
      <c r="A339" s="1">
        <v>338.0</v>
      </c>
      <c r="B339" s="1" t="s">
        <v>1311</v>
      </c>
      <c r="C339" s="1" t="s">
        <v>277</v>
      </c>
      <c r="D339" s="1" t="s">
        <v>1312</v>
      </c>
      <c r="E339" s="12" t="str">
        <f t="shared" si="1"/>
        <v>Dr.VINOTHINI V R</v>
      </c>
      <c r="F339" s="13" t="s">
        <v>1264</v>
      </c>
      <c r="G339" s="12" t="s">
        <v>274</v>
      </c>
      <c r="H339" s="12" t="s">
        <v>1313</v>
      </c>
      <c r="I33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Col2='""&amp;B339&amp;""'"",0)"),2.0)</f>
        <v>2</v>
      </c>
      <c r="J339" s="12">
        <f>IFERROR(__xludf.DUMMYFUNCTION("""COMPUTED_VALUE"""),2.0)</f>
        <v>2</v>
      </c>
      <c r="K339" s="12">
        <f>IFERROR(__xludf.DUMMYFUNCTION("""COMPUTED_VALUE"""),2.0)</f>
        <v>2</v>
      </c>
      <c r="L339" s="12">
        <f>IFERROR(__xludf.DUMMYFUNCTION("""COMPUTED_VALUE"""),1.0)</f>
        <v>1</v>
      </c>
      <c r="M339" s="12" t="str">
        <f>IFERROR(__xludf.DUMMYFUNCTION("""COMPUTED_VALUE"""),"Working")</f>
        <v>Working</v>
      </c>
      <c r="N339" s="12" t="str">
        <f>IFERROR(__xludf.DUMMYFUNCTION("""COMPUTED_VALUE"""),"CORRECT")</f>
        <v>CORRECT</v>
      </c>
      <c r="O339" s="12" t="str">
        <f>IFERROR(__xludf.DUMMYFUNCTION("""COMPUTED_VALUE"""),"LOAD PENDING")</f>
        <v>LOAD PENDING</v>
      </c>
      <c r="P339" s="12" t="str">
        <f t="shared" si="2"/>
        <v/>
      </c>
      <c r="Q339" s="12" t="str">
        <f t="shared" si="3"/>
        <v/>
      </c>
    </row>
    <row r="340">
      <c r="A340" s="1">
        <v>339.0</v>
      </c>
      <c r="B340" s="1" t="s">
        <v>1314</v>
      </c>
      <c r="C340" s="1" t="s">
        <v>277</v>
      </c>
      <c r="D340" s="1" t="s">
        <v>1315</v>
      </c>
      <c r="E340" s="12" t="str">
        <f t="shared" si="1"/>
        <v>Dr.SARAVANA MOORTHI P</v>
      </c>
      <c r="F340" s="13" t="s">
        <v>1264</v>
      </c>
      <c r="G340" s="12" t="s">
        <v>274</v>
      </c>
      <c r="H340" s="12" t="s">
        <v>1316</v>
      </c>
      <c r="I34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Col2='""&amp;B340&amp;""'"",0)"),2.0)</f>
        <v>2</v>
      </c>
      <c r="J340" s="12">
        <f>IFERROR(__xludf.DUMMYFUNCTION("""COMPUTED_VALUE"""),2.0)</f>
        <v>2</v>
      </c>
      <c r="K340" s="12">
        <f>IFERROR(__xludf.DUMMYFUNCTION("""COMPUTED_VALUE"""),2.0)</f>
        <v>2</v>
      </c>
      <c r="L340" s="12">
        <f>IFERROR(__xludf.DUMMYFUNCTION("""COMPUTED_VALUE"""),0.0)</f>
        <v>0</v>
      </c>
      <c r="M340" s="12" t="str">
        <f>IFERROR(__xludf.DUMMYFUNCTION("""COMPUTED_VALUE"""),"Working")</f>
        <v>Working</v>
      </c>
      <c r="N340" s="12" t="str">
        <f>IFERROR(__xludf.DUMMYFUNCTION("""COMPUTED_VALUE"""),"CORRECT")</f>
        <v>CORRECT</v>
      </c>
      <c r="O340" s="12" t="str">
        <f>IFERROR(__xludf.DUMMYFUNCTION("""COMPUTED_VALUE"""),"LOAD PENDING")</f>
        <v>LOAD PENDING</v>
      </c>
      <c r="P340" s="12" t="str">
        <f t="shared" si="2"/>
        <v/>
      </c>
      <c r="Q340" s="12" t="str">
        <f t="shared" si="3"/>
        <v/>
      </c>
    </row>
    <row r="341">
      <c r="A341" s="1">
        <v>340.0</v>
      </c>
      <c r="B341" s="1" t="s">
        <v>1317</v>
      </c>
      <c r="C341" s="1" t="s">
        <v>277</v>
      </c>
      <c r="D341" s="1" t="s">
        <v>1318</v>
      </c>
      <c r="E341" s="12" t="str">
        <f t="shared" si="1"/>
        <v>Dr.PRAKASH K</v>
      </c>
      <c r="F341" s="13" t="s">
        <v>1264</v>
      </c>
      <c r="G341" s="12" t="s">
        <v>274</v>
      </c>
      <c r="H341" s="12" t="s">
        <v>1319</v>
      </c>
      <c r="I34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Col2='""&amp;B341&amp;""'"",0)"),2.0)</f>
        <v>2</v>
      </c>
      <c r="J341" s="12">
        <f>IFERROR(__xludf.DUMMYFUNCTION("""COMPUTED_VALUE"""),2.0)</f>
        <v>2</v>
      </c>
      <c r="K341" s="12">
        <f>IFERROR(__xludf.DUMMYFUNCTION("""COMPUTED_VALUE"""),3.0)</f>
        <v>3</v>
      </c>
      <c r="L341" s="12">
        <f>IFERROR(__xludf.DUMMYFUNCTION("""COMPUTED_VALUE"""),0.0)</f>
        <v>0</v>
      </c>
      <c r="M341" s="12" t="str">
        <f>IFERROR(__xludf.DUMMYFUNCTION("""COMPUTED_VALUE"""),"Working")</f>
        <v>Working</v>
      </c>
      <c r="N341" s="12" t="str">
        <f>IFERROR(__xludf.DUMMYFUNCTION("""COMPUTED_VALUE"""),"CORRECT")</f>
        <v>CORRECT</v>
      </c>
      <c r="O341" s="12" t="str">
        <f>IFERROR(__xludf.DUMMYFUNCTION("""COMPUTED_VALUE"""),"LOAD PENDING")</f>
        <v>LOAD PENDING</v>
      </c>
      <c r="P341" s="12" t="str">
        <f t="shared" si="2"/>
        <v>Extra Theory Load Alloted</v>
      </c>
      <c r="Q341" s="12" t="str">
        <f t="shared" si="3"/>
        <v/>
      </c>
    </row>
    <row r="342">
      <c r="A342" s="1">
        <v>341.0</v>
      </c>
      <c r="B342" s="1" t="s">
        <v>1320</v>
      </c>
      <c r="C342" s="1" t="s">
        <v>277</v>
      </c>
      <c r="D342" s="1" t="s">
        <v>1321</v>
      </c>
      <c r="E342" s="12" t="str">
        <f t="shared" si="1"/>
        <v>Dr.PARIMALA M</v>
      </c>
      <c r="F342" s="13" t="s">
        <v>1264</v>
      </c>
      <c r="G342" s="12" t="s">
        <v>279</v>
      </c>
      <c r="H342" s="12" t="s">
        <v>1322</v>
      </c>
      <c r="I34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Col2='""&amp;B342&amp;""'"",0)"),1.0)</f>
        <v>1</v>
      </c>
      <c r="J342" s="12">
        <f>IFERROR(__xludf.DUMMYFUNCTION("""COMPUTED_VALUE"""),0.0)</f>
        <v>0</v>
      </c>
      <c r="K342" s="12">
        <f>IFERROR(__xludf.DUMMYFUNCTION("""COMPUTED_VALUE"""),1.0)</f>
        <v>1</v>
      </c>
      <c r="L342" s="12">
        <f>IFERROR(__xludf.DUMMYFUNCTION("""COMPUTED_VALUE"""),0.0)</f>
        <v>0</v>
      </c>
      <c r="M342" s="12" t="str">
        <f>IFERROR(__xludf.DUMMYFUNCTION("""COMPUTED_VALUE"""),"Working")</f>
        <v>Working</v>
      </c>
      <c r="N342" s="12" t="str">
        <f>IFERROR(__xludf.DUMMYFUNCTION("""COMPUTED_VALUE"""),"CORRECT")</f>
        <v>CORRECT</v>
      </c>
      <c r="O342" s="12" t="str">
        <f>IFERROR(__xludf.DUMMYFUNCTION("""COMPUTED_VALUE"""),"CORRECT")</f>
        <v>CORRECT</v>
      </c>
      <c r="P342" s="12" t="str">
        <f t="shared" si="2"/>
        <v/>
      </c>
      <c r="Q342" s="12" t="str">
        <f t="shared" si="3"/>
        <v/>
      </c>
    </row>
    <row r="343">
      <c r="A343" s="1">
        <v>342.0</v>
      </c>
      <c r="B343" s="1" t="s">
        <v>1323</v>
      </c>
      <c r="C343" s="1" t="s">
        <v>277</v>
      </c>
      <c r="D343" s="1" t="s">
        <v>1324</v>
      </c>
      <c r="E343" s="12" t="str">
        <f t="shared" si="1"/>
        <v>Dr.UMAMAGESWARI D</v>
      </c>
      <c r="F343" s="13" t="s">
        <v>1264</v>
      </c>
      <c r="G343" s="12" t="s">
        <v>274</v>
      </c>
      <c r="H343" s="12" t="s">
        <v>1325</v>
      </c>
      <c r="I34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Col2='""&amp;B343&amp;""'"",0)"),2.0)</f>
        <v>2</v>
      </c>
      <c r="J343" s="12">
        <f>IFERROR(__xludf.DUMMYFUNCTION("""COMPUTED_VALUE"""),2.0)</f>
        <v>2</v>
      </c>
      <c r="K343" s="12">
        <f>IFERROR(__xludf.DUMMYFUNCTION("""COMPUTED_VALUE"""),3.0)</f>
        <v>3</v>
      </c>
      <c r="L343" s="12">
        <f>IFERROR(__xludf.DUMMYFUNCTION("""COMPUTED_VALUE"""),0.0)</f>
        <v>0</v>
      </c>
      <c r="M343" s="12" t="str">
        <f>IFERROR(__xludf.DUMMYFUNCTION("""COMPUTED_VALUE"""),"Working")</f>
        <v>Working</v>
      </c>
      <c r="N343" s="12" t="str">
        <f>IFERROR(__xludf.DUMMYFUNCTION("""COMPUTED_VALUE"""),"CORRECT")</f>
        <v>CORRECT</v>
      </c>
      <c r="O343" s="12" t="str">
        <f>IFERROR(__xludf.DUMMYFUNCTION("""COMPUTED_VALUE"""),"LOAD PENDING")</f>
        <v>LOAD PENDING</v>
      </c>
      <c r="P343" s="12" t="str">
        <f t="shared" si="2"/>
        <v>Extra Theory Load Alloted</v>
      </c>
      <c r="Q343" s="12" t="str">
        <f t="shared" si="3"/>
        <v/>
      </c>
    </row>
    <row r="344">
      <c r="A344" s="1">
        <v>343.0</v>
      </c>
      <c r="B344" s="1" t="s">
        <v>1326</v>
      </c>
      <c r="C344" s="1" t="s">
        <v>277</v>
      </c>
      <c r="D344" s="1" t="s">
        <v>1327</v>
      </c>
      <c r="E344" s="12" t="str">
        <f t="shared" si="1"/>
        <v>Dr.SIVABALAKRISHNAN R</v>
      </c>
      <c r="F344" s="13" t="s">
        <v>1328</v>
      </c>
      <c r="G344" s="12" t="s">
        <v>279</v>
      </c>
      <c r="H344" s="12" t="s">
        <v>1329</v>
      </c>
      <c r="I34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Col2='""&amp;B344&amp;""'"",0)"),1.0)</f>
        <v>1</v>
      </c>
      <c r="J344" s="12">
        <f>IFERROR(__xludf.DUMMYFUNCTION("""COMPUTED_VALUE"""),0.0)</f>
        <v>0</v>
      </c>
      <c r="K344" s="12">
        <f>IFERROR(__xludf.DUMMYFUNCTION("""COMPUTED_VALUE"""),1.0)</f>
        <v>1</v>
      </c>
      <c r="L344" s="12">
        <f>IFERROR(__xludf.DUMMYFUNCTION("""COMPUTED_VALUE"""),1.0)</f>
        <v>1</v>
      </c>
      <c r="M344" s="12" t="str">
        <f>IFERROR(__xludf.DUMMYFUNCTION("""COMPUTED_VALUE"""),"Working")</f>
        <v>Working</v>
      </c>
      <c r="N344" s="12" t="str">
        <f>IFERROR(__xludf.DUMMYFUNCTION("""COMPUTED_VALUE"""),"CORRECT")</f>
        <v>CORRECT</v>
      </c>
      <c r="O344" s="12" t="str">
        <f>IFERROR(__xludf.DUMMYFUNCTION("""COMPUTED_VALUE"""),"CORRECT")</f>
        <v>CORRECT</v>
      </c>
      <c r="P344" s="12" t="str">
        <f t="shared" si="2"/>
        <v/>
      </c>
      <c r="Q344" s="12" t="str">
        <f t="shared" si="3"/>
        <v>Extra Lab Load Alloted</v>
      </c>
    </row>
    <row r="345">
      <c r="A345" s="1">
        <v>344.0</v>
      </c>
      <c r="B345" s="1" t="s">
        <v>1330</v>
      </c>
      <c r="C345" s="1" t="s">
        <v>271</v>
      </c>
      <c r="D345" s="1" t="s">
        <v>1331</v>
      </c>
      <c r="E345" s="12" t="str">
        <f t="shared" si="1"/>
        <v>Mr.VIGNESH S</v>
      </c>
      <c r="F345" s="13" t="s">
        <v>1328</v>
      </c>
      <c r="G345" s="12" t="s">
        <v>274</v>
      </c>
      <c r="H345" s="12" t="s">
        <v>1332</v>
      </c>
      <c r="I34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Col2='""&amp;B345&amp;""'"",0)"),2.0)</f>
        <v>2</v>
      </c>
      <c r="J345" s="12">
        <f>IFERROR(__xludf.DUMMYFUNCTION("""COMPUTED_VALUE"""),2.0)</f>
        <v>2</v>
      </c>
      <c r="K345" s="12">
        <f>IFERROR(__xludf.DUMMYFUNCTION("""COMPUTED_VALUE"""),2.0)</f>
        <v>2</v>
      </c>
      <c r="L345" s="12">
        <f>IFERROR(__xludf.DUMMYFUNCTION("""COMPUTED_VALUE"""),1.0)</f>
        <v>1</v>
      </c>
      <c r="M345" s="12" t="str">
        <f>IFERROR(__xludf.DUMMYFUNCTION("""COMPUTED_VALUE"""),"Working")</f>
        <v>Working</v>
      </c>
      <c r="N345" s="12" t="str">
        <f>IFERROR(__xludf.DUMMYFUNCTION("""COMPUTED_VALUE"""),"CORRECT")</f>
        <v>CORRECT</v>
      </c>
      <c r="O345" s="12" t="str">
        <f>IFERROR(__xludf.DUMMYFUNCTION("""COMPUTED_VALUE"""),"LOAD PENDING")</f>
        <v>LOAD PENDING</v>
      </c>
      <c r="P345" s="12" t="str">
        <f t="shared" si="2"/>
        <v/>
      </c>
      <c r="Q345" s="12" t="str">
        <f t="shared" si="3"/>
        <v/>
      </c>
    </row>
    <row r="346">
      <c r="A346" s="1">
        <v>345.0</v>
      </c>
      <c r="B346" s="1" t="s">
        <v>1333</v>
      </c>
      <c r="C346" s="1" t="s">
        <v>277</v>
      </c>
      <c r="D346" s="1" t="s">
        <v>1334</v>
      </c>
      <c r="E346" s="12" t="str">
        <f t="shared" si="1"/>
        <v>Dr.NIJANDHAN K</v>
      </c>
      <c r="F346" s="13" t="s">
        <v>1328</v>
      </c>
      <c r="G346" s="12" t="s">
        <v>274</v>
      </c>
      <c r="H346" s="12" t="s">
        <v>1335</v>
      </c>
      <c r="I34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Col2='""&amp;B346&amp;""'"",0)"),2.0)</f>
        <v>2</v>
      </c>
      <c r="J346" s="12">
        <f>IFERROR(__xludf.DUMMYFUNCTION("""COMPUTED_VALUE"""),2.0)</f>
        <v>2</v>
      </c>
      <c r="K346" s="12">
        <f>IFERROR(__xludf.DUMMYFUNCTION("""COMPUTED_VALUE"""),2.0)</f>
        <v>2</v>
      </c>
      <c r="L346" s="12">
        <f>IFERROR(__xludf.DUMMYFUNCTION("""COMPUTED_VALUE"""),1.0)</f>
        <v>1</v>
      </c>
      <c r="M346" s="12" t="str">
        <f>IFERROR(__xludf.DUMMYFUNCTION("""COMPUTED_VALUE"""),"Working")</f>
        <v>Working</v>
      </c>
      <c r="N346" s="12" t="str">
        <f>IFERROR(__xludf.DUMMYFUNCTION("""COMPUTED_VALUE"""),"CORRECT")</f>
        <v>CORRECT</v>
      </c>
      <c r="O346" s="12" t="str">
        <f>IFERROR(__xludf.DUMMYFUNCTION("""COMPUTED_VALUE"""),"LOAD PENDING")</f>
        <v>LOAD PENDING</v>
      </c>
      <c r="P346" s="12" t="str">
        <f t="shared" si="2"/>
        <v/>
      </c>
      <c r="Q346" s="12" t="str">
        <f t="shared" si="3"/>
        <v/>
      </c>
    </row>
    <row r="347">
      <c r="A347" s="1">
        <v>346.0</v>
      </c>
      <c r="B347" s="1" t="s">
        <v>1336</v>
      </c>
      <c r="C347" s="1" t="s">
        <v>271</v>
      </c>
      <c r="D347" s="1" t="s">
        <v>1337</v>
      </c>
      <c r="E347" s="12" t="str">
        <f t="shared" si="1"/>
        <v>Mr.RAGHUNATH M</v>
      </c>
      <c r="F347" s="13" t="s">
        <v>1328</v>
      </c>
      <c r="G347" s="12" t="s">
        <v>279</v>
      </c>
      <c r="H347" s="12" t="s">
        <v>1338</v>
      </c>
      <c r="I34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Col2='""&amp;B347&amp;""'"",0)"),1.0)</f>
        <v>1</v>
      </c>
      <c r="J347" s="12">
        <f>IFERROR(__xludf.DUMMYFUNCTION("""COMPUTED_VALUE"""),0.0)</f>
        <v>0</v>
      </c>
      <c r="K347" s="12">
        <f>IFERROR(__xludf.DUMMYFUNCTION("""COMPUTED_VALUE"""),1.0)</f>
        <v>1</v>
      </c>
      <c r="L347" s="12">
        <f>IFERROR(__xludf.DUMMYFUNCTION("""COMPUTED_VALUE"""),0.0)</f>
        <v>0</v>
      </c>
      <c r="M347" s="12" t="str">
        <f>IFERROR(__xludf.DUMMYFUNCTION("""COMPUTED_VALUE"""),"Working")</f>
        <v>Working</v>
      </c>
      <c r="N347" s="12" t="str">
        <f>IFERROR(__xludf.DUMMYFUNCTION("""COMPUTED_VALUE"""),"CORRECT")</f>
        <v>CORRECT</v>
      </c>
      <c r="O347" s="12" t="str">
        <f>IFERROR(__xludf.DUMMYFUNCTION("""COMPUTED_VALUE"""),"CORRECT")</f>
        <v>CORRECT</v>
      </c>
      <c r="P347" s="12" t="str">
        <f t="shared" si="2"/>
        <v/>
      </c>
      <c r="Q347" s="12" t="str">
        <f t="shared" si="3"/>
        <v/>
      </c>
    </row>
    <row r="348">
      <c r="A348" s="1">
        <v>347.0</v>
      </c>
      <c r="B348" s="1" t="s">
        <v>1339</v>
      </c>
      <c r="C348" s="1" t="s">
        <v>277</v>
      </c>
      <c r="D348" s="1" t="s">
        <v>1340</v>
      </c>
      <c r="E348" s="12" t="str">
        <f t="shared" si="1"/>
        <v>Dr.DHINESH S K</v>
      </c>
      <c r="F348" s="13" t="s">
        <v>1328</v>
      </c>
      <c r="G348" s="12" t="s">
        <v>279</v>
      </c>
      <c r="H348" s="12" t="s">
        <v>1341</v>
      </c>
      <c r="I34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Col2='""&amp;B348&amp;""'"",0)"),0.0)</f>
        <v>0</v>
      </c>
      <c r="J348" s="12">
        <f>IFERROR(__xludf.DUMMYFUNCTION("""COMPUTED_VALUE"""),0.0)</f>
        <v>0</v>
      </c>
      <c r="K348" s="12">
        <f>IFERROR(__xludf.DUMMYFUNCTION("""COMPUTED_VALUE"""),0.0)</f>
        <v>0</v>
      </c>
      <c r="L348" s="12">
        <f>IFERROR(__xludf.DUMMYFUNCTION("""COMPUTED_VALUE"""),0.0)</f>
        <v>0</v>
      </c>
      <c r="M348" s="12" t="str">
        <f>IFERROR(__xludf.DUMMYFUNCTION("""COMPUTED_VALUE"""),"Working")</f>
        <v>Working</v>
      </c>
      <c r="N348" s="12" t="str">
        <f>IFERROR(__xludf.DUMMYFUNCTION("""COMPUTED_VALUE"""),"CORRECT")</f>
        <v>CORRECT</v>
      </c>
      <c r="O348" s="12" t="str">
        <f>IFERROR(__xludf.DUMMYFUNCTION("""COMPUTED_VALUE"""),"CORRECT")</f>
        <v>CORRECT</v>
      </c>
      <c r="P348" s="12" t="str">
        <f t="shared" si="2"/>
        <v/>
      </c>
      <c r="Q348" s="12" t="str">
        <f t="shared" si="3"/>
        <v/>
      </c>
    </row>
    <row r="349">
      <c r="A349" s="1">
        <v>348.0</v>
      </c>
      <c r="B349" s="1" t="s">
        <v>1342</v>
      </c>
      <c r="C349" s="1" t="s">
        <v>277</v>
      </c>
      <c r="D349" s="1" t="s">
        <v>1343</v>
      </c>
      <c r="E349" s="12" t="str">
        <f t="shared" si="1"/>
        <v>Dr.RAGHAVENDRA PRABHU S</v>
      </c>
      <c r="F349" s="13" t="s">
        <v>1328</v>
      </c>
      <c r="G349" s="12" t="s">
        <v>274</v>
      </c>
      <c r="H349" s="12" t="s">
        <v>1344</v>
      </c>
      <c r="I34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Col2='""&amp;B349&amp;""'"",0)"),2.0)</f>
        <v>2</v>
      </c>
      <c r="J349" s="12">
        <f>IFERROR(__xludf.DUMMYFUNCTION("""COMPUTED_VALUE"""),2.0)</f>
        <v>2</v>
      </c>
      <c r="K349" s="12">
        <f>IFERROR(__xludf.DUMMYFUNCTION("""COMPUTED_VALUE"""),2.0)</f>
        <v>2</v>
      </c>
      <c r="L349" s="12">
        <f>IFERROR(__xludf.DUMMYFUNCTION("""COMPUTED_VALUE"""),2.0)</f>
        <v>2</v>
      </c>
      <c r="M349" s="12" t="str">
        <f>IFERROR(__xludf.DUMMYFUNCTION("""COMPUTED_VALUE"""),"Working")</f>
        <v>Working</v>
      </c>
      <c r="N349" s="12" t="str">
        <f>IFERROR(__xludf.DUMMYFUNCTION("""COMPUTED_VALUE"""),"CORRECT")</f>
        <v>CORRECT</v>
      </c>
      <c r="O349" s="12" t="str">
        <f>IFERROR(__xludf.DUMMYFUNCTION("""COMPUTED_VALUE"""),"CORRECT")</f>
        <v>CORRECT</v>
      </c>
      <c r="P349" s="12" t="str">
        <f t="shared" si="2"/>
        <v/>
      </c>
      <c r="Q349" s="12" t="str">
        <f t="shared" si="3"/>
        <v/>
      </c>
    </row>
    <row r="350">
      <c r="A350" s="1">
        <v>349.0</v>
      </c>
      <c r="B350" s="1" t="s">
        <v>1345</v>
      </c>
      <c r="C350" s="1" t="s">
        <v>277</v>
      </c>
      <c r="D350" s="1" t="s">
        <v>1346</v>
      </c>
      <c r="E350" s="12" t="str">
        <f t="shared" si="1"/>
        <v>Dr.SIDDHARTHAN B</v>
      </c>
      <c r="F350" s="13" t="s">
        <v>1328</v>
      </c>
      <c r="G350" s="12" t="s">
        <v>274</v>
      </c>
      <c r="H350" s="12" t="s">
        <v>1347</v>
      </c>
      <c r="I35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Col2='""&amp;B350&amp;""'"",0)"),1.0)</f>
        <v>1</v>
      </c>
      <c r="J350" s="12">
        <f>IFERROR(__xludf.DUMMYFUNCTION("""COMPUTED_VALUE"""),0.0)</f>
        <v>0</v>
      </c>
      <c r="K350" s="12">
        <f>IFERROR(__xludf.DUMMYFUNCTION("""COMPUTED_VALUE"""),1.0)</f>
        <v>1</v>
      </c>
      <c r="L350" s="12">
        <f>IFERROR(__xludf.DUMMYFUNCTION("""COMPUTED_VALUE"""),0.0)</f>
        <v>0</v>
      </c>
      <c r="M350" s="12" t="str">
        <f>IFERROR(__xludf.DUMMYFUNCTION("""COMPUTED_VALUE"""),"Working")</f>
        <v>Working</v>
      </c>
      <c r="N350" s="12" t="str">
        <f>IFERROR(__xludf.DUMMYFUNCTION("""COMPUTED_VALUE"""),"CORRECT")</f>
        <v>CORRECT</v>
      </c>
      <c r="O350" s="12" t="str">
        <f>IFERROR(__xludf.DUMMYFUNCTION("""COMPUTED_VALUE"""),"CORRECT")</f>
        <v>CORRECT</v>
      </c>
      <c r="P350" s="12" t="str">
        <f t="shared" si="2"/>
        <v/>
      </c>
      <c r="Q350" s="12" t="str">
        <f t="shared" si="3"/>
        <v/>
      </c>
    </row>
    <row r="351">
      <c r="A351" s="1">
        <v>350.0</v>
      </c>
      <c r="B351" s="1" t="s">
        <v>1348</v>
      </c>
      <c r="C351" s="1" t="s">
        <v>277</v>
      </c>
      <c r="D351" s="1" t="s">
        <v>1349</v>
      </c>
      <c r="E351" s="12" t="str">
        <f t="shared" si="1"/>
        <v>Dr.BHARATHIRAJA M</v>
      </c>
      <c r="F351" s="13" t="s">
        <v>1328</v>
      </c>
      <c r="G351" s="12" t="s">
        <v>283</v>
      </c>
      <c r="H351" s="12" t="s">
        <v>1350</v>
      </c>
      <c r="I35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Col2='""&amp;B351&amp;""'"",0)"),1.0)</f>
        <v>1</v>
      </c>
      <c r="J351" s="12">
        <f>IFERROR(__xludf.DUMMYFUNCTION("""COMPUTED_VALUE"""),1.0)</f>
        <v>1</v>
      </c>
      <c r="K351" s="12">
        <f>IFERROR(__xludf.DUMMYFUNCTION("""COMPUTED_VALUE"""),0.0)</f>
        <v>0</v>
      </c>
      <c r="L351" s="12">
        <f>IFERROR(__xludf.DUMMYFUNCTION("""COMPUTED_VALUE"""),0.0)</f>
        <v>0</v>
      </c>
      <c r="M351" s="12" t="str">
        <f>IFERROR(__xludf.DUMMYFUNCTION("""COMPUTED_VALUE"""),"Working")</f>
        <v>Working</v>
      </c>
      <c r="N351" s="12" t="str">
        <f>IFERROR(__xludf.DUMMYFUNCTION("""COMPUTED_VALUE"""),"LOAD PENDING")</f>
        <v>LOAD PENDING</v>
      </c>
      <c r="O351" s="12" t="str">
        <f>IFERROR(__xludf.DUMMYFUNCTION("""COMPUTED_VALUE"""),"LOAD PENDING")</f>
        <v>LOAD PENDING</v>
      </c>
      <c r="P351" s="12" t="str">
        <f t="shared" si="2"/>
        <v/>
      </c>
      <c r="Q351" s="12" t="str">
        <f t="shared" si="3"/>
        <v/>
      </c>
    </row>
    <row r="352">
      <c r="A352" s="1">
        <v>351.0</v>
      </c>
      <c r="B352" s="1" t="s">
        <v>1351</v>
      </c>
      <c r="C352" s="1" t="s">
        <v>277</v>
      </c>
      <c r="D352" s="1" t="s">
        <v>1352</v>
      </c>
      <c r="E352" s="12" t="str">
        <f t="shared" si="1"/>
        <v>Dr.VADIVEL VIVEK V</v>
      </c>
      <c r="F352" s="13" t="s">
        <v>1328</v>
      </c>
      <c r="G352" s="12" t="s">
        <v>274</v>
      </c>
      <c r="H352" s="12" t="s">
        <v>1353</v>
      </c>
      <c r="I35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Col2='""&amp;B352&amp;""'"",0)"),1.0)</f>
        <v>1</v>
      </c>
      <c r="J352" s="12">
        <f>IFERROR(__xludf.DUMMYFUNCTION("""COMPUTED_VALUE"""),0.0)</f>
        <v>0</v>
      </c>
      <c r="K352" s="12">
        <f>IFERROR(__xludf.DUMMYFUNCTION("""COMPUTED_VALUE"""),1.0)</f>
        <v>1</v>
      </c>
      <c r="L352" s="12">
        <f>IFERROR(__xludf.DUMMYFUNCTION("""COMPUTED_VALUE"""),0.0)</f>
        <v>0</v>
      </c>
      <c r="M352" s="12" t="str">
        <f>IFERROR(__xludf.DUMMYFUNCTION("""COMPUTED_VALUE"""),"Working")</f>
        <v>Working</v>
      </c>
      <c r="N352" s="12" t="str">
        <f>IFERROR(__xludf.DUMMYFUNCTION("""COMPUTED_VALUE"""),"CORRECT")</f>
        <v>CORRECT</v>
      </c>
      <c r="O352" s="12" t="str">
        <f>IFERROR(__xludf.DUMMYFUNCTION("""COMPUTED_VALUE"""),"CORRECT")</f>
        <v>CORRECT</v>
      </c>
      <c r="P352" s="12" t="str">
        <f t="shared" si="2"/>
        <v/>
      </c>
      <c r="Q352" s="12" t="str">
        <f t="shared" si="3"/>
        <v/>
      </c>
    </row>
    <row r="353">
      <c r="A353" s="1">
        <v>352.0</v>
      </c>
      <c r="B353" s="1" t="s">
        <v>1354</v>
      </c>
      <c r="C353" s="1" t="s">
        <v>277</v>
      </c>
      <c r="D353" s="1" t="s">
        <v>1355</v>
      </c>
      <c r="E353" s="12" t="str">
        <f t="shared" si="1"/>
        <v>Dr.SENTHIL KUMAR K L</v>
      </c>
      <c r="F353" s="13" t="s">
        <v>1328</v>
      </c>
      <c r="G353" s="12" t="s">
        <v>283</v>
      </c>
      <c r="H353" s="12" t="s">
        <v>1356</v>
      </c>
      <c r="I35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Col2='""&amp;B353&amp;""'"",0)"),1.0)</f>
        <v>1</v>
      </c>
      <c r="J353" s="12">
        <f>IFERROR(__xludf.DUMMYFUNCTION("""COMPUTED_VALUE"""),0.0)</f>
        <v>0</v>
      </c>
      <c r="K353" s="12">
        <f>IFERROR(__xludf.DUMMYFUNCTION("""COMPUTED_VALUE"""),1.0)</f>
        <v>1</v>
      </c>
      <c r="L353" s="12">
        <f>IFERROR(__xludf.DUMMYFUNCTION("""COMPUTED_VALUE"""),0.0)</f>
        <v>0</v>
      </c>
      <c r="M353" s="12" t="str">
        <f>IFERROR(__xludf.DUMMYFUNCTION("""COMPUTED_VALUE"""),"Working")</f>
        <v>Working</v>
      </c>
      <c r="N353" s="12" t="str">
        <f>IFERROR(__xludf.DUMMYFUNCTION("""COMPUTED_VALUE"""),"CORRECT")</f>
        <v>CORRECT</v>
      </c>
      <c r="O353" s="12" t="str">
        <f>IFERROR(__xludf.DUMMYFUNCTION("""COMPUTED_VALUE"""),"CORRECT")</f>
        <v>CORRECT</v>
      </c>
      <c r="P353" s="12" t="str">
        <f t="shared" si="2"/>
        <v/>
      </c>
      <c r="Q353" s="12" t="str">
        <f t="shared" si="3"/>
        <v/>
      </c>
    </row>
    <row r="354">
      <c r="A354" s="1">
        <v>353.0</v>
      </c>
      <c r="B354" s="1" t="s">
        <v>1357</v>
      </c>
      <c r="C354" s="1" t="s">
        <v>277</v>
      </c>
      <c r="D354" s="1" t="s">
        <v>1358</v>
      </c>
      <c r="E354" s="12" t="str">
        <f t="shared" si="1"/>
        <v>Dr.NAGARAJAN P</v>
      </c>
      <c r="F354" s="13" t="s">
        <v>1328</v>
      </c>
      <c r="G354" s="12" t="s">
        <v>279</v>
      </c>
      <c r="H354" s="12" t="s">
        <v>1359</v>
      </c>
      <c r="I35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Col2='""&amp;B354&amp;""'"",0)"),1.0)</f>
        <v>1</v>
      </c>
      <c r="J354" s="12">
        <f>IFERROR(__xludf.DUMMYFUNCTION("""COMPUTED_VALUE"""),0.0)</f>
        <v>0</v>
      </c>
      <c r="K354" s="12">
        <f>IFERROR(__xludf.DUMMYFUNCTION("""COMPUTED_VALUE"""),1.0)</f>
        <v>1</v>
      </c>
      <c r="L354" s="12">
        <f>IFERROR(__xludf.DUMMYFUNCTION("""COMPUTED_VALUE"""),0.0)</f>
        <v>0</v>
      </c>
      <c r="M354" s="12" t="str">
        <f>IFERROR(__xludf.DUMMYFUNCTION("""COMPUTED_VALUE"""),"Working")</f>
        <v>Working</v>
      </c>
      <c r="N354" s="12" t="str">
        <f>IFERROR(__xludf.DUMMYFUNCTION("""COMPUTED_VALUE"""),"CORRECT")</f>
        <v>CORRECT</v>
      </c>
      <c r="O354" s="12" t="str">
        <f>IFERROR(__xludf.DUMMYFUNCTION("""COMPUTED_VALUE"""),"CORRECT")</f>
        <v>CORRECT</v>
      </c>
      <c r="P354" s="12" t="str">
        <f t="shared" si="2"/>
        <v/>
      </c>
      <c r="Q354" s="12" t="str">
        <f t="shared" si="3"/>
        <v/>
      </c>
    </row>
    <row r="355">
      <c r="A355" s="1">
        <v>354.0</v>
      </c>
      <c r="B355" s="1" t="s">
        <v>1360</v>
      </c>
      <c r="C355" s="1" t="s">
        <v>277</v>
      </c>
      <c r="D355" s="1" t="s">
        <v>1361</v>
      </c>
      <c r="E355" s="12" t="str">
        <f t="shared" si="1"/>
        <v>Dr.RAJIEV R</v>
      </c>
      <c r="F355" s="13" t="s">
        <v>1328</v>
      </c>
      <c r="G355" s="12" t="s">
        <v>279</v>
      </c>
      <c r="H355" s="12" t="s">
        <v>1362</v>
      </c>
      <c r="I35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Col2='""&amp;B355&amp;""'"",0)"),1.0)</f>
        <v>1</v>
      </c>
      <c r="J355" s="12">
        <f>IFERROR(__xludf.DUMMYFUNCTION("""COMPUTED_VALUE"""),0.0)</f>
        <v>0</v>
      </c>
      <c r="K355" s="12">
        <f>IFERROR(__xludf.DUMMYFUNCTION("""COMPUTED_VALUE"""),1.0)</f>
        <v>1</v>
      </c>
      <c r="L355" s="12">
        <f>IFERROR(__xludf.DUMMYFUNCTION("""COMPUTED_VALUE"""),0.0)</f>
        <v>0</v>
      </c>
      <c r="M355" s="12" t="str">
        <f>IFERROR(__xludf.DUMMYFUNCTION("""COMPUTED_VALUE"""),"Working")</f>
        <v>Working</v>
      </c>
      <c r="N355" s="12" t="str">
        <f>IFERROR(__xludf.DUMMYFUNCTION("""COMPUTED_VALUE"""),"CORRECT")</f>
        <v>CORRECT</v>
      </c>
      <c r="O355" s="12" t="str">
        <f>IFERROR(__xludf.DUMMYFUNCTION("""COMPUTED_VALUE"""),"CORRECT")</f>
        <v>CORRECT</v>
      </c>
      <c r="P355" s="12" t="str">
        <f t="shared" si="2"/>
        <v/>
      </c>
      <c r="Q355" s="12" t="str">
        <f t="shared" si="3"/>
        <v/>
      </c>
    </row>
    <row r="356">
      <c r="A356" s="1">
        <v>355.0</v>
      </c>
      <c r="B356" s="1" t="s">
        <v>1363</v>
      </c>
      <c r="C356" s="1" t="s">
        <v>277</v>
      </c>
      <c r="D356" s="1" t="s">
        <v>1364</v>
      </c>
      <c r="E356" s="12" t="str">
        <f t="shared" si="1"/>
        <v>Dr.SENTHILKUMAR P</v>
      </c>
      <c r="F356" s="13" t="s">
        <v>1328</v>
      </c>
      <c r="G356" s="12" t="s">
        <v>279</v>
      </c>
      <c r="H356" s="12" t="s">
        <v>1365</v>
      </c>
      <c r="I35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Col2='""&amp;B356&amp;""'"",0)"),1.0)</f>
        <v>1</v>
      </c>
      <c r="J356" s="12">
        <f>IFERROR(__xludf.DUMMYFUNCTION("""COMPUTED_VALUE"""),0.0)</f>
        <v>0</v>
      </c>
      <c r="K356" s="12">
        <f>IFERROR(__xludf.DUMMYFUNCTION("""COMPUTED_VALUE"""),1.0)</f>
        <v>1</v>
      </c>
      <c r="L356" s="12">
        <f>IFERROR(__xludf.DUMMYFUNCTION("""COMPUTED_VALUE"""),1.0)</f>
        <v>1</v>
      </c>
      <c r="M356" s="12" t="str">
        <f>IFERROR(__xludf.DUMMYFUNCTION("""COMPUTED_VALUE"""),"Working")</f>
        <v>Working</v>
      </c>
      <c r="N356" s="12" t="str">
        <f>IFERROR(__xludf.DUMMYFUNCTION("""COMPUTED_VALUE"""),"CORRECT")</f>
        <v>CORRECT</v>
      </c>
      <c r="O356" s="12" t="str">
        <f>IFERROR(__xludf.DUMMYFUNCTION("""COMPUTED_VALUE"""),"CORRECT")</f>
        <v>CORRECT</v>
      </c>
      <c r="P356" s="12" t="str">
        <f t="shared" si="2"/>
        <v/>
      </c>
      <c r="Q356" s="12" t="str">
        <f t="shared" si="3"/>
        <v>Extra Lab Load Alloted</v>
      </c>
    </row>
    <row r="357">
      <c r="A357" s="1">
        <v>356.0</v>
      </c>
      <c r="B357" s="1" t="s">
        <v>1366</v>
      </c>
      <c r="C357" s="1" t="s">
        <v>277</v>
      </c>
      <c r="D357" s="1" t="s">
        <v>1367</v>
      </c>
      <c r="E357" s="12" t="str">
        <f t="shared" si="1"/>
        <v>Dr.JEGADHEESWARAN S</v>
      </c>
      <c r="F357" s="13" t="s">
        <v>1328</v>
      </c>
      <c r="G357" s="12" t="s">
        <v>283</v>
      </c>
      <c r="H357" s="12" t="s">
        <v>1368</v>
      </c>
      <c r="I35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Col2='""&amp;B357&amp;""'"",0)"),1.0)</f>
        <v>1</v>
      </c>
      <c r="J357" s="12">
        <f>IFERROR(__xludf.DUMMYFUNCTION("""COMPUTED_VALUE"""),1.0)</f>
        <v>1</v>
      </c>
      <c r="K357" s="12">
        <f>IFERROR(__xludf.DUMMYFUNCTION("""COMPUTED_VALUE"""),1.0)</f>
        <v>1</v>
      </c>
      <c r="L357" s="12">
        <f>IFERROR(__xludf.DUMMYFUNCTION("""COMPUTED_VALUE"""),2.0)</f>
        <v>2</v>
      </c>
      <c r="M357" s="12" t="str">
        <f>IFERROR(__xludf.DUMMYFUNCTION("""COMPUTED_VALUE"""),"Working")</f>
        <v>Working</v>
      </c>
      <c r="N357" s="12" t="str">
        <f>IFERROR(__xludf.DUMMYFUNCTION("""COMPUTED_VALUE"""),"CORRECT")</f>
        <v>CORRECT</v>
      </c>
      <c r="O357" s="12" t="str">
        <f>IFERROR(__xludf.DUMMYFUNCTION("""COMPUTED_VALUE"""),"CORRECT")</f>
        <v>CORRECT</v>
      </c>
      <c r="P357" s="12" t="str">
        <f t="shared" si="2"/>
        <v/>
      </c>
      <c r="Q357" s="12" t="str">
        <f t="shared" si="3"/>
        <v>Extra Lab Load Alloted</v>
      </c>
    </row>
    <row r="358">
      <c r="A358" s="1">
        <v>357.0</v>
      </c>
      <c r="B358" s="1" t="s">
        <v>1369</v>
      </c>
      <c r="C358" s="1" t="s">
        <v>277</v>
      </c>
      <c r="D358" s="1" t="s">
        <v>1370</v>
      </c>
      <c r="E358" s="12" t="str">
        <f t="shared" si="1"/>
        <v>Dr.KUMARESAN G</v>
      </c>
      <c r="F358" s="13" t="s">
        <v>1371</v>
      </c>
      <c r="G358" s="12" t="s">
        <v>283</v>
      </c>
      <c r="H358" s="12" t="s">
        <v>1372</v>
      </c>
      <c r="I35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Col2='""&amp;B358&amp;""'"",0)"),1.0)</f>
        <v>1</v>
      </c>
      <c r="J358" s="12">
        <f>IFERROR(__xludf.DUMMYFUNCTION("""COMPUTED_VALUE"""),1.0)</f>
        <v>1</v>
      </c>
      <c r="K358" s="12">
        <f>IFERROR(__xludf.DUMMYFUNCTION("""COMPUTED_VALUE"""),2.0)</f>
        <v>2</v>
      </c>
      <c r="L358" s="12">
        <f>IFERROR(__xludf.DUMMYFUNCTION("""COMPUTED_VALUE"""),0.0)</f>
        <v>0</v>
      </c>
      <c r="M358" s="12" t="str">
        <f>IFERROR(__xludf.DUMMYFUNCTION("""COMPUTED_VALUE"""),"Working")</f>
        <v>Working</v>
      </c>
      <c r="N358" s="12" t="str">
        <f>IFERROR(__xludf.DUMMYFUNCTION("""COMPUTED_VALUE"""),"CORRECT")</f>
        <v>CORRECT</v>
      </c>
      <c r="O358" s="12" t="str">
        <f>IFERROR(__xludf.DUMMYFUNCTION("""COMPUTED_VALUE"""),"LOAD PENDING")</f>
        <v>LOAD PENDING</v>
      </c>
      <c r="P358" s="12" t="str">
        <f t="shared" si="2"/>
        <v>Extra Theory Load Alloted</v>
      </c>
      <c r="Q358" s="12" t="str">
        <f t="shared" si="3"/>
        <v/>
      </c>
    </row>
    <row r="359">
      <c r="A359" s="1">
        <v>358.0</v>
      </c>
      <c r="B359" s="1" t="s">
        <v>1373</v>
      </c>
      <c r="C359" s="1" t="s">
        <v>277</v>
      </c>
      <c r="D359" s="1" t="s">
        <v>1374</v>
      </c>
      <c r="E359" s="12" t="str">
        <f t="shared" si="1"/>
        <v>Dr.PRADEEP A D</v>
      </c>
      <c r="F359" s="13" t="s">
        <v>1371</v>
      </c>
      <c r="G359" s="12" t="s">
        <v>274</v>
      </c>
      <c r="H359" s="12" t="s">
        <v>1375</v>
      </c>
      <c r="I35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Col2='""&amp;B359&amp;""'"",0)"),2.0)</f>
        <v>2</v>
      </c>
      <c r="J359" s="12">
        <f>IFERROR(__xludf.DUMMYFUNCTION("""COMPUTED_VALUE"""),2.0)</f>
        <v>2</v>
      </c>
      <c r="K359" s="12">
        <f>IFERROR(__xludf.DUMMYFUNCTION("""COMPUTED_VALUE"""),1.0)</f>
        <v>1</v>
      </c>
      <c r="L359" s="12">
        <f>IFERROR(__xludf.DUMMYFUNCTION("""COMPUTED_VALUE"""),3.0)</f>
        <v>3</v>
      </c>
      <c r="M359" s="12" t="str">
        <f>IFERROR(__xludf.DUMMYFUNCTION("""COMPUTED_VALUE"""),"Working")</f>
        <v>Working</v>
      </c>
      <c r="N359" s="12" t="str">
        <f>IFERROR(__xludf.DUMMYFUNCTION("""COMPUTED_VALUE"""),"LOAD PENDING")</f>
        <v>LOAD PENDING</v>
      </c>
      <c r="O359" s="12" t="str">
        <f>IFERROR(__xludf.DUMMYFUNCTION("""COMPUTED_VALUE"""),"CORRECT")</f>
        <v>CORRECT</v>
      </c>
      <c r="P359" s="12" t="str">
        <f t="shared" si="2"/>
        <v/>
      </c>
      <c r="Q359" s="12" t="str">
        <f t="shared" si="3"/>
        <v>Extra Lab Load Alloted</v>
      </c>
    </row>
    <row r="360">
      <c r="A360" s="1">
        <v>359.0</v>
      </c>
      <c r="B360" s="1" t="s">
        <v>1376</v>
      </c>
      <c r="C360" s="1" t="s">
        <v>277</v>
      </c>
      <c r="D360" s="1" t="s">
        <v>1377</v>
      </c>
      <c r="E360" s="12" t="str">
        <f t="shared" si="1"/>
        <v>Dr.MADHESWARAN S</v>
      </c>
      <c r="F360" s="13" t="s">
        <v>1371</v>
      </c>
      <c r="G360" s="12" t="s">
        <v>274</v>
      </c>
      <c r="H360" s="12" t="s">
        <v>1378</v>
      </c>
      <c r="I36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Col2='""&amp;B360&amp;""'"",0)"),1.0)</f>
        <v>1</v>
      </c>
      <c r="J360" s="12">
        <f>IFERROR(__xludf.DUMMYFUNCTION("""COMPUTED_VALUE"""),0.0)</f>
        <v>0</v>
      </c>
      <c r="K360" s="12">
        <f>IFERROR(__xludf.DUMMYFUNCTION("""COMPUTED_VALUE"""),1.0)</f>
        <v>1</v>
      </c>
      <c r="L360" s="12">
        <f>IFERROR(__xludf.DUMMYFUNCTION("""COMPUTED_VALUE"""),0.0)</f>
        <v>0</v>
      </c>
      <c r="M360" s="12" t="str">
        <f>IFERROR(__xludf.DUMMYFUNCTION("""COMPUTED_VALUE"""),"Working")</f>
        <v>Working</v>
      </c>
      <c r="N360" s="12" t="str">
        <f>IFERROR(__xludf.DUMMYFUNCTION("""COMPUTED_VALUE"""),"CORRECT")</f>
        <v>CORRECT</v>
      </c>
      <c r="O360" s="12" t="str">
        <f>IFERROR(__xludf.DUMMYFUNCTION("""COMPUTED_VALUE"""),"CORRECT")</f>
        <v>CORRECT</v>
      </c>
      <c r="P360" s="12" t="str">
        <f t="shared" si="2"/>
        <v/>
      </c>
      <c r="Q360" s="12" t="str">
        <f t="shared" si="3"/>
        <v/>
      </c>
    </row>
    <row r="361">
      <c r="A361" s="1">
        <v>360.0</v>
      </c>
      <c r="B361" s="1" t="s">
        <v>1379</v>
      </c>
      <c r="C361" s="1" t="s">
        <v>277</v>
      </c>
      <c r="D361" s="1" t="s">
        <v>1380</v>
      </c>
      <c r="E361" s="12" t="str">
        <f t="shared" si="1"/>
        <v>Dr.SUBRAMANIYAN C</v>
      </c>
      <c r="F361" s="13" t="s">
        <v>1371</v>
      </c>
      <c r="G361" s="12" t="s">
        <v>274</v>
      </c>
      <c r="H361" s="12" t="s">
        <v>1381</v>
      </c>
      <c r="I36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Col2='""&amp;B361&amp;""'"",0)"),1.0)</f>
        <v>1</v>
      </c>
      <c r="J361" s="12">
        <f>IFERROR(__xludf.DUMMYFUNCTION("""COMPUTED_VALUE"""),0.0)</f>
        <v>0</v>
      </c>
      <c r="K361" s="12">
        <f>IFERROR(__xludf.DUMMYFUNCTION("""COMPUTED_VALUE"""),0.0)</f>
        <v>0</v>
      </c>
      <c r="L361" s="12">
        <f>IFERROR(__xludf.DUMMYFUNCTION("""COMPUTED_VALUE"""),0.0)</f>
        <v>0</v>
      </c>
      <c r="M361" s="12" t="str">
        <f>IFERROR(__xludf.DUMMYFUNCTION("""COMPUTED_VALUE"""),"Working")</f>
        <v>Working</v>
      </c>
      <c r="N361" s="12" t="str">
        <f>IFERROR(__xludf.DUMMYFUNCTION("""COMPUTED_VALUE"""),"LOAD PENDING")</f>
        <v>LOAD PENDING</v>
      </c>
      <c r="O361" s="12" t="str">
        <f>IFERROR(__xludf.DUMMYFUNCTION("""COMPUTED_VALUE"""),"CORRECT")</f>
        <v>CORRECT</v>
      </c>
      <c r="P361" s="12" t="str">
        <f t="shared" si="2"/>
        <v/>
      </c>
      <c r="Q361" s="12" t="str">
        <f t="shared" si="3"/>
        <v/>
      </c>
    </row>
    <row r="362">
      <c r="A362" s="1">
        <v>361.0</v>
      </c>
      <c r="B362" s="1" t="s">
        <v>1382</v>
      </c>
      <c r="C362" s="1" t="s">
        <v>277</v>
      </c>
      <c r="D362" s="1" t="s">
        <v>1383</v>
      </c>
      <c r="E362" s="12" t="str">
        <f t="shared" si="1"/>
        <v>Dr.BHUVANESH N</v>
      </c>
      <c r="F362" s="13" t="s">
        <v>1371</v>
      </c>
      <c r="G362" s="12" t="s">
        <v>274</v>
      </c>
      <c r="H362" s="12" t="s">
        <v>1384</v>
      </c>
      <c r="I36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Col2='""&amp;B362&amp;""'"",0)"),1.0)</f>
        <v>1</v>
      </c>
      <c r="J362" s="12">
        <f>IFERROR(__xludf.DUMMYFUNCTION("""COMPUTED_VALUE"""),0.0)</f>
        <v>0</v>
      </c>
      <c r="K362" s="12">
        <f>IFERROR(__xludf.DUMMYFUNCTION("""COMPUTED_VALUE"""),0.0)</f>
        <v>0</v>
      </c>
      <c r="L362" s="12">
        <f>IFERROR(__xludf.DUMMYFUNCTION("""COMPUTED_VALUE"""),1.0)</f>
        <v>1</v>
      </c>
      <c r="M362" s="12" t="str">
        <f>IFERROR(__xludf.DUMMYFUNCTION("""COMPUTED_VALUE"""),"Working")</f>
        <v>Working</v>
      </c>
      <c r="N362" s="12" t="str">
        <f>IFERROR(__xludf.DUMMYFUNCTION("""COMPUTED_VALUE"""),"LOAD PENDING")</f>
        <v>LOAD PENDING</v>
      </c>
      <c r="O362" s="12" t="str">
        <f>IFERROR(__xludf.DUMMYFUNCTION("""COMPUTED_VALUE"""),"CORRECT")</f>
        <v>CORRECT</v>
      </c>
      <c r="P362" s="12" t="str">
        <f t="shared" si="2"/>
        <v/>
      </c>
      <c r="Q362" s="12" t="str">
        <f t="shared" si="3"/>
        <v>Extra Lab Load Alloted</v>
      </c>
    </row>
    <row r="363">
      <c r="A363" s="1">
        <v>362.0</v>
      </c>
      <c r="B363" s="1" t="s">
        <v>1385</v>
      </c>
      <c r="C363" s="1" t="s">
        <v>277</v>
      </c>
      <c r="D363" s="1" t="s">
        <v>1386</v>
      </c>
      <c r="E363" s="12" t="str">
        <f t="shared" si="1"/>
        <v>Dr.MUTHUKUMAR K</v>
      </c>
      <c r="F363" s="13" t="s">
        <v>1387</v>
      </c>
      <c r="G363" s="12" t="s">
        <v>283</v>
      </c>
      <c r="H363" s="12" t="s">
        <v>1388</v>
      </c>
      <c r="I36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Col2='""&amp;B363&amp;""'"",0)"),1.0)</f>
        <v>1</v>
      </c>
      <c r="J363" s="12">
        <f>IFERROR(__xludf.DUMMYFUNCTION("""COMPUTED_VALUE"""),1.0)</f>
        <v>1</v>
      </c>
      <c r="K363" s="12">
        <f>IFERROR(__xludf.DUMMYFUNCTION("""COMPUTED_VALUE"""),2.0)</f>
        <v>2</v>
      </c>
      <c r="L363" s="12">
        <f>IFERROR(__xludf.DUMMYFUNCTION("""COMPUTED_VALUE"""),2.0)</f>
        <v>2</v>
      </c>
      <c r="M363" s="12" t="str">
        <f>IFERROR(__xludf.DUMMYFUNCTION("""COMPUTED_VALUE"""),"Working")</f>
        <v>Working</v>
      </c>
      <c r="N363" s="12" t="str">
        <f>IFERROR(__xludf.DUMMYFUNCTION("""COMPUTED_VALUE"""),"CORRECT")</f>
        <v>CORRECT</v>
      </c>
      <c r="O363" s="12" t="str">
        <f>IFERROR(__xludf.DUMMYFUNCTION("""COMPUTED_VALUE"""),"CORRECT")</f>
        <v>CORRECT</v>
      </c>
      <c r="P363" s="12" t="str">
        <f t="shared" si="2"/>
        <v>Extra Theory Load Alloted</v>
      </c>
      <c r="Q363" s="12" t="str">
        <f t="shared" si="3"/>
        <v>Extra Lab Load Alloted</v>
      </c>
    </row>
    <row r="364">
      <c r="A364" s="1">
        <v>363.0</v>
      </c>
      <c r="B364" s="1" t="s">
        <v>1389</v>
      </c>
      <c r="C364" s="1" t="s">
        <v>271</v>
      </c>
      <c r="D364" s="1" t="s">
        <v>1390</v>
      </c>
      <c r="E364" s="12" t="str">
        <f t="shared" si="1"/>
        <v>Mr.RAMACHANDRA RAJU K</v>
      </c>
      <c r="F364" s="13" t="s">
        <v>1371</v>
      </c>
      <c r="G364" s="12" t="s">
        <v>274</v>
      </c>
      <c r="H364" s="12" t="s">
        <v>1391</v>
      </c>
      <c r="I36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Col2='""&amp;B364&amp;""'"",0)"),2.0)</f>
        <v>2</v>
      </c>
      <c r="J364" s="12">
        <f>IFERROR(__xludf.DUMMYFUNCTION("""COMPUTED_VALUE"""),2.0)</f>
        <v>2</v>
      </c>
      <c r="K364" s="12">
        <f>IFERROR(__xludf.DUMMYFUNCTION("""COMPUTED_VALUE"""),1.0)</f>
        <v>1</v>
      </c>
      <c r="L364" s="12">
        <f>IFERROR(__xludf.DUMMYFUNCTION("""COMPUTED_VALUE"""),3.0)</f>
        <v>3</v>
      </c>
      <c r="M364" s="12" t="str">
        <f>IFERROR(__xludf.DUMMYFUNCTION("""COMPUTED_VALUE"""),"Working")</f>
        <v>Working</v>
      </c>
      <c r="N364" s="12" t="str">
        <f>IFERROR(__xludf.DUMMYFUNCTION("""COMPUTED_VALUE"""),"LOAD PENDING")</f>
        <v>LOAD PENDING</v>
      </c>
      <c r="O364" s="12" t="str">
        <f>IFERROR(__xludf.DUMMYFUNCTION("""COMPUTED_VALUE"""),"CORRECT")</f>
        <v>CORRECT</v>
      </c>
      <c r="P364" s="12" t="str">
        <f t="shared" si="2"/>
        <v/>
      </c>
      <c r="Q364" s="12" t="str">
        <f t="shared" si="3"/>
        <v>Extra Lab Load Alloted</v>
      </c>
    </row>
    <row r="365">
      <c r="A365" s="1">
        <v>364.0</v>
      </c>
      <c r="B365" s="1" t="s">
        <v>1392</v>
      </c>
      <c r="C365" s="1" t="s">
        <v>271</v>
      </c>
      <c r="D365" s="1" t="s">
        <v>1393</v>
      </c>
      <c r="E365" s="12" t="str">
        <f t="shared" si="1"/>
        <v>Mr.KAMAL BASHA K</v>
      </c>
      <c r="F365" s="13" t="s">
        <v>1371</v>
      </c>
      <c r="G365" s="12" t="s">
        <v>291</v>
      </c>
      <c r="H365" s="12" t="s">
        <v>1394</v>
      </c>
      <c r="I36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Col2='""&amp;B365&amp;""'"",0)"),2.0)</f>
        <v>2</v>
      </c>
      <c r="J365" s="12">
        <f>IFERROR(__xludf.DUMMYFUNCTION("""COMPUTED_VALUE"""),2.0)</f>
        <v>2</v>
      </c>
      <c r="K365" s="12">
        <f>IFERROR(__xludf.DUMMYFUNCTION("""COMPUTED_VALUE"""),1.0)</f>
        <v>1</v>
      </c>
      <c r="L365" s="12">
        <f>IFERROR(__xludf.DUMMYFUNCTION("""COMPUTED_VALUE"""),3.0)</f>
        <v>3</v>
      </c>
      <c r="M365" s="12" t="str">
        <f>IFERROR(__xludf.DUMMYFUNCTION("""COMPUTED_VALUE"""),"Working")</f>
        <v>Working</v>
      </c>
      <c r="N365" s="12" t="str">
        <f>IFERROR(__xludf.DUMMYFUNCTION("""COMPUTED_VALUE"""),"LOAD PENDING")</f>
        <v>LOAD PENDING</v>
      </c>
      <c r="O365" s="12" t="str">
        <f>IFERROR(__xludf.DUMMYFUNCTION("""COMPUTED_VALUE"""),"CORRECT")</f>
        <v>CORRECT</v>
      </c>
      <c r="P365" s="12" t="str">
        <f t="shared" si="2"/>
        <v/>
      </c>
      <c r="Q365" s="12" t="str">
        <f t="shared" si="3"/>
        <v>Extra Lab Load Alloted</v>
      </c>
    </row>
    <row r="366">
      <c r="A366" s="1">
        <v>365.0</v>
      </c>
      <c r="B366" s="1" t="s">
        <v>1395</v>
      </c>
      <c r="C366" s="1" t="s">
        <v>277</v>
      </c>
      <c r="D366" s="1" t="s">
        <v>1396</v>
      </c>
      <c r="E366" s="12" t="str">
        <f t="shared" si="1"/>
        <v>Dr.PRAKASH K B</v>
      </c>
      <c r="F366" s="13" t="s">
        <v>1371</v>
      </c>
      <c r="G366" s="12" t="s">
        <v>274</v>
      </c>
      <c r="H366" s="12" t="s">
        <v>1397</v>
      </c>
      <c r="I36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Col2='""&amp;B366&amp;""'"",0)"),1.0)</f>
        <v>1</v>
      </c>
      <c r="J366" s="12">
        <f>IFERROR(__xludf.DUMMYFUNCTION("""COMPUTED_VALUE"""),1.0)</f>
        <v>1</v>
      </c>
      <c r="K366" s="12">
        <f>IFERROR(__xludf.DUMMYFUNCTION("""COMPUTED_VALUE"""),1.0)</f>
        <v>1</v>
      </c>
      <c r="L366" s="12">
        <f>IFERROR(__xludf.DUMMYFUNCTION("""COMPUTED_VALUE"""),1.0)</f>
        <v>1</v>
      </c>
      <c r="M366" s="12" t="str">
        <f>IFERROR(__xludf.DUMMYFUNCTION("""COMPUTED_VALUE"""),"Working")</f>
        <v>Working</v>
      </c>
      <c r="N366" s="12" t="str">
        <f>IFERROR(__xludf.DUMMYFUNCTION("""COMPUTED_VALUE"""),"CORRECT")</f>
        <v>CORRECT</v>
      </c>
      <c r="O366" s="12" t="str">
        <f>IFERROR(__xludf.DUMMYFUNCTION("""COMPUTED_VALUE"""),"CORRECT")</f>
        <v>CORRECT</v>
      </c>
      <c r="P366" s="12" t="str">
        <f t="shared" si="2"/>
        <v/>
      </c>
      <c r="Q366" s="12" t="str">
        <f t="shared" si="3"/>
        <v/>
      </c>
    </row>
    <row r="367">
      <c r="A367" s="1">
        <v>366.0</v>
      </c>
      <c r="B367" s="1" t="s">
        <v>1398</v>
      </c>
      <c r="C367" s="1" t="s">
        <v>271</v>
      </c>
      <c r="D367" s="1" t="s">
        <v>1399</v>
      </c>
      <c r="E367" s="12" t="str">
        <f t="shared" si="1"/>
        <v>Mr.BOOPATHIRAJA K P</v>
      </c>
      <c r="F367" s="13" t="s">
        <v>1371</v>
      </c>
      <c r="G367" s="12" t="s">
        <v>274</v>
      </c>
      <c r="H367" s="12" t="s">
        <v>1400</v>
      </c>
      <c r="I36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Col2='""&amp;B367&amp;""'"",0)"),1.0)</f>
        <v>1</v>
      </c>
      <c r="J367" s="12">
        <f>IFERROR(__xludf.DUMMYFUNCTION("""COMPUTED_VALUE"""),0.0)</f>
        <v>0</v>
      </c>
      <c r="K367" s="12">
        <f>IFERROR(__xludf.DUMMYFUNCTION("""COMPUTED_VALUE"""),1.0)</f>
        <v>1</v>
      </c>
      <c r="L367" s="12">
        <f>IFERROR(__xludf.DUMMYFUNCTION("""COMPUTED_VALUE"""),0.0)</f>
        <v>0</v>
      </c>
      <c r="M367" s="12" t="str">
        <f>IFERROR(__xludf.DUMMYFUNCTION("""COMPUTED_VALUE"""),"Working")</f>
        <v>Working</v>
      </c>
      <c r="N367" s="12" t="str">
        <f>IFERROR(__xludf.DUMMYFUNCTION("""COMPUTED_VALUE"""),"CORRECT")</f>
        <v>CORRECT</v>
      </c>
      <c r="O367" s="12" t="str">
        <f>IFERROR(__xludf.DUMMYFUNCTION("""COMPUTED_VALUE"""),"CORRECT")</f>
        <v>CORRECT</v>
      </c>
      <c r="P367" s="12" t="str">
        <f t="shared" si="2"/>
        <v/>
      </c>
      <c r="Q367" s="12" t="str">
        <f t="shared" si="3"/>
        <v/>
      </c>
    </row>
    <row r="368">
      <c r="A368" s="1">
        <v>367.0</v>
      </c>
      <c r="B368" s="1" t="s">
        <v>1401</v>
      </c>
      <c r="C368" s="1" t="s">
        <v>277</v>
      </c>
      <c r="D368" s="1" t="s">
        <v>1402</v>
      </c>
      <c r="E368" s="12" t="str">
        <f t="shared" si="1"/>
        <v>Dr.PRAVIN M C</v>
      </c>
      <c r="F368" s="13" t="s">
        <v>1371</v>
      </c>
      <c r="G368" s="12" t="s">
        <v>279</v>
      </c>
      <c r="H368" s="12" t="s">
        <v>1403</v>
      </c>
      <c r="I36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Col2='""&amp;B368&amp;""'"",0)"),0.0)</f>
        <v>0</v>
      </c>
      <c r="J368" s="12">
        <f>IFERROR(__xludf.DUMMYFUNCTION("""COMPUTED_VALUE"""),1.0)</f>
        <v>1</v>
      </c>
      <c r="K368" s="12">
        <f>IFERROR(__xludf.DUMMYFUNCTION("""COMPUTED_VALUE"""),0.0)</f>
        <v>0</v>
      </c>
      <c r="L368" s="12">
        <f>IFERROR(__xludf.DUMMYFUNCTION("""COMPUTED_VALUE"""),1.0)</f>
        <v>1</v>
      </c>
      <c r="M368" s="12" t="str">
        <f>IFERROR(__xludf.DUMMYFUNCTION("""COMPUTED_VALUE"""),"Working")</f>
        <v>Working</v>
      </c>
      <c r="N368" s="12" t="str">
        <f>IFERROR(__xludf.DUMMYFUNCTION("""COMPUTED_VALUE"""),"CORRECT")</f>
        <v>CORRECT</v>
      </c>
      <c r="O368" s="12" t="str">
        <f>IFERROR(__xludf.DUMMYFUNCTION("""COMPUTED_VALUE"""),"CORRECT")</f>
        <v>CORRECT</v>
      </c>
      <c r="P368" s="12" t="str">
        <f t="shared" si="2"/>
        <v/>
      </c>
      <c r="Q368" s="12" t="str">
        <f t="shared" si="3"/>
        <v/>
      </c>
    </row>
    <row r="369">
      <c r="A369" s="1">
        <v>368.0</v>
      </c>
      <c r="B369" s="1" t="s">
        <v>1404</v>
      </c>
      <c r="C369" s="1" t="s">
        <v>271</v>
      </c>
      <c r="D369" s="1" t="s">
        <v>1405</v>
      </c>
      <c r="E369" s="12" t="str">
        <f t="shared" si="1"/>
        <v>Mr.CHANDRASEKARAN M</v>
      </c>
      <c r="F369" s="13" t="s">
        <v>1371</v>
      </c>
      <c r="G369" s="12" t="s">
        <v>291</v>
      </c>
      <c r="H369" s="12" t="s">
        <v>1406</v>
      </c>
      <c r="I36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Col2='""&amp;B369&amp;""'"",0)"),1.0)</f>
        <v>1</v>
      </c>
      <c r="J369" s="12">
        <f>IFERROR(__xludf.DUMMYFUNCTION("""COMPUTED_VALUE"""),0.0)</f>
        <v>0</v>
      </c>
      <c r="K369" s="12">
        <f>IFERROR(__xludf.DUMMYFUNCTION("""COMPUTED_VALUE"""),1.0)</f>
        <v>1</v>
      </c>
      <c r="L369" s="12">
        <f>IFERROR(__xludf.DUMMYFUNCTION("""COMPUTED_VALUE"""),0.0)</f>
        <v>0</v>
      </c>
      <c r="M369" s="12" t="str">
        <f>IFERROR(__xludf.DUMMYFUNCTION("""COMPUTED_VALUE"""),"Working")</f>
        <v>Working</v>
      </c>
      <c r="N369" s="12" t="str">
        <f>IFERROR(__xludf.DUMMYFUNCTION("""COMPUTED_VALUE"""),"CORRECT")</f>
        <v>CORRECT</v>
      </c>
      <c r="O369" s="12" t="str">
        <f>IFERROR(__xludf.DUMMYFUNCTION("""COMPUTED_VALUE"""),"CORRECT")</f>
        <v>CORRECT</v>
      </c>
      <c r="P369" s="12" t="str">
        <f t="shared" si="2"/>
        <v/>
      </c>
      <c r="Q369" s="12" t="str">
        <f t="shared" si="3"/>
        <v/>
      </c>
    </row>
    <row r="370">
      <c r="A370" s="1">
        <v>369.0</v>
      </c>
      <c r="B370" s="1" t="s">
        <v>1407</v>
      </c>
      <c r="C370" s="1" t="s">
        <v>277</v>
      </c>
      <c r="D370" s="1" t="s">
        <v>1408</v>
      </c>
      <c r="E370" s="12" t="str">
        <f t="shared" si="1"/>
        <v>Dr.RAVI KUMAR M</v>
      </c>
      <c r="F370" s="13" t="s">
        <v>1371</v>
      </c>
      <c r="G370" s="12" t="s">
        <v>283</v>
      </c>
      <c r="H370" s="12" t="s">
        <v>1409</v>
      </c>
      <c r="I37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Col2='""&amp;B370&amp;""'"",0)"),1.0)</f>
        <v>1</v>
      </c>
      <c r="J370" s="12">
        <f>IFERROR(__xludf.DUMMYFUNCTION("""COMPUTED_VALUE"""),0.0)</f>
        <v>0</v>
      </c>
      <c r="K370" s="12">
        <f>IFERROR(__xludf.DUMMYFUNCTION("""COMPUTED_VALUE"""),1.0)</f>
        <v>1</v>
      </c>
      <c r="L370" s="12">
        <f>IFERROR(__xludf.DUMMYFUNCTION("""COMPUTED_VALUE"""),0.0)</f>
        <v>0</v>
      </c>
      <c r="M370" s="12" t="str">
        <f>IFERROR(__xludf.DUMMYFUNCTION("""COMPUTED_VALUE"""),"Working")</f>
        <v>Working</v>
      </c>
      <c r="N370" s="12" t="str">
        <f>IFERROR(__xludf.DUMMYFUNCTION("""COMPUTED_VALUE"""),"CORRECT")</f>
        <v>CORRECT</v>
      </c>
      <c r="O370" s="12" t="str">
        <f>IFERROR(__xludf.DUMMYFUNCTION("""COMPUTED_VALUE"""),"CORRECT")</f>
        <v>CORRECT</v>
      </c>
      <c r="P370" s="12" t="str">
        <f t="shared" si="2"/>
        <v/>
      </c>
      <c r="Q370" s="12" t="str">
        <f t="shared" si="3"/>
        <v/>
      </c>
    </row>
    <row r="371">
      <c r="A371" s="1">
        <v>370.0</v>
      </c>
      <c r="B371" s="1" t="s">
        <v>1410</v>
      </c>
      <c r="C371" s="1" t="s">
        <v>277</v>
      </c>
      <c r="D371" s="1" t="s">
        <v>1411</v>
      </c>
      <c r="E371" s="12" t="str">
        <f t="shared" si="1"/>
        <v>Dr.SENTHILKUMAR G</v>
      </c>
      <c r="F371" s="13" t="s">
        <v>1371</v>
      </c>
      <c r="G371" s="12" t="s">
        <v>283</v>
      </c>
      <c r="H371" s="12" t="s">
        <v>1412</v>
      </c>
      <c r="I37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Col2='""&amp;B371&amp;""'"",0)"),1.0)</f>
        <v>1</v>
      </c>
      <c r="J371" s="12">
        <f>IFERROR(__xludf.DUMMYFUNCTION("""COMPUTED_VALUE"""),0.0)</f>
        <v>0</v>
      </c>
      <c r="K371" s="12">
        <f>IFERROR(__xludf.DUMMYFUNCTION("""COMPUTED_VALUE"""),1.0)</f>
        <v>1</v>
      </c>
      <c r="L371" s="12">
        <f>IFERROR(__xludf.DUMMYFUNCTION("""COMPUTED_VALUE"""),0.0)</f>
        <v>0</v>
      </c>
      <c r="M371" s="12" t="str">
        <f>IFERROR(__xludf.DUMMYFUNCTION("""COMPUTED_VALUE"""),"Working")</f>
        <v>Working</v>
      </c>
      <c r="N371" s="12" t="str">
        <f>IFERROR(__xludf.DUMMYFUNCTION("""COMPUTED_VALUE"""),"CORRECT")</f>
        <v>CORRECT</v>
      </c>
      <c r="O371" s="12" t="str">
        <f>IFERROR(__xludf.DUMMYFUNCTION("""COMPUTED_VALUE"""),"CORRECT")</f>
        <v>CORRECT</v>
      </c>
      <c r="P371" s="12" t="str">
        <f t="shared" si="2"/>
        <v/>
      </c>
      <c r="Q371" s="12" t="str">
        <f t="shared" si="3"/>
        <v/>
      </c>
    </row>
    <row r="372">
      <c r="A372" s="1">
        <v>371.0</v>
      </c>
      <c r="B372" s="1" t="s">
        <v>1413</v>
      </c>
      <c r="C372" s="1" t="s">
        <v>277</v>
      </c>
      <c r="D372" s="1" t="s">
        <v>1414</v>
      </c>
      <c r="E372" s="12" t="str">
        <f t="shared" si="1"/>
        <v>Dr.SASIKUMAR C</v>
      </c>
      <c r="F372" s="13" t="s">
        <v>1371</v>
      </c>
      <c r="G372" s="12" t="s">
        <v>283</v>
      </c>
      <c r="H372" s="12" t="s">
        <v>1415</v>
      </c>
      <c r="I37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Col2='""&amp;B372&amp;""'"",0)"),0.0)</f>
        <v>0</v>
      </c>
      <c r="J372" s="12">
        <f>IFERROR(__xludf.DUMMYFUNCTION("""COMPUTED_VALUE"""),0.0)</f>
        <v>0</v>
      </c>
      <c r="K372" s="12">
        <f>IFERROR(__xludf.DUMMYFUNCTION("""COMPUTED_VALUE"""),0.0)</f>
        <v>0</v>
      </c>
      <c r="L372" s="12">
        <f>IFERROR(__xludf.DUMMYFUNCTION("""COMPUTED_VALUE"""),0.0)</f>
        <v>0</v>
      </c>
      <c r="M372" s="12" t="str">
        <f>IFERROR(__xludf.DUMMYFUNCTION("""COMPUTED_VALUE"""),"Working")</f>
        <v>Working</v>
      </c>
      <c r="N372" s="12" t="str">
        <f>IFERROR(__xludf.DUMMYFUNCTION("""COMPUTED_VALUE"""),"CORRECT")</f>
        <v>CORRECT</v>
      </c>
      <c r="O372" s="12" t="str">
        <f>IFERROR(__xludf.DUMMYFUNCTION("""COMPUTED_VALUE"""),"CORRECT")</f>
        <v>CORRECT</v>
      </c>
      <c r="P372" s="12" t="str">
        <f t="shared" si="2"/>
        <v/>
      </c>
      <c r="Q372" s="12" t="str">
        <f t="shared" si="3"/>
        <v/>
      </c>
    </row>
    <row r="373">
      <c r="A373" s="1">
        <v>372.0</v>
      </c>
      <c r="B373" s="1" t="s">
        <v>1416</v>
      </c>
      <c r="C373" s="1" t="s">
        <v>271</v>
      </c>
      <c r="D373" s="1" t="s">
        <v>1417</v>
      </c>
      <c r="E373" s="12" t="str">
        <f t="shared" si="1"/>
        <v>Mr.JOSEPH SILVESTER K</v>
      </c>
      <c r="F373" s="13" t="s">
        <v>1387</v>
      </c>
      <c r="G373" s="12" t="s">
        <v>291</v>
      </c>
      <c r="H373" s="12" t="s">
        <v>1418</v>
      </c>
      <c r="I37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Col2='""&amp;B373&amp;""'"",0)"),2.0)</f>
        <v>2</v>
      </c>
      <c r="J373" s="12">
        <f>IFERROR(__xludf.DUMMYFUNCTION("""COMPUTED_VALUE"""),2.0)</f>
        <v>2</v>
      </c>
      <c r="K373" s="12">
        <f>IFERROR(__xludf.DUMMYFUNCTION("""COMPUTED_VALUE"""),2.0)</f>
        <v>2</v>
      </c>
      <c r="L373" s="12">
        <f>IFERROR(__xludf.DUMMYFUNCTION("""COMPUTED_VALUE"""),1.0)</f>
        <v>1</v>
      </c>
      <c r="M373" s="12" t="str">
        <f>IFERROR(__xludf.DUMMYFUNCTION("""COMPUTED_VALUE"""),"Working")</f>
        <v>Working</v>
      </c>
      <c r="N373" s="12" t="str">
        <f>IFERROR(__xludf.DUMMYFUNCTION("""COMPUTED_VALUE"""),"CORRECT")</f>
        <v>CORRECT</v>
      </c>
      <c r="O373" s="12" t="str">
        <f>IFERROR(__xludf.DUMMYFUNCTION("""COMPUTED_VALUE"""),"LOAD PENDING")</f>
        <v>LOAD PENDING</v>
      </c>
      <c r="P373" s="12" t="str">
        <f t="shared" si="2"/>
        <v/>
      </c>
      <c r="Q373" s="12" t="str">
        <f t="shared" si="3"/>
        <v/>
      </c>
    </row>
    <row r="374">
      <c r="A374" s="1">
        <v>373.0</v>
      </c>
      <c r="B374" s="1" t="s">
        <v>1419</v>
      </c>
      <c r="C374" s="1" t="s">
        <v>277</v>
      </c>
      <c r="D374" s="1" t="s">
        <v>1420</v>
      </c>
      <c r="E374" s="12" t="str">
        <f t="shared" si="1"/>
        <v>Dr.PAVANADITYA BADIDA</v>
      </c>
      <c r="F374" s="13" t="s">
        <v>1387</v>
      </c>
      <c r="G374" s="12" t="s">
        <v>301</v>
      </c>
      <c r="H374" s="12" t="s">
        <v>1421</v>
      </c>
      <c r="I37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Col2='""&amp;B374&amp;""'"",0)"),2.0)</f>
        <v>2</v>
      </c>
      <c r="J374" s="12">
        <f>IFERROR(__xludf.DUMMYFUNCTION("""COMPUTED_VALUE"""),2.0)</f>
        <v>2</v>
      </c>
      <c r="K374" s="12">
        <f>IFERROR(__xludf.DUMMYFUNCTION("""COMPUTED_VALUE"""),3.0)</f>
        <v>3</v>
      </c>
      <c r="L374" s="12">
        <f>IFERROR(__xludf.DUMMYFUNCTION("""COMPUTED_VALUE"""),0.0)</f>
        <v>0</v>
      </c>
      <c r="M374" s="12" t="str">
        <f>IFERROR(__xludf.DUMMYFUNCTION("""COMPUTED_VALUE"""),"Working")</f>
        <v>Working</v>
      </c>
      <c r="N374" s="12" t="str">
        <f>IFERROR(__xludf.DUMMYFUNCTION("""COMPUTED_VALUE"""),"CORRECT")</f>
        <v>CORRECT</v>
      </c>
      <c r="O374" s="12" t="str">
        <f>IFERROR(__xludf.DUMMYFUNCTION("""COMPUTED_VALUE"""),"LOAD PENDING")</f>
        <v>LOAD PENDING</v>
      </c>
      <c r="P374" s="12" t="str">
        <f t="shared" si="2"/>
        <v>Extra Theory Load Alloted</v>
      </c>
      <c r="Q374" s="12" t="str">
        <f t="shared" si="3"/>
        <v/>
      </c>
    </row>
    <row r="375">
      <c r="A375" s="1">
        <v>374.0</v>
      </c>
      <c r="B375" s="1" t="s">
        <v>1422</v>
      </c>
      <c r="C375" s="1" t="s">
        <v>277</v>
      </c>
      <c r="D375" s="1" t="s">
        <v>1423</v>
      </c>
      <c r="E375" s="12" t="str">
        <f t="shared" si="1"/>
        <v>Dr.AMARKARTHIK A</v>
      </c>
      <c r="F375" s="13" t="s">
        <v>1371</v>
      </c>
      <c r="G375" s="12" t="s">
        <v>283</v>
      </c>
      <c r="H375" s="12" t="s">
        <v>1424</v>
      </c>
      <c r="I37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Col2='""&amp;B375&amp;""'"",0)"),1.0)</f>
        <v>1</v>
      </c>
      <c r="J375" s="12">
        <f>IFERROR(__xludf.DUMMYFUNCTION("""COMPUTED_VALUE"""),1.0)</f>
        <v>1</v>
      </c>
      <c r="K375" s="12">
        <f>IFERROR(__xludf.DUMMYFUNCTION("""COMPUTED_VALUE"""),0.0)</f>
        <v>0</v>
      </c>
      <c r="L375" s="12">
        <f>IFERROR(__xludf.DUMMYFUNCTION("""COMPUTED_VALUE"""),0.0)</f>
        <v>0</v>
      </c>
      <c r="M375" s="12" t="str">
        <f>IFERROR(__xludf.DUMMYFUNCTION("""COMPUTED_VALUE"""),"Working")</f>
        <v>Working</v>
      </c>
      <c r="N375" s="12" t="str">
        <f>IFERROR(__xludf.DUMMYFUNCTION("""COMPUTED_VALUE"""),"LOAD PENDING")</f>
        <v>LOAD PENDING</v>
      </c>
      <c r="O375" s="12" t="str">
        <f>IFERROR(__xludf.DUMMYFUNCTION("""COMPUTED_VALUE"""),"LOAD PENDING")</f>
        <v>LOAD PENDING</v>
      </c>
      <c r="P375" s="12" t="str">
        <f t="shared" si="2"/>
        <v/>
      </c>
      <c r="Q375" s="12" t="str">
        <f t="shared" si="3"/>
        <v/>
      </c>
    </row>
    <row r="376">
      <c r="A376" s="1">
        <v>375.0</v>
      </c>
      <c r="B376" s="1" t="s">
        <v>1425</v>
      </c>
      <c r="C376" s="1" t="s">
        <v>277</v>
      </c>
      <c r="D376" s="1" t="s">
        <v>1426</v>
      </c>
      <c r="E376" s="12" t="str">
        <f t="shared" si="1"/>
        <v>Dr.RAMESH KUMAR T</v>
      </c>
      <c r="F376" s="13" t="s">
        <v>1371</v>
      </c>
      <c r="G376" s="12" t="s">
        <v>283</v>
      </c>
      <c r="H376" s="12" t="s">
        <v>1427</v>
      </c>
      <c r="I37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Col2='""&amp;B376&amp;""'"",0)"),0.0)</f>
        <v>0</v>
      </c>
      <c r="J376" s="12">
        <f>IFERROR(__xludf.DUMMYFUNCTION("""COMPUTED_VALUE"""),0.0)</f>
        <v>0</v>
      </c>
      <c r="K376" s="12">
        <f>IFERROR(__xludf.DUMMYFUNCTION("""COMPUTED_VALUE"""),0.0)</f>
        <v>0</v>
      </c>
      <c r="L376" s="12">
        <f>IFERROR(__xludf.DUMMYFUNCTION("""COMPUTED_VALUE"""),0.0)</f>
        <v>0</v>
      </c>
      <c r="M376" s="12" t="str">
        <f>IFERROR(__xludf.DUMMYFUNCTION("""COMPUTED_VALUE"""),"Working")</f>
        <v>Working</v>
      </c>
      <c r="N376" s="12" t="str">
        <f>IFERROR(__xludf.DUMMYFUNCTION("""COMPUTED_VALUE"""),"CORRECT")</f>
        <v>CORRECT</v>
      </c>
      <c r="O376" s="12" t="str">
        <f>IFERROR(__xludf.DUMMYFUNCTION("""COMPUTED_VALUE"""),"CORRECT")</f>
        <v>CORRECT</v>
      </c>
      <c r="P376" s="12" t="str">
        <f t="shared" si="2"/>
        <v/>
      </c>
      <c r="Q376" s="12" t="str">
        <f t="shared" si="3"/>
        <v/>
      </c>
    </row>
    <row r="377">
      <c r="A377" s="1">
        <v>376.0</v>
      </c>
      <c r="B377" s="1" t="s">
        <v>1428</v>
      </c>
      <c r="C377" s="1" t="s">
        <v>277</v>
      </c>
      <c r="D377" s="1" t="s">
        <v>1429</v>
      </c>
      <c r="E377" s="12" t="str">
        <f t="shared" si="1"/>
        <v>Dr.SIVAKUMAR K</v>
      </c>
      <c r="F377" s="13" t="s">
        <v>1371</v>
      </c>
      <c r="G377" s="12" t="s">
        <v>1430</v>
      </c>
      <c r="H377" s="12" t="s">
        <v>1431</v>
      </c>
      <c r="I37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Col2='""&amp;B377&amp;""'"",0)"),1.0)</f>
        <v>1</v>
      </c>
      <c r="J377" s="12">
        <f>IFERROR(__xludf.DUMMYFUNCTION("""COMPUTED_VALUE"""),1.0)</f>
        <v>1</v>
      </c>
      <c r="K377" s="12">
        <f>IFERROR(__xludf.DUMMYFUNCTION("""COMPUTED_VALUE"""),0.0)</f>
        <v>0</v>
      </c>
      <c r="L377" s="12">
        <f>IFERROR(__xludf.DUMMYFUNCTION("""COMPUTED_VALUE"""),0.0)</f>
        <v>0</v>
      </c>
      <c r="M377" s="12" t="str">
        <f>IFERROR(__xludf.DUMMYFUNCTION("""COMPUTED_VALUE"""),"Working")</f>
        <v>Working</v>
      </c>
      <c r="N377" s="12" t="str">
        <f>IFERROR(__xludf.DUMMYFUNCTION("""COMPUTED_VALUE"""),"LOAD PENDING")</f>
        <v>LOAD PENDING</v>
      </c>
      <c r="O377" s="12" t="str">
        <f>IFERROR(__xludf.DUMMYFUNCTION("""COMPUTED_VALUE"""),"LOAD PENDING")</f>
        <v>LOAD PENDING</v>
      </c>
      <c r="P377" s="12" t="str">
        <f t="shared" si="2"/>
        <v/>
      </c>
      <c r="Q377" s="12" t="str">
        <f t="shared" si="3"/>
        <v/>
      </c>
    </row>
    <row r="378">
      <c r="A378" s="1">
        <v>377.0</v>
      </c>
      <c r="B378" s="1" t="s">
        <v>1432</v>
      </c>
      <c r="C378" s="1" t="s">
        <v>277</v>
      </c>
      <c r="D378" s="1" t="s">
        <v>1433</v>
      </c>
      <c r="E378" s="12" t="str">
        <f t="shared" si="1"/>
        <v>Dr.ANANDHA MOORTHY A</v>
      </c>
      <c r="F378" s="13" t="s">
        <v>1371</v>
      </c>
      <c r="G378" s="12" t="s">
        <v>279</v>
      </c>
      <c r="H378" s="12" t="s">
        <v>1434</v>
      </c>
      <c r="I37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Col2='""&amp;B378&amp;""'"",0)"),1.0)</f>
        <v>1</v>
      </c>
      <c r="J378" s="12">
        <f>IFERROR(__xludf.DUMMYFUNCTION("""COMPUTED_VALUE"""),0.0)</f>
        <v>0</v>
      </c>
      <c r="K378" s="12">
        <f>IFERROR(__xludf.DUMMYFUNCTION("""COMPUTED_VALUE"""),1.0)</f>
        <v>1</v>
      </c>
      <c r="L378" s="12">
        <f>IFERROR(__xludf.DUMMYFUNCTION("""COMPUTED_VALUE"""),0.0)</f>
        <v>0</v>
      </c>
      <c r="M378" s="12" t="str">
        <f>IFERROR(__xludf.DUMMYFUNCTION("""COMPUTED_VALUE"""),"Working")</f>
        <v>Working</v>
      </c>
      <c r="N378" s="12" t="str">
        <f>IFERROR(__xludf.DUMMYFUNCTION("""COMPUTED_VALUE"""),"CORRECT")</f>
        <v>CORRECT</v>
      </c>
      <c r="O378" s="12" t="str">
        <f>IFERROR(__xludf.DUMMYFUNCTION("""COMPUTED_VALUE"""),"CORRECT")</f>
        <v>CORRECT</v>
      </c>
      <c r="P378" s="12" t="str">
        <f t="shared" si="2"/>
        <v/>
      </c>
      <c r="Q378" s="12" t="str">
        <f t="shared" si="3"/>
        <v/>
      </c>
    </row>
    <row r="379">
      <c r="A379" s="1">
        <v>378.0</v>
      </c>
      <c r="B379" s="1" t="s">
        <v>1435</v>
      </c>
      <c r="C379" s="1" t="s">
        <v>277</v>
      </c>
      <c r="D379" s="1" t="s">
        <v>1436</v>
      </c>
      <c r="E379" s="12" t="str">
        <f t="shared" si="1"/>
        <v>Dr.DINESH D</v>
      </c>
      <c r="F379" s="13" t="s">
        <v>1371</v>
      </c>
      <c r="G379" s="12" t="s">
        <v>274</v>
      </c>
      <c r="H379" s="12" t="s">
        <v>1437</v>
      </c>
      <c r="I37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Col2='""&amp;B379&amp;""'"",0)"),2.0)</f>
        <v>2</v>
      </c>
      <c r="J379" s="12">
        <f>IFERROR(__xludf.DUMMYFUNCTION("""COMPUTED_VALUE"""),2.0)</f>
        <v>2</v>
      </c>
      <c r="K379" s="12">
        <f>IFERROR(__xludf.DUMMYFUNCTION("""COMPUTED_VALUE"""),1.0)</f>
        <v>1</v>
      </c>
      <c r="L379" s="12">
        <f>IFERROR(__xludf.DUMMYFUNCTION("""COMPUTED_VALUE"""),2.0)</f>
        <v>2</v>
      </c>
      <c r="M379" s="12" t="str">
        <f>IFERROR(__xludf.DUMMYFUNCTION("""COMPUTED_VALUE"""),"Working")</f>
        <v>Working</v>
      </c>
      <c r="N379" s="12" t="str">
        <f>IFERROR(__xludf.DUMMYFUNCTION("""COMPUTED_VALUE"""),"LOAD PENDING")</f>
        <v>LOAD PENDING</v>
      </c>
      <c r="O379" s="12" t="str">
        <f>IFERROR(__xludf.DUMMYFUNCTION("""COMPUTED_VALUE"""),"CORRECT")</f>
        <v>CORRECT</v>
      </c>
      <c r="P379" s="12" t="str">
        <f t="shared" si="2"/>
        <v/>
      </c>
      <c r="Q379" s="12" t="str">
        <f t="shared" si="3"/>
        <v/>
      </c>
    </row>
    <row r="380">
      <c r="A380" s="1">
        <v>379.0</v>
      </c>
      <c r="B380" s="1" t="s">
        <v>1438</v>
      </c>
      <c r="C380" s="1" t="s">
        <v>277</v>
      </c>
      <c r="D380" s="1" t="s">
        <v>1439</v>
      </c>
      <c r="E380" s="12" t="str">
        <f t="shared" si="1"/>
        <v>Dr.MATHANKUMAR P</v>
      </c>
      <c r="F380" s="13" t="s">
        <v>1371</v>
      </c>
      <c r="G380" s="12" t="s">
        <v>279</v>
      </c>
      <c r="H380" s="12" t="s">
        <v>1440</v>
      </c>
      <c r="I38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Col2='""&amp;B380&amp;""'"",0)"),0.0)</f>
        <v>0</v>
      </c>
      <c r="J380" s="12">
        <f>IFERROR(__xludf.DUMMYFUNCTION("""COMPUTED_VALUE"""),0.0)</f>
        <v>0</v>
      </c>
      <c r="K380" s="12">
        <f>IFERROR(__xludf.DUMMYFUNCTION("""COMPUTED_VALUE"""),0.0)</f>
        <v>0</v>
      </c>
      <c r="L380" s="12">
        <f>IFERROR(__xludf.DUMMYFUNCTION("""COMPUTED_VALUE"""),0.0)</f>
        <v>0</v>
      </c>
      <c r="M380" s="12" t="str">
        <f>IFERROR(__xludf.DUMMYFUNCTION("""COMPUTED_VALUE"""),"Working")</f>
        <v>Working</v>
      </c>
      <c r="N380" s="12" t="str">
        <f>IFERROR(__xludf.DUMMYFUNCTION("""COMPUTED_VALUE"""),"CORRECT")</f>
        <v>CORRECT</v>
      </c>
      <c r="O380" s="12" t="str">
        <f>IFERROR(__xludf.DUMMYFUNCTION("""COMPUTED_VALUE"""),"CORRECT")</f>
        <v>CORRECT</v>
      </c>
      <c r="P380" s="12" t="str">
        <f t="shared" si="2"/>
        <v/>
      </c>
      <c r="Q380" s="12" t="str">
        <f t="shared" si="3"/>
        <v/>
      </c>
    </row>
    <row r="381">
      <c r="A381" s="1">
        <v>380.0</v>
      </c>
      <c r="B381" s="1" t="s">
        <v>1441</v>
      </c>
      <c r="C381" s="1" t="s">
        <v>277</v>
      </c>
      <c r="D381" s="1" t="s">
        <v>1442</v>
      </c>
      <c r="E381" s="12" t="str">
        <f t="shared" si="1"/>
        <v>Dr.VELMURUGAN S</v>
      </c>
      <c r="F381" s="13" t="s">
        <v>1371</v>
      </c>
      <c r="G381" s="12" t="s">
        <v>274</v>
      </c>
      <c r="H381" s="12" t="s">
        <v>1443</v>
      </c>
      <c r="I38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Col2='""&amp;B381&amp;""'"",0)"),1.0)</f>
        <v>1</v>
      </c>
      <c r="J381" s="12">
        <f>IFERROR(__xludf.DUMMYFUNCTION("""COMPUTED_VALUE"""),0.0)</f>
        <v>0</v>
      </c>
      <c r="K381" s="12">
        <f>IFERROR(__xludf.DUMMYFUNCTION("""COMPUTED_VALUE"""),1.0)</f>
        <v>1</v>
      </c>
      <c r="L381" s="12">
        <f>IFERROR(__xludf.DUMMYFUNCTION("""COMPUTED_VALUE"""),0.0)</f>
        <v>0</v>
      </c>
      <c r="M381" s="12" t="str">
        <f>IFERROR(__xludf.DUMMYFUNCTION("""COMPUTED_VALUE"""),"Working")</f>
        <v>Working</v>
      </c>
      <c r="N381" s="12" t="str">
        <f>IFERROR(__xludf.DUMMYFUNCTION("""COMPUTED_VALUE"""),"CORRECT")</f>
        <v>CORRECT</v>
      </c>
      <c r="O381" s="12" t="str">
        <f>IFERROR(__xludf.DUMMYFUNCTION("""COMPUTED_VALUE"""),"CORRECT")</f>
        <v>CORRECT</v>
      </c>
      <c r="P381" s="12" t="str">
        <f t="shared" si="2"/>
        <v/>
      </c>
      <c r="Q381" s="12" t="str">
        <f t="shared" si="3"/>
        <v/>
      </c>
    </row>
    <row r="382">
      <c r="A382" s="1">
        <v>381.0</v>
      </c>
      <c r="B382" s="1" t="s">
        <v>1444</v>
      </c>
      <c r="C382" s="1" t="s">
        <v>271</v>
      </c>
      <c r="D382" s="1" t="s">
        <v>1445</v>
      </c>
      <c r="E382" s="12" t="str">
        <f t="shared" si="1"/>
        <v>Mr.SATHISHKUMAR C</v>
      </c>
      <c r="F382" s="13" t="s">
        <v>1371</v>
      </c>
      <c r="G382" s="12" t="s">
        <v>274</v>
      </c>
      <c r="H382" s="12" t="s">
        <v>1446</v>
      </c>
      <c r="I38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Col2='""&amp;B382&amp;""'"",0)"),1.0)</f>
        <v>1</v>
      </c>
      <c r="J382" s="12">
        <f>IFERROR(__xludf.DUMMYFUNCTION("""COMPUTED_VALUE"""),0.0)</f>
        <v>0</v>
      </c>
      <c r="K382" s="12">
        <f>IFERROR(__xludf.DUMMYFUNCTION("""COMPUTED_VALUE"""),1.0)</f>
        <v>1</v>
      </c>
      <c r="L382" s="12">
        <f>IFERROR(__xludf.DUMMYFUNCTION("""COMPUTED_VALUE"""),0.0)</f>
        <v>0</v>
      </c>
      <c r="M382" s="12" t="str">
        <f>IFERROR(__xludf.DUMMYFUNCTION("""COMPUTED_VALUE"""),"Working")</f>
        <v>Working</v>
      </c>
      <c r="N382" s="12" t="str">
        <f>IFERROR(__xludf.DUMMYFUNCTION("""COMPUTED_VALUE"""),"CORRECT")</f>
        <v>CORRECT</v>
      </c>
      <c r="O382" s="12" t="str">
        <f>IFERROR(__xludf.DUMMYFUNCTION("""COMPUTED_VALUE"""),"CORRECT")</f>
        <v>CORRECT</v>
      </c>
      <c r="P382" s="12" t="str">
        <f t="shared" si="2"/>
        <v/>
      </c>
      <c r="Q382" s="12" t="str">
        <f t="shared" si="3"/>
        <v/>
      </c>
    </row>
    <row r="383">
      <c r="A383" s="1">
        <v>382.0</v>
      </c>
      <c r="B383" s="1" t="s">
        <v>1447</v>
      </c>
      <c r="C383" s="1" t="s">
        <v>277</v>
      </c>
      <c r="D383" s="1" t="s">
        <v>1448</v>
      </c>
      <c r="E383" s="12" t="str">
        <f t="shared" si="1"/>
        <v>Dr.SURESHKUMAR M</v>
      </c>
      <c r="F383" s="13" t="s">
        <v>1371</v>
      </c>
      <c r="G383" s="12" t="s">
        <v>279</v>
      </c>
      <c r="H383" s="12" t="s">
        <v>1449</v>
      </c>
      <c r="I38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Col2='""&amp;B383&amp;""'"",0)"),2.0)</f>
        <v>2</v>
      </c>
      <c r="J383" s="12">
        <f>IFERROR(__xludf.DUMMYFUNCTION("""COMPUTED_VALUE"""),1.0)</f>
        <v>1</v>
      </c>
      <c r="K383" s="12">
        <f>IFERROR(__xludf.DUMMYFUNCTION("""COMPUTED_VALUE"""),2.0)</f>
        <v>2</v>
      </c>
      <c r="L383" s="12">
        <f>IFERROR(__xludf.DUMMYFUNCTION("""COMPUTED_VALUE"""),1.0)</f>
        <v>1</v>
      </c>
      <c r="M383" s="12" t="str">
        <f>IFERROR(__xludf.DUMMYFUNCTION("""COMPUTED_VALUE"""),"Working")</f>
        <v>Working</v>
      </c>
      <c r="N383" s="12" t="str">
        <f>IFERROR(__xludf.DUMMYFUNCTION("""COMPUTED_VALUE"""),"CORRECT")</f>
        <v>CORRECT</v>
      </c>
      <c r="O383" s="12" t="str">
        <f>IFERROR(__xludf.DUMMYFUNCTION("""COMPUTED_VALUE"""),"CORRECT")</f>
        <v>CORRECT</v>
      </c>
      <c r="P383" s="12" t="str">
        <f t="shared" si="2"/>
        <v/>
      </c>
      <c r="Q383" s="12" t="str">
        <f t="shared" si="3"/>
        <v/>
      </c>
    </row>
    <row r="384">
      <c r="A384" s="1">
        <v>383.0</v>
      </c>
      <c r="B384" s="1" t="s">
        <v>1450</v>
      </c>
      <c r="C384" s="1" t="s">
        <v>277</v>
      </c>
      <c r="D384" s="1" t="s">
        <v>1451</v>
      </c>
      <c r="E384" s="12" t="str">
        <f t="shared" si="1"/>
        <v>Dr.SUNDARRAJU G</v>
      </c>
      <c r="F384" s="13" t="s">
        <v>1371</v>
      </c>
      <c r="G384" s="12" t="s">
        <v>279</v>
      </c>
      <c r="H384" s="12" t="s">
        <v>1452</v>
      </c>
      <c r="I38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Col2='""&amp;B384&amp;""'"",0)"),2.0)</f>
        <v>2</v>
      </c>
      <c r="J384" s="12">
        <f>IFERROR(__xludf.DUMMYFUNCTION("""COMPUTED_VALUE"""),1.0)</f>
        <v>1</v>
      </c>
      <c r="K384" s="12">
        <f>IFERROR(__xludf.DUMMYFUNCTION("""COMPUTED_VALUE"""),1.0)</f>
        <v>1</v>
      </c>
      <c r="L384" s="12">
        <f>IFERROR(__xludf.DUMMYFUNCTION("""COMPUTED_VALUE"""),3.0)</f>
        <v>3</v>
      </c>
      <c r="M384" s="12" t="str">
        <f>IFERROR(__xludf.DUMMYFUNCTION("""COMPUTED_VALUE"""),"Working")</f>
        <v>Working</v>
      </c>
      <c r="N384" s="12" t="str">
        <f>IFERROR(__xludf.DUMMYFUNCTION("""COMPUTED_VALUE"""),"LOAD PENDING")</f>
        <v>LOAD PENDING</v>
      </c>
      <c r="O384" s="12" t="str">
        <f>IFERROR(__xludf.DUMMYFUNCTION("""COMPUTED_VALUE"""),"CORRECT")</f>
        <v>CORRECT</v>
      </c>
      <c r="P384" s="12" t="str">
        <f t="shared" si="2"/>
        <v/>
      </c>
      <c r="Q384" s="12" t="str">
        <f t="shared" si="3"/>
        <v>Extra Lab Load Alloted</v>
      </c>
    </row>
    <row r="385">
      <c r="A385" s="1">
        <v>384.0</v>
      </c>
      <c r="B385" s="1" t="s">
        <v>1453</v>
      </c>
      <c r="C385" s="1" t="s">
        <v>271</v>
      </c>
      <c r="D385" s="1" t="s">
        <v>1454</v>
      </c>
      <c r="E385" s="12" t="str">
        <f t="shared" si="1"/>
        <v>Mr.RAMAKRISHNAN A</v>
      </c>
      <c r="F385" s="13" t="s">
        <v>1371</v>
      </c>
      <c r="G385" s="12" t="s">
        <v>274</v>
      </c>
      <c r="H385" s="12" t="s">
        <v>1455</v>
      </c>
      <c r="I38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Col2='""&amp;B385&amp;""'"",0)"),2.0)</f>
        <v>2</v>
      </c>
      <c r="J385" s="12">
        <f>IFERROR(__xludf.DUMMYFUNCTION("""COMPUTED_VALUE"""),2.0)</f>
        <v>2</v>
      </c>
      <c r="K385" s="12">
        <f>IFERROR(__xludf.DUMMYFUNCTION("""COMPUTED_VALUE"""),2.0)</f>
        <v>2</v>
      </c>
      <c r="L385" s="12">
        <f>IFERROR(__xludf.DUMMYFUNCTION("""COMPUTED_VALUE"""),1.0)</f>
        <v>1</v>
      </c>
      <c r="M385" s="12" t="str">
        <f>IFERROR(__xludf.DUMMYFUNCTION("""COMPUTED_VALUE"""),"Working")</f>
        <v>Working</v>
      </c>
      <c r="N385" s="12" t="str">
        <f>IFERROR(__xludf.DUMMYFUNCTION("""COMPUTED_VALUE"""),"CORRECT")</f>
        <v>CORRECT</v>
      </c>
      <c r="O385" s="12" t="str">
        <f>IFERROR(__xludf.DUMMYFUNCTION("""COMPUTED_VALUE"""),"LOAD PENDING")</f>
        <v>LOAD PENDING</v>
      </c>
      <c r="P385" s="12" t="str">
        <f t="shared" si="2"/>
        <v/>
      </c>
      <c r="Q385" s="12" t="str">
        <f t="shared" si="3"/>
        <v/>
      </c>
    </row>
    <row r="386">
      <c r="A386" s="1">
        <v>385.0</v>
      </c>
      <c r="B386" s="1" t="s">
        <v>1456</v>
      </c>
      <c r="C386" s="1" t="s">
        <v>271</v>
      </c>
      <c r="D386" s="1" t="s">
        <v>1457</v>
      </c>
      <c r="E386" s="12" t="str">
        <f t="shared" si="1"/>
        <v>Mr.SAKTHIVEL MURUGAN E</v>
      </c>
      <c r="F386" s="13" t="s">
        <v>1371</v>
      </c>
      <c r="G386" s="12" t="s">
        <v>274</v>
      </c>
      <c r="H386" s="12" t="s">
        <v>1458</v>
      </c>
      <c r="I38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Col2='""&amp;B386&amp;""'"",0)"),2.0)</f>
        <v>2</v>
      </c>
      <c r="J386" s="12">
        <f>IFERROR(__xludf.DUMMYFUNCTION("""COMPUTED_VALUE"""),2.0)</f>
        <v>2</v>
      </c>
      <c r="K386" s="12">
        <f>IFERROR(__xludf.DUMMYFUNCTION("""COMPUTED_VALUE"""),1.0)</f>
        <v>1</v>
      </c>
      <c r="L386" s="12">
        <f>IFERROR(__xludf.DUMMYFUNCTION("""COMPUTED_VALUE"""),2.0)</f>
        <v>2</v>
      </c>
      <c r="M386" s="12" t="str">
        <f>IFERROR(__xludf.DUMMYFUNCTION("""COMPUTED_VALUE"""),"Working")</f>
        <v>Working</v>
      </c>
      <c r="N386" s="12" t="str">
        <f>IFERROR(__xludf.DUMMYFUNCTION("""COMPUTED_VALUE"""),"LOAD PENDING")</f>
        <v>LOAD PENDING</v>
      </c>
      <c r="O386" s="12" t="str">
        <f>IFERROR(__xludf.DUMMYFUNCTION("""COMPUTED_VALUE"""),"CORRECT")</f>
        <v>CORRECT</v>
      </c>
      <c r="P386" s="12" t="str">
        <f t="shared" si="2"/>
        <v/>
      </c>
      <c r="Q386" s="12" t="str">
        <f t="shared" si="3"/>
        <v/>
      </c>
    </row>
    <row r="387">
      <c r="A387" s="1">
        <v>386.0</v>
      </c>
      <c r="B387" s="1" t="s">
        <v>1459</v>
      </c>
      <c r="C387" s="1" t="s">
        <v>277</v>
      </c>
      <c r="D387" s="1" t="s">
        <v>1460</v>
      </c>
      <c r="E387" s="12" t="str">
        <f t="shared" si="1"/>
        <v>Dr.TAJDEEN A</v>
      </c>
      <c r="F387" s="13" t="s">
        <v>1371</v>
      </c>
      <c r="G387" s="12" t="s">
        <v>274</v>
      </c>
      <c r="H387" s="12" t="s">
        <v>1461</v>
      </c>
      <c r="I38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Col2='""&amp;B387&amp;""'"",0)"),1.0)</f>
        <v>1</v>
      </c>
      <c r="J387" s="12">
        <f>IFERROR(__xludf.DUMMYFUNCTION("""COMPUTED_VALUE"""),0.0)</f>
        <v>0</v>
      </c>
      <c r="K387" s="12">
        <f>IFERROR(__xludf.DUMMYFUNCTION("""COMPUTED_VALUE"""),1.0)</f>
        <v>1</v>
      </c>
      <c r="L387" s="12">
        <f>IFERROR(__xludf.DUMMYFUNCTION("""COMPUTED_VALUE"""),0.0)</f>
        <v>0</v>
      </c>
      <c r="M387" s="12" t="str">
        <f>IFERROR(__xludf.DUMMYFUNCTION("""COMPUTED_VALUE"""),"Working")</f>
        <v>Working</v>
      </c>
      <c r="N387" s="12" t="str">
        <f>IFERROR(__xludf.DUMMYFUNCTION("""COMPUTED_VALUE"""),"CORRECT")</f>
        <v>CORRECT</v>
      </c>
      <c r="O387" s="12" t="str">
        <f>IFERROR(__xludf.DUMMYFUNCTION("""COMPUTED_VALUE"""),"CORRECT")</f>
        <v>CORRECT</v>
      </c>
      <c r="P387" s="12" t="str">
        <f t="shared" si="2"/>
        <v/>
      </c>
      <c r="Q387" s="12" t="str">
        <f t="shared" si="3"/>
        <v/>
      </c>
    </row>
    <row r="388">
      <c r="A388" s="1">
        <v>387.0</v>
      </c>
      <c r="B388" s="1" t="s">
        <v>1462</v>
      </c>
      <c r="C388" s="1" t="s">
        <v>277</v>
      </c>
      <c r="D388" s="1" t="s">
        <v>1463</v>
      </c>
      <c r="E388" s="12" t="str">
        <f t="shared" si="1"/>
        <v>Dr.PARASURAMAN P</v>
      </c>
      <c r="F388" s="13" t="s">
        <v>1464</v>
      </c>
      <c r="G388" s="12" t="s">
        <v>274</v>
      </c>
      <c r="H388" s="12" t="s">
        <v>1465</v>
      </c>
      <c r="I38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Col2='""&amp;B388&amp;""'"",0)"),2.0)</f>
        <v>2</v>
      </c>
      <c r="J388" s="12">
        <f>IFERROR(__xludf.DUMMYFUNCTION("""COMPUTED_VALUE"""),2.0)</f>
        <v>2</v>
      </c>
      <c r="K388" s="12">
        <f>IFERROR(__xludf.DUMMYFUNCTION("""COMPUTED_VALUE"""),2.0)</f>
        <v>2</v>
      </c>
      <c r="L388" s="12">
        <f>IFERROR(__xludf.DUMMYFUNCTION("""COMPUTED_VALUE"""),2.0)</f>
        <v>2</v>
      </c>
      <c r="M388" s="12" t="str">
        <f>IFERROR(__xludf.DUMMYFUNCTION("""COMPUTED_VALUE"""),"Working")</f>
        <v>Working</v>
      </c>
      <c r="N388" s="12" t="str">
        <f>IFERROR(__xludf.DUMMYFUNCTION("""COMPUTED_VALUE"""),"CORRECT")</f>
        <v>CORRECT</v>
      </c>
      <c r="O388" s="12" t="str">
        <f>IFERROR(__xludf.DUMMYFUNCTION("""COMPUTED_VALUE"""),"CORRECT")</f>
        <v>CORRECT</v>
      </c>
      <c r="P388" s="12" t="str">
        <f t="shared" si="2"/>
        <v/>
      </c>
      <c r="Q388" s="12" t="str">
        <f t="shared" si="3"/>
        <v/>
      </c>
    </row>
    <row r="389">
      <c r="A389" s="1">
        <v>388.0</v>
      </c>
      <c r="B389" s="1" t="s">
        <v>1466</v>
      </c>
      <c r="C389" s="1" t="s">
        <v>277</v>
      </c>
      <c r="D389" s="1" t="s">
        <v>1467</v>
      </c>
      <c r="E389" s="12" t="str">
        <f t="shared" si="1"/>
        <v>Dr.ASHOKAN S</v>
      </c>
      <c r="F389" s="13" t="s">
        <v>1464</v>
      </c>
      <c r="G389" s="12" t="s">
        <v>274</v>
      </c>
      <c r="H389" s="12" t="s">
        <v>1468</v>
      </c>
      <c r="I38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Col2='""&amp;B389&amp;""'"",0)"),2.0)</f>
        <v>2</v>
      </c>
      <c r="J389" s="12">
        <f>IFERROR(__xludf.DUMMYFUNCTION("""COMPUTED_VALUE"""),2.0)</f>
        <v>2</v>
      </c>
      <c r="K389" s="12">
        <f>IFERROR(__xludf.DUMMYFUNCTION("""COMPUTED_VALUE"""),2.0)</f>
        <v>2</v>
      </c>
      <c r="L389" s="12">
        <f>IFERROR(__xludf.DUMMYFUNCTION("""COMPUTED_VALUE"""),1.0)</f>
        <v>1</v>
      </c>
      <c r="M389" s="12" t="str">
        <f>IFERROR(__xludf.DUMMYFUNCTION("""COMPUTED_VALUE"""),"Working")</f>
        <v>Working</v>
      </c>
      <c r="N389" s="12" t="str">
        <f>IFERROR(__xludf.DUMMYFUNCTION("""COMPUTED_VALUE"""),"CORRECT")</f>
        <v>CORRECT</v>
      </c>
      <c r="O389" s="12" t="str">
        <f>IFERROR(__xludf.DUMMYFUNCTION("""COMPUTED_VALUE"""),"LOAD PENDING")</f>
        <v>LOAD PENDING</v>
      </c>
      <c r="P389" s="12" t="str">
        <f t="shared" si="2"/>
        <v/>
      </c>
      <c r="Q389" s="12" t="str">
        <f t="shared" si="3"/>
        <v/>
      </c>
    </row>
    <row r="390">
      <c r="A390" s="1">
        <v>389.0</v>
      </c>
      <c r="B390" s="1" t="s">
        <v>1469</v>
      </c>
      <c r="C390" s="1" t="s">
        <v>277</v>
      </c>
      <c r="D390" s="1" t="s">
        <v>1470</v>
      </c>
      <c r="E390" s="12" t="str">
        <f t="shared" si="1"/>
        <v>Dr.SELVAKUMAR K</v>
      </c>
      <c r="F390" s="13" t="s">
        <v>1464</v>
      </c>
      <c r="G390" s="12" t="s">
        <v>274</v>
      </c>
      <c r="H390" s="12" t="s">
        <v>1471</v>
      </c>
      <c r="I39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Col2='""&amp;B390&amp;""'"",0)"),2.0)</f>
        <v>2</v>
      </c>
      <c r="J390" s="12">
        <f>IFERROR(__xludf.DUMMYFUNCTION("""COMPUTED_VALUE"""),2.0)</f>
        <v>2</v>
      </c>
      <c r="K390" s="12">
        <f>IFERROR(__xludf.DUMMYFUNCTION("""COMPUTED_VALUE"""),2.0)</f>
        <v>2</v>
      </c>
      <c r="L390" s="12">
        <f>IFERROR(__xludf.DUMMYFUNCTION("""COMPUTED_VALUE"""),2.0)</f>
        <v>2</v>
      </c>
      <c r="M390" s="12" t="str">
        <f>IFERROR(__xludf.DUMMYFUNCTION("""COMPUTED_VALUE"""),"Working")</f>
        <v>Working</v>
      </c>
      <c r="N390" s="12" t="str">
        <f>IFERROR(__xludf.DUMMYFUNCTION("""COMPUTED_VALUE"""),"CORRECT")</f>
        <v>CORRECT</v>
      </c>
      <c r="O390" s="12" t="str">
        <f>IFERROR(__xludf.DUMMYFUNCTION("""COMPUTED_VALUE"""),"CORRECT")</f>
        <v>CORRECT</v>
      </c>
      <c r="P390" s="12" t="str">
        <f t="shared" si="2"/>
        <v/>
      </c>
      <c r="Q390" s="12" t="str">
        <f t="shared" si="3"/>
        <v/>
      </c>
    </row>
    <row r="391">
      <c r="A391" s="1">
        <v>390.0</v>
      </c>
      <c r="B391" s="1" t="s">
        <v>1472</v>
      </c>
      <c r="C391" s="1" t="s">
        <v>277</v>
      </c>
      <c r="D391" s="1" t="s">
        <v>1473</v>
      </c>
      <c r="E391" s="12" t="str">
        <f t="shared" si="1"/>
        <v>Dr.THIRUMOORTHY M</v>
      </c>
      <c r="F391" s="13" t="s">
        <v>1464</v>
      </c>
      <c r="G391" s="12" t="s">
        <v>274</v>
      </c>
      <c r="H391" s="12" t="s">
        <v>1474</v>
      </c>
      <c r="I39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Col2='""&amp;B391&amp;""'"",0)"),2.0)</f>
        <v>2</v>
      </c>
      <c r="J391" s="12">
        <f>IFERROR(__xludf.DUMMYFUNCTION("""COMPUTED_VALUE"""),2.0)</f>
        <v>2</v>
      </c>
      <c r="K391" s="12">
        <f>IFERROR(__xludf.DUMMYFUNCTION("""COMPUTED_VALUE"""),2.0)</f>
        <v>2</v>
      </c>
      <c r="L391" s="12">
        <f>IFERROR(__xludf.DUMMYFUNCTION("""COMPUTED_VALUE"""),2.0)</f>
        <v>2</v>
      </c>
      <c r="M391" s="12" t="str">
        <f>IFERROR(__xludf.DUMMYFUNCTION("""COMPUTED_VALUE"""),"Working")</f>
        <v>Working</v>
      </c>
      <c r="N391" s="12" t="str">
        <f>IFERROR(__xludf.DUMMYFUNCTION("""COMPUTED_VALUE"""),"CORRECT")</f>
        <v>CORRECT</v>
      </c>
      <c r="O391" s="12" t="str">
        <f>IFERROR(__xludf.DUMMYFUNCTION("""COMPUTED_VALUE"""),"CORRECT")</f>
        <v>CORRECT</v>
      </c>
      <c r="P391" s="12" t="str">
        <f t="shared" si="2"/>
        <v/>
      </c>
      <c r="Q391" s="12" t="str">
        <f t="shared" si="3"/>
        <v/>
      </c>
    </row>
    <row r="392">
      <c r="A392" s="1">
        <v>391.0</v>
      </c>
      <c r="B392" s="1" t="s">
        <v>1475</v>
      </c>
      <c r="C392" s="1" t="s">
        <v>277</v>
      </c>
      <c r="D392" s="1" t="s">
        <v>1476</v>
      </c>
      <c r="E392" s="12" t="str">
        <f t="shared" si="1"/>
        <v>Dr.SADASIVAM K</v>
      </c>
      <c r="F392" s="13" t="s">
        <v>1464</v>
      </c>
      <c r="G392" s="12" t="s">
        <v>283</v>
      </c>
      <c r="H392" s="12" t="s">
        <v>1477</v>
      </c>
      <c r="I39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Col2='""&amp;B392&amp;""'"",0)"),1.0)</f>
        <v>1</v>
      </c>
      <c r="J392" s="12">
        <f>IFERROR(__xludf.DUMMYFUNCTION("""COMPUTED_VALUE"""),0.0)</f>
        <v>0</v>
      </c>
      <c r="K392" s="12">
        <f>IFERROR(__xludf.DUMMYFUNCTION("""COMPUTED_VALUE"""),1.0)</f>
        <v>1</v>
      </c>
      <c r="L392" s="12">
        <f>IFERROR(__xludf.DUMMYFUNCTION("""COMPUTED_VALUE"""),1.0)</f>
        <v>1</v>
      </c>
      <c r="M392" s="12" t="str">
        <f>IFERROR(__xludf.DUMMYFUNCTION("""COMPUTED_VALUE"""),"Working")</f>
        <v>Working</v>
      </c>
      <c r="N392" s="12" t="str">
        <f>IFERROR(__xludf.DUMMYFUNCTION("""COMPUTED_VALUE"""),"CORRECT")</f>
        <v>CORRECT</v>
      </c>
      <c r="O392" s="12" t="str">
        <f>IFERROR(__xludf.DUMMYFUNCTION("""COMPUTED_VALUE"""),"CORRECT")</f>
        <v>CORRECT</v>
      </c>
      <c r="P392" s="12" t="str">
        <f t="shared" si="2"/>
        <v/>
      </c>
      <c r="Q392" s="12" t="str">
        <f t="shared" si="3"/>
        <v>Extra Lab Load Alloted</v>
      </c>
    </row>
    <row r="393">
      <c r="A393" s="1">
        <v>392.0</v>
      </c>
      <c r="B393" s="1" t="s">
        <v>1478</v>
      </c>
      <c r="C393" s="1" t="s">
        <v>277</v>
      </c>
      <c r="D393" s="1" t="s">
        <v>1479</v>
      </c>
      <c r="E393" s="12" t="str">
        <f t="shared" si="1"/>
        <v>Dr.VANITHA K</v>
      </c>
      <c r="F393" s="13" t="s">
        <v>1464</v>
      </c>
      <c r="G393" s="12" t="s">
        <v>274</v>
      </c>
      <c r="H393" s="12" t="s">
        <v>1480</v>
      </c>
      <c r="I39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Col2='""&amp;B393&amp;""'"",0)"),2.0)</f>
        <v>2</v>
      </c>
      <c r="J393" s="12">
        <f>IFERROR(__xludf.DUMMYFUNCTION("""COMPUTED_VALUE"""),2.0)</f>
        <v>2</v>
      </c>
      <c r="K393" s="12">
        <f>IFERROR(__xludf.DUMMYFUNCTION("""COMPUTED_VALUE"""),2.0)</f>
        <v>2</v>
      </c>
      <c r="L393" s="12">
        <f>IFERROR(__xludf.DUMMYFUNCTION("""COMPUTED_VALUE"""),2.0)</f>
        <v>2</v>
      </c>
      <c r="M393" s="12" t="str">
        <f>IFERROR(__xludf.DUMMYFUNCTION("""COMPUTED_VALUE"""),"Working")</f>
        <v>Working</v>
      </c>
      <c r="N393" s="12" t="str">
        <f>IFERROR(__xludf.DUMMYFUNCTION("""COMPUTED_VALUE"""),"CORRECT")</f>
        <v>CORRECT</v>
      </c>
      <c r="O393" s="12" t="str">
        <f>IFERROR(__xludf.DUMMYFUNCTION("""COMPUTED_VALUE"""),"CORRECT")</f>
        <v>CORRECT</v>
      </c>
      <c r="P393" s="12" t="str">
        <f t="shared" si="2"/>
        <v/>
      </c>
      <c r="Q393" s="12" t="str">
        <f t="shared" si="3"/>
        <v/>
      </c>
    </row>
    <row r="394">
      <c r="A394" s="1">
        <v>393.0</v>
      </c>
      <c r="B394" s="1" t="s">
        <v>1481</v>
      </c>
      <c r="C394" s="1" t="s">
        <v>277</v>
      </c>
      <c r="D394" s="1" t="s">
        <v>1482</v>
      </c>
      <c r="E394" s="12" t="str">
        <f t="shared" si="1"/>
        <v>Dr.SUNDARAM S</v>
      </c>
      <c r="F394" s="13" t="s">
        <v>1464</v>
      </c>
      <c r="G394" s="12" t="s">
        <v>291</v>
      </c>
      <c r="H394" s="12" t="s">
        <v>1483</v>
      </c>
      <c r="I39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Col2='""&amp;B394&amp;""'"",0)"),2.0)</f>
        <v>2</v>
      </c>
      <c r="J394" s="12">
        <f>IFERROR(__xludf.DUMMYFUNCTION("""COMPUTED_VALUE"""),2.0)</f>
        <v>2</v>
      </c>
      <c r="K394" s="12">
        <f>IFERROR(__xludf.DUMMYFUNCTION("""COMPUTED_VALUE"""),2.0)</f>
        <v>2</v>
      </c>
      <c r="L394" s="12">
        <f>IFERROR(__xludf.DUMMYFUNCTION("""COMPUTED_VALUE"""),2.0)</f>
        <v>2</v>
      </c>
      <c r="M394" s="12" t="str">
        <f>IFERROR(__xludf.DUMMYFUNCTION("""COMPUTED_VALUE"""),"Working")</f>
        <v>Working</v>
      </c>
      <c r="N394" s="12" t="str">
        <f>IFERROR(__xludf.DUMMYFUNCTION("""COMPUTED_VALUE"""),"CORRECT")</f>
        <v>CORRECT</v>
      </c>
      <c r="O394" s="12" t="str">
        <f>IFERROR(__xludf.DUMMYFUNCTION("""COMPUTED_VALUE"""),"CORRECT")</f>
        <v>CORRECT</v>
      </c>
      <c r="P394" s="12" t="str">
        <f t="shared" si="2"/>
        <v/>
      </c>
      <c r="Q394" s="12" t="str">
        <f t="shared" si="3"/>
        <v/>
      </c>
    </row>
    <row r="395">
      <c r="A395" s="1">
        <v>394.0</v>
      </c>
      <c r="B395" s="1" t="s">
        <v>1484</v>
      </c>
      <c r="C395" s="1" t="s">
        <v>277</v>
      </c>
      <c r="D395" s="1" t="s">
        <v>1485</v>
      </c>
      <c r="E395" s="12" t="str">
        <f t="shared" si="1"/>
        <v>Dr.ANANDHA BABU G</v>
      </c>
      <c r="F395" s="13" t="s">
        <v>1464</v>
      </c>
      <c r="G395" s="12" t="s">
        <v>291</v>
      </c>
      <c r="H395" s="12" t="s">
        <v>1486</v>
      </c>
      <c r="I39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Col2='""&amp;B395&amp;""'"",0)"),2.0)</f>
        <v>2</v>
      </c>
      <c r="J395" s="12">
        <f>IFERROR(__xludf.DUMMYFUNCTION("""COMPUTED_VALUE"""),2.0)</f>
        <v>2</v>
      </c>
      <c r="K395" s="12">
        <f>IFERROR(__xludf.DUMMYFUNCTION("""COMPUTED_VALUE"""),2.0)</f>
        <v>2</v>
      </c>
      <c r="L395" s="12">
        <f>IFERROR(__xludf.DUMMYFUNCTION("""COMPUTED_VALUE"""),2.0)</f>
        <v>2</v>
      </c>
      <c r="M395" s="12" t="str">
        <f>IFERROR(__xludf.DUMMYFUNCTION("""COMPUTED_VALUE"""),"Working")</f>
        <v>Working</v>
      </c>
      <c r="N395" s="12" t="str">
        <f>IFERROR(__xludf.DUMMYFUNCTION("""COMPUTED_VALUE"""),"CORRECT")</f>
        <v>CORRECT</v>
      </c>
      <c r="O395" s="12" t="str">
        <f>IFERROR(__xludf.DUMMYFUNCTION("""COMPUTED_VALUE"""),"CORRECT")</f>
        <v>CORRECT</v>
      </c>
      <c r="P395" s="12" t="str">
        <f t="shared" si="2"/>
        <v/>
      </c>
      <c r="Q395" s="12" t="str">
        <f t="shared" si="3"/>
        <v/>
      </c>
    </row>
    <row r="396">
      <c r="A396" s="1">
        <v>395.0</v>
      </c>
      <c r="B396" s="1" t="s">
        <v>1487</v>
      </c>
      <c r="C396" s="1" t="s">
        <v>277</v>
      </c>
      <c r="D396" s="1" t="s">
        <v>1488</v>
      </c>
      <c r="E396" s="12" t="str">
        <f t="shared" si="1"/>
        <v>Dr.GOPI G</v>
      </c>
      <c r="F396" s="13" t="s">
        <v>1464</v>
      </c>
      <c r="G396" s="12" t="s">
        <v>301</v>
      </c>
      <c r="H396" s="12" t="s">
        <v>1489</v>
      </c>
      <c r="I39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Col2='""&amp;B396&amp;""'"",0)"),2.0)</f>
        <v>2</v>
      </c>
      <c r="J396" s="12">
        <f>IFERROR(__xludf.DUMMYFUNCTION("""COMPUTED_VALUE"""),2.0)</f>
        <v>2</v>
      </c>
      <c r="K396" s="12">
        <f>IFERROR(__xludf.DUMMYFUNCTION("""COMPUTED_VALUE"""),2.0)</f>
        <v>2</v>
      </c>
      <c r="L396" s="12">
        <f>IFERROR(__xludf.DUMMYFUNCTION("""COMPUTED_VALUE"""),2.0)</f>
        <v>2</v>
      </c>
      <c r="M396" s="12" t="str">
        <f>IFERROR(__xludf.DUMMYFUNCTION("""COMPUTED_VALUE"""),"Working")</f>
        <v>Working</v>
      </c>
      <c r="N396" s="12" t="str">
        <f>IFERROR(__xludf.DUMMYFUNCTION("""COMPUTED_VALUE"""),"CORRECT")</f>
        <v>CORRECT</v>
      </c>
      <c r="O396" s="12" t="str">
        <f>IFERROR(__xludf.DUMMYFUNCTION("""COMPUTED_VALUE"""),"CORRECT")</f>
        <v>CORRECT</v>
      </c>
      <c r="P396" s="12" t="str">
        <f t="shared" si="2"/>
        <v/>
      </c>
      <c r="Q396" s="12" t="str">
        <f t="shared" si="3"/>
        <v/>
      </c>
    </row>
    <row r="397">
      <c r="A397" s="1">
        <v>396.0</v>
      </c>
      <c r="B397" s="1" t="s">
        <v>1490</v>
      </c>
      <c r="C397" s="1" t="s">
        <v>277</v>
      </c>
      <c r="D397" s="1" t="s">
        <v>1491</v>
      </c>
      <c r="E397" s="12" t="str">
        <f t="shared" si="1"/>
        <v>Dr.SIVA G</v>
      </c>
      <c r="F397" s="13" t="s">
        <v>1464</v>
      </c>
      <c r="G397" s="12" t="s">
        <v>291</v>
      </c>
      <c r="H397" s="12" t="s">
        <v>1492</v>
      </c>
      <c r="I39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Col2='""&amp;B397&amp;""'"",0)"),2.0)</f>
        <v>2</v>
      </c>
      <c r="J397" s="12">
        <f>IFERROR(__xludf.DUMMYFUNCTION("""COMPUTED_VALUE"""),2.0)</f>
        <v>2</v>
      </c>
      <c r="K397" s="12">
        <f>IFERROR(__xludf.DUMMYFUNCTION("""COMPUTED_VALUE"""),1.0)</f>
        <v>1</v>
      </c>
      <c r="L397" s="12">
        <f>IFERROR(__xludf.DUMMYFUNCTION("""COMPUTED_VALUE"""),2.0)</f>
        <v>2</v>
      </c>
      <c r="M397" s="12" t="str">
        <f>IFERROR(__xludf.DUMMYFUNCTION("""COMPUTED_VALUE"""),"Working")</f>
        <v>Working</v>
      </c>
      <c r="N397" s="12" t="str">
        <f>IFERROR(__xludf.DUMMYFUNCTION("""COMPUTED_VALUE"""),"LOAD PENDING")</f>
        <v>LOAD PENDING</v>
      </c>
      <c r="O397" s="12" t="str">
        <f>IFERROR(__xludf.DUMMYFUNCTION("""COMPUTED_VALUE"""),"CORRECT")</f>
        <v>CORRECT</v>
      </c>
      <c r="P397" s="12" t="str">
        <f t="shared" si="2"/>
        <v/>
      </c>
      <c r="Q397" s="12" t="str">
        <f t="shared" si="3"/>
        <v/>
      </c>
    </row>
    <row r="398">
      <c r="A398" s="1">
        <v>397.0</v>
      </c>
      <c r="B398" s="1" t="s">
        <v>1493</v>
      </c>
      <c r="C398" s="1" t="s">
        <v>277</v>
      </c>
      <c r="D398" s="1" t="s">
        <v>1494</v>
      </c>
      <c r="E398" s="12" t="str">
        <f t="shared" si="1"/>
        <v>Dr.BASKARAN P</v>
      </c>
      <c r="F398" s="13" t="s">
        <v>1464</v>
      </c>
      <c r="G398" s="12" t="s">
        <v>301</v>
      </c>
      <c r="H398" s="12" t="s">
        <v>1495</v>
      </c>
      <c r="I39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Col2='""&amp;B398&amp;""'"",0)"),2.0)</f>
        <v>2</v>
      </c>
      <c r="J398" s="12">
        <f>IFERROR(__xludf.DUMMYFUNCTION("""COMPUTED_VALUE"""),2.0)</f>
        <v>2</v>
      </c>
      <c r="K398" s="12">
        <f>IFERROR(__xludf.DUMMYFUNCTION("""COMPUTED_VALUE"""),2.0)</f>
        <v>2</v>
      </c>
      <c r="L398" s="12">
        <f>IFERROR(__xludf.DUMMYFUNCTION("""COMPUTED_VALUE"""),2.0)</f>
        <v>2</v>
      </c>
      <c r="M398" s="12" t="str">
        <f>IFERROR(__xludf.DUMMYFUNCTION("""COMPUTED_VALUE"""),"Working")</f>
        <v>Working</v>
      </c>
      <c r="N398" s="12" t="str">
        <f>IFERROR(__xludf.DUMMYFUNCTION("""COMPUTED_VALUE"""),"CORRECT")</f>
        <v>CORRECT</v>
      </c>
      <c r="O398" s="12" t="str">
        <f>IFERROR(__xludf.DUMMYFUNCTION("""COMPUTED_VALUE"""),"CORRECT")</f>
        <v>CORRECT</v>
      </c>
      <c r="P398" s="12" t="str">
        <f t="shared" si="2"/>
        <v/>
      </c>
      <c r="Q398" s="12" t="str">
        <f t="shared" si="3"/>
        <v/>
      </c>
    </row>
    <row r="399">
      <c r="A399" s="1">
        <v>398.0</v>
      </c>
      <c r="B399" s="1" t="s">
        <v>1496</v>
      </c>
      <c r="C399" s="1" t="s">
        <v>277</v>
      </c>
      <c r="D399" s="1" t="s">
        <v>1497</v>
      </c>
      <c r="E399" s="12" t="str">
        <f t="shared" si="1"/>
        <v>Dr.PRIYADHARSINI A</v>
      </c>
      <c r="F399" s="13" t="s">
        <v>1464</v>
      </c>
      <c r="G399" s="12" t="s">
        <v>301</v>
      </c>
      <c r="H399" s="12" t="s">
        <v>1498</v>
      </c>
      <c r="I39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Col2='""&amp;B399&amp;""'"",0)"),2.0)</f>
        <v>2</v>
      </c>
      <c r="J399" s="12">
        <f>IFERROR(__xludf.DUMMYFUNCTION("""COMPUTED_VALUE"""),2.0)</f>
        <v>2</v>
      </c>
      <c r="K399" s="12">
        <f>IFERROR(__xludf.DUMMYFUNCTION("""COMPUTED_VALUE"""),2.0)</f>
        <v>2</v>
      </c>
      <c r="L399" s="12">
        <f>IFERROR(__xludf.DUMMYFUNCTION("""COMPUTED_VALUE"""),2.0)</f>
        <v>2</v>
      </c>
      <c r="M399" s="12" t="str">
        <f>IFERROR(__xludf.DUMMYFUNCTION("""COMPUTED_VALUE"""),"Working")</f>
        <v>Working</v>
      </c>
      <c r="N399" s="12" t="str">
        <f>IFERROR(__xludf.DUMMYFUNCTION("""COMPUTED_VALUE"""),"CORRECT")</f>
        <v>CORRECT</v>
      </c>
      <c r="O399" s="12" t="str">
        <f>IFERROR(__xludf.DUMMYFUNCTION("""COMPUTED_VALUE"""),"CORRECT")</f>
        <v>CORRECT</v>
      </c>
      <c r="P399" s="12" t="str">
        <f t="shared" si="2"/>
        <v/>
      </c>
      <c r="Q399" s="12" t="str">
        <f t="shared" si="3"/>
        <v/>
      </c>
    </row>
    <row r="400">
      <c r="A400" s="1">
        <v>399.0</v>
      </c>
      <c r="B400" s="1" t="s">
        <v>1499</v>
      </c>
      <c r="C400" s="1" t="s">
        <v>277</v>
      </c>
      <c r="D400" s="1" t="s">
        <v>1500</v>
      </c>
      <c r="E400" s="12" t="str">
        <f t="shared" si="1"/>
        <v>Dr.SANGEETHA K</v>
      </c>
      <c r="F400" s="13" t="s">
        <v>1464</v>
      </c>
      <c r="G400" s="12" t="s">
        <v>274</v>
      </c>
      <c r="H400" s="12" t="s">
        <v>1501</v>
      </c>
      <c r="I40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Col2='""&amp;B400&amp;""'"",0)"),2.0)</f>
        <v>2</v>
      </c>
      <c r="J400" s="12">
        <f>IFERROR(__xludf.DUMMYFUNCTION("""COMPUTED_VALUE"""),2.0)</f>
        <v>2</v>
      </c>
      <c r="K400" s="12">
        <f>IFERROR(__xludf.DUMMYFUNCTION("""COMPUTED_VALUE"""),2.0)</f>
        <v>2</v>
      </c>
      <c r="L400" s="12">
        <f>IFERROR(__xludf.DUMMYFUNCTION("""COMPUTED_VALUE"""),2.0)</f>
        <v>2</v>
      </c>
      <c r="M400" s="12" t="str">
        <f>IFERROR(__xludf.DUMMYFUNCTION("""COMPUTED_VALUE"""),"Working")</f>
        <v>Working</v>
      </c>
      <c r="N400" s="12" t="str">
        <f>IFERROR(__xludf.DUMMYFUNCTION("""COMPUTED_VALUE"""),"CORRECT")</f>
        <v>CORRECT</v>
      </c>
      <c r="O400" s="12" t="str">
        <f>IFERROR(__xludf.DUMMYFUNCTION("""COMPUTED_VALUE"""),"CORRECT")</f>
        <v>CORRECT</v>
      </c>
      <c r="P400" s="12" t="str">
        <f t="shared" si="2"/>
        <v/>
      </c>
      <c r="Q400" s="12" t="str">
        <f t="shared" si="3"/>
        <v/>
      </c>
    </row>
    <row r="401">
      <c r="A401" s="1">
        <v>400.0</v>
      </c>
      <c r="B401" s="1" t="s">
        <v>1502</v>
      </c>
      <c r="C401" s="1" t="s">
        <v>277</v>
      </c>
      <c r="D401" s="1" t="s">
        <v>1503</v>
      </c>
      <c r="E401" s="12" t="str">
        <f t="shared" si="1"/>
        <v>Dr.VIJAYAKUMAR V N</v>
      </c>
      <c r="F401" s="13" t="s">
        <v>1464</v>
      </c>
      <c r="G401" s="12" t="s">
        <v>283</v>
      </c>
      <c r="H401" s="12" t="s">
        <v>1504</v>
      </c>
      <c r="I40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Col2='""&amp;B401&amp;""'"",0)"),1.0)</f>
        <v>1</v>
      </c>
      <c r="J401" s="12">
        <f>IFERROR(__xludf.DUMMYFUNCTION("""COMPUTED_VALUE"""),1.0)</f>
        <v>1</v>
      </c>
      <c r="K401" s="12">
        <f>IFERROR(__xludf.DUMMYFUNCTION("""COMPUTED_VALUE"""),2.0)</f>
        <v>2</v>
      </c>
      <c r="L401" s="12">
        <f>IFERROR(__xludf.DUMMYFUNCTION("""COMPUTED_VALUE"""),2.0)</f>
        <v>2</v>
      </c>
      <c r="M401" s="12" t="str">
        <f>IFERROR(__xludf.DUMMYFUNCTION("""COMPUTED_VALUE"""),"Working")</f>
        <v>Working</v>
      </c>
      <c r="N401" s="12" t="str">
        <f>IFERROR(__xludf.DUMMYFUNCTION("""COMPUTED_VALUE"""),"CORRECT")</f>
        <v>CORRECT</v>
      </c>
      <c r="O401" s="12" t="str">
        <f>IFERROR(__xludf.DUMMYFUNCTION("""COMPUTED_VALUE"""),"CORRECT")</f>
        <v>CORRECT</v>
      </c>
      <c r="P401" s="12" t="str">
        <f t="shared" si="2"/>
        <v>Extra Theory Load Alloted</v>
      </c>
      <c r="Q401" s="12" t="str">
        <f t="shared" si="3"/>
        <v>Extra Lab Load Alloted</v>
      </c>
    </row>
    <row r="402">
      <c r="A402" s="1">
        <v>401.0</v>
      </c>
      <c r="B402" s="1" t="s">
        <v>1505</v>
      </c>
      <c r="C402" s="1" t="s">
        <v>277</v>
      </c>
      <c r="D402" s="1" t="s">
        <v>1506</v>
      </c>
      <c r="E402" s="12" t="str">
        <f t="shared" si="1"/>
        <v>Dr.PONGALI SATHYA PRABU N</v>
      </c>
      <c r="F402" s="13" t="s">
        <v>1464</v>
      </c>
      <c r="G402" s="12" t="s">
        <v>279</v>
      </c>
      <c r="H402" s="12" t="s">
        <v>1507</v>
      </c>
      <c r="I40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Col2='""&amp;B402&amp;""'"",0)"),2.0)</f>
        <v>2</v>
      </c>
      <c r="J402" s="12">
        <f>IFERROR(__xludf.DUMMYFUNCTION("""COMPUTED_VALUE"""),1.0)</f>
        <v>1</v>
      </c>
      <c r="K402" s="12">
        <f>IFERROR(__xludf.DUMMYFUNCTION("""COMPUTED_VALUE"""),2.0)</f>
        <v>2</v>
      </c>
      <c r="L402" s="12">
        <f>IFERROR(__xludf.DUMMYFUNCTION("""COMPUTED_VALUE"""),2.0)</f>
        <v>2</v>
      </c>
      <c r="M402" s="12" t="str">
        <f>IFERROR(__xludf.DUMMYFUNCTION("""COMPUTED_VALUE"""),"Working")</f>
        <v>Working</v>
      </c>
      <c r="N402" s="12" t="str">
        <f>IFERROR(__xludf.DUMMYFUNCTION("""COMPUTED_VALUE"""),"CORRECT")</f>
        <v>CORRECT</v>
      </c>
      <c r="O402" s="12" t="str">
        <f>IFERROR(__xludf.DUMMYFUNCTION("""COMPUTED_VALUE"""),"CORRECT")</f>
        <v>CORRECT</v>
      </c>
      <c r="P402" s="12" t="str">
        <f t="shared" si="2"/>
        <v/>
      </c>
      <c r="Q402" s="12" t="str">
        <f t="shared" si="3"/>
        <v>Extra Lab Load Alloted</v>
      </c>
    </row>
    <row r="403">
      <c r="A403" s="1">
        <v>402.0</v>
      </c>
      <c r="B403" s="1" t="s">
        <v>1508</v>
      </c>
      <c r="C403" s="1" t="s">
        <v>277</v>
      </c>
      <c r="D403" s="1" t="s">
        <v>1509</v>
      </c>
      <c r="E403" s="12" t="str">
        <f t="shared" si="1"/>
        <v>Dr.ROHINI P</v>
      </c>
      <c r="F403" s="13" t="s">
        <v>1464</v>
      </c>
      <c r="G403" s="12" t="s">
        <v>274</v>
      </c>
      <c r="H403" s="12" t="s">
        <v>1510</v>
      </c>
      <c r="I40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Col2='""&amp;B403&amp;""'"",0)"),2.0)</f>
        <v>2</v>
      </c>
      <c r="J403" s="12">
        <f>IFERROR(__xludf.DUMMYFUNCTION("""COMPUTED_VALUE"""),2.0)</f>
        <v>2</v>
      </c>
      <c r="K403" s="12">
        <f>IFERROR(__xludf.DUMMYFUNCTION("""COMPUTED_VALUE"""),3.0)</f>
        <v>3</v>
      </c>
      <c r="L403" s="12">
        <f>IFERROR(__xludf.DUMMYFUNCTION("""COMPUTED_VALUE"""),3.0)</f>
        <v>3</v>
      </c>
      <c r="M403" s="12" t="str">
        <f>IFERROR(__xludf.DUMMYFUNCTION("""COMPUTED_VALUE"""),"Working")</f>
        <v>Working</v>
      </c>
      <c r="N403" s="12" t="str">
        <f>IFERROR(__xludf.DUMMYFUNCTION("""COMPUTED_VALUE"""),"CORRECT")</f>
        <v>CORRECT</v>
      </c>
      <c r="O403" s="12" t="str">
        <f>IFERROR(__xludf.DUMMYFUNCTION("""COMPUTED_VALUE"""),"CORRECT")</f>
        <v>CORRECT</v>
      </c>
      <c r="P403" s="12" t="str">
        <f t="shared" si="2"/>
        <v>Extra Theory Load Alloted</v>
      </c>
      <c r="Q403" s="12" t="str">
        <f t="shared" si="3"/>
        <v>Extra Lab Load Alloted</v>
      </c>
    </row>
    <row r="404">
      <c r="A404" s="1">
        <v>403.0</v>
      </c>
      <c r="B404" s="1" t="s">
        <v>1511</v>
      </c>
      <c r="C404" s="1" t="s">
        <v>286</v>
      </c>
      <c r="D404" s="1" t="s">
        <v>1512</v>
      </c>
      <c r="E404" s="12" t="str">
        <f t="shared" si="1"/>
        <v>Mrs.NANDHINI B</v>
      </c>
      <c r="F404" s="13" t="s">
        <v>1513</v>
      </c>
      <c r="G404" s="12" t="s">
        <v>291</v>
      </c>
      <c r="H404" s="12" t="s">
        <v>1514</v>
      </c>
      <c r="I404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Col2='""&amp;B404&amp;""'"",0)"),2.0)</f>
        <v>2</v>
      </c>
      <c r="J404" s="12">
        <f>IFERROR(__xludf.DUMMYFUNCTION("""COMPUTED_VALUE"""),2.0)</f>
        <v>2</v>
      </c>
      <c r="K404" s="12">
        <f>IFERROR(__xludf.DUMMYFUNCTION("""COMPUTED_VALUE"""),2.0)</f>
        <v>2</v>
      </c>
      <c r="L404" s="12">
        <f>IFERROR(__xludf.DUMMYFUNCTION("""COMPUTED_VALUE"""),1.0)</f>
        <v>1</v>
      </c>
      <c r="M404" s="12" t="str">
        <f>IFERROR(__xludf.DUMMYFUNCTION("""COMPUTED_VALUE"""),"Working")</f>
        <v>Working</v>
      </c>
      <c r="N404" s="12" t="str">
        <f>IFERROR(__xludf.DUMMYFUNCTION("""COMPUTED_VALUE"""),"CORRECT")</f>
        <v>CORRECT</v>
      </c>
      <c r="O404" s="12" t="str">
        <f>IFERROR(__xludf.DUMMYFUNCTION("""COMPUTED_VALUE"""),"LOAD PENDING")</f>
        <v>LOAD PENDING</v>
      </c>
      <c r="P404" s="12" t="str">
        <f t="shared" si="2"/>
        <v/>
      </c>
      <c r="Q404" s="12" t="str">
        <f t="shared" si="3"/>
        <v/>
      </c>
    </row>
    <row r="405">
      <c r="A405" s="1">
        <v>404.0</v>
      </c>
      <c r="B405" s="1" t="s">
        <v>1515</v>
      </c>
      <c r="C405" s="1" t="s">
        <v>271</v>
      </c>
      <c r="D405" s="1" t="s">
        <v>1516</v>
      </c>
      <c r="E405" s="12" t="str">
        <f t="shared" si="1"/>
        <v>Mr.SIBI JOHN A</v>
      </c>
      <c r="F405" s="13" t="s">
        <v>1513</v>
      </c>
      <c r="G405" s="12" t="s">
        <v>274</v>
      </c>
      <c r="H405" s="12" t="s">
        <v>1517</v>
      </c>
      <c r="I40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Col2='""&amp;B405&amp;""'"",0)"),2.0)</f>
        <v>2</v>
      </c>
      <c r="J405" s="12">
        <f>IFERROR(__xludf.DUMMYFUNCTION("""COMPUTED_VALUE"""),2.0)</f>
        <v>2</v>
      </c>
      <c r="K405" s="12">
        <f>IFERROR(__xludf.DUMMYFUNCTION("""COMPUTED_VALUE"""),0.0)</f>
        <v>0</v>
      </c>
      <c r="L405" s="12">
        <f>IFERROR(__xludf.DUMMYFUNCTION("""COMPUTED_VALUE"""),0.0)</f>
        <v>0</v>
      </c>
      <c r="M405" s="12" t="str">
        <f>IFERROR(__xludf.DUMMYFUNCTION("""COMPUTED_VALUE"""),"Working")</f>
        <v>Working</v>
      </c>
      <c r="N405" s="12" t="str">
        <f>IFERROR(__xludf.DUMMYFUNCTION("""COMPUTED_VALUE"""),"LOAD PENDING")</f>
        <v>LOAD PENDING</v>
      </c>
      <c r="O405" s="12" t="str">
        <f>IFERROR(__xludf.DUMMYFUNCTION("""COMPUTED_VALUE"""),"LOAD PENDING")</f>
        <v>LOAD PENDING</v>
      </c>
      <c r="P405" s="12" t="str">
        <f t="shared" si="2"/>
        <v/>
      </c>
      <c r="Q405" s="12" t="str">
        <f t="shared" si="3"/>
        <v/>
      </c>
    </row>
    <row r="406">
      <c r="A406" s="15">
        <v>405.0</v>
      </c>
      <c r="B406" s="16" t="s">
        <v>1518</v>
      </c>
      <c r="C406" s="1" t="s">
        <v>271</v>
      </c>
      <c r="D406" s="1" t="s">
        <v>1519</v>
      </c>
      <c r="E406" s="12" t="str">
        <f t="shared" si="1"/>
        <v>Mr.SENTHIL KUMAR N</v>
      </c>
      <c r="F406" s="13" t="s">
        <v>1513</v>
      </c>
      <c r="G406" s="12" t="s">
        <v>274</v>
      </c>
      <c r="H406" s="12" t="s">
        <v>1520</v>
      </c>
      <c r="I40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Col2='""&amp;B406&amp;""'"",0)"),2.0)</f>
        <v>2</v>
      </c>
      <c r="J406" s="12">
        <f>IFERROR(__xludf.DUMMYFUNCTION("""COMPUTED_VALUE"""),2.0)</f>
        <v>2</v>
      </c>
      <c r="K406" s="12">
        <f>IFERROR(__xludf.DUMMYFUNCTION("""COMPUTED_VALUE"""),2.0)</f>
        <v>2</v>
      </c>
      <c r="L406" s="12">
        <f>IFERROR(__xludf.DUMMYFUNCTION("""COMPUTED_VALUE"""),1.0)</f>
        <v>1</v>
      </c>
      <c r="M406" s="12" t="str">
        <f>IFERROR(__xludf.DUMMYFUNCTION("""COMPUTED_VALUE"""),"Working")</f>
        <v>Working</v>
      </c>
      <c r="N406" s="12" t="str">
        <f>IFERROR(__xludf.DUMMYFUNCTION("""COMPUTED_VALUE"""),"CORRECT")</f>
        <v>CORRECT</v>
      </c>
      <c r="O406" s="12" t="str">
        <f>IFERROR(__xludf.DUMMYFUNCTION("""COMPUTED_VALUE"""),"LOAD PENDING")</f>
        <v>LOAD PENDING</v>
      </c>
      <c r="P406" s="12" t="str">
        <f t="shared" si="2"/>
        <v/>
      </c>
      <c r="Q406" s="12" t="str">
        <f t="shared" si="3"/>
        <v/>
      </c>
    </row>
    <row r="407">
      <c r="A407" s="15">
        <v>406.0</v>
      </c>
      <c r="B407" s="16" t="s">
        <v>1521</v>
      </c>
      <c r="C407" s="1" t="s">
        <v>286</v>
      </c>
      <c r="D407" s="1" t="s">
        <v>1522</v>
      </c>
      <c r="E407" s="12" t="str">
        <f t="shared" si="1"/>
        <v>Mrs.AISHWARIYA M R</v>
      </c>
      <c r="F407" s="13" t="s">
        <v>1513</v>
      </c>
      <c r="G407" s="12" t="s">
        <v>301</v>
      </c>
      <c r="H407" s="12" t="s">
        <v>1523</v>
      </c>
      <c r="I40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Col2='""&amp;B407&amp;""'"",0)"),2.0)</f>
        <v>2</v>
      </c>
      <c r="J407" s="12">
        <f>IFERROR(__xludf.DUMMYFUNCTION("""COMPUTED_VALUE"""),2.0)</f>
        <v>2</v>
      </c>
      <c r="K407" s="12">
        <f>IFERROR(__xludf.DUMMYFUNCTION("""COMPUTED_VALUE"""),1.0)</f>
        <v>1</v>
      </c>
      <c r="L407" s="12">
        <f>IFERROR(__xludf.DUMMYFUNCTION("""COMPUTED_VALUE"""),2.0)</f>
        <v>2</v>
      </c>
      <c r="M407" s="12" t="str">
        <f>IFERROR(__xludf.DUMMYFUNCTION("""COMPUTED_VALUE"""),"Working")</f>
        <v>Working</v>
      </c>
      <c r="N407" s="12" t="str">
        <f>IFERROR(__xludf.DUMMYFUNCTION("""COMPUTED_VALUE"""),"LOAD PENDING")</f>
        <v>LOAD PENDING</v>
      </c>
      <c r="O407" s="12" t="str">
        <f>IFERROR(__xludf.DUMMYFUNCTION("""COMPUTED_VALUE"""),"CORRECT")</f>
        <v>CORRECT</v>
      </c>
      <c r="P407" s="12" t="str">
        <f t="shared" si="2"/>
        <v/>
      </c>
      <c r="Q407" s="12" t="str">
        <f t="shared" si="3"/>
        <v/>
      </c>
    </row>
    <row r="408">
      <c r="A408" s="15">
        <v>407.0</v>
      </c>
      <c r="B408" s="16" t="s">
        <v>1524</v>
      </c>
      <c r="C408" s="1" t="s">
        <v>277</v>
      </c>
      <c r="D408" s="1" t="s">
        <v>1525</v>
      </c>
      <c r="E408" s="12" t="str">
        <f t="shared" si="1"/>
        <v>Dr.VIDHYA S</v>
      </c>
      <c r="F408" s="13" t="s">
        <v>1513</v>
      </c>
      <c r="G408" s="12" t="s">
        <v>274</v>
      </c>
      <c r="H408" s="12" t="s">
        <v>1526</v>
      </c>
      <c r="I40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Col2='""&amp;B408&amp;""'"",0)"),2.0)</f>
        <v>2</v>
      </c>
      <c r="J408" s="12">
        <f>IFERROR(__xludf.DUMMYFUNCTION("""COMPUTED_VALUE"""),2.0)</f>
        <v>2</v>
      </c>
      <c r="K408" s="12">
        <f>IFERROR(__xludf.DUMMYFUNCTION("""COMPUTED_VALUE"""),2.0)</f>
        <v>2</v>
      </c>
      <c r="L408" s="12">
        <f>IFERROR(__xludf.DUMMYFUNCTION("""COMPUTED_VALUE"""),0.0)</f>
        <v>0</v>
      </c>
      <c r="M408" s="12" t="str">
        <f>IFERROR(__xludf.DUMMYFUNCTION("""COMPUTED_VALUE"""),"Working")</f>
        <v>Working</v>
      </c>
      <c r="N408" s="12" t="str">
        <f>IFERROR(__xludf.DUMMYFUNCTION("""COMPUTED_VALUE"""),"CORRECT")</f>
        <v>CORRECT</v>
      </c>
      <c r="O408" s="12" t="str">
        <f>IFERROR(__xludf.DUMMYFUNCTION("""COMPUTED_VALUE"""),"LOAD PENDING")</f>
        <v>LOAD PENDING</v>
      </c>
      <c r="P408" s="12" t="str">
        <f t="shared" si="2"/>
        <v/>
      </c>
      <c r="Q408" s="12" t="str">
        <f t="shared" si="3"/>
        <v/>
      </c>
    </row>
    <row r="409">
      <c r="A409" s="15">
        <v>408.0</v>
      </c>
      <c r="B409" s="16" t="s">
        <v>1527</v>
      </c>
      <c r="C409" s="1" t="s">
        <v>271</v>
      </c>
      <c r="D409" s="1" t="s">
        <v>1528</v>
      </c>
      <c r="E409" s="12" t="str">
        <f t="shared" si="1"/>
        <v>Mr.MAGESWARAN J</v>
      </c>
      <c r="F409" s="13" t="s">
        <v>1513</v>
      </c>
      <c r="G409" s="12" t="s">
        <v>291</v>
      </c>
      <c r="H409" s="12" t="s">
        <v>1529</v>
      </c>
      <c r="I40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Col2='""&amp;B409&amp;""'"",0)"),2.0)</f>
        <v>2</v>
      </c>
      <c r="J409" s="12">
        <f>IFERROR(__xludf.DUMMYFUNCTION("""COMPUTED_VALUE"""),2.0)</f>
        <v>2</v>
      </c>
      <c r="K409" s="12">
        <f>IFERROR(__xludf.DUMMYFUNCTION("""COMPUTED_VALUE"""),2.0)</f>
        <v>2</v>
      </c>
      <c r="L409" s="12">
        <f>IFERROR(__xludf.DUMMYFUNCTION("""COMPUTED_VALUE"""),0.0)</f>
        <v>0</v>
      </c>
      <c r="M409" s="12" t="str">
        <f>IFERROR(__xludf.DUMMYFUNCTION("""COMPUTED_VALUE"""),"Working")</f>
        <v>Working</v>
      </c>
      <c r="N409" s="12" t="str">
        <f>IFERROR(__xludf.DUMMYFUNCTION("""COMPUTED_VALUE"""),"CORRECT")</f>
        <v>CORRECT</v>
      </c>
      <c r="O409" s="12" t="str">
        <f>IFERROR(__xludf.DUMMYFUNCTION("""COMPUTED_VALUE"""),"LOAD PENDING")</f>
        <v>LOAD PENDING</v>
      </c>
      <c r="P409" s="12" t="str">
        <f t="shared" si="2"/>
        <v/>
      </c>
      <c r="Q409" s="12" t="str">
        <f t="shared" si="3"/>
        <v/>
      </c>
    </row>
    <row r="410">
      <c r="A410" s="15">
        <v>409.0</v>
      </c>
      <c r="B410" s="17" t="s">
        <v>1530</v>
      </c>
      <c r="C410" s="1" t="s">
        <v>271</v>
      </c>
      <c r="D410" s="1" t="s">
        <v>1531</v>
      </c>
      <c r="E410" s="12" t="str">
        <f t="shared" si="1"/>
        <v>Mr.SUGANESH S</v>
      </c>
      <c r="F410" s="13" t="s">
        <v>1513</v>
      </c>
      <c r="G410" s="12" t="s">
        <v>301</v>
      </c>
      <c r="H410" s="12" t="s">
        <v>1532</v>
      </c>
      <c r="I410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Col2='""&amp;B410&amp;""'"",0)"),2.0)</f>
        <v>2</v>
      </c>
      <c r="J410" s="12">
        <f>IFERROR(__xludf.DUMMYFUNCTION("""COMPUTED_VALUE"""),2.0)</f>
        <v>2</v>
      </c>
      <c r="K410" s="12">
        <f>IFERROR(__xludf.DUMMYFUNCTION("""COMPUTED_VALUE"""),2.0)</f>
        <v>2</v>
      </c>
      <c r="L410" s="12">
        <f>IFERROR(__xludf.DUMMYFUNCTION("""COMPUTED_VALUE"""),0.0)</f>
        <v>0</v>
      </c>
      <c r="M410" s="12" t="str">
        <f>IFERROR(__xludf.DUMMYFUNCTION("""COMPUTED_VALUE"""),"Working")</f>
        <v>Working</v>
      </c>
      <c r="N410" s="12" t="str">
        <f>IFERROR(__xludf.DUMMYFUNCTION("""COMPUTED_VALUE"""),"CORRECT")</f>
        <v>CORRECT</v>
      </c>
      <c r="O410" s="12" t="str">
        <f>IFERROR(__xludf.DUMMYFUNCTION("""COMPUTED_VALUE"""),"LOAD PENDING")</f>
        <v>LOAD PENDING</v>
      </c>
      <c r="P410" s="12" t="str">
        <f t="shared" si="2"/>
        <v/>
      </c>
      <c r="Q410" s="12" t="str">
        <f t="shared" si="3"/>
        <v/>
      </c>
    </row>
    <row r="411">
      <c r="A411" s="15">
        <v>410.0</v>
      </c>
      <c r="B411" s="17" t="s">
        <v>1533</v>
      </c>
      <c r="C411" s="1" t="s">
        <v>271</v>
      </c>
      <c r="D411" s="1" t="s">
        <v>1534</v>
      </c>
      <c r="E411" s="12" t="str">
        <f t="shared" si="1"/>
        <v>Mr.DHANABALU S N</v>
      </c>
      <c r="F411" s="13" t="s">
        <v>1513</v>
      </c>
      <c r="G411" s="12" t="s">
        <v>291</v>
      </c>
      <c r="H411" s="12" t="s">
        <v>1535</v>
      </c>
      <c r="I411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Col2='""&amp;B411&amp;""'"",0)"),2.0)</f>
        <v>2</v>
      </c>
      <c r="J411" s="12">
        <f>IFERROR(__xludf.DUMMYFUNCTION("""COMPUTED_VALUE"""),2.0)</f>
        <v>2</v>
      </c>
      <c r="K411" s="12">
        <f>IFERROR(__xludf.DUMMYFUNCTION("""COMPUTED_VALUE"""),2.0)</f>
        <v>2</v>
      </c>
      <c r="L411" s="12">
        <f>IFERROR(__xludf.DUMMYFUNCTION("""COMPUTED_VALUE"""),0.0)</f>
        <v>0</v>
      </c>
      <c r="M411" s="12" t="str">
        <f>IFERROR(__xludf.DUMMYFUNCTION("""COMPUTED_VALUE"""),"Working")</f>
        <v>Working</v>
      </c>
      <c r="N411" s="12" t="str">
        <f>IFERROR(__xludf.DUMMYFUNCTION("""COMPUTED_VALUE"""),"CORRECT")</f>
        <v>CORRECT</v>
      </c>
      <c r="O411" s="12" t="str">
        <f>IFERROR(__xludf.DUMMYFUNCTION("""COMPUTED_VALUE"""),"LOAD PENDING")</f>
        <v>LOAD PENDING</v>
      </c>
      <c r="P411" s="12" t="str">
        <f t="shared" si="2"/>
        <v/>
      </c>
      <c r="Q411" s="12" t="str">
        <f t="shared" si="3"/>
        <v/>
      </c>
    </row>
    <row r="412">
      <c r="A412" s="15">
        <v>411.0</v>
      </c>
      <c r="B412" s="17" t="s">
        <v>1536</v>
      </c>
      <c r="C412" s="1" t="s">
        <v>277</v>
      </c>
      <c r="D412" s="1" t="s">
        <v>1537</v>
      </c>
      <c r="E412" s="12" t="str">
        <f t="shared" si="1"/>
        <v>Dr.ADHINARAYANAN B</v>
      </c>
      <c r="F412" s="13" t="s">
        <v>1513</v>
      </c>
      <c r="G412" s="12" t="s">
        <v>279</v>
      </c>
      <c r="H412" s="12" t="s">
        <v>1538</v>
      </c>
      <c r="I412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Col2='""&amp;B412&amp;""'"",0)"),2.0)</f>
        <v>2</v>
      </c>
      <c r="J412" s="12">
        <f>IFERROR(__xludf.DUMMYFUNCTION("""COMPUTED_VALUE"""),1.0)</f>
        <v>1</v>
      </c>
      <c r="K412" s="12">
        <f>IFERROR(__xludf.DUMMYFUNCTION("""COMPUTED_VALUE"""),2.0)</f>
        <v>2</v>
      </c>
      <c r="L412" s="12">
        <f>IFERROR(__xludf.DUMMYFUNCTION("""COMPUTED_VALUE"""),0.0)</f>
        <v>0</v>
      </c>
      <c r="M412" s="12" t="str">
        <f>IFERROR(__xludf.DUMMYFUNCTION("""COMPUTED_VALUE"""),"Working")</f>
        <v>Working</v>
      </c>
      <c r="N412" s="12" t="str">
        <f>IFERROR(__xludf.DUMMYFUNCTION("""COMPUTED_VALUE"""),"CORRECT")</f>
        <v>CORRECT</v>
      </c>
      <c r="O412" s="12" t="str">
        <f>IFERROR(__xludf.DUMMYFUNCTION("""COMPUTED_VALUE"""),"LOAD PENDING")</f>
        <v>LOAD PENDING</v>
      </c>
      <c r="P412" s="12" t="str">
        <f t="shared" si="2"/>
        <v/>
      </c>
      <c r="Q412" s="12" t="str">
        <f t="shared" si="3"/>
        <v/>
      </c>
    </row>
    <row r="413">
      <c r="A413" s="15">
        <v>412.0</v>
      </c>
      <c r="B413" s="17" t="s">
        <v>1539</v>
      </c>
      <c r="C413" s="1" t="s">
        <v>286</v>
      </c>
      <c r="D413" s="1" t="s">
        <v>532</v>
      </c>
      <c r="E413" s="12" t="str">
        <f t="shared" si="1"/>
        <v>Mrs.SARANYA S</v>
      </c>
      <c r="F413" s="13" t="s">
        <v>1513</v>
      </c>
      <c r="G413" s="12" t="s">
        <v>291</v>
      </c>
      <c r="H413" s="12" t="s">
        <v>1540</v>
      </c>
      <c r="I413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Col2='""&amp;B413&amp;""'"",0)"),2.0)</f>
        <v>2</v>
      </c>
      <c r="J413" s="12">
        <f>IFERROR(__xludf.DUMMYFUNCTION("""COMPUTED_VALUE"""),2.0)</f>
        <v>2</v>
      </c>
      <c r="K413" s="12">
        <f>IFERROR(__xludf.DUMMYFUNCTION("""COMPUTED_VALUE"""),0.0)</f>
        <v>0</v>
      </c>
      <c r="L413" s="12">
        <f>IFERROR(__xludf.DUMMYFUNCTION("""COMPUTED_VALUE"""),0.0)</f>
        <v>0</v>
      </c>
      <c r="M413" s="12" t="str">
        <f>IFERROR(__xludf.DUMMYFUNCTION("""COMPUTED_VALUE"""),"Working")</f>
        <v>Working</v>
      </c>
      <c r="N413" s="12" t="str">
        <f>IFERROR(__xludf.DUMMYFUNCTION("""COMPUTED_VALUE"""),"LOAD PENDING")</f>
        <v>LOAD PENDING</v>
      </c>
      <c r="O413" s="12" t="str">
        <f>IFERROR(__xludf.DUMMYFUNCTION("""COMPUTED_VALUE"""),"LOAD PENDING")</f>
        <v>LOAD PENDING</v>
      </c>
      <c r="P413" s="12" t="str">
        <f t="shared" si="2"/>
        <v/>
      </c>
      <c r="Q413" s="12" t="str">
        <f t="shared" si="3"/>
        <v/>
      </c>
    </row>
    <row r="414">
      <c r="A414" s="15">
        <v>413.0</v>
      </c>
      <c r="B414" s="17" t="s">
        <v>1541</v>
      </c>
      <c r="C414" s="1" t="s">
        <v>277</v>
      </c>
      <c r="D414" s="1" t="s">
        <v>1542</v>
      </c>
      <c r="E414" s="12" t="str">
        <f t="shared" si="1"/>
        <v>Dr.SATHEESH KUMAR T</v>
      </c>
      <c r="F414" s="13" t="s">
        <v>1513</v>
      </c>
      <c r="G414" s="12" t="s">
        <v>279</v>
      </c>
      <c r="H414" s="12" t="s">
        <v>1543</v>
      </c>
      <c r="I414" s="12" t="str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Col2='""&amp;B414&amp;""'"",0)"),"")</f>
        <v/>
      </c>
      <c r="J414" s="12"/>
      <c r="K414" s="12">
        <f>IFERROR(__xludf.DUMMYFUNCTION("""COMPUTED_VALUE"""),0.0)</f>
        <v>0</v>
      </c>
      <c r="L414" s="12">
        <f>IFERROR(__xludf.DUMMYFUNCTION("""COMPUTED_VALUE"""),0.0)</f>
        <v>0</v>
      </c>
      <c r="M414" s="12" t="str">
        <f>IFERROR(__xludf.DUMMYFUNCTION("""COMPUTED_VALUE"""),"Working")</f>
        <v>Working</v>
      </c>
      <c r="N414" s="12" t="str">
        <f>IFERROR(__xludf.DUMMYFUNCTION("""COMPUTED_VALUE"""),"#N/A")</f>
        <v>#N/A</v>
      </c>
      <c r="O414" s="12" t="str">
        <f>IFERROR(__xludf.DUMMYFUNCTION("""COMPUTED_VALUE"""),"CORRECT")</f>
        <v>CORRECT</v>
      </c>
      <c r="P414" s="12" t="str">
        <f t="shared" si="2"/>
        <v/>
      </c>
      <c r="Q414" s="12" t="str">
        <f t="shared" si="3"/>
        <v/>
      </c>
    </row>
    <row r="415">
      <c r="A415" s="15">
        <v>414.0</v>
      </c>
      <c r="B415" s="17" t="s">
        <v>1544</v>
      </c>
      <c r="C415" s="1" t="s">
        <v>277</v>
      </c>
      <c r="D415" s="1" t="s">
        <v>1545</v>
      </c>
      <c r="E415" s="12" t="str">
        <f t="shared" si="1"/>
        <v>Dr.MURUGAPPAN S</v>
      </c>
      <c r="F415" s="13" t="s">
        <v>1513</v>
      </c>
      <c r="G415" s="12" t="s">
        <v>283</v>
      </c>
      <c r="H415" s="12" t="s">
        <v>1546</v>
      </c>
      <c r="I415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Col2='""&amp;B415&amp;""'"",0)"),1.0)</f>
        <v>1</v>
      </c>
      <c r="J415" s="12">
        <f>IFERROR(__xludf.DUMMYFUNCTION("""COMPUTED_VALUE"""),0.0)</f>
        <v>0</v>
      </c>
      <c r="K415" s="12">
        <f>IFERROR(__xludf.DUMMYFUNCTION("""COMPUTED_VALUE"""),1.0)</f>
        <v>1</v>
      </c>
      <c r="L415" s="12">
        <f>IFERROR(__xludf.DUMMYFUNCTION("""COMPUTED_VALUE"""),2.0)</f>
        <v>2</v>
      </c>
      <c r="M415" s="12" t="str">
        <f>IFERROR(__xludf.DUMMYFUNCTION("""COMPUTED_VALUE"""),"Working")</f>
        <v>Working</v>
      </c>
      <c r="N415" s="12" t="str">
        <f>IFERROR(__xludf.DUMMYFUNCTION("""COMPUTED_VALUE"""),"CORRECT")</f>
        <v>CORRECT</v>
      </c>
      <c r="O415" s="12" t="str">
        <f>IFERROR(__xludf.DUMMYFUNCTION("""COMPUTED_VALUE"""),"CORRECT")</f>
        <v>CORRECT</v>
      </c>
      <c r="P415" s="12" t="str">
        <f t="shared" si="2"/>
        <v/>
      </c>
      <c r="Q415" s="12" t="str">
        <f t="shared" si="3"/>
        <v>Extra Lab Load Alloted</v>
      </c>
    </row>
    <row r="416">
      <c r="A416" s="15">
        <v>415.0</v>
      </c>
      <c r="B416" s="17" t="s">
        <v>1547</v>
      </c>
      <c r="C416" s="1" t="s">
        <v>277</v>
      </c>
      <c r="D416" s="1" t="s">
        <v>1548</v>
      </c>
      <c r="E416" s="12" t="str">
        <f t="shared" si="1"/>
        <v>Dr.SARASWATHI C</v>
      </c>
      <c r="F416" s="13" t="s">
        <v>1513</v>
      </c>
      <c r="G416" s="12" t="s">
        <v>274</v>
      </c>
      <c r="H416" s="12" t="s">
        <v>1549</v>
      </c>
      <c r="I416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Col2='""&amp;B416&amp;""'"",0)"),1.0)</f>
        <v>1</v>
      </c>
      <c r="J416" s="12">
        <f>IFERROR(__xludf.DUMMYFUNCTION("""COMPUTED_VALUE"""),0.0)</f>
        <v>0</v>
      </c>
      <c r="K416" s="12">
        <f>IFERROR(__xludf.DUMMYFUNCTION("""COMPUTED_VALUE"""),0.0)</f>
        <v>0</v>
      </c>
      <c r="L416" s="12">
        <f>IFERROR(__xludf.DUMMYFUNCTION("""COMPUTED_VALUE"""),0.0)</f>
        <v>0</v>
      </c>
      <c r="M416" s="12" t="str">
        <f>IFERROR(__xludf.DUMMYFUNCTION("""COMPUTED_VALUE"""),"Working")</f>
        <v>Working</v>
      </c>
      <c r="N416" s="12" t="str">
        <f>IFERROR(__xludf.DUMMYFUNCTION("""COMPUTED_VALUE"""),"LOAD PENDING")</f>
        <v>LOAD PENDING</v>
      </c>
      <c r="O416" s="12" t="str">
        <f>IFERROR(__xludf.DUMMYFUNCTION("""COMPUTED_VALUE"""),"CORRECT")</f>
        <v>CORRECT</v>
      </c>
      <c r="P416" s="12" t="str">
        <f t="shared" si="2"/>
        <v/>
      </c>
      <c r="Q416" s="12" t="str">
        <f t="shared" si="3"/>
        <v/>
      </c>
    </row>
    <row r="417">
      <c r="A417" s="15">
        <v>416.0</v>
      </c>
      <c r="B417" s="17" t="s">
        <v>1550</v>
      </c>
      <c r="C417" s="1" t="s">
        <v>277</v>
      </c>
      <c r="D417" s="1" t="s">
        <v>1551</v>
      </c>
      <c r="E417" s="12" t="str">
        <f t="shared" si="1"/>
        <v>Dr.JANARTHANAN M</v>
      </c>
      <c r="F417" s="13" t="s">
        <v>1552</v>
      </c>
      <c r="G417" s="12" t="s">
        <v>274</v>
      </c>
      <c r="H417" s="12" t="s">
        <v>1553</v>
      </c>
      <c r="I417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Col2='""&amp;B417&amp;""'"",0)"),1.0)</f>
        <v>1</v>
      </c>
      <c r="J417" s="12">
        <f>IFERROR(__xludf.DUMMYFUNCTION("""COMPUTED_VALUE"""),0.0)</f>
        <v>0</v>
      </c>
      <c r="K417" s="12">
        <f>IFERROR(__xludf.DUMMYFUNCTION("""COMPUTED_VALUE"""),1.0)</f>
        <v>1</v>
      </c>
      <c r="L417" s="12">
        <f>IFERROR(__xludf.DUMMYFUNCTION("""COMPUTED_VALUE"""),0.0)</f>
        <v>0</v>
      </c>
      <c r="M417" s="12" t="str">
        <f>IFERROR(__xludf.DUMMYFUNCTION("""COMPUTED_VALUE"""),"Working")</f>
        <v>Working</v>
      </c>
      <c r="N417" s="12" t="str">
        <f>IFERROR(__xludf.DUMMYFUNCTION("""COMPUTED_VALUE"""),"CORRECT")</f>
        <v>CORRECT</v>
      </c>
      <c r="O417" s="12" t="str">
        <f>IFERROR(__xludf.DUMMYFUNCTION("""COMPUTED_VALUE"""),"CORRECT")</f>
        <v>CORRECT</v>
      </c>
      <c r="P417" s="12" t="str">
        <f t="shared" si="2"/>
        <v/>
      </c>
      <c r="Q417" s="12" t="str">
        <f t="shared" si="3"/>
        <v/>
      </c>
    </row>
    <row r="418">
      <c r="A418" s="15">
        <v>417.0</v>
      </c>
      <c r="B418" s="17" t="s">
        <v>1554</v>
      </c>
      <c r="C418" s="1" t="s">
        <v>286</v>
      </c>
      <c r="D418" s="1" t="s">
        <v>1555</v>
      </c>
      <c r="E418" s="12" t="str">
        <f t="shared" si="1"/>
        <v>Mrs.MOUNIKA S</v>
      </c>
      <c r="F418" s="13" t="s">
        <v>1552</v>
      </c>
      <c r="G418" s="12" t="s">
        <v>301</v>
      </c>
      <c r="H418" s="12" t="s">
        <v>1556</v>
      </c>
      <c r="I418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Col2='""&amp;B418&amp;""'"",0)"),2.0)</f>
        <v>2</v>
      </c>
      <c r="J418" s="12">
        <f>IFERROR(__xludf.DUMMYFUNCTION("""COMPUTED_VALUE"""),2.0)</f>
        <v>2</v>
      </c>
      <c r="K418" s="12">
        <f>IFERROR(__xludf.DUMMYFUNCTION("""COMPUTED_VALUE"""),1.0)</f>
        <v>1</v>
      </c>
      <c r="L418" s="12">
        <f>IFERROR(__xludf.DUMMYFUNCTION("""COMPUTED_VALUE"""),0.0)</f>
        <v>0</v>
      </c>
      <c r="M418" s="12" t="str">
        <f>IFERROR(__xludf.DUMMYFUNCTION("""COMPUTED_VALUE"""),"Working")</f>
        <v>Working</v>
      </c>
      <c r="N418" s="12" t="str">
        <f>IFERROR(__xludf.DUMMYFUNCTION("""COMPUTED_VALUE"""),"LOAD PENDING")</f>
        <v>LOAD PENDING</v>
      </c>
      <c r="O418" s="12" t="str">
        <f>IFERROR(__xludf.DUMMYFUNCTION("""COMPUTED_VALUE"""),"LOAD PENDING")</f>
        <v>LOAD PENDING</v>
      </c>
      <c r="P418" s="12" t="str">
        <f t="shared" si="2"/>
        <v/>
      </c>
      <c r="Q418" s="12" t="str">
        <f t="shared" si="3"/>
        <v/>
      </c>
    </row>
    <row r="419">
      <c r="A419" s="15">
        <v>418.0</v>
      </c>
      <c r="B419" s="17" t="s">
        <v>1557</v>
      </c>
      <c r="C419" s="1" t="s">
        <v>286</v>
      </c>
      <c r="D419" s="1" t="s">
        <v>863</v>
      </c>
      <c r="E419" s="12" t="str">
        <f t="shared" si="1"/>
        <v>Mrs.GAYATHRI R</v>
      </c>
      <c r="F419" s="13" t="s">
        <v>1552</v>
      </c>
      <c r="G419" s="12" t="s">
        <v>595</v>
      </c>
      <c r="H419" s="12" t="s">
        <v>1558</v>
      </c>
      <c r="I419" s="12">
        <f>IFERROR(__xludf.DUMMYFUNCTION("QUERY(IMPORTRANGE(""https://docs.google.com/spreadsheets/d/1WWWnL0uEco2fCr2WvkXmt_9_Ox7wL_0CmzT8iuRp0aQ/edit?gid=1871111119#gid=1871111119"",""Details!A:X""),""SELECT Col8, Col9, Col10, Col11, Col12, Col13, Col14 WHERE Col2='""&amp;B419&amp;""'"",0)"),2.0)</f>
        <v>2</v>
      </c>
      <c r="J419" s="12">
        <f>IFERROR(__xludf.DUMMYFUNCTION("""COMPUTED_VALUE"""),2.0)</f>
        <v>2</v>
      </c>
      <c r="K419" s="12">
        <f>IFERROR(__xludf.DUMMYFUNCTION("""COMPUTED_VALUE"""),1.0)</f>
        <v>1</v>
      </c>
      <c r="L419" s="12">
        <f>IFERROR(__xludf.DUMMYFUNCTION("""COMPUTED_VALUE"""),0.0)</f>
        <v>0</v>
      </c>
      <c r="M419" s="12" t="str">
        <f>IFERROR(__xludf.DUMMYFUNCTION("""COMPUTED_VALUE"""),"Working")</f>
        <v>Working</v>
      </c>
      <c r="N419" s="12" t="str">
        <f>IFERROR(__xludf.DUMMYFUNCTION("""COMPUTED_VALUE"""),"LOAD PENDING")</f>
        <v>LOAD PENDING</v>
      </c>
      <c r="O419" s="12" t="str">
        <f>IFERROR(__xludf.DUMMYFUNCTION("""COMPUTED_VALUE"""),"LOAD PENDING")</f>
        <v>LOAD PENDING</v>
      </c>
      <c r="P419" s="12" t="str">
        <f t="shared" si="2"/>
        <v/>
      </c>
      <c r="Q419" s="12" t="str">
        <f t="shared" si="3"/>
        <v/>
      </c>
    </row>
    <row r="420">
      <c r="A420" s="18"/>
      <c r="B420" s="19"/>
      <c r="C420" s="20"/>
      <c r="D420" s="20"/>
      <c r="E420" s="21"/>
      <c r="F420" s="22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</row>
    <row r="421">
      <c r="A421" s="18"/>
      <c r="B421" s="19"/>
      <c r="C421" s="20"/>
      <c r="D421" s="20"/>
      <c r="E421" s="21"/>
      <c r="F421" s="22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</row>
    <row r="422">
      <c r="A422" s="18"/>
      <c r="B422" s="19"/>
      <c r="C422" s="20"/>
      <c r="D422" s="20"/>
      <c r="E422" s="21"/>
      <c r="F422" s="22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</row>
    <row r="423">
      <c r="A423" s="18"/>
      <c r="B423" s="19"/>
      <c r="C423" s="20"/>
      <c r="D423" s="20"/>
      <c r="E423" s="21"/>
      <c r="F423" s="22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</row>
    <row r="424">
      <c r="A424" s="18"/>
      <c r="B424" s="19"/>
      <c r="C424" s="20"/>
      <c r="D424" s="20"/>
      <c r="E424" s="21"/>
      <c r="F424" s="22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</row>
    <row r="425">
      <c r="A425" s="18"/>
      <c r="B425" s="19"/>
      <c r="C425" s="20"/>
      <c r="D425" s="20"/>
      <c r="E425" s="21"/>
      <c r="F425" s="22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</row>
    <row r="426">
      <c r="A426" s="18"/>
      <c r="B426" s="19"/>
      <c r="C426" s="20"/>
      <c r="D426" s="20"/>
      <c r="E426" s="21"/>
      <c r="F426" s="22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</row>
    <row r="427">
      <c r="A427" s="18"/>
      <c r="B427" s="19"/>
      <c r="C427" s="20"/>
      <c r="D427" s="20"/>
      <c r="E427" s="21"/>
      <c r="F427" s="22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</row>
    <row r="428">
      <c r="A428" s="18"/>
      <c r="B428" s="19"/>
      <c r="C428" s="20"/>
      <c r="D428" s="20"/>
      <c r="E428" s="21"/>
      <c r="F428" s="22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</row>
    <row r="429">
      <c r="A429" s="18"/>
      <c r="B429" s="19"/>
      <c r="C429" s="20"/>
      <c r="D429" s="20"/>
      <c r="E429" s="21"/>
      <c r="F429" s="22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</row>
    <row r="430">
      <c r="A430" s="18"/>
      <c r="B430" s="19"/>
      <c r="C430" s="20"/>
      <c r="D430" s="20"/>
      <c r="E430" s="21"/>
      <c r="F430" s="22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</row>
    <row r="431">
      <c r="A431" s="18"/>
      <c r="B431" s="19"/>
      <c r="C431" s="20"/>
      <c r="D431" s="20"/>
      <c r="E431" s="21"/>
      <c r="F431" s="22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</row>
    <row r="432">
      <c r="A432" s="18"/>
      <c r="B432" s="19"/>
      <c r="C432" s="20"/>
      <c r="D432" s="20"/>
      <c r="E432" s="21"/>
      <c r="F432" s="22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</row>
    <row r="433">
      <c r="A433" s="18"/>
      <c r="B433" s="19"/>
      <c r="C433" s="20"/>
      <c r="D433" s="20"/>
      <c r="E433" s="21"/>
      <c r="F433" s="22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</row>
    <row r="434">
      <c r="A434" s="18"/>
      <c r="B434" s="19"/>
      <c r="C434" s="20"/>
      <c r="D434" s="20"/>
      <c r="E434" s="21"/>
      <c r="F434" s="22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</row>
    <row r="435">
      <c r="A435" s="18"/>
      <c r="B435" s="19"/>
      <c r="C435" s="20"/>
      <c r="D435" s="20"/>
      <c r="E435" s="21"/>
      <c r="F435" s="22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</row>
    <row r="436">
      <c r="A436" s="18"/>
      <c r="B436" s="19"/>
      <c r="C436" s="20"/>
      <c r="D436" s="20"/>
      <c r="E436" s="21"/>
      <c r="F436" s="22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</row>
    <row r="437">
      <c r="A437" s="18"/>
      <c r="B437" s="19"/>
      <c r="C437" s="20"/>
      <c r="D437" s="20"/>
      <c r="E437" s="21"/>
      <c r="F437" s="22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</row>
    <row r="438">
      <c r="A438" s="18"/>
      <c r="B438" s="19"/>
      <c r="C438" s="20"/>
      <c r="D438" s="20"/>
      <c r="E438" s="21"/>
      <c r="F438" s="22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</row>
    <row r="439">
      <c r="A439" s="18"/>
      <c r="B439" s="19"/>
      <c r="C439" s="20"/>
      <c r="D439" s="20"/>
      <c r="E439" s="21"/>
      <c r="F439" s="22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</row>
    <row r="440">
      <c r="A440" s="18"/>
      <c r="B440" s="19"/>
      <c r="C440" s="20"/>
      <c r="D440" s="20"/>
      <c r="E440" s="21"/>
      <c r="F440" s="22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</row>
    <row r="441">
      <c r="A441" s="18"/>
      <c r="B441" s="19"/>
      <c r="C441" s="20"/>
      <c r="D441" s="20"/>
      <c r="E441" s="21"/>
      <c r="F441" s="22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</row>
    <row r="442">
      <c r="A442" s="18"/>
      <c r="B442" s="19"/>
      <c r="C442" s="20"/>
      <c r="D442" s="20"/>
      <c r="E442" s="21"/>
      <c r="F442" s="22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</row>
    <row r="443">
      <c r="A443" s="18"/>
      <c r="B443" s="19"/>
      <c r="C443" s="20"/>
      <c r="D443" s="20"/>
      <c r="E443" s="21"/>
      <c r="F443" s="22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</row>
    <row r="444">
      <c r="A444" s="18"/>
      <c r="B444" s="19"/>
      <c r="C444" s="20"/>
      <c r="D444" s="20"/>
      <c r="E444" s="21"/>
      <c r="F444" s="22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</row>
    <row r="445">
      <c r="A445" s="18"/>
      <c r="B445" s="19"/>
      <c r="C445" s="20"/>
      <c r="D445" s="20"/>
      <c r="E445" s="21"/>
      <c r="F445" s="22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</row>
    <row r="446">
      <c r="A446" s="18"/>
      <c r="B446" s="19"/>
      <c r="C446" s="20"/>
      <c r="D446" s="20"/>
      <c r="E446" s="21"/>
      <c r="F446" s="22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</row>
    <row r="447">
      <c r="A447" s="18"/>
      <c r="B447" s="19"/>
      <c r="C447" s="20"/>
      <c r="D447" s="20"/>
      <c r="E447" s="21"/>
      <c r="F447" s="22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</row>
    <row r="448">
      <c r="A448" s="18"/>
      <c r="B448" s="19"/>
      <c r="C448" s="20"/>
      <c r="D448" s="20"/>
      <c r="E448" s="21"/>
      <c r="F448" s="22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</row>
    <row r="449">
      <c r="A449" s="18"/>
      <c r="B449" s="19"/>
      <c r="C449" s="20"/>
      <c r="D449" s="20"/>
      <c r="E449" s="21"/>
      <c r="F449" s="22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</row>
    <row r="450">
      <c r="A450" s="18"/>
      <c r="B450" s="19"/>
      <c r="C450" s="20"/>
      <c r="D450" s="20"/>
      <c r="E450" s="21"/>
      <c r="F450" s="22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</row>
    <row r="451">
      <c r="A451" s="18"/>
      <c r="B451" s="19"/>
      <c r="C451" s="20"/>
      <c r="D451" s="20"/>
      <c r="E451" s="21"/>
      <c r="F451" s="22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</row>
    <row r="452">
      <c r="A452" s="18"/>
      <c r="B452" s="19"/>
      <c r="C452" s="20"/>
      <c r="D452" s="20"/>
      <c r="E452" s="21"/>
      <c r="F452" s="22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</row>
    <row r="453">
      <c r="A453" s="18"/>
      <c r="B453" s="19"/>
      <c r="C453" s="20"/>
      <c r="D453" s="20"/>
      <c r="E453" s="21"/>
      <c r="F453" s="22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</row>
    <row r="454">
      <c r="A454" s="18"/>
      <c r="B454" s="19"/>
      <c r="C454" s="20"/>
      <c r="D454" s="20"/>
      <c r="E454" s="21"/>
      <c r="F454" s="22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</row>
    <row r="455">
      <c r="A455" s="18"/>
      <c r="B455" s="19"/>
      <c r="C455" s="20"/>
      <c r="D455" s="20"/>
      <c r="E455" s="21"/>
      <c r="F455" s="22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</row>
    <row r="456">
      <c r="A456" s="18"/>
      <c r="B456" s="19"/>
      <c r="C456" s="20"/>
      <c r="D456" s="20"/>
      <c r="E456" s="21"/>
      <c r="F456" s="22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</row>
    <row r="457">
      <c r="A457" s="18"/>
      <c r="B457" s="19"/>
      <c r="C457" s="20"/>
      <c r="D457" s="20"/>
      <c r="E457" s="21"/>
      <c r="F457" s="22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</row>
    <row r="458">
      <c r="A458" s="18"/>
      <c r="B458" s="19"/>
      <c r="C458" s="20"/>
      <c r="D458" s="20"/>
      <c r="E458" s="21"/>
      <c r="F458" s="22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</row>
    <row r="459">
      <c r="A459" s="18"/>
      <c r="B459" s="19"/>
      <c r="C459" s="20"/>
      <c r="D459" s="20"/>
      <c r="E459" s="21"/>
      <c r="F459" s="22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</row>
    <row r="460">
      <c r="A460" s="18"/>
      <c r="B460" s="19"/>
      <c r="C460" s="20"/>
      <c r="D460" s="20"/>
      <c r="E460" s="21"/>
      <c r="F460" s="22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</row>
    <row r="461">
      <c r="A461" s="18"/>
      <c r="B461" s="19"/>
      <c r="C461" s="20"/>
      <c r="D461" s="20"/>
      <c r="E461" s="21"/>
      <c r="F461" s="22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</row>
    <row r="462">
      <c r="A462" s="18"/>
      <c r="B462" s="19"/>
      <c r="C462" s="20"/>
      <c r="D462" s="20"/>
      <c r="E462" s="21"/>
      <c r="F462" s="22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</row>
    <row r="463">
      <c r="A463" s="18"/>
      <c r="B463" s="19"/>
      <c r="C463" s="20"/>
      <c r="D463" s="20"/>
      <c r="E463" s="21"/>
      <c r="F463" s="22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</row>
    <row r="464">
      <c r="A464" s="18"/>
      <c r="B464" s="19"/>
      <c r="C464" s="20"/>
      <c r="D464" s="20"/>
      <c r="E464" s="21"/>
      <c r="F464" s="22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</row>
    <row r="465">
      <c r="A465" s="18"/>
      <c r="B465" s="19"/>
      <c r="C465" s="20"/>
      <c r="D465" s="20"/>
      <c r="E465" s="21"/>
      <c r="F465" s="22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</row>
    <row r="466">
      <c r="A466" s="18"/>
      <c r="B466" s="19"/>
      <c r="C466" s="20"/>
      <c r="D466" s="20"/>
      <c r="E466" s="21"/>
      <c r="F466" s="22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</row>
    <row r="467">
      <c r="A467" s="18"/>
      <c r="B467" s="19"/>
      <c r="C467" s="20"/>
      <c r="D467" s="20"/>
      <c r="E467" s="21"/>
      <c r="F467" s="22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</row>
    <row r="468">
      <c r="A468" s="18"/>
      <c r="B468" s="19"/>
      <c r="C468" s="20"/>
      <c r="D468" s="20"/>
      <c r="E468" s="21"/>
      <c r="F468" s="22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</row>
    <row r="469">
      <c r="A469" s="18"/>
      <c r="B469" s="19"/>
      <c r="C469" s="20"/>
      <c r="D469" s="20"/>
      <c r="E469" s="21"/>
      <c r="F469" s="22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</row>
    <row r="470">
      <c r="A470" s="18"/>
      <c r="B470" s="19"/>
      <c r="C470" s="20"/>
      <c r="D470" s="20"/>
      <c r="E470" s="21"/>
      <c r="F470" s="22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</row>
    <row r="471">
      <c r="A471" s="18"/>
      <c r="B471" s="19"/>
      <c r="C471" s="20"/>
      <c r="D471" s="20"/>
      <c r="E471" s="21"/>
      <c r="F471" s="22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</row>
    <row r="472">
      <c r="A472" s="18"/>
      <c r="B472" s="19"/>
      <c r="C472" s="20"/>
      <c r="D472" s="20"/>
      <c r="E472" s="21"/>
      <c r="F472" s="22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</row>
    <row r="473">
      <c r="A473" s="18"/>
      <c r="B473" s="19"/>
      <c r="C473" s="20"/>
      <c r="D473" s="20"/>
      <c r="E473" s="21"/>
      <c r="F473" s="22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</row>
    <row r="474">
      <c r="A474" s="18"/>
      <c r="B474" s="19"/>
      <c r="C474" s="20"/>
      <c r="D474" s="20"/>
      <c r="E474" s="21"/>
      <c r="F474" s="22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</row>
    <row r="475">
      <c r="A475" s="18"/>
      <c r="B475" s="19"/>
      <c r="C475" s="20"/>
      <c r="D475" s="20"/>
      <c r="E475" s="21"/>
      <c r="F475" s="22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</row>
    <row r="476">
      <c r="A476" s="18"/>
      <c r="B476" s="19"/>
      <c r="C476" s="20"/>
      <c r="D476" s="20"/>
      <c r="E476" s="21"/>
      <c r="F476" s="22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</row>
    <row r="477">
      <c r="A477" s="18"/>
      <c r="B477" s="19"/>
      <c r="C477" s="20"/>
      <c r="D477" s="20"/>
      <c r="E477" s="21"/>
      <c r="F477" s="22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</row>
    <row r="478">
      <c r="A478" s="18"/>
      <c r="B478" s="19"/>
      <c r="C478" s="20"/>
      <c r="D478" s="20"/>
      <c r="E478" s="21"/>
      <c r="F478" s="22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</row>
    <row r="479">
      <c r="A479" s="18"/>
      <c r="B479" s="19"/>
      <c r="C479" s="20"/>
      <c r="D479" s="20"/>
      <c r="E479" s="21"/>
      <c r="F479" s="22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</row>
    <row r="480">
      <c r="A480" s="18"/>
      <c r="B480" s="19"/>
      <c r="C480" s="20"/>
      <c r="D480" s="20"/>
      <c r="E480" s="21"/>
      <c r="F480" s="22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</row>
    <row r="481">
      <c r="A481" s="18"/>
      <c r="B481" s="19"/>
      <c r="C481" s="20"/>
      <c r="D481" s="20"/>
      <c r="E481" s="21"/>
      <c r="F481" s="22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</row>
    <row r="482">
      <c r="A482" s="18"/>
      <c r="B482" s="19"/>
      <c r="C482" s="20"/>
      <c r="D482" s="20"/>
      <c r="E482" s="21"/>
      <c r="F482" s="22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</row>
    <row r="483">
      <c r="A483" s="18"/>
      <c r="B483" s="19"/>
      <c r="C483" s="20"/>
      <c r="D483" s="20"/>
      <c r="E483" s="21"/>
      <c r="F483" s="22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</row>
    <row r="484">
      <c r="A484" s="18"/>
      <c r="B484" s="19"/>
      <c r="C484" s="20"/>
      <c r="D484" s="20"/>
      <c r="E484" s="21"/>
      <c r="F484" s="22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</row>
    <row r="485">
      <c r="A485" s="18"/>
      <c r="B485" s="19"/>
      <c r="C485" s="20"/>
      <c r="D485" s="20"/>
      <c r="E485" s="21"/>
      <c r="F485" s="22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</row>
    <row r="486">
      <c r="A486" s="18"/>
      <c r="B486" s="19"/>
      <c r="C486" s="20"/>
      <c r="D486" s="20"/>
      <c r="E486" s="21"/>
      <c r="F486" s="22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</row>
    <row r="487">
      <c r="A487" s="18"/>
      <c r="B487" s="19"/>
      <c r="C487" s="20"/>
      <c r="D487" s="20"/>
      <c r="E487" s="21"/>
      <c r="F487" s="22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</row>
    <row r="488">
      <c r="A488" s="18"/>
      <c r="B488" s="19"/>
      <c r="C488" s="20"/>
      <c r="D488" s="20"/>
      <c r="E488" s="21"/>
      <c r="F488" s="22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</row>
    <row r="489">
      <c r="A489" s="18"/>
      <c r="B489" s="19"/>
      <c r="C489" s="20"/>
      <c r="D489" s="20"/>
      <c r="E489" s="21"/>
      <c r="F489" s="22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</row>
    <row r="490">
      <c r="A490" s="18"/>
      <c r="B490" s="19"/>
      <c r="C490" s="20"/>
      <c r="D490" s="20"/>
      <c r="E490" s="21"/>
      <c r="F490" s="22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</row>
    <row r="491">
      <c r="A491" s="18"/>
      <c r="B491" s="19"/>
      <c r="C491" s="20"/>
      <c r="D491" s="20"/>
      <c r="E491" s="21"/>
      <c r="F491" s="22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</row>
    <row r="492">
      <c r="A492" s="18"/>
      <c r="B492" s="19"/>
      <c r="C492" s="20"/>
      <c r="D492" s="20"/>
      <c r="E492" s="21"/>
      <c r="F492" s="22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</row>
    <row r="493">
      <c r="A493" s="18"/>
      <c r="B493" s="19"/>
      <c r="C493" s="20"/>
      <c r="D493" s="20"/>
      <c r="E493" s="21"/>
      <c r="F493" s="22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</row>
    <row r="494">
      <c r="A494" s="18"/>
      <c r="B494" s="19"/>
      <c r="C494" s="20"/>
      <c r="D494" s="20"/>
      <c r="E494" s="21"/>
      <c r="F494" s="22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</row>
    <row r="495">
      <c r="A495" s="18"/>
      <c r="B495" s="19"/>
      <c r="C495" s="20"/>
      <c r="D495" s="20"/>
      <c r="E495" s="21"/>
      <c r="F495" s="22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</row>
    <row r="496">
      <c r="A496" s="18"/>
      <c r="B496" s="19"/>
      <c r="C496" s="20"/>
      <c r="D496" s="20"/>
      <c r="E496" s="21"/>
      <c r="F496" s="22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</row>
    <row r="497">
      <c r="A497" s="18"/>
      <c r="B497" s="19"/>
      <c r="C497" s="20"/>
      <c r="D497" s="20"/>
      <c r="E497" s="21"/>
      <c r="F497" s="22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</row>
    <row r="498">
      <c r="A498" s="18"/>
      <c r="B498" s="19"/>
      <c r="C498" s="20"/>
      <c r="D498" s="20"/>
      <c r="E498" s="21"/>
      <c r="F498" s="22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</row>
    <row r="499">
      <c r="A499" s="18"/>
      <c r="B499" s="19"/>
      <c r="C499" s="20"/>
      <c r="D499" s="20"/>
      <c r="E499" s="21"/>
      <c r="F499" s="22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</row>
    <row r="500">
      <c r="A500" s="18"/>
      <c r="B500" s="19"/>
      <c r="C500" s="20"/>
      <c r="D500" s="20"/>
      <c r="E500" s="21"/>
      <c r="F500" s="22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</row>
    <row r="501">
      <c r="A501" s="18"/>
      <c r="B501" s="19"/>
      <c r="C501" s="20"/>
      <c r="D501" s="20"/>
      <c r="E501" s="21"/>
      <c r="F501" s="22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</row>
    <row r="502">
      <c r="A502" s="18"/>
      <c r="B502" s="19"/>
      <c r="C502" s="20"/>
      <c r="D502" s="20"/>
      <c r="E502" s="21"/>
      <c r="F502" s="22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</row>
    <row r="503">
      <c r="A503" s="18"/>
      <c r="B503" s="19"/>
      <c r="C503" s="20"/>
      <c r="D503" s="20"/>
      <c r="E503" s="21"/>
      <c r="F503" s="22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</row>
    <row r="504">
      <c r="A504" s="18"/>
      <c r="B504" s="19"/>
      <c r="C504" s="20"/>
      <c r="D504" s="20"/>
      <c r="E504" s="21"/>
      <c r="F504" s="22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</row>
    <row r="505">
      <c r="A505" s="18"/>
      <c r="B505" s="19"/>
      <c r="C505" s="20"/>
      <c r="D505" s="20"/>
      <c r="E505" s="21"/>
      <c r="F505" s="22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</row>
    <row r="506">
      <c r="A506" s="18"/>
      <c r="B506" s="19"/>
      <c r="C506" s="20"/>
      <c r="D506" s="20"/>
      <c r="E506" s="21"/>
      <c r="F506" s="22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</row>
    <row r="507">
      <c r="A507" s="18"/>
      <c r="B507" s="19"/>
      <c r="C507" s="20"/>
      <c r="D507" s="20"/>
      <c r="E507" s="21"/>
      <c r="F507" s="22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</row>
    <row r="508">
      <c r="A508" s="18"/>
      <c r="B508" s="19"/>
      <c r="C508" s="20"/>
      <c r="D508" s="20"/>
      <c r="E508" s="21"/>
      <c r="F508" s="22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</row>
    <row r="509">
      <c r="A509" s="18"/>
      <c r="B509" s="19"/>
      <c r="C509" s="20"/>
      <c r="D509" s="20"/>
      <c r="E509" s="21"/>
      <c r="F509" s="22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</row>
    <row r="510">
      <c r="A510" s="18"/>
      <c r="B510" s="19"/>
      <c r="C510" s="20"/>
      <c r="D510" s="20"/>
      <c r="E510" s="21"/>
      <c r="F510" s="22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</row>
    <row r="511">
      <c r="A511" s="18"/>
      <c r="B511" s="19"/>
      <c r="C511" s="20"/>
      <c r="D511" s="20"/>
      <c r="E511" s="21"/>
      <c r="F511" s="22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</row>
    <row r="512">
      <c r="A512" s="18"/>
      <c r="B512" s="19"/>
      <c r="C512" s="20"/>
      <c r="D512" s="20"/>
      <c r="E512" s="21"/>
      <c r="F512" s="22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</row>
    <row r="513">
      <c r="A513" s="18"/>
      <c r="B513" s="19"/>
      <c r="C513" s="20"/>
      <c r="D513" s="20"/>
      <c r="E513" s="21"/>
      <c r="F513" s="22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</row>
    <row r="514">
      <c r="A514" s="18"/>
      <c r="B514" s="19"/>
      <c r="C514" s="20"/>
      <c r="D514" s="20"/>
      <c r="E514" s="21"/>
      <c r="F514" s="22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</row>
    <row r="515">
      <c r="A515" s="18"/>
      <c r="B515" s="19"/>
      <c r="C515" s="20"/>
      <c r="D515" s="20"/>
      <c r="E515" s="21"/>
      <c r="F515" s="22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</row>
    <row r="516">
      <c r="A516" s="18"/>
      <c r="B516" s="19"/>
      <c r="C516" s="20"/>
      <c r="D516" s="20"/>
      <c r="E516" s="21"/>
      <c r="F516" s="22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</row>
    <row r="517">
      <c r="A517" s="18"/>
      <c r="B517" s="19"/>
      <c r="C517" s="20"/>
      <c r="D517" s="20"/>
      <c r="E517" s="21"/>
      <c r="F517" s="22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</row>
    <row r="518">
      <c r="A518" s="18"/>
      <c r="B518" s="19"/>
      <c r="C518" s="20"/>
      <c r="D518" s="20"/>
      <c r="E518" s="21"/>
      <c r="F518" s="22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</row>
    <row r="519">
      <c r="A519" s="18"/>
      <c r="B519" s="19"/>
      <c r="C519" s="20"/>
      <c r="D519" s="20"/>
      <c r="E519" s="21"/>
      <c r="F519" s="22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</row>
    <row r="520">
      <c r="A520" s="18"/>
      <c r="B520" s="19"/>
      <c r="C520" s="20"/>
      <c r="D520" s="20"/>
      <c r="E520" s="21"/>
      <c r="F520" s="22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</row>
    <row r="521">
      <c r="A521" s="18"/>
      <c r="B521" s="19"/>
      <c r="C521" s="20"/>
      <c r="D521" s="20"/>
      <c r="E521" s="21"/>
      <c r="F521" s="22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</row>
    <row r="522">
      <c r="A522" s="18"/>
      <c r="B522" s="19"/>
      <c r="C522" s="20"/>
      <c r="D522" s="20"/>
      <c r="E522" s="21"/>
      <c r="F522" s="22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</row>
    <row r="523">
      <c r="A523" s="18"/>
      <c r="B523" s="19"/>
      <c r="C523" s="20"/>
      <c r="D523" s="20"/>
      <c r="E523" s="21"/>
      <c r="F523" s="22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</row>
    <row r="524">
      <c r="A524" s="18"/>
      <c r="B524" s="19"/>
      <c r="C524" s="20"/>
      <c r="D524" s="20"/>
      <c r="E524" s="21"/>
      <c r="F524" s="22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</row>
    <row r="525">
      <c r="A525" s="18"/>
      <c r="B525" s="19"/>
      <c r="C525" s="20"/>
      <c r="D525" s="20"/>
      <c r="E525" s="21"/>
      <c r="F525" s="22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</row>
    <row r="526">
      <c r="A526" s="18"/>
      <c r="B526" s="19"/>
      <c r="C526" s="20"/>
      <c r="D526" s="20"/>
      <c r="E526" s="21"/>
      <c r="F526" s="22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</row>
    <row r="527">
      <c r="A527" s="18"/>
      <c r="B527" s="19"/>
      <c r="C527" s="20"/>
      <c r="D527" s="20"/>
      <c r="E527" s="21"/>
      <c r="F527" s="22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</row>
    <row r="528">
      <c r="A528" s="18"/>
      <c r="B528" s="19"/>
      <c r="C528" s="20"/>
      <c r="D528" s="20"/>
      <c r="E528" s="21"/>
      <c r="F528" s="22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</row>
    <row r="529">
      <c r="A529" s="18"/>
      <c r="B529" s="19"/>
      <c r="C529" s="20"/>
      <c r="D529" s="20"/>
      <c r="E529" s="21"/>
      <c r="F529" s="22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</row>
    <row r="530">
      <c r="A530" s="18"/>
      <c r="B530" s="19"/>
      <c r="C530" s="20"/>
      <c r="D530" s="20"/>
      <c r="E530" s="21"/>
      <c r="F530" s="22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</row>
    <row r="531">
      <c r="A531" s="18"/>
      <c r="B531" s="19"/>
      <c r="C531" s="20"/>
      <c r="D531" s="20"/>
      <c r="E531" s="21"/>
      <c r="F531" s="22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</row>
    <row r="532">
      <c r="A532" s="18"/>
      <c r="B532" s="19"/>
      <c r="C532" s="20"/>
      <c r="D532" s="20"/>
      <c r="E532" s="21"/>
      <c r="F532" s="22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</row>
    <row r="533">
      <c r="A533" s="18"/>
      <c r="B533" s="19"/>
      <c r="C533" s="20"/>
      <c r="D533" s="20"/>
      <c r="E533" s="21"/>
      <c r="F533" s="22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</row>
    <row r="534">
      <c r="A534" s="18"/>
      <c r="B534" s="19"/>
      <c r="C534" s="20"/>
      <c r="D534" s="20"/>
      <c r="E534" s="21"/>
      <c r="F534" s="22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</row>
    <row r="535">
      <c r="A535" s="18"/>
      <c r="B535" s="19"/>
      <c r="C535" s="20"/>
      <c r="D535" s="20"/>
      <c r="E535" s="21"/>
      <c r="F535" s="22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</row>
    <row r="536">
      <c r="A536" s="18"/>
      <c r="B536" s="19"/>
      <c r="C536" s="20"/>
      <c r="D536" s="20"/>
      <c r="E536" s="21"/>
      <c r="F536" s="22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</row>
    <row r="537">
      <c r="A537" s="18"/>
      <c r="B537" s="19"/>
      <c r="C537" s="20"/>
      <c r="D537" s="20"/>
      <c r="E537" s="21"/>
      <c r="F537" s="22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</row>
    <row r="538">
      <c r="A538" s="18"/>
      <c r="B538" s="19"/>
      <c r="C538" s="20"/>
      <c r="D538" s="20"/>
      <c r="E538" s="21"/>
      <c r="F538" s="22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</row>
    <row r="539">
      <c r="A539" s="18"/>
      <c r="B539" s="19"/>
      <c r="C539" s="20"/>
      <c r="D539" s="20"/>
      <c r="E539" s="21"/>
      <c r="F539" s="22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</row>
    <row r="540">
      <c r="A540" s="18"/>
      <c r="B540" s="19"/>
      <c r="C540" s="20"/>
      <c r="D540" s="20"/>
      <c r="E540" s="21"/>
      <c r="F540" s="22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</row>
    <row r="541">
      <c r="A541" s="18"/>
      <c r="B541" s="19"/>
      <c r="C541" s="20"/>
      <c r="D541" s="20"/>
      <c r="E541" s="21"/>
      <c r="F541" s="22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</row>
    <row r="542">
      <c r="A542" s="18"/>
      <c r="B542" s="19"/>
      <c r="C542" s="20"/>
      <c r="D542" s="20"/>
      <c r="E542" s="21"/>
      <c r="F542" s="22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</row>
    <row r="543">
      <c r="A543" s="18"/>
      <c r="B543" s="19"/>
      <c r="C543" s="20"/>
      <c r="D543" s="20"/>
      <c r="E543" s="21"/>
      <c r="F543" s="22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</row>
    <row r="544">
      <c r="A544" s="18"/>
      <c r="B544" s="19"/>
      <c r="C544" s="20"/>
      <c r="D544" s="20"/>
      <c r="E544" s="21"/>
      <c r="F544" s="22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</row>
    <row r="545">
      <c r="A545" s="18"/>
      <c r="B545" s="19"/>
      <c r="C545" s="20"/>
      <c r="D545" s="20"/>
      <c r="E545" s="21"/>
      <c r="F545" s="22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</row>
    <row r="546">
      <c r="A546" s="18"/>
      <c r="B546" s="19"/>
      <c r="C546" s="20"/>
      <c r="D546" s="20"/>
      <c r="E546" s="21"/>
      <c r="F546" s="22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</row>
    <row r="547">
      <c r="A547" s="18"/>
      <c r="B547" s="19"/>
      <c r="C547" s="20"/>
      <c r="D547" s="20"/>
      <c r="E547" s="21"/>
      <c r="F547" s="22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</row>
    <row r="548">
      <c r="A548" s="18"/>
      <c r="B548" s="19"/>
      <c r="C548" s="20"/>
      <c r="D548" s="20"/>
      <c r="E548" s="21"/>
      <c r="F548" s="22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</row>
    <row r="549">
      <c r="A549" s="18"/>
      <c r="B549" s="19"/>
      <c r="C549" s="20"/>
      <c r="D549" s="20"/>
      <c r="E549" s="21"/>
      <c r="F549" s="22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</row>
    <row r="550">
      <c r="A550" s="18"/>
      <c r="B550" s="19"/>
      <c r="C550" s="20"/>
      <c r="D550" s="20"/>
      <c r="E550" s="21"/>
      <c r="F550" s="22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</row>
    <row r="551">
      <c r="A551" s="18"/>
      <c r="B551" s="19"/>
      <c r="C551" s="20"/>
      <c r="D551" s="20"/>
      <c r="E551" s="21"/>
      <c r="F551" s="22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</row>
    <row r="552">
      <c r="A552" s="18"/>
      <c r="B552" s="19"/>
      <c r="C552" s="20"/>
      <c r="D552" s="20"/>
      <c r="E552" s="21"/>
      <c r="F552" s="22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</row>
    <row r="553">
      <c r="A553" s="18"/>
      <c r="B553" s="19"/>
      <c r="C553" s="20"/>
      <c r="D553" s="20"/>
      <c r="E553" s="21"/>
      <c r="F553" s="22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</row>
    <row r="554">
      <c r="A554" s="18"/>
      <c r="B554" s="19"/>
      <c r="C554" s="20"/>
      <c r="D554" s="20"/>
      <c r="E554" s="21"/>
      <c r="F554" s="22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</row>
    <row r="555">
      <c r="A555" s="18"/>
      <c r="B555" s="19"/>
      <c r="C555" s="20"/>
      <c r="D555" s="20"/>
      <c r="E555" s="21"/>
      <c r="F555" s="22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</row>
    <row r="556">
      <c r="A556" s="18"/>
      <c r="B556" s="19"/>
      <c r="C556" s="20"/>
      <c r="D556" s="20"/>
      <c r="E556" s="21"/>
      <c r="F556" s="22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</row>
    <row r="557">
      <c r="A557" s="18"/>
      <c r="B557" s="19"/>
      <c r="C557" s="20"/>
      <c r="D557" s="20"/>
      <c r="E557" s="21"/>
      <c r="F557" s="22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</row>
    <row r="558">
      <c r="A558" s="18"/>
      <c r="B558" s="19"/>
      <c r="C558" s="20"/>
      <c r="D558" s="20"/>
      <c r="E558" s="21"/>
      <c r="F558" s="22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</row>
    <row r="559">
      <c r="A559" s="18"/>
      <c r="B559" s="19"/>
      <c r="C559" s="20"/>
      <c r="D559" s="20"/>
      <c r="E559" s="21"/>
      <c r="F559" s="22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</row>
    <row r="560">
      <c r="A560" s="18"/>
      <c r="B560" s="19"/>
      <c r="C560" s="20"/>
      <c r="D560" s="20"/>
      <c r="E560" s="21"/>
      <c r="F560" s="22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</row>
    <row r="561">
      <c r="A561" s="18"/>
      <c r="B561" s="19"/>
      <c r="C561" s="20"/>
      <c r="D561" s="20"/>
      <c r="E561" s="21"/>
      <c r="F561" s="22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</row>
    <row r="562">
      <c r="A562" s="18"/>
      <c r="B562" s="19"/>
      <c r="C562" s="20"/>
      <c r="D562" s="20"/>
      <c r="E562" s="21"/>
      <c r="F562" s="22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</row>
    <row r="563">
      <c r="A563" s="18"/>
      <c r="B563" s="19"/>
      <c r="C563" s="20"/>
      <c r="D563" s="20"/>
      <c r="E563" s="21"/>
      <c r="F563" s="22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</row>
    <row r="564">
      <c r="A564" s="18"/>
      <c r="B564" s="19"/>
      <c r="C564" s="20"/>
      <c r="D564" s="20"/>
      <c r="E564" s="21"/>
      <c r="F564" s="22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</row>
    <row r="565">
      <c r="A565" s="18"/>
      <c r="B565" s="19"/>
      <c r="C565" s="20"/>
      <c r="D565" s="20"/>
      <c r="E565" s="21"/>
      <c r="F565" s="22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</row>
    <row r="566">
      <c r="A566" s="18"/>
      <c r="B566" s="19"/>
      <c r="C566" s="20"/>
      <c r="D566" s="20"/>
      <c r="E566" s="21"/>
      <c r="F566" s="22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</row>
    <row r="567">
      <c r="A567" s="18"/>
      <c r="B567" s="19"/>
      <c r="C567" s="20"/>
      <c r="D567" s="20"/>
      <c r="E567" s="21"/>
      <c r="F567" s="22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</row>
    <row r="568">
      <c r="A568" s="18"/>
      <c r="B568" s="19"/>
      <c r="C568" s="20"/>
      <c r="D568" s="20"/>
      <c r="E568" s="21"/>
      <c r="F568" s="22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</row>
    <row r="569">
      <c r="A569" s="18"/>
      <c r="B569" s="19"/>
      <c r="C569" s="20"/>
      <c r="D569" s="20"/>
      <c r="E569" s="21"/>
      <c r="F569" s="22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</row>
    <row r="570">
      <c r="A570" s="18"/>
      <c r="B570" s="19"/>
      <c r="C570" s="20"/>
      <c r="D570" s="20"/>
      <c r="E570" s="21"/>
      <c r="F570" s="22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</row>
    <row r="571">
      <c r="A571" s="18"/>
      <c r="B571" s="19"/>
      <c r="C571" s="20"/>
      <c r="D571" s="20"/>
      <c r="E571" s="21"/>
      <c r="F571" s="22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</row>
    <row r="572">
      <c r="A572" s="18"/>
      <c r="B572" s="19"/>
      <c r="C572" s="20"/>
      <c r="D572" s="20"/>
      <c r="E572" s="21"/>
      <c r="F572" s="22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</row>
    <row r="573">
      <c r="A573" s="18"/>
      <c r="B573" s="19"/>
      <c r="C573" s="20"/>
      <c r="D573" s="20"/>
      <c r="E573" s="21"/>
      <c r="F573" s="22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</row>
    <row r="574">
      <c r="A574" s="18"/>
      <c r="B574" s="19"/>
      <c r="C574" s="20"/>
      <c r="D574" s="20"/>
      <c r="E574" s="21"/>
      <c r="F574" s="22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</row>
    <row r="575">
      <c r="A575" s="18"/>
      <c r="B575" s="19"/>
      <c r="C575" s="20"/>
      <c r="D575" s="20"/>
      <c r="E575" s="21"/>
      <c r="F575" s="22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</row>
    <row r="576">
      <c r="A576" s="18"/>
      <c r="B576" s="19"/>
      <c r="C576" s="20"/>
      <c r="D576" s="20"/>
      <c r="E576" s="21"/>
      <c r="F576" s="22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</row>
    <row r="577">
      <c r="A577" s="18"/>
      <c r="B577" s="19"/>
      <c r="C577" s="20"/>
      <c r="D577" s="20"/>
      <c r="E577" s="21"/>
      <c r="F577" s="22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</row>
    <row r="578">
      <c r="A578" s="18"/>
      <c r="B578" s="19"/>
      <c r="C578" s="20"/>
      <c r="D578" s="20"/>
      <c r="E578" s="21"/>
      <c r="F578" s="22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79">
      <c r="A579" s="18"/>
      <c r="B579" s="19"/>
      <c r="C579" s="20"/>
      <c r="D579" s="20"/>
      <c r="E579" s="21"/>
      <c r="F579" s="22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</row>
    <row r="580">
      <c r="A580" s="18"/>
      <c r="B580" s="19"/>
      <c r="C580" s="20"/>
      <c r="D580" s="20"/>
      <c r="E580" s="21"/>
      <c r="F580" s="22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</row>
    <row r="581">
      <c r="A581" s="18"/>
      <c r="B581" s="19"/>
      <c r="C581" s="20"/>
      <c r="D581" s="20"/>
      <c r="E581" s="21"/>
      <c r="F581" s="22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</row>
    <row r="582">
      <c r="A582" s="18"/>
      <c r="B582" s="19"/>
      <c r="C582" s="20"/>
      <c r="D582" s="20"/>
      <c r="E582" s="21"/>
      <c r="F582" s="22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</row>
    <row r="583">
      <c r="A583" s="18"/>
      <c r="B583" s="19"/>
      <c r="C583" s="20"/>
      <c r="D583" s="20"/>
      <c r="E583" s="21"/>
      <c r="F583" s="22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</row>
    <row r="584">
      <c r="A584" s="18"/>
      <c r="B584" s="19"/>
      <c r="C584" s="20"/>
      <c r="D584" s="20"/>
      <c r="E584" s="21"/>
      <c r="F584" s="22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</row>
    <row r="585">
      <c r="A585" s="18"/>
      <c r="B585" s="19"/>
      <c r="C585" s="20"/>
      <c r="D585" s="20"/>
      <c r="E585" s="21"/>
      <c r="F585" s="22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</row>
    <row r="586">
      <c r="A586" s="18"/>
      <c r="B586" s="19"/>
      <c r="C586" s="20"/>
      <c r="D586" s="20"/>
      <c r="E586" s="21"/>
      <c r="F586" s="22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</row>
    <row r="587">
      <c r="A587" s="18"/>
      <c r="B587" s="19"/>
      <c r="C587" s="20"/>
      <c r="D587" s="20"/>
      <c r="E587" s="21"/>
      <c r="F587" s="22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</row>
    <row r="588">
      <c r="A588" s="18"/>
      <c r="B588" s="19"/>
      <c r="C588" s="20"/>
      <c r="D588" s="20"/>
      <c r="E588" s="21"/>
      <c r="F588" s="22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</row>
    <row r="589">
      <c r="A589" s="18"/>
      <c r="B589" s="19"/>
      <c r="C589" s="20"/>
      <c r="D589" s="20"/>
      <c r="E589" s="21"/>
      <c r="F589" s="22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</row>
    <row r="590">
      <c r="A590" s="18"/>
      <c r="B590" s="19"/>
      <c r="C590" s="20"/>
      <c r="D590" s="20"/>
      <c r="E590" s="21"/>
      <c r="F590" s="22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</row>
    <row r="591">
      <c r="A591" s="18"/>
      <c r="B591" s="19"/>
      <c r="C591" s="20"/>
      <c r="D591" s="20"/>
      <c r="E591" s="21"/>
      <c r="F591" s="22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</row>
    <row r="592">
      <c r="A592" s="18"/>
      <c r="B592" s="19"/>
      <c r="C592" s="20"/>
      <c r="D592" s="20"/>
      <c r="E592" s="21"/>
      <c r="F592" s="22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</row>
    <row r="593">
      <c r="A593" s="18"/>
      <c r="B593" s="19"/>
      <c r="C593" s="20"/>
      <c r="D593" s="20"/>
      <c r="E593" s="21"/>
      <c r="F593" s="22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</row>
    <row r="594">
      <c r="A594" s="18"/>
      <c r="B594" s="19"/>
      <c r="C594" s="20"/>
      <c r="D594" s="20"/>
      <c r="E594" s="21"/>
      <c r="F594" s="22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</row>
    <row r="595">
      <c r="A595" s="18"/>
      <c r="B595" s="19"/>
      <c r="C595" s="20"/>
      <c r="D595" s="20"/>
      <c r="E595" s="21"/>
      <c r="F595" s="22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</row>
    <row r="596">
      <c r="A596" s="18"/>
      <c r="B596" s="19"/>
      <c r="C596" s="20"/>
      <c r="D596" s="20"/>
      <c r="E596" s="21"/>
      <c r="F596" s="22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</row>
    <row r="597">
      <c r="A597" s="18"/>
      <c r="B597" s="19"/>
      <c r="C597" s="20"/>
      <c r="D597" s="20"/>
      <c r="E597" s="21"/>
      <c r="F597" s="22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</row>
    <row r="598">
      <c r="A598" s="18"/>
      <c r="B598" s="19"/>
      <c r="C598" s="20"/>
      <c r="D598" s="20"/>
      <c r="E598" s="21"/>
      <c r="F598" s="22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</row>
    <row r="599">
      <c r="A599" s="18"/>
      <c r="B599" s="19"/>
      <c r="C599" s="20"/>
      <c r="D599" s="20"/>
      <c r="E599" s="21"/>
      <c r="F599" s="22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</row>
    <row r="600">
      <c r="A600" s="18"/>
      <c r="B600" s="19"/>
      <c r="C600" s="20"/>
      <c r="D600" s="20"/>
      <c r="E600" s="21"/>
      <c r="F600" s="22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</row>
    <row r="601">
      <c r="A601" s="18"/>
      <c r="B601" s="19"/>
      <c r="C601" s="20"/>
      <c r="D601" s="20"/>
      <c r="E601" s="21"/>
      <c r="F601" s="22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</row>
    <row r="602">
      <c r="A602" s="18"/>
      <c r="B602" s="19"/>
      <c r="C602" s="20"/>
      <c r="D602" s="20"/>
      <c r="E602" s="21"/>
      <c r="F602" s="22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</row>
    <row r="603">
      <c r="A603" s="18"/>
      <c r="B603" s="19"/>
      <c r="C603" s="20"/>
      <c r="D603" s="20"/>
      <c r="E603" s="21"/>
      <c r="F603" s="22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</row>
    <row r="604">
      <c r="A604" s="18"/>
      <c r="B604" s="19"/>
      <c r="C604" s="20"/>
      <c r="D604" s="20"/>
      <c r="E604" s="21"/>
      <c r="F604" s="22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</row>
    <row r="605">
      <c r="A605" s="18"/>
      <c r="B605" s="19"/>
      <c r="C605" s="20"/>
      <c r="D605" s="20"/>
      <c r="E605" s="21"/>
      <c r="F605" s="22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</row>
    <row r="606">
      <c r="A606" s="18"/>
      <c r="B606" s="19"/>
      <c r="C606" s="20"/>
      <c r="D606" s="20"/>
      <c r="E606" s="21"/>
      <c r="F606" s="22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</row>
    <row r="607">
      <c r="A607" s="18"/>
      <c r="B607" s="19"/>
      <c r="C607" s="20"/>
      <c r="D607" s="20"/>
      <c r="E607" s="21"/>
      <c r="F607" s="22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</row>
    <row r="608">
      <c r="A608" s="18"/>
      <c r="B608" s="19"/>
      <c r="C608" s="20"/>
      <c r="D608" s="20"/>
      <c r="E608" s="21"/>
      <c r="F608" s="22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</row>
    <row r="609">
      <c r="A609" s="18"/>
      <c r="B609" s="19"/>
      <c r="C609" s="20"/>
      <c r="D609" s="20"/>
      <c r="E609" s="21"/>
      <c r="F609" s="22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</row>
    <row r="610">
      <c r="A610" s="18"/>
      <c r="B610" s="19"/>
      <c r="C610" s="20"/>
      <c r="D610" s="20"/>
      <c r="E610" s="21"/>
      <c r="F610" s="22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</row>
    <row r="611">
      <c r="A611" s="18"/>
      <c r="B611" s="19"/>
      <c r="C611" s="20"/>
      <c r="D611" s="20"/>
      <c r="E611" s="21"/>
      <c r="F611" s="22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</row>
    <row r="612">
      <c r="A612" s="18"/>
      <c r="B612" s="19"/>
      <c r="C612" s="20"/>
      <c r="D612" s="20"/>
      <c r="E612" s="21"/>
      <c r="F612" s="22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</row>
    <row r="613">
      <c r="A613" s="18"/>
      <c r="B613" s="19"/>
      <c r="C613" s="20"/>
      <c r="D613" s="20"/>
      <c r="E613" s="21"/>
      <c r="F613" s="22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</row>
    <row r="614">
      <c r="A614" s="18"/>
      <c r="B614" s="19"/>
      <c r="C614" s="20"/>
      <c r="D614" s="20"/>
      <c r="E614" s="21"/>
      <c r="F614" s="22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</row>
    <row r="615">
      <c r="A615" s="18"/>
      <c r="B615" s="19"/>
      <c r="C615" s="20"/>
      <c r="D615" s="20"/>
      <c r="E615" s="21"/>
      <c r="F615" s="22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</row>
    <row r="616">
      <c r="A616" s="18"/>
      <c r="B616" s="19"/>
      <c r="C616" s="20"/>
      <c r="D616" s="20"/>
      <c r="E616" s="21"/>
      <c r="F616" s="22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</row>
    <row r="617">
      <c r="A617" s="18"/>
      <c r="B617" s="19"/>
      <c r="C617" s="20"/>
      <c r="D617" s="20"/>
      <c r="E617" s="21"/>
      <c r="F617" s="22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</row>
    <row r="618">
      <c r="A618" s="18"/>
      <c r="B618" s="19"/>
      <c r="C618" s="20"/>
      <c r="D618" s="20"/>
      <c r="E618" s="21"/>
      <c r="F618" s="22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</row>
    <row r="619">
      <c r="A619" s="18"/>
      <c r="B619" s="19"/>
      <c r="C619" s="20"/>
      <c r="D619" s="20"/>
      <c r="E619" s="21"/>
      <c r="F619" s="22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</row>
    <row r="620">
      <c r="A620" s="18"/>
      <c r="B620" s="19"/>
      <c r="C620" s="20"/>
      <c r="D620" s="20"/>
      <c r="E620" s="21"/>
      <c r="F620" s="22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</row>
    <row r="621">
      <c r="A621" s="18"/>
      <c r="B621" s="19"/>
      <c r="C621" s="20"/>
      <c r="D621" s="20"/>
      <c r="E621" s="21"/>
      <c r="F621" s="22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</row>
    <row r="622">
      <c r="A622" s="18"/>
      <c r="B622" s="19"/>
      <c r="C622" s="20"/>
      <c r="D622" s="20"/>
      <c r="E622" s="21"/>
      <c r="F622" s="22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</row>
    <row r="623">
      <c r="A623" s="18"/>
      <c r="B623" s="19"/>
      <c r="C623" s="20"/>
      <c r="D623" s="20"/>
      <c r="E623" s="21"/>
      <c r="F623" s="22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</row>
    <row r="624">
      <c r="A624" s="18"/>
      <c r="B624" s="19"/>
      <c r="C624" s="20"/>
      <c r="D624" s="20"/>
      <c r="E624" s="21"/>
      <c r="F624" s="22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</row>
    <row r="625">
      <c r="A625" s="18"/>
      <c r="B625" s="19"/>
      <c r="C625" s="20"/>
      <c r="D625" s="20"/>
      <c r="E625" s="21"/>
      <c r="F625" s="22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</row>
    <row r="626">
      <c r="A626" s="18"/>
      <c r="B626" s="19"/>
      <c r="C626" s="20"/>
      <c r="D626" s="20"/>
      <c r="E626" s="21"/>
      <c r="F626" s="22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</row>
    <row r="627">
      <c r="A627" s="18"/>
      <c r="B627" s="19"/>
      <c r="C627" s="20"/>
      <c r="D627" s="20"/>
      <c r="E627" s="21"/>
      <c r="F627" s="22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</row>
    <row r="628">
      <c r="A628" s="18"/>
      <c r="B628" s="19"/>
      <c r="C628" s="20"/>
      <c r="D628" s="20"/>
      <c r="E628" s="21"/>
      <c r="F628" s="22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</row>
    <row r="629">
      <c r="A629" s="18"/>
      <c r="B629" s="19"/>
      <c r="C629" s="20"/>
      <c r="D629" s="20"/>
      <c r="E629" s="21"/>
      <c r="F629" s="22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</row>
    <row r="630">
      <c r="A630" s="18"/>
      <c r="B630" s="19"/>
      <c r="C630" s="20"/>
      <c r="D630" s="20"/>
      <c r="E630" s="21"/>
      <c r="F630" s="22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</row>
    <row r="631">
      <c r="A631" s="18"/>
      <c r="B631" s="19"/>
      <c r="C631" s="20"/>
      <c r="D631" s="20"/>
      <c r="E631" s="21"/>
      <c r="F631" s="22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</row>
    <row r="632">
      <c r="A632" s="18"/>
      <c r="B632" s="19"/>
      <c r="C632" s="20"/>
      <c r="D632" s="20"/>
      <c r="E632" s="21"/>
      <c r="F632" s="22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</row>
    <row r="633">
      <c r="A633" s="18"/>
      <c r="B633" s="19"/>
      <c r="C633" s="20"/>
      <c r="D633" s="20"/>
      <c r="E633" s="21"/>
      <c r="F633" s="22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</row>
    <row r="634">
      <c r="A634" s="18"/>
      <c r="B634" s="19"/>
      <c r="C634" s="20"/>
      <c r="D634" s="20"/>
      <c r="E634" s="21"/>
      <c r="F634" s="22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</row>
    <row r="635">
      <c r="A635" s="18"/>
      <c r="B635" s="19"/>
      <c r="C635" s="20"/>
      <c r="D635" s="20"/>
      <c r="E635" s="21"/>
      <c r="F635" s="22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</row>
    <row r="636">
      <c r="A636" s="18"/>
      <c r="B636" s="19"/>
      <c r="C636" s="20"/>
      <c r="D636" s="20"/>
      <c r="E636" s="21"/>
      <c r="F636" s="22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</row>
    <row r="637">
      <c r="A637" s="18"/>
      <c r="B637" s="19"/>
      <c r="C637" s="20"/>
      <c r="D637" s="20"/>
      <c r="E637" s="21"/>
      <c r="F637" s="22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</row>
    <row r="638">
      <c r="A638" s="18"/>
      <c r="B638" s="19"/>
      <c r="C638" s="20"/>
      <c r="D638" s="20"/>
      <c r="E638" s="21"/>
      <c r="F638" s="22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</row>
    <row r="639">
      <c r="A639" s="18"/>
      <c r="B639" s="19"/>
      <c r="C639" s="20"/>
      <c r="D639" s="20"/>
      <c r="E639" s="21"/>
      <c r="F639" s="22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</row>
    <row r="640">
      <c r="A640" s="18"/>
      <c r="B640" s="19"/>
      <c r="C640" s="20"/>
      <c r="D640" s="20"/>
      <c r="E640" s="21"/>
      <c r="F640" s="22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</row>
    <row r="641">
      <c r="A641" s="18"/>
      <c r="B641" s="19"/>
      <c r="C641" s="20"/>
      <c r="D641" s="20"/>
      <c r="E641" s="21"/>
      <c r="F641" s="22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</row>
    <row r="642">
      <c r="A642" s="18"/>
      <c r="B642" s="19"/>
      <c r="C642" s="20"/>
      <c r="D642" s="20"/>
      <c r="E642" s="21"/>
      <c r="F642" s="22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</row>
    <row r="643">
      <c r="A643" s="18"/>
      <c r="B643" s="19"/>
      <c r="C643" s="20"/>
      <c r="D643" s="20"/>
      <c r="E643" s="21"/>
      <c r="F643" s="22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</row>
    <row r="644">
      <c r="A644" s="18"/>
      <c r="B644" s="19"/>
      <c r="C644" s="20"/>
      <c r="D644" s="20"/>
      <c r="E644" s="21"/>
      <c r="F644" s="22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</row>
    <row r="645">
      <c r="A645" s="18"/>
      <c r="B645" s="19"/>
      <c r="C645" s="20"/>
      <c r="D645" s="20"/>
      <c r="E645" s="21"/>
      <c r="F645" s="22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</row>
    <row r="646">
      <c r="A646" s="18"/>
      <c r="B646" s="19"/>
      <c r="C646" s="20"/>
      <c r="D646" s="20"/>
      <c r="E646" s="21"/>
      <c r="F646" s="22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</row>
    <row r="647">
      <c r="A647" s="18"/>
      <c r="B647" s="19"/>
      <c r="C647" s="20"/>
      <c r="D647" s="20"/>
      <c r="E647" s="21"/>
      <c r="F647" s="22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</row>
    <row r="648">
      <c r="A648" s="18"/>
      <c r="B648" s="19"/>
      <c r="C648" s="20"/>
      <c r="D648" s="20"/>
      <c r="E648" s="21"/>
      <c r="F648" s="22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</row>
    <row r="649">
      <c r="A649" s="18"/>
      <c r="B649" s="19"/>
      <c r="C649" s="20"/>
      <c r="D649" s="20"/>
      <c r="E649" s="21"/>
      <c r="F649" s="22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</row>
    <row r="650">
      <c r="A650" s="18"/>
      <c r="B650" s="19"/>
      <c r="C650" s="20"/>
      <c r="D650" s="20"/>
      <c r="E650" s="21"/>
      <c r="F650" s="22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</row>
    <row r="651">
      <c r="A651" s="18"/>
      <c r="B651" s="19"/>
      <c r="C651" s="20"/>
      <c r="D651" s="20"/>
      <c r="E651" s="21"/>
      <c r="F651" s="22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</row>
    <row r="652">
      <c r="A652" s="18"/>
      <c r="B652" s="19"/>
      <c r="C652" s="20"/>
      <c r="D652" s="20"/>
      <c r="E652" s="21"/>
      <c r="F652" s="22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</row>
    <row r="653">
      <c r="A653" s="18"/>
      <c r="B653" s="19"/>
      <c r="C653" s="20"/>
      <c r="D653" s="20"/>
      <c r="E653" s="21"/>
      <c r="F653" s="22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</row>
    <row r="654">
      <c r="A654" s="18"/>
      <c r="B654" s="19"/>
      <c r="C654" s="20"/>
      <c r="D654" s="20"/>
      <c r="E654" s="21"/>
      <c r="F654" s="22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</row>
    <row r="655">
      <c r="A655" s="18"/>
      <c r="B655" s="19"/>
      <c r="C655" s="20"/>
      <c r="D655" s="20"/>
      <c r="E655" s="21"/>
      <c r="F655" s="22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</row>
    <row r="656">
      <c r="A656" s="18"/>
      <c r="B656" s="19"/>
      <c r="C656" s="20"/>
      <c r="D656" s="20"/>
      <c r="E656" s="21"/>
      <c r="F656" s="22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</row>
    <row r="657">
      <c r="A657" s="18"/>
      <c r="B657" s="19"/>
      <c r="C657" s="20"/>
      <c r="D657" s="20"/>
      <c r="E657" s="21"/>
      <c r="F657" s="22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</row>
    <row r="658">
      <c r="A658" s="18"/>
      <c r="B658" s="19"/>
      <c r="C658" s="20"/>
      <c r="D658" s="20"/>
      <c r="E658" s="21"/>
      <c r="F658" s="22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</row>
    <row r="659">
      <c r="A659" s="18"/>
      <c r="B659" s="19"/>
      <c r="C659" s="20"/>
      <c r="D659" s="20"/>
      <c r="E659" s="21"/>
      <c r="F659" s="22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</row>
    <row r="660">
      <c r="A660" s="18"/>
      <c r="B660" s="19"/>
      <c r="C660" s="20"/>
      <c r="D660" s="20"/>
      <c r="E660" s="21"/>
      <c r="F660" s="22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</row>
    <row r="661">
      <c r="A661" s="18"/>
      <c r="B661" s="19"/>
      <c r="C661" s="20"/>
      <c r="D661" s="20"/>
      <c r="E661" s="21"/>
      <c r="F661" s="22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</row>
    <row r="662">
      <c r="A662" s="18"/>
      <c r="B662" s="19"/>
      <c r="C662" s="20"/>
      <c r="D662" s="20"/>
      <c r="E662" s="21"/>
      <c r="F662" s="22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</row>
    <row r="663">
      <c r="A663" s="18"/>
      <c r="B663" s="19"/>
      <c r="C663" s="20"/>
      <c r="D663" s="20"/>
      <c r="E663" s="21"/>
      <c r="F663" s="22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</row>
    <row r="664">
      <c r="A664" s="18"/>
      <c r="B664" s="19"/>
      <c r="C664" s="20"/>
      <c r="D664" s="20"/>
      <c r="E664" s="21"/>
      <c r="F664" s="22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</row>
    <row r="665">
      <c r="A665" s="18"/>
      <c r="B665" s="19"/>
      <c r="C665" s="20"/>
      <c r="D665" s="20"/>
      <c r="E665" s="21"/>
      <c r="F665" s="22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</row>
    <row r="666">
      <c r="A666" s="18"/>
      <c r="B666" s="19"/>
      <c r="C666" s="20"/>
      <c r="D666" s="20"/>
      <c r="E666" s="21"/>
      <c r="F666" s="22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</row>
    <row r="667">
      <c r="A667" s="18"/>
      <c r="B667" s="19"/>
      <c r="C667" s="20"/>
      <c r="D667" s="20"/>
      <c r="E667" s="21"/>
      <c r="F667" s="22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</row>
    <row r="668">
      <c r="A668" s="18"/>
      <c r="B668" s="19"/>
      <c r="C668" s="20"/>
      <c r="D668" s="20"/>
      <c r="E668" s="21"/>
      <c r="F668" s="22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</row>
    <row r="669">
      <c r="A669" s="18"/>
      <c r="B669" s="19"/>
      <c r="C669" s="20"/>
      <c r="D669" s="20"/>
      <c r="E669" s="21"/>
      <c r="F669" s="22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</row>
    <row r="670">
      <c r="A670" s="18"/>
      <c r="B670" s="19"/>
      <c r="C670" s="20"/>
      <c r="D670" s="20"/>
      <c r="E670" s="21"/>
      <c r="F670" s="22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</row>
    <row r="671">
      <c r="A671" s="18"/>
      <c r="B671" s="19"/>
      <c r="C671" s="20"/>
      <c r="D671" s="20"/>
      <c r="E671" s="21"/>
      <c r="F671" s="22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</row>
    <row r="672">
      <c r="A672" s="18"/>
      <c r="B672" s="19"/>
      <c r="C672" s="20"/>
      <c r="D672" s="20"/>
      <c r="E672" s="21"/>
      <c r="F672" s="22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</row>
    <row r="673">
      <c r="A673" s="18"/>
      <c r="B673" s="19"/>
      <c r="C673" s="20"/>
      <c r="D673" s="20"/>
      <c r="E673" s="21"/>
      <c r="F673" s="22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</row>
    <row r="674">
      <c r="A674" s="18"/>
      <c r="B674" s="19"/>
      <c r="C674" s="20"/>
      <c r="D674" s="20"/>
      <c r="E674" s="21"/>
      <c r="F674" s="22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</row>
    <row r="675">
      <c r="A675" s="18"/>
      <c r="B675" s="19"/>
      <c r="C675" s="20"/>
      <c r="D675" s="20"/>
      <c r="E675" s="21"/>
      <c r="F675" s="22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</row>
    <row r="676">
      <c r="A676" s="18"/>
      <c r="B676" s="19"/>
      <c r="C676" s="20"/>
      <c r="D676" s="20"/>
      <c r="E676" s="21"/>
      <c r="F676" s="22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</row>
    <row r="677">
      <c r="A677" s="18"/>
      <c r="B677" s="19"/>
      <c r="C677" s="20"/>
      <c r="D677" s="20"/>
      <c r="E677" s="21"/>
      <c r="F677" s="22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8">
      <c r="A678" s="18"/>
      <c r="B678" s="19"/>
      <c r="C678" s="20"/>
      <c r="D678" s="20"/>
      <c r="E678" s="21"/>
      <c r="F678" s="22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</row>
    <row r="679">
      <c r="A679" s="18"/>
      <c r="B679" s="19"/>
      <c r="C679" s="20"/>
      <c r="D679" s="20"/>
      <c r="E679" s="21"/>
      <c r="F679" s="22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</row>
    <row r="680">
      <c r="A680" s="18"/>
      <c r="B680" s="19"/>
      <c r="C680" s="20"/>
      <c r="D680" s="20"/>
      <c r="E680" s="21"/>
      <c r="F680" s="22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</row>
    <row r="681">
      <c r="A681" s="18"/>
      <c r="B681" s="19"/>
      <c r="C681" s="20"/>
      <c r="D681" s="20"/>
      <c r="E681" s="21"/>
      <c r="F681" s="22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</row>
    <row r="682">
      <c r="A682" s="18"/>
      <c r="B682" s="19"/>
      <c r="C682" s="20"/>
      <c r="D682" s="20"/>
      <c r="E682" s="21"/>
      <c r="F682" s="22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</row>
    <row r="683">
      <c r="A683" s="18"/>
      <c r="B683" s="19"/>
      <c r="C683" s="20"/>
      <c r="D683" s="20"/>
      <c r="E683" s="21"/>
      <c r="F683" s="22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</row>
    <row r="684">
      <c r="A684" s="18"/>
      <c r="B684" s="19"/>
      <c r="C684" s="20"/>
      <c r="D684" s="20"/>
      <c r="E684" s="21"/>
      <c r="F684" s="22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</row>
    <row r="685">
      <c r="A685" s="18"/>
      <c r="B685" s="19"/>
      <c r="C685" s="20"/>
      <c r="D685" s="20"/>
      <c r="E685" s="21"/>
      <c r="F685" s="22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</row>
    <row r="686">
      <c r="A686" s="18"/>
      <c r="B686" s="19"/>
      <c r="C686" s="20"/>
      <c r="D686" s="20"/>
      <c r="E686" s="21"/>
      <c r="F686" s="22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</row>
    <row r="687">
      <c r="A687" s="18"/>
      <c r="B687" s="19"/>
      <c r="C687" s="20"/>
      <c r="D687" s="20"/>
      <c r="E687" s="21"/>
      <c r="F687" s="22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</row>
    <row r="688">
      <c r="A688" s="18"/>
      <c r="B688" s="19"/>
      <c r="C688" s="20"/>
      <c r="D688" s="20"/>
      <c r="E688" s="21"/>
      <c r="F688" s="22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</row>
    <row r="689">
      <c r="A689" s="18"/>
      <c r="B689" s="19"/>
      <c r="C689" s="20"/>
      <c r="D689" s="20"/>
      <c r="E689" s="21"/>
      <c r="F689" s="22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</row>
    <row r="690">
      <c r="A690" s="18"/>
      <c r="B690" s="19"/>
      <c r="C690" s="20"/>
      <c r="D690" s="20"/>
      <c r="E690" s="21"/>
      <c r="F690" s="22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</row>
    <row r="691">
      <c r="A691" s="18"/>
      <c r="B691" s="19"/>
      <c r="C691" s="20"/>
      <c r="D691" s="20"/>
      <c r="E691" s="21"/>
      <c r="F691" s="22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</row>
    <row r="692">
      <c r="A692" s="18"/>
      <c r="B692" s="19"/>
      <c r="C692" s="20"/>
      <c r="D692" s="20"/>
      <c r="E692" s="21"/>
      <c r="F692" s="22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</row>
    <row r="693">
      <c r="A693" s="18"/>
      <c r="B693" s="19"/>
      <c r="C693" s="20"/>
      <c r="D693" s="20"/>
      <c r="E693" s="21"/>
      <c r="F693" s="22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</row>
    <row r="694">
      <c r="A694" s="18"/>
      <c r="B694" s="19"/>
      <c r="C694" s="20"/>
      <c r="D694" s="20"/>
      <c r="E694" s="21"/>
      <c r="F694" s="22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</row>
    <row r="695">
      <c r="A695" s="18"/>
      <c r="B695" s="19"/>
      <c r="C695" s="20"/>
      <c r="D695" s="20"/>
      <c r="E695" s="21"/>
      <c r="F695" s="22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</row>
    <row r="696">
      <c r="A696" s="18"/>
      <c r="B696" s="19"/>
      <c r="C696" s="20"/>
      <c r="D696" s="20"/>
      <c r="E696" s="21"/>
      <c r="F696" s="22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</row>
    <row r="697">
      <c r="A697" s="18"/>
      <c r="B697" s="19"/>
      <c r="C697" s="20"/>
      <c r="D697" s="20"/>
      <c r="E697" s="21"/>
      <c r="F697" s="22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</row>
    <row r="698">
      <c r="A698" s="18"/>
      <c r="B698" s="19"/>
      <c r="C698" s="20"/>
      <c r="D698" s="20"/>
      <c r="E698" s="21"/>
      <c r="F698" s="22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</row>
    <row r="699">
      <c r="A699" s="18"/>
      <c r="B699" s="19"/>
      <c r="C699" s="20"/>
      <c r="D699" s="20"/>
      <c r="E699" s="21"/>
      <c r="F699" s="22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</row>
    <row r="700">
      <c r="A700" s="18"/>
      <c r="B700" s="19"/>
      <c r="C700" s="20"/>
      <c r="D700" s="20"/>
      <c r="E700" s="21"/>
      <c r="F700" s="22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</row>
    <row r="701">
      <c r="A701" s="18"/>
      <c r="B701" s="19"/>
      <c r="C701" s="20"/>
      <c r="D701" s="20"/>
      <c r="E701" s="21"/>
      <c r="F701" s="22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</row>
    <row r="702">
      <c r="A702" s="18"/>
      <c r="B702" s="19"/>
      <c r="C702" s="20"/>
      <c r="D702" s="20"/>
      <c r="E702" s="21"/>
      <c r="F702" s="22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</row>
    <row r="703">
      <c r="A703" s="18"/>
      <c r="B703" s="19"/>
      <c r="C703" s="20"/>
      <c r="D703" s="20"/>
      <c r="E703" s="21"/>
      <c r="F703" s="22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</row>
    <row r="704">
      <c r="A704" s="18"/>
      <c r="B704" s="19"/>
      <c r="C704" s="20"/>
      <c r="D704" s="20"/>
      <c r="E704" s="21"/>
      <c r="F704" s="22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</row>
    <row r="705">
      <c r="A705" s="18"/>
      <c r="B705" s="19"/>
      <c r="C705" s="20"/>
      <c r="D705" s="20"/>
      <c r="E705" s="21"/>
      <c r="F705" s="22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</row>
    <row r="706">
      <c r="A706" s="18"/>
      <c r="B706" s="19"/>
      <c r="C706" s="20"/>
      <c r="D706" s="20"/>
      <c r="E706" s="21"/>
      <c r="F706" s="22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</row>
    <row r="707">
      <c r="A707" s="18"/>
      <c r="B707" s="19"/>
      <c r="C707" s="20"/>
      <c r="D707" s="20"/>
      <c r="E707" s="21"/>
      <c r="F707" s="22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</row>
    <row r="708">
      <c r="A708" s="18"/>
      <c r="B708" s="19"/>
      <c r="C708" s="20"/>
      <c r="D708" s="20"/>
      <c r="E708" s="21"/>
      <c r="F708" s="22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</row>
    <row r="709">
      <c r="A709" s="18"/>
      <c r="B709" s="19"/>
      <c r="C709" s="20"/>
      <c r="D709" s="20"/>
      <c r="E709" s="21"/>
      <c r="F709" s="22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</row>
    <row r="710">
      <c r="A710" s="18"/>
      <c r="B710" s="19"/>
      <c r="C710" s="20"/>
      <c r="D710" s="20"/>
      <c r="E710" s="21"/>
      <c r="F710" s="22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</row>
    <row r="711">
      <c r="A711" s="18"/>
      <c r="B711" s="19"/>
      <c r="C711" s="20"/>
      <c r="D711" s="20"/>
      <c r="E711" s="21"/>
      <c r="F711" s="22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</row>
    <row r="712">
      <c r="A712" s="18"/>
      <c r="B712" s="19"/>
      <c r="C712" s="20"/>
      <c r="D712" s="20"/>
      <c r="E712" s="21"/>
      <c r="F712" s="22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</row>
    <row r="713">
      <c r="A713" s="18"/>
      <c r="B713" s="19"/>
      <c r="C713" s="20"/>
      <c r="D713" s="20"/>
      <c r="E713" s="21"/>
      <c r="F713" s="22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</row>
    <row r="714">
      <c r="A714" s="18"/>
      <c r="B714" s="19"/>
      <c r="C714" s="20"/>
      <c r="D714" s="20"/>
      <c r="E714" s="21"/>
      <c r="F714" s="22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</row>
    <row r="715">
      <c r="A715" s="18"/>
      <c r="B715" s="19"/>
      <c r="C715" s="20"/>
      <c r="D715" s="20"/>
      <c r="E715" s="21"/>
      <c r="F715" s="22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</row>
    <row r="716">
      <c r="A716" s="18"/>
      <c r="B716" s="19"/>
      <c r="C716" s="20"/>
      <c r="D716" s="20"/>
      <c r="E716" s="21"/>
      <c r="F716" s="22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</row>
    <row r="717">
      <c r="A717" s="18"/>
      <c r="B717" s="19"/>
      <c r="C717" s="20"/>
      <c r="D717" s="20"/>
      <c r="E717" s="21"/>
      <c r="F717" s="22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</row>
    <row r="718">
      <c r="A718" s="18"/>
      <c r="B718" s="19"/>
      <c r="C718" s="20"/>
      <c r="D718" s="20"/>
      <c r="E718" s="21"/>
      <c r="F718" s="22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</row>
    <row r="719">
      <c r="A719" s="18"/>
      <c r="B719" s="19"/>
      <c r="C719" s="20"/>
      <c r="D719" s="20"/>
      <c r="E719" s="21"/>
      <c r="F719" s="22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</row>
    <row r="720">
      <c r="A720" s="18"/>
      <c r="B720" s="19"/>
      <c r="C720" s="20"/>
      <c r="D720" s="20"/>
      <c r="E720" s="21"/>
      <c r="F720" s="22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</row>
    <row r="721">
      <c r="A721" s="18"/>
      <c r="B721" s="19"/>
      <c r="C721" s="20"/>
      <c r="D721" s="20"/>
      <c r="E721" s="21"/>
      <c r="F721" s="22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</row>
    <row r="722">
      <c r="A722" s="18"/>
      <c r="B722" s="19"/>
      <c r="C722" s="20"/>
      <c r="D722" s="20"/>
      <c r="E722" s="21"/>
      <c r="F722" s="22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</row>
    <row r="723">
      <c r="A723" s="18"/>
      <c r="B723" s="19"/>
      <c r="C723" s="20"/>
      <c r="D723" s="20"/>
      <c r="E723" s="21"/>
      <c r="F723" s="22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</row>
    <row r="724">
      <c r="A724" s="18"/>
      <c r="B724" s="19"/>
      <c r="C724" s="20"/>
      <c r="D724" s="20"/>
      <c r="E724" s="21"/>
      <c r="F724" s="22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</row>
    <row r="725">
      <c r="A725" s="18"/>
      <c r="B725" s="19"/>
      <c r="C725" s="20"/>
      <c r="D725" s="20"/>
      <c r="E725" s="21"/>
      <c r="F725" s="22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</row>
    <row r="726">
      <c r="A726" s="18"/>
      <c r="B726" s="19"/>
      <c r="C726" s="20"/>
      <c r="D726" s="20"/>
      <c r="E726" s="21"/>
      <c r="F726" s="22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</row>
    <row r="727">
      <c r="A727" s="18"/>
      <c r="B727" s="19"/>
      <c r="C727" s="20"/>
      <c r="D727" s="20"/>
      <c r="E727" s="21"/>
      <c r="F727" s="22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</row>
    <row r="728">
      <c r="A728" s="18"/>
      <c r="B728" s="19"/>
      <c r="C728" s="20"/>
      <c r="D728" s="20"/>
      <c r="E728" s="21"/>
      <c r="F728" s="22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</row>
    <row r="729">
      <c r="A729" s="18"/>
      <c r="B729" s="19"/>
      <c r="C729" s="20"/>
      <c r="D729" s="20"/>
      <c r="E729" s="21"/>
      <c r="F729" s="22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</row>
    <row r="730">
      <c r="A730" s="18"/>
      <c r="B730" s="19"/>
      <c r="C730" s="20"/>
      <c r="D730" s="20"/>
      <c r="E730" s="21"/>
      <c r="F730" s="22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</row>
    <row r="731">
      <c r="A731" s="18"/>
      <c r="B731" s="19"/>
      <c r="C731" s="20"/>
      <c r="D731" s="20"/>
      <c r="E731" s="21"/>
      <c r="F731" s="22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</row>
    <row r="732">
      <c r="A732" s="18"/>
      <c r="B732" s="19"/>
      <c r="C732" s="20"/>
      <c r="D732" s="20"/>
      <c r="E732" s="21"/>
      <c r="F732" s="22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</row>
    <row r="733">
      <c r="A733" s="18"/>
      <c r="B733" s="19"/>
      <c r="C733" s="20"/>
      <c r="D733" s="20"/>
      <c r="E733" s="21"/>
      <c r="F733" s="22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</row>
    <row r="734">
      <c r="A734" s="18"/>
      <c r="B734" s="19"/>
      <c r="C734" s="20"/>
      <c r="D734" s="20"/>
      <c r="E734" s="21"/>
      <c r="F734" s="22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</row>
    <row r="735">
      <c r="A735" s="18"/>
      <c r="B735" s="19"/>
      <c r="C735" s="20"/>
      <c r="D735" s="20"/>
      <c r="E735" s="21"/>
      <c r="F735" s="22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</row>
    <row r="736">
      <c r="A736" s="18"/>
      <c r="B736" s="19"/>
      <c r="C736" s="20"/>
      <c r="D736" s="20"/>
      <c r="E736" s="21"/>
      <c r="F736" s="22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</row>
    <row r="737">
      <c r="A737" s="18"/>
      <c r="B737" s="19"/>
      <c r="C737" s="20"/>
      <c r="D737" s="20"/>
      <c r="E737" s="21"/>
      <c r="F737" s="22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</row>
    <row r="738">
      <c r="A738" s="18"/>
      <c r="B738" s="19"/>
      <c r="C738" s="20"/>
      <c r="D738" s="20"/>
      <c r="E738" s="21"/>
      <c r="F738" s="22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</row>
    <row r="739">
      <c r="A739" s="18"/>
      <c r="B739" s="19"/>
      <c r="C739" s="20"/>
      <c r="D739" s="20"/>
      <c r="E739" s="21"/>
      <c r="F739" s="22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</row>
    <row r="740">
      <c r="A740" s="18"/>
      <c r="B740" s="19"/>
      <c r="C740" s="20"/>
      <c r="D740" s="20"/>
      <c r="E740" s="21"/>
      <c r="F740" s="22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</row>
    <row r="741">
      <c r="A741" s="18"/>
      <c r="B741" s="19"/>
      <c r="C741" s="20"/>
      <c r="D741" s="20"/>
      <c r="E741" s="21"/>
      <c r="F741" s="22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</row>
    <row r="742">
      <c r="A742" s="18"/>
      <c r="B742" s="19"/>
      <c r="C742" s="20"/>
      <c r="D742" s="20"/>
      <c r="E742" s="21"/>
      <c r="F742" s="22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</row>
    <row r="743">
      <c r="A743" s="18"/>
      <c r="B743" s="19"/>
      <c r="C743" s="20"/>
      <c r="D743" s="20"/>
      <c r="E743" s="21"/>
      <c r="F743" s="22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</row>
    <row r="744">
      <c r="A744" s="18"/>
      <c r="B744" s="19"/>
      <c r="C744" s="20"/>
      <c r="D744" s="20"/>
      <c r="E744" s="21"/>
      <c r="F744" s="22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</row>
    <row r="745">
      <c r="A745" s="18"/>
      <c r="B745" s="19"/>
      <c r="C745" s="20"/>
      <c r="D745" s="20"/>
      <c r="E745" s="21"/>
      <c r="F745" s="22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</row>
    <row r="746">
      <c r="A746" s="18"/>
      <c r="B746" s="19"/>
      <c r="C746" s="20"/>
      <c r="D746" s="20"/>
      <c r="E746" s="21"/>
      <c r="F746" s="22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</row>
    <row r="747">
      <c r="A747" s="18"/>
      <c r="B747" s="19"/>
      <c r="C747" s="20"/>
      <c r="D747" s="20"/>
      <c r="E747" s="21"/>
      <c r="F747" s="22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</row>
    <row r="748">
      <c r="A748" s="18"/>
      <c r="B748" s="19"/>
      <c r="C748" s="20"/>
      <c r="D748" s="20"/>
      <c r="E748" s="21"/>
      <c r="F748" s="22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</row>
    <row r="749">
      <c r="A749" s="18"/>
      <c r="B749" s="19"/>
      <c r="C749" s="20"/>
      <c r="D749" s="20"/>
      <c r="E749" s="21"/>
      <c r="F749" s="22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</row>
    <row r="750">
      <c r="A750" s="18"/>
      <c r="B750" s="19"/>
      <c r="C750" s="20"/>
      <c r="D750" s="20"/>
      <c r="E750" s="21"/>
      <c r="F750" s="22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</row>
    <row r="751">
      <c r="A751" s="18"/>
      <c r="B751" s="19"/>
      <c r="C751" s="20"/>
      <c r="D751" s="20"/>
      <c r="E751" s="21"/>
      <c r="F751" s="22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</row>
    <row r="752">
      <c r="A752" s="18"/>
      <c r="B752" s="19"/>
      <c r="C752" s="20"/>
      <c r="D752" s="20"/>
      <c r="E752" s="21"/>
      <c r="F752" s="22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</row>
    <row r="753">
      <c r="A753" s="18"/>
      <c r="B753" s="19"/>
      <c r="C753" s="20"/>
      <c r="D753" s="20"/>
      <c r="E753" s="21"/>
      <c r="F753" s="22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</row>
    <row r="754">
      <c r="A754" s="18"/>
      <c r="B754" s="19"/>
      <c r="C754" s="20"/>
      <c r="D754" s="20"/>
      <c r="E754" s="21"/>
      <c r="F754" s="22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</row>
    <row r="755">
      <c r="A755" s="18"/>
      <c r="B755" s="19"/>
      <c r="C755" s="20"/>
      <c r="D755" s="20"/>
      <c r="E755" s="21"/>
      <c r="F755" s="22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</row>
    <row r="756">
      <c r="A756" s="18"/>
      <c r="B756" s="19"/>
      <c r="C756" s="20"/>
      <c r="D756" s="20"/>
      <c r="E756" s="21"/>
      <c r="F756" s="22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</row>
    <row r="757">
      <c r="A757" s="18"/>
      <c r="B757" s="19"/>
      <c r="C757" s="20"/>
      <c r="D757" s="20"/>
      <c r="E757" s="21"/>
      <c r="F757" s="22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</row>
    <row r="758">
      <c r="A758" s="18"/>
      <c r="B758" s="19"/>
      <c r="C758" s="20"/>
      <c r="D758" s="20"/>
      <c r="E758" s="21"/>
      <c r="F758" s="22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</row>
    <row r="759">
      <c r="A759" s="18"/>
      <c r="B759" s="19"/>
      <c r="C759" s="20"/>
      <c r="D759" s="20"/>
      <c r="E759" s="21"/>
      <c r="F759" s="22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</row>
    <row r="760">
      <c r="A760" s="18"/>
      <c r="B760" s="19"/>
      <c r="C760" s="20"/>
      <c r="D760" s="20"/>
      <c r="E760" s="21"/>
      <c r="F760" s="22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</row>
    <row r="761">
      <c r="A761" s="18"/>
      <c r="B761" s="19"/>
      <c r="C761" s="20"/>
      <c r="D761" s="20"/>
      <c r="E761" s="21"/>
      <c r="F761" s="22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</row>
    <row r="762">
      <c r="A762" s="18"/>
      <c r="B762" s="19"/>
      <c r="C762" s="20"/>
      <c r="D762" s="20"/>
      <c r="E762" s="21"/>
      <c r="F762" s="22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</row>
    <row r="763">
      <c r="A763" s="18"/>
      <c r="B763" s="19"/>
      <c r="C763" s="20"/>
      <c r="D763" s="20"/>
      <c r="E763" s="21"/>
      <c r="F763" s="22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</row>
    <row r="764">
      <c r="A764" s="18"/>
      <c r="B764" s="19"/>
      <c r="C764" s="20"/>
      <c r="D764" s="20"/>
      <c r="E764" s="21"/>
      <c r="F764" s="22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</row>
    <row r="765">
      <c r="A765" s="18"/>
      <c r="B765" s="19"/>
      <c r="C765" s="20"/>
      <c r="D765" s="20"/>
      <c r="E765" s="21"/>
      <c r="F765" s="22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</row>
    <row r="766">
      <c r="A766" s="18"/>
      <c r="B766" s="19"/>
      <c r="C766" s="20"/>
      <c r="D766" s="20"/>
      <c r="E766" s="21"/>
      <c r="F766" s="22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</row>
    <row r="767">
      <c r="A767" s="18"/>
      <c r="B767" s="19"/>
      <c r="C767" s="20"/>
      <c r="D767" s="20"/>
      <c r="E767" s="21"/>
      <c r="F767" s="22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</row>
    <row r="768">
      <c r="A768" s="18"/>
      <c r="B768" s="19"/>
      <c r="C768" s="20"/>
      <c r="D768" s="20"/>
      <c r="E768" s="21"/>
      <c r="F768" s="22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</row>
    <row r="769">
      <c r="A769" s="18"/>
      <c r="B769" s="19"/>
      <c r="C769" s="20"/>
      <c r="D769" s="20"/>
      <c r="E769" s="21"/>
      <c r="F769" s="22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</row>
    <row r="770">
      <c r="A770" s="18"/>
      <c r="B770" s="19"/>
      <c r="C770" s="20"/>
      <c r="D770" s="20"/>
      <c r="E770" s="21"/>
      <c r="F770" s="22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</row>
    <row r="771">
      <c r="A771" s="18"/>
      <c r="B771" s="19"/>
      <c r="C771" s="20"/>
      <c r="D771" s="20"/>
      <c r="E771" s="21"/>
      <c r="F771" s="22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</row>
    <row r="772">
      <c r="A772" s="18"/>
      <c r="B772" s="19"/>
      <c r="C772" s="20"/>
      <c r="D772" s="20"/>
      <c r="E772" s="21"/>
      <c r="F772" s="22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</row>
    <row r="773">
      <c r="A773" s="18"/>
      <c r="B773" s="19"/>
      <c r="C773" s="20"/>
      <c r="D773" s="20"/>
      <c r="E773" s="21"/>
      <c r="F773" s="22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</row>
    <row r="774">
      <c r="A774" s="18"/>
      <c r="B774" s="19"/>
      <c r="C774" s="20"/>
      <c r="D774" s="20"/>
      <c r="E774" s="21"/>
      <c r="F774" s="22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</row>
    <row r="775">
      <c r="A775" s="18"/>
      <c r="B775" s="19"/>
      <c r="C775" s="20"/>
      <c r="D775" s="20"/>
      <c r="E775" s="21"/>
      <c r="F775" s="22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</row>
    <row r="776">
      <c r="A776" s="18"/>
      <c r="B776" s="19"/>
      <c r="C776" s="20"/>
      <c r="D776" s="20"/>
      <c r="E776" s="21"/>
      <c r="F776" s="22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</row>
    <row r="777">
      <c r="A777" s="18"/>
      <c r="B777" s="19"/>
      <c r="C777" s="20"/>
      <c r="D777" s="20"/>
      <c r="E777" s="21"/>
      <c r="F777" s="22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</row>
    <row r="778">
      <c r="A778" s="18"/>
      <c r="B778" s="19"/>
      <c r="C778" s="20"/>
      <c r="D778" s="20"/>
      <c r="E778" s="21"/>
      <c r="F778" s="22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</row>
    <row r="779">
      <c r="A779" s="18"/>
      <c r="B779" s="19"/>
      <c r="C779" s="20"/>
      <c r="D779" s="20"/>
      <c r="E779" s="21"/>
      <c r="F779" s="22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</row>
    <row r="780">
      <c r="A780" s="18"/>
      <c r="B780" s="19"/>
      <c r="C780" s="20"/>
      <c r="D780" s="20"/>
      <c r="E780" s="21"/>
      <c r="F780" s="22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</row>
    <row r="781">
      <c r="A781" s="18"/>
      <c r="B781" s="19"/>
      <c r="C781" s="20"/>
      <c r="D781" s="20"/>
      <c r="E781" s="21"/>
      <c r="F781" s="22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</row>
    <row r="782">
      <c r="A782" s="18"/>
      <c r="B782" s="19"/>
      <c r="C782" s="20"/>
      <c r="D782" s="20"/>
      <c r="E782" s="21"/>
      <c r="F782" s="22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</row>
    <row r="783">
      <c r="A783" s="18"/>
      <c r="B783" s="19"/>
      <c r="C783" s="20"/>
      <c r="D783" s="20"/>
      <c r="E783" s="21"/>
      <c r="F783" s="22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</row>
    <row r="784">
      <c r="A784" s="18"/>
      <c r="B784" s="19"/>
      <c r="C784" s="20"/>
      <c r="D784" s="20"/>
      <c r="E784" s="21"/>
      <c r="F784" s="22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</row>
    <row r="785">
      <c r="A785" s="18"/>
      <c r="B785" s="19"/>
      <c r="C785" s="20"/>
      <c r="D785" s="20"/>
      <c r="E785" s="21"/>
      <c r="F785" s="22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</row>
    <row r="786">
      <c r="A786" s="18"/>
      <c r="B786" s="19"/>
      <c r="C786" s="20"/>
      <c r="D786" s="20"/>
      <c r="E786" s="21"/>
      <c r="F786" s="22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</row>
    <row r="787">
      <c r="A787" s="18"/>
      <c r="B787" s="19"/>
      <c r="C787" s="20"/>
      <c r="D787" s="20"/>
      <c r="E787" s="21"/>
      <c r="F787" s="22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</row>
    <row r="788">
      <c r="A788" s="18"/>
      <c r="B788" s="19"/>
      <c r="C788" s="20"/>
      <c r="D788" s="20"/>
      <c r="E788" s="21"/>
      <c r="F788" s="22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</row>
    <row r="789">
      <c r="A789" s="18"/>
      <c r="B789" s="19"/>
      <c r="C789" s="20"/>
      <c r="D789" s="20"/>
      <c r="E789" s="21"/>
      <c r="F789" s="22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</row>
    <row r="790">
      <c r="A790" s="18"/>
      <c r="B790" s="19"/>
      <c r="C790" s="20"/>
      <c r="D790" s="20"/>
      <c r="E790" s="21"/>
      <c r="F790" s="22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</row>
    <row r="791">
      <c r="A791" s="18"/>
      <c r="B791" s="19"/>
      <c r="C791" s="20"/>
      <c r="D791" s="20"/>
      <c r="E791" s="21"/>
      <c r="F791" s="22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</row>
    <row r="792">
      <c r="A792" s="18"/>
      <c r="B792" s="19"/>
      <c r="C792" s="20"/>
      <c r="D792" s="20"/>
      <c r="E792" s="21"/>
      <c r="F792" s="22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</row>
    <row r="793">
      <c r="A793" s="18"/>
      <c r="B793" s="19"/>
      <c r="C793" s="20"/>
      <c r="D793" s="20"/>
      <c r="E793" s="21"/>
      <c r="F793" s="22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</row>
    <row r="794">
      <c r="A794" s="18"/>
      <c r="B794" s="19"/>
      <c r="C794" s="20"/>
      <c r="D794" s="20"/>
      <c r="E794" s="21"/>
      <c r="F794" s="22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</row>
    <row r="795">
      <c r="A795" s="18"/>
      <c r="B795" s="19"/>
      <c r="C795" s="20"/>
      <c r="D795" s="20"/>
      <c r="E795" s="21"/>
      <c r="F795" s="22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</row>
    <row r="796">
      <c r="A796" s="18"/>
      <c r="B796" s="19"/>
      <c r="C796" s="20"/>
      <c r="D796" s="20"/>
      <c r="E796" s="21"/>
      <c r="F796" s="22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</row>
    <row r="797">
      <c r="A797" s="18"/>
      <c r="B797" s="19"/>
      <c r="C797" s="20"/>
      <c r="D797" s="20"/>
      <c r="E797" s="21"/>
      <c r="F797" s="22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</row>
    <row r="798">
      <c r="A798" s="18"/>
      <c r="B798" s="19"/>
      <c r="C798" s="20"/>
      <c r="D798" s="20"/>
      <c r="E798" s="21"/>
      <c r="F798" s="22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</row>
    <row r="799">
      <c r="A799" s="18"/>
      <c r="B799" s="19"/>
      <c r="C799" s="20"/>
      <c r="D799" s="20"/>
      <c r="E799" s="21"/>
      <c r="F799" s="22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</row>
    <row r="800">
      <c r="A800" s="18"/>
      <c r="B800" s="19"/>
      <c r="C800" s="20"/>
      <c r="D800" s="20"/>
      <c r="E800" s="21"/>
      <c r="F800" s="22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</row>
    <row r="801">
      <c r="A801" s="18"/>
      <c r="B801" s="19"/>
      <c r="C801" s="20"/>
      <c r="D801" s="20"/>
      <c r="E801" s="21"/>
      <c r="F801" s="22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</row>
    <row r="802">
      <c r="A802" s="18"/>
      <c r="B802" s="19"/>
      <c r="C802" s="20"/>
      <c r="D802" s="20"/>
      <c r="E802" s="21"/>
      <c r="F802" s="22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</row>
    <row r="803">
      <c r="A803" s="18"/>
      <c r="B803" s="19"/>
      <c r="C803" s="20"/>
      <c r="D803" s="20"/>
      <c r="E803" s="21"/>
      <c r="F803" s="22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</row>
    <row r="804">
      <c r="A804" s="18"/>
      <c r="B804" s="19"/>
      <c r="C804" s="20"/>
      <c r="D804" s="20"/>
      <c r="E804" s="21"/>
      <c r="F804" s="22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</row>
    <row r="805">
      <c r="A805" s="18"/>
      <c r="B805" s="19"/>
      <c r="C805" s="20"/>
      <c r="D805" s="20"/>
      <c r="E805" s="21"/>
      <c r="F805" s="22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</row>
    <row r="806">
      <c r="A806" s="18"/>
      <c r="B806" s="19"/>
      <c r="C806" s="20"/>
      <c r="D806" s="20"/>
      <c r="E806" s="21"/>
      <c r="F806" s="22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</row>
    <row r="807">
      <c r="A807" s="18"/>
      <c r="B807" s="19"/>
      <c r="C807" s="20"/>
      <c r="D807" s="20"/>
      <c r="E807" s="21"/>
      <c r="F807" s="22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</row>
    <row r="808">
      <c r="A808" s="18"/>
      <c r="B808" s="19"/>
      <c r="C808" s="20"/>
      <c r="D808" s="20"/>
      <c r="E808" s="21"/>
      <c r="F808" s="22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</row>
    <row r="809">
      <c r="A809" s="18"/>
      <c r="B809" s="19"/>
      <c r="C809" s="20"/>
      <c r="D809" s="20"/>
      <c r="E809" s="21"/>
      <c r="F809" s="22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</row>
    <row r="810">
      <c r="A810" s="18"/>
      <c r="B810" s="19"/>
      <c r="C810" s="20"/>
      <c r="D810" s="20"/>
      <c r="E810" s="21"/>
      <c r="F810" s="22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</row>
    <row r="811">
      <c r="A811" s="18"/>
      <c r="B811" s="19"/>
      <c r="C811" s="20"/>
      <c r="D811" s="20"/>
      <c r="E811" s="21"/>
      <c r="F811" s="22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</row>
    <row r="812">
      <c r="A812" s="18"/>
      <c r="B812" s="19"/>
      <c r="C812" s="20"/>
      <c r="D812" s="20"/>
      <c r="E812" s="21"/>
      <c r="F812" s="22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</row>
    <row r="813">
      <c r="A813" s="18"/>
      <c r="B813" s="19"/>
      <c r="C813" s="20"/>
      <c r="D813" s="20"/>
      <c r="E813" s="21"/>
      <c r="F813" s="22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</row>
    <row r="814">
      <c r="A814" s="18"/>
      <c r="B814" s="19"/>
      <c r="C814" s="20"/>
      <c r="D814" s="20"/>
      <c r="E814" s="21"/>
      <c r="F814" s="22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</row>
    <row r="815">
      <c r="A815" s="18"/>
      <c r="B815" s="19"/>
      <c r="C815" s="20"/>
      <c r="D815" s="20"/>
      <c r="E815" s="21"/>
      <c r="F815" s="22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</row>
    <row r="816">
      <c r="A816" s="18"/>
      <c r="B816" s="19"/>
      <c r="C816" s="20"/>
      <c r="D816" s="20"/>
      <c r="E816" s="21"/>
      <c r="F816" s="22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</row>
    <row r="817">
      <c r="A817" s="18"/>
      <c r="B817" s="19"/>
      <c r="C817" s="20"/>
      <c r="D817" s="20"/>
      <c r="E817" s="21"/>
      <c r="F817" s="22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</row>
    <row r="818">
      <c r="A818" s="18"/>
      <c r="B818" s="19"/>
      <c r="C818" s="20"/>
      <c r="D818" s="20"/>
      <c r="E818" s="21"/>
      <c r="F818" s="22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</row>
    <row r="819">
      <c r="A819" s="18"/>
      <c r="B819" s="19"/>
      <c r="C819" s="20"/>
      <c r="D819" s="20"/>
      <c r="E819" s="21"/>
      <c r="F819" s="22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</row>
    <row r="820">
      <c r="A820" s="18"/>
      <c r="B820" s="19"/>
      <c r="C820" s="20"/>
      <c r="D820" s="20"/>
      <c r="E820" s="21"/>
      <c r="F820" s="22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</row>
    <row r="821">
      <c r="A821" s="18"/>
      <c r="B821" s="19"/>
      <c r="C821" s="20"/>
      <c r="D821" s="20"/>
      <c r="E821" s="21"/>
      <c r="F821" s="22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</row>
    <row r="822">
      <c r="A822" s="18"/>
      <c r="B822" s="19"/>
      <c r="C822" s="20"/>
      <c r="D822" s="20"/>
      <c r="E822" s="21"/>
      <c r="F822" s="22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</row>
    <row r="823">
      <c r="A823" s="18"/>
      <c r="B823" s="19"/>
      <c r="C823" s="20"/>
      <c r="D823" s="20"/>
      <c r="E823" s="21"/>
      <c r="F823" s="22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</row>
    <row r="824">
      <c r="A824" s="18"/>
      <c r="B824" s="19"/>
      <c r="C824" s="20"/>
      <c r="D824" s="20"/>
      <c r="E824" s="21"/>
      <c r="F824" s="22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</row>
    <row r="825">
      <c r="A825" s="18"/>
      <c r="B825" s="19"/>
      <c r="C825" s="20"/>
      <c r="D825" s="20"/>
      <c r="E825" s="21"/>
      <c r="F825" s="22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</row>
    <row r="826">
      <c r="A826" s="18"/>
      <c r="B826" s="19"/>
      <c r="C826" s="20"/>
      <c r="D826" s="20"/>
      <c r="E826" s="21"/>
      <c r="F826" s="22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</row>
    <row r="827">
      <c r="A827" s="18"/>
      <c r="B827" s="19"/>
      <c r="C827" s="20"/>
      <c r="D827" s="20"/>
      <c r="E827" s="21"/>
      <c r="F827" s="22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</row>
    <row r="828">
      <c r="A828" s="18"/>
      <c r="B828" s="19"/>
      <c r="C828" s="20"/>
      <c r="D828" s="20"/>
      <c r="E828" s="21"/>
      <c r="F828" s="22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</row>
    <row r="829">
      <c r="A829" s="18"/>
      <c r="B829" s="19"/>
      <c r="C829" s="20"/>
      <c r="D829" s="20"/>
      <c r="E829" s="21"/>
      <c r="F829" s="22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</row>
    <row r="830">
      <c r="A830" s="18"/>
      <c r="B830" s="19"/>
      <c r="C830" s="20"/>
      <c r="D830" s="20"/>
      <c r="E830" s="21"/>
      <c r="F830" s="22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</row>
    <row r="831">
      <c r="A831" s="18"/>
      <c r="B831" s="19"/>
      <c r="C831" s="20"/>
      <c r="D831" s="20"/>
      <c r="E831" s="21"/>
      <c r="F831" s="22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</row>
    <row r="832">
      <c r="A832" s="18"/>
      <c r="B832" s="19"/>
      <c r="C832" s="20"/>
      <c r="D832" s="20"/>
      <c r="E832" s="21"/>
      <c r="F832" s="22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</row>
    <row r="833">
      <c r="A833" s="18"/>
      <c r="B833" s="19"/>
      <c r="C833" s="20"/>
      <c r="D833" s="20"/>
      <c r="E833" s="21"/>
      <c r="F833" s="22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</row>
    <row r="834">
      <c r="A834" s="18"/>
      <c r="B834" s="19"/>
      <c r="C834" s="20"/>
      <c r="D834" s="20"/>
      <c r="E834" s="21"/>
      <c r="F834" s="22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</row>
    <row r="835">
      <c r="A835" s="18"/>
      <c r="B835" s="19"/>
      <c r="C835" s="20"/>
      <c r="D835" s="20"/>
      <c r="E835" s="21"/>
      <c r="F835" s="22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</row>
    <row r="836">
      <c r="A836" s="18"/>
      <c r="B836" s="19"/>
      <c r="C836" s="20"/>
      <c r="D836" s="20"/>
      <c r="E836" s="21"/>
      <c r="F836" s="22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</row>
    <row r="837">
      <c r="A837" s="18"/>
      <c r="B837" s="19"/>
      <c r="C837" s="20"/>
      <c r="D837" s="20"/>
      <c r="E837" s="21"/>
      <c r="F837" s="22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</row>
    <row r="838">
      <c r="A838" s="18"/>
      <c r="B838" s="19"/>
      <c r="C838" s="20"/>
      <c r="D838" s="20"/>
      <c r="E838" s="21"/>
      <c r="F838" s="22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</row>
    <row r="839">
      <c r="A839" s="18"/>
      <c r="B839" s="19"/>
      <c r="C839" s="20"/>
      <c r="D839" s="20"/>
      <c r="E839" s="21"/>
      <c r="F839" s="22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</row>
    <row r="840">
      <c r="A840" s="18"/>
      <c r="B840" s="19"/>
      <c r="C840" s="20"/>
      <c r="D840" s="20"/>
      <c r="E840" s="21"/>
      <c r="F840" s="22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</row>
    <row r="841">
      <c r="A841" s="18"/>
      <c r="B841" s="19"/>
      <c r="C841" s="20"/>
      <c r="D841" s="20"/>
      <c r="E841" s="21"/>
      <c r="F841" s="22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</row>
    <row r="842">
      <c r="A842" s="18"/>
      <c r="B842" s="19"/>
      <c r="C842" s="20"/>
      <c r="D842" s="20"/>
      <c r="E842" s="21"/>
      <c r="F842" s="22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</row>
    <row r="843">
      <c r="A843" s="18"/>
      <c r="B843" s="19"/>
      <c r="C843" s="20"/>
      <c r="D843" s="20"/>
      <c r="E843" s="21"/>
      <c r="F843" s="22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</row>
    <row r="844">
      <c r="A844" s="18"/>
      <c r="B844" s="19"/>
      <c r="C844" s="20"/>
      <c r="D844" s="20"/>
      <c r="E844" s="21"/>
      <c r="F844" s="22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</row>
    <row r="845">
      <c r="A845" s="18"/>
      <c r="B845" s="19"/>
      <c r="C845" s="20"/>
      <c r="D845" s="20"/>
      <c r="E845" s="21"/>
      <c r="F845" s="22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</row>
    <row r="846">
      <c r="A846" s="18"/>
      <c r="B846" s="19"/>
      <c r="C846" s="20"/>
      <c r="D846" s="20"/>
      <c r="E846" s="21"/>
      <c r="F846" s="22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</row>
    <row r="847">
      <c r="A847" s="18"/>
      <c r="B847" s="19"/>
      <c r="C847" s="20"/>
      <c r="D847" s="20"/>
      <c r="E847" s="21"/>
      <c r="F847" s="22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>
      <c r="A848" s="18"/>
      <c r="B848" s="19"/>
      <c r="C848" s="20"/>
      <c r="D848" s="20"/>
      <c r="E848" s="21"/>
      <c r="F848" s="22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</row>
    <row r="849">
      <c r="A849" s="18"/>
      <c r="B849" s="19"/>
      <c r="C849" s="20"/>
      <c r="D849" s="20"/>
      <c r="E849" s="21"/>
      <c r="F849" s="22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</row>
    <row r="850">
      <c r="A850" s="18"/>
      <c r="B850" s="19"/>
      <c r="C850" s="20"/>
      <c r="D850" s="20"/>
      <c r="E850" s="21"/>
      <c r="F850" s="22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</row>
    <row r="851">
      <c r="A851" s="18"/>
      <c r="B851" s="19"/>
      <c r="C851" s="20"/>
      <c r="D851" s="20"/>
      <c r="E851" s="21"/>
      <c r="F851" s="22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</row>
    <row r="852">
      <c r="A852" s="18"/>
      <c r="B852" s="19"/>
      <c r="C852" s="20"/>
      <c r="D852" s="20"/>
      <c r="E852" s="21"/>
      <c r="F852" s="22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</row>
    <row r="853">
      <c r="A853" s="18"/>
      <c r="B853" s="19"/>
      <c r="C853" s="20"/>
      <c r="D853" s="20"/>
      <c r="E853" s="21"/>
      <c r="F853" s="22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>
      <c r="A854" s="18"/>
      <c r="B854" s="19"/>
      <c r="C854" s="20"/>
      <c r="D854" s="20"/>
      <c r="E854" s="21"/>
      <c r="F854" s="22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</row>
    <row r="855">
      <c r="A855" s="18"/>
      <c r="B855" s="19"/>
      <c r="C855" s="20"/>
      <c r="D855" s="20"/>
      <c r="E855" s="21"/>
      <c r="F855" s="22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</row>
    <row r="856">
      <c r="A856" s="18"/>
      <c r="B856" s="19"/>
      <c r="C856" s="20"/>
      <c r="D856" s="20"/>
      <c r="E856" s="21"/>
      <c r="F856" s="22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</row>
    <row r="857">
      <c r="A857" s="18"/>
      <c r="B857" s="19"/>
      <c r="C857" s="20"/>
      <c r="D857" s="20"/>
      <c r="E857" s="21"/>
      <c r="F857" s="22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</row>
    <row r="858">
      <c r="A858" s="18"/>
      <c r="B858" s="19"/>
      <c r="C858" s="20"/>
      <c r="D858" s="20"/>
      <c r="E858" s="21"/>
      <c r="F858" s="22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</row>
    <row r="859">
      <c r="A859" s="18"/>
      <c r="B859" s="19"/>
      <c r="C859" s="20"/>
      <c r="D859" s="20"/>
      <c r="E859" s="21"/>
      <c r="F859" s="22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</row>
    <row r="860">
      <c r="A860" s="18"/>
      <c r="B860" s="19"/>
      <c r="C860" s="20"/>
      <c r="D860" s="20"/>
      <c r="E860" s="21"/>
      <c r="F860" s="22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</row>
    <row r="861">
      <c r="A861" s="18"/>
      <c r="B861" s="19"/>
      <c r="C861" s="20"/>
      <c r="D861" s="20"/>
      <c r="E861" s="21"/>
      <c r="F861" s="22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</row>
    <row r="862">
      <c r="A862" s="18"/>
      <c r="B862" s="19"/>
      <c r="C862" s="20"/>
      <c r="D862" s="20"/>
      <c r="E862" s="21"/>
      <c r="F862" s="22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</row>
    <row r="863">
      <c r="A863" s="18"/>
      <c r="B863" s="19"/>
      <c r="C863" s="20"/>
      <c r="D863" s="20"/>
      <c r="E863" s="21"/>
      <c r="F863" s="22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</row>
    <row r="864">
      <c r="A864" s="18"/>
      <c r="B864" s="19"/>
      <c r="C864" s="20"/>
      <c r="D864" s="20"/>
      <c r="E864" s="21"/>
      <c r="F864" s="22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</row>
    <row r="865">
      <c r="A865" s="18"/>
      <c r="B865" s="19"/>
      <c r="C865" s="20"/>
      <c r="D865" s="20"/>
      <c r="E865" s="21"/>
      <c r="F865" s="22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</row>
    <row r="866">
      <c r="A866" s="18"/>
      <c r="B866" s="19"/>
      <c r="C866" s="20"/>
      <c r="D866" s="20"/>
      <c r="E866" s="21"/>
      <c r="F866" s="22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</row>
    <row r="867">
      <c r="A867" s="18"/>
      <c r="B867" s="19"/>
      <c r="C867" s="20"/>
      <c r="D867" s="20"/>
      <c r="E867" s="21"/>
      <c r="F867" s="22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</row>
    <row r="868">
      <c r="A868" s="18"/>
      <c r="B868" s="19"/>
      <c r="C868" s="20"/>
      <c r="D868" s="20"/>
      <c r="E868" s="21"/>
      <c r="F868" s="22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</row>
    <row r="869">
      <c r="A869" s="18"/>
      <c r="B869" s="19"/>
      <c r="C869" s="20"/>
      <c r="D869" s="20"/>
      <c r="E869" s="21"/>
      <c r="F869" s="22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</row>
    <row r="870">
      <c r="A870" s="18"/>
      <c r="B870" s="19"/>
      <c r="C870" s="20"/>
      <c r="D870" s="20"/>
      <c r="E870" s="21"/>
      <c r="F870" s="22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</row>
    <row r="871">
      <c r="A871" s="18"/>
      <c r="B871" s="19"/>
      <c r="C871" s="20"/>
      <c r="D871" s="20"/>
      <c r="E871" s="21"/>
      <c r="F871" s="22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</row>
    <row r="872">
      <c r="A872" s="18"/>
      <c r="B872" s="19"/>
      <c r="C872" s="20"/>
      <c r="D872" s="20"/>
      <c r="E872" s="21"/>
      <c r="F872" s="22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</row>
    <row r="873">
      <c r="A873" s="18"/>
      <c r="B873" s="19"/>
      <c r="C873" s="20"/>
      <c r="D873" s="20"/>
      <c r="E873" s="21"/>
      <c r="F873" s="22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</row>
    <row r="874">
      <c r="A874" s="18"/>
      <c r="B874" s="19"/>
      <c r="C874" s="20"/>
      <c r="D874" s="20"/>
      <c r="E874" s="21"/>
      <c r="F874" s="22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</row>
    <row r="875">
      <c r="A875" s="18"/>
      <c r="B875" s="19"/>
      <c r="C875" s="20"/>
      <c r="D875" s="20"/>
      <c r="E875" s="21"/>
      <c r="F875" s="22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>
      <c r="A876" s="18"/>
      <c r="B876" s="19"/>
      <c r="C876" s="20"/>
      <c r="D876" s="20"/>
      <c r="E876" s="21"/>
      <c r="F876" s="22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</row>
    <row r="877">
      <c r="A877" s="18"/>
      <c r="B877" s="19"/>
      <c r="C877" s="20"/>
      <c r="D877" s="20"/>
      <c r="E877" s="21"/>
      <c r="F877" s="22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</row>
    <row r="878">
      <c r="A878" s="18"/>
      <c r="B878" s="19"/>
      <c r="C878" s="20"/>
      <c r="D878" s="20"/>
      <c r="E878" s="21"/>
      <c r="F878" s="22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</row>
    <row r="879">
      <c r="A879" s="18"/>
      <c r="B879" s="19"/>
      <c r="C879" s="20"/>
      <c r="D879" s="20"/>
      <c r="E879" s="21"/>
      <c r="F879" s="22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</row>
    <row r="880">
      <c r="A880" s="18"/>
      <c r="B880" s="19"/>
      <c r="C880" s="20"/>
      <c r="D880" s="20"/>
      <c r="E880" s="21"/>
      <c r="F880" s="22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</row>
    <row r="881">
      <c r="A881" s="18"/>
      <c r="B881" s="19"/>
      <c r="C881" s="20"/>
      <c r="D881" s="20"/>
      <c r="E881" s="21"/>
      <c r="F881" s="22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</row>
    <row r="882">
      <c r="A882" s="18"/>
      <c r="B882" s="19"/>
      <c r="C882" s="20"/>
      <c r="D882" s="20"/>
      <c r="E882" s="21"/>
      <c r="F882" s="22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</row>
    <row r="883">
      <c r="A883" s="18"/>
      <c r="B883" s="19"/>
      <c r="C883" s="20"/>
      <c r="D883" s="20"/>
      <c r="E883" s="21"/>
      <c r="F883" s="22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</row>
    <row r="884">
      <c r="A884" s="18"/>
      <c r="B884" s="19"/>
      <c r="C884" s="20"/>
      <c r="D884" s="20"/>
      <c r="E884" s="21"/>
      <c r="F884" s="22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</row>
    <row r="885">
      <c r="A885" s="18"/>
      <c r="B885" s="19"/>
      <c r="C885" s="20"/>
      <c r="D885" s="20"/>
      <c r="E885" s="21"/>
      <c r="F885" s="22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6">
      <c r="A886" s="18"/>
      <c r="B886" s="19"/>
      <c r="C886" s="20"/>
      <c r="D886" s="20"/>
      <c r="E886" s="21"/>
      <c r="F886" s="22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</row>
    <row r="887">
      <c r="A887" s="18"/>
      <c r="B887" s="19"/>
      <c r="C887" s="20"/>
      <c r="D887" s="20"/>
      <c r="E887" s="21"/>
      <c r="F887" s="22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</row>
    <row r="888">
      <c r="A888" s="18"/>
      <c r="B888" s="19"/>
      <c r="C888" s="20"/>
      <c r="D888" s="20"/>
      <c r="E888" s="21"/>
      <c r="F888" s="22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</row>
    <row r="889">
      <c r="A889" s="18"/>
      <c r="B889" s="19"/>
      <c r="C889" s="20"/>
      <c r="D889" s="20"/>
      <c r="E889" s="21"/>
      <c r="F889" s="22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</row>
    <row r="890">
      <c r="A890" s="18"/>
      <c r="B890" s="19"/>
      <c r="C890" s="20"/>
      <c r="D890" s="20"/>
      <c r="E890" s="21"/>
      <c r="F890" s="22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</row>
    <row r="891">
      <c r="A891" s="18"/>
      <c r="B891" s="19"/>
      <c r="C891" s="20"/>
      <c r="D891" s="20"/>
      <c r="E891" s="21"/>
      <c r="F891" s="22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</row>
    <row r="892">
      <c r="A892" s="18"/>
      <c r="B892" s="19"/>
      <c r="C892" s="20"/>
      <c r="D892" s="20"/>
      <c r="E892" s="21"/>
      <c r="F892" s="22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</row>
    <row r="893">
      <c r="A893" s="18"/>
      <c r="B893" s="19"/>
      <c r="C893" s="20"/>
      <c r="D893" s="20"/>
      <c r="E893" s="21"/>
      <c r="F893" s="22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</row>
    <row r="894">
      <c r="A894" s="18"/>
      <c r="B894" s="19"/>
      <c r="C894" s="20"/>
      <c r="D894" s="20"/>
      <c r="E894" s="21"/>
      <c r="F894" s="22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</row>
    <row r="895">
      <c r="A895" s="18"/>
      <c r="B895" s="19"/>
      <c r="C895" s="20"/>
      <c r="D895" s="20"/>
      <c r="E895" s="21"/>
      <c r="F895" s="22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</row>
    <row r="896">
      <c r="A896" s="18"/>
      <c r="B896" s="19"/>
      <c r="C896" s="20"/>
      <c r="D896" s="20"/>
      <c r="E896" s="21"/>
      <c r="F896" s="22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</row>
    <row r="897">
      <c r="A897" s="18"/>
      <c r="B897" s="19"/>
      <c r="C897" s="20"/>
      <c r="D897" s="20"/>
      <c r="E897" s="21"/>
      <c r="F897" s="22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>
      <c r="A898" s="18"/>
      <c r="B898" s="19"/>
      <c r="C898" s="20"/>
      <c r="D898" s="20"/>
      <c r="E898" s="21"/>
      <c r="F898" s="22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</row>
    <row r="899">
      <c r="A899" s="18"/>
      <c r="B899" s="19"/>
      <c r="C899" s="20"/>
      <c r="D899" s="20"/>
      <c r="E899" s="21"/>
      <c r="F899" s="22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</row>
    <row r="900">
      <c r="A900" s="18"/>
      <c r="B900" s="19"/>
      <c r="C900" s="20"/>
      <c r="D900" s="20"/>
      <c r="E900" s="21"/>
      <c r="F900" s="22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</row>
    <row r="901">
      <c r="A901" s="18"/>
      <c r="B901" s="19"/>
      <c r="C901" s="20"/>
      <c r="D901" s="20"/>
      <c r="E901" s="21"/>
      <c r="F901" s="22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2">
      <c r="A902" s="18"/>
      <c r="B902" s="19"/>
      <c r="C902" s="20"/>
      <c r="D902" s="20"/>
      <c r="E902" s="21"/>
      <c r="F902" s="22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</row>
    <row r="903">
      <c r="A903" s="18"/>
      <c r="B903" s="19"/>
      <c r="C903" s="20"/>
      <c r="D903" s="20"/>
      <c r="E903" s="21"/>
      <c r="F903" s="22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</row>
    <row r="904">
      <c r="A904" s="18"/>
      <c r="B904" s="19"/>
      <c r="C904" s="20"/>
      <c r="D904" s="20"/>
      <c r="E904" s="21"/>
      <c r="F904" s="22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</row>
    <row r="905">
      <c r="A905" s="18"/>
      <c r="B905" s="19"/>
      <c r="C905" s="20"/>
      <c r="D905" s="20"/>
      <c r="E905" s="21"/>
      <c r="F905" s="22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</row>
    <row r="906">
      <c r="A906" s="18"/>
      <c r="B906" s="19"/>
      <c r="C906" s="20"/>
      <c r="D906" s="20"/>
      <c r="E906" s="21"/>
      <c r="F906" s="22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</row>
    <row r="907">
      <c r="A907" s="18"/>
      <c r="B907" s="19"/>
      <c r="C907" s="20"/>
      <c r="D907" s="20"/>
      <c r="E907" s="21"/>
      <c r="F907" s="22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</row>
    <row r="908">
      <c r="A908" s="18"/>
      <c r="B908" s="19"/>
      <c r="C908" s="20"/>
      <c r="D908" s="20"/>
      <c r="E908" s="21"/>
      <c r="F908" s="22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</row>
    <row r="909">
      <c r="A909" s="18"/>
      <c r="B909" s="19"/>
      <c r="C909" s="20"/>
      <c r="D909" s="20"/>
      <c r="E909" s="21"/>
      <c r="F909" s="22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</row>
    <row r="910">
      <c r="A910" s="18"/>
      <c r="B910" s="19"/>
      <c r="C910" s="20"/>
      <c r="D910" s="20"/>
      <c r="E910" s="21"/>
      <c r="F910" s="22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</row>
    <row r="911">
      <c r="A911" s="18"/>
      <c r="B911" s="19"/>
      <c r="C911" s="20"/>
      <c r="D911" s="20"/>
      <c r="E911" s="21"/>
      <c r="F911" s="22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2">
      <c r="A912" s="18"/>
      <c r="B912" s="19"/>
      <c r="C912" s="20"/>
      <c r="D912" s="20"/>
      <c r="E912" s="21"/>
      <c r="F912" s="22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</row>
    <row r="913">
      <c r="A913" s="18"/>
      <c r="B913" s="19"/>
      <c r="C913" s="20"/>
      <c r="D913" s="20"/>
      <c r="E913" s="21"/>
      <c r="F913" s="22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</row>
    <row r="914">
      <c r="A914" s="18"/>
      <c r="B914" s="19"/>
      <c r="C914" s="20"/>
      <c r="D914" s="20"/>
      <c r="E914" s="21"/>
      <c r="F914" s="22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</row>
    <row r="915">
      <c r="A915" s="18"/>
      <c r="B915" s="19"/>
      <c r="C915" s="20"/>
      <c r="D915" s="20"/>
      <c r="E915" s="21"/>
      <c r="F915" s="22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</row>
    <row r="916">
      <c r="A916" s="18"/>
      <c r="B916" s="19"/>
      <c r="C916" s="20"/>
      <c r="D916" s="20"/>
      <c r="E916" s="21"/>
      <c r="F916" s="22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</row>
    <row r="917">
      <c r="A917" s="18"/>
      <c r="B917" s="19"/>
      <c r="C917" s="20"/>
      <c r="D917" s="20"/>
      <c r="E917" s="21"/>
      <c r="F917" s="22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</row>
    <row r="918">
      <c r="A918" s="18"/>
      <c r="B918" s="19"/>
      <c r="C918" s="20"/>
      <c r="D918" s="20"/>
      <c r="E918" s="21"/>
      <c r="F918" s="22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</row>
    <row r="919">
      <c r="A919" s="18"/>
      <c r="B919" s="19"/>
      <c r="C919" s="20"/>
      <c r="D919" s="20"/>
      <c r="E919" s="21"/>
      <c r="F919" s="22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>
      <c r="A920" s="18"/>
      <c r="B920" s="19"/>
      <c r="C920" s="20"/>
      <c r="D920" s="20"/>
      <c r="E920" s="21"/>
      <c r="F920" s="22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</row>
    <row r="921">
      <c r="A921" s="18"/>
      <c r="B921" s="19"/>
      <c r="C921" s="20"/>
      <c r="D921" s="20"/>
      <c r="E921" s="21"/>
      <c r="F921" s="22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</row>
    <row r="922">
      <c r="A922" s="18"/>
      <c r="B922" s="19"/>
      <c r="C922" s="20"/>
      <c r="D922" s="20"/>
      <c r="E922" s="21"/>
      <c r="F922" s="22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</row>
    <row r="923">
      <c r="A923" s="18"/>
      <c r="B923" s="19"/>
      <c r="C923" s="20"/>
      <c r="D923" s="20"/>
      <c r="E923" s="21"/>
      <c r="F923" s="22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</row>
    <row r="924">
      <c r="A924" s="18"/>
      <c r="B924" s="19"/>
      <c r="C924" s="20"/>
      <c r="D924" s="20"/>
      <c r="E924" s="21"/>
      <c r="F924" s="22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</row>
    <row r="925">
      <c r="A925" s="18"/>
      <c r="B925" s="19"/>
      <c r="C925" s="20"/>
      <c r="D925" s="20"/>
      <c r="E925" s="21"/>
      <c r="F925" s="22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</row>
    <row r="926">
      <c r="A926" s="18"/>
      <c r="B926" s="19"/>
      <c r="C926" s="20"/>
      <c r="D926" s="20"/>
      <c r="E926" s="21"/>
      <c r="F926" s="22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</row>
    <row r="927">
      <c r="A927" s="18"/>
      <c r="B927" s="19"/>
      <c r="C927" s="20"/>
      <c r="D927" s="20"/>
      <c r="E927" s="21"/>
      <c r="F927" s="22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</row>
    <row r="928">
      <c r="A928" s="18"/>
      <c r="B928" s="19"/>
      <c r="C928" s="20"/>
      <c r="D928" s="20"/>
      <c r="E928" s="21"/>
      <c r="F928" s="22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</row>
    <row r="929">
      <c r="A929" s="18"/>
      <c r="B929" s="19"/>
      <c r="C929" s="20"/>
      <c r="D929" s="20"/>
      <c r="E929" s="21"/>
      <c r="F929" s="22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</row>
    <row r="930">
      <c r="A930" s="18"/>
      <c r="B930" s="19"/>
      <c r="C930" s="20"/>
      <c r="D930" s="20"/>
      <c r="E930" s="21"/>
      <c r="F930" s="22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</row>
    <row r="931">
      <c r="A931" s="18"/>
      <c r="B931" s="19"/>
      <c r="C931" s="20"/>
      <c r="D931" s="20"/>
      <c r="E931" s="21"/>
      <c r="F931" s="22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</row>
    <row r="932">
      <c r="A932" s="18"/>
      <c r="B932" s="19"/>
      <c r="C932" s="20"/>
      <c r="D932" s="20"/>
      <c r="E932" s="21"/>
      <c r="F932" s="22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</row>
    <row r="933">
      <c r="A933" s="18"/>
      <c r="B933" s="19"/>
      <c r="C933" s="20"/>
      <c r="D933" s="20"/>
      <c r="E933" s="21"/>
      <c r="F933" s="22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</row>
    <row r="934">
      <c r="A934" s="18"/>
      <c r="B934" s="19"/>
      <c r="C934" s="20"/>
      <c r="D934" s="20"/>
      <c r="E934" s="21"/>
      <c r="F934" s="22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</row>
    <row r="935">
      <c r="A935" s="18"/>
      <c r="B935" s="19"/>
      <c r="C935" s="20"/>
      <c r="D935" s="20"/>
      <c r="E935" s="21"/>
      <c r="F935" s="22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</row>
    <row r="936">
      <c r="A936" s="18"/>
      <c r="B936" s="19"/>
      <c r="C936" s="20"/>
      <c r="D936" s="20"/>
      <c r="E936" s="21"/>
      <c r="F936" s="22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</row>
    <row r="937">
      <c r="A937" s="18"/>
      <c r="B937" s="19"/>
      <c r="C937" s="20"/>
      <c r="D937" s="20"/>
      <c r="E937" s="21"/>
      <c r="F937" s="22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</row>
    <row r="938">
      <c r="A938" s="18"/>
      <c r="B938" s="19"/>
      <c r="C938" s="20"/>
      <c r="D938" s="20"/>
      <c r="E938" s="21"/>
      <c r="F938" s="22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</row>
    <row r="939">
      <c r="A939" s="18"/>
      <c r="B939" s="19"/>
      <c r="C939" s="20"/>
      <c r="D939" s="20"/>
      <c r="E939" s="21"/>
      <c r="F939" s="22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</row>
    <row r="940">
      <c r="A940" s="18"/>
      <c r="B940" s="19"/>
      <c r="C940" s="20"/>
      <c r="D940" s="20"/>
      <c r="E940" s="21"/>
      <c r="F940" s="22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</row>
    <row r="941">
      <c r="A941" s="18"/>
      <c r="B941" s="19"/>
      <c r="C941" s="20"/>
      <c r="D941" s="20"/>
      <c r="E941" s="21"/>
      <c r="F941" s="22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>
      <c r="A942" s="18"/>
      <c r="B942" s="19"/>
      <c r="C942" s="20"/>
      <c r="D942" s="20"/>
      <c r="E942" s="21"/>
      <c r="F942" s="22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</row>
    <row r="943">
      <c r="A943" s="18"/>
      <c r="B943" s="19"/>
      <c r="C943" s="20"/>
      <c r="D943" s="20"/>
      <c r="E943" s="21"/>
      <c r="F943" s="22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</row>
    <row r="944">
      <c r="A944" s="18"/>
      <c r="B944" s="19"/>
      <c r="C944" s="20"/>
      <c r="D944" s="20"/>
      <c r="E944" s="21"/>
      <c r="F944" s="22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</row>
    <row r="945">
      <c r="A945" s="18"/>
      <c r="B945" s="19"/>
      <c r="C945" s="20"/>
      <c r="D945" s="20"/>
      <c r="E945" s="21"/>
      <c r="F945" s="22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</row>
    <row r="946">
      <c r="A946" s="18"/>
      <c r="B946" s="19"/>
      <c r="C946" s="20"/>
      <c r="D946" s="20"/>
      <c r="E946" s="21"/>
      <c r="F946" s="22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7">
      <c r="A947" s="18"/>
      <c r="B947" s="19"/>
      <c r="C947" s="20"/>
      <c r="D947" s="20"/>
      <c r="E947" s="21"/>
      <c r="F947" s="22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</row>
    <row r="948">
      <c r="A948" s="18"/>
      <c r="B948" s="19"/>
      <c r="C948" s="20"/>
      <c r="D948" s="20"/>
      <c r="E948" s="21"/>
      <c r="F948" s="22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</row>
    <row r="949">
      <c r="A949" s="18"/>
      <c r="B949" s="19"/>
      <c r="C949" s="20"/>
      <c r="D949" s="20"/>
      <c r="E949" s="21"/>
      <c r="F949" s="22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</row>
    <row r="950">
      <c r="A950" s="18"/>
      <c r="B950" s="19"/>
      <c r="C950" s="20"/>
      <c r="D950" s="20"/>
      <c r="E950" s="21"/>
      <c r="F950" s="22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</row>
    <row r="951">
      <c r="A951" s="18"/>
      <c r="B951" s="19"/>
      <c r="C951" s="20"/>
      <c r="D951" s="20"/>
      <c r="E951" s="21"/>
      <c r="F951" s="22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</row>
    <row r="952">
      <c r="A952" s="18"/>
      <c r="B952" s="19"/>
      <c r="C952" s="20"/>
      <c r="D952" s="20"/>
      <c r="E952" s="21"/>
      <c r="F952" s="22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</row>
    <row r="953">
      <c r="A953" s="18"/>
      <c r="B953" s="19"/>
      <c r="C953" s="20"/>
      <c r="D953" s="20"/>
      <c r="E953" s="21"/>
      <c r="F953" s="22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</row>
    <row r="954">
      <c r="A954" s="18"/>
      <c r="B954" s="19"/>
      <c r="C954" s="20"/>
      <c r="D954" s="20"/>
      <c r="E954" s="21"/>
      <c r="F954" s="22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</row>
    <row r="955">
      <c r="A955" s="18"/>
      <c r="B955" s="19"/>
      <c r="C955" s="20"/>
      <c r="D955" s="20"/>
      <c r="E955" s="21"/>
      <c r="F955" s="22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</row>
    <row r="956">
      <c r="A956" s="18"/>
      <c r="B956" s="19"/>
      <c r="C956" s="20"/>
      <c r="D956" s="20"/>
      <c r="E956" s="21"/>
      <c r="F956" s="22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</row>
    <row r="957">
      <c r="A957" s="18"/>
      <c r="B957" s="19"/>
      <c r="C957" s="20"/>
      <c r="D957" s="20"/>
      <c r="E957" s="21"/>
      <c r="F957" s="22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</row>
    <row r="958">
      <c r="A958" s="18"/>
      <c r="B958" s="19"/>
      <c r="C958" s="20"/>
      <c r="D958" s="20"/>
      <c r="E958" s="21"/>
      <c r="F958" s="22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59">
      <c r="A959" s="18"/>
      <c r="B959" s="19"/>
      <c r="C959" s="20"/>
      <c r="D959" s="20"/>
      <c r="E959" s="21"/>
      <c r="F959" s="22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</row>
    <row r="960">
      <c r="A960" s="18"/>
      <c r="B960" s="19"/>
      <c r="C960" s="20"/>
      <c r="D960" s="20"/>
      <c r="E960" s="21"/>
      <c r="F960" s="22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</row>
    <row r="961">
      <c r="A961" s="18"/>
      <c r="B961" s="19"/>
      <c r="C961" s="20"/>
      <c r="D961" s="20"/>
      <c r="E961" s="21"/>
      <c r="F961" s="22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</row>
    <row r="962">
      <c r="A962" s="18"/>
      <c r="B962" s="19"/>
      <c r="C962" s="20"/>
      <c r="D962" s="20"/>
      <c r="E962" s="21"/>
      <c r="F962" s="22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</row>
    <row r="963">
      <c r="A963" s="18"/>
      <c r="B963" s="19"/>
      <c r="C963" s="20"/>
      <c r="D963" s="20"/>
      <c r="E963" s="21"/>
      <c r="F963" s="22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>
      <c r="A964" s="18"/>
      <c r="B964" s="19"/>
      <c r="C964" s="20"/>
      <c r="D964" s="20"/>
      <c r="E964" s="21"/>
      <c r="F964" s="22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</row>
    <row r="965">
      <c r="A965" s="18"/>
      <c r="B965" s="19"/>
      <c r="C965" s="20"/>
      <c r="D965" s="20"/>
      <c r="E965" s="21"/>
      <c r="F965" s="22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</row>
    <row r="966">
      <c r="A966" s="18"/>
      <c r="B966" s="19"/>
      <c r="C966" s="20"/>
      <c r="D966" s="20"/>
      <c r="E966" s="21"/>
      <c r="F966" s="22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</row>
    <row r="967">
      <c r="A967" s="18"/>
      <c r="B967" s="19"/>
      <c r="C967" s="20"/>
      <c r="D967" s="20"/>
      <c r="E967" s="21"/>
      <c r="F967" s="22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</row>
    <row r="968">
      <c r="A968" s="18"/>
      <c r="B968" s="19"/>
      <c r="C968" s="20"/>
      <c r="D968" s="20"/>
      <c r="E968" s="21"/>
      <c r="F968" s="22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</row>
    <row r="969">
      <c r="A969" s="18"/>
      <c r="B969" s="19"/>
      <c r="C969" s="20"/>
      <c r="D969" s="20"/>
      <c r="E969" s="21"/>
      <c r="F969" s="22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</row>
    <row r="970">
      <c r="A970" s="18"/>
      <c r="B970" s="19"/>
      <c r="C970" s="20"/>
      <c r="D970" s="20"/>
      <c r="E970" s="21"/>
      <c r="F970" s="22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</row>
    <row r="971">
      <c r="A971" s="18"/>
      <c r="B971" s="19"/>
      <c r="C971" s="20"/>
      <c r="D971" s="20"/>
      <c r="E971" s="21"/>
      <c r="F971" s="22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</row>
    <row r="972">
      <c r="A972" s="18"/>
      <c r="B972" s="19"/>
      <c r="C972" s="20"/>
      <c r="D972" s="20"/>
      <c r="E972" s="21"/>
      <c r="F972" s="22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</row>
    <row r="973">
      <c r="A973" s="18"/>
      <c r="B973" s="19"/>
      <c r="C973" s="20"/>
      <c r="D973" s="20"/>
      <c r="E973" s="21"/>
      <c r="F973" s="22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</row>
    <row r="974">
      <c r="A974" s="18"/>
      <c r="B974" s="19"/>
      <c r="C974" s="20"/>
      <c r="D974" s="20"/>
      <c r="E974" s="21"/>
      <c r="F974" s="22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</row>
    <row r="975">
      <c r="A975" s="18"/>
      <c r="B975" s="19"/>
      <c r="C975" s="20"/>
      <c r="D975" s="20"/>
      <c r="E975" s="21"/>
      <c r="F975" s="22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>
      <c r="A976" s="18"/>
      <c r="B976" s="19"/>
      <c r="C976" s="20"/>
      <c r="D976" s="20"/>
      <c r="E976" s="21"/>
      <c r="F976" s="22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>
      <c r="A977" s="18"/>
      <c r="B977" s="19"/>
      <c r="C977" s="20"/>
      <c r="D977" s="20"/>
      <c r="E977" s="21"/>
      <c r="F977" s="22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>
      <c r="A978" s="18"/>
      <c r="B978" s="19"/>
      <c r="C978" s="20"/>
      <c r="D978" s="20"/>
      <c r="E978" s="21"/>
      <c r="F978" s="22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>
      <c r="A979" s="18"/>
      <c r="B979" s="19"/>
      <c r="C979" s="20"/>
      <c r="D979" s="20"/>
      <c r="E979" s="21"/>
      <c r="F979" s="22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>
      <c r="A980" s="18"/>
      <c r="B980" s="19"/>
      <c r="C980" s="20"/>
      <c r="D980" s="20"/>
      <c r="E980" s="21"/>
      <c r="F980" s="22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>
      <c r="A981" s="18"/>
      <c r="B981" s="19"/>
      <c r="C981" s="20"/>
      <c r="D981" s="20"/>
      <c r="E981" s="21"/>
      <c r="F981" s="22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>
      <c r="A982" s="18"/>
      <c r="B982" s="19"/>
      <c r="C982" s="20"/>
      <c r="D982" s="20"/>
      <c r="E982" s="21"/>
      <c r="F982" s="22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>
      <c r="A983" s="18"/>
      <c r="B983" s="19"/>
      <c r="C983" s="20"/>
      <c r="D983" s="20"/>
      <c r="E983" s="21"/>
      <c r="F983" s="22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>
      <c r="A984" s="18"/>
      <c r="B984" s="19"/>
      <c r="C984" s="20"/>
      <c r="D984" s="20"/>
      <c r="E984" s="21"/>
      <c r="F984" s="22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>
      <c r="A985" s="18"/>
      <c r="B985" s="19"/>
      <c r="C985" s="20"/>
      <c r="D985" s="20"/>
      <c r="E985" s="21"/>
      <c r="F985" s="22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>
      <c r="A986" s="18"/>
      <c r="B986" s="19"/>
      <c r="C986" s="20"/>
      <c r="D986" s="20"/>
      <c r="E986" s="21"/>
      <c r="F986" s="22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>
      <c r="A987" s="18"/>
      <c r="B987" s="19"/>
      <c r="C987" s="20"/>
      <c r="D987" s="20"/>
      <c r="E987" s="21"/>
      <c r="F987" s="22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>
      <c r="A988" s="18"/>
      <c r="B988" s="19"/>
      <c r="C988" s="20"/>
      <c r="D988" s="20"/>
      <c r="E988" s="21"/>
      <c r="F988" s="22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>
      <c r="A989" s="18"/>
      <c r="B989" s="19"/>
      <c r="C989" s="20"/>
      <c r="D989" s="20"/>
      <c r="E989" s="21"/>
      <c r="F989" s="22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>
      <c r="A990" s="18"/>
      <c r="B990" s="19"/>
      <c r="C990" s="20"/>
      <c r="D990" s="20"/>
      <c r="E990" s="21"/>
      <c r="F990" s="22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>
      <c r="A991" s="18"/>
      <c r="B991" s="19"/>
      <c r="C991" s="20"/>
      <c r="D991" s="20"/>
      <c r="E991" s="21"/>
      <c r="F991" s="22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>
      <c r="A992" s="18"/>
      <c r="B992" s="19"/>
      <c r="C992" s="20"/>
      <c r="D992" s="20"/>
      <c r="E992" s="21"/>
      <c r="F992" s="22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>
      <c r="A993" s="18"/>
      <c r="B993" s="19"/>
      <c r="C993" s="20"/>
      <c r="D993" s="20"/>
      <c r="E993" s="21"/>
      <c r="F993" s="22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>
      <c r="A994" s="18"/>
      <c r="B994" s="19"/>
      <c r="C994" s="20"/>
      <c r="D994" s="20"/>
      <c r="E994" s="21"/>
      <c r="F994" s="22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</row>
    <row r="995">
      <c r="A995" s="18"/>
      <c r="B995" s="19"/>
      <c r="C995" s="20"/>
      <c r="D995" s="20"/>
      <c r="E995" s="21"/>
      <c r="F995" s="22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</row>
    <row r="996">
      <c r="A996" s="18"/>
      <c r="B996" s="19"/>
      <c r="C996" s="20"/>
      <c r="D996" s="20"/>
      <c r="E996" s="21"/>
      <c r="F996" s="22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</row>
  </sheetData>
  <conditionalFormatting sqref="N1:Q996">
    <cfRule type="cellIs" dxfId="0" priority="1" operator="equal">
      <formula>"LOAD PENDING"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3" max="3" width="8.0"/>
    <col customWidth="1" min="4" max="4" width="17.5"/>
    <col customWidth="1" min="5" max="5" width="10.38"/>
    <col customWidth="1" min="6" max="6" width="24.5"/>
    <col customWidth="1" min="7" max="7" width="15.25"/>
    <col customWidth="1" min="8" max="9" width="5.0"/>
    <col customWidth="1" min="10" max="10" width="5.5"/>
    <col customWidth="1" min="11" max="11" width="5.0"/>
    <col customWidth="1" min="13" max="13" width="24.5"/>
    <col customWidth="1" min="14" max="14" width="23.13"/>
  </cols>
  <sheetData>
    <row r="1">
      <c r="A1" s="23" t="s">
        <v>1559</v>
      </c>
      <c r="B1" s="23" t="s">
        <v>1560</v>
      </c>
      <c r="C1" s="23" t="s">
        <v>1561</v>
      </c>
      <c r="D1" s="23" t="s">
        <v>1562</v>
      </c>
      <c r="E1" s="23" t="s">
        <v>1563</v>
      </c>
      <c r="F1" s="23" t="s">
        <v>1564</v>
      </c>
      <c r="G1" s="23" t="s">
        <v>1565</v>
      </c>
      <c r="H1" s="23" t="s">
        <v>1566</v>
      </c>
      <c r="I1" s="23" t="s">
        <v>1567</v>
      </c>
      <c r="J1" s="23" t="s">
        <v>1568</v>
      </c>
      <c r="K1" s="23" t="s">
        <v>1569</v>
      </c>
      <c r="L1" s="24" t="s">
        <v>1570</v>
      </c>
      <c r="M1" s="23" t="s">
        <v>257</v>
      </c>
      <c r="N1" s="23" t="s">
        <v>1571</v>
      </c>
    </row>
    <row r="2" ht="39.0" customHeight="1">
      <c r="A2" s="25">
        <f t="array" ref="A2:A31">SEQUENCE(COUNTA(B2:B31),1)</f>
        <v>1</v>
      </c>
      <c r="B2" s="25" t="s">
        <v>0</v>
      </c>
      <c r="C2" s="25" t="s">
        <v>1572</v>
      </c>
      <c r="D2" s="25" t="s">
        <v>1573</v>
      </c>
      <c r="E2" s="25" t="s">
        <v>1574</v>
      </c>
      <c r="F2" s="26" t="s">
        <v>1575</v>
      </c>
      <c r="G2" s="25" t="s">
        <v>1576</v>
      </c>
      <c r="H2" s="25">
        <v>3.0</v>
      </c>
      <c r="I2" s="25">
        <v>1.0</v>
      </c>
      <c r="J2" s="25">
        <v>0.0</v>
      </c>
      <c r="K2" s="25">
        <v>4.0</v>
      </c>
      <c r="L2" s="27" t="s">
        <v>1262</v>
      </c>
      <c r="M2" s="28" t="str">
        <f>IFNA(VLOOKUP(L2,'Faculty Details'!$B:$H,4,0),"")</f>
        <v>Mrs.PREETHA R</v>
      </c>
      <c r="N2" s="28" t="str">
        <f>IFNA(VLOOKUP(L2,'Faculty Details'!$B:$H,7,0),"")</f>
        <v>preetha@bitsathy.ac.in</v>
      </c>
    </row>
    <row r="3" ht="39.0" customHeight="1">
      <c r="A3" s="25">
        <v>2.0</v>
      </c>
      <c r="B3" s="25" t="s">
        <v>0</v>
      </c>
      <c r="C3" s="25" t="s">
        <v>1572</v>
      </c>
      <c r="D3" s="25" t="s">
        <v>1573</v>
      </c>
      <c r="E3" s="25" t="s">
        <v>1577</v>
      </c>
      <c r="F3" s="26" t="s">
        <v>1578</v>
      </c>
      <c r="G3" s="25" t="s">
        <v>1579</v>
      </c>
      <c r="H3" s="25">
        <v>2.0</v>
      </c>
      <c r="I3" s="25">
        <v>0.0</v>
      </c>
      <c r="J3" s="25">
        <v>2.0</v>
      </c>
      <c r="K3" s="25">
        <v>3.0</v>
      </c>
      <c r="L3" s="25" t="s">
        <v>1487</v>
      </c>
      <c r="M3" s="28" t="str">
        <f>IFNA(VLOOKUP(L3,'Faculty Details'!$B:$H,4,0),"")</f>
        <v>Dr.GOPI G</v>
      </c>
      <c r="N3" s="28" t="str">
        <f>IFNA(VLOOKUP(L3,'Faculty Details'!$B:$H,7,0),"")</f>
        <v>gopi@bitsathy.ac.in</v>
      </c>
    </row>
    <row r="4" ht="39.0" customHeight="1">
      <c r="A4" s="25">
        <v>3.0</v>
      </c>
      <c r="B4" s="25" t="s">
        <v>0</v>
      </c>
      <c r="C4" s="25" t="s">
        <v>1572</v>
      </c>
      <c r="D4" s="25" t="s">
        <v>1573</v>
      </c>
      <c r="E4" s="25" t="s">
        <v>1580</v>
      </c>
      <c r="F4" s="26" t="s">
        <v>1581</v>
      </c>
      <c r="G4" s="25" t="s">
        <v>1579</v>
      </c>
      <c r="H4" s="25">
        <v>2.0</v>
      </c>
      <c r="I4" s="25">
        <v>0.0</v>
      </c>
      <c r="J4" s="25">
        <v>2.0</v>
      </c>
      <c r="K4" s="25">
        <v>3.0</v>
      </c>
      <c r="L4" s="27" t="s">
        <v>638</v>
      </c>
      <c r="M4" s="28" t="str">
        <f>IFNA(VLOOKUP(L4,'Faculty Details'!$B:$H,4,0),"")</f>
        <v>Dr.KARUPPUSAMY S</v>
      </c>
      <c r="N4" s="28" t="str">
        <f>IFNA(VLOOKUP(L4,'Faculty Details'!$B:$H,7,0),"")</f>
        <v>karuppusamys@bitsathy.ac.in</v>
      </c>
    </row>
    <row r="5" ht="39.0" customHeight="1">
      <c r="A5" s="25">
        <v>4.0</v>
      </c>
      <c r="B5" s="25" t="s">
        <v>0</v>
      </c>
      <c r="C5" s="25" t="s">
        <v>1572</v>
      </c>
      <c r="D5" s="25" t="s">
        <v>1573</v>
      </c>
      <c r="E5" s="25" t="s">
        <v>1582</v>
      </c>
      <c r="F5" s="26" t="s">
        <v>1583</v>
      </c>
      <c r="G5" s="25" t="s">
        <v>1576</v>
      </c>
      <c r="H5" s="25">
        <v>3.0</v>
      </c>
      <c r="I5" s="25">
        <v>0.0</v>
      </c>
      <c r="J5" s="25">
        <v>0.0</v>
      </c>
      <c r="K5" s="25">
        <v>3.0</v>
      </c>
      <c r="L5" s="29" t="s">
        <v>774</v>
      </c>
      <c r="M5" s="28" t="str">
        <f>IFNA(VLOOKUP(L5,'Faculty Details'!$B:$H,4,0),"")</f>
        <v>Ms.PARKAVI S</v>
      </c>
      <c r="N5" s="28" t="str">
        <f>IFNA(VLOOKUP(L5,'Faculty Details'!$B:$H,7,0),"")</f>
        <v>parkavi@bitsathy.ac.in</v>
      </c>
    </row>
    <row r="6" ht="39.0" customHeight="1">
      <c r="A6" s="25">
        <v>5.0</v>
      </c>
      <c r="B6" s="25" t="s">
        <v>0</v>
      </c>
      <c r="C6" s="25" t="s">
        <v>1572</v>
      </c>
      <c r="D6" s="25" t="s">
        <v>1573</v>
      </c>
      <c r="E6" s="25" t="s">
        <v>1584</v>
      </c>
      <c r="F6" s="26" t="s">
        <v>1585</v>
      </c>
      <c r="G6" s="25" t="s">
        <v>1579</v>
      </c>
      <c r="H6" s="25">
        <v>2.0</v>
      </c>
      <c r="I6" s="25">
        <v>0.0</v>
      </c>
      <c r="J6" s="25">
        <v>2.0</v>
      </c>
      <c r="K6" s="25">
        <v>3.0</v>
      </c>
      <c r="L6" s="27" t="s">
        <v>924</v>
      </c>
      <c r="M6" s="30" t="str">
        <f>IFNA(VLOOKUP(L6,'Faculty Details'!$B:$H,4,0),"")</f>
        <v>Dr.SANKARANANTH S</v>
      </c>
      <c r="N6" s="30" t="str">
        <f>IFNA(VLOOKUP(L6,'Faculty Details'!$B:$H,7,0),"")</f>
        <v>sankarananth@bitsathy.ac.in</v>
      </c>
    </row>
    <row r="7" ht="39.0" customHeight="1">
      <c r="A7" s="25">
        <v>6.0</v>
      </c>
      <c r="B7" s="25" t="s">
        <v>0</v>
      </c>
      <c r="C7" s="25" t="s">
        <v>1572</v>
      </c>
      <c r="D7" s="25" t="s">
        <v>1573</v>
      </c>
      <c r="E7" s="25" t="s">
        <v>1586</v>
      </c>
      <c r="F7" s="26" t="s">
        <v>1587</v>
      </c>
      <c r="G7" s="25" t="s">
        <v>1588</v>
      </c>
      <c r="H7" s="25">
        <v>1.0</v>
      </c>
      <c r="I7" s="25">
        <v>0.0</v>
      </c>
      <c r="J7" s="25">
        <v>2.0</v>
      </c>
      <c r="K7" s="25">
        <v>2.0</v>
      </c>
      <c r="L7" s="27" t="s">
        <v>395</v>
      </c>
      <c r="M7" s="28" t="str">
        <f>IFNA(VLOOKUP(L7,'Faculty Details'!$B:$H,4,0),"")</f>
        <v>Dr.RAGHUL S</v>
      </c>
      <c r="N7" s="28" t="str">
        <f>IFNA(VLOOKUP(L7,'Faculty Details'!$B:$H,7,0),"")</f>
        <v>raghul@bitsathy.ac.in</v>
      </c>
    </row>
    <row r="8" ht="39.0" customHeight="1">
      <c r="A8" s="25">
        <v>7.0</v>
      </c>
      <c r="B8" s="25" t="s">
        <v>0</v>
      </c>
      <c r="C8" s="25" t="s">
        <v>1572</v>
      </c>
      <c r="D8" s="25" t="s">
        <v>1573</v>
      </c>
      <c r="E8" s="25" t="s">
        <v>1589</v>
      </c>
      <c r="F8" s="26" t="s">
        <v>1590</v>
      </c>
      <c r="G8" s="25" t="s">
        <v>1588</v>
      </c>
      <c r="H8" s="25">
        <v>1.0</v>
      </c>
      <c r="I8" s="25">
        <v>0.0</v>
      </c>
      <c r="J8" s="25">
        <v>0.0</v>
      </c>
      <c r="K8" s="25">
        <v>1.0</v>
      </c>
      <c r="L8" s="27" t="s">
        <v>1112</v>
      </c>
      <c r="M8" s="28" t="str">
        <f>IFNA(VLOOKUP(L8,'Faculty Details'!$B:$H,4,0),"")</f>
        <v>Dr.SAGUNTHALA DEVI P</v>
      </c>
      <c r="N8" s="28" t="str">
        <f>IFNA(VLOOKUP(L8,'Faculty Details'!$B:$H,7,0),"")</f>
        <v>sagunthaladevi@bitsathy.ac.in</v>
      </c>
    </row>
    <row r="9" ht="39.0" customHeight="1">
      <c r="A9" s="25">
        <v>8.0</v>
      </c>
      <c r="B9" s="25" t="s">
        <v>0</v>
      </c>
      <c r="C9" s="25" t="s">
        <v>1572</v>
      </c>
      <c r="D9" s="25" t="s">
        <v>1573</v>
      </c>
      <c r="E9" s="25" t="s">
        <v>1591</v>
      </c>
      <c r="F9" s="26" t="s">
        <v>1592</v>
      </c>
      <c r="G9" s="25"/>
      <c r="H9" s="25"/>
      <c r="I9" s="25"/>
      <c r="J9" s="25"/>
      <c r="K9" s="25"/>
      <c r="L9" s="27"/>
      <c r="M9" s="28"/>
      <c r="N9" s="28"/>
    </row>
    <row r="10" ht="39.0" customHeight="1">
      <c r="A10" s="25">
        <v>9.0</v>
      </c>
      <c r="B10" s="25" t="s">
        <v>0</v>
      </c>
      <c r="C10" s="25" t="s">
        <v>1572</v>
      </c>
      <c r="D10" s="25" t="s">
        <v>1593</v>
      </c>
      <c r="E10" s="25" t="s">
        <v>1594</v>
      </c>
      <c r="F10" s="26" t="s">
        <v>1595</v>
      </c>
      <c r="G10" s="25" t="s">
        <v>1588</v>
      </c>
      <c r="H10" s="25">
        <v>1.0</v>
      </c>
      <c r="I10" s="25">
        <v>0.0</v>
      </c>
      <c r="J10" s="25">
        <v>2.0</v>
      </c>
      <c r="K10" s="25">
        <v>2.0</v>
      </c>
      <c r="L10" s="27" t="s">
        <v>1108</v>
      </c>
      <c r="M10" s="28" t="str">
        <f>IFNA(VLOOKUP(L10,'Faculty Details'!$B:$H,4,0),"")</f>
        <v>Dr.AJAI A</v>
      </c>
      <c r="N10" s="28" t="str">
        <f>IFNA(VLOOKUP(L10,'Faculty Details'!$B:$H,7,0),"")</f>
        <v>ajai@bitsathy.ac.in</v>
      </c>
    </row>
    <row r="11" ht="39.0" customHeight="1">
      <c r="A11" s="25">
        <v>10.0</v>
      </c>
      <c r="B11" s="25" t="s">
        <v>0</v>
      </c>
      <c r="C11" s="25" t="s">
        <v>1596</v>
      </c>
      <c r="D11" s="25" t="s">
        <v>1573</v>
      </c>
      <c r="E11" s="25" t="s">
        <v>1597</v>
      </c>
      <c r="F11" s="26" t="s">
        <v>1598</v>
      </c>
      <c r="G11" s="25" t="s">
        <v>1579</v>
      </c>
      <c r="H11" s="25">
        <v>3.0</v>
      </c>
      <c r="I11" s="25">
        <v>0.0</v>
      </c>
      <c r="J11" s="25">
        <v>2.0</v>
      </c>
      <c r="K11" s="25">
        <v>4.0</v>
      </c>
      <c r="L11" s="31" t="s">
        <v>395</v>
      </c>
      <c r="M11" s="28" t="str">
        <f>IFNA(VLOOKUP(L11,'Faculty Details'!$B:$H,4,0),"")</f>
        <v>Dr.RAGHUL S</v>
      </c>
      <c r="N11" s="28" t="str">
        <f>IFNA(VLOOKUP(L11,'Faculty Details'!$B:$H,7,0),"")</f>
        <v>raghul@bitsathy.ac.in</v>
      </c>
    </row>
    <row r="12" ht="39.0" customHeight="1">
      <c r="A12" s="25">
        <v>11.0</v>
      </c>
      <c r="B12" s="25" t="s">
        <v>0</v>
      </c>
      <c r="C12" s="25" t="s">
        <v>1596</v>
      </c>
      <c r="D12" s="25" t="s">
        <v>1573</v>
      </c>
      <c r="E12" s="25" t="s">
        <v>1599</v>
      </c>
      <c r="F12" s="26" t="s">
        <v>1600</v>
      </c>
      <c r="G12" s="25" t="s">
        <v>1579</v>
      </c>
      <c r="H12" s="25">
        <v>3.0</v>
      </c>
      <c r="I12" s="25">
        <v>0.0</v>
      </c>
      <c r="J12" s="25">
        <v>2.0</v>
      </c>
      <c r="K12" s="25">
        <v>4.0</v>
      </c>
      <c r="L12" s="27" t="s">
        <v>380</v>
      </c>
      <c r="M12" s="28" t="str">
        <f>IFNA(VLOOKUP(L12,'Faculty Details'!$B:$H,4,0),"")</f>
        <v>Dr.VINOTH KUMAR J</v>
      </c>
      <c r="N12" s="28" t="str">
        <f>IFNA(VLOOKUP(L12,'Faculty Details'!$B:$H,7,0),"")</f>
        <v>vinothkumar@bitsathy.ac.in</v>
      </c>
    </row>
    <row r="13" ht="39.0" customHeight="1">
      <c r="A13" s="25">
        <v>12.0</v>
      </c>
      <c r="B13" s="25" t="s">
        <v>0</v>
      </c>
      <c r="C13" s="25" t="s">
        <v>1596</v>
      </c>
      <c r="D13" s="25" t="s">
        <v>1573</v>
      </c>
      <c r="E13" s="25" t="s">
        <v>1601</v>
      </c>
      <c r="F13" s="26" t="s">
        <v>1602</v>
      </c>
      <c r="G13" s="25" t="s">
        <v>1576</v>
      </c>
      <c r="H13" s="25">
        <v>2.0</v>
      </c>
      <c r="I13" s="25">
        <v>1.0</v>
      </c>
      <c r="J13" s="25">
        <v>2.0</v>
      </c>
      <c r="K13" s="25">
        <v>4.0</v>
      </c>
      <c r="L13" s="29" t="s">
        <v>1330</v>
      </c>
      <c r="M13" s="28" t="str">
        <f>IFNA(VLOOKUP(L13,'Faculty Details'!$B:$H,4,0),"")</f>
        <v>Mr.VIGNESH S</v>
      </c>
      <c r="N13" s="28" t="str">
        <f>IFNA(VLOOKUP(L13,'Faculty Details'!$B:$H,7,0),"")</f>
        <v>vignesh@bitsathy.ac.in</v>
      </c>
    </row>
    <row r="14" ht="39.0" customHeight="1">
      <c r="A14" s="25">
        <v>13.0</v>
      </c>
      <c r="B14" s="25" t="s">
        <v>0</v>
      </c>
      <c r="C14" s="25" t="s">
        <v>1596</v>
      </c>
      <c r="D14" s="25" t="s">
        <v>1573</v>
      </c>
      <c r="E14" s="25" t="s">
        <v>1601</v>
      </c>
      <c r="F14" s="26" t="s">
        <v>1602</v>
      </c>
      <c r="G14" s="25" t="s">
        <v>1588</v>
      </c>
      <c r="H14" s="25">
        <v>2.0</v>
      </c>
      <c r="I14" s="25">
        <v>1.0</v>
      </c>
      <c r="J14" s="25">
        <v>2.0</v>
      </c>
      <c r="K14" s="25">
        <v>4.0</v>
      </c>
      <c r="L14" s="29" t="s">
        <v>1330</v>
      </c>
      <c r="M14" s="28" t="str">
        <f>IFNA(VLOOKUP(L14,'Faculty Details'!$B:$H,4,0),"")</f>
        <v>Mr.VIGNESH S</v>
      </c>
      <c r="N14" s="28" t="str">
        <f>IFNA(VLOOKUP(L14,'Faculty Details'!$B:$H,7,0),"")</f>
        <v>vignesh@bitsathy.ac.in</v>
      </c>
    </row>
    <row r="15" ht="39.0" customHeight="1">
      <c r="A15" s="25">
        <v>14.0</v>
      </c>
      <c r="B15" s="25" t="s">
        <v>0</v>
      </c>
      <c r="C15" s="25" t="s">
        <v>1596</v>
      </c>
      <c r="D15" s="25" t="s">
        <v>1573</v>
      </c>
      <c r="E15" s="25" t="s">
        <v>1603</v>
      </c>
      <c r="F15" s="26" t="s">
        <v>1604</v>
      </c>
      <c r="G15" s="25" t="s">
        <v>1579</v>
      </c>
      <c r="H15" s="25">
        <v>3.0</v>
      </c>
      <c r="I15" s="25">
        <v>0.0</v>
      </c>
      <c r="J15" s="25">
        <v>2.0</v>
      </c>
      <c r="K15" s="25">
        <v>4.0</v>
      </c>
      <c r="L15" s="27" t="s">
        <v>401</v>
      </c>
      <c r="M15" s="28" t="str">
        <f>IFNA(VLOOKUP(L15,'Faculty Details'!$B:$H,4,0),"")</f>
        <v>Dr.UVARAJA V C</v>
      </c>
      <c r="N15" s="28" t="str">
        <f>IFNA(VLOOKUP(L15,'Faculty Details'!$B:$H,7,0),"")</f>
        <v>uvarajavc@bitsathy.ac.in</v>
      </c>
    </row>
    <row r="16" ht="39.0" customHeight="1">
      <c r="A16" s="25">
        <v>15.0</v>
      </c>
      <c r="B16" s="25" t="s">
        <v>0</v>
      </c>
      <c r="C16" s="25" t="s">
        <v>1596</v>
      </c>
      <c r="D16" s="25" t="s">
        <v>1573</v>
      </c>
      <c r="E16" s="25" t="s">
        <v>1605</v>
      </c>
      <c r="F16" s="26" t="s">
        <v>1606</v>
      </c>
      <c r="G16" s="25" t="s">
        <v>1576</v>
      </c>
      <c r="H16" s="25">
        <v>3.0</v>
      </c>
      <c r="I16" s="25">
        <v>1.0</v>
      </c>
      <c r="J16" s="25">
        <v>0.0</v>
      </c>
      <c r="K16" s="25">
        <v>4.0</v>
      </c>
      <c r="L16" s="27" t="s">
        <v>376</v>
      </c>
      <c r="M16" s="28" t="str">
        <f>IFNA(VLOOKUP(L16,'Faculty Details'!$B:$H,4,0),"")</f>
        <v>Dr.VASUDEVAN M</v>
      </c>
      <c r="N16" s="28" t="str">
        <f>IFNA(VLOOKUP(L16,'Faculty Details'!$B:$H,7,0),"")</f>
        <v>vasudevan@bitsathy.ac.in</v>
      </c>
    </row>
    <row r="17" ht="39.0" customHeight="1">
      <c r="A17" s="25">
        <v>16.0</v>
      </c>
      <c r="B17" s="25" t="s">
        <v>0</v>
      </c>
      <c r="C17" s="25" t="s">
        <v>1596</v>
      </c>
      <c r="D17" s="25" t="s">
        <v>1607</v>
      </c>
      <c r="E17" s="32" t="s">
        <v>2</v>
      </c>
      <c r="F17" s="33" t="s">
        <v>3</v>
      </c>
      <c r="G17" s="25" t="s">
        <v>1576</v>
      </c>
      <c r="H17" s="25">
        <v>3.0</v>
      </c>
      <c r="I17" s="25">
        <v>0.0</v>
      </c>
      <c r="J17" s="25">
        <v>0.0</v>
      </c>
      <c r="K17" s="25">
        <v>3.0</v>
      </c>
      <c r="L17" s="27" t="s">
        <v>386</v>
      </c>
      <c r="M17" s="28" t="str">
        <f>IFNA(VLOOKUP(L17,'Faculty Details'!$B:$H,4,0),"")</f>
        <v>Ms.ANANTHI D</v>
      </c>
      <c r="N17" s="28" t="str">
        <f>IFNA(VLOOKUP(L17,'Faculty Details'!$B:$H,7,0),"")</f>
        <v>ananthid@bitsathy.ac.in</v>
      </c>
    </row>
    <row r="18" ht="39.0" customHeight="1">
      <c r="A18" s="25">
        <v>17.0</v>
      </c>
      <c r="B18" s="25" t="s">
        <v>0</v>
      </c>
      <c r="C18" s="25" t="s">
        <v>1596</v>
      </c>
      <c r="D18" s="25" t="s">
        <v>1573</v>
      </c>
      <c r="E18" s="25" t="s">
        <v>1608</v>
      </c>
      <c r="F18" s="26" t="s">
        <v>1609</v>
      </c>
      <c r="G18" s="25" t="s">
        <v>1588</v>
      </c>
      <c r="H18" s="25">
        <v>2.0</v>
      </c>
      <c r="I18" s="25">
        <v>0.0</v>
      </c>
      <c r="J18" s="25">
        <v>0.0</v>
      </c>
      <c r="K18" s="25">
        <v>2.0</v>
      </c>
      <c r="L18" s="27" t="s">
        <v>656</v>
      </c>
      <c r="M18" s="28" t="str">
        <f>IFNA(VLOOKUP(L18,'Faculty Details'!$B:$H,4,0),"")</f>
        <v>Dr.PRAVEENA R</v>
      </c>
      <c r="N18" s="28" t="str">
        <f>IFNA(VLOOKUP(L18,'Faculty Details'!$B:$H,7,0),"")</f>
        <v>praveenar@bitsathy.ac.in</v>
      </c>
    </row>
    <row r="19" ht="39.0" customHeight="1">
      <c r="A19" s="25">
        <v>18.0</v>
      </c>
      <c r="B19" s="25" t="s">
        <v>0</v>
      </c>
      <c r="C19" s="25" t="s">
        <v>1596</v>
      </c>
      <c r="D19" s="25" t="s">
        <v>1573</v>
      </c>
      <c r="E19" s="25" t="s">
        <v>1610</v>
      </c>
      <c r="F19" s="34" t="s">
        <v>1611</v>
      </c>
      <c r="G19" s="25" t="s">
        <v>1588</v>
      </c>
      <c r="H19" s="25">
        <v>0.0</v>
      </c>
      <c r="I19" s="25">
        <v>0.0</v>
      </c>
      <c r="J19" s="25">
        <v>2.0</v>
      </c>
      <c r="K19" s="25">
        <v>1.0</v>
      </c>
      <c r="L19" s="27" t="s">
        <v>1108</v>
      </c>
      <c r="M19" s="28" t="str">
        <f>IFNA(VLOOKUP(L19,'Faculty Details'!$B:$H,4,0),"")</f>
        <v>Dr.AJAI A</v>
      </c>
      <c r="N19" s="28" t="str">
        <f>IFNA(VLOOKUP(L19,'Faculty Details'!$B:$H,7,0),"")</f>
        <v>ajai@bitsathy.ac.in</v>
      </c>
    </row>
    <row r="20" ht="39.0" customHeight="1">
      <c r="A20" s="25">
        <v>19.0</v>
      </c>
      <c r="B20" s="25" t="s">
        <v>0</v>
      </c>
      <c r="C20" s="25" t="s">
        <v>1612</v>
      </c>
      <c r="D20" s="25" t="s">
        <v>1573</v>
      </c>
      <c r="E20" s="25" t="s">
        <v>1613</v>
      </c>
      <c r="F20" s="26" t="s">
        <v>1614</v>
      </c>
      <c r="G20" s="25" t="s">
        <v>1579</v>
      </c>
      <c r="H20" s="25">
        <v>3.0</v>
      </c>
      <c r="I20" s="25">
        <v>0.0</v>
      </c>
      <c r="J20" s="25">
        <v>2.0</v>
      </c>
      <c r="K20" s="25">
        <v>4.0</v>
      </c>
      <c r="L20" s="27" t="s">
        <v>392</v>
      </c>
      <c r="M20" s="28" t="str">
        <f>IFNA(VLOOKUP(L20,'Faculty Details'!$B:$H,4,0),"")</f>
        <v>Dr.PRAVEEN KUMAR D</v>
      </c>
      <c r="N20" s="28" t="str">
        <f>IFNA(VLOOKUP(L20,'Faculty Details'!$B:$H,7,0),"")</f>
        <v>praveenkumard@bitsathy.ac.in</v>
      </c>
    </row>
    <row r="21" ht="39.0" customHeight="1">
      <c r="A21" s="25">
        <v>20.0</v>
      </c>
      <c r="B21" s="25" t="s">
        <v>0</v>
      </c>
      <c r="C21" s="25" t="s">
        <v>1612</v>
      </c>
      <c r="D21" s="25" t="s">
        <v>1573</v>
      </c>
      <c r="E21" s="25" t="s">
        <v>1615</v>
      </c>
      <c r="F21" s="26" t="s">
        <v>1616</v>
      </c>
      <c r="G21" s="25" t="s">
        <v>1576</v>
      </c>
      <c r="H21" s="25">
        <v>3.0</v>
      </c>
      <c r="I21" s="25">
        <v>0.0</v>
      </c>
      <c r="J21" s="25">
        <v>2.0</v>
      </c>
      <c r="K21" s="25">
        <v>4.0</v>
      </c>
      <c r="L21" s="27" t="s">
        <v>383</v>
      </c>
      <c r="M21" s="28" t="str">
        <f>IFNA(VLOOKUP(L21,'Faculty Details'!$B:$H,4,0),"")</f>
        <v>Dr.CHELLADURAI V</v>
      </c>
      <c r="N21" s="28" t="str">
        <f>IFNA(VLOOKUP(L21,'Faculty Details'!$B:$H,7,0),"")</f>
        <v>chelladurai@bitsathy.ac.in</v>
      </c>
    </row>
    <row r="22" ht="39.0" customHeight="1">
      <c r="A22" s="25">
        <v>21.0</v>
      </c>
      <c r="B22" s="25" t="s">
        <v>0</v>
      </c>
      <c r="C22" s="25" t="s">
        <v>1612</v>
      </c>
      <c r="D22" s="25" t="s">
        <v>1573</v>
      </c>
      <c r="E22" s="25" t="s">
        <v>1615</v>
      </c>
      <c r="F22" s="26" t="s">
        <v>1616</v>
      </c>
      <c r="G22" s="25" t="s">
        <v>1588</v>
      </c>
      <c r="H22" s="25">
        <v>3.0</v>
      </c>
      <c r="I22" s="25">
        <v>0.0</v>
      </c>
      <c r="J22" s="25">
        <v>2.0</v>
      </c>
      <c r="K22" s="25">
        <v>4.0</v>
      </c>
      <c r="L22" s="27" t="s">
        <v>386</v>
      </c>
      <c r="M22" s="28" t="str">
        <f>IFNA(VLOOKUP(L22,'Faculty Details'!$B:$H,4,0),"")</f>
        <v>Ms.ANANTHI D</v>
      </c>
      <c r="N22" s="28" t="str">
        <f>IFNA(VLOOKUP(L22,'Faculty Details'!$B:$H,7,0),"")</f>
        <v>ananthid@bitsathy.ac.in</v>
      </c>
    </row>
    <row r="23" ht="39.0" customHeight="1">
      <c r="A23" s="25">
        <v>22.0</v>
      </c>
      <c r="B23" s="25" t="s">
        <v>0</v>
      </c>
      <c r="C23" s="25" t="s">
        <v>1612</v>
      </c>
      <c r="D23" s="25" t="s">
        <v>1573</v>
      </c>
      <c r="E23" s="25" t="s">
        <v>1617</v>
      </c>
      <c r="F23" s="26" t="s">
        <v>1618</v>
      </c>
      <c r="G23" s="25" t="s">
        <v>1579</v>
      </c>
      <c r="H23" s="25">
        <v>3.0</v>
      </c>
      <c r="I23" s="25">
        <v>0.0</v>
      </c>
      <c r="J23" s="25">
        <v>2.0</v>
      </c>
      <c r="K23" s="25">
        <v>4.0</v>
      </c>
      <c r="L23" s="27" t="s">
        <v>376</v>
      </c>
      <c r="M23" s="28" t="str">
        <f>IFNA(VLOOKUP(L23,'Faculty Details'!$B:$H,4,0),"")</f>
        <v>Dr.VASUDEVAN M</v>
      </c>
      <c r="N23" s="28" t="str">
        <f>IFNA(VLOOKUP(L23,'Faculty Details'!$B:$H,7,0),"")</f>
        <v>vasudevan@bitsathy.ac.in</v>
      </c>
    </row>
    <row r="24" ht="39.0" customHeight="1">
      <c r="A24" s="25">
        <v>23.0</v>
      </c>
      <c r="B24" s="25" t="s">
        <v>0</v>
      </c>
      <c r="C24" s="25" t="s">
        <v>1612</v>
      </c>
      <c r="D24" s="25" t="s">
        <v>1619</v>
      </c>
      <c r="E24" s="32" t="s">
        <v>53</v>
      </c>
      <c r="F24" s="33" t="s">
        <v>54</v>
      </c>
      <c r="G24" s="25" t="s">
        <v>1576</v>
      </c>
      <c r="H24" s="25">
        <v>3.0</v>
      </c>
      <c r="I24" s="25">
        <v>0.0</v>
      </c>
      <c r="J24" s="25">
        <v>0.0</v>
      </c>
      <c r="K24" s="25">
        <v>3.0</v>
      </c>
      <c r="L24" s="27" t="s">
        <v>389</v>
      </c>
      <c r="M24" s="28" t="str">
        <f>IFNA(VLOOKUP(L24,'Faculty Details'!$B:$H,4,0),"")</f>
        <v>Mr.MUTHUKUMARAVEL K</v>
      </c>
      <c r="N24" s="28" t="str">
        <f>IFNA(VLOOKUP(L24,'Faculty Details'!$B:$H,7,0),"")</f>
        <v>muthukumaravelk@bitsathy.ac.in</v>
      </c>
    </row>
    <row r="25" ht="39.0" customHeight="1">
      <c r="A25" s="25">
        <v>24.0</v>
      </c>
      <c r="B25" s="25" t="s">
        <v>0</v>
      </c>
      <c r="C25" s="25" t="s">
        <v>1612</v>
      </c>
      <c r="D25" s="25" t="s">
        <v>1620</v>
      </c>
      <c r="E25" s="32" t="s">
        <v>56</v>
      </c>
      <c r="F25" s="33" t="s">
        <v>57</v>
      </c>
      <c r="G25" s="25" t="s">
        <v>1576</v>
      </c>
      <c r="H25" s="25">
        <v>3.0</v>
      </c>
      <c r="I25" s="25">
        <v>0.0</v>
      </c>
      <c r="J25" s="25">
        <v>0.0</v>
      </c>
      <c r="K25" s="25">
        <v>3.0</v>
      </c>
      <c r="L25" s="27" t="s">
        <v>401</v>
      </c>
      <c r="M25" s="28" t="str">
        <f>IFNA(VLOOKUP(L25,'Faculty Details'!$B:$H,4,0),"")</f>
        <v>Dr.UVARAJA V C</v>
      </c>
      <c r="N25" s="28" t="str">
        <f>IFNA(VLOOKUP(L25,'Faculty Details'!$B:$H,7,0),"")</f>
        <v>uvarajavc@bitsathy.ac.in</v>
      </c>
    </row>
    <row r="26" ht="39.0" customHeight="1">
      <c r="A26" s="25">
        <v>25.0</v>
      </c>
      <c r="B26" s="25" t="s">
        <v>0</v>
      </c>
      <c r="C26" s="25" t="s">
        <v>1612</v>
      </c>
      <c r="D26" s="25" t="s">
        <v>1621</v>
      </c>
      <c r="E26" s="35" t="s">
        <v>59</v>
      </c>
      <c r="F26" s="33" t="s">
        <v>60</v>
      </c>
      <c r="G26" s="25" t="s">
        <v>1576</v>
      </c>
      <c r="H26" s="25">
        <v>3.0</v>
      </c>
      <c r="I26" s="25">
        <v>0.0</v>
      </c>
      <c r="J26" s="25">
        <v>0.0</v>
      </c>
      <c r="K26" s="25">
        <v>3.0</v>
      </c>
      <c r="L26" s="27" t="s">
        <v>386</v>
      </c>
      <c r="M26" s="28" t="str">
        <f>IFNA(VLOOKUP(L26,'Faculty Details'!$B:$H,4,0),"")</f>
        <v>Ms.ANANTHI D</v>
      </c>
      <c r="N26" s="28" t="str">
        <f>IFNA(VLOOKUP(L26,'Faculty Details'!$B:$H,7,0),"")</f>
        <v>ananthid@bitsathy.ac.in</v>
      </c>
    </row>
    <row r="27" ht="39.0" customHeight="1">
      <c r="A27" s="25">
        <v>26.0</v>
      </c>
      <c r="B27" s="25" t="s">
        <v>0</v>
      </c>
      <c r="C27" s="25" t="s">
        <v>1612</v>
      </c>
      <c r="D27" s="25" t="s">
        <v>1622</v>
      </c>
      <c r="E27" s="32" t="s">
        <v>50</v>
      </c>
      <c r="F27" s="33" t="s">
        <v>51</v>
      </c>
      <c r="G27" s="25" t="s">
        <v>1576</v>
      </c>
      <c r="H27" s="25">
        <v>3.0</v>
      </c>
      <c r="I27" s="25">
        <v>0.0</v>
      </c>
      <c r="J27" s="25">
        <v>0.0</v>
      </c>
      <c r="K27" s="25">
        <v>3.0</v>
      </c>
      <c r="L27" s="27" t="s">
        <v>398</v>
      </c>
      <c r="M27" s="28" t="str">
        <f>IFNA(VLOOKUP(L27,'Faculty Details'!$B:$H,4,0),"")</f>
        <v>Ms.SNEKHA A R</v>
      </c>
      <c r="N27" s="28" t="str">
        <f>IFNA(VLOOKUP(L27,'Faculty Details'!$B:$H,7,0),"")</f>
        <v>snekhaar@bitsathy.ac.in</v>
      </c>
    </row>
    <row r="28" ht="39.0" customHeight="1">
      <c r="A28" s="25">
        <v>27.0</v>
      </c>
      <c r="B28" s="25" t="s">
        <v>0</v>
      </c>
      <c r="C28" s="25" t="s">
        <v>1612</v>
      </c>
      <c r="D28" s="25" t="s">
        <v>1623</v>
      </c>
      <c r="E28" s="32" t="s">
        <v>1624</v>
      </c>
      <c r="F28" s="36" t="s">
        <v>1625</v>
      </c>
      <c r="G28" s="25" t="s">
        <v>1576</v>
      </c>
      <c r="H28" s="25">
        <v>3.0</v>
      </c>
      <c r="I28" s="25">
        <v>0.0</v>
      </c>
      <c r="J28" s="25">
        <v>0.0</v>
      </c>
      <c r="K28" s="25">
        <v>3.0</v>
      </c>
      <c r="L28" s="27" t="s">
        <v>392</v>
      </c>
      <c r="M28" s="28" t="str">
        <f>IFNA(VLOOKUP(L28,'Faculty Details'!$B:$H,4,0),"")</f>
        <v>Dr.PRAVEEN KUMAR D</v>
      </c>
      <c r="N28" s="28" t="str">
        <f>IFNA(VLOOKUP(L28,'Faculty Details'!$B:$H,7,0),"")</f>
        <v>praveenkumard@bitsathy.ac.in</v>
      </c>
    </row>
    <row r="29" ht="39.0" customHeight="1">
      <c r="A29" s="25">
        <v>28.0</v>
      </c>
      <c r="B29" s="25" t="s">
        <v>0</v>
      </c>
      <c r="C29" s="25" t="s">
        <v>1612</v>
      </c>
      <c r="D29" s="25" t="s">
        <v>1623</v>
      </c>
      <c r="E29" s="32" t="s">
        <v>1626</v>
      </c>
      <c r="F29" s="36" t="s">
        <v>1627</v>
      </c>
      <c r="G29" s="25" t="s">
        <v>1576</v>
      </c>
      <c r="H29" s="25">
        <v>3.0</v>
      </c>
      <c r="I29" s="25">
        <v>0.0</v>
      </c>
      <c r="J29" s="25">
        <v>0.0</v>
      </c>
      <c r="K29" s="25">
        <v>3.0</v>
      </c>
      <c r="L29" s="27" t="s">
        <v>398</v>
      </c>
      <c r="M29" s="28" t="str">
        <f>IFNA(VLOOKUP(L29,'Faculty Details'!$B:$H,4,0),"")</f>
        <v>Ms.SNEKHA A R</v>
      </c>
      <c r="N29" s="28" t="str">
        <f>IFNA(VLOOKUP(L29,'Faculty Details'!$B:$H,7,0),"")</f>
        <v>snekhaar@bitsathy.ac.in</v>
      </c>
    </row>
    <row r="30" ht="39.0" customHeight="1">
      <c r="A30" s="25">
        <v>29.0</v>
      </c>
      <c r="B30" s="25" t="s">
        <v>0</v>
      </c>
      <c r="C30" s="25" t="s">
        <v>1612</v>
      </c>
      <c r="D30" s="25" t="s">
        <v>1628</v>
      </c>
      <c r="E30" s="25" t="s">
        <v>1629</v>
      </c>
      <c r="F30" s="26" t="s">
        <v>1630</v>
      </c>
      <c r="G30" s="25" t="s">
        <v>1588</v>
      </c>
      <c r="H30" s="25">
        <v>0.0</v>
      </c>
      <c r="I30" s="25">
        <v>0.0</v>
      </c>
      <c r="J30" s="25">
        <v>2.0</v>
      </c>
      <c r="K30" s="25">
        <v>1.0</v>
      </c>
      <c r="L30" s="27"/>
      <c r="M30" s="28" t="str">
        <f>IFNA(VLOOKUP(L30,'Faculty Details'!$B:$H,4,0),"")</f>
        <v/>
      </c>
      <c r="N30" s="28" t="str">
        <f>IFNA(VLOOKUP(L30,'Faculty Details'!$B:$H,7,0),"")</f>
        <v/>
      </c>
    </row>
    <row r="31" ht="39.0" customHeight="1">
      <c r="A31" s="25">
        <v>30.0</v>
      </c>
      <c r="B31" s="25" t="s">
        <v>0</v>
      </c>
      <c r="C31" s="25" t="s">
        <v>1631</v>
      </c>
      <c r="D31" s="37" t="s">
        <v>1632</v>
      </c>
      <c r="E31" s="25" t="s">
        <v>1633</v>
      </c>
      <c r="F31" s="26" t="s">
        <v>1634</v>
      </c>
      <c r="G31" s="25" t="s">
        <v>1588</v>
      </c>
      <c r="H31" s="25">
        <v>0.0</v>
      </c>
      <c r="I31" s="25">
        <v>0.0</v>
      </c>
      <c r="J31" s="25">
        <v>18.0</v>
      </c>
      <c r="K31" s="25">
        <v>9.0</v>
      </c>
      <c r="L31" s="27"/>
      <c r="M31" s="28" t="str">
        <f>IFNA(VLOOKUP(L31,'Faculty Details'!$B:$H,4,0),"")</f>
        <v/>
      </c>
      <c r="N31" s="28" t="str">
        <f>IFNA(VLOOKUP(L31,'Faculty Details'!$B:$H,7,0),"")</f>
        <v/>
      </c>
    </row>
  </sheetData>
  <conditionalFormatting sqref="L2:L31">
    <cfRule type="containsBlanks" dxfId="1" priority="1">
      <formula>LEN(TRIM(L2))=0</formula>
    </cfRule>
  </conditionalFormatting>
  <dataValidations>
    <dataValidation type="list" allowBlank="1" showErrorMessage="1" sqref="C2:C31">
      <formula1>"S2,S4,S6,S8"</formula1>
    </dataValidation>
    <dataValidation type="list" allowBlank="1" showErrorMessage="1" sqref="G2:G31">
      <formula1>"THEORY,THEORY WITH LAB,LAB"</formula1>
    </dataValidation>
    <dataValidation type="list" allowBlank="1" showErrorMessage="1" sqref="D2:D9 D11:D18 D31">
      <formula1>"CORE,ELECTIVE 1,OPEN ELECTIVE,ELECTIVE 6,ELECTIVE 7,ELECTIVE 8,ELECTIVE 9,HONOURS,MINOR,ELECTIVE 3,ELECTIVE 4,PROJECT"</formula1>
    </dataValidation>
    <dataValidation type="list" allowBlank="1" showErrorMessage="1" sqref="D19:D30">
      <formula1>"CORE,ELECTIVE 1,OPEN ELECTIVE,ELECTIVE 3,ELECTIVE 4,ELECTIVE 5,HONOURS,MINOR,LAB,PROJECT,MINI PROJECT,ADD COURSE"</formula1>
    </dataValidation>
    <dataValidation type="list" allowBlank="1" showErrorMessage="1" sqref="D10">
      <formula1>"CORE,ELECTIVE 1,OPEN ELECTIVE,ELECTIVE 6,ELECTIVE 7,ELECTIVE 8,ELECTIVE 9,HONOURS,MINOR,LANGUAGE ELECTIVE"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10.75"/>
    <col customWidth="1" min="4" max="4" width="17.38"/>
    <col customWidth="1" min="5" max="5" width="10.38"/>
    <col customWidth="1" min="6" max="6" width="32.0"/>
    <col customWidth="1" min="7" max="7" width="15.13"/>
    <col customWidth="1" min="8" max="9" width="5.0"/>
    <col customWidth="1" min="10" max="10" width="5.5"/>
    <col customWidth="1" min="11" max="11" width="5.0"/>
    <col customWidth="1" min="12" max="12" width="11.0"/>
    <col customWidth="1" min="13" max="13" width="19.13"/>
    <col customWidth="1" min="14" max="14" width="13.25"/>
  </cols>
  <sheetData>
    <row r="1">
      <c r="A1" s="38" t="s">
        <v>1635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8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9" t="s">
        <v>257</v>
      </c>
      <c r="N1" s="38" t="s">
        <v>1571</v>
      </c>
    </row>
    <row r="2" ht="29.25" customHeight="1">
      <c r="A2" s="25">
        <f t="array" ref="A2:A105">SEQUENCE(COUNTA(B2:B105),1)</f>
        <v>1</v>
      </c>
      <c r="B2" s="25" t="s">
        <v>4</v>
      </c>
      <c r="C2" s="25" t="s">
        <v>1572</v>
      </c>
      <c r="D2" s="25" t="s">
        <v>1573</v>
      </c>
      <c r="E2" s="25" t="s">
        <v>1574</v>
      </c>
      <c r="F2" s="26" t="s">
        <v>1575</v>
      </c>
      <c r="G2" s="25" t="s">
        <v>1576</v>
      </c>
      <c r="H2" s="25">
        <v>3.0</v>
      </c>
      <c r="I2" s="25">
        <v>1.0</v>
      </c>
      <c r="J2" s="25">
        <v>0.0</v>
      </c>
      <c r="K2" s="25">
        <v>4.0</v>
      </c>
      <c r="L2" s="25" t="s">
        <v>1323</v>
      </c>
      <c r="M2" s="40" t="str">
        <f>IFNA(VLOOKUP(L2,'Faculty Details'!$B:$H,4,0),"")</f>
        <v>Dr.UMAMAGESWARI D</v>
      </c>
      <c r="N2" s="28" t="str">
        <f>IFNA(VLOOKUP(L2,'Faculty Details'!$B:$H,7,0),"")</f>
        <v>umamageswarid@bitsathy.ac.in</v>
      </c>
    </row>
    <row r="3" ht="29.25" customHeight="1">
      <c r="A3" s="25">
        <v>2.0</v>
      </c>
      <c r="B3" s="25" t="s">
        <v>4</v>
      </c>
      <c r="C3" s="25" t="s">
        <v>1572</v>
      </c>
      <c r="D3" s="25" t="s">
        <v>1573</v>
      </c>
      <c r="E3" s="25" t="s">
        <v>1574</v>
      </c>
      <c r="F3" s="26" t="s">
        <v>1575</v>
      </c>
      <c r="G3" s="25" t="s">
        <v>1576</v>
      </c>
      <c r="H3" s="25">
        <v>3.0</v>
      </c>
      <c r="I3" s="25">
        <v>1.0</v>
      </c>
      <c r="J3" s="25">
        <v>0.0</v>
      </c>
      <c r="K3" s="25">
        <v>4.0</v>
      </c>
      <c r="L3" s="25" t="s">
        <v>1266</v>
      </c>
      <c r="M3" s="40" t="str">
        <f>IFNA(VLOOKUP(L3,'Faculty Details'!$B:$H,4,0),"")</f>
        <v>Dr.SARANYA D</v>
      </c>
      <c r="N3" s="28" t="str">
        <f>IFNA(VLOOKUP(L3,'Faculty Details'!$B:$H,7,0),"")</f>
        <v>saranyad@bitsathy.ac.in</v>
      </c>
    </row>
    <row r="4" ht="29.25" customHeight="1">
      <c r="A4" s="25">
        <v>3.0</v>
      </c>
      <c r="B4" s="25" t="s">
        <v>4</v>
      </c>
      <c r="C4" s="25" t="s">
        <v>1572</v>
      </c>
      <c r="D4" s="25" t="s">
        <v>1573</v>
      </c>
      <c r="E4" s="25" t="s">
        <v>1574</v>
      </c>
      <c r="F4" s="26" t="s">
        <v>1575</v>
      </c>
      <c r="G4" s="25" t="s">
        <v>1576</v>
      </c>
      <c r="H4" s="25">
        <v>3.0</v>
      </c>
      <c r="I4" s="25">
        <v>1.0</v>
      </c>
      <c r="J4" s="25">
        <v>0.0</v>
      </c>
      <c r="K4" s="25">
        <v>4.0</v>
      </c>
      <c r="L4" s="25" t="s">
        <v>1281</v>
      </c>
      <c r="M4" s="40" t="str">
        <f>IFNA(VLOOKUP(L4,'Faculty Details'!$B:$H,4,0),"")</f>
        <v>Dr.REVATHI V M</v>
      </c>
      <c r="N4" s="28" t="str">
        <f>IFNA(VLOOKUP(L4,'Faculty Details'!$B:$H,7,0),"")</f>
        <v>revathivm@bitsathy.ac.in</v>
      </c>
    </row>
    <row r="5" ht="29.25" customHeight="1">
      <c r="A5" s="25">
        <v>4.0</v>
      </c>
      <c r="B5" s="25" t="s">
        <v>4</v>
      </c>
      <c r="C5" s="25" t="s">
        <v>1572</v>
      </c>
      <c r="D5" s="25" t="s">
        <v>1573</v>
      </c>
      <c r="E5" s="25" t="s">
        <v>1574</v>
      </c>
      <c r="F5" s="26" t="s">
        <v>1575</v>
      </c>
      <c r="G5" s="25" t="s">
        <v>1576</v>
      </c>
      <c r="H5" s="25">
        <v>3.0</v>
      </c>
      <c r="I5" s="25">
        <v>1.0</v>
      </c>
      <c r="J5" s="25">
        <v>0.0</v>
      </c>
      <c r="K5" s="25">
        <v>4.0</v>
      </c>
      <c r="L5" s="25" t="s">
        <v>1284</v>
      </c>
      <c r="M5" s="40" t="str">
        <f>IFNA(VLOOKUP(L5,'Faculty Details'!$B:$H,4,0),"")</f>
        <v>Dr.GOMATHI M</v>
      </c>
      <c r="N5" s="28" t="str">
        <f>IFNA(VLOOKUP(L5,'Faculty Details'!$B:$H,7,0),"")</f>
        <v>gomathim@bitsathy.ac.in</v>
      </c>
    </row>
    <row r="6" ht="29.25" customHeight="1">
      <c r="A6" s="25">
        <v>5.0</v>
      </c>
      <c r="B6" s="25" t="s">
        <v>4</v>
      </c>
      <c r="C6" s="25" t="s">
        <v>1572</v>
      </c>
      <c r="D6" s="25" t="s">
        <v>1573</v>
      </c>
      <c r="E6" s="25" t="s">
        <v>1574</v>
      </c>
      <c r="F6" s="26" t="s">
        <v>1575</v>
      </c>
      <c r="G6" s="25" t="s">
        <v>1576</v>
      </c>
      <c r="H6" s="25">
        <v>3.0</v>
      </c>
      <c r="I6" s="25">
        <v>1.0</v>
      </c>
      <c r="J6" s="25">
        <v>0.0</v>
      </c>
      <c r="K6" s="25">
        <v>4.0</v>
      </c>
      <c r="L6" s="25" t="s">
        <v>1299</v>
      </c>
      <c r="M6" s="40" t="str">
        <f>IFNA(VLOOKUP(L6,'Faculty Details'!$B:$H,4,0),"")</f>
        <v>Dr.HEMALATHA B</v>
      </c>
      <c r="N6" s="28" t="str">
        <f>IFNA(VLOOKUP(L6,'Faculty Details'!$B:$H,7,0),"")</f>
        <v>hemalathab@bitsathy.ac.in</v>
      </c>
    </row>
    <row r="7" ht="29.25" customHeight="1">
      <c r="A7" s="25">
        <v>6.0</v>
      </c>
      <c r="B7" s="25" t="s">
        <v>4</v>
      </c>
      <c r="C7" s="25" t="s">
        <v>1572</v>
      </c>
      <c r="D7" s="25" t="s">
        <v>1573</v>
      </c>
      <c r="E7" s="25" t="s">
        <v>1577</v>
      </c>
      <c r="F7" s="26" t="s">
        <v>1578</v>
      </c>
      <c r="G7" s="25" t="s">
        <v>1579</v>
      </c>
      <c r="H7" s="25">
        <v>2.0</v>
      </c>
      <c r="I7" s="25">
        <v>0.0</v>
      </c>
      <c r="J7" s="25">
        <v>2.0</v>
      </c>
      <c r="K7" s="25">
        <v>3.0</v>
      </c>
      <c r="L7" s="1" t="s">
        <v>1505</v>
      </c>
      <c r="M7" s="41" t="str">
        <f>IFNA(VLOOKUP(L7,'Faculty Details'!$B:$H,4,0),"")</f>
        <v>Dr.PONGALI SATHYA PRABU N</v>
      </c>
      <c r="N7" s="30" t="str">
        <f>IFNA(VLOOKUP(L7,'Faculty Details'!$B:$H,7,0),"")</f>
        <v>pongalispn@bitsathy.ac.in</v>
      </c>
    </row>
    <row r="8" ht="29.25" customHeight="1">
      <c r="A8" s="25">
        <v>7.0</v>
      </c>
      <c r="B8" s="25" t="s">
        <v>4</v>
      </c>
      <c r="C8" s="25" t="s">
        <v>1572</v>
      </c>
      <c r="D8" s="25" t="s">
        <v>1573</v>
      </c>
      <c r="E8" s="25" t="s">
        <v>1577</v>
      </c>
      <c r="F8" s="26" t="s">
        <v>1578</v>
      </c>
      <c r="G8" s="25" t="s">
        <v>1579</v>
      </c>
      <c r="H8" s="25">
        <v>2.0</v>
      </c>
      <c r="I8" s="25">
        <v>0.0</v>
      </c>
      <c r="J8" s="25">
        <v>2.0</v>
      </c>
      <c r="K8" s="25">
        <v>3.0</v>
      </c>
      <c r="L8" s="1" t="s">
        <v>1478</v>
      </c>
      <c r="M8" s="40" t="str">
        <f>IFNA(VLOOKUP(L8,'Faculty Details'!$B:$H,4,0),"")</f>
        <v>Dr.VANITHA K</v>
      </c>
      <c r="N8" s="28" t="str">
        <f>IFNA(VLOOKUP(L8,'Faculty Details'!$B:$H,7,0),"")</f>
        <v>vanithak@bitsathy.ac.in</v>
      </c>
    </row>
    <row r="9" ht="29.25" customHeight="1">
      <c r="A9" s="25">
        <v>8.0</v>
      </c>
      <c r="B9" s="25" t="s">
        <v>4</v>
      </c>
      <c r="C9" s="25" t="s">
        <v>1572</v>
      </c>
      <c r="D9" s="25" t="s">
        <v>1573</v>
      </c>
      <c r="E9" s="25" t="s">
        <v>1577</v>
      </c>
      <c r="F9" s="26" t="s">
        <v>1578</v>
      </c>
      <c r="G9" s="25" t="s">
        <v>1579</v>
      </c>
      <c r="H9" s="25">
        <v>2.0</v>
      </c>
      <c r="I9" s="25">
        <v>0.0</v>
      </c>
      <c r="J9" s="25">
        <v>2.0</v>
      </c>
      <c r="K9" s="25">
        <v>3.0</v>
      </c>
      <c r="L9" s="1" t="s">
        <v>1499</v>
      </c>
      <c r="M9" s="40" t="str">
        <f>IFNA(VLOOKUP(L9,'Faculty Details'!$B:$H,4,0),"")</f>
        <v>Dr.SANGEETHA K</v>
      </c>
      <c r="N9" s="28" t="str">
        <f>IFNA(VLOOKUP(L9,'Faculty Details'!$B:$H,7,0),"")</f>
        <v>sangeethak@bitsathy.ac.in</v>
      </c>
    </row>
    <row r="10" ht="29.25" customHeight="1">
      <c r="A10" s="25">
        <v>9.0</v>
      </c>
      <c r="B10" s="25" t="s">
        <v>4</v>
      </c>
      <c r="C10" s="25" t="s">
        <v>1572</v>
      </c>
      <c r="D10" s="25" t="s">
        <v>1573</v>
      </c>
      <c r="E10" s="25" t="s">
        <v>1577</v>
      </c>
      <c r="F10" s="26" t="s">
        <v>1578</v>
      </c>
      <c r="G10" s="25" t="s">
        <v>1579</v>
      </c>
      <c r="H10" s="25">
        <v>2.0</v>
      </c>
      <c r="I10" s="25">
        <v>0.0</v>
      </c>
      <c r="J10" s="25">
        <v>2.0</v>
      </c>
      <c r="K10" s="25">
        <v>3.0</v>
      </c>
      <c r="L10" s="1" t="s">
        <v>1496</v>
      </c>
      <c r="M10" s="40" t="str">
        <f>IFNA(VLOOKUP(L10,'Faculty Details'!$B:$H,4,0),"")</f>
        <v>Dr.PRIYADHARSINI A</v>
      </c>
      <c r="N10" s="28" t="str">
        <f>IFNA(VLOOKUP(L10,'Faculty Details'!$B:$H,7,0),"")</f>
        <v>Priyadharsinia@bitsathy.ac.in</v>
      </c>
    </row>
    <row r="11" ht="29.25" customHeight="1">
      <c r="A11" s="25">
        <v>10.0</v>
      </c>
      <c r="B11" s="25" t="s">
        <v>4</v>
      </c>
      <c r="C11" s="25" t="s">
        <v>1572</v>
      </c>
      <c r="D11" s="25" t="s">
        <v>1573</v>
      </c>
      <c r="E11" s="25" t="s">
        <v>1577</v>
      </c>
      <c r="F11" s="26" t="s">
        <v>1578</v>
      </c>
      <c r="G11" s="25" t="s">
        <v>1579</v>
      </c>
      <c r="H11" s="25">
        <v>2.0</v>
      </c>
      <c r="I11" s="25">
        <v>0.0</v>
      </c>
      <c r="J11" s="25">
        <v>2.0</v>
      </c>
      <c r="K11" s="25">
        <v>3.0</v>
      </c>
      <c r="L11" s="1" t="s">
        <v>1487</v>
      </c>
      <c r="M11" s="40" t="str">
        <f>IFNA(VLOOKUP(L11,'Faculty Details'!$B:$H,4,0),"")</f>
        <v>Dr.GOPI G</v>
      </c>
      <c r="N11" s="28" t="str">
        <f>IFNA(VLOOKUP(L11,'Faculty Details'!$B:$H,7,0),"")</f>
        <v>gopi@bitsathy.ac.in</v>
      </c>
    </row>
    <row r="12" ht="29.25" customHeight="1">
      <c r="A12" s="25">
        <v>11.0</v>
      </c>
      <c r="B12" s="25" t="s">
        <v>4</v>
      </c>
      <c r="C12" s="25" t="s">
        <v>1572</v>
      </c>
      <c r="D12" s="25" t="s">
        <v>1573</v>
      </c>
      <c r="E12" s="25" t="s">
        <v>1580</v>
      </c>
      <c r="F12" s="26" t="s">
        <v>1581</v>
      </c>
      <c r="G12" s="25" t="s">
        <v>1579</v>
      </c>
      <c r="H12" s="25">
        <v>2.0</v>
      </c>
      <c r="I12" s="25">
        <v>0.0</v>
      </c>
      <c r="J12" s="25">
        <v>2.0</v>
      </c>
      <c r="K12" s="25">
        <v>3.0</v>
      </c>
      <c r="L12" s="25" t="s">
        <v>650</v>
      </c>
      <c r="M12" s="40" t="str">
        <f>IFNA(VLOOKUP(L12,'Faculty Details'!$B:$H,4,0),"")</f>
        <v>Dr.SUBHAPRIYA P</v>
      </c>
      <c r="N12" s="28" t="str">
        <f>IFNA(VLOOKUP(L12,'Faculty Details'!$B:$H,7,0),"")</f>
        <v>subhapriyap@bitsathy.ac.in</v>
      </c>
    </row>
    <row r="13" ht="29.25" customHeight="1">
      <c r="A13" s="25">
        <v>12.0</v>
      </c>
      <c r="B13" s="25" t="s">
        <v>4</v>
      </c>
      <c r="C13" s="25" t="s">
        <v>1572</v>
      </c>
      <c r="D13" s="25" t="s">
        <v>1573</v>
      </c>
      <c r="E13" s="25" t="s">
        <v>1580</v>
      </c>
      <c r="F13" s="26" t="s">
        <v>1581</v>
      </c>
      <c r="G13" s="25" t="s">
        <v>1579</v>
      </c>
      <c r="H13" s="25">
        <v>2.0</v>
      </c>
      <c r="I13" s="25">
        <v>0.0</v>
      </c>
      <c r="J13" s="25">
        <v>2.0</v>
      </c>
      <c r="K13" s="25">
        <v>3.0</v>
      </c>
      <c r="L13" s="25" t="s">
        <v>626</v>
      </c>
      <c r="M13" s="40" t="str">
        <f>IFNA(VLOOKUP(L13,'Faculty Details'!$B:$H,4,0),"")</f>
        <v>Dr.VISWANATHAN G</v>
      </c>
      <c r="N13" s="28" t="str">
        <f>IFNA(VLOOKUP(L13,'Faculty Details'!$B:$H,7,0),"")</f>
        <v>viswanathan@bitsathy.ac.in</v>
      </c>
    </row>
    <row r="14" ht="29.25" customHeight="1">
      <c r="A14" s="25">
        <v>13.0</v>
      </c>
      <c r="B14" s="25" t="s">
        <v>4</v>
      </c>
      <c r="C14" s="25" t="s">
        <v>1572</v>
      </c>
      <c r="D14" s="25" t="s">
        <v>1573</v>
      </c>
      <c r="E14" s="25" t="s">
        <v>1580</v>
      </c>
      <c r="F14" s="26" t="s">
        <v>1581</v>
      </c>
      <c r="G14" s="25" t="s">
        <v>1579</v>
      </c>
      <c r="H14" s="25">
        <v>2.0</v>
      </c>
      <c r="I14" s="25">
        <v>0.0</v>
      </c>
      <c r="J14" s="25">
        <v>2.0</v>
      </c>
      <c r="K14" s="25">
        <v>3.0</v>
      </c>
      <c r="L14" s="25" t="s">
        <v>638</v>
      </c>
      <c r="M14" s="40" t="str">
        <f>IFNA(VLOOKUP(L14,'Faculty Details'!$B:$H,4,0),"")</f>
        <v>Dr.KARUPPUSAMY S</v>
      </c>
      <c r="N14" s="28" t="str">
        <f>IFNA(VLOOKUP(L14,'Faculty Details'!$B:$H,7,0),"")</f>
        <v>karuppusamys@bitsathy.ac.in</v>
      </c>
    </row>
    <row r="15" ht="29.25" customHeight="1">
      <c r="A15" s="25">
        <v>14.0</v>
      </c>
      <c r="B15" s="25" t="s">
        <v>4</v>
      </c>
      <c r="C15" s="25" t="s">
        <v>1572</v>
      </c>
      <c r="D15" s="25" t="s">
        <v>1573</v>
      </c>
      <c r="E15" s="25" t="s">
        <v>1580</v>
      </c>
      <c r="F15" s="26" t="s">
        <v>1581</v>
      </c>
      <c r="G15" s="25" t="s">
        <v>1579</v>
      </c>
      <c r="H15" s="25">
        <v>2.0</v>
      </c>
      <c r="I15" s="25">
        <v>0.0</v>
      </c>
      <c r="J15" s="25">
        <v>2.0</v>
      </c>
      <c r="K15" s="25">
        <v>3.0</v>
      </c>
      <c r="L15" s="25" t="s">
        <v>653</v>
      </c>
      <c r="M15" s="40" t="str">
        <f>IFNA(VLOOKUP(L15,'Faculty Details'!$B:$H,4,0),"")</f>
        <v>Dr.VIJAYANAND P S</v>
      </c>
      <c r="N15" s="28" t="str">
        <f>IFNA(VLOOKUP(L15,'Faculty Details'!$B:$H,7,0),"")</f>
        <v>vijayanandps@bitsathy.ac.in</v>
      </c>
    </row>
    <row r="16" ht="29.25" customHeight="1">
      <c r="A16" s="25">
        <v>15.0</v>
      </c>
      <c r="B16" s="25" t="s">
        <v>4</v>
      </c>
      <c r="C16" s="25" t="s">
        <v>1572</v>
      </c>
      <c r="D16" s="25" t="s">
        <v>1573</v>
      </c>
      <c r="E16" s="25" t="s">
        <v>1580</v>
      </c>
      <c r="F16" s="26" t="s">
        <v>1581</v>
      </c>
      <c r="G16" s="25" t="s">
        <v>1579</v>
      </c>
      <c r="H16" s="25">
        <v>2.0</v>
      </c>
      <c r="I16" s="25">
        <v>0.0</v>
      </c>
      <c r="J16" s="25">
        <v>2.0</v>
      </c>
      <c r="K16" s="25">
        <v>3.0</v>
      </c>
      <c r="L16" s="29" t="s">
        <v>644</v>
      </c>
      <c r="M16" s="41" t="str">
        <f>IFNA(VLOOKUP(L16,'Faculty Details'!$B:$H,4,0),"")</f>
        <v>Dr.MANIGANDAN S</v>
      </c>
      <c r="N16" s="30" t="str">
        <f>IFNA(VLOOKUP(L16,'Faculty Details'!$B:$H,7,0),"")</f>
        <v>manigandan@bitsathy.ac.in</v>
      </c>
    </row>
    <row r="17" ht="29.25" customHeight="1">
      <c r="A17" s="25">
        <v>16.0</v>
      </c>
      <c r="B17" s="25" t="s">
        <v>4</v>
      </c>
      <c r="C17" s="25" t="s">
        <v>1572</v>
      </c>
      <c r="D17" s="25" t="s">
        <v>1573</v>
      </c>
      <c r="E17" s="25" t="s">
        <v>1582</v>
      </c>
      <c r="F17" s="26" t="s">
        <v>1583</v>
      </c>
      <c r="G17" s="25" t="s">
        <v>1576</v>
      </c>
      <c r="H17" s="25">
        <v>3.0</v>
      </c>
      <c r="I17" s="25">
        <v>0.0</v>
      </c>
      <c r="J17" s="25">
        <v>0.0</v>
      </c>
      <c r="K17" s="25">
        <v>3.0</v>
      </c>
      <c r="L17" s="42" t="s">
        <v>293</v>
      </c>
      <c r="M17" s="40" t="str">
        <f>IFNA(VLOOKUP(L17,'Faculty Details'!$B:$H,4,0),"")</f>
        <v>Mr.BALASAMY K</v>
      </c>
      <c r="N17" s="28" t="str">
        <f>IFNA(VLOOKUP(L17,'Faculty Details'!$B:$H,7,0),"")</f>
        <v>balasamyk@bitsathy.ac.in</v>
      </c>
    </row>
    <row r="18" ht="29.25" customHeight="1">
      <c r="A18" s="25">
        <v>17.0</v>
      </c>
      <c r="B18" s="25" t="s">
        <v>4</v>
      </c>
      <c r="C18" s="25" t="s">
        <v>1572</v>
      </c>
      <c r="D18" s="25" t="s">
        <v>1573</v>
      </c>
      <c r="E18" s="25" t="s">
        <v>1582</v>
      </c>
      <c r="F18" s="26" t="s">
        <v>1583</v>
      </c>
      <c r="G18" s="25" t="s">
        <v>1576</v>
      </c>
      <c r="H18" s="25">
        <v>3.0</v>
      </c>
      <c r="I18" s="25">
        <v>0.0</v>
      </c>
      <c r="J18" s="25">
        <v>0.0</v>
      </c>
      <c r="K18" s="25">
        <v>3.0</v>
      </c>
      <c r="L18" s="42" t="s">
        <v>299</v>
      </c>
      <c r="M18" s="40" t="str">
        <f>IFNA(VLOOKUP(L18,'Faculty Details'!$B:$H,4,0),"")</f>
        <v>Mr.SATHEESH N P</v>
      </c>
      <c r="N18" s="28" t="str">
        <f>IFNA(VLOOKUP(L18,'Faculty Details'!$B:$H,7,0),"")</f>
        <v>satheeshnp@bitsathy.ac.in</v>
      </c>
    </row>
    <row r="19" ht="29.25" customHeight="1">
      <c r="A19" s="25">
        <v>18.0</v>
      </c>
      <c r="B19" s="25" t="s">
        <v>4</v>
      </c>
      <c r="C19" s="25" t="s">
        <v>1572</v>
      </c>
      <c r="D19" s="25" t="s">
        <v>1573</v>
      </c>
      <c r="E19" s="25" t="s">
        <v>1582</v>
      </c>
      <c r="F19" s="26" t="s">
        <v>1583</v>
      </c>
      <c r="G19" s="25" t="s">
        <v>1576</v>
      </c>
      <c r="H19" s="25">
        <v>3.0</v>
      </c>
      <c r="I19" s="25">
        <v>0.0</v>
      </c>
      <c r="J19" s="25">
        <v>0.0</v>
      </c>
      <c r="K19" s="25">
        <v>3.0</v>
      </c>
      <c r="L19" s="42" t="s">
        <v>334</v>
      </c>
      <c r="M19" s="40" t="str">
        <f>IFNA(VLOOKUP(L19,'Faculty Details'!$B:$H,4,0),"")</f>
        <v>Mr.PREMKUMAR C</v>
      </c>
      <c r="N19" s="28" t="str">
        <f>IFNA(VLOOKUP(L19,'Faculty Details'!$B:$H,7,0),"")</f>
        <v>premkumar@bitsathy.ac.in</v>
      </c>
    </row>
    <row r="20" ht="29.25" customHeight="1">
      <c r="A20" s="25">
        <v>19.0</v>
      </c>
      <c r="B20" s="25" t="s">
        <v>4</v>
      </c>
      <c r="C20" s="25" t="s">
        <v>1572</v>
      </c>
      <c r="D20" s="25" t="s">
        <v>1573</v>
      </c>
      <c r="E20" s="25" t="s">
        <v>1582</v>
      </c>
      <c r="F20" s="26" t="s">
        <v>1583</v>
      </c>
      <c r="G20" s="25" t="s">
        <v>1576</v>
      </c>
      <c r="H20" s="25">
        <v>3.0</v>
      </c>
      <c r="I20" s="25">
        <v>0.0</v>
      </c>
      <c r="J20" s="25">
        <v>0.0</v>
      </c>
      <c r="K20" s="25">
        <v>3.0</v>
      </c>
      <c r="L20" s="25" t="s">
        <v>340</v>
      </c>
      <c r="M20" s="40" t="str">
        <f>IFNA(VLOOKUP(L20,'Faculty Details'!$B:$H,4,0),"")</f>
        <v>Mrs.RESHMI T S</v>
      </c>
      <c r="N20" s="28" t="str">
        <f>IFNA(VLOOKUP(L20,'Faculty Details'!$B:$H,7,0),"")</f>
        <v>reshmits@bitsathy.ac.in</v>
      </c>
    </row>
    <row r="21" ht="29.25" customHeight="1">
      <c r="A21" s="25">
        <v>20.0</v>
      </c>
      <c r="B21" s="25" t="s">
        <v>4</v>
      </c>
      <c r="C21" s="25" t="s">
        <v>1572</v>
      </c>
      <c r="D21" s="25" t="s">
        <v>1573</v>
      </c>
      <c r="E21" s="25" t="s">
        <v>1582</v>
      </c>
      <c r="F21" s="26" t="s">
        <v>1583</v>
      </c>
      <c r="G21" s="25" t="s">
        <v>1576</v>
      </c>
      <c r="H21" s="25">
        <v>3.0</v>
      </c>
      <c r="I21" s="25">
        <v>0.0</v>
      </c>
      <c r="J21" s="25">
        <v>0.0</v>
      </c>
      <c r="K21" s="25">
        <v>3.0</v>
      </c>
      <c r="L21" s="25" t="s">
        <v>355</v>
      </c>
      <c r="M21" s="40" t="str">
        <f>IFNA(VLOOKUP(L21,'Faculty Details'!$B:$H,4,0),"")</f>
        <v>Mrs.MANJU M</v>
      </c>
      <c r="N21" s="28" t="str">
        <f>IFNA(VLOOKUP(L21,'Faculty Details'!$B:$H,7,0),"")</f>
        <v>manju@bitsathy.ac.in</v>
      </c>
    </row>
    <row r="22" ht="29.25" customHeight="1">
      <c r="A22" s="25">
        <v>21.0</v>
      </c>
      <c r="B22" s="25" t="s">
        <v>4</v>
      </c>
      <c r="C22" s="25" t="s">
        <v>1572</v>
      </c>
      <c r="D22" s="25" t="s">
        <v>1573</v>
      </c>
      <c r="E22" s="25" t="s">
        <v>1636</v>
      </c>
      <c r="F22" s="26" t="s">
        <v>1637</v>
      </c>
      <c r="G22" s="25" t="s">
        <v>1579</v>
      </c>
      <c r="H22" s="25">
        <v>2.0</v>
      </c>
      <c r="I22" s="25">
        <v>0.0</v>
      </c>
      <c r="J22" s="25">
        <v>2.0</v>
      </c>
      <c r="K22" s="25">
        <v>3.0</v>
      </c>
      <c r="L22" s="25" t="s">
        <v>994</v>
      </c>
      <c r="M22" s="40" t="str">
        <f>IFNA(VLOOKUP(L22,'Faculty Details'!$B:$H,4,0),"")</f>
        <v>Mrs.GOPIKA N P</v>
      </c>
      <c r="N22" s="28" t="str">
        <f>IFNA(VLOOKUP(L22,'Faculty Details'!$B:$H,7,0),"")</f>
        <v>gopika@bitsathy.ac.in</v>
      </c>
    </row>
    <row r="23" ht="29.25" customHeight="1">
      <c r="A23" s="25">
        <v>22.0</v>
      </c>
      <c r="B23" s="25" t="s">
        <v>4</v>
      </c>
      <c r="C23" s="25" t="s">
        <v>1572</v>
      </c>
      <c r="D23" s="25" t="s">
        <v>1573</v>
      </c>
      <c r="E23" s="25" t="s">
        <v>1636</v>
      </c>
      <c r="F23" s="26" t="s">
        <v>1637</v>
      </c>
      <c r="G23" s="25" t="s">
        <v>1579</v>
      </c>
      <c r="H23" s="25">
        <v>2.0</v>
      </c>
      <c r="I23" s="25">
        <v>0.0</v>
      </c>
      <c r="J23" s="25">
        <v>2.0</v>
      </c>
      <c r="K23" s="25">
        <v>3.0</v>
      </c>
      <c r="L23" s="43" t="s">
        <v>1030</v>
      </c>
      <c r="M23" s="40" t="str">
        <f>IFNA(VLOOKUP(L23,'Faculty Details'!$B:$H,4,0),"")</f>
        <v>Dr.SRITHA P</v>
      </c>
      <c r="N23" s="28" t="str">
        <f>IFNA(VLOOKUP(L23,'Faculty Details'!$B:$H,7,0),"")</f>
        <v>srithap@bitsathy.ac.in</v>
      </c>
    </row>
    <row r="24" ht="29.25" customHeight="1">
      <c r="A24" s="25">
        <v>23.0</v>
      </c>
      <c r="B24" s="25" t="s">
        <v>4</v>
      </c>
      <c r="C24" s="25" t="s">
        <v>1572</v>
      </c>
      <c r="D24" s="25" t="s">
        <v>1573</v>
      </c>
      <c r="E24" s="25" t="s">
        <v>1636</v>
      </c>
      <c r="F24" s="26" t="s">
        <v>1637</v>
      </c>
      <c r="G24" s="25" t="s">
        <v>1579</v>
      </c>
      <c r="H24" s="25">
        <v>2.0</v>
      </c>
      <c r="I24" s="25">
        <v>0.0</v>
      </c>
      <c r="J24" s="25">
        <v>2.0</v>
      </c>
      <c r="K24" s="25">
        <v>3.0</v>
      </c>
      <c r="L24" s="44" t="s">
        <v>985</v>
      </c>
      <c r="M24" s="45" t="str">
        <f>IFNA(VLOOKUP(L24,'Faculty Details'!$B:$H,4,0),"")</f>
        <v>Mrs.MADHUMITHA J</v>
      </c>
      <c r="N24" s="28" t="str">
        <f>IFNA(VLOOKUP(L24,'Faculty Details'!$B:$H,7,0),"")</f>
        <v>madhumithaj@bitsathy.ac.in</v>
      </c>
    </row>
    <row r="25" ht="29.25" customHeight="1">
      <c r="A25" s="25">
        <v>24.0</v>
      </c>
      <c r="B25" s="25" t="s">
        <v>4</v>
      </c>
      <c r="C25" s="25" t="s">
        <v>1572</v>
      </c>
      <c r="D25" s="25" t="s">
        <v>1573</v>
      </c>
      <c r="E25" s="25" t="s">
        <v>1636</v>
      </c>
      <c r="F25" s="26" t="s">
        <v>1637</v>
      </c>
      <c r="G25" s="25" t="s">
        <v>1579</v>
      </c>
      <c r="H25" s="25">
        <v>2.0</v>
      </c>
      <c r="I25" s="25">
        <v>0.0</v>
      </c>
      <c r="J25" s="25">
        <v>2.0</v>
      </c>
      <c r="K25" s="25">
        <v>3.0</v>
      </c>
      <c r="L25" s="25" t="s">
        <v>982</v>
      </c>
      <c r="M25" s="40" t="str">
        <f>IFNA(VLOOKUP(L25,'Faculty Details'!$B:$H,4,0),"")</f>
        <v>Mrs.NITHYA G</v>
      </c>
      <c r="N25" s="28" t="str">
        <f>IFNA(VLOOKUP(L25,'Faculty Details'!$B:$H,7,0),"")</f>
        <v>nithyag@bitsathy.ac.in</v>
      </c>
    </row>
    <row r="26" ht="29.25" customHeight="1">
      <c r="A26" s="25">
        <v>25.0</v>
      </c>
      <c r="B26" s="25" t="s">
        <v>4</v>
      </c>
      <c r="C26" s="25" t="s">
        <v>1572</v>
      </c>
      <c r="D26" s="25" t="s">
        <v>1573</v>
      </c>
      <c r="E26" s="25" t="s">
        <v>1636</v>
      </c>
      <c r="F26" s="26" t="s">
        <v>1637</v>
      </c>
      <c r="G26" s="25" t="s">
        <v>1579</v>
      </c>
      <c r="H26" s="25">
        <v>2.0</v>
      </c>
      <c r="I26" s="25">
        <v>0.0</v>
      </c>
      <c r="J26" s="25">
        <v>2.0</v>
      </c>
      <c r="K26" s="25">
        <v>3.0</v>
      </c>
      <c r="L26" s="43" t="s">
        <v>1021</v>
      </c>
      <c r="M26" s="45" t="str">
        <f>IFNA(VLOOKUP(L26,'Faculty Details'!$B:$H,4,0),"")</f>
        <v>Dr.VEERAKUMAR S</v>
      </c>
      <c r="N26" s="28" t="str">
        <f>IFNA(VLOOKUP(L26,'Faculty Details'!$B:$H,7,0),"")</f>
        <v>veerakumars@bitsathy.ac.in</v>
      </c>
    </row>
    <row r="27" ht="29.25" customHeight="1">
      <c r="A27" s="25">
        <v>26.0</v>
      </c>
      <c r="B27" s="25" t="s">
        <v>4</v>
      </c>
      <c r="C27" s="25" t="s">
        <v>1572</v>
      </c>
      <c r="D27" s="25" t="s">
        <v>1573</v>
      </c>
      <c r="E27" s="25" t="s">
        <v>1638</v>
      </c>
      <c r="F27" s="26" t="s">
        <v>1639</v>
      </c>
      <c r="G27" s="25" t="s">
        <v>1576</v>
      </c>
      <c r="H27" s="25">
        <v>3.0</v>
      </c>
      <c r="I27" s="25">
        <v>0.0</v>
      </c>
      <c r="J27" s="25">
        <v>2.0</v>
      </c>
      <c r="K27" s="25">
        <v>4.0</v>
      </c>
      <c r="L27" s="42" t="s">
        <v>889</v>
      </c>
      <c r="M27" s="40" t="str">
        <f>IFNA(VLOOKUP(L27,'Faculty Details'!$B:$H,4,0),"")</f>
        <v>Dr.MURUGAN K</v>
      </c>
      <c r="N27" s="28" t="str">
        <f>IFNA(VLOOKUP(L27,'Faculty Details'!$B:$H,7,0),"")</f>
        <v>murugank@bitsathy.ac.in</v>
      </c>
    </row>
    <row r="28" ht="29.25" customHeight="1">
      <c r="A28" s="25">
        <v>27.0</v>
      </c>
      <c r="B28" s="25" t="s">
        <v>4</v>
      </c>
      <c r="C28" s="25" t="s">
        <v>1572</v>
      </c>
      <c r="D28" s="25" t="s">
        <v>1573</v>
      </c>
      <c r="E28" s="25" t="s">
        <v>1638</v>
      </c>
      <c r="F28" s="26" t="s">
        <v>1639</v>
      </c>
      <c r="G28" s="25" t="s">
        <v>1588</v>
      </c>
      <c r="H28" s="25">
        <v>3.0</v>
      </c>
      <c r="I28" s="25">
        <v>0.0</v>
      </c>
      <c r="J28" s="25">
        <v>2.0</v>
      </c>
      <c r="K28" s="25">
        <v>4.0</v>
      </c>
      <c r="L28" s="42" t="s">
        <v>886</v>
      </c>
      <c r="M28" s="40" t="str">
        <f>IFNA(VLOOKUP(L28,'Faculty Details'!$B:$H,4,0),"")</f>
        <v>Ms.SHARMILA A</v>
      </c>
      <c r="N28" s="28" t="str">
        <f>IFNA(VLOOKUP(L28,'Faculty Details'!$B:$H,7,0),"")</f>
        <v>sharmilaa@bitsathy.ac.in</v>
      </c>
    </row>
    <row r="29" ht="29.25" customHeight="1">
      <c r="A29" s="25">
        <v>28.0</v>
      </c>
      <c r="B29" s="25" t="s">
        <v>4</v>
      </c>
      <c r="C29" s="25" t="s">
        <v>1572</v>
      </c>
      <c r="D29" s="25" t="s">
        <v>1573</v>
      </c>
      <c r="E29" s="25" t="s">
        <v>1638</v>
      </c>
      <c r="F29" s="26" t="s">
        <v>1639</v>
      </c>
      <c r="G29" s="25" t="s">
        <v>1576</v>
      </c>
      <c r="H29" s="25">
        <v>3.0</v>
      </c>
      <c r="I29" s="25">
        <v>0.0</v>
      </c>
      <c r="J29" s="25">
        <v>2.0</v>
      </c>
      <c r="K29" s="25">
        <v>4.0</v>
      </c>
      <c r="L29" s="46" t="s">
        <v>871</v>
      </c>
      <c r="M29" s="47" t="str">
        <f>IFNA(VLOOKUP(L29,'Faculty Details'!$B:$H,4,0),"")</f>
        <v>Dr.ARULMURUGAN L</v>
      </c>
      <c r="N29" s="28" t="str">
        <f>IFNA(VLOOKUP(L29,'Faculty Details'!$B:$H,7,0),"")</f>
        <v>arulmurugan@bitsathy.ac.in</v>
      </c>
    </row>
    <row r="30" ht="29.25" customHeight="1">
      <c r="A30" s="25">
        <v>29.0</v>
      </c>
      <c r="B30" s="25" t="s">
        <v>4</v>
      </c>
      <c r="C30" s="25" t="s">
        <v>1572</v>
      </c>
      <c r="D30" s="25" t="s">
        <v>1573</v>
      </c>
      <c r="E30" s="25" t="s">
        <v>1638</v>
      </c>
      <c r="F30" s="26" t="s">
        <v>1639</v>
      </c>
      <c r="G30" s="25" t="s">
        <v>1588</v>
      </c>
      <c r="H30" s="25">
        <v>3.0</v>
      </c>
      <c r="I30" s="25">
        <v>0.0</v>
      </c>
      <c r="J30" s="25">
        <v>2.0</v>
      </c>
      <c r="K30" s="25">
        <v>4.0</v>
      </c>
      <c r="L30" s="46" t="s">
        <v>903</v>
      </c>
      <c r="M30" s="47" t="str">
        <f>IFNA(VLOOKUP(L30,'Faculty Details'!$B:$H,4,0),"")</f>
        <v>Mrs.MARIAAMUTHA R</v>
      </c>
      <c r="N30" s="28" t="str">
        <f>IFNA(VLOOKUP(L30,'Faculty Details'!$B:$H,7,0),"")</f>
        <v>mariaamuthar@bitsathy.ac.in</v>
      </c>
    </row>
    <row r="31" ht="29.25" customHeight="1">
      <c r="A31" s="25">
        <v>30.0</v>
      </c>
      <c r="B31" s="25" t="s">
        <v>4</v>
      </c>
      <c r="C31" s="25" t="s">
        <v>1572</v>
      </c>
      <c r="D31" s="25" t="s">
        <v>1573</v>
      </c>
      <c r="E31" s="25" t="s">
        <v>1638</v>
      </c>
      <c r="F31" s="26" t="s">
        <v>1639</v>
      </c>
      <c r="G31" s="25" t="s">
        <v>1579</v>
      </c>
      <c r="H31" s="25">
        <v>3.0</v>
      </c>
      <c r="I31" s="25">
        <v>0.0</v>
      </c>
      <c r="J31" s="25">
        <v>2.0</v>
      </c>
      <c r="K31" s="25">
        <v>4.0</v>
      </c>
      <c r="L31" s="25" t="s">
        <v>577</v>
      </c>
      <c r="M31" s="40" t="str">
        <f>IFNA(VLOOKUP(L31,'Faculty Details'!$B:$H,4,0),"")</f>
        <v>Mrs.PREETHIMATHI L</v>
      </c>
      <c r="N31" s="28" t="str">
        <f>IFNA(VLOOKUP(L31,'Faculty Details'!$B:$H,7,0),"")</f>
        <v>preethimathi@bitsathy.ac.in</v>
      </c>
    </row>
    <row r="32" ht="29.25" customHeight="1">
      <c r="A32" s="25">
        <v>31.0</v>
      </c>
      <c r="B32" s="25" t="s">
        <v>4</v>
      </c>
      <c r="C32" s="25" t="s">
        <v>1572</v>
      </c>
      <c r="D32" s="25" t="s">
        <v>1573</v>
      </c>
      <c r="E32" s="25" t="s">
        <v>1638</v>
      </c>
      <c r="F32" s="26" t="s">
        <v>1639</v>
      </c>
      <c r="G32" s="25" t="s">
        <v>1579</v>
      </c>
      <c r="H32" s="25">
        <v>3.0</v>
      </c>
      <c r="I32" s="25">
        <v>0.0</v>
      </c>
      <c r="J32" s="25">
        <v>2.0</v>
      </c>
      <c r="K32" s="25">
        <v>4.0</v>
      </c>
      <c r="L32" s="25" t="s">
        <v>900</v>
      </c>
      <c r="M32" s="40" t="str">
        <f>IFNA(VLOOKUP(L32,'Faculty Details'!$B:$H,4,0),"")</f>
        <v>Mr.VELLINGIRI A</v>
      </c>
      <c r="N32" s="28" t="str">
        <f>IFNA(VLOOKUP(L32,'Faculty Details'!$B:$H,7,0),"")</f>
        <v>vellingiria@bitsathy.ac.in</v>
      </c>
    </row>
    <row r="33" ht="29.25" customHeight="1">
      <c r="A33" s="25">
        <v>32.0</v>
      </c>
      <c r="B33" s="25" t="s">
        <v>4</v>
      </c>
      <c r="C33" s="25" t="s">
        <v>1572</v>
      </c>
      <c r="D33" s="25" t="s">
        <v>1573</v>
      </c>
      <c r="E33" s="25" t="s">
        <v>1638</v>
      </c>
      <c r="F33" s="26" t="s">
        <v>1639</v>
      </c>
      <c r="G33" s="25" t="s">
        <v>1579</v>
      </c>
      <c r="H33" s="25">
        <v>3.0</v>
      </c>
      <c r="I33" s="25">
        <v>0.0</v>
      </c>
      <c r="J33" s="25">
        <v>2.0</v>
      </c>
      <c r="K33" s="25">
        <v>4.0</v>
      </c>
      <c r="L33" s="25" t="s">
        <v>559</v>
      </c>
      <c r="M33" s="40" t="str">
        <f>IFNA(VLOOKUP(L33,'Faculty Details'!$B:$H,4,0),"")</f>
        <v>Mrs.MADHUMITHA A</v>
      </c>
      <c r="N33" s="28" t="str">
        <f>IFNA(VLOOKUP(L33,'Faculty Details'!$B:$H,7,0),"")</f>
        <v>madhumithaa@bitsathy.ac.in</v>
      </c>
    </row>
    <row r="34" ht="29.25" customHeight="1">
      <c r="A34" s="25">
        <v>33.0</v>
      </c>
      <c r="B34" s="25" t="s">
        <v>4</v>
      </c>
      <c r="C34" s="25" t="s">
        <v>1572</v>
      </c>
      <c r="D34" s="25" t="s">
        <v>1573</v>
      </c>
      <c r="E34" s="25" t="s">
        <v>1589</v>
      </c>
      <c r="F34" s="26" t="s">
        <v>1590</v>
      </c>
      <c r="G34" s="25" t="s">
        <v>1588</v>
      </c>
      <c r="H34" s="25">
        <v>1.0</v>
      </c>
      <c r="I34" s="25">
        <v>0.0</v>
      </c>
      <c r="J34" s="25">
        <v>0.0</v>
      </c>
      <c r="K34" s="25">
        <v>1.0</v>
      </c>
      <c r="L34" s="25" t="s">
        <v>1112</v>
      </c>
      <c r="M34" s="40" t="str">
        <f>IFNA(VLOOKUP(L34,'Faculty Details'!$B:$H,4,0),"")</f>
        <v>Dr.SAGUNTHALA DEVI P</v>
      </c>
      <c r="N34" s="28" t="str">
        <f>IFNA(VLOOKUP(L34,'Faculty Details'!$B:$H,7,0),"")</f>
        <v>sagunthaladevi@bitsathy.ac.in</v>
      </c>
    </row>
    <row r="35" ht="29.25" customHeight="1">
      <c r="A35" s="25">
        <v>34.0</v>
      </c>
      <c r="B35" s="25" t="s">
        <v>4</v>
      </c>
      <c r="C35" s="25" t="s">
        <v>1572</v>
      </c>
      <c r="D35" s="25" t="s">
        <v>1573</v>
      </c>
      <c r="E35" s="25" t="s">
        <v>1589</v>
      </c>
      <c r="F35" s="26" t="s">
        <v>1590</v>
      </c>
      <c r="G35" s="25" t="s">
        <v>1588</v>
      </c>
      <c r="H35" s="25">
        <v>1.0</v>
      </c>
      <c r="I35" s="25">
        <v>0.0</v>
      </c>
      <c r="J35" s="25">
        <v>0.0</v>
      </c>
      <c r="K35" s="25">
        <v>1.0</v>
      </c>
      <c r="L35" s="25" t="s">
        <v>1115</v>
      </c>
      <c r="M35" s="40" t="str">
        <f>IFNA(VLOOKUP(L35,'Faculty Details'!$B:$H,4,0),"")</f>
        <v>Ms.KAMALI D</v>
      </c>
      <c r="N35" s="28" t="str">
        <f>IFNA(VLOOKUP(L35,'Faculty Details'!$B:$H,7,0),"")</f>
        <v>kamali@bitsathy.ac.in</v>
      </c>
    </row>
    <row r="36" ht="29.25" customHeight="1">
      <c r="A36" s="25">
        <v>35.0</v>
      </c>
      <c r="B36" s="25" t="s">
        <v>4</v>
      </c>
      <c r="C36" s="25" t="s">
        <v>1572</v>
      </c>
      <c r="D36" s="25" t="s">
        <v>1573</v>
      </c>
      <c r="E36" s="25" t="s">
        <v>1589</v>
      </c>
      <c r="F36" s="26" t="s">
        <v>1590</v>
      </c>
      <c r="G36" s="25" t="s">
        <v>1588</v>
      </c>
      <c r="H36" s="25">
        <v>1.0</v>
      </c>
      <c r="I36" s="25">
        <v>0.0</v>
      </c>
      <c r="J36" s="25">
        <v>0.0</v>
      </c>
      <c r="K36" s="25">
        <v>1.0</v>
      </c>
      <c r="L36" s="25" t="s">
        <v>1130</v>
      </c>
      <c r="M36" s="40" t="str">
        <f>IFNA(VLOOKUP(L36,'Faculty Details'!$B:$H,4,0),"")</f>
        <v>Mr.SHYAMSUNDAR S</v>
      </c>
      <c r="N36" s="28" t="str">
        <f>IFNA(VLOOKUP(L36,'Faculty Details'!$B:$H,7,0),"")</f>
        <v>shyamsundar@bitsathy.ac.in</v>
      </c>
    </row>
    <row r="37" ht="29.25" customHeight="1">
      <c r="A37" s="25">
        <v>36.0</v>
      </c>
      <c r="B37" s="25" t="s">
        <v>4</v>
      </c>
      <c r="C37" s="25" t="s">
        <v>1572</v>
      </c>
      <c r="D37" s="25" t="s">
        <v>1573</v>
      </c>
      <c r="E37" s="25" t="s">
        <v>1589</v>
      </c>
      <c r="F37" s="26" t="s">
        <v>1590</v>
      </c>
      <c r="G37" s="25" t="s">
        <v>1588</v>
      </c>
      <c r="H37" s="25">
        <v>1.0</v>
      </c>
      <c r="I37" s="25">
        <v>0.0</v>
      </c>
      <c r="J37" s="25">
        <v>0.0</v>
      </c>
      <c r="K37" s="25">
        <v>1.0</v>
      </c>
      <c r="L37" s="25" t="s">
        <v>1112</v>
      </c>
      <c r="M37" s="40" t="str">
        <f>IFNA(VLOOKUP(L37,'Faculty Details'!$B:$H,4,0),"")</f>
        <v>Dr.SAGUNTHALA DEVI P</v>
      </c>
      <c r="N37" s="28" t="str">
        <f>IFNA(VLOOKUP(L37,'Faculty Details'!$B:$H,7,0),"")</f>
        <v>sagunthaladevi@bitsathy.ac.in</v>
      </c>
    </row>
    <row r="38" ht="29.25" customHeight="1">
      <c r="A38" s="25">
        <v>37.0</v>
      </c>
      <c r="B38" s="25" t="s">
        <v>4</v>
      </c>
      <c r="C38" s="25" t="s">
        <v>1572</v>
      </c>
      <c r="D38" s="25" t="s">
        <v>1573</v>
      </c>
      <c r="E38" s="25" t="s">
        <v>1589</v>
      </c>
      <c r="F38" s="26" t="s">
        <v>1590</v>
      </c>
      <c r="G38" s="25" t="s">
        <v>1588</v>
      </c>
      <c r="H38" s="25">
        <v>1.0</v>
      </c>
      <c r="I38" s="25">
        <v>0.0</v>
      </c>
      <c r="J38" s="25">
        <v>0.0</v>
      </c>
      <c r="K38" s="25">
        <v>1.0</v>
      </c>
      <c r="L38" s="25" t="s">
        <v>1115</v>
      </c>
      <c r="M38" s="40" t="str">
        <f>IFNA(VLOOKUP(L38,'Faculty Details'!$B:$H,4,0),"")</f>
        <v>Ms.KAMALI D</v>
      </c>
      <c r="N38" s="28" t="str">
        <f>IFNA(VLOOKUP(L38,'Faculty Details'!$B:$H,7,0),"")</f>
        <v>kamali@bitsathy.ac.in</v>
      </c>
    </row>
    <row r="39" ht="29.25" customHeight="1">
      <c r="A39" s="25">
        <v>38.0</v>
      </c>
      <c r="B39" s="25" t="s">
        <v>4</v>
      </c>
      <c r="C39" s="25" t="s">
        <v>1572</v>
      </c>
      <c r="D39" s="25" t="s">
        <v>1573</v>
      </c>
      <c r="E39" s="25" t="s">
        <v>1589</v>
      </c>
      <c r="F39" s="26" t="s">
        <v>1590</v>
      </c>
      <c r="G39" s="25" t="s">
        <v>1588</v>
      </c>
      <c r="H39" s="25">
        <v>1.0</v>
      </c>
      <c r="I39" s="25">
        <v>0.0</v>
      </c>
      <c r="J39" s="25">
        <v>0.0</v>
      </c>
      <c r="K39" s="25">
        <v>1.0</v>
      </c>
      <c r="L39" s="25" t="s">
        <v>1130</v>
      </c>
      <c r="M39" s="40" t="str">
        <f>IFNA(VLOOKUP(L39,'Faculty Details'!$B:$H,4,0),"")</f>
        <v>Mr.SHYAMSUNDAR S</v>
      </c>
      <c r="N39" s="28" t="str">
        <f>IFNA(VLOOKUP(L39,'Faculty Details'!$B:$H,7,0),"")</f>
        <v>shyamsundar@bitsathy.ac.in</v>
      </c>
    </row>
    <row r="40" ht="29.25" customHeight="1">
      <c r="A40" s="25">
        <v>39.0</v>
      </c>
      <c r="B40" s="25" t="s">
        <v>4</v>
      </c>
      <c r="C40" s="25" t="s">
        <v>1572</v>
      </c>
      <c r="D40" s="25" t="s">
        <v>1593</v>
      </c>
      <c r="E40" s="25" t="s">
        <v>1594</v>
      </c>
      <c r="F40" s="26" t="s">
        <v>1640</v>
      </c>
      <c r="G40" s="25" t="s">
        <v>1588</v>
      </c>
      <c r="H40" s="25">
        <v>1.0</v>
      </c>
      <c r="I40" s="25">
        <v>0.0</v>
      </c>
      <c r="J40" s="25">
        <v>2.0</v>
      </c>
      <c r="K40" s="25">
        <v>2.0</v>
      </c>
      <c r="L40" s="25" t="s">
        <v>1118</v>
      </c>
      <c r="M40" s="40" t="str">
        <f>IFNA(VLOOKUP(L40,'Faculty Details'!$B:$H,4,0),"")</f>
        <v>Dr.GAYATHRI G M</v>
      </c>
      <c r="N40" s="28" t="str">
        <f>IFNA(VLOOKUP(L40,'Faculty Details'!$B:$H,7,0),"")</f>
        <v>gayathri@bitsathy.ac.in</v>
      </c>
    </row>
    <row r="41" ht="29.25" customHeight="1">
      <c r="A41" s="25">
        <v>40.0</v>
      </c>
      <c r="B41" s="25" t="s">
        <v>4</v>
      </c>
      <c r="C41" s="25" t="s">
        <v>1572</v>
      </c>
      <c r="D41" s="25" t="s">
        <v>1593</v>
      </c>
      <c r="E41" s="25" t="s">
        <v>1594</v>
      </c>
      <c r="F41" s="26" t="s">
        <v>1640</v>
      </c>
      <c r="G41" s="25" t="s">
        <v>1588</v>
      </c>
      <c r="H41" s="25">
        <v>1.0</v>
      </c>
      <c r="I41" s="25">
        <v>0.0</v>
      </c>
      <c r="J41" s="25">
        <v>2.0</v>
      </c>
      <c r="K41" s="25">
        <v>2.0</v>
      </c>
      <c r="L41" s="25" t="s">
        <v>1121</v>
      </c>
      <c r="M41" s="40" t="str">
        <f>IFNA(VLOOKUP(L41,'Faculty Details'!$B:$H,4,0),"")</f>
        <v>Dr.ASLIN JERUSHA D</v>
      </c>
      <c r="N41" s="28" t="str">
        <f>IFNA(VLOOKUP(L41,'Faculty Details'!$B:$H,7,0),"")</f>
        <v>aslinjerusha@bitsathy.ac.in</v>
      </c>
    </row>
    <row r="42" ht="29.25" customHeight="1">
      <c r="A42" s="25">
        <v>41.0</v>
      </c>
      <c r="B42" s="25" t="s">
        <v>4</v>
      </c>
      <c r="C42" s="25" t="s">
        <v>1572</v>
      </c>
      <c r="D42" s="25" t="s">
        <v>1593</v>
      </c>
      <c r="E42" s="25" t="s">
        <v>1594</v>
      </c>
      <c r="F42" s="26" t="s">
        <v>1640</v>
      </c>
      <c r="G42" s="25" t="s">
        <v>1588</v>
      </c>
      <c r="H42" s="25">
        <v>1.0</v>
      </c>
      <c r="I42" s="25">
        <v>0.0</v>
      </c>
      <c r="J42" s="25">
        <v>2.0</v>
      </c>
      <c r="K42" s="25">
        <v>2.0</v>
      </c>
      <c r="L42" s="25" t="s">
        <v>1124</v>
      </c>
      <c r="M42" s="40" t="str">
        <f>IFNA(VLOOKUP(L42,'Faculty Details'!$B:$H,4,0),"")</f>
        <v>Dr.EZHIL G</v>
      </c>
      <c r="N42" s="28" t="str">
        <f>IFNA(VLOOKUP(L42,'Faculty Details'!$B:$H,7,0),"")</f>
        <v>ezhil@bitsathy.ac.in</v>
      </c>
    </row>
    <row r="43" ht="29.25" customHeight="1">
      <c r="A43" s="25">
        <v>42.0</v>
      </c>
      <c r="B43" s="25" t="s">
        <v>4</v>
      </c>
      <c r="C43" s="25" t="s">
        <v>1572</v>
      </c>
      <c r="D43" s="25" t="s">
        <v>1593</v>
      </c>
      <c r="E43" s="25" t="s">
        <v>1641</v>
      </c>
      <c r="F43" s="26" t="s">
        <v>1642</v>
      </c>
      <c r="G43" s="25" t="s">
        <v>1588</v>
      </c>
      <c r="H43" s="25">
        <v>1.0</v>
      </c>
      <c r="I43" s="25">
        <v>0.0</v>
      </c>
      <c r="J43" s="25">
        <v>2.0</v>
      </c>
      <c r="K43" s="25">
        <v>2.0</v>
      </c>
      <c r="L43" s="25"/>
      <c r="M43" s="40" t="str">
        <f>IFNA(VLOOKUP(L43,'Faculty Details'!$B:$H,4,0),"")</f>
        <v/>
      </c>
      <c r="N43" s="28" t="str">
        <f>IFNA(VLOOKUP(L43,'Faculty Details'!$B:$H,7,0),"")</f>
        <v/>
      </c>
    </row>
    <row r="44" ht="29.25" customHeight="1">
      <c r="A44" s="25">
        <v>43.0</v>
      </c>
      <c r="B44" s="25" t="s">
        <v>4</v>
      </c>
      <c r="C44" s="25" t="s">
        <v>1572</v>
      </c>
      <c r="D44" s="25" t="s">
        <v>1593</v>
      </c>
      <c r="E44" s="25" t="s">
        <v>1643</v>
      </c>
      <c r="F44" s="26" t="s">
        <v>1644</v>
      </c>
      <c r="G44" s="25" t="s">
        <v>1588</v>
      </c>
      <c r="H44" s="25">
        <v>1.0</v>
      </c>
      <c r="I44" s="25">
        <v>0.0</v>
      </c>
      <c r="J44" s="25">
        <v>2.0</v>
      </c>
      <c r="K44" s="25">
        <v>2.0</v>
      </c>
      <c r="L44" s="25"/>
      <c r="M44" s="40" t="str">
        <f>IFNA(VLOOKUP(L44,'Faculty Details'!$B:$H,4,0),"")</f>
        <v/>
      </c>
      <c r="N44" s="28" t="str">
        <f>IFNA(VLOOKUP(L44,'Faculty Details'!$B:$H,7,0),"")</f>
        <v/>
      </c>
    </row>
    <row r="45" ht="29.25" customHeight="1">
      <c r="A45" s="25">
        <v>44.0</v>
      </c>
      <c r="B45" s="25" t="s">
        <v>4</v>
      </c>
      <c r="C45" s="25" t="s">
        <v>1572</v>
      </c>
      <c r="D45" s="25" t="s">
        <v>1573</v>
      </c>
      <c r="E45" s="25" t="s">
        <v>1591</v>
      </c>
      <c r="F45" s="26" t="s">
        <v>1645</v>
      </c>
      <c r="G45" s="25"/>
      <c r="H45" s="25"/>
      <c r="I45" s="25"/>
      <c r="J45" s="25"/>
      <c r="K45" s="25"/>
      <c r="L45" s="25"/>
      <c r="M45" s="40" t="str">
        <f>IFNA(VLOOKUP(L45,'Faculty Details'!$B:$H,4,0),"")</f>
        <v/>
      </c>
      <c r="N45" s="28" t="str">
        <f>IFNA(VLOOKUP(L45,'Faculty Details'!$B:$H,7,0),"")</f>
        <v/>
      </c>
    </row>
    <row r="46" ht="29.25" customHeight="1">
      <c r="A46" s="25">
        <v>45.0</v>
      </c>
      <c r="B46" s="25" t="s">
        <v>4</v>
      </c>
      <c r="C46" s="25" t="s">
        <v>1596</v>
      </c>
      <c r="D46" s="25" t="s">
        <v>1573</v>
      </c>
      <c r="E46" s="25" t="s">
        <v>1646</v>
      </c>
      <c r="F46" s="26" t="s">
        <v>1647</v>
      </c>
      <c r="G46" s="25" t="s">
        <v>1576</v>
      </c>
      <c r="H46" s="25">
        <v>3.0</v>
      </c>
      <c r="I46" s="25">
        <v>1.0</v>
      </c>
      <c r="J46" s="25">
        <v>0.0</v>
      </c>
      <c r="K46" s="25">
        <v>4.0</v>
      </c>
      <c r="L46" s="25" t="s">
        <v>1305</v>
      </c>
      <c r="M46" s="40" t="str">
        <f>IFNA(VLOOKUP(L46,'Faculty Details'!$B:$H,4,0),"")</f>
        <v>Dr.THULASIMANI T</v>
      </c>
      <c r="N46" s="28" t="str">
        <f>IFNA(VLOOKUP(L46,'Faculty Details'!$B:$H,7,0),"")</f>
        <v>thulasimanit@bitsathy.ac.in</v>
      </c>
    </row>
    <row r="47" ht="29.25" customHeight="1">
      <c r="A47" s="25">
        <v>46.0</v>
      </c>
      <c r="B47" s="25" t="s">
        <v>4</v>
      </c>
      <c r="C47" s="25" t="s">
        <v>1596</v>
      </c>
      <c r="D47" s="25" t="s">
        <v>1573</v>
      </c>
      <c r="E47" s="25" t="s">
        <v>1646</v>
      </c>
      <c r="F47" s="26" t="s">
        <v>1647</v>
      </c>
      <c r="G47" s="25" t="s">
        <v>1576</v>
      </c>
      <c r="H47" s="25">
        <v>3.0</v>
      </c>
      <c r="I47" s="25">
        <v>1.0</v>
      </c>
      <c r="J47" s="25">
        <v>0.0</v>
      </c>
      <c r="K47" s="25">
        <v>4.0</v>
      </c>
      <c r="L47" s="25" t="s">
        <v>1290</v>
      </c>
      <c r="M47" s="40" t="str">
        <f>IFNA(VLOOKUP(L47,'Faculty Details'!$B:$H,4,0),"")</f>
        <v>Mr.SURESH R</v>
      </c>
      <c r="N47" s="28" t="str">
        <f>IFNA(VLOOKUP(L47,'Faculty Details'!$B:$H,7,0),"")</f>
        <v>sureshr@bitsathy.ac.in</v>
      </c>
    </row>
    <row r="48" ht="29.25" customHeight="1">
      <c r="A48" s="25">
        <v>47.0</v>
      </c>
      <c r="B48" s="25" t="s">
        <v>4</v>
      </c>
      <c r="C48" s="25" t="s">
        <v>1596</v>
      </c>
      <c r="D48" s="25" t="s">
        <v>1573</v>
      </c>
      <c r="E48" s="25" t="s">
        <v>1646</v>
      </c>
      <c r="F48" s="26" t="s">
        <v>1647</v>
      </c>
      <c r="G48" s="25" t="s">
        <v>1576</v>
      </c>
      <c r="H48" s="25">
        <v>3.0</v>
      </c>
      <c r="I48" s="25">
        <v>1.0</v>
      </c>
      <c r="J48" s="25">
        <v>0.0</v>
      </c>
      <c r="K48" s="25">
        <v>4.0</v>
      </c>
      <c r="L48" s="25" t="s">
        <v>1281</v>
      </c>
      <c r="M48" s="40" t="str">
        <f>IFNA(VLOOKUP(L48,'Faculty Details'!$B:$H,4,0),"")</f>
        <v>Dr.REVATHI V M</v>
      </c>
      <c r="N48" s="28" t="str">
        <f>IFNA(VLOOKUP(L48,'Faculty Details'!$B:$H,7,0),"")</f>
        <v>revathivm@bitsathy.ac.in</v>
      </c>
    </row>
    <row r="49" ht="29.25" customHeight="1">
      <c r="A49" s="25">
        <v>48.0</v>
      </c>
      <c r="B49" s="25" t="s">
        <v>4</v>
      </c>
      <c r="C49" s="25" t="s">
        <v>1596</v>
      </c>
      <c r="D49" s="25" t="s">
        <v>1573</v>
      </c>
      <c r="E49" s="25" t="s">
        <v>1646</v>
      </c>
      <c r="F49" s="26" t="s">
        <v>1647</v>
      </c>
      <c r="G49" s="25" t="s">
        <v>1576</v>
      </c>
      <c r="H49" s="25">
        <v>3.0</v>
      </c>
      <c r="I49" s="25">
        <v>1.0</v>
      </c>
      <c r="J49" s="25">
        <v>0.0</v>
      </c>
      <c r="K49" s="25">
        <v>4.0</v>
      </c>
      <c r="L49" s="25" t="s">
        <v>1296</v>
      </c>
      <c r="M49" s="40" t="str">
        <f>IFNA(VLOOKUP(L49,'Faculty Details'!$B:$H,4,0),"")</f>
        <v>Dr.AKALYADEVI K</v>
      </c>
      <c r="N49" s="28" t="str">
        <f>IFNA(VLOOKUP(L49,'Faculty Details'!$B:$H,7,0),"")</f>
        <v>akalyadevi@bitsathy.ac.in</v>
      </c>
    </row>
    <row r="50" ht="29.25" customHeight="1">
      <c r="A50" s="25">
        <v>49.0</v>
      </c>
      <c r="B50" s="25" t="s">
        <v>4</v>
      </c>
      <c r="C50" s="25" t="s">
        <v>1596</v>
      </c>
      <c r="D50" s="25" t="s">
        <v>1573</v>
      </c>
      <c r="E50" s="25" t="s">
        <v>1648</v>
      </c>
      <c r="F50" s="26" t="s">
        <v>1649</v>
      </c>
      <c r="G50" s="25" t="s">
        <v>1576</v>
      </c>
      <c r="H50" s="25">
        <v>3.0</v>
      </c>
      <c r="I50" s="25">
        <v>0.0</v>
      </c>
      <c r="J50" s="25">
        <v>2.0</v>
      </c>
      <c r="K50" s="25">
        <v>4.0</v>
      </c>
      <c r="L50" s="42" t="s">
        <v>303</v>
      </c>
      <c r="M50" s="40" t="str">
        <f>IFNA(VLOOKUP(L50,'Faculty Details'!$B:$H,4,0),"")</f>
        <v>Mr.RAJ KUMAR V S</v>
      </c>
      <c r="N50" s="28" t="str">
        <f>IFNA(VLOOKUP(L50,'Faculty Details'!$B:$H,7,0),"")</f>
        <v>rajkumarvs@bitsathy.ac.in</v>
      </c>
    </row>
    <row r="51" ht="29.25" customHeight="1">
      <c r="A51" s="25">
        <v>50.0</v>
      </c>
      <c r="B51" s="25" t="s">
        <v>4</v>
      </c>
      <c r="C51" s="25" t="s">
        <v>1596</v>
      </c>
      <c r="D51" s="25" t="s">
        <v>1573</v>
      </c>
      <c r="E51" s="25" t="s">
        <v>1648</v>
      </c>
      <c r="F51" s="26" t="s">
        <v>1649</v>
      </c>
      <c r="G51" s="25" t="s">
        <v>1588</v>
      </c>
      <c r="H51" s="25">
        <v>3.0</v>
      </c>
      <c r="I51" s="25">
        <v>0.0</v>
      </c>
      <c r="J51" s="25">
        <v>2.0</v>
      </c>
      <c r="K51" s="25">
        <v>4.0</v>
      </c>
      <c r="L51" s="42" t="s">
        <v>306</v>
      </c>
      <c r="M51" s="40" t="str">
        <f>IFNA(VLOOKUP(L51,'Faculty Details'!$B:$H,4,0),"")</f>
        <v>Ms.ESAKKI MADURA E</v>
      </c>
      <c r="N51" s="28" t="str">
        <f>IFNA(VLOOKUP(L51,'Faculty Details'!$B:$H,7,0),"")</f>
        <v>esakkimadurae@bitsathy.ac.in</v>
      </c>
    </row>
    <row r="52" ht="29.25" customHeight="1">
      <c r="A52" s="25">
        <v>51.0</v>
      </c>
      <c r="B52" s="25" t="s">
        <v>4</v>
      </c>
      <c r="C52" s="25" t="s">
        <v>1596</v>
      </c>
      <c r="D52" s="25" t="s">
        <v>1573</v>
      </c>
      <c r="E52" s="25" t="s">
        <v>1648</v>
      </c>
      <c r="F52" s="26" t="s">
        <v>1649</v>
      </c>
      <c r="G52" s="25" t="s">
        <v>1579</v>
      </c>
      <c r="H52" s="25">
        <v>3.0</v>
      </c>
      <c r="I52" s="25">
        <v>0.0</v>
      </c>
      <c r="J52" s="25">
        <v>2.0</v>
      </c>
      <c r="K52" s="25">
        <v>4.0</v>
      </c>
      <c r="L52" s="42" t="s">
        <v>340</v>
      </c>
      <c r="M52" s="40" t="str">
        <f>IFNA(VLOOKUP(L52,'Faculty Details'!$B:$H,4,0),"")</f>
        <v>Mrs.RESHMI T S</v>
      </c>
      <c r="N52" s="28" t="str">
        <f>IFNA(VLOOKUP(L52,'Faculty Details'!$B:$H,7,0),"")</f>
        <v>reshmits@bitsathy.ac.in</v>
      </c>
    </row>
    <row r="53" ht="29.25" customHeight="1">
      <c r="A53" s="25">
        <v>52.0</v>
      </c>
      <c r="B53" s="25" t="s">
        <v>4</v>
      </c>
      <c r="C53" s="25" t="s">
        <v>1596</v>
      </c>
      <c r="D53" s="25" t="s">
        <v>1573</v>
      </c>
      <c r="E53" s="25" t="s">
        <v>1648</v>
      </c>
      <c r="F53" s="26" t="s">
        <v>1649</v>
      </c>
      <c r="G53" s="25" t="s">
        <v>1576</v>
      </c>
      <c r="H53" s="25">
        <v>3.0</v>
      </c>
      <c r="I53" s="25">
        <v>0.0</v>
      </c>
      <c r="J53" s="25">
        <v>2.0</v>
      </c>
      <c r="K53" s="25">
        <v>4.0</v>
      </c>
      <c r="L53" s="42" t="s">
        <v>289</v>
      </c>
      <c r="M53" s="40" t="str">
        <f>IFNA(VLOOKUP(L53,'Faculty Details'!$B:$H,4,0),"")</f>
        <v>Mrs.NISHA DEVI K</v>
      </c>
      <c r="N53" s="28" t="str">
        <f>IFNA(VLOOKUP(L53,'Faculty Details'!$B:$H,7,0),"")</f>
        <v>nishadevik@bitsathy.ac.in</v>
      </c>
    </row>
    <row r="54" ht="29.25" customHeight="1">
      <c r="A54" s="25">
        <v>53.0</v>
      </c>
      <c r="B54" s="25" t="s">
        <v>4</v>
      </c>
      <c r="C54" s="25" t="s">
        <v>1596</v>
      </c>
      <c r="D54" s="25" t="s">
        <v>1573</v>
      </c>
      <c r="E54" s="25" t="s">
        <v>1648</v>
      </c>
      <c r="F54" s="26" t="s">
        <v>1649</v>
      </c>
      <c r="G54" s="25" t="s">
        <v>1588</v>
      </c>
      <c r="H54" s="25">
        <v>3.0</v>
      </c>
      <c r="I54" s="25">
        <v>0.0</v>
      </c>
      <c r="J54" s="25">
        <v>2.0</v>
      </c>
      <c r="K54" s="25">
        <v>4.0</v>
      </c>
      <c r="L54" s="42" t="s">
        <v>325</v>
      </c>
      <c r="M54" s="40" t="str">
        <f>IFNA(VLOOKUP(L54,'Faculty Details'!$B:$H,4,0),"")</f>
        <v>Mrs.ASHFORN HERMINA J M</v>
      </c>
      <c r="N54" s="28" t="str">
        <f>IFNA(VLOOKUP(L54,'Faculty Details'!$B:$H,7,0),"")</f>
        <v>ashfornherminajm@bitsathy.ac.in</v>
      </c>
    </row>
    <row r="55" ht="29.25" customHeight="1">
      <c r="A55" s="25">
        <v>54.0</v>
      </c>
      <c r="B55" s="25" t="s">
        <v>4</v>
      </c>
      <c r="C55" s="25" t="s">
        <v>1596</v>
      </c>
      <c r="D55" s="25" t="s">
        <v>1573</v>
      </c>
      <c r="E55" s="25" t="s">
        <v>1648</v>
      </c>
      <c r="F55" s="26" t="s">
        <v>1649</v>
      </c>
      <c r="G55" s="25" t="s">
        <v>1579</v>
      </c>
      <c r="H55" s="25">
        <v>3.0</v>
      </c>
      <c r="I55" s="25">
        <v>0.0</v>
      </c>
      <c r="J55" s="25">
        <v>2.0</v>
      </c>
      <c r="K55" s="25">
        <v>4.0</v>
      </c>
      <c r="L55" s="42" t="s">
        <v>355</v>
      </c>
      <c r="M55" s="40" t="str">
        <f>IFNA(VLOOKUP(L55,'Faculty Details'!$B:$H,4,0),"")</f>
        <v>Mrs.MANJU M</v>
      </c>
      <c r="N55" s="28" t="str">
        <f>IFNA(VLOOKUP(L55,'Faculty Details'!$B:$H,7,0),"")</f>
        <v>manju@bitsathy.ac.in</v>
      </c>
    </row>
    <row r="56" ht="29.25" customHeight="1">
      <c r="A56" s="25">
        <v>55.0</v>
      </c>
      <c r="B56" s="25" t="s">
        <v>4</v>
      </c>
      <c r="C56" s="25" t="s">
        <v>1596</v>
      </c>
      <c r="D56" s="25" t="s">
        <v>1573</v>
      </c>
      <c r="E56" s="25" t="s">
        <v>1650</v>
      </c>
      <c r="F56" s="26" t="s">
        <v>1651</v>
      </c>
      <c r="G56" s="25" t="s">
        <v>1576</v>
      </c>
      <c r="H56" s="25">
        <v>3.0</v>
      </c>
      <c r="I56" s="25">
        <v>1.0</v>
      </c>
      <c r="J56" s="25">
        <v>0.0</v>
      </c>
      <c r="K56" s="25">
        <v>4.0</v>
      </c>
      <c r="L56" s="42" t="s">
        <v>276</v>
      </c>
      <c r="M56" s="40" t="str">
        <f>IFNA(VLOOKUP(L56,'Faculty Details'!$B:$H,4,0),"")</f>
        <v>Dr.ARUN KUMAR R</v>
      </c>
      <c r="N56" s="28" t="str">
        <f>IFNA(VLOOKUP(L56,'Faculty Details'!$B:$H,7,0),"")</f>
        <v>arunkumarr@bitsathy.ac.in</v>
      </c>
    </row>
    <row r="57" ht="29.25" customHeight="1">
      <c r="A57" s="25">
        <v>56.0</v>
      </c>
      <c r="B57" s="25" t="s">
        <v>4</v>
      </c>
      <c r="C57" s="25" t="s">
        <v>1596</v>
      </c>
      <c r="D57" s="25" t="s">
        <v>1573</v>
      </c>
      <c r="E57" s="25" t="s">
        <v>1650</v>
      </c>
      <c r="F57" s="26" t="s">
        <v>1651</v>
      </c>
      <c r="G57" s="25" t="s">
        <v>1576</v>
      </c>
      <c r="H57" s="25">
        <v>3.0</v>
      </c>
      <c r="I57" s="25">
        <v>1.0</v>
      </c>
      <c r="J57" s="25">
        <v>0.0</v>
      </c>
      <c r="K57" s="25">
        <v>4.0</v>
      </c>
      <c r="L57" s="42" t="s">
        <v>281</v>
      </c>
      <c r="M57" s="40" t="str">
        <f>IFNA(VLOOKUP(L57,'Faculty Details'!$B:$H,4,0),"")</f>
        <v>Dr.ESWARAMOORTHY V</v>
      </c>
      <c r="N57" s="28" t="str">
        <f>IFNA(VLOOKUP(L57,'Faculty Details'!$B:$H,7,0),"")</f>
        <v>eswaramoorthyv@bitsathy.ac.in</v>
      </c>
    </row>
    <row r="58" ht="29.25" customHeight="1">
      <c r="A58" s="25">
        <v>57.0</v>
      </c>
      <c r="B58" s="25" t="s">
        <v>4</v>
      </c>
      <c r="C58" s="25" t="s">
        <v>1596</v>
      </c>
      <c r="D58" s="25" t="s">
        <v>1573</v>
      </c>
      <c r="E58" s="25" t="s">
        <v>1650</v>
      </c>
      <c r="F58" s="26" t="s">
        <v>1651</v>
      </c>
      <c r="G58" s="25" t="s">
        <v>1576</v>
      </c>
      <c r="H58" s="25">
        <v>3.0</v>
      </c>
      <c r="I58" s="25">
        <v>1.0</v>
      </c>
      <c r="J58" s="25">
        <v>0.0</v>
      </c>
      <c r="K58" s="25">
        <v>4.0</v>
      </c>
      <c r="L58" s="25" t="s">
        <v>331</v>
      </c>
      <c r="M58" s="40" t="str">
        <f>IFNA(VLOOKUP(L58,'Faculty Details'!$B:$H,4,0),"")</f>
        <v>Ms.BENITA GRACIA THANGAM J</v>
      </c>
      <c r="N58" s="28" t="str">
        <f>IFNA(VLOOKUP(L58,'Faculty Details'!$B:$H,7,0),"")</f>
        <v>benitagraciathangam@bitsathy.ac.in</v>
      </c>
    </row>
    <row r="59" ht="29.25" customHeight="1">
      <c r="A59" s="25">
        <v>58.0</v>
      </c>
      <c r="B59" s="25" t="s">
        <v>4</v>
      </c>
      <c r="C59" s="25" t="s">
        <v>1596</v>
      </c>
      <c r="D59" s="25" t="s">
        <v>1573</v>
      </c>
      <c r="E59" s="25" t="s">
        <v>1650</v>
      </c>
      <c r="F59" s="26" t="s">
        <v>1651</v>
      </c>
      <c r="G59" s="25" t="s">
        <v>1576</v>
      </c>
      <c r="H59" s="25">
        <v>3.0</v>
      </c>
      <c r="I59" s="25">
        <v>1.0</v>
      </c>
      <c r="J59" s="25">
        <v>0.0</v>
      </c>
      <c r="K59" s="25">
        <v>4.0</v>
      </c>
      <c r="L59" s="25" t="s">
        <v>361</v>
      </c>
      <c r="M59" s="40" t="str">
        <f>IFNA(VLOOKUP(L59,'Faculty Details'!$B:$H,4,0),"")</f>
        <v>Mr.SASSON TAFFWIN MOSES S</v>
      </c>
      <c r="N59" s="28" t="str">
        <f>IFNA(VLOOKUP(L59,'Faculty Details'!$B:$H,7,0),"")</f>
        <v>sassontaffwinmosess@bitsathy.ac.in</v>
      </c>
    </row>
    <row r="60" ht="29.25" customHeight="1">
      <c r="A60" s="25">
        <v>59.0</v>
      </c>
      <c r="B60" s="25" t="s">
        <v>4</v>
      </c>
      <c r="C60" s="25" t="s">
        <v>1596</v>
      </c>
      <c r="D60" s="25" t="s">
        <v>1573</v>
      </c>
      <c r="E60" s="25" t="s">
        <v>1652</v>
      </c>
      <c r="F60" s="26" t="s">
        <v>1653</v>
      </c>
      <c r="G60" s="25" t="s">
        <v>1588</v>
      </c>
      <c r="H60" s="25">
        <v>3.0</v>
      </c>
      <c r="I60" s="25">
        <v>0.0</v>
      </c>
      <c r="J60" s="25">
        <v>2.0</v>
      </c>
      <c r="K60" s="25">
        <v>4.0</v>
      </c>
      <c r="L60" s="42" t="s">
        <v>316</v>
      </c>
      <c r="M60" s="40" t="str">
        <f>IFNA(VLOOKUP(L60,'Faculty Details'!$B:$H,4,0),"")</f>
        <v>Mrs.KIRUTHIGA R</v>
      </c>
      <c r="N60" s="28" t="str">
        <f>IFNA(VLOOKUP(L60,'Faculty Details'!$B:$H,7,0),"")</f>
        <v>kiruthigar@bitsathy.ac.in</v>
      </c>
    </row>
    <row r="61" ht="29.25" customHeight="1">
      <c r="A61" s="25">
        <v>60.0</v>
      </c>
      <c r="B61" s="25" t="s">
        <v>4</v>
      </c>
      <c r="C61" s="25" t="s">
        <v>1596</v>
      </c>
      <c r="D61" s="25" t="s">
        <v>1573</v>
      </c>
      <c r="E61" s="25" t="s">
        <v>1652</v>
      </c>
      <c r="F61" s="26" t="s">
        <v>1653</v>
      </c>
      <c r="G61" s="25" t="s">
        <v>1576</v>
      </c>
      <c r="H61" s="25">
        <v>3.0</v>
      </c>
      <c r="I61" s="25">
        <v>0.0</v>
      </c>
      <c r="J61" s="25">
        <v>2.0</v>
      </c>
      <c r="K61" s="25">
        <v>4.0</v>
      </c>
      <c r="L61" s="48" t="s">
        <v>367</v>
      </c>
      <c r="M61" s="40" t="str">
        <f>IFNA(VLOOKUP(L61,'Faculty Details'!$B:$H,4,0),"")</f>
        <v>Mr.NAVANEETH KUMAR K</v>
      </c>
      <c r="N61" s="28" t="str">
        <f>IFNA(VLOOKUP(L61,'Faculty Details'!$B:$H,7,0),"")</f>
        <v>navaneethkumark@bitsathy.ac.in</v>
      </c>
    </row>
    <row r="62" ht="29.25" customHeight="1">
      <c r="A62" s="25">
        <v>61.0</v>
      </c>
      <c r="B62" s="25" t="s">
        <v>4</v>
      </c>
      <c r="C62" s="25" t="s">
        <v>1596</v>
      </c>
      <c r="D62" s="25" t="s">
        <v>1573</v>
      </c>
      <c r="E62" s="25" t="s">
        <v>1652</v>
      </c>
      <c r="F62" s="26" t="s">
        <v>1653</v>
      </c>
      <c r="G62" s="25" t="s">
        <v>1579</v>
      </c>
      <c r="H62" s="25">
        <v>3.0</v>
      </c>
      <c r="I62" s="25">
        <v>0.0</v>
      </c>
      <c r="J62" s="25">
        <v>2.0</v>
      </c>
      <c r="K62" s="25">
        <v>4.0</v>
      </c>
      <c r="L62" s="42" t="s">
        <v>322</v>
      </c>
      <c r="M62" s="40" t="str">
        <f>IFNA(VLOOKUP(L62,'Faculty Details'!$B:$H,4,0),"")</f>
        <v>Mr.CHOZHARAJAN P</v>
      </c>
      <c r="N62" s="28" t="str">
        <f>IFNA(VLOOKUP(L62,'Faculty Details'!$B:$H,7,0),"")</f>
        <v>chozharajanp@bitsathy.ac.in</v>
      </c>
    </row>
    <row r="63" ht="29.25" customHeight="1">
      <c r="A63" s="25">
        <v>62.0</v>
      </c>
      <c r="B63" s="25" t="s">
        <v>4</v>
      </c>
      <c r="C63" s="25" t="s">
        <v>1596</v>
      </c>
      <c r="D63" s="25" t="s">
        <v>1573</v>
      </c>
      <c r="E63" s="25" t="s">
        <v>1652</v>
      </c>
      <c r="F63" s="26" t="s">
        <v>1653</v>
      </c>
      <c r="G63" s="25" t="s">
        <v>1579</v>
      </c>
      <c r="H63" s="25">
        <v>3.0</v>
      </c>
      <c r="I63" s="25">
        <v>0.0</v>
      </c>
      <c r="J63" s="25">
        <v>2.0</v>
      </c>
      <c r="K63" s="25">
        <v>4.0</v>
      </c>
      <c r="L63" s="42" t="s">
        <v>319</v>
      </c>
      <c r="M63" s="40" t="str">
        <f>IFNA(VLOOKUP(L63,'Faculty Details'!$B:$H,4,0),"")</f>
        <v>Mrs.VAANATHI S</v>
      </c>
      <c r="N63" s="28" t="str">
        <f>IFNA(VLOOKUP(L63,'Faculty Details'!$B:$H,7,0),"")</f>
        <v>vaanathi@bitsathy.ac.in</v>
      </c>
    </row>
    <row r="64" ht="29.25" customHeight="1">
      <c r="A64" s="25">
        <v>63.0</v>
      </c>
      <c r="B64" s="25" t="s">
        <v>4</v>
      </c>
      <c r="C64" s="25" t="s">
        <v>1596</v>
      </c>
      <c r="D64" s="25" t="s">
        <v>1573</v>
      </c>
      <c r="E64" s="25" t="s">
        <v>1652</v>
      </c>
      <c r="F64" s="26" t="s">
        <v>1653</v>
      </c>
      <c r="G64" s="25" t="s">
        <v>1579</v>
      </c>
      <c r="H64" s="25">
        <v>3.0</v>
      </c>
      <c r="I64" s="25">
        <v>0.0</v>
      </c>
      <c r="J64" s="25">
        <v>2.0</v>
      </c>
      <c r="K64" s="25">
        <v>4.0</v>
      </c>
      <c r="L64" s="42" t="s">
        <v>346</v>
      </c>
      <c r="M64" s="40" t="str">
        <f>IFNA(VLOOKUP(L64,'Faculty Details'!$B:$H,4,0),"")</f>
        <v>Mrs.KALPANA R</v>
      </c>
      <c r="N64" s="28" t="str">
        <f>IFNA(VLOOKUP(L64,'Faculty Details'!$B:$H,7,0),"")</f>
        <v>kalpana@bitsathy.ac.in</v>
      </c>
    </row>
    <row r="65" ht="29.25" customHeight="1">
      <c r="A65" s="25">
        <v>64.0</v>
      </c>
      <c r="B65" s="25" t="s">
        <v>4</v>
      </c>
      <c r="C65" s="25" t="s">
        <v>1596</v>
      </c>
      <c r="D65" s="25" t="s">
        <v>1573</v>
      </c>
      <c r="E65" s="25" t="s">
        <v>1654</v>
      </c>
      <c r="F65" s="26" t="s">
        <v>1655</v>
      </c>
      <c r="G65" s="25" t="s">
        <v>1579</v>
      </c>
      <c r="H65" s="25">
        <v>3.0</v>
      </c>
      <c r="I65" s="25">
        <v>0.0</v>
      </c>
      <c r="J65" s="25">
        <v>2.0</v>
      </c>
      <c r="K65" s="25">
        <v>4.0</v>
      </c>
      <c r="L65" s="49" t="s">
        <v>285</v>
      </c>
      <c r="M65" s="40" t="str">
        <f>IFNA(VLOOKUP(L65,'Faculty Details'!$B:$H,4,0),"")</f>
        <v>Mrs.NITHYAPRIYA S</v>
      </c>
      <c r="N65" s="28" t="str">
        <f>IFNA(VLOOKUP(L65,'Faculty Details'!$B:$H,7,0),"")</f>
        <v>nithyapriyas@bitsathy.ac.in</v>
      </c>
    </row>
    <row r="66" ht="29.25" customHeight="1">
      <c r="A66" s="25">
        <v>65.0</v>
      </c>
      <c r="B66" s="25" t="s">
        <v>4</v>
      </c>
      <c r="C66" s="25" t="s">
        <v>1596</v>
      </c>
      <c r="D66" s="25" t="s">
        <v>1573</v>
      </c>
      <c r="E66" s="25" t="s">
        <v>1654</v>
      </c>
      <c r="F66" s="26" t="s">
        <v>1655</v>
      </c>
      <c r="G66" s="25" t="s">
        <v>1579</v>
      </c>
      <c r="H66" s="25">
        <v>3.0</v>
      </c>
      <c r="I66" s="25">
        <v>0.0</v>
      </c>
      <c r="J66" s="25">
        <v>2.0</v>
      </c>
      <c r="K66" s="25">
        <v>4.0</v>
      </c>
      <c r="L66" s="42" t="s">
        <v>343</v>
      </c>
      <c r="M66" s="41" t="str">
        <f>IFNA(VLOOKUP(L66,'Faculty Details'!$B:$H,4,0),"")</f>
        <v>Dr.SUBBULAKSHMI M</v>
      </c>
      <c r="N66" s="30" t="str">
        <f>IFNA(VLOOKUP(L66,'Faculty Details'!$B:$H,7,0),"")</f>
        <v>subbulakshmi@bitsathy.ac.in</v>
      </c>
    </row>
    <row r="67" ht="29.25" customHeight="1">
      <c r="A67" s="25">
        <v>66.0</v>
      </c>
      <c r="B67" s="25" t="s">
        <v>4</v>
      </c>
      <c r="C67" s="25" t="s">
        <v>1596</v>
      </c>
      <c r="D67" s="25" t="s">
        <v>1573</v>
      </c>
      <c r="E67" s="25" t="s">
        <v>1654</v>
      </c>
      <c r="F67" s="26" t="s">
        <v>1655</v>
      </c>
      <c r="G67" s="25" t="s">
        <v>1579</v>
      </c>
      <c r="H67" s="25">
        <v>3.0</v>
      </c>
      <c r="I67" s="25">
        <v>0.0</v>
      </c>
      <c r="J67" s="25">
        <v>2.0</v>
      </c>
      <c r="K67" s="25">
        <v>4.0</v>
      </c>
      <c r="L67" s="42" t="s">
        <v>313</v>
      </c>
      <c r="M67" s="40" t="str">
        <f>IFNA(VLOOKUP(L67,'Faculty Details'!$B:$H,4,0),"")</f>
        <v>Mr.SATHEESHKUMAR S</v>
      </c>
      <c r="N67" s="28" t="str">
        <f>IFNA(VLOOKUP(L67,'Faculty Details'!$B:$H,7,0),"")</f>
        <v>satheeshkumars@bitsathy.ac.in</v>
      </c>
    </row>
    <row r="68" ht="29.25" customHeight="1">
      <c r="A68" s="25">
        <v>67.0</v>
      </c>
      <c r="B68" s="25" t="s">
        <v>4</v>
      </c>
      <c r="C68" s="25" t="s">
        <v>1596</v>
      </c>
      <c r="D68" s="25" t="s">
        <v>1573</v>
      </c>
      <c r="E68" s="25" t="s">
        <v>1654</v>
      </c>
      <c r="F68" s="26" t="s">
        <v>1655</v>
      </c>
      <c r="G68" s="25" t="s">
        <v>1579</v>
      </c>
      <c r="H68" s="25">
        <v>3.0</v>
      </c>
      <c r="I68" s="25">
        <v>0.0</v>
      </c>
      <c r="J68" s="25">
        <v>2.0</v>
      </c>
      <c r="K68" s="25">
        <v>4.0</v>
      </c>
      <c r="L68" s="42" t="s">
        <v>293</v>
      </c>
      <c r="M68" s="40" t="str">
        <f>IFNA(VLOOKUP(L68,'Faculty Details'!$B:$H,4,0),"")</f>
        <v>Mr.BALASAMY K</v>
      </c>
      <c r="N68" s="28" t="str">
        <f>IFNA(VLOOKUP(L68,'Faculty Details'!$B:$H,7,0),"")</f>
        <v>balasamyk@bitsathy.ac.in</v>
      </c>
    </row>
    <row r="69" ht="29.25" customHeight="1">
      <c r="A69" s="25">
        <v>68.0</v>
      </c>
      <c r="B69" s="25" t="s">
        <v>4</v>
      </c>
      <c r="C69" s="25" t="s">
        <v>1596</v>
      </c>
      <c r="D69" s="25" t="s">
        <v>1607</v>
      </c>
      <c r="E69" s="32" t="s">
        <v>5</v>
      </c>
      <c r="F69" s="33" t="s">
        <v>6</v>
      </c>
      <c r="G69" s="25" t="s">
        <v>1576</v>
      </c>
      <c r="H69" s="25">
        <v>3.0</v>
      </c>
      <c r="I69" s="25">
        <v>0.0</v>
      </c>
      <c r="J69" s="25">
        <v>0.0</v>
      </c>
      <c r="K69" s="25">
        <v>3.0</v>
      </c>
      <c r="L69" s="25" t="s">
        <v>370</v>
      </c>
      <c r="M69" s="40" t="str">
        <f>IFNA(VLOOKUP(L69,'Faculty Details'!$B:$H,4,0),"")</f>
        <v>Dr.GOMATHI R</v>
      </c>
      <c r="N69" s="28" t="str">
        <f>IFNA(VLOOKUP(L69,'Faculty Details'!$B:$H,7,0),"")</f>
        <v>gomathir@bitsathy.ac.in</v>
      </c>
    </row>
    <row r="70" ht="29.25" customHeight="1">
      <c r="A70" s="25">
        <v>69.0</v>
      </c>
      <c r="B70" s="25" t="s">
        <v>4</v>
      </c>
      <c r="C70" s="25" t="s">
        <v>1596</v>
      </c>
      <c r="D70" s="25" t="s">
        <v>1607</v>
      </c>
      <c r="E70" s="32" t="s">
        <v>5</v>
      </c>
      <c r="F70" s="33" t="s">
        <v>6</v>
      </c>
      <c r="G70" s="25" t="s">
        <v>1576</v>
      </c>
      <c r="H70" s="25">
        <v>3.0</v>
      </c>
      <c r="I70" s="25">
        <v>0.0</v>
      </c>
      <c r="J70" s="25">
        <v>0.0</v>
      </c>
      <c r="K70" s="25">
        <v>3.0</v>
      </c>
      <c r="L70" s="25" t="s">
        <v>349</v>
      </c>
      <c r="M70" s="40" t="str">
        <f>IFNA(VLOOKUP(L70,'Faculty Details'!$B:$H,4,0),"")</f>
        <v>Ms.SURIYA V</v>
      </c>
      <c r="N70" s="28" t="str">
        <f>IFNA(VLOOKUP(L70,'Faculty Details'!$B:$H,7,0),"")</f>
        <v>suriya@bitsathy.ac.in</v>
      </c>
    </row>
    <row r="71" ht="29.25" customHeight="1">
      <c r="A71" s="25">
        <v>70.0</v>
      </c>
      <c r="B71" s="25" t="s">
        <v>4</v>
      </c>
      <c r="C71" s="25" t="s">
        <v>1596</v>
      </c>
      <c r="D71" s="25" t="s">
        <v>1607</v>
      </c>
      <c r="E71" s="50" t="s">
        <v>7</v>
      </c>
      <c r="F71" s="51" t="s">
        <v>8</v>
      </c>
      <c r="G71" s="25" t="s">
        <v>1576</v>
      </c>
      <c r="H71" s="25">
        <v>3.0</v>
      </c>
      <c r="I71" s="25">
        <v>0.0</v>
      </c>
      <c r="J71" s="25">
        <v>0.0</v>
      </c>
      <c r="K71" s="25">
        <v>3.0</v>
      </c>
      <c r="L71" s="42" t="s">
        <v>337</v>
      </c>
      <c r="M71" s="40" t="str">
        <f>IFNA(VLOOKUP(L71,'Faculty Details'!$B:$H,4,0),"")</f>
        <v>Dr.SUNDARA MURTHY S</v>
      </c>
      <c r="N71" s="28" t="str">
        <f>IFNA(VLOOKUP(L71,'Faculty Details'!$B:$H,7,0),"")</f>
        <v>sundaramurthys@bitsathy.ac.in</v>
      </c>
    </row>
    <row r="72" ht="29.25" customHeight="1">
      <c r="A72" s="25">
        <v>71.0</v>
      </c>
      <c r="B72" s="25" t="s">
        <v>4</v>
      </c>
      <c r="C72" s="25" t="s">
        <v>1596</v>
      </c>
      <c r="D72" s="25" t="s">
        <v>1607</v>
      </c>
      <c r="E72" s="50" t="s">
        <v>7</v>
      </c>
      <c r="F72" s="51" t="s">
        <v>8</v>
      </c>
      <c r="G72" s="25" t="s">
        <v>1576</v>
      </c>
      <c r="H72" s="25">
        <v>3.0</v>
      </c>
      <c r="I72" s="25">
        <v>0.0</v>
      </c>
      <c r="J72" s="25">
        <v>0.0</v>
      </c>
      <c r="K72" s="25">
        <v>3.0</v>
      </c>
      <c r="L72" s="25" t="s">
        <v>310</v>
      </c>
      <c r="M72" s="40" t="str">
        <f>IFNA(VLOOKUP(L72,'Faculty Details'!$B:$H,4,0),"")</f>
        <v>Mrs.DIVYABARATHI P</v>
      </c>
      <c r="N72" s="28" t="str">
        <f>IFNA(VLOOKUP(L72,'Faculty Details'!$B:$H,7,0),"")</f>
        <v>divyabarathip@bitsathy.ac.in</v>
      </c>
    </row>
    <row r="73" ht="29.25" customHeight="1">
      <c r="A73" s="25">
        <v>72.0</v>
      </c>
      <c r="B73" s="25" t="s">
        <v>4</v>
      </c>
      <c r="C73" s="25" t="s">
        <v>1596</v>
      </c>
      <c r="D73" s="25" t="s">
        <v>1573</v>
      </c>
      <c r="E73" s="25" t="s">
        <v>1608</v>
      </c>
      <c r="F73" s="26" t="s">
        <v>1609</v>
      </c>
      <c r="G73" s="25" t="s">
        <v>1588</v>
      </c>
      <c r="H73" s="25">
        <v>2.0</v>
      </c>
      <c r="I73" s="25">
        <v>0.0</v>
      </c>
      <c r="J73" s="25">
        <v>0.0</v>
      </c>
      <c r="K73" s="25">
        <v>2.0</v>
      </c>
      <c r="L73" s="25" t="s">
        <v>662</v>
      </c>
      <c r="M73" s="40" t="str">
        <f>IFNA(VLOOKUP(L73,'Faculty Details'!$B:$H,4,0),"")</f>
        <v>Dr.MALATHI MAHALINGAM</v>
      </c>
      <c r="N73" s="28" t="str">
        <f>IFNA(VLOOKUP(L73,'Faculty Details'!$B:$H,7,0),"")</f>
        <v>malathimahalingamm@bitsathy.ac.in</v>
      </c>
    </row>
    <row r="74" ht="29.25" customHeight="1">
      <c r="A74" s="25">
        <v>73.0</v>
      </c>
      <c r="B74" s="25" t="s">
        <v>4</v>
      </c>
      <c r="C74" s="25" t="s">
        <v>1596</v>
      </c>
      <c r="D74" s="25" t="s">
        <v>1573</v>
      </c>
      <c r="E74" s="25" t="s">
        <v>1608</v>
      </c>
      <c r="F74" s="26" t="s">
        <v>1609</v>
      </c>
      <c r="G74" s="25" t="s">
        <v>1588</v>
      </c>
      <c r="H74" s="25">
        <v>2.0</v>
      </c>
      <c r="I74" s="25">
        <v>0.0</v>
      </c>
      <c r="J74" s="25">
        <v>0.0</v>
      </c>
      <c r="K74" s="25">
        <v>2.0</v>
      </c>
      <c r="L74" s="25" t="s">
        <v>653</v>
      </c>
      <c r="M74" s="40" t="str">
        <f>IFNA(VLOOKUP(L74,'Faculty Details'!$B:$H,4,0),"")</f>
        <v>Dr.VIJAYANAND P S</v>
      </c>
      <c r="N74" s="28" t="str">
        <f>IFNA(VLOOKUP(L74,'Faculty Details'!$B:$H,7,0),"")</f>
        <v>vijayanandps@bitsathy.ac.in</v>
      </c>
    </row>
    <row r="75" ht="29.25" customHeight="1">
      <c r="A75" s="25">
        <v>74.0</v>
      </c>
      <c r="B75" s="25" t="s">
        <v>4</v>
      </c>
      <c r="C75" s="25" t="s">
        <v>1596</v>
      </c>
      <c r="D75" s="25" t="s">
        <v>1573</v>
      </c>
      <c r="E75" s="25" t="s">
        <v>1608</v>
      </c>
      <c r="F75" s="26" t="s">
        <v>1609</v>
      </c>
      <c r="G75" s="25" t="s">
        <v>1588</v>
      </c>
      <c r="H75" s="25">
        <v>2.0</v>
      </c>
      <c r="I75" s="25">
        <v>0.0</v>
      </c>
      <c r="J75" s="25">
        <v>0.0</v>
      </c>
      <c r="K75" s="25">
        <v>2.0</v>
      </c>
      <c r="L75" s="25" t="s">
        <v>635</v>
      </c>
      <c r="M75" s="40" t="str">
        <f>IFNA(VLOOKUP(L75,'Faculty Details'!$B:$H,4,0),"")</f>
        <v>Dr.DEEPHA V</v>
      </c>
      <c r="N75" s="28" t="str">
        <f>IFNA(VLOOKUP(L75,'Faculty Details'!$B:$H,7,0),"")</f>
        <v>deephav@bitsathy.ac.in</v>
      </c>
    </row>
    <row r="76" ht="29.25" customHeight="1">
      <c r="A76" s="25">
        <v>75.0</v>
      </c>
      <c r="B76" s="25" t="s">
        <v>4</v>
      </c>
      <c r="C76" s="25" t="s">
        <v>1596</v>
      </c>
      <c r="D76" s="25" t="s">
        <v>1573</v>
      </c>
      <c r="E76" s="25" t="s">
        <v>1608</v>
      </c>
      <c r="F76" s="26" t="s">
        <v>1609</v>
      </c>
      <c r="G76" s="25" t="s">
        <v>1588</v>
      </c>
      <c r="H76" s="25">
        <v>2.0</v>
      </c>
      <c r="I76" s="25">
        <v>0.0</v>
      </c>
      <c r="J76" s="25">
        <v>0.0</v>
      </c>
      <c r="K76" s="25">
        <v>2.0</v>
      </c>
      <c r="L76" s="25" t="s">
        <v>644</v>
      </c>
      <c r="M76" s="40" t="str">
        <f>IFNA(VLOOKUP(L76,'Faculty Details'!$B:$H,4,0),"")</f>
        <v>Dr.MANIGANDAN S</v>
      </c>
      <c r="N76" s="28" t="str">
        <f>IFNA(VLOOKUP(L76,'Faculty Details'!$B:$H,7,0),"")</f>
        <v>manigandan@bitsathy.ac.in</v>
      </c>
    </row>
    <row r="77" ht="29.25" customHeight="1">
      <c r="A77" s="25">
        <v>76.0</v>
      </c>
      <c r="B77" s="25" t="s">
        <v>4</v>
      </c>
      <c r="C77" s="25" t="s">
        <v>1596</v>
      </c>
      <c r="D77" s="25" t="s">
        <v>1573</v>
      </c>
      <c r="E77" s="25" t="s">
        <v>1610</v>
      </c>
      <c r="F77" s="34" t="s">
        <v>1611</v>
      </c>
      <c r="G77" s="25" t="s">
        <v>1588</v>
      </c>
      <c r="H77" s="25">
        <v>0.0</v>
      </c>
      <c r="I77" s="25">
        <v>0.0</v>
      </c>
      <c r="J77" s="25">
        <v>2.0</v>
      </c>
      <c r="K77" s="25">
        <v>1.0</v>
      </c>
      <c r="L77" s="25" t="s">
        <v>1118</v>
      </c>
      <c r="M77" s="40" t="str">
        <f>IFNA(VLOOKUP(L77,'Faculty Details'!$B:$H,4,0),"")</f>
        <v>Dr.GAYATHRI G M</v>
      </c>
      <c r="N77" s="28" t="str">
        <f>IFNA(VLOOKUP(L77,'Faculty Details'!$B:$H,7,0),"")</f>
        <v>gayathri@bitsathy.ac.in</v>
      </c>
    </row>
    <row r="78" ht="29.25" customHeight="1">
      <c r="A78" s="25">
        <v>77.0</v>
      </c>
      <c r="B78" s="25" t="s">
        <v>4</v>
      </c>
      <c r="C78" s="25" t="s">
        <v>1596</v>
      </c>
      <c r="D78" s="25" t="s">
        <v>1573</v>
      </c>
      <c r="E78" s="25" t="s">
        <v>1610</v>
      </c>
      <c r="F78" s="34" t="s">
        <v>1611</v>
      </c>
      <c r="G78" s="25" t="s">
        <v>1588</v>
      </c>
      <c r="H78" s="25">
        <v>0.0</v>
      </c>
      <c r="I78" s="25">
        <v>0.0</v>
      </c>
      <c r="J78" s="25">
        <v>2.0</v>
      </c>
      <c r="K78" s="25">
        <v>1.0</v>
      </c>
      <c r="L78" s="25" t="s">
        <v>1121</v>
      </c>
      <c r="M78" s="40" t="str">
        <f>IFNA(VLOOKUP(L78,'Faculty Details'!$B:$H,4,0),"")</f>
        <v>Dr.ASLIN JERUSHA D</v>
      </c>
      <c r="N78" s="28" t="str">
        <f>IFNA(VLOOKUP(L78,'Faculty Details'!$B:$H,7,0),"")</f>
        <v>aslinjerusha@bitsathy.ac.in</v>
      </c>
    </row>
    <row r="79" ht="29.25" customHeight="1">
      <c r="A79" s="25">
        <v>78.0</v>
      </c>
      <c r="B79" s="25" t="s">
        <v>4</v>
      </c>
      <c r="C79" s="25" t="s">
        <v>1596</v>
      </c>
      <c r="D79" s="25" t="s">
        <v>1573</v>
      </c>
      <c r="E79" s="25" t="s">
        <v>1610</v>
      </c>
      <c r="F79" s="34" t="s">
        <v>1611</v>
      </c>
      <c r="G79" s="25" t="s">
        <v>1588</v>
      </c>
      <c r="H79" s="25">
        <v>0.0</v>
      </c>
      <c r="I79" s="25">
        <v>0.0</v>
      </c>
      <c r="J79" s="25">
        <v>2.0</v>
      </c>
      <c r="K79" s="25">
        <v>1.0</v>
      </c>
      <c r="L79" s="52" t="s">
        <v>1124</v>
      </c>
      <c r="M79" s="40" t="str">
        <f>IFNA(VLOOKUP(L79,'Faculty Details'!$B:$H,4,0),"")</f>
        <v>Dr.EZHIL G</v>
      </c>
      <c r="N79" s="28" t="str">
        <f>IFNA(VLOOKUP(L79,'Faculty Details'!$B:$H,7,0),"")</f>
        <v>ezhil@bitsathy.ac.in</v>
      </c>
    </row>
    <row r="80" ht="29.25" customHeight="1">
      <c r="A80" s="25">
        <v>79.0</v>
      </c>
      <c r="B80" s="25" t="s">
        <v>4</v>
      </c>
      <c r="C80" s="25" t="s">
        <v>1596</v>
      </c>
      <c r="D80" s="25" t="s">
        <v>1573</v>
      </c>
      <c r="E80" s="25" t="s">
        <v>1610</v>
      </c>
      <c r="F80" s="34" t="s">
        <v>1611</v>
      </c>
      <c r="G80" s="25" t="s">
        <v>1588</v>
      </c>
      <c r="H80" s="25">
        <v>0.0</v>
      </c>
      <c r="I80" s="25">
        <v>0.0</v>
      </c>
      <c r="J80" s="25">
        <v>2.0</v>
      </c>
      <c r="K80" s="25">
        <v>1.0</v>
      </c>
      <c r="L80" s="52" t="s">
        <v>1127</v>
      </c>
      <c r="M80" s="40" t="str">
        <f>IFNA(VLOOKUP(L80,'Faculty Details'!$B:$H,4,0),"")</f>
        <v>Dr.NITHYA S</v>
      </c>
      <c r="N80" s="28" t="str">
        <f>IFNA(VLOOKUP(L80,'Faculty Details'!$B:$H,7,0),"")</f>
        <v>nithyas@bitsathy.ac.in</v>
      </c>
    </row>
    <row r="81" ht="29.25" customHeight="1">
      <c r="A81" s="25">
        <v>80.0</v>
      </c>
      <c r="B81" s="25" t="s">
        <v>4</v>
      </c>
      <c r="C81" s="25" t="s">
        <v>1612</v>
      </c>
      <c r="D81" s="25" t="s">
        <v>1573</v>
      </c>
      <c r="E81" s="25" t="s">
        <v>1656</v>
      </c>
      <c r="F81" s="26" t="s">
        <v>1657</v>
      </c>
      <c r="G81" s="25" t="s">
        <v>1579</v>
      </c>
      <c r="H81" s="25">
        <v>3.0</v>
      </c>
      <c r="I81" s="25">
        <v>0.0</v>
      </c>
      <c r="J81" s="25">
        <v>2.0</v>
      </c>
      <c r="K81" s="25">
        <v>4.0</v>
      </c>
      <c r="L81" s="42" t="s">
        <v>328</v>
      </c>
      <c r="M81" s="40" t="str">
        <f>IFNA(VLOOKUP(L81,'Faculty Details'!$B:$H,4,0),"")</f>
        <v>Mrs.JEEVITHA S V</v>
      </c>
      <c r="N81" s="28" t="str">
        <f>IFNA(VLOOKUP(L81,'Faculty Details'!$B:$H,7,0),"")</f>
        <v>jeevithasv@bitsathy.ac.in</v>
      </c>
    </row>
    <row r="82" ht="29.25" customHeight="1">
      <c r="A82" s="25">
        <v>81.0</v>
      </c>
      <c r="B82" s="25" t="s">
        <v>4</v>
      </c>
      <c r="C82" s="25" t="s">
        <v>1612</v>
      </c>
      <c r="D82" s="25" t="s">
        <v>1573</v>
      </c>
      <c r="E82" s="25" t="s">
        <v>1656</v>
      </c>
      <c r="F82" s="26" t="s">
        <v>1657</v>
      </c>
      <c r="G82" s="25" t="s">
        <v>1579</v>
      </c>
      <c r="H82" s="25">
        <v>3.0</v>
      </c>
      <c r="I82" s="25">
        <v>0.0</v>
      </c>
      <c r="J82" s="25">
        <v>2.0</v>
      </c>
      <c r="K82" s="25">
        <v>4.0</v>
      </c>
      <c r="L82" s="25" t="s">
        <v>361</v>
      </c>
      <c r="M82" s="40" t="str">
        <f>IFNA(VLOOKUP(L82,'Faculty Details'!$B:$H,4,0),"")</f>
        <v>Mr.SASSON TAFFWIN MOSES S</v>
      </c>
      <c r="N82" s="28" t="str">
        <f>IFNA(VLOOKUP(L82,'Faculty Details'!$B:$H,7,0),"")</f>
        <v>sassontaffwinmosess@bitsathy.ac.in</v>
      </c>
    </row>
    <row r="83" ht="29.25" customHeight="1">
      <c r="A83" s="25">
        <v>82.0</v>
      </c>
      <c r="B83" s="25" t="s">
        <v>4</v>
      </c>
      <c r="C83" s="25" t="s">
        <v>1612</v>
      </c>
      <c r="D83" s="25" t="s">
        <v>1573</v>
      </c>
      <c r="E83" s="25" t="s">
        <v>1656</v>
      </c>
      <c r="F83" s="26" t="s">
        <v>1657</v>
      </c>
      <c r="G83" s="25" t="s">
        <v>1579</v>
      </c>
      <c r="H83" s="25">
        <v>3.0</v>
      </c>
      <c r="I83" s="25">
        <v>0.0</v>
      </c>
      <c r="J83" s="25">
        <v>2.0</v>
      </c>
      <c r="K83" s="25">
        <v>4.0</v>
      </c>
      <c r="L83" s="25" t="s">
        <v>334</v>
      </c>
      <c r="M83" s="40" t="str">
        <f>IFNA(VLOOKUP(L83,'Faculty Details'!$B:$H,4,0),"")</f>
        <v>Mr.PREMKUMAR C</v>
      </c>
      <c r="N83" s="28" t="str">
        <f>IFNA(VLOOKUP(L83,'Faculty Details'!$B:$H,7,0),"")</f>
        <v>premkumar@bitsathy.ac.in</v>
      </c>
    </row>
    <row r="84" ht="29.25" customHeight="1">
      <c r="A84" s="25">
        <v>83.0</v>
      </c>
      <c r="B84" s="25" t="s">
        <v>4</v>
      </c>
      <c r="C84" s="25" t="s">
        <v>1612</v>
      </c>
      <c r="D84" s="25" t="s">
        <v>1573</v>
      </c>
      <c r="E84" s="25" t="s">
        <v>1658</v>
      </c>
      <c r="F84" s="26" t="s">
        <v>1659</v>
      </c>
      <c r="G84" s="25" t="s">
        <v>1579</v>
      </c>
      <c r="H84" s="25">
        <v>3.0</v>
      </c>
      <c r="I84" s="25">
        <v>0.0</v>
      </c>
      <c r="J84" s="25">
        <v>2.0</v>
      </c>
      <c r="K84" s="25">
        <v>4.0</v>
      </c>
      <c r="L84" s="42" t="s">
        <v>310</v>
      </c>
      <c r="M84" s="40" t="str">
        <f>IFNA(VLOOKUP(L84,'Faculty Details'!$B:$H,4,0),"")</f>
        <v>Mrs.DIVYABARATHI P</v>
      </c>
      <c r="N84" s="28" t="str">
        <f>IFNA(VLOOKUP(L84,'Faculty Details'!$B:$H,7,0),"")</f>
        <v>divyabarathip@bitsathy.ac.in</v>
      </c>
    </row>
    <row r="85" ht="29.25" customHeight="1">
      <c r="A85" s="25">
        <v>84.0</v>
      </c>
      <c r="B85" s="25" t="s">
        <v>4</v>
      </c>
      <c r="C85" s="25" t="s">
        <v>1612</v>
      </c>
      <c r="D85" s="25" t="s">
        <v>1573</v>
      </c>
      <c r="E85" s="25" t="s">
        <v>1658</v>
      </c>
      <c r="F85" s="26" t="s">
        <v>1659</v>
      </c>
      <c r="G85" s="25" t="s">
        <v>1579</v>
      </c>
      <c r="H85" s="25">
        <v>3.0</v>
      </c>
      <c r="I85" s="25">
        <v>0.0</v>
      </c>
      <c r="J85" s="25">
        <v>2.0</v>
      </c>
      <c r="K85" s="25">
        <v>4.0</v>
      </c>
      <c r="L85" s="42" t="s">
        <v>289</v>
      </c>
      <c r="M85" s="40" t="str">
        <f>IFNA(VLOOKUP(L85,'Faculty Details'!$B:$H,4,0),"")</f>
        <v>Mrs.NISHA DEVI K</v>
      </c>
      <c r="N85" s="28" t="str">
        <f>IFNA(VLOOKUP(L85,'Faculty Details'!$B:$H,7,0),"")</f>
        <v>nishadevik@bitsathy.ac.in</v>
      </c>
    </row>
    <row r="86" ht="29.25" customHeight="1">
      <c r="A86" s="25">
        <v>85.0</v>
      </c>
      <c r="B86" s="25" t="s">
        <v>4</v>
      </c>
      <c r="C86" s="25" t="s">
        <v>1612</v>
      </c>
      <c r="D86" s="25" t="s">
        <v>1573</v>
      </c>
      <c r="E86" s="25" t="s">
        <v>1658</v>
      </c>
      <c r="F86" s="26" t="s">
        <v>1659</v>
      </c>
      <c r="G86" s="25" t="s">
        <v>1576</v>
      </c>
      <c r="H86" s="25">
        <v>3.0</v>
      </c>
      <c r="I86" s="25">
        <v>0.0</v>
      </c>
      <c r="J86" s="25">
        <v>2.0</v>
      </c>
      <c r="K86" s="25">
        <v>4.0</v>
      </c>
      <c r="L86" s="42" t="s">
        <v>322</v>
      </c>
      <c r="M86" s="40" t="str">
        <f>IFNA(VLOOKUP(L86,'Faculty Details'!$B:$H,4,0),"")</f>
        <v>Mr.CHOZHARAJAN P</v>
      </c>
      <c r="N86" s="28" t="str">
        <f>IFNA(VLOOKUP(L86,'Faculty Details'!$B:$H,7,0),"")</f>
        <v>chozharajanp@bitsathy.ac.in</v>
      </c>
    </row>
    <row r="87" ht="29.25" customHeight="1">
      <c r="A87" s="25">
        <v>86.0</v>
      </c>
      <c r="B87" s="25" t="s">
        <v>4</v>
      </c>
      <c r="C87" s="25" t="s">
        <v>1612</v>
      </c>
      <c r="D87" s="25" t="s">
        <v>1573</v>
      </c>
      <c r="E87" s="25" t="s">
        <v>1658</v>
      </c>
      <c r="F87" s="26" t="s">
        <v>1659</v>
      </c>
      <c r="G87" s="25" t="s">
        <v>1588</v>
      </c>
      <c r="H87" s="25">
        <v>3.0</v>
      </c>
      <c r="I87" s="25">
        <v>0.0</v>
      </c>
      <c r="J87" s="25">
        <v>2.0</v>
      </c>
      <c r="K87" s="25">
        <v>4.0</v>
      </c>
      <c r="L87" s="42" t="s">
        <v>358</v>
      </c>
      <c r="M87" s="40" t="str">
        <f>IFNA(VLOOKUP(L87,'Faculty Details'!$B:$H,4,0),"")</f>
        <v>Ms.PRIYADHARSHNI S</v>
      </c>
      <c r="N87" s="28" t="str">
        <f>IFNA(VLOOKUP(L87,'Faculty Details'!$B:$H,7,0),"")</f>
        <v>priyadharshni@bitsathy.ac.in</v>
      </c>
    </row>
    <row r="88" ht="29.25" customHeight="1">
      <c r="A88" s="25">
        <v>87.0</v>
      </c>
      <c r="B88" s="25" t="s">
        <v>4</v>
      </c>
      <c r="C88" s="25" t="s">
        <v>1612</v>
      </c>
      <c r="D88" s="25" t="s">
        <v>1573</v>
      </c>
      <c r="E88" s="25" t="s">
        <v>1660</v>
      </c>
      <c r="F88" s="26" t="s">
        <v>1661</v>
      </c>
      <c r="G88" s="25" t="s">
        <v>1579</v>
      </c>
      <c r="H88" s="25">
        <v>3.0</v>
      </c>
      <c r="I88" s="25">
        <v>0.0</v>
      </c>
      <c r="J88" s="25">
        <v>2.0</v>
      </c>
      <c r="K88" s="25">
        <v>4.0</v>
      </c>
      <c r="L88" s="42" t="s">
        <v>331</v>
      </c>
      <c r="M88" s="40" t="str">
        <f>IFNA(VLOOKUP(L88,'Faculty Details'!$B:$H,4,0),"")</f>
        <v>Ms.BENITA GRACIA THANGAM J</v>
      </c>
      <c r="N88" s="28" t="str">
        <f>IFNA(VLOOKUP(L88,'Faculty Details'!$B:$H,7,0),"")</f>
        <v>benitagraciathangam@bitsathy.ac.in</v>
      </c>
    </row>
    <row r="89" ht="29.25" customHeight="1">
      <c r="A89" s="25">
        <v>88.0</v>
      </c>
      <c r="B89" s="25" t="s">
        <v>4</v>
      </c>
      <c r="C89" s="25" t="s">
        <v>1612</v>
      </c>
      <c r="D89" s="25" t="s">
        <v>1573</v>
      </c>
      <c r="E89" s="25" t="s">
        <v>1660</v>
      </c>
      <c r="F89" s="26" t="s">
        <v>1661</v>
      </c>
      <c r="G89" s="25" t="s">
        <v>1579</v>
      </c>
      <c r="H89" s="25">
        <v>3.0</v>
      </c>
      <c r="I89" s="25">
        <v>0.0</v>
      </c>
      <c r="J89" s="25">
        <v>2.0</v>
      </c>
      <c r="K89" s="25">
        <v>4.0</v>
      </c>
      <c r="L89" s="42" t="s">
        <v>299</v>
      </c>
      <c r="M89" s="40" t="str">
        <f>IFNA(VLOOKUP(L89,'Faculty Details'!$B:$H,4,0),"")</f>
        <v>Mr.SATHEESH N P</v>
      </c>
      <c r="N89" s="28" t="str">
        <f>IFNA(VLOOKUP(L89,'Faculty Details'!$B:$H,7,0),"")</f>
        <v>satheeshnp@bitsathy.ac.in</v>
      </c>
    </row>
    <row r="90" ht="29.25" customHeight="1">
      <c r="A90" s="25">
        <v>89.0</v>
      </c>
      <c r="B90" s="25" t="s">
        <v>4</v>
      </c>
      <c r="C90" s="25" t="s">
        <v>1612</v>
      </c>
      <c r="D90" s="25" t="s">
        <v>1573</v>
      </c>
      <c r="E90" s="25" t="s">
        <v>1660</v>
      </c>
      <c r="F90" s="26" t="s">
        <v>1661</v>
      </c>
      <c r="G90" s="25" t="s">
        <v>1579</v>
      </c>
      <c r="H90" s="25">
        <v>3.0</v>
      </c>
      <c r="I90" s="25">
        <v>0.0</v>
      </c>
      <c r="J90" s="25">
        <v>2.0</v>
      </c>
      <c r="K90" s="25">
        <v>4.0</v>
      </c>
      <c r="L90" s="42" t="s">
        <v>352</v>
      </c>
      <c r="M90" s="40" t="str">
        <f>IFNA(VLOOKUP(L90,'Faculty Details'!$B:$H,4,0),"")</f>
        <v>Mrs.HEMA PRIYA D</v>
      </c>
      <c r="N90" s="28" t="str">
        <f>IFNA(VLOOKUP(L90,'Faculty Details'!$B:$H,7,0),"")</f>
        <v>hemapriyad@bitsathy.ac.in</v>
      </c>
    </row>
    <row r="91" ht="29.25" customHeight="1">
      <c r="A91" s="25">
        <v>90.0</v>
      </c>
      <c r="B91" s="25" t="s">
        <v>4</v>
      </c>
      <c r="C91" s="25" t="s">
        <v>1612</v>
      </c>
      <c r="D91" s="25" t="s">
        <v>1619</v>
      </c>
      <c r="E91" s="53" t="s">
        <v>65</v>
      </c>
      <c r="F91" s="54" t="s">
        <v>66</v>
      </c>
      <c r="G91" s="25" t="s">
        <v>1576</v>
      </c>
      <c r="H91" s="25">
        <v>3.0</v>
      </c>
      <c r="I91" s="25">
        <v>0.0</v>
      </c>
      <c r="J91" s="25">
        <v>0.0</v>
      </c>
      <c r="K91" s="25">
        <v>3.0</v>
      </c>
      <c r="L91" s="25" t="s">
        <v>325</v>
      </c>
      <c r="M91" s="40" t="str">
        <f>IFNA(VLOOKUP(L91,'Faculty Details'!$B:$H,4,0),"")</f>
        <v>Mrs.ASHFORN HERMINA J M</v>
      </c>
      <c r="N91" s="28" t="str">
        <f>IFNA(VLOOKUP(L91,'Faculty Details'!$B:$H,7,0),"")</f>
        <v>ashfornherminajm@bitsathy.ac.in</v>
      </c>
    </row>
    <row r="92" ht="29.25" customHeight="1">
      <c r="A92" s="25">
        <v>91.0</v>
      </c>
      <c r="B92" s="25" t="s">
        <v>4</v>
      </c>
      <c r="C92" s="25" t="s">
        <v>1612</v>
      </c>
      <c r="D92" s="25" t="s">
        <v>1619</v>
      </c>
      <c r="E92" s="55" t="s">
        <v>63</v>
      </c>
      <c r="F92" s="51" t="s">
        <v>64</v>
      </c>
      <c r="G92" s="25" t="s">
        <v>1576</v>
      </c>
      <c r="H92" s="25">
        <v>3.0</v>
      </c>
      <c r="I92" s="25">
        <v>0.0</v>
      </c>
      <c r="J92" s="25">
        <v>0.0</v>
      </c>
      <c r="K92" s="25">
        <v>3.0</v>
      </c>
      <c r="L92" s="48" t="s">
        <v>568</v>
      </c>
      <c r="M92" s="40" t="str">
        <f>IFNA(VLOOKUP(L92,'Faculty Details'!$B:$H,4,0),"")</f>
        <v>Mrs.DIVYA S</v>
      </c>
      <c r="N92" s="28" t="str">
        <f>IFNA(VLOOKUP(L92,'Faculty Details'!$B:$H,7,0),"")</f>
        <v>divyaks@bitsathy.ac.in</v>
      </c>
    </row>
    <row r="93" ht="29.25" customHeight="1">
      <c r="A93" s="25">
        <v>92.0</v>
      </c>
      <c r="B93" s="25" t="s">
        <v>4</v>
      </c>
      <c r="C93" s="25" t="s">
        <v>1612</v>
      </c>
      <c r="D93" s="25" t="s">
        <v>1619</v>
      </c>
      <c r="E93" s="55" t="s">
        <v>63</v>
      </c>
      <c r="F93" s="51" t="s">
        <v>64</v>
      </c>
      <c r="G93" s="25" t="s">
        <v>1576</v>
      </c>
      <c r="H93" s="25">
        <v>3.0</v>
      </c>
      <c r="I93" s="25">
        <v>0.0</v>
      </c>
      <c r="J93" s="25">
        <v>0.0</v>
      </c>
      <c r="K93" s="25">
        <v>3.0</v>
      </c>
      <c r="L93" s="42" t="s">
        <v>364</v>
      </c>
      <c r="M93" s="40" t="str">
        <f>IFNA(VLOOKUP(L93,'Faculty Details'!$B:$H,4,0),"")</f>
        <v>Mrs.MANOCHITRA A S</v>
      </c>
      <c r="N93" s="28" t="str">
        <f>IFNA(VLOOKUP(L93,'Faculty Details'!$B:$H,7,0),"")</f>
        <v>manochitra@bitsathy.ac.in</v>
      </c>
    </row>
    <row r="94" ht="29.25" customHeight="1">
      <c r="A94" s="25">
        <v>93.0</v>
      </c>
      <c r="B94" s="25" t="s">
        <v>4</v>
      </c>
      <c r="C94" s="25" t="s">
        <v>1612</v>
      </c>
      <c r="D94" s="25" t="s">
        <v>1620</v>
      </c>
      <c r="E94" s="56" t="s">
        <v>69</v>
      </c>
      <c r="F94" s="57" t="s">
        <v>70</v>
      </c>
      <c r="G94" s="25" t="s">
        <v>1576</v>
      </c>
      <c r="H94" s="25">
        <v>3.0</v>
      </c>
      <c r="I94" s="25">
        <v>0.0</v>
      </c>
      <c r="J94" s="25">
        <v>0.0</v>
      </c>
      <c r="K94" s="25">
        <v>3.0</v>
      </c>
      <c r="L94" s="25" t="s">
        <v>316</v>
      </c>
      <c r="M94" s="40" t="str">
        <f>IFNA(VLOOKUP(L94,'Faculty Details'!$B:$H,4,0),"")</f>
        <v>Mrs.KIRUTHIGA R</v>
      </c>
      <c r="N94" s="28" t="str">
        <f>IFNA(VLOOKUP(L94,'Faculty Details'!$B:$H,7,0),"")</f>
        <v>kiruthigar@bitsathy.ac.in</v>
      </c>
    </row>
    <row r="95" ht="29.25" customHeight="1">
      <c r="A95" s="25">
        <v>94.0</v>
      </c>
      <c r="B95" s="25" t="s">
        <v>4</v>
      </c>
      <c r="C95" s="25" t="s">
        <v>1612</v>
      </c>
      <c r="D95" s="25" t="s">
        <v>1620</v>
      </c>
      <c r="E95" s="56" t="s">
        <v>69</v>
      </c>
      <c r="F95" s="57" t="s">
        <v>70</v>
      </c>
      <c r="G95" s="25" t="s">
        <v>1576</v>
      </c>
      <c r="H95" s="25">
        <v>3.0</v>
      </c>
      <c r="I95" s="25">
        <v>0.0</v>
      </c>
      <c r="J95" s="25">
        <v>0.0</v>
      </c>
      <c r="K95" s="25">
        <v>3.0</v>
      </c>
      <c r="L95" s="25" t="s">
        <v>423</v>
      </c>
      <c r="M95" s="40" t="str">
        <f>IFNA(VLOOKUP(L95,'Faculty Details'!$B:$H,4,0),"")</f>
        <v>Mr.NITHIN P</v>
      </c>
      <c r="N95" s="28" t="str">
        <f>IFNA(VLOOKUP(L95,'Faculty Details'!$B:$H,7,0),"")</f>
        <v>nithinp@bitsathy.ac.in</v>
      </c>
    </row>
    <row r="96" ht="29.25" customHeight="1">
      <c r="A96" s="25">
        <v>95.0</v>
      </c>
      <c r="B96" s="25" t="s">
        <v>4</v>
      </c>
      <c r="C96" s="25" t="s">
        <v>1612</v>
      </c>
      <c r="D96" s="25" t="s">
        <v>1620</v>
      </c>
      <c r="E96" s="53" t="s">
        <v>67</v>
      </c>
      <c r="F96" s="54" t="s">
        <v>68</v>
      </c>
      <c r="G96" s="25" t="s">
        <v>1576</v>
      </c>
      <c r="H96" s="25">
        <v>3.0</v>
      </c>
      <c r="I96" s="25">
        <v>0.0</v>
      </c>
      <c r="J96" s="25">
        <v>0.0</v>
      </c>
      <c r="K96" s="25">
        <v>3.0</v>
      </c>
      <c r="L96" s="42" t="s">
        <v>343</v>
      </c>
      <c r="M96" s="40" t="str">
        <f>IFNA(VLOOKUP(L96,'Faculty Details'!$B:$H,4,0),"")</f>
        <v>Dr.SUBBULAKSHMI M</v>
      </c>
      <c r="N96" s="28" t="str">
        <f>IFNA(VLOOKUP(L96,'Faculty Details'!$B:$H,7,0),"")</f>
        <v>subbulakshmi@bitsathy.ac.in</v>
      </c>
    </row>
    <row r="97" ht="29.25" customHeight="1">
      <c r="A97" s="25">
        <v>96.0</v>
      </c>
      <c r="B97" s="25" t="s">
        <v>4</v>
      </c>
      <c r="C97" s="25" t="s">
        <v>1612</v>
      </c>
      <c r="D97" s="25" t="s">
        <v>1620</v>
      </c>
      <c r="E97" s="53" t="s">
        <v>67</v>
      </c>
      <c r="F97" s="54" t="s">
        <v>68</v>
      </c>
      <c r="G97" s="25" t="s">
        <v>1576</v>
      </c>
      <c r="H97" s="25">
        <v>3.0</v>
      </c>
      <c r="I97" s="25">
        <v>0.0</v>
      </c>
      <c r="J97" s="25">
        <v>0.0</v>
      </c>
      <c r="K97" s="25">
        <v>3.0</v>
      </c>
      <c r="L97" s="25" t="s">
        <v>319</v>
      </c>
      <c r="M97" s="40" t="str">
        <f>IFNA(VLOOKUP(L97,'Faculty Details'!$B:$H,4,0),"")</f>
        <v>Mrs.VAANATHI S</v>
      </c>
      <c r="N97" s="28" t="str">
        <f>IFNA(VLOOKUP(L97,'Faculty Details'!$B:$H,7,0),"")</f>
        <v>vaanathi@bitsathy.ac.in</v>
      </c>
    </row>
    <row r="98" ht="29.25" customHeight="1">
      <c r="A98" s="25">
        <v>97.0</v>
      </c>
      <c r="B98" s="25" t="s">
        <v>4</v>
      </c>
      <c r="C98" s="25" t="s">
        <v>1612</v>
      </c>
      <c r="D98" s="25" t="s">
        <v>1621</v>
      </c>
      <c r="E98" s="58" t="s">
        <v>71</v>
      </c>
      <c r="F98" s="59" t="s">
        <v>72</v>
      </c>
      <c r="G98" s="25" t="s">
        <v>1576</v>
      </c>
      <c r="H98" s="25">
        <v>3.0</v>
      </c>
      <c r="I98" s="25">
        <v>0.0</v>
      </c>
      <c r="J98" s="25">
        <v>0.0</v>
      </c>
      <c r="K98" s="25">
        <v>3.0</v>
      </c>
      <c r="L98" s="42" t="s">
        <v>306</v>
      </c>
      <c r="M98" s="40" t="str">
        <f>IFNA(VLOOKUP(L98,'Faculty Details'!$B:$H,4,0),"")</f>
        <v>Ms.ESAKKI MADURA E</v>
      </c>
      <c r="N98" s="28" t="str">
        <f>IFNA(VLOOKUP(L98,'Faculty Details'!$B:$H,7,0),"")</f>
        <v>esakkimadurae@bitsathy.ac.in</v>
      </c>
    </row>
    <row r="99" ht="29.25" customHeight="1">
      <c r="A99" s="25">
        <v>98.0</v>
      </c>
      <c r="B99" s="25" t="s">
        <v>4</v>
      </c>
      <c r="C99" s="25" t="s">
        <v>1612</v>
      </c>
      <c r="D99" s="25" t="s">
        <v>1621</v>
      </c>
      <c r="E99" s="25" t="s">
        <v>73</v>
      </c>
      <c r="F99" s="26" t="s">
        <v>74</v>
      </c>
      <c r="G99" s="25" t="s">
        <v>1576</v>
      </c>
      <c r="H99" s="25">
        <v>3.0</v>
      </c>
      <c r="I99" s="25">
        <v>0.0</v>
      </c>
      <c r="J99" s="25">
        <v>0.0</v>
      </c>
      <c r="K99" s="25">
        <v>3.0</v>
      </c>
      <c r="L99" s="25" t="s">
        <v>328</v>
      </c>
      <c r="M99" s="40" t="str">
        <f>IFNA(VLOOKUP(L99,'Faculty Details'!$B:$H,4,0),"")</f>
        <v>Mrs.JEEVITHA S V</v>
      </c>
      <c r="N99" s="28" t="str">
        <f>IFNA(VLOOKUP(L99,'Faculty Details'!$B:$H,7,0),"")</f>
        <v>jeevithasv@bitsathy.ac.in</v>
      </c>
    </row>
    <row r="100" ht="29.25" customHeight="1">
      <c r="A100" s="25">
        <v>99.0</v>
      </c>
      <c r="B100" s="25" t="s">
        <v>4</v>
      </c>
      <c r="C100" s="25" t="s">
        <v>1612</v>
      </c>
      <c r="D100" s="25" t="s">
        <v>1622</v>
      </c>
      <c r="E100" s="60" t="s">
        <v>61</v>
      </c>
      <c r="F100" s="61" t="s">
        <v>62</v>
      </c>
      <c r="G100" s="25" t="s">
        <v>1576</v>
      </c>
      <c r="H100" s="25">
        <v>3.0</v>
      </c>
      <c r="I100" s="25">
        <v>0.0</v>
      </c>
      <c r="J100" s="25">
        <v>0.0</v>
      </c>
      <c r="K100" s="25">
        <v>3.0</v>
      </c>
      <c r="L100" s="48" t="s">
        <v>306</v>
      </c>
      <c r="M100" s="40" t="str">
        <f>IFNA(VLOOKUP(L100,'Faculty Details'!$B:$H,4,0),"")</f>
        <v>Ms.ESAKKI MADURA E</v>
      </c>
      <c r="N100" s="28" t="str">
        <f>IFNA(VLOOKUP(L100,'Faculty Details'!$B:$H,7,0),"")</f>
        <v>esakkimadurae@bitsathy.ac.in</v>
      </c>
    </row>
    <row r="101" ht="29.25" customHeight="1">
      <c r="A101" s="25">
        <v>100.0</v>
      </c>
      <c r="B101" s="25" t="s">
        <v>4</v>
      </c>
      <c r="C101" s="25" t="s">
        <v>1612</v>
      </c>
      <c r="D101" s="25" t="s">
        <v>1622</v>
      </c>
      <c r="E101" s="60" t="s">
        <v>61</v>
      </c>
      <c r="F101" s="61" t="s">
        <v>62</v>
      </c>
      <c r="G101" s="25" t="s">
        <v>1576</v>
      </c>
      <c r="H101" s="25">
        <v>3.0</v>
      </c>
      <c r="I101" s="25">
        <v>0.0</v>
      </c>
      <c r="J101" s="25">
        <v>0.0</v>
      </c>
      <c r="K101" s="25">
        <v>3.0</v>
      </c>
      <c r="L101" s="48" t="s">
        <v>316</v>
      </c>
      <c r="M101" s="40" t="str">
        <f>IFNA(VLOOKUP(L101,'Faculty Details'!$B:$H,4,0),"")</f>
        <v>Mrs.KIRUTHIGA R</v>
      </c>
      <c r="N101" s="28" t="str">
        <f>IFNA(VLOOKUP(L101,'Faculty Details'!$B:$H,7,0),"")</f>
        <v>kiruthigar@bitsathy.ac.in</v>
      </c>
    </row>
    <row r="102" ht="29.25" customHeight="1">
      <c r="A102" s="25">
        <v>101.0</v>
      </c>
      <c r="B102" s="25" t="s">
        <v>4</v>
      </c>
      <c r="C102" s="25" t="s">
        <v>1612</v>
      </c>
      <c r="D102" s="25" t="s">
        <v>1623</v>
      </c>
      <c r="E102" s="25" t="s">
        <v>1662</v>
      </c>
      <c r="F102" s="26" t="s">
        <v>1663</v>
      </c>
      <c r="G102" s="25" t="s">
        <v>1576</v>
      </c>
      <c r="H102" s="25">
        <v>3.0</v>
      </c>
      <c r="I102" s="25">
        <v>0.0</v>
      </c>
      <c r="J102" s="25">
        <v>0.0</v>
      </c>
      <c r="K102" s="25">
        <v>3.0</v>
      </c>
      <c r="L102" s="29" t="s">
        <v>313</v>
      </c>
      <c r="M102" s="40" t="str">
        <f>IFNA(VLOOKUP(L102,'Faculty Details'!$B:$H,4,0),"")</f>
        <v>Mr.SATHEESHKUMAR S</v>
      </c>
      <c r="N102" s="28" t="str">
        <f>IFNA(VLOOKUP(L102,'Faculty Details'!$B:$H,7,0),"")</f>
        <v>satheeshkumars@bitsathy.ac.in</v>
      </c>
    </row>
    <row r="103" ht="29.25" customHeight="1">
      <c r="A103" s="25">
        <v>102.0</v>
      </c>
      <c r="B103" s="25" t="s">
        <v>4</v>
      </c>
      <c r="C103" s="25" t="s">
        <v>1612</v>
      </c>
      <c r="D103" s="25" t="s">
        <v>1623</v>
      </c>
      <c r="E103" s="25" t="s">
        <v>1664</v>
      </c>
      <c r="F103" s="26" t="s">
        <v>1665</v>
      </c>
      <c r="G103" s="25" t="s">
        <v>1576</v>
      </c>
      <c r="H103" s="25">
        <v>3.0</v>
      </c>
      <c r="I103" s="25">
        <v>0.0</v>
      </c>
      <c r="J103" s="25">
        <v>0.0</v>
      </c>
      <c r="K103" s="25">
        <v>3.0</v>
      </c>
      <c r="L103" s="25" t="s">
        <v>358</v>
      </c>
      <c r="M103" s="40" t="str">
        <f>IFNA(VLOOKUP(L103,'Faculty Details'!$B:$H,4,0),"")</f>
        <v>Ms.PRIYADHARSHNI S</v>
      </c>
      <c r="N103" s="28" t="str">
        <f>IFNA(VLOOKUP(L103,'Faculty Details'!$B:$H,7,0),"")</f>
        <v>priyadharshni@bitsathy.ac.in</v>
      </c>
    </row>
    <row r="104" ht="29.25" customHeight="1">
      <c r="A104" s="25">
        <v>103.0</v>
      </c>
      <c r="B104" s="25" t="s">
        <v>4</v>
      </c>
      <c r="C104" s="25" t="s">
        <v>1612</v>
      </c>
      <c r="D104" s="25" t="s">
        <v>1632</v>
      </c>
      <c r="E104" s="25" t="s">
        <v>1666</v>
      </c>
      <c r="F104" s="26" t="s">
        <v>1630</v>
      </c>
      <c r="G104" s="25" t="s">
        <v>1588</v>
      </c>
      <c r="H104" s="25">
        <v>0.0</v>
      </c>
      <c r="I104" s="25">
        <v>0.0</v>
      </c>
      <c r="J104" s="25">
        <v>2.0</v>
      </c>
      <c r="K104" s="25">
        <v>1.0</v>
      </c>
      <c r="L104" s="25"/>
      <c r="M104" s="40" t="str">
        <f>IFNA(VLOOKUP(L104,'Faculty Details'!$B:$H,4,0),"")</f>
        <v/>
      </c>
      <c r="N104" s="28" t="str">
        <f>IFNA(VLOOKUP(L104,'Faculty Details'!$B:$H,7,0),"")</f>
        <v/>
      </c>
    </row>
    <row r="105" ht="29.25" customHeight="1">
      <c r="A105" s="25">
        <v>104.0</v>
      </c>
      <c r="B105" s="25" t="s">
        <v>4</v>
      </c>
      <c r="C105" s="25" t="s">
        <v>1631</v>
      </c>
      <c r="D105" s="25" t="s">
        <v>1632</v>
      </c>
      <c r="E105" s="25" t="s">
        <v>1667</v>
      </c>
      <c r="F105" s="26" t="s">
        <v>1634</v>
      </c>
      <c r="G105" s="25" t="s">
        <v>1588</v>
      </c>
      <c r="H105" s="25">
        <v>0.0</v>
      </c>
      <c r="I105" s="25">
        <v>0.0</v>
      </c>
      <c r="J105" s="25">
        <v>18.0</v>
      </c>
      <c r="K105" s="25">
        <v>9.0</v>
      </c>
      <c r="L105" s="25"/>
      <c r="M105" s="40" t="str">
        <f>IFNA(VLOOKUP(L105,'Faculty Details'!$B:$H,4,0),"")</f>
        <v/>
      </c>
      <c r="N105" s="28" t="str">
        <f>IFNA(VLOOKUP(L105,'Faculty Details'!$B:$H,7,0),"")</f>
        <v/>
      </c>
    </row>
  </sheetData>
  <conditionalFormatting sqref="L2:L94 L96:L105">
    <cfRule type="containsBlanks" dxfId="1" priority="1">
      <formula>LEN(TRIM(L2))=0</formula>
    </cfRule>
  </conditionalFormatting>
  <dataValidations>
    <dataValidation type="list" allowBlank="1" showErrorMessage="1" sqref="D77:D90">
      <formula1>"CORE,ELECTIVE 1,OPEN ELECTIVE,ELECTIVE 3,ELECTIVE 4,ELECTIVE 5,HONOURS,MINOR,LAB,PROJECT,MINI PROJECT"</formula1>
    </dataValidation>
    <dataValidation type="list" allowBlank="1" showErrorMessage="1" sqref="D45">
      <formula1>"CORE,ELECTIVE 1,OPEN ELECTIVE,ELECTIVE 6,ELECTIVE 7,ELECTIVE 8,ELECTIVE 9,HONOURS,MINOR"</formula1>
    </dataValidation>
    <dataValidation type="list" allowBlank="1" showErrorMessage="1" sqref="D69:D76 D100:D103">
      <formula1>"CORE,ELECTIVE 1,OPEN ELECTIVE,ELECTIVE 6,ELECTIVE 7,ELECTIVE 8,ELECTIVE 9,HONOURS,MINOR,ADD COURSE"</formula1>
    </dataValidation>
    <dataValidation type="list" allowBlank="1" showErrorMessage="1" sqref="C2:C105">
      <formula1>"S2,S4,S6,S8"</formula1>
    </dataValidation>
    <dataValidation type="list" allowBlank="1" showErrorMessage="1" sqref="G2:G105">
      <formula1>"THEORY,THEORY WITH LAB,LAB"</formula1>
    </dataValidation>
    <dataValidation type="list" allowBlank="1" showErrorMessage="1" sqref="D91:D99 D104:D105">
      <formula1>"CORE,ELECTIVE 1,OPEN ELECTIVE,ELECTIVE 3,ELECTIVE 4,ELECTIVE 5,HONOURS,MINOR,LAB,PROJECT,MINI PROJECT,ADD COURSE"</formula1>
    </dataValidation>
    <dataValidation type="list" allowBlank="1" showErrorMessage="1" sqref="D2:D44 D46:D68">
      <formula1>"CORE,ELECTIVE 1,OPEN ELECTIVE,ELECTIVE 6,ELECTIVE 7,ELECTIVE 8,ELECTIVE 9,HONOURS,MINOR,LANGUAGE ELECTIVE"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3" max="3" width="8.0"/>
    <col customWidth="1" min="4" max="4" width="15.13"/>
    <col customWidth="1" min="5" max="5" width="10.38"/>
    <col customWidth="1" min="6" max="6" width="29.25"/>
    <col customWidth="1" min="7" max="7" width="15.88"/>
    <col customWidth="1" min="8" max="9" width="5.0"/>
    <col customWidth="1" min="10" max="10" width="5.5"/>
    <col customWidth="1" min="11" max="11" width="5.0"/>
    <col customWidth="1" min="12" max="12" width="12.0"/>
    <col customWidth="1" min="13" max="13" width="22.38"/>
    <col customWidth="1" min="14" max="14" width="31.25"/>
  </cols>
  <sheetData>
    <row r="1">
      <c r="A1" s="23" t="s">
        <v>1635</v>
      </c>
      <c r="B1" s="23" t="s">
        <v>1560</v>
      </c>
      <c r="C1" s="23" t="s">
        <v>1561</v>
      </c>
      <c r="D1" s="23" t="s">
        <v>1562</v>
      </c>
      <c r="E1" s="23" t="s">
        <v>1563</v>
      </c>
      <c r="F1" s="23" t="s">
        <v>1564</v>
      </c>
      <c r="G1" s="23" t="s">
        <v>1565</v>
      </c>
      <c r="H1" s="23" t="s">
        <v>1566</v>
      </c>
      <c r="I1" s="23" t="s">
        <v>1567</v>
      </c>
      <c r="J1" s="23" t="s">
        <v>1568</v>
      </c>
      <c r="K1" s="23" t="s">
        <v>1569</v>
      </c>
      <c r="L1" s="23" t="s">
        <v>1570</v>
      </c>
      <c r="M1" s="62" t="s">
        <v>257</v>
      </c>
      <c r="N1" s="23" t="s">
        <v>1571</v>
      </c>
    </row>
    <row r="2" ht="35.25" customHeight="1">
      <c r="A2" s="25">
        <f t="array" ref="A2:A64">SEQUENCE(COUNTA(B2:B64),1)</f>
        <v>1</v>
      </c>
      <c r="B2" s="25" t="s">
        <v>9</v>
      </c>
      <c r="C2" s="25" t="s">
        <v>1572</v>
      </c>
      <c r="D2" s="25" t="s">
        <v>1573</v>
      </c>
      <c r="E2" s="25" t="s">
        <v>1574</v>
      </c>
      <c r="F2" s="26" t="s">
        <v>1575</v>
      </c>
      <c r="G2" s="25" t="s">
        <v>1576</v>
      </c>
      <c r="H2" s="25">
        <v>3.0</v>
      </c>
      <c r="I2" s="25">
        <v>1.0</v>
      </c>
      <c r="J2" s="25">
        <v>0.0</v>
      </c>
      <c r="K2" s="25">
        <v>4.0</v>
      </c>
      <c r="L2" s="25" t="s">
        <v>1314</v>
      </c>
      <c r="M2" s="40" t="str">
        <f>IFNA(VLOOKUP(L2,'Faculty Details'!$B:$H,4,0),"")</f>
        <v>Dr.SARAVANA MOORTHI P</v>
      </c>
      <c r="N2" s="28" t="str">
        <f>IFNA(VLOOKUP(L2,'Faculty Details'!$B:$H,7,0),"")</f>
        <v>saravanamoorthip@bitsathy.ac.in</v>
      </c>
    </row>
    <row r="3" ht="35.25" customHeight="1">
      <c r="A3" s="25">
        <v>2.0</v>
      </c>
      <c r="B3" s="25" t="s">
        <v>9</v>
      </c>
      <c r="C3" s="25" t="s">
        <v>1572</v>
      </c>
      <c r="D3" s="25" t="s">
        <v>1573</v>
      </c>
      <c r="E3" s="25" t="s">
        <v>1574</v>
      </c>
      <c r="F3" s="26" t="s">
        <v>1575</v>
      </c>
      <c r="G3" s="25" t="s">
        <v>1576</v>
      </c>
      <c r="H3" s="25">
        <v>3.0</v>
      </c>
      <c r="I3" s="25">
        <v>1.0</v>
      </c>
      <c r="J3" s="25">
        <v>0.0</v>
      </c>
      <c r="K3" s="25">
        <v>4.0</v>
      </c>
      <c r="L3" s="25" t="s">
        <v>1287</v>
      </c>
      <c r="M3" s="40" t="str">
        <f>IFNA(VLOOKUP(L3,'Faculty Details'!$B:$H,4,0),"")</f>
        <v>Dr.GAYATHIRI B</v>
      </c>
      <c r="N3" s="28" t="str">
        <f>IFNA(VLOOKUP(L3,'Faculty Details'!$B:$H,7,0),"")</f>
        <v>gayathirib@bitsathy.ac.in</v>
      </c>
    </row>
    <row r="4" ht="35.25" customHeight="1">
      <c r="A4" s="25">
        <v>3.0</v>
      </c>
      <c r="B4" s="25" t="s">
        <v>9</v>
      </c>
      <c r="C4" s="25" t="s">
        <v>1572</v>
      </c>
      <c r="D4" s="25" t="s">
        <v>1573</v>
      </c>
      <c r="E4" s="25" t="s">
        <v>1574</v>
      </c>
      <c r="F4" s="26" t="s">
        <v>1575</v>
      </c>
      <c r="G4" s="25" t="s">
        <v>1576</v>
      </c>
      <c r="H4" s="25">
        <v>3.0</v>
      </c>
      <c r="I4" s="25">
        <v>1.0</v>
      </c>
      <c r="J4" s="25">
        <v>0.0</v>
      </c>
      <c r="K4" s="25">
        <v>4.0</v>
      </c>
      <c r="L4" s="25" t="s">
        <v>1290</v>
      </c>
      <c r="M4" s="40" t="str">
        <f>IFNA(VLOOKUP(L4,'Faculty Details'!$B:$H,4,0),"")</f>
        <v>Mr.SURESH R</v>
      </c>
      <c r="N4" s="28" t="str">
        <f>IFNA(VLOOKUP(L4,'Faculty Details'!$B:$H,7,0),"")</f>
        <v>sureshr@bitsathy.ac.in</v>
      </c>
    </row>
    <row r="5" ht="35.25" customHeight="1">
      <c r="A5" s="25">
        <v>4.0</v>
      </c>
      <c r="B5" s="25" t="s">
        <v>9</v>
      </c>
      <c r="C5" s="25" t="s">
        <v>1572</v>
      </c>
      <c r="D5" s="25" t="s">
        <v>1573</v>
      </c>
      <c r="E5" s="25" t="s">
        <v>1577</v>
      </c>
      <c r="F5" s="26" t="s">
        <v>1578</v>
      </c>
      <c r="G5" s="25" t="s">
        <v>1579</v>
      </c>
      <c r="H5" s="25">
        <v>2.0</v>
      </c>
      <c r="I5" s="25">
        <v>0.0</v>
      </c>
      <c r="J5" s="25">
        <v>2.0</v>
      </c>
      <c r="K5" s="25">
        <v>3.0</v>
      </c>
      <c r="L5" s="63" t="s">
        <v>1502</v>
      </c>
      <c r="M5" s="41" t="str">
        <f>IFNA(VLOOKUP(L5,'Faculty Details'!$B:$H,4,0),"")</f>
        <v>Dr.VIJAYAKUMAR V N</v>
      </c>
      <c r="N5" s="30" t="str">
        <f>IFNA(VLOOKUP(L5,'Faculty Details'!$B:$H,7,0),"")</f>
        <v>vijayakumarvn@bitsathy.ac.in</v>
      </c>
    </row>
    <row r="6" ht="35.25" customHeight="1">
      <c r="A6" s="25">
        <v>5.0</v>
      </c>
      <c r="B6" s="25" t="s">
        <v>9</v>
      </c>
      <c r="C6" s="25" t="s">
        <v>1572</v>
      </c>
      <c r="D6" s="25" t="s">
        <v>1573</v>
      </c>
      <c r="E6" s="25" t="s">
        <v>1577</v>
      </c>
      <c r="F6" s="26" t="s">
        <v>1578</v>
      </c>
      <c r="G6" s="25" t="s">
        <v>1579</v>
      </c>
      <c r="H6" s="25">
        <v>2.0</v>
      </c>
      <c r="I6" s="25">
        <v>0.0</v>
      </c>
      <c r="J6" s="25">
        <v>2.0</v>
      </c>
      <c r="K6" s="25">
        <v>3.0</v>
      </c>
      <c r="L6" s="1" t="s">
        <v>1472</v>
      </c>
      <c r="M6" s="40" t="str">
        <f>IFNA(VLOOKUP(L6,'Faculty Details'!$B:$H,4,0),"")</f>
        <v>Dr.THIRUMOORTHY M</v>
      </c>
      <c r="N6" s="28" t="str">
        <f>IFNA(VLOOKUP(L6,'Faculty Details'!$B:$H,7,0),"")</f>
        <v>thirumoorthy@bitsathy.ac.in</v>
      </c>
    </row>
    <row r="7" ht="35.25" customHeight="1">
      <c r="A7" s="25">
        <v>6.0</v>
      </c>
      <c r="B7" s="25" t="s">
        <v>9</v>
      </c>
      <c r="C7" s="25" t="s">
        <v>1572</v>
      </c>
      <c r="D7" s="25" t="s">
        <v>1573</v>
      </c>
      <c r="E7" s="25" t="s">
        <v>1577</v>
      </c>
      <c r="F7" s="26" t="s">
        <v>1578</v>
      </c>
      <c r="G7" s="25" t="s">
        <v>1579</v>
      </c>
      <c r="H7" s="25">
        <v>2.0</v>
      </c>
      <c r="I7" s="25">
        <v>0.0</v>
      </c>
      <c r="J7" s="25">
        <v>2.0</v>
      </c>
      <c r="K7" s="25">
        <v>3.0</v>
      </c>
      <c r="L7" s="1" t="s">
        <v>1508</v>
      </c>
      <c r="M7" s="40" t="str">
        <f>IFNA(VLOOKUP(L7,'Faculty Details'!$B:$H,4,0),"")</f>
        <v>Dr.ROHINI P</v>
      </c>
      <c r="N7" s="28" t="str">
        <f>IFNA(VLOOKUP(L7,'Faculty Details'!$B:$H,7,0),"")</f>
        <v>rohinip@bitsathy.ac.in</v>
      </c>
    </row>
    <row r="8" ht="35.25" customHeight="1">
      <c r="A8" s="25">
        <v>7.0</v>
      </c>
      <c r="B8" s="25" t="s">
        <v>9</v>
      </c>
      <c r="C8" s="25" t="s">
        <v>1572</v>
      </c>
      <c r="D8" s="25" t="s">
        <v>1573</v>
      </c>
      <c r="E8" s="25" t="s">
        <v>1580</v>
      </c>
      <c r="F8" s="26" t="s">
        <v>1581</v>
      </c>
      <c r="G8" s="25" t="s">
        <v>1579</v>
      </c>
      <c r="H8" s="25">
        <v>2.0</v>
      </c>
      <c r="I8" s="25">
        <v>0.0</v>
      </c>
      <c r="J8" s="25">
        <v>2.0</v>
      </c>
      <c r="K8" s="25">
        <v>3.0</v>
      </c>
      <c r="L8" s="25" t="s">
        <v>623</v>
      </c>
      <c r="M8" s="40" t="str">
        <f>IFNA(VLOOKUP(L8,'Faculty Details'!$B:$H,4,0),"")</f>
        <v>Dr.MUTHUKUMAR P</v>
      </c>
      <c r="N8" s="28" t="str">
        <f>IFNA(VLOOKUP(L8,'Faculty Details'!$B:$H,7,0),"")</f>
        <v>muthukumar@bitsathy.ac.in</v>
      </c>
    </row>
    <row r="9" ht="35.25" customHeight="1">
      <c r="A9" s="25">
        <v>8.0</v>
      </c>
      <c r="B9" s="25" t="s">
        <v>9</v>
      </c>
      <c r="C9" s="25" t="s">
        <v>1572</v>
      </c>
      <c r="D9" s="25" t="s">
        <v>1573</v>
      </c>
      <c r="E9" s="25" t="s">
        <v>1580</v>
      </c>
      <c r="F9" s="26" t="s">
        <v>1581</v>
      </c>
      <c r="G9" s="25" t="s">
        <v>1579</v>
      </c>
      <c r="H9" s="25">
        <v>2.0</v>
      </c>
      <c r="I9" s="25">
        <v>0.0</v>
      </c>
      <c r="J9" s="25">
        <v>2.0</v>
      </c>
      <c r="K9" s="25">
        <v>3.0</v>
      </c>
      <c r="L9" s="25" t="s">
        <v>641</v>
      </c>
      <c r="M9" s="40" t="str">
        <f>IFNA(VLOOKUP(L9,'Faculty Details'!$B:$H,4,0),"")</f>
        <v>Dr.JESIN BENETO A</v>
      </c>
      <c r="N9" s="28" t="str">
        <f>IFNA(VLOOKUP(L9,'Faculty Details'!$B:$H,7,0),"")</f>
        <v>jesinbeneto@bitsathy.ac.in</v>
      </c>
    </row>
    <row r="10" ht="35.25" customHeight="1">
      <c r="A10" s="25">
        <v>9.0</v>
      </c>
      <c r="B10" s="25" t="s">
        <v>9</v>
      </c>
      <c r="C10" s="25" t="s">
        <v>1572</v>
      </c>
      <c r="D10" s="25" t="s">
        <v>1573</v>
      </c>
      <c r="E10" s="25" t="s">
        <v>1580</v>
      </c>
      <c r="F10" s="26" t="s">
        <v>1581</v>
      </c>
      <c r="G10" s="25" t="s">
        <v>1579</v>
      </c>
      <c r="H10" s="25">
        <v>2.0</v>
      </c>
      <c r="I10" s="25">
        <v>0.0</v>
      </c>
      <c r="J10" s="25">
        <v>2.0</v>
      </c>
      <c r="K10" s="25">
        <v>3.0</v>
      </c>
      <c r="L10" s="29" t="s">
        <v>647</v>
      </c>
      <c r="M10" s="41" t="str">
        <f>IFNA(VLOOKUP(L10,'Faculty Details'!$B:$H,4,0),"")</f>
        <v>Dr.KASTHURI S</v>
      </c>
      <c r="N10" s="30" t="str">
        <f>IFNA(VLOOKUP(L10,'Faculty Details'!$B:$H,7,0),"")</f>
        <v>kasthuris@bitsathy.ac.in</v>
      </c>
    </row>
    <row r="11" ht="35.25" customHeight="1">
      <c r="A11" s="25">
        <v>10.0</v>
      </c>
      <c r="B11" s="25" t="s">
        <v>9</v>
      </c>
      <c r="C11" s="25" t="s">
        <v>1572</v>
      </c>
      <c r="D11" s="25" t="s">
        <v>1573</v>
      </c>
      <c r="E11" s="25" t="s">
        <v>1582</v>
      </c>
      <c r="F11" s="26" t="s">
        <v>1583</v>
      </c>
      <c r="G11" s="25" t="s">
        <v>1576</v>
      </c>
      <c r="H11" s="25">
        <v>3.0</v>
      </c>
      <c r="I11" s="25">
        <v>0.0</v>
      </c>
      <c r="J11" s="25">
        <v>0.0</v>
      </c>
      <c r="K11" s="25">
        <v>3.0</v>
      </c>
      <c r="L11" s="25" t="s">
        <v>408</v>
      </c>
      <c r="M11" s="40" t="str">
        <f>IFNA(VLOOKUP(L11,'Faculty Details'!$B:$H,4,0),"")</f>
        <v>Dr.BHARATHI A</v>
      </c>
      <c r="N11" s="28" t="str">
        <f>IFNA(VLOOKUP(L11,'Faculty Details'!$B:$H,7,0),"")</f>
        <v>bharathia@bitsathy.ac.in</v>
      </c>
    </row>
    <row r="12" ht="35.25" customHeight="1">
      <c r="A12" s="25">
        <v>11.0</v>
      </c>
      <c r="B12" s="25" t="s">
        <v>9</v>
      </c>
      <c r="C12" s="25" t="s">
        <v>1572</v>
      </c>
      <c r="D12" s="25" t="s">
        <v>1573</v>
      </c>
      <c r="E12" s="25" t="s">
        <v>1582</v>
      </c>
      <c r="F12" s="26" t="s">
        <v>1583</v>
      </c>
      <c r="G12" s="25" t="s">
        <v>1576</v>
      </c>
      <c r="H12" s="25">
        <v>3.0</v>
      </c>
      <c r="I12" s="25">
        <v>0.0</v>
      </c>
      <c r="J12" s="25">
        <v>0.0</v>
      </c>
      <c r="K12" s="25">
        <v>3.0</v>
      </c>
      <c r="L12" s="25" t="s">
        <v>462</v>
      </c>
      <c r="M12" s="40" t="str">
        <f>IFNA(VLOOKUP(L12,'Faculty Details'!$B:$H,4,0),"")</f>
        <v>Dr.GOPALAKRISHNAN B</v>
      </c>
      <c r="N12" s="28" t="str">
        <f>IFNA(VLOOKUP(L12,'Faculty Details'!$B:$H,7,0),"")</f>
        <v>gopalakrishnanb@bitsathy.ac.in</v>
      </c>
    </row>
    <row r="13" ht="35.25" customHeight="1">
      <c r="A13" s="25">
        <v>12.0</v>
      </c>
      <c r="B13" s="25" t="s">
        <v>9</v>
      </c>
      <c r="C13" s="25" t="s">
        <v>1572</v>
      </c>
      <c r="D13" s="25" t="s">
        <v>1573</v>
      </c>
      <c r="E13" s="25" t="s">
        <v>1582</v>
      </c>
      <c r="F13" s="26" t="s">
        <v>1583</v>
      </c>
      <c r="G13" s="25" t="s">
        <v>1576</v>
      </c>
      <c r="H13" s="25">
        <v>3.0</v>
      </c>
      <c r="I13" s="25">
        <v>0.0</v>
      </c>
      <c r="J13" s="25">
        <v>0.0</v>
      </c>
      <c r="K13" s="25">
        <v>3.0</v>
      </c>
      <c r="L13" s="25" t="s">
        <v>411</v>
      </c>
      <c r="M13" s="40" t="str">
        <f>IFNA(VLOOKUP(L13,'Faculty Details'!$B:$H,4,0),"")</f>
        <v>Dr.PADMASHREE A</v>
      </c>
      <c r="N13" s="28" t="str">
        <f>IFNA(VLOOKUP(L13,'Faculty Details'!$B:$H,7,0),"")</f>
        <v>padmashreea@bitsathy.ac.in</v>
      </c>
    </row>
    <row r="14" ht="35.25" customHeight="1">
      <c r="A14" s="25">
        <v>13.0</v>
      </c>
      <c r="B14" s="25" t="s">
        <v>9</v>
      </c>
      <c r="C14" s="25" t="s">
        <v>1572</v>
      </c>
      <c r="D14" s="25" t="s">
        <v>1573</v>
      </c>
      <c r="E14" s="25" t="s">
        <v>1636</v>
      </c>
      <c r="F14" s="26" t="s">
        <v>1637</v>
      </c>
      <c r="G14" s="25" t="s">
        <v>1579</v>
      </c>
      <c r="H14" s="25">
        <v>2.0</v>
      </c>
      <c r="I14" s="25">
        <v>0.0</v>
      </c>
      <c r="J14" s="25">
        <v>2.0</v>
      </c>
      <c r="K14" s="25">
        <v>3.0</v>
      </c>
      <c r="L14" s="25" t="s">
        <v>991</v>
      </c>
      <c r="M14" s="40" t="str">
        <f>IFNA(VLOOKUP(L14,'Faculty Details'!$B:$H,4,0),"")</f>
        <v>Mr.RISHIKESH N</v>
      </c>
      <c r="N14" s="28" t="str">
        <f>IFNA(VLOOKUP(L14,'Faculty Details'!$B:$H,7,0),"")</f>
        <v>rishikesh@bitsathy.ac.in</v>
      </c>
    </row>
    <row r="15" ht="35.25" customHeight="1">
      <c r="A15" s="25">
        <v>14.0</v>
      </c>
      <c r="B15" s="25" t="s">
        <v>9</v>
      </c>
      <c r="C15" s="25" t="s">
        <v>1572</v>
      </c>
      <c r="D15" s="25" t="s">
        <v>1573</v>
      </c>
      <c r="E15" s="25" t="s">
        <v>1636</v>
      </c>
      <c r="F15" s="26" t="s">
        <v>1637</v>
      </c>
      <c r="G15" s="25" t="s">
        <v>1579</v>
      </c>
      <c r="H15" s="25">
        <v>2.0</v>
      </c>
      <c r="I15" s="25">
        <v>0.0</v>
      </c>
      <c r="J15" s="25">
        <v>2.0</v>
      </c>
      <c r="K15" s="25">
        <v>3.0</v>
      </c>
      <c r="L15" s="25" t="s">
        <v>1003</v>
      </c>
      <c r="M15" s="40" t="str">
        <f>IFNA(VLOOKUP(L15,'Faculty Details'!$B:$H,4,0),"")</f>
        <v>Dr.GOLDVIN SUGIRTHA DHAS B</v>
      </c>
      <c r="N15" s="28" t="str">
        <f>IFNA(VLOOKUP(L15,'Faculty Details'!$B:$H,7,0),"")</f>
        <v>goldvinsugirthadhasb@bitsathy.ac.in</v>
      </c>
    </row>
    <row r="16" ht="35.25" customHeight="1">
      <c r="A16" s="25">
        <v>15.0</v>
      </c>
      <c r="B16" s="25" t="s">
        <v>9</v>
      </c>
      <c r="C16" s="25" t="s">
        <v>1572</v>
      </c>
      <c r="D16" s="25" t="s">
        <v>1573</v>
      </c>
      <c r="E16" s="25" t="s">
        <v>1636</v>
      </c>
      <c r="F16" s="26" t="s">
        <v>1637</v>
      </c>
      <c r="G16" s="25" t="s">
        <v>1579</v>
      </c>
      <c r="H16" s="25">
        <v>2.0</v>
      </c>
      <c r="I16" s="25">
        <v>0.0</v>
      </c>
      <c r="J16" s="25">
        <v>2.0</v>
      </c>
      <c r="K16" s="25">
        <v>3.0</v>
      </c>
      <c r="L16" s="43" t="s">
        <v>969</v>
      </c>
      <c r="M16" s="45" t="str">
        <f>IFNA(VLOOKUP(L16,'Faculty Details'!$B:$H,4,0),"")</f>
        <v>Dr.ALEX STANLEY RAJA T</v>
      </c>
      <c r="N16" s="28" t="str">
        <f>IFNA(VLOOKUP(L16,'Faculty Details'!$B:$H,7,0),"")</f>
        <v>alexstanleyraja@bitsathy.ac.in</v>
      </c>
    </row>
    <row r="17" ht="35.25" customHeight="1">
      <c r="A17" s="25">
        <v>16.0</v>
      </c>
      <c r="B17" s="25" t="s">
        <v>9</v>
      </c>
      <c r="C17" s="25" t="s">
        <v>1572</v>
      </c>
      <c r="D17" s="25" t="s">
        <v>1573</v>
      </c>
      <c r="E17" s="25" t="s">
        <v>1668</v>
      </c>
      <c r="F17" s="26" t="s">
        <v>1639</v>
      </c>
      <c r="G17" s="25" t="s">
        <v>1579</v>
      </c>
      <c r="H17" s="25">
        <v>3.0</v>
      </c>
      <c r="I17" s="25">
        <v>0.0</v>
      </c>
      <c r="J17" s="25">
        <v>2.0</v>
      </c>
      <c r="K17" s="25">
        <v>4.0</v>
      </c>
      <c r="L17" s="25" t="s">
        <v>444</v>
      </c>
      <c r="M17" s="40" t="str">
        <f>IFNA(VLOOKUP(L17,'Faculty Details'!$B:$H,4,0),"")</f>
        <v>Ms.NISHANTHINI S</v>
      </c>
      <c r="N17" s="25" t="str">
        <f>IFNA(VLOOKUP(L17,'Faculty Details'!$B:$H,7,0),"")</f>
        <v>nishanthinis@bitsathy.ac.in</v>
      </c>
    </row>
    <row r="18" ht="35.25" customHeight="1">
      <c r="A18" s="25">
        <v>17.0</v>
      </c>
      <c r="B18" s="25" t="s">
        <v>9</v>
      </c>
      <c r="C18" s="25" t="s">
        <v>1572</v>
      </c>
      <c r="D18" s="25" t="s">
        <v>1573</v>
      </c>
      <c r="E18" s="25" t="s">
        <v>1668</v>
      </c>
      <c r="F18" s="26" t="s">
        <v>1639</v>
      </c>
      <c r="G18" s="25" t="s">
        <v>1579</v>
      </c>
      <c r="H18" s="25">
        <v>3.0</v>
      </c>
      <c r="I18" s="25">
        <v>0.0</v>
      </c>
      <c r="J18" s="25">
        <v>2.0</v>
      </c>
      <c r="K18" s="25">
        <v>4.0</v>
      </c>
      <c r="L18" s="25" t="s">
        <v>587</v>
      </c>
      <c r="M18" s="40" t="str">
        <f>IFNA(VLOOKUP(L18,'Faculty Details'!$B:$H,4,0),"")</f>
        <v>Ms.MADHUMATHI S</v>
      </c>
      <c r="N18" s="25" t="str">
        <f>IFNA(VLOOKUP(L18,'Faculty Details'!$B:$H,7,0),"")</f>
        <v>madhumathis@bitsathy.ac.in</v>
      </c>
    </row>
    <row r="19" ht="35.25" customHeight="1">
      <c r="A19" s="25">
        <v>18.0</v>
      </c>
      <c r="B19" s="25" t="s">
        <v>9</v>
      </c>
      <c r="C19" s="25" t="s">
        <v>1572</v>
      </c>
      <c r="D19" s="25" t="s">
        <v>1573</v>
      </c>
      <c r="E19" s="25" t="s">
        <v>1668</v>
      </c>
      <c r="F19" s="26" t="s">
        <v>1639</v>
      </c>
      <c r="G19" s="25" t="s">
        <v>1579</v>
      </c>
      <c r="H19" s="25">
        <v>3.0</v>
      </c>
      <c r="I19" s="25">
        <v>0.0</v>
      </c>
      <c r="J19" s="25">
        <v>2.0</v>
      </c>
      <c r="K19" s="25">
        <v>4.0</v>
      </c>
      <c r="L19" s="25" t="s">
        <v>877</v>
      </c>
      <c r="M19" s="40" t="str">
        <f>IFNA(VLOOKUP(L19,'Faculty Details'!$B:$H,4,0),"")</f>
        <v>Mr.KRISHNARAJ R</v>
      </c>
      <c r="N19" s="28" t="str">
        <f>IFNA(VLOOKUP(L19,'Faculty Details'!$B:$H,7,0),"")</f>
        <v>krishnarajr@bitsathy.ac.in</v>
      </c>
    </row>
    <row r="20" ht="35.25" customHeight="1">
      <c r="A20" s="25">
        <v>19.0</v>
      </c>
      <c r="B20" s="25" t="s">
        <v>9</v>
      </c>
      <c r="C20" s="25" t="s">
        <v>1572</v>
      </c>
      <c r="D20" s="25" t="s">
        <v>1573</v>
      </c>
      <c r="E20" s="25" t="s">
        <v>1589</v>
      </c>
      <c r="F20" s="26" t="s">
        <v>1590</v>
      </c>
      <c r="G20" s="25" t="s">
        <v>1588</v>
      </c>
      <c r="H20" s="25">
        <v>1.0</v>
      </c>
      <c r="I20" s="25">
        <v>0.0</v>
      </c>
      <c r="J20" s="25">
        <v>0.0</v>
      </c>
      <c r="K20" s="25">
        <v>1.0</v>
      </c>
      <c r="L20" s="25" t="s">
        <v>1112</v>
      </c>
      <c r="M20" s="40" t="str">
        <f>IFNA(VLOOKUP(L20,'Faculty Details'!$B:$H,4,0),"")</f>
        <v>Dr.SAGUNTHALA DEVI P</v>
      </c>
      <c r="N20" s="28" t="str">
        <f>IFNA(VLOOKUP(L20,'Faculty Details'!$B:$H,7,0),"")</f>
        <v>sagunthaladevi@bitsathy.ac.in</v>
      </c>
    </row>
    <row r="21" ht="35.25" customHeight="1">
      <c r="A21" s="25">
        <v>20.0</v>
      </c>
      <c r="B21" s="25" t="s">
        <v>9</v>
      </c>
      <c r="C21" s="25" t="s">
        <v>1572</v>
      </c>
      <c r="D21" s="25" t="s">
        <v>1573</v>
      </c>
      <c r="E21" s="25" t="s">
        <v>1589</v>
      </c>
      <c r="F21" s="26" t="s">
        <v>1590</v>
      </c>
      <c r="G21" s="25" t="s">
        <v>1588</v>
      </c>
      <c r="H21" s="25">
        <v>1.0</v>
      </c>
      <c r="I21" s="25">
        <v>0.0</v>
      </c>
      <c r="J21" s="25">
        <v>0.0</v>
      </c>
      <c r="K21" s="25">
        <v>1.0</v>
      </c>
      <c r="L21" s="25" t="s">
        <v>1115</v>
      </c>
      <c r="M21" s="40" t="str">
        <f>IFNA(VLOOKUP(L21,'Faculty Details'!$B:$H,4,0),"")</f>
        <v>Ms.KAMALI D</v>
      </c>
      <c r="N21" s="28" t="str">
        <f>IFNA(VLOOKUP(L21,'Faculty Details'!$B:$H,7,0),"")</f>
        <v>kamali@bitsathy.ac.in</v>
      </c>
    </row>
    <row r="22" ht="35.25" customHeight="1">
      <c r="A22" s="25">
        <v>21.0</v>
      </c>
      <c r="B22" s="25" t="s">
        <v>9</v>
      </c>
      <c r="C22" s="25" t="s">
        <v>1572</v>
      </c>
      <c r="D22" s="25" t="s">
        <v>1573</v>
      </c>
      <c r="E22" s="25" t="s">
        <v>1589</v>
      </c>
      <c r="F22" s="26" t="s">
        <v>1590</v>
      </c>
      <c r="G22" s="25" t="s">
        <v>1588</v>
      </c>
      <c r="H22" s="25">
        <v>1.0</v>
      </c>
      <c r="I22" s="25">
        <v>0.0</v>
      </c>
      <c r="J22" s="25">
        <v>0.0</v>
      </c>
      <c r="K22" s="25">
        <v>1.0</v>
      </c>
      <c r="L22" s="25" t="s">
        <v>1130</v>
      </c>
      <c r="M22" s="40" t="str">
        <f>IFNA(VLOOKUP(L22,'Faculty Details'!$B:$H,4,0),"")</f>
        <v>Mr.SHYAMSUNDAR S</v>
      </c>
      <c r="N22" s="28" t="str">
        <f>IFNA(VLOOKUP(L22,'Faculty Details'!$B:$H,7,0),"")</f>
        <v>shyamsundar@bitsathy.ac.in</v>
      </c>
    </row>
    <row r="23" ht="35.25" customHeight="1">
      <c r="A23" s="25">
        <v>22.0</v>
      </c>
      <c r="B23" s="25" t="s">
        <v>9</v>
      </c>
      <c r="C23" s="25" t="s">
        <v>1572</v>
      </c>
      <c r="D23" s="25" t="s">
        <v>1593</v>
      </c>
      <c r="E23" s="25" t="s">
        <v>1594</v>
      </c>
      <c r="F23" s="26" t="s">
        <v>1640</v>
      </c>
      <c r="G23" s="25" t="s">
        <v>1588</v>
      </c>
      <c r="H23" s="25">
        <v>1.0</v>
      </c>
      <c r="I23" s="25">
        <v>0.0</v>
      </c>
      <c r="J23" s="25">
        <v>2.0</v>
      </c>
      <c r="K23" s="25">
        <v>2.0</v>
      </c>
      <c r="L23" s="25" t="s">
        <v>1133</v>
      </c>
      <c r="M23" s="40" t="str">
        <f>IFNA(VLOOKUP(L23,'Faculty Details'!$B:$H,4,0),"")</f>
        <v>Dr.JAYA K</v>
      </c>
      <c r="N23" s="28" t="str">
        <f>IFNA(VLOOKUP(L23,'Faculty Details'!$B:$H,7,0),"")</f>
        <v>jayak@bitsathy.ac.in</v>
      </c>
    </row>
    <row r="24" ht="35.25" customHeight="1">
      <c r="A24" s="25">
        <v>23.0</v>
      </c>
      <c r="B24" s="25" t="s">
        <v>9</v>
      </c>
      <c r="C24" s="25" t="s">
        <v>1572</v>
      </c>
      <c r="D24" s="25" t="s">
        <v>1593</v>
      </c>
      <c r="E24" s="25" t="s">
        <v>1641</v>
      </c>
      <c r="F24" s="26" t="s">
        <v>1642</v>
      </c>
      <c r="G24" s="25" t="s">
        <v>1588</v>
      </c>
      <c r="H24" s="25">
        <v>1.0</v>
      </c>
      <c r="I24" s="25">
        <v>0.0</v>
      </c>
      <c r="J24" s="25">
        <v>2.0</v>
      </c>
      <c r="K24" s="25">
        <v>2.0</v>
      </c>
      <c r="L24" s="25"/>
      <c r="M24" s="40" t="str">
        <f>IFNA(VLOOKUP(L24,'Faculty Details'!$B:$H,4,0),"")</f>
        <v/>
      </c>
      <c r="N24" s="28" t="str">
        <f>IFNA(VLOOKUP(L24,'Faculty Details'!$B:$H,7,0),"")</f>
        <v/>
      </c>
    </row>
    <row r="25" ht="35.25" customHeight="1">
      <c r="A25" s="25">
        <v>24.0</v>
      </c>
      <c r="B25" s="25" t="s">
        <v>9</v>
      </c>
      <c r="C25" s="25" t="s">
        <v>1572</v>
      </c>
      <c r="D25" s="25" t="s">
        <v>1593</v>
      </c>
      <c r="E25" s="25" t="s">
        <v>1643</v>
      </c>
      <c r="F25" s="26" t="s">
        <v>1644</v>
      </c>
      <c r="G25" s="25" t="s">
        <v>1588</v>
      </c>
      <c r="H25" s="25">
        <v>1.0</v>
      </c>
      <c r="I25" s="25">
        <v>0.0</v>
      </c>
      <c r="J25" s="25">
        <v>2.0</v>
      </c>
      <c r="K25" s="25">
        <v>2.0</v>
      </c>
      <c r="L25" s="25"/>
      <c r="M25" s="40" t="str">
        <f>IFNA(VLOOKUP(L25,'Faculty Details'!$B:$H,4,0),"")</f>
        <v/>
      </c>
      <c r="N25" s="28" t="str">
        <f>IFNA(VLOOKUP(L25,'Faculty Details'!$B:$H,7,0),"")</f>
        <v/>
      </c>
    </row>
    <row r="26" ht="35.25" customHeight="1">
      <c r="A26" s="25">
        <v>25.0</v>
      </c>
      <c r="B26" s="25" t="s">
        <v>9</v>
      </c>
      <c r="C26" s="25" t="s">
        <v>1572</v>
      </c>
      <c r="D26" s="25" t="s">
        <v>1573</v>
      </c>
      <c r="E26" s="25" t="s">
        <v>1591</v>
      </c>
      <c r="F26" s="26" t="s">
        <v>1645</v>
      </c>
      <c r="G26" s="25"/>
      <c r="H26" s="25"/>
      <c r="I26" s="25"/>
      <c r="J26" s="25"/>
      <c r="K26" s="25"/>
      <c r="L26" s="25"/>
      <c r="M26" s="40" t="str">
        <f>IFNA(VLOOKUP(L26,'Faculty Details'!$B:$H,4,0),"")</f>
        <v/>
      </c>
      <c r="N26" s="28" t="str">
        <f>IFNA(VLOOKUP(L26,'Faculty Details'!$B:$H,7,0),"")</f>
        <v/>
      </c>
    </row>
    <row r="27" ht="35.25" customHeight="1">
      <c r="A27" s="25">
        <v>26.0</v>
      </c>
      <c r="B27" s="25" t="s">
        <v>9</v>
      </c>
      <c r="C27" s="25" t="s">
        <v>1596</v>
      </c>
      <c r="D27" s="25" t="s">
        <v>1573</v>
      </c>
      <c r="E27" s="25" t="s">
        <v>1669</v>
      </c>
      <c r="F27" s="26" t="s">
        <v>1647</v>
      </c>
      <c r="G27" s="25" t="s">
        <v>1576</v>
      </c>
      <c r="H27" s="25">
        <v>3.0</v>
      </c>
      <c r="I27" s="25">
        <v>1.0</v>
      </c>
      <c r="J27" s="25">
        <v>0.0</v>
      </c>
      <c r="K27" s="25">
        <v>4.0</v>
      </c>
      <c r="L27" s="25" t="s">
        <v>1281</v>
      </c>
      <c r="M27" s="40" t="str">
        <f>IFNA(VLOOKUP(L27,'Faculty Details'!$B:$H,4,0),"")</f>
        <v>Dr.REVATHI V M</v>
      </c>
      <c r="N27" s="28" t="str">
        <f>IFNA(VLOOKUP(L27,'Faculty Details'!$B:$H,7,0),"")</f>
        <v>revathivm@bitsathy.ac.in</v>
      </c>
    </row>
    <row r="28" ht="35.25" customHeight="1">
      <c r="A28" s="25">
        <v>27.0</v>
      </c>
      <c r="B28" s="25" t="s">
        <v>9</v>
      </c>
      <c r="C28" s="25" t="s">
        <v>1596</v>
      </c>
      <c r="D28" s="25" t="s">
        <v>1573</v>
      </c>
      <c r="E28" s="25" t="s">
        <v>1669</v>
      </c>
      <c r="F28" s="26" t="s">
        <v>1647</v>
      </c>
      <c r="G28" s="25" t="s">
        <v>1576</v>
      </c>
      <c r="H28" s="25">
        <v>3.0</v>
      </c>
      <c r="I28" s="25">
        <v>1.0</v>
      </c>
      <c r="J28" s="25">
        <v>0.0</v>
      </c>
      <c r="K28" s="25">
        <v>4.0</v>
      </c>
      <c r="L28" s="25" t="s">
        <v>1284</v>
      </c>
      <c r="M28" s="40" t="str">
        <f>IFNA(VLOOKUP(L28,'Faculty Details'!$B:$H,4,0),"")</f>
        <v>Dr.GOMATHI M</v>
      </c>
      <c r="N28" s="28" t="str">
        <f>IFNA(VLOOKUP(L28,'Faculty Details'!$B:$H,7,0),"")</f>
        <v>gomathim@bitsathy.ac.in</v>
      </c>
    </row>
    <row r="29" ht="35.25" customHeight="1">
      <c r="A29" s="25">
        <v>28.0</v>
      </c>
      <c r="B29" s="25" t="s">
        <v>9</v>
      </c>
      <c r="C29" s="25" t="s">
        <v>1596</v>
      </c>
      <c r="D29" s="25" t="s">
        <v>1573</v>
      </c>
      <c r="E29" s="25" t="s">
        <v>1670</v>
      </c>
      <c r="F29" s="26" t="s">
        <v>1649</v>
      </c>
      <c r="G29" s="25" t="s">
        <v>1579</v>
      </c>
      <c r="H29" s="25">
        <v>3.0</v>
      </c>
      <c r="I29" s="25">
        <v>0.0</v>
      </c>
      <c r="J29" s="25">
        <v>2.0</v>
      </c>
      <c r="K29" s="25">
        <v>4.0</v>
      </c>
      <c r="L29" s="28" t="s">
        <v>441</v>
      </c>
      <c r="M29" s="40" t="str">
        <f>IFNA(VLOOKUP(L29,'Faculty Details'!$B:$H,4,0),"")</f>
        <v>Mrs.GAYATHRIDEVI M</v>
      </c>
      <c r="N29" s="28" t="str">
        <f>IFNA(VLOOKUP(L29,'Faculty Details'!$B:$H,7,0),"")</f>
        <v>gayathridevi@bitsathy.ac.in</v>
      </c>
    </row>
    <row r="30" ht="35.25" customHeight="1">
      <c r="A30" s="25">
        <v>29.0</v>
      </c>
      <c r="B30" s="25" t="s">
        <v>9</v>
      </c>
      <c r="C30" s="25" t="s">
        <v>1596</v>
      </c>
      <c r="D30" s="25" t="s">
        <v>1573</v>
      </c>
      <c r="E30" s="25" t="s">
        <v>1670</v>
      </c>
      <c r="F30" s="26" t="s">
        <v>1649</v>
      </c>
      <c r="G30" s="25" t="s">
        <v>1579</v>
      </c>
      <c r="H30" s="25">
        <v>3.0</v>
      </c>
      <c r="I30" s="25">
        <v>0.0</v>
      </c>
      <c r="J30" s="25">
        <v>2.0</v>
      </c>
      <c r="K30" s="25">
        <v>4.0</v>
      </c>
      <c r="L30" s="28" t="s">
        <v>444</v>
      </c>
      <c r="M30" s="40" t="str">
        <f>IFNA(VLOOKUP(L30,'Faculty Details'!$B:$H,4,0),"")</f>
        <v>Ms.NISHANTHINI S</v>
      </c>
      <c r="N30" s="28" t="str">
        <f>IFNA(VLOOKUP(L30,'Faculty Details'!$B:$H,7,0),"")</f>
        <v>nishanthinis@bitsathy.ac.in</v>
      </c>
    </row>
    <row r="31" ht="35.25" customHeight="1">
      <c r="A31" s="25">
        <v>30.0</v>
      </c>
      <c r="B31" s="25" t="s">
        <v>9</v>
      </c>
      <c r="C31" s="25" t="s">
        <v>1596</v>
      </c>
      <c r="D31" s="25" t="s">
        <v>1573</v>
      </c>
      <c r="E31" s="25" t="s">
        <v>1671</v>
      </c>
      <c r="F31" s="26" t="s">
        <v>1651</v>
      </c>
      <c r="G31" s="25" t="s">
        <v>1576</v>
      </c>
      <c r="H31" s="25">
        <v>3.0</v>
      </c>
      <c r="I31" s="25">
        <v>1.0</v>
      </c>
      <c r="J31" s="25">
        <v>0.0</v>
      </c>
      <c r="K31" s="25">
        <v>4.0</v>
      </c>
      <c r="L31" s="28" t="s">
        <v>420</v>
      </c>
      <c r="M31" s="40" t="str">
        <f>IFNA(VLOOKUP(L31,'Faculty Details'!$B:$H,4,0),"")</f>
        <v>Ms.KARTHIKA S</v>
      </c>
      <c r="N31" s="28" t="str">
        <f>IFNA(VLOOKUP(L31,'Faculty Details'!$B:$H,7,0),"")</f>
        <v>karthikas@bitsathy.ac.in</v>
      </c>
    </row>
    <row r="32" ht="35.25" customHeight="1">
      <c r="A32" s="25">
        <v>31.0</v>
      </c>
      <c r="B32" s="25" t="s">
        <v>9</v>
      </c>
      <c r="C32" s="25" t="s">
        <v>1596</v>
      </c>
      <c r="D32" s="25" t="s">
        <v>1573</v>
      </c>
      <c r="E32" s="25" t="s">
        <v>1671</v>
      </c>
      <c r="F32" s="26" t="s">
        <v>1651</v>
      </c>
      <c r="G32" s="25" t="s">
        <v>1576</v>
      </c>
      <c r="H32" s="25">
        <v>3.0</v>
      </c>
      <c r="I32" s="25">
        <v>1.0</v>
      </c>
      <c r="J32" s="25">
        <v>0.0</v>
      </c>
      <c r="K32" s="25">
        <v>4.0</v>
      </c>
      <c r="L32" s="28" t="s">
        <v>435</v>
      </c>
      <c r="M32" s="40" t="str">
        <f>IFNA(VLOOKUP(L32,'Faculty Details'!$B:$H,4,0),"")</f>
        <v>Mr.BALAMURUGAN E</v>
      </c>
      <c r="N32" s="28" t="str">
        <f>IFNA(VLOOKUP(L32,'Faculty Details'!$B:$H,7,0),"")</f>
        <v>balamurugane@bitsathy.ac.in</v>
      </c>
    </row>
    <row r="33" ht="35.25" customHeight="1">
      <c r="A33" s="25">
        <v>32.0</v>
      </c>
      <c r="B33" s="25" t="s">
        <v>9</v>
      </c>
      <c r="C33" s="25" t="s">
        <v>1596</v>
      </c>
      <c r="D33" s="25" t="s">
        <v>1573</v>
      </c>
      <c r="E33" s="25" t="s">
        <v>1672</v>
      </c>
      <c r="F33" s="26" t="s">
        <v>1653</v>
      </c>
      <c r="G33" s="25" t="s">
        <v>1579</v>
      </c>
      <c r="H33" s="25">
        <v>2.0</v>
      </c>
      <c r="I33" s="25">
        <v>0.0</v>
      </c>
      <c r="J33" s="25">
        <v>2.0</v>
      </c>
      <c r="K33" s="25">
        <v>4.0</v>
      </c>
      <c r="L33" s="28" t="s">
        <v>1211</v>
      </c>
      <c r="M33" s="40" t="str">
        <f>IFNA(VLOOKUP(L33,'Faculty Details'!$B:$H,4,0),"")</f>
        <v>Mrs.KEERTHANA K</v>
      </c>
      <c r="N33" s="28" t="str">
        <f>IFNA(VLOOKUP(L33,'Faculty Details'!$B:$H,7,0),"")</f>
        <v>keerthana@bitsathy.ac.in</v>
      </c>
    </row>
    <row r="34" ht="35.25" customHeight="1">
      <c r="A34" s="25">
        <v>33.0</v>
      </c>
      <c r="B34" s="25" t="s">
        <v>9</v>
      </c>
      <c r="C34" s="25" t="s">
        <v>1596</v>
      </c>
      <c r="D34" s="25" t="s">
        <v>1573</v>
      </c>
      <c r="E34" s="25" t="s">
        <v>1672</v>
      </c>
      <c r="F34" s="26" t="s">
        <v>1653</v>
      </c>
      <c r="G34" s="25" t="s">
        <v>1579</v>
      </c>
      <c r="H34" s="25">
        <v>2.0</v>
      </c>
      <c r="I34" s="25">
        <v>0.0</v>
      </c>
      <c r="J34" s="25">
        <v>2.0</v>
      </c>
      <c r="K34" s="25">
        <v>4.0</v>
      </c>
      <c r="L34" s="64" t="s">
        <v>456</v>
      </c>
      <c r="M34" s="65" t="str">
        <f>IFNA(VLOOKUP(L34,'Faculty Details'!$B:$H,4,0),"")</f>
        <v>Mrs.SARANYA M K</v>
      </c>
      <c r="N34" s="66" t="str">
        <f>IFNA(VLOOKUP(L34,'Faculty Details'!$B:$H,7,0),"")</f>
        <v>saranyamk@bitsathy.ac.in</v>
      </c>
    </row>
    <row r="35" ht="35.25" customHeight="1">
      <c r="A35" s="25">
        <v>34.0</v>
      </c>
      <c r="B35" s="25" t="s">
        <v>9</v>
      </c>
      <c r="C35" s="25" t="s">
        <v>1596</v>
      </c>
      <c r="D35" s="25" t="s">
        <v>1573</v>
      </c>
      <c r="E35" s="25" t="s">
        <v>1673</v>
      </c>
      <c r="F35" s="26" t="s">
        <v>1655</v>
      </c>
      <c r="G35" s="25" t="s">
        <v>1579</v>
      </c>
      <c r="H35" s="25">
        <v>3.0</v>
      </c>
      <c r="I35" s="25">
        <v>0.0</v>
      </c>
      <c r="J35" s="25">
        <v>2.0</v>
      </c>
      <c r="K35" s="25">
        <v>4.0</v>
      </c>
      <c r="L35" s="28" t="s">
        <v>438</v>
      </c>
      <c r="M35" s="40" t="str">
        <f>IFNA(VLOOKUP(L35,'Faculty Details'!$B:$H,4,0),"")</f>
        <v>Ms.KANIMOZHI A</v>
      </c>
      <c r="N35" s="28" t="str">
        <f>IFNA(VLOOKUP(L35,'Faculty Details'!$B:$H,7,0),"")</f>
        <v>kanimozhi@bitsathy.ac.in</v>
      </c>
    </row>
    <row r="36" ht="35.25" customHeight="1">
      <c r="A36" s="25">
        <v>35.0</v>
      </c>
      <c r="B36" s="25" t="s">
        <v>9</v>
      </c>
      <c r="C36" s="25" t="s">
        <v>1596</v>
      </c>
      <c r="D36" s="25" t="s">
        <v>1573</v>
      </c>
      <c r="E36" s="25" t="s">
        <v>1673</v>
      </c>
      <c r="F36" s="26" t="s">
        <v>1655</v>
      </c>
      <c r="G36" s="25" t="s">
        <v>1579</v>
      </c>
      <c r="H36" s="25">
        <v>3.0</v>
      </c>
      <c r="I36" s="25">
        <v>0.0</v>
      </c>
      <c r="J36" s="25">
        <v>2.0</v>
      </c>
      <c r="K36" s="25">
        <v>4.0</v>
      </c>
      <c r="L36" s="28" t="s">
        <v>432</v>
      </c>
      <c r="M36" s="40" t="str">
        <f>IFNA(VLOOKUP(L36,'Faculty Details'!$B:$H,4,0),"")</f>
        <v>Ms.MOHANAPRIYA K</v>
      </c>
      <c r="N36" s="28" t="str">
        <f>IFNA(VLOOKUP(L36,'Faculty Details'!$B:$H,7,0),"")</f>
        <v>mohanapriyak@bitsathy.ac.in</v>
      </c>
    </row>
    <row r="37" ht="35.25" customHeight="1">
      <c r="A37" s="25">
        <v>36.0</v>
      </c>
      <c r="B37" s="25" t="s">
        <v>9</v>
      </c>
      <c r="C37" s="25" t="s">
        <v>1596</v>
      </c>
      <c r="D37" s="25" t="s">
        <v>1607</v>
      </c>
      <c r="E37" s="25" t="s">
        <v>11</v>
      </c>
      <c r="F37" s="26" t="s">
        <v>12</v>
      </c>
      <c r="G37" s="25" t="s">
        <v>1576</v>
      </c>
      <c r="H37" s="25">
        <v>3.0</v>
      </c>
      <c r="I37" s="25">
        <v>1.0</v>
      </c>
      <c r="J37" s="25">
        <v>0.0</v>
      </c>
      <c r="K37" s="25">
        <v>4.0</v>
      </c>
      <c r="L37" s="28" t="s">
        <v>364</v>
      </c>
      <c r="M37" s="40" t="str">
        <f>IFNA(VLOOKUP(L37,'Faculty Details'!$B:$H,4,0),"")</f>
        <v>Mrs.MANOCHITRA A S</v>
      </c>
      <c r="N37" s="28" t="str">
        <f>IFNA(VLOOKUP(L37,'Faculty Details'!$B:$H,7,0),"")</f>
        <v>manochitra@bitsathy.ac.in</v>
      </c>
    </row>
    <row r="38" ht="35.25" customHeight="1">
      <c r="A38" s="25">
        <v>37.0</v>
      </c>
      <c r="B38" s="25" t="s">
        <v>9</v>
      </c>
      <c r="C38" s="25" t="s">
        <v>1596</v>
      </c>
      <c r="D38" s="25" t="s">
        <v>1607</v>
      </c>
      <c r="E38" s="25" t="s">
        <v>11</v>
      </c>
      <c r="F38" s="26" t="s">
        <v>12</v>
      </c>
      <c r="G38" s="25" t="s">
        <v>1576</v>
      </c>
      <c r="H38" s="25">
        <v>3.0</v>
      </c>
      <c r="I38" s="25">
        <v>1.0</v>
      </c>
      <c r="J38" s="25">
        <v>0.0</v>
      </c>
      <c r="K38" s="25">
        <v>4.0</v>
      </c>
      <c r="L38" s="43" t="s">
        <v>453</v>
      </c>
      <c r="M38" s="65" t="str">
        <f>IFNA(VLOOKUP(L38,'Faculty Details'!$B:$H,4,0),"")</f>
        <v>Dr.KARTHIKEYAN G</v>
      </c>
      <c r="N38" s="66" t="str">
        <f>IFNA(VLOOKUP(L38,'Faculty Details'!$B:$H,7,0),"")</f>
        <v>karthikeyang@bitsathy.ac.in</v>
      </c>
    </row>
    <row r="39" ht="35.25" customHeight="1">
      <c r="A39" s="25">
        <v>38.0</v>
      </c>
      <c r="B39" s="25" t="s">
        <v>9</v>
      </c>
      <c r="C39" s="25" t="s">
        <v>1596</v>
      </c>
      <c r="D39" s="25" t="s">
        <v>1607</v>
      </c>
      <c r="E39" s="32" t="s">
        <v>10</v>
      </c>
      <c r="F39" s="67" t="s">
        <v>8</v>
      </c>
      <c r="G39" s="25" t="s">
        <v>1576</v>
      </c>
      <c r="H39" s="25">
        <v>3.0</v>
      </c>
      <c r="I39" s="25">
        <v>1.0</v>
      </c>
      <c r="J39" s="25">
        <v>0.0</v>
      </c>
      <c r="K39" s="25">
        <v>4.0</v>
      </c>
      <c r="L39" s="25" t="s">
        <v>465</v>
      </c>
      <c r="M39" s="40" t="str">
        <f>IFNA(VLOOKUP(L39,'Faculty Details'!$B:$H,4,0),"")</f>
        <v>Dr.KODIESWARI A</v>
      </c>
      <c r="N39" s="28" t="str">
        <f>IFNA(VLOOKUP(L39,'Faculty Details'!$B:$H,7,0),"")</f>
        <v>kodieswaria@bitsathy.ac.in</v>
      </c>
    </row>
    <row r="40" ht="35.25" customHeight="1">
      <c r="A40" s="25">
        <v>39.0</v>
      </c>
      <c r="B40" s="25" t="s">
        <v>9</v>
      </c>
      <c r="C40" s="25" t="s">
        <v>1596</v>
      </c>
      <c r="D40" s="25" t="s">
        <v>1573</v>
      </c>
      <c r="E40" s="25" t="s">
        <v>1608</v>
      </c>
      <c r="F40" s="26" t="s">
        <v>1609</v>
      </c>
      <c r="G40" s="25" t="s">
        <v>1588</v>
      </c>
      <c r="H40" s="25">
        <v>2.0</v>
      </c>
      <c r="I40" s="25">
        <v>0.0</v>
      </c>
      <c r="J40" s="25">
        <v>0.0</v>
      </c>
      <c r="K40" s="25">
        <v>2.0</v>
      </c>
      <c r="L40" s="25" t="s">
        <v>635</v>
      </c>
      <c r="M40" s="40" t="str">
        <f>IFNA(VLOOKUP(L40,'Faculty Details'!$B:$H,4,0),"")</f>
        <v>Dr.DEEPHA V</v>
      </c>
      <c r="N40" s="28" t="str">
        <f>IFNA(VLOOKUP(L40,'Faculty Details'!$B:$H,7,0),"")</f>
        <v>deephav@bitsathy.ac.in</v>
      </c>
    </row>
    <row r="41" ht="35.25" customHeight="1">
      <c r="A41" s="25">
        <v>40.0</v>
      </c>
      <c r="B41" s="25" t="s">
        <v>9</v>
      </c>
      <c r="C41" s="25" t="s">
        <v>1596</v>
      </c>
      <c r="D41" s="25" t="s">
        <v>1573</v>
      </c>
      <c r="E41" s="25" t="s">
        <v>1608</v>
      </c>
      <c r="F41" s="26" t="s">
        <v>1609</v>
      </c>
      <c r="G41" s="25" t="s">
        <v>1588</v>
      </c>
      <c r="H41" s="25">
        <v>2.0</v>
      </c>
      <c r="I41" s="25">
        <v>0.0</v>
      </c>
      <c r="J41" s="25">
        <v>0.0</v>
      </c>
      <c r="K41" s="25">
        <v>2.0</v>
      </c>
      <c r="L41" s="25" t="s">
        <v>656</v>
      </c>
      <c r="M41" s="40" t="str">
        <f>IFNA(VLOOKUP(L41,'Faculty Details'!$B:$H,4,0),"")</f>
        <v>Dr.PRAVEENA R</v>
      </c>
      <c r="N41" s="28" t="str">
        <f>IFNA(VLOOKUP(L41,'Faculty Details'!$B:$H,7,0),"")</f>
        <v>praveenar@bitsathy.ac.in</v>
      </c>
    </row>
    <row r="42" ht="35.25" customHeight="1">
      <c r="A42" s="25">
        <v>41.0</v>
      </c>
      <c r="B42" s="25" t="s">
        <v>9</v>
      </c>
      <c r="C42" s="25" t="s">
        <v>1596</v>
      </c>
      <c r="D42" s="25" t="s">
        <v>1573</v>
      </c>
      <c r="E42" s="25" t="s">
        <v>1610</v>
      </c>
      <c r="F42" s="34" t="s">
        <v>1611</v>
      </c>
      <c r="G42" s="25" t="s">
        <v>1588</v>
      </c>
      <c r="H42" s="25">
        <v>0.0</v>
      </c>
      <c r="I42" s="25">
        <v>0.0</v>
      </c>
      <c r="J42" s="25">
        <v>2.0</v>
      </c>
      <c r="K42" s="25">
        <v>1.0</v>
      </c>
      <c r="L42" s="25" t="s">
        <v>1127</v>
      </c>
      <c r="M42" s="40" t="str">
        <f>IFNA(VLOOKUP(L42,'Faculty Details'!$B:$H,4,0),"")</f>
        <v>Dr.NITHYA S</v>
      </c>
      <c r="N42" s="28" t="str">
        <f>IFNA(VLOOKUP(L42,'Faculty Details'!$B:$H,7,0),"")</f>
        <v>nithyas@bitsathy.ac.in</v>
      </c>
    </row>
    <row r="43" ht="35.25" customHeight="1">
      <c r="A43" s="25">
        <v>42.0</v>
      </c>
      <c r="B43" s="25" t="s">
        <v>9</v>
      </c>
      <c r="C43" s="25" t="s">
        <v>1596</v>
      </c>
      <c r="D43" s="25" t="s">
        <v>1573</v>
      </c>
      <c r="E43" s="25" t="s">
        <v>1610</v>
      </c>
      <c r="F43" s="34" t="s">
        <v>1611</v>
      </c>
      <c r="G43" s="25" t="s">
        <v>1588</v>
      </c>
      <c r="H43" s="25">
        <v>0.0</v>
      </c>
      <c r="I43" s="25">
        <v>0.0</v>
      </c>
      <c r="J43" s="25">
        <v>2.0</v>
      </c>
      <c r="K43" s="25">
        <v>1.0</v>
      </c>
      <c r="L43" s="52" t="s">
        <v>1133</v>
      </c>
      <c r="M43" s="40" t="str">
        <f>IFNA(VLOOKUP(L43,'Faculty Details'!$B:$H,4,0),"")</f>
        <v>Dr.JAYA K</v>
      </c>
      <c r="N43" s="28" t="str">
        <f>IFNA(VLOOKUP(L43,'Faculty Details'!$B:$H,7,0),"")</f>
        <v>jayak@bitsathy.ac.in</v>
      </c>
    </row>
    <row r="44" ht="35.25" customHeight="1">
      <c r="A44" s="25">
        <v>43.0</v>
      </c>
      <c r="B44" s="25" t="s">
        <v>9</v>
      </c>
      <c r="C44" s="25" t="s">
        <v>1612</v>
      </c>
      <c r="D44" s="25" t="s">
        <v>1573</v>
      </c>
      <c r="E44" s="25" t="s">
        <v>1674</v>
      </c>
      <c r="F44" s="26" t="s">
        <v>1657</v>
      </c>
      <c r="G44" s="25" t="s">
        <v>1579</v>
      </c>
      <c r="H44" s="25">
        <v>2.0</v>
      </c>
      <c r="I44" s="25">
        <v>0.0</v>
      </c>
      <c r="J44" s="25">
        <v>2.0</v>
      </c>
      <c r="K44" s="25">
        <v>3.0</v>
      </c>
      <c r="L44" s="28" t="s">
        <v>465</v>
      </c>
      <c r="M44" s="40" t="str">
        <f>IFNA(VLOOKUP(L44,'Faculty Details'!$B:$H,4,0),"")</f>
        <v>Dr.KODIESWARI A</v>
      </c>
      <c r="N44" s="28" t="str">
        <f>IFNA(VLOOKUP(L44,'Faculty Details'!$B:$H,7,0),"")</f>
        <v>kodieswaria@bitsathy.ac.in</v>
      </c>
    </row>
    <row r="45" ht="35.25" customHeight="1">
      <c r="A45" s="25">
        <v>44.0</v>
      </c>
      <c r="B45" s="25" t="s">
        <v>9</v>
      </c>
      <c r="C45" s="25" t="s">
        <v>1612</v>
      </c>
      <c r="D45" s="25" t="s">
        <v>1573</v>
      </c>
      <c r="E45" s="25" t="s">
        <v>1674</v>
      </c>
      <c r="F45" s="26" t="s">
        <v>1657</v>
      </c>
      <c r="G45" s="25" t="s">
        <v>1576</v>
      </c>
      <c r="H45" s="25">
        <v>2.0</v>
      </c>
      <c r="I45" s="25">
        <v>0.0</v>
      </c>
      <c r="J45" s="25">
        <v>2.0</v>
      </c>
      <c r="K45" s="25">
        <v>3.0</v>
      </c>
      <c r="L45" s="30" t="s">
        <v>429</v>
      </c>
      <c r="M45" s="45" t="str">
        <f>IFNA(VLOOKUP(L45,'Faculty Details'!$B:$H,4,0),"")</f>
        <v>Mrs.EUGENE BERNA I</v>
      </c>
      <c r="N45" s="68" t="str">
        <f>IFNA(VLOOKUP(L45,'Faculty Details'!$B:$H,7,0),"")</f>
        <v>eugenebernai@bitsathy.ac.in</v>
      </c>
    </row>
    <row r="46" ht="35.25" customHeight="1">
      <c r="A46" s="25">
        <v>45.0</v>
      </c>
      <c r="B46" s="25" t="s">
        <v>9</v>
      </c>
      <c r="C46" s="25" t="s">
        <v>1612</v>
      </c>
      <c r="D46" s="25" t="s">
        <v>1573</v>
      </c>
      <c r="E46" s="25" t="s">
        <v>1674</v>
      </c>
      <c r="F46" s="26" t="s">
        <v>1657</v>
      </c>
      <c r="G46" s="25" t="s">
        <v>1588</v>
      </c>
      <c r="H46" s="25">
        <v>2.0</v>
      </c>
      <c r="I46" s="25">
        <v>0.0</v>
      </c>
      <c r="J46" s="25">
        <v>2.0</v>
      </c>
      <c r="K46" s="25">
        <v>3.0</v>
      </c>
      <c r="L46" s="29" t="s">
        <v>1153</v>
      </c>
      <c r="M46" s="45" t="str">
        <f>IFNA(VLOOKUP(L46,'Faculty Details'!$B:$H,4,0),"")</f>
        <v>Dr.ANANDAKUMAR K</v>
      </c>
      <c r="N46" s="68" t="str">
        <f>IFNA(VLOOKUP(L46,'Faculty Details'!$B:$H,7,0),"")</f>
        <v>anandakumark@bitsathy.ac.in</v>
      </c>
    </row>
    <row r="47" ht="35.25" customHeight="1">
      <c r="A47" s="25">
        <v>46.0</v>
      </c>
      <c r="B47" s="25" t="s">
        <v>9</v>
      </c>
      <c r="C47" s="25" t="s">
        <v>1612</v>
      </c>
      <c r="D47" s="25" t="s">
        <v>1573</v>
      </c>
      <c r="E47" s="25" t="s">
        <v>1675</v>
      </c>
      <c r="F47" s="26" t="s">
        <v>1659</v>
      </c>
      <c r="G47" s="25" t="s">
        <v>1579</v>
      </c>
      <c r="H47" s="25">
        <v>3.0</v>
      </c>
      <c r="I47" s="25">
        <v>0.0</v>
      </c>
      <c r="J47" s="25">
        <v>2.0</v>
      </c>
      <c r="K47" s="25">
        <v>4.0</v>
      </c>
      <c r="L47" s="25" t="s">
        <v>414</v>
      </c>
      <c r="M47" s="40" t="str">
        <f>IFNA(VLOOKUP(L47,'Faculty Details'!$B:$H,4,0),"")</f>
        <v>Dr.RAJASEKAR S S</v>
      </c>
      <c r="N47" s="28" t="str">
        <f>IFNA(VLOOKUP(L47,'Faculty Details'!$B:$H,7,0),"")</f>
        <v>rajasekarss@bitsathy.ac.in</v>
      </c>
    </row>
    <row r="48" ht="35.25" customHeight="1">
      <c r="A48" s="25">
        <v>47.0</v>
      </c>
      <c r="B48" s="25" t="s">
        <v>9</v>
      </c>
      <c r="C48" s="25" t="s">
        <v>1612</v>
      </c>
      <c r="D48" s="25" t="s">
        <v>1573</v>
      </c>
      <c r="E48" s="25" t="s">
        <v>1675</v>
      </c>
      <c r="F48" s="26" t="s">
        <v>1659</v>
      </c>
      <c r="G48" s="25" t="s">
        <v>1579</v>
      </c>
      <c r="H48" s="25">
        <v>3.0</v>
      </c>
      <c r="I48" s="25">
        <v>0.0</v>
      </c>
      <c r="J48" s="25">
        <v>2.0</v>
      </c>
      <c r="K48" s="25">
        <v>4.0</v>
      </c>
      <c r="L48" s="25" t="s">
        <v>420</v>
      </c>
      <c r="M48" s="36" t="str">
        <f>IFNA(VLOOKUP(L48,'Faculty Details'!$B:$H,4,0),"")</f>
        <v>Ms.KARTHIKA S</v>
      </c>
      <c r="N48" s="25" t="str">
        <f>IFNA(VLOOKUP(L48,'Faculty Details'!$B:$H,7,0),"")</f>
        <v>karthikas@bitsathy.ac.in</v>
      </c>
    </row>
    <row r="49" ht="35.25" customHeight="1">
      <c r="A49" s="25">
        <v>48.0</v>
      </c>
      <c r="B49" s="25" t="s">
        <v>9</v>
      </c>
      <c r="C49" s="25" t="s">
        <v>1612</v>
      </c>
      <c r="D49" s="25" t="s">
        <v>1573</v>
      </c>
      <c r="E49" s="25" t="s">
        <v>1676</v>
      </c>
      <c r="F49" s="26" t="s">
        <v>1661</v>
      </c>
      <c r="G49" s="25" t="s">
        <v>1579</v>
      </c>
      <c r="H49" s="25">
        <v>2.0</v>
      </c>
      <c r="I49" s="25">
        <v>0.0</v>
      </c>
      <c r="J49" s="25">
        <v>2.0</v>
      </c>
      <c r="K49" s="25">
        <v>3.0</v>
      </c>
      <c r="L49" s="25" t="s">
        <v>423</v>
      </c>
      <c r="M49" s="40" t="str">
        <f>IFNA(VLOOKUP(L49,'Faculty Details'!$B:$H,4,0),"")</f>
        <v>Mr.NITHIN P</v>
      </c>
      <c r="N49" s="28" t="str">
        <f>IFNA(VLOOKUP(L49,'Faculty Details'!$B:$H,7,0),"")</f>
        <v>nithinp@bitsathy.ac.in</v>
      </c>
    </row>
    <row r="50" ht="35.25" customHeight="1">
      <c r="A50" s="25">
        <v>49.0</v>
      </c>
      <c r="B50" s="25" t="s">
        <v>9</v>
      </c>
      <c r="C50" s="25" t="s">
        <v>1612</v>
      </c>
      <c r="D50" s="25" t="s">
        <v>1573</v>
      </c>
      <c r="E50" s="25" t="s">
        <v>1676</v>
      </c>
      <c r="F50" s="26" t="s">
        <v>1661</v>
      </c>
      <c r="G50" s="25" t="s">
        <v>1576</v>
      </c>
      <c r="H50" s="25">
        <v>2.0</v>
      </c>
      <c r="I50" s="25">
        <v>0.0</v>
      </c>
      <c r="J50" s="25">
        <v>2.0</v>
      </c>
      <c r="K50" s="25">
        <v>3.0</v>
      </c>
      <c r="L50" s="25" t="s">
        <v>453</v>
      </c>
      <c r="M50" s="45" t="str">
        <f>IFNA(VLOOKUP(L50,'Faculty Details'!$B:$H,4,0),"")</f>
        <v>Dr.KARTHIKEYAN G</v>
      </c>
      <c r="N50" s="68" t="str">
        <f>IFNA(VLOOKUP(L50,'Faculty Details'!$B:$H,7,0),"")</f>
        <v>karthikeyang@bitsathy.ac.in</v>
      </c>
    </row>
    <row r="51" ht="35.25" customHeight="1">
      <c r="A51" s="25">
        <v>50.0</v>
      </c>
      <c r="B51" s="25" t="s">
        <v>9</v>
      </c>
      <c r="C51" s="25" t="s">
        <v>1612</v>
      </c>
      <c r="D51" s="25" t="s">
        <v>1573</v>
      </c>
      <c r="E51" s="25" t="s">
        <v>1676</v>
      </c>
      <c r="F51" s="26" t="s">
        <v>1661</v>
      </c>
      <c r="G51" s="25" t="s">
        <v>1588</v>
      </c>
      <c r="H51" s="25">
        <v>2.0</v>
      </c>
      <c r="I51" s="25">
        <v>0.0</v>
      </c>
      <c r="J51" s="25">
        <v>2.0</v>
      </c>
      <c r="K51" s="25">
        <v>3.0</v>
      </c>
      <c r="L51" s="25" t="s">
        <v>453</v>
      </c>
      <c r="M51" s="40" t="str">
        <f>IFNA(VLOOKUP(L51,'Faculty Details'!$B:$H,4,0),"")</f>
        <v>Dr.KARTHIKEYAN G</v>
      </c>
      <c r="N51" s="28" t="str">
        <f>IFNA(VLOOKUP(L51,'Faculty Details'!$B:$H,7,0),"")</f>
        <v>karthikeyang@bitsathy.ac.in</v>
      </c>
    </row>
    <row r="52" ht="35.25" customHeight="1">
      <c r="A52" s="25">
        <v>51.0</v>
      </c>
      <c r="B52" s="25" t="s">
        <v>9</v>
      </c>
      <c r="C52" s="25" t="s">
        <v>1612</v>
      </c>
      <c r="D52" s="25" t="s">
        <v>1619</v>
      </c>
      <c r="E52" s="25" t="s">
        <v>77</v>
      </c>
      <c r="F52" s="69" t="s">
        <v>78</v>
      </c>
      <c r="G52" s="25" t="s">
        <v>1576</v>
      </c>
      <c r="H52" s="25">
        <v>3.0</v>
      </c>
      <c r="I52" s="25">
        <v>0.0</v>
      </c>
      <c r="J52" s="25">
        <v>0.0</v>
      </c>
      <c r="K52" s="25">
        <v>3.0</v>
      </c>
      <c r="L52" s="70" t="s">
        <v>593</v>
      </c>
      <c r="M52" s="34" t="str">
        <f>IFNA(VLOOKUP(L52,'Faculty Details'!$B:$H,4,0),"")</f>
        <v>Mrs.INDHUMATHI K</v>
      </c>
      <c r="N52" s="71" t="str">
        <f>IFNA(VLOOKUP(L52,'Faculty Details'!$B:$H,7,0),"")</f>
        <v>indhumathik@bitsathy.ac.in</v>
      </c>
    </row>
    <row r="53" ht="35.25" customHeight="1">
      <c r="A53" s="25">
        <v>52.0</v>
      </c>
      <c r="B53" s="25" t="s">
        <v>9</v>
      </c>
      <c r="C53" s="25" t="s">
        <v>1612</v>
      </c>
      <c r="D53" s="25" t="s">
        <v>1619</v>
      </c>
      <c r="E53" s="25" t="s">
        <v>77</v>
      </c>
      <c r="F53" s="69" t="s">
        <v>78</v>
      </c>
      <c r="G53" s="25" t="s">
        <v>1576</v>
      </c>
      <c r="H53" s="25">
        <v>3.0</v>
      </c>
      <c r="I53" s="25">
        <v>0.0</v>
      </c>
      <c r="J53" s="25">
        <v>0.0</v>
      </c>
      <c r="K53" s="25">
        <v>3.0</v>
      </c>
      <c r="L53" s="28" t="s">
        <v>438</v>
      </c>
      <c r="M53" s="40" t="str">
        <f>IFNA(VLOOKUP(L53,'Faculty Details'!$B:$H,4,0),"")</f>
        <v>Ms.KANIMOZHI A</v>
      </c>
      <c r="N53" s="28" t="str">
        <f>IFNA(VLOOKUP(L53,'Faculty Details'!$B:$H,7,0),"")</f>
        <v>kanimozhi@bitsathy.ac.in</v>
      </c>
    </row>
    <row r="54" ht="35.25" customHeight="1">
      <c r="A54" s="25">
        <v>53.0</v>
      </c>
      <c r="B54" s="25" t="s">
        <v>9</v>
      </c>
      <c r="C54" s="25" t="s">
        <v>1612</v>
      </c>
      <c r="D54" s="25" t="s">
        <v>1620</v>
      </c>
      <c r="E54" s="25" t="s">
        <v>79</v>
      </c>
      <c r="F54" s="26" t="s">
        <v>223</v>
      </c>
      <c r="G54" s="25" t="s">
        <v>1576</v>
      </c>
      <c r="H54" s="25">
        <v>3.0</v>
      </c>
      <c r="I54" s="25">
        <v>0.0</v>
      </c>
      <c r="J54" s="25">
        <v>0.0</v>
      </c>
      <c r="K54" s="25">
        <v>3.0</v>
      </c>
      <c r="L54" s="28" t="s">
        <v>1211</v>
      </c>
      <c r="M54" s="72" t="str">
        <f>IFNA(VLOOKUP(L54,'Faculty Details'!$B:$H,4,0),"")</f>
        <v>Mrs.KEERTHANA K</v>
      </c>
      <c r="N54" s="73" t="str">
        <f>IFNA(VLOOKUP(L54,'Faculty Details'!$B:$H,7,0),"")</f>
        <v>keerthana@bitsathy.ac.in</v>
      </c>
    </row>
    <row r="55" ht="35.25" customHeight="1">
      <c r="A55" s="25">
        <v>54.0</v>
      </c>
      <c r="B55" s="25" t="s">
        <v>9</v>
      </c>
      <c r="C55" s="25" t="s">
        <v>1612</v>
      </c>
      <c r="D55" s="25" t="s">
        <v>1620</v>
      </c>
      <c r="E55" s="25" t="s">
        <v>79</v>
      </c>
      <c r="F55" s="26" t="s">
        <v>223</v>
      </c>
      <c r="G55" s="25" t="s">
        <v>1576</v>
      </c>
      <c r="H55" s="25">
        <v>3.0</v>
      </c>
      <c r="I55" s="25">
        <v>0.0</v>
      </c>
      <c r="J55" s="25">
        <v>0.0</v>
      </c>
      <c r="K55" s="25">
        <v>3.0</v>
      </c>
      <c r="L55" s="25" t="s">
        <v>1150</v>
      </c>
      <c r="M55" s="34" t="str">
        <f>IFNA(VLOOKUP(L55,'Faculty Details'!$B:$H,4,0),"")</f>
        <v>Mr.SOMASUNDARAM K</v>
      </c>
      <c r="N55" s="71" t="str">
        <f>IFNA(VLOOKUP(L55,'Faculty Details'!$B:$H,7,0),"")</f>
        <v>somasundaramk@bitsathy.ac.in</v>
      </c>
    </row>
    <row r="56" ht="35.25" customHeight="1">
      <c r="A56" s="74">
        <v>55.0</v>
      </c>
      <c r="B56" s="74" t="s">
        <v>9</v>
      </c>
      <c r="C56" s="74" t="s">
        <v>1612</v>
      </c>
      <c r="D56" s="74" t="s">
        <v>1621</v>
      </c>
      <c r="E56" s="74" t="s">
        <v>81</v>
      </c>
      <c r="F56" s="75" t="s">
        <v>82</v>
      </c>
      <c r="G56" s="74" t="s">
        <v>1576</v>
      </c>
      <c r="H56" s="74">
        <v>3.0</v>
      </c>
      <c r="I56" s="74">
        <v>0.0</v>
      </c>
      <c r="J56" s="74">
        <v>0.0</v>
      </c>
      <c r="K56" s="74">
        <v>3.0</v>
      </c>
      <c r="L56" s="28" t="s">
        <v>432</v>
      </c>
      <c r="M56" s="45" t="str">
        <f>IFNA(VLOOKUP(L56,'Faculty Details'!$B:$H,4,0),"")</f>
        <v>Ms.MOHANAPRIYA K</v>
      </c>
      <c r="N56" s="68" t="str">
        <f>IFNA(VLOOKUP(L56,'Faculty Details'!$B:$H,7,0),"")</f>
        <v>mohanapriyak@bitsathy.ac.in</v>
      </c>
    </row>
    <row r="57" ht="35.25" customHeight="1">
      <c r="A57" s="74">
        <v>56.0</v>
      </c>
      <c r="B57" s="74" t="s">
        <v>9</v>
      </c>
      <c r="C57" s="74" t="s">
        <v>1612</v>
      </c>
      <c r="D57" s="74" t="s">
        <v>1621</v>
      </c>
      <c r="E57" s="74" t="s">
        <v>81</v>
      </c>
      <c r="F57" s="75" t="s">
        <v>82</v>
      </c>
      <c r="G57" s="74" t="s">
        <v>1576</v>
      </c>
      <c r="H57" s="74">
        <v>3.0</v>
      </c>
      <c r="I57" s="74">
        <v>0.0</v>
      </c>
      <c r="J57" s="74">
        <v>0.0</v>
      </c>
      <c r="K57" s="74">
        <v>3.0</v>
      </c>
      <c r="L57" s="28" t="s">
        <v>441</v>
      </c>
      <c r="M57" s="45" t="str">
        <f>IFNA(VLOOKUP(L57,'Faculty Details'!$B:$H,4,0),"")</f>
        <v>Mrs.GAYATHRIDEVI M</v>
      </c>
      <c r="N57" s="68" t="str">
        <f>IFNA(VLOOKUP(L57,'Faculty Details'!$B:$H,7,0),"")</f>
        <v>gayathridevi@bitsathy.ac.in</v>
      </c>
    </row>
    <row r="58" ht="35.25" customHeight="1">
      <c r="A58" s="25">
        <v>57.0</v>
      </c>
      <c r="B58" s="25" t="s">
        <v>9</v>
      </c>
      <c r="C58" s="25" t="s">
        <v>1612</v>
      </c>
      <c r="D58" s="25" t="s">
        <v>1622</v>
      </c>
      <c r="E58" s="25" t="s">
        <v>75</v>
      </c>
      <c r="F58" s="26" t="s">
        <v>76</v>
      </c>
      <c r="G58" s="25" t="s">
        <v>1576</v>
      </c>
      <c r="H58" s="25">
        <v>3.0</v>
      </c>
      <c r="I58" s="25">
        <v>0.0</v>
      </c>
      <c r="J58" s="25">
        <v>0.0</v>
      </c>
      <c r="K58" s="25">
        <v>3.0</v>
      </c>
      <c r="L58" s="25" t="s">
        <v>1259</v>
      </c>
      <c r="M58" s="40" t="str">
        <f>IFNA(VLOOKUP(L58,'Faculty Details'!$B:$H,4,0),"")</f>
        <v>Dr.NATARAJ N</v>
      </c>
      <c r="N58" s="28" t="str">
        <f>IFNA(VLOOKUP(L58,'Faculty Details'!$B:$H,7,0),"")</f>
        <v>nataraj@bitsathy.ac.in</v>
      </c>
    </row>
    <row r="59" ht="35.25" customHeight="1">
      <c r="A59" s="25">
        <v>58.0</v>
      </c>
      <c r="B59" s="25" t="s">
        <v>9</v>
      </c>
      <c r="C59" s="25" t="s">
        <v>1612</v>
      </c>
      <c r="D59" s="25" t="s">
        <v>1623</v>
      </c>
      <c r="E59" s="25" t="s">
        <v>1677</v>
      </c>
      <c r="F59" s="69" t="s">
        <v>1678</v>
      </c>
      <c r="G59" s="25" t="s">
        <v>1576</v>
      </c>
      <c r="H59" s="25">
        <v>3.0</v>
      </c>
      <c r="I59" s="25">
        <v>0.0</v>
      </c>
      <c r="J59" s="25">
        <v>0.0</v>
      </c>
      <c r="K59" s="25">
        <v>3.0</v>
      </c>
      <c r="L59" s="25" t="s">
        <v>1147</v>
      </c>
      <c r="M59" s="40" t="str">
        <f>IFNA(VLOOKUP(L59,'Faculty Details'!$B:$H,4,0),"")</f>
        <v>Ms.POORNIMA A</v>
      </c>
      <c r="N59" s="28" t="str">
        <f>IFNA(VLOOKUP(L59,'Faculty Details'!$B:$H,7,0),"")</f>
        <v>poornimaa@bitsathy.ac.in</v>
      </c>
    </row>
    <row r="60" ht="35.25" customHeight="1">
      <c r="A60" s="25">
        <v>59.0</v>
      </c>
      <c r="B60" s="25" t="s">
        <v>9</v>
      </c>
      <c r="C60" s="25" t="s">
        <v>1612</v>
      </c>
      <c r="D60" s="25" t="s">
        <v>1623</v>
      </c>
      <c r="E60" s="25" t="s">
        <v>1679</v>
      </c>
      <c r="F60" s="69" t="s">
        <v>1680</v>
      </c>
      <c r="G60" s="25" t="s">
        <v>1576</v>
      </c>
      <c r="H60" s="25">
        <v>3.0</v>
      </c>
      <c r="I60" s="25">
        <v>0.0</v>
      </c>
      <c r="J60" s="25">
        <v>0.0</v>
      </c>
      <c r="K60" s="25">
        <v>3.0</v>
      </c>
      <c r="L60" s="25" t="s">
        <v>593</v>
      </c>
      <c r="M60" s="40" t="str">
        <f>IFNA(VLOOKUP(L60,'Faculty Details'!$B:$H,4,0),"")</f>
        <v>Mrs.INDHUMATHI K</v>
      </c>
      <c r="N60" s="28" t="str">
        <f>IFNA(VLOOKUP(L60,'Faculty Details'!$B:$H,7,0),"")</f>
        <v>indhumathik@bitsathy.ac.in</v>
      </c>
    </row>
    <row r="61" ht="35.25" customHeight="1">
      <c r="A61" s="25">
        <v>60.0</v>
      </c>
      <c r="B61" s="25" t="s">
        <v>9</v>
      </c>
      <c r="C61" s="25" t="s">
        <v>1612</v>
      </c>
      <c r="D61" s="25" t="s">
        <v>1681</v>
      </c>
      <c r="E61" s="25" t="s">
        <v>1682</v>
      </c>
      <c r="F61" s="26" t="s">
        <v>1683</v>
      </c>
      <c r="G61" s="25" t="s">
        <v>1576</v>
      </c>
      <c r="H61" s="25">
        <v>3.0</v>
      </c>
      <c r="I61" s="25">
        <v>0.0</v>
      </c>
      <c r="J61" s="25">
        <v>0.0</v>
      </c>
      <c r="K61" s="25">
        <v>3.0</v>
      </c>
      <c r="L61" s="25" t="s">
        <v>798</v>
      </c>
      <c r="M61" s="40" t="str">
        <f>IFNA(VLOOKUP(L61,'Faculty Details'!$B:$H,4,0),"")</f>
        <v>Mr.ASWIN JAYA SURYA M J</v>
      </c>
      <c r="N61" s="28" t="str">
        <f>IFNA(VLOOKUP(L61,'Faculty Details'!$B:$H,7,0),"")</f>
        <v>aswinjayasuryamj@bitsathy.ac.in</v>
      </c>
    </row>
    <row r="62" ht="35.25" customHeight="1">
      <c r="A62" s="25">
        <v>61.0</v>
      </c>
      <c r="B62" s="25" t="s">
        <v>9</v>
      </c>
      <c r="C62" s="25" t="s">
        <v>1612</v>
      </c>
      <c r="D62" s="25" t="s">
        <v>1681</v>
      </c>
      <c r="E62" s="25" t="s">
        <v>1684</v>
      </c>
      <c r="F62" s="26" t="s">
        <v>1685</v>
      </c>
      <c r="G62" s="25" t="s">
        <v>1576</v>
      </c>
      <c r="H62" s="25">
        <v>3.0</v>
      </c>
      <c r="I62" s="25">
        <v>0.0</v>
      </c>
      <c r="J62" s="25">
        <v>0.0</v>
      </c>
      <c r="K62" s="25">
        <v>3.0</v>
      </c>
      <c r="L62" s="25" t="s">
        <v>456</v>
      </c>
      <c r="M62" s="40" t="str">
        <f>IFNA(VLOOKUP(L62,'Faculty Details'!$B:$H,4,0),"")</f>
        <v>Mrs.SARANYA M K</v>
      </c>
      <c r="N62" s="28" t="str">
        <f>IFNA(VLOOKUP(L62,'Faculty Details'!$B:$H,7,0),"")</f>
        <v>saranyamk@bitsathy.ac.in</v>
      </c>
    </row>
    <row r="63" ht="35.25" customHeight="1">
      <c r="A63" s="25">
        <v>62.0</v>
      </c>
      <c r="B63" s="25" t="s">
        <v>9</v>
      </c>
      <c r="C63" s="25" t="s">
        <v>1612</v>
      </c>
      <c r="D63" s="25" t="s">
        <v>1628</v>
      </c>
      <c r="E63" s="25" t="s">
        <v>1686</v>
      </c>
      <c r="F63" s="26" t="s">
        <v>1630</v>
      </c>
      <c r="G63" s="25" t="s">
        <v>1588</v>
      </c>
      <c r="H63" s="25">
        <v>0.0</v>
      </c>
      <c r="I63" s="25">
        <v>0.0</v>
      </c>
      <c r="J63" s="25">
        <v>2.0</v>
      </c>
      <c r="K63" s="25">
        <v>1.0</v>
      </c>
      <c r="L63" s="25"/>
      <c r="M63" s="40" t="str">
        <f>IFNA(VLOOKUP(L63,'Faculty Details'!$B:$H,4,0),"")</f>
        <v/>
      </c>
      <c r="N63" s="28" t="str">
        <f>IFNA(VLOOKUP(L63,'Faculty Details'!$B:$H,7,0),"")</f>
        <v/>
      </c>
    </row>
    <row r="64" ht="35.25" customHeight="1">
      <c r="A64" s="25">
        <v>63.0</v>
      </c>
      <c r="B64" s="25" t="s">
        <v>9</v>
      </c>
      <c r="C64" s="25" t="s">
        <v>1631</v>
      </c>
      <c r="D64" s="25" t="s">
        <v>1632</v>
      </c>
      <c r="E64" s="25" t="s">
        <v>1687</v>
      </c>
      <c r="F64" s="26" t="s">
        <v>1634</v>
      </c>
      <c r="G64" s="25" t="s">
        <v>1588</v>
      </c>
      <c r="H64" s="25">
        <v>0.0</v>
      </c>
      <c r="I64" s="25">
        <v>0.0</v>
      </c>
      <c r="J64" s="25">
        <v>18.0</v>
      </c>
      <c r="K64" s="25">
        <v>9.0</v>
      </c>
      <c r="L64" s="25"/>
      <c r="M64" s="40" t="str">
        <f>IFNA(VLOOKUP(L64,'Faculty Details'!$B:$H,4,0),"")</f>
        <v/>
      </c>
      <c r="N64" s="28" t="str">
        <f>IFNA(VLOOKUP(L64,'Faculty Details'!$B:$H,7,0),"")</f>
        <v/>
      </c>
    </row>
  </sheetData>
  <conditionalFormatting sqref="L2:L28 N17:N18 L34 L38:L43 L46:L52 M48:N48 L55 L59:L64">
    <cfRule type="containsBlanks" dxfId="1" priority="1">
      <formula>LEN(TRIM(L2))=0</formula>
    </cfRule>
  </conditionalFormatting>
  <dataValidations>
    <dataValidation type="list" allowBlank="1" showErrorMessage="1" sqref="D42:D43">
      <formula1>"CORE,ELECTIVE 1,OPEN ELECTIVE,ELECTIVE 3,ELECTIVE 4,ELECTIVE 5,HONOURS,MINOR,LAB,PROJECT,MINI PROJECT"</formula1>
    </dataValidation>
    <dataValidation type="list" allowBlank="1" showErrorMessage="1" sqref="D40:D41">
      <formula1>"CORE,ELECTIVE 1,OPEN ELECTIVE,ELECTIVE 6,ELECTIVE 7,ELECTIVE 8,ELECTIVE 9,HONOURS,MINOR,ADD COURSE"</formula1>
    </dataValidation>
    <dataValidation type="list" allowBlank="1" showErrorMessage="1" sqref="C2:C64">
      <formula1>"S2,S4,S6,S8"</formula1>
    </dataValidation>
    <dataValidation type="list" allowBlank="1" showErrorMessage="1" sqref="G2:G64">
      <formula1>"THEORY,THEORY WITH LAB,LAB"</formula1>
    </dataValidation>
    <dataValidation type="list" allowBlank="1" showErrorMessage="1" sqref="D2:D22 D26:D39 D64">
      <formula1>"CORE,ELECTIVE 1,OPEN ELECTIVE,ELECTIVE 6,ELECTIVE 7,ELECTIVE 8,ELECTIVE 9,HONOURS,MINOR,PROJECT"</formula1>
    </dataValidation>
    <dataValidation type="list" allowBlank="1" showErrorMessage="1" sqref="D44:D63">
      <formula1>"CORE,ELECTIVE 1,OPEN ELECTIVE,ELECTIVE 3,ELECTIVE 4,ELECTIVE 5,ADD COURSE,HONOURS,MINOR,LAB,PROJECT,MINI PROJECT"</formula1>
    </dataValidation>
    <dataValidation type="list" allowBlank="1" showErrorMessage="1" sqref="D23:D25">
      <formula1>"CORE,ELECTIVE 1,OPEN ELECTIVE,ELECTIVE 6,ELECTIVE 7,ELECTIVE 8,ELECTIVE 9,HONOURS,MINOR,LANGUAGE ELECTIVE"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3" max="3" width="8.0"/>
    <col customWidth="1" min="4" max="4" width="16.25"/>
    <col customWidth="1" min="5" max="5" width="10.38"/>
    <col customWidth="1" min="6" max="6" width="23.75"/>
    <col customWidth="1" min="7" max="7" width="14.75"/>
    <col customWidth="1" min="8" max="9" width="5.0"/>
    <col customWidth="1" min="10" max="10" width="5.5"/>
    <col customWidth="1" min="11" max="11" width="5.0"/>
    <col customWidth="1" min="13" max="13" width="23.38"/>
    <col customWidth="1" min="14" max="14" width="26.5"/>
  </cols>
  <sheetData>
    <row r="1">
      <c r="A1" s="76" t="s">
        <v>1688</v>
      </c>
      <c r="B1" s="76" t="s">
        <v>1560</v>
      </c>
      <c r="C1" s="76" t="s">
        <v>1561</v>
      </c>
      <c r="D1" s="76" t="s">
        <v>1562</v>
      </c>
      <c r="E1" s="76" t="s">
        <v>1563</v>
      </c>
      <c r="F1" s="76" t="s">
        <v>1564</v>
      </c>
      <c r="G1" s="76" t="s">
        <v>1565</v>
      </c>
      <c r="H1" s="76" t="s">
        <v>1566</v>
      </c>
      <c r="I1" s="76" t="s">
        <v>1567</v>
      </c>
      <c r="J1" s="76" t="s">
        <v>1568</v>
      </c>
      <c r="K1" s="76" t="s">
        <v>1569</v>
      </c>
      <c r="L1" s="76" t="s">
        <v>1570</v>
      </c>
      <c r="M1" s="77" t="s">
        <v>257</v>
      </c>
      <c r="N1" s="76" t="s">
        <v>1571</v>
      </c>
    </row>
    <row r="2" ht="34.5" customHeight="1">
      <c r="A2" s="29">
        <f t="array" ref="A2:A15">SEQUENCE(COUNTA(B2:B15),1)</f>
        <v>1</v>
      </c>
      <c r="B2" s="29" t="s">
        <v>83</v>
      </c>
      <c r="C2" s="29" t="s">
        <v>1612</v>
      </c>
      <c r="D2" s="29" t="s">
        <v>1573</v>
      </c>
      <c r="E2" s="29" t="s">
        <v>1689</v>
      </c>
      <c r="F2" s="26" t="s">
        <v>1690</v>
      </c>
      <c r="G2" s="29" t="s">
        <v>1579</v>
      </c>
      <c r="H2" s="29">
        <v>3.0</v>
      </c>
      <c r="I2" s="29">
        <v>0.0</v>
      </c>
      <c r="J2" s="29">
        <v>2.0</v>
      </c>
      <c r="K2" s="29">
        <v>4.0</v>
      </c>
      <c r="L2" s="29" t="s">
        <v>479</v>
      </c>
      <c r="M2" s="41" t="str">
        <f>IFNA(VLOOKUP(L2,'Faculty Details'!$B:$H,4,0),"")</f>
        <v>Ms.SAAHINA S</v>
      </c>
      <c r="N2" s="30" t="str">
        <f>IFNA(VLOOKUP(L2,'Faculty Details'!$B:$H,7,0),"")</f>
        <v>saahina@bitsathy.ac.in</v>
      </c>
    </row>
    <row r="3" ht="34.5" customHeight="1">
      <c r="A3" s="29">
        <v>2.0</v>
      </c>
      <c r="B3" s="29" t="s">
        <v>83</v>
      </c>
      <c r="C3" s="29" t="s">
        <v>1612</v>
      </c>
      <c r="D3" s="29" t="s">
        <v>1573</v>
      </c>
      <c r="E3" s="29" t="s">
        <v>1691</v>
      </c>
      <c r="F3" s="26" t="s">
        <v>1692</v>
      </c>
      <c r="G3" s="29" t="s">
        <v>1579</v>
      </c>
      <c r="H3" s="29">
        <v>3.0</v>
      </c>
      <c r="I3" s="29">
        <v>0.0</v>
      </c>
      <c r="J3" s="29">
        <v>2.0</v>
      </c>
      <c r="K3" s="29">
        <v>4.0</v>
      </c>
      <c r="L3" s="29" t="s">
        <v>482</v>
      </c>
      <c r="M3" s="41" t="str">
        <f>IFNA(VLOOKUP(L3,'Faculty Details'!$B:$H,4,0),"")</f>
        <v>Mr.SYED ALTHAF S</v>
      </c>
      <c r="N3" s="30" t="str">
        <f>IFNA(VLOOKUP(L3,'Faculty Details'!$B:$H,7,0),"")</f>
        <v>syedalthaf@bitsathy.ac.in</v>
      </c>
    </row>
    <row r="4" ht="34.5" customHeight="1">
      <c r="A4" s="29">
        <v>3.0</v>
      </c>
      <c r="B4" s="29" t="s">
        <v>83</v>
      </c>
      <c r="C4" s="29" t="s">
        <v>1612</v>
      </c>
      <c r="D4" s="29" t="s">
        <v>1573</v>
      </c>
      <c r="E4" s="29" t="s">
        <v>1693</v>
      </c>
      <c r="F4" s="26" t="s">
        <v>1694</v>
      </c>
      <c r="G4" s="29" t="s">
        <v>1579</v>
      </c>
      <c r="H4" s="29">
        <v>3.0</v>
      </c>
      <c r="I4" s="29">
        <v>0.0</v>
      </c>
      <c r="J4" s="29">
        <v>2.0</v>
      </c>
      <c r="K4" s="29">
        <v>4.0</v>
      </c>
      <c r="L4" s="1" t="s">
        <v>568</v>
      </c>
      <c r="M4" s="41" t="str">
        <f>IFNA(VLOOKUP(L4,'Faculty Details'!$B:$H,4,0),"")</f>
        <v>Mrs.DIVYA S</v>
      </c>
      <c r="N4" s="30" t="str">
        <f>IFNA(VLOOKUP(L4,'Faculty Details'!$B:$H,7,0),"")</f>
        <v>divyaks@bitsathy.ac.in</v>
      </c>
    </row>
    <row r="5" ht="34.5" customHeight="1">
      <c r="A5" s="29">
        <v>4.0</v>
      </c>
      <c r="B5" s="29" t="s">
        <v>83</v>
      </c>
      <c r="C5" s="29" t="s">
        <v>1612</v>
      </c>
      <c r="D5" s="29" t="s">
        <v>1619</v>
      </c>
      <c r="E5" s="78" t="s">
        <v>89</v>
      </c>
      <c r="F5" s="79" t="s">
        <v>90</v>
      </c>
      <c r="G5" s="29" t="s">
        <v>1576</v>
      </c>
      <c r="H5" s="29">
        <v>3.0</v>
      </c>
      <c r="I5" s="29">
        <v>0.0</v>
      </c>
      <c r="J5" s="29">
        <v>0.0</v>
      </c>
      <c r="K5" s="29">
        <v>3.0</v>
      </c>
      <c r="L5" s="29" t="s">
        <v>488</v>
      </c>
      <c r="M5" s="41" t="str">
        <f>IFNA(VLOOKUP(L5,'Faculty Details'!$B:$H,4,0),"")</f>
        <v>Ms.PRATHEEBHA G</v>
      </c>
      <c r="N5" s="30" t="str">
        <f>IFNA(VLOOKUP(L5,'Faculty Details'!$B:$H,7,0),"")</f>
        <v>pratheebhag@bitsathy.ac.in</v>
      </c>
    </row>
    <row r="6" ht="34.5" customHeight="1">
      <c r="A6" s="29">
        <v>5.0</v>
      </c>
      <c r="B6" s="29" t="s">
        <v>83</v>
      </c>
      <c r="C6" s="29" t="s">
        <v>1612</v>
      </c>
      <c r="D6" s="29" t="s">
        <v>1620</v>
      </c>
      <c r="E6" s="78" t="s">
        <v>91</v>
      </c>
      <c r="F6" s="79" t="s">
        <v>92</v>
      </c>
      <c r="G6" s="29" t="s">
        <v>1576</v>
      </c>
      <c r="H6" s="29">
        <v>3.0</v>
      </c>
      <c r="I6" s="29">
        <v>0.0</v>
      </c>
      <c r="J6" s="29">
        <v>0.0</v>
      </c>
      <c r="K6" s="29">
        <v>3.0</v>
      </c>
      <c r="L6" s="29" t="s">
        <v>475</v>
      </c>
      <c r="M6" s="41" t="str">
        <f>IFNA(VLOOKUP(L6,'Faculty Details'!$B:$H,4,0),"")</f>
        <v>Ms.CAROLINE VINNETIA S</v>
      </c>
      <c r="N6" s="30" t="str">
        <f>IFNA(VLOOKUP(L6,'Faculty Details'!$B:$H,7,0),"")</f>
        <v>carolinevinnetias@bitsathy.ac.in</v>
      </c>
    </row>
    <row r="7" ht="34.5" customHeight="1">
      <c r="A7" s="29">
        <v>6.0</v>
      </c>
      <c r="B7" s="29" t="s">
        <v>83</v>
      </c>
      <c r="C7" s="29" t="s">
        <v>1612</v>
      </c>
      <c r="D7" s="29" t="s">
        <v>1621</v>
      </c>
      <c r="E7" s="78" t="s">
        <v>93</v>
      </c>
      <c r="F7" s="79" t="s">
        <v>94</v>
      </c>
      <c r="G7" s="29" t="s">
        <v>1576</v>
      </c>
      <c r="H7" s="29">
        <v>3.0</v>
      </c>
      <c r="I7" s="29">
        <v>0.0</v>
      </c>
      <c r="J7" s="29">
        <v>0.0</v>
      </c>
      <c r="K7" s="29">
        <v>3.0</v>
      </c>
      <c r="L7" s="29" t="s">
        <v>485</v>
      </c>
      <c r="M7" s="41" t="str">
        <f>IFNA(VLOOKUP(L7,'Faculty Details'!$B:$H,4,0),"")</f>
        <v>Ms.SREENIVEATHA P</v>
      </c>
      <c r="N7" s="30" t="str">
        <f>IFNA(VLOOKUP(L7,'Faculty Details'!$B:$H,7,0),"")</f>
        <v>sreeniveathap@bitsathy.ac.in</v>
      </c>
    </row>
    <row r="8" ht="34.5" customHeight="1">
      <c r="A8" s="29">
        <v>7.0</v>
      </c>
      <c r="B8" s="29" t="s">
        <v>83</v>
      </c>
      <c r="C8" s="29" t="s">
        <v>1612</v>
      </c>
      <c r="D8" s="29" t="s">
        <v>1622</v>
      </c>
      <c r="E8" s="78" t="s">
        <v>84</v>
      </c>
      <c r="F8" s="79" t="s">
        <v>85</v>
      </c>
      <c r="G8" s="29" t="s">
        <v>1576</v>
      </c>
      <c r="H8" s="29">
        <v>3.0</v>
      </c>
      <c r="I8" s="29">
        <v>0.0</v>
      </c>
      <c r="J8" s="29">
        <v>0.0</v>
      </c>
      <c r="K8" s="29">
        <v>3.0</v>
      </c>
      <c r="L8" s="29" t="s">
        <v>479</v>
      </c>
      <c r="M8" s="41" t="str">
        <f>IFNA(VLOOKUP(L8,'Faculty Details'!$B:$H,4,0),"")</f>
        <v>Ms.SAAHINA S</v>
      </c>
      <c r="N8" s="30" t="str">
        <f>IFNA(VLOOKUP(L8,'Faculty Details'!$B:$H,7,0),"")</f>
        <v>saahina@bitsathy.ac.in</v>
      </c>
    </row>
    <row r="9" ht="34.5" customHeight="1">
      <c r="A9" s="29">
        <v>8.0</v>
      </c>
      <c r="B9" s="29" t="s">
        <v>83</v>
      </c>
      <c r="C9" s="29" t="s">
        <v>1612</v>
      </c>
      <c r="D9" s="29" t="s">
        <v>86</v>
      </c>
      <c r="E9" s="78" t="s">
        <v>87</v>
      </c>
      <c r="F9" s="80" t="s">
        <v>1695</v>
      </c>
      <c r="G9" s="29" t="s">
        <v>1576</v>
      </c>
      <c r="H9" s="29">
        <v>3.0</v>
      </c>
      <c r="I9" s="29">
        <v>0.0</v>
      </c>
      <c r="J9" s="29">
        <v>0.0</v>
      </c>
      <c r="K9" s="29">
        <v>3.0</v>
      </c>
      <c r="L9" s="29" t="s">
        <v>485</v>
      </c>
      <c r="M9" s="41" t="str">
        <f>IFNA(VLOOKUP(L9,'Faculty Details'!$B:$H,4,0),"")</f>
        <v>Ms.SREENIVEATHA P</v>
      </c>
      <c r="N9" s="30" t="str">
        <f>IFNA(VLOOKUP(L9,'Faculty Details'!$B:$H,7,0),"")</f>
        <v>sreeniveathap@bitsathy.ac.in</v>
      </c>
    </row>
    <row r="10" ht="34.5" customHeight="1">
      <c r="A10" s="29">
        <v>9.0</v>
      </c>
      <c r="B10" s="29" t="s">
        <v>83</v>
      </c>
      <c r="C10" s="29" t="s">
        <v>1612</v>
      </c>
      <c r="D10" s="29" t="s">
        <v>86</v>
      </c>
      <c r="E10" s="78" t="s">
        <v>87</v>
      </c>
      <c r="F10" s="80" t="s">
        <v>1695</v>
      </c>
      <c r="G10" s="29" t="s">
        <v>1576</v>
      </c>
      <c r="H10" s="29">
        <v>3.0</v>
      </c>
      <c r="I10" s="29">
        <v>0.0</v>
      </c>
      <c r="J10" s="29">
        <v>0.0</v>
      </c>
      <c r="K10" s="29">
        <v>3.0</v>
      </c>
      <c r="L10" s="29" t="s">
        <v>488</v>
      </c>
      <c r="M10" s="41" t="str">
        <f>IFNA(VLOOKUP(L10,'Faculty Details'!$B:$H,4,0),"")</f>
        <v>Ms.PRATHEEBHA G</v>
      </c>
      <c r="N10" s="30" t="str">
        <f>IFNA(VLOOKUP(L10,'Faculty Details'!$B:$H,7,0),"")</f>
        <v>pratheebhag@bitsathy.ac.in</v>
      </c>
    </row>
    <row r="11" ht="34.5" customHeight="1">
      <c r="A11" s="29">
        <v>10.0</v>
      </c>
      <c r="B11" s="29" t="s">
        <v>83</v>
      </c>
      <c r="C11" s="29" t="s">
        <v>1612</v>
      </c>
      <c r="D11" s="29" t="s">
        <v>86</v>
      </c>
      <c r="E11" s="78" t="s">
        <v>87</v>
      </c>
      <c r="F11" s="80" t="s">
        <v>1695</v>
      </c>
      <c r="G11" s="29" t="s">
        <v>1576</v>
      </c>
      <c r="H11" s="29">
        <v>3.0</v>
      </c>
      <c r="I11" s="29">
        <v>0.0</v>
      </c>
      <c r="J11" s="29">
        <v>0.0</v>
      </c>
      <c r="K11" s="29">
        <v>3.0</v>
      </c>
      <c r="L11" s="29" t="s">
        <v>475</v>
      </c>
      <c r="M11" s="41" t="str">
        <f>IFNA(VLOOKUP(L11,'Faculty Details'!$B:$H,4,0),"")</f>
        <v>Ms.CAROLINE VINNETIA S</v>
      </c>
      <c r="N11" s="30" t="str">
        <f>IFNA(VLOOKUP(L11,'Faculty Details'!$B:$H,7,0),"")</f>
        <v>carolinevinnetias@bitsathy.ac.in</v>
      </c>
    </row>
    <row r="12" ht="34.5" customHeight="1">
      <c r="A12" s="29">
        <v>11.0</v>
      </c>
      <c r="B12" s="29" t="s">
        <v>83</v>
      </c>
      <c r="C12" s="29" t="s">
        <v>1612</v>
      </c>
      <c r="D12" s="29" t="s">
        <v>1623</v>
      </c>
      <c r="E12" s="78" t="s">
        <v>1696</v>
      </c>
      <c r="F12" s="79" t="s">
        <v>1697</v>
      </c>
      <c r="G12" s="29" t="s">
        <v>1576</v>
      </c>
      <c r="H12" s="29">
        <v>3.0</v>
      </c>
      <c r="I12" s="29">
        <v>0.0</v>
      </c>
      <c r="J12" s="29">
        <v>0.0</v>
      </c>
      <c r="K12" s="29">
        <v>3.0</v>
      </c>
      <c r="L12" s="29" t="s">
        <v>482</v>
      </c>
      <c r="M12" s="41" t="str">
        <f>IFNA(VLOOKUP(L12,'Faculty Details'!$B:$H,4,0),"")</f>
        <v>Mr.SYED ALTHAF S</v>
      </c>
      <c r="N12" s="30" t="str">
        <f>IFNA(VLOOKUP(L12,'Faculty Details'!$B:$H,7,0),"")</f>
        <v>syedalthaf@bitsathy.ac.in</v>
      </c>
    </row>
    <row r="13" ht="34.5" customHeight="1">
      <c r="A13" s="29">
        <v>12.0</v>
      </c>
      <c r="B13" s="29" t="s">
        <v>83</v>
      </c>
      <c r="C13" s="29" t="s">
        <v>1612</v>
      </c>
      <c r="D13" s="29" t="s">
        <v>1623</v>
      </c>
      <c r="E13" s="78" t="s">
        <v>1698</v>
      </c>
      <c r="F13" s="79" t="s">
        <v>1699</v>
      </c>
      <c r="G13" s="29" t="s">
        <v>1576</v>
      </c>
      <c r="H13" s="29">
        <v>3.0</v>
      </c>
      <c r="I13" s="29">
        <v>0.0</v>
      </c>
      <c r="J13" s="29">
        <v>0.0</v>
      </c>
      <c r="K13" s="29">
        <v>3.0</v>
      </c>
      <c r="L13" s="29" t="s">
        <v>475</v>
      </c>
      <c r="M13" s="41" t="str">
        <f>IFNA(VLOOKUP(L13,'Faculty Details'!$B:$H,4,0),"")</f>
        <v>Ms.CAROLINE VINNETIA S</v>
      </c>
      <c r="N13" s="30" t="str">
        <f>IFNA(VLOOKUP(L13,'Faculty Details'!$B:$H,7,0),"")</f>
        <v>carolinevinnetias@bitsathy.ac.in</v>
      </c>
    </row>
    <row r="14" ht="34.5" customHeight="1">
      <c r="A14" s="29">
        <v>13.0</v>
      </c>
      <c r="B14" s="29" t="s">
        <v>83</v>
      </c>
      <c r="C14" s="29" t="s">
        <v>1612</v>
      </c>
      <c r="D14" s="29" t="s">
        <v>1628</v>
      </c>
      <c r="E14" s="29" t="s">
        <v>1700</v>
      </c>
      <c r="F14" s="26" t="s">
        <v>1630</v>
      </c>
      <c r="G14" s="29" t="s">
        <v>1588</v>
      </c>
      <c r="H14" s="29">
        <v>0.0</v>
      </c>
      <c r="I14" s="29">
        <v>0.0</v>
      </c>
      <c r="J14" s="29">
        <v>2.0</v>
      </c>
      <c r="K14" s="29">
        <v>1.0</v>
      </c>
      <c r="L14" s="29"/>
      <c r="M14" s="41" t="str">
        <f>IFNA(VLOOKUP(L14,'Faculty Details'!$B:$H,4,0),"")</f>
        <v/>
      </c>
      <c r="N14" s="30" t="str">
        <f>IFNA(VLOOKUP(L14,'Faculty Details'!$B:$H,7,0),"")</f>
        <v/>
      </c>
    </row>
    <row r="15" ht="34.5" customHeight="1">
      <c r="A15" s="29">
        <v>14.0</v>
      </c>
      <c r="B15" s="29" t="s">
        <v>83</v>
      </c>
      <c r="C15" s="29" t="s">
        <v>1631</v>
      </c>
      <c r="D15" s="29" t="s">
        <v>1632</v>
      </c>
      <c r="E15" s="29" t="s">
        <v>1701</v>
      </c>
      <c r="F15" s="26" t="s">
        <v>1634</v>
      </c>
      <c r="G15" s="29" t="s">
        <v>1588</v>
      </c>
      <c r="H15" s="29">
        <v>0.0</v>
      </c>
      <c r="I15" s="29">
        <v>0.0</v>
      </c>
      <c r="J15" s="29">
        <v>18.0</v>
      </c>
      <c r="K15" s="29">
        <v>9.0</v>
      </c>
      <c r="L15" s="29"/>
      <c r="M15" s="41" t="str">
        <f>IFNA(VLOOKUP(L15,'Faculty Details'!$B:$H,4,0),"")</f>
        <v/>
      </c>
      <c r="N15" s="30" t="str">
        <f>IFNA(VLOOKUP(L15,'Faculty Details'!$B:$H,7,0),"")</f>
        <v/>
      </c>
    </row>
  </sheetData>
  <conditionalFormatting sqref="L2:L3 L5:L15">
    <cfRule type="containsBlanks" dxfId="1" priority="1">
      <formula>LEN(TRIM(L2))=0</formula>
    </cfRule>
  </conditionalFormatting>
  <dataValidations>
    <dataValidation type="list" allowBlank="1" showErrorMessage="1" sqref="C2:C15">
      <formula1>"S2,S4,S6,S8"</formula1>
    </dataValidation>
    <dataValidation type="list" allowBlank="1" showErrorMessage="1" sqref="D14:D15">
      <formula1>"CORE,ELECTIVE 2,OPEN ELECTIVE,ELECTIVE 6,ELECTIVE 7,ELECTIVE 8,ELECTIVE 9,HONOURS,MINOR,LAB,PROJECT,MINI PROJECT"</formula1>
    </dataValidation>
    <dataValidation type="list" allowBlank="1" showErrorMessage="1" sqref="G2:G15">
      <formula1>"THEORY,THEORY WITH LAB,LAB"</formula1>
    </dataValidation>
    <dataValidation type="list" allowBlank="1" showErrorMessage="1" sqref="D2:D13">
      <formula1>"CORE,ELECTIVE 1,OPEN ELECTIVE,ELECTIVE 3,ELECTIVE 4,ELECTIVE 5,ADD COURSE,HONOURS,MINOR"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9.5"/>
    <col customWidth="1" min="3" max="3" width="8.0"/>
    <col customWidth="1" min="4" max="4" width="13.88"/>
    <col customWidth="1" min="5" max="5" width="9.75"/>
    <col customWidth="1" min="6" max="6" width="30.5"/>
    <col customWidth="1" min="7" max="7" width="15.88"/>
    <col customWidth="1" min="8" max="9" width="5.0"/>
    <col customWidth="1" min="10" max="10" width="5.5"/>
    <col customWidth="1" min="11" max="11" width="5.0"/>
    <col customWidth="1" min="13" max="13" width="22.5"/>
    <col customWidth="1" min="14" max="14" width="25.0"/>
  </cols>
  <sheetData>
    <row r="1">
      <c r="A1" s="38" t="s">
        <v>1635</v>
      </c>
      <c r="B1" s="23" t="s">
        <v>1560</v>
      </c>
      <c r="C1" s="23" t="s">
        <v>1561</v>
      </c>
      <c r="D1" s="23" t="s">
        <v>1562</v>
      </c>
      <c r="E1" s="23" t="s">
        <v>1563</v>
      </c>
      <c r="F1" s="23" t="s">
        <v>1564</v>
      </c>
      <c r="G1" s="23" t="s">
        <v>1565</v>
      </c>
      <c r="H1" s="23" t="s">
        <v>1566</v>
      </c>
      <c r="I1" s="23" t="s">
        <v>1567</v>
      </c>
      <c r="J1" s="23" t="s">
        <v>1568</v>
      </c>
      <c r="K1" s="23" t="s">
        <v>1569</v>
      </c>
      <c r="L1" s="23" t="s">
        <v>1570</v>
      </c>
      <c r="M1" s="62" t="s">
        <v>257</v>
      </c>
      <c r="N1" s="23" t="s">
        <v>1571</v>
      </c>
    </row>
    <row r="2" ht="30.75" customHeight="1">
      <c r="A2" s="29">
        <f t="array" ref="A2:A21">SEQUENCE(COUNTA(B2:B21),1)</f>
        <v>1</v>
      </c>
      <c r="B2" s="29" t="s">
        <v>24</v>
      </c>
      <c r="C2" s="29" t="s">
        <v>1596</v>
      </c>
      <c r="D2" s="29" t="s">
        <v>1573</v>
      </c>
      <c r="E2" s="29" t="s">
        <v>1702</v>
      </c>
      <c r="F2" s="26" t="s">
        <v>1651</v>
      </c>
      <c r="G2" s="29" t="s">
        <v>1579</v>
      </c>
      <c r="H2" s="29">
        <v>3.0</v>
      </c>
      <c r="I2" s="29">
        <v>0.0</v>
      </c>
      <c r="J2" s="29">
        <v>2.0</v>
      </c>
      <c r="K2" s="29">
        <v>4.0</v>
      </c>
      <c r="L2" s="29" t="s">
        <v>562</v>
      </c>
      <c r="M2" s="41" t="str">
        <f>IFNA(VLOOKUP(L2,'Faculty Details'!$B:$H,4,0),"")</f>
        <v>Mrs.SARANYA N</v>
      </c>
      <c r="N2" s="30" t="str">
        <f>IFNA(VLOOKUP(L2,'Faculty Details'!$B:$H,7,0),"")</f>
        <v>saranyanj@bitsathy.ac.in</v>
      </c>
    </row>
    <row r="3" ht="30.75" customHeight="1">
      <c r="A3" s="29">
        <v>2.0</v>
      </c>
      <c r="B3" s="29" t="s">
        <v>24</v>
      </c>
      <c r="C3" s="29" t="s">
        <v>1596</v>
      </c>
      <c r="D3" s="29" t="s">
        <v>1573</v>
      </c>
      <c r="E3" s="29" t="s">
        <v>1703</v>
      </c>
      <c r="F3" s="26" t="s">
        <v>1704</v>
      </c>
      <c r="G3" s="29" t="s">
        <v>1579</v>
      </c>
      <c r="H3" s="29">
        <v>3.0</v>
      </c>
      <c r="I3" s="29">
        <v>0.0</v>
      </c>
      <c r="J3" s="29">
        <v>2.0</v>
      </c>
      <c r="K3" s="29">
        <v>4.0</v>
      </c>
      <c r="L3" s="29" t="s">
        <v>444</v>
      </c>
      <c r="M3" s="41" t="str">
        <f>IFNA(VLOOKUP(L3,'Faculty Details'!$B:$H,4,0),"")</f>
        <v>Ms.NISHANTHINI S</v>
      </c>
      <c r="N3" s="30" t="str">
        <f>IFNA(VLOOKUP(L3,'Faculty Details'!$B:$H,7,0),"")</f>
        <v>nishanthinis@bitsathy.ac.in</v>
      </c>
    </row>
    <row r="4" ht="30.75" customHeight="1">
      <c r="A4" s="29">
        <v>3.0</v>
      </c>
      <c r="B4" s="29" t="s">
        <v>24</v>
      </c>
      <c r="C4" s="29" t="s">
        <v>1596</v>
      </c>
      <c r="D4" s="29" t="s">
        <v>1573</v>
      </c>
      <c r="E4" s="29" t="s">
        <v>1705</v>
      </c>
      <c r="F4" s="26" t="s">
        <v>1706</v>
      </c>
      <c r="G4" s="29" t="s">
        <v>1576</v>
      </c>
      <c r="H4" s="29">
        <v>3.0</v>
      </c>
      <c r="I4" s="29">
        <v>0.0</v>
      </c>
      <c r="J4" s="29">
        <v>2.0</v>
      </c>
      <c r="K4" s="29">
        <v>4.0</v>
      </c>
      <c r="L4" s="29" t="s">
        <v>552</v>
      </c>
      <c r="M4" s="41" t="str">
        <f>IFNA(VLOOKUP(L4,'Faculty Details'!$B:$H,4,0),"")</f>
        <v>Mr.CHANDRU K S</v>
      </c>
      <c r="N4" s="30" t="str">
        <f>IFNA(VLOOKUP(L4,'Faculty Details'!$B:$H,7,0),"")</f>
        <v>chandruks@bitsathy.ac.in</v>
      </c>
    </row>
    <row r="5" ht="30.75" customHeight="1">
      <c r="A5" s="29">
        <v>4.0</v>
      </c>
      <c r="B5" s="29" t="s">
        <v>24</v>
      </c>
      <c r="C5" s="29" t="s">
        <v>1596</v>
      </c>
      <c r="D5" s="29" t="s">
        <v>1573</v>
      </c>
      <c r="E5" s="29" t="s">
        <v>1705</v>
      </c>
      <c r="F5" s="26" t="s">
        <v>1706</v>
      </c>
      <c r="G5" s="29" t="s">
        <v>1588</v>
      </c>
      <c r="H5" s="29">
        <v>3.0</v>
      </c>
      <c r="I5" s="29">
        <v>0.0</v>
      </c>
      <c r="J5" s="29">
        <v>2.0</v>
      </c>
      <c r="K5" s="29">
        <v>4.0</v>
      </c>
      <c r="L5" s="29" t="s">
        <v>552</v>
      </c>
      <c r="M5" s="41" t="str">
        <f>IFNA(VLOOKUP(L5,'Faculty Details'!$B:$H,4,0),"")</f>
        <v>Mr.CHANDRU K S</v>
      </c>
      <c r="N5" s="30" t="str">
        <f>IFNA(VLOOKUP(L5,'Faculty Details'!$B:$H,7,0),"")</f>
        <v>chandruks@bitsathy.ac.in</v>
      </c>
    </row>
    <row r="6" ht="30.75" customHeight="1">
      <c r="A6" s="29">
        <v>5.0</v>
      </c>
      <c r="B6" s="29" t="s">
        <v>24</v>
      </c>
      <c r="C6" s="29" t="s">
        <v>1596</v>
      </c>
      <c r="D6" s="29" t="s">
        <v>1573</v>
      </c>
      <c r="E6" s="29" t="s">
        <v>1707</v>
      </c>
      <c r="F6" s="26" t="s">
        <v>1708</v>
      </c>
      <c r="G6" s="29" t="s">
        <v>1576</v>
      </c>
      <c r="H6" s="29">
        <v>3.0</v>
      </c>
      <c r="I6" s="29">
        <v>0.0</v>
      </c>
      <c r="J6" s="29">
        <v>0.0</v>
      </c>
      <c r="K6" s="29">
        <v>3.0</v>
      </c>
      <c r="L6" s="1" t="s">
        <v>732</v>
      </c>
      <c r="M6" s="41" t="str">
        <f>IFNA(VLOOKUP(L6,'Faculty Details'!$B:$H,4,0),"")</f>
        <v>Mr.STEEPHAN AMALRAJ J</v>
      </c>
      <c r="N6" s="30" t="str">
        <f>IFNA(VLOOKUP(L6,'Faculty Details'!$B:$H,7,0),"")</f>
        <v>steephanamalrajj@bitsathy.ac.in</v>
      </c>
    </row>
    <row r="7" ht="30.75" customHeight="1">
      <c r="A7" s="29">
        <v>6.0</v>
      </c>
      <c r="B7" s="29" t="s">
        <v>24</v>
      </c>
      <c r="C7" s="29" t="s">
        <v>1596</v>
      </c>
      <c r="D7" s="29" t="s">
        <v>1573</v>
      </c>
      <c r="E7" s="29" t="s">
        <v>1709</v>
      </c>
      <c r="F7" s="26" t="s">
        <v>1710</v>
      </c>
      <c r="G7" s="29" t="s">
        <v>1579</v>
      </c>
      <c r="H7" s="29">
        <v>2.0</v>
      </c>
      <c r="I7" s="29">
        <v>0.0</v>
      </c>
      <c r="J7" s="29">
        <v>2.0</v>
      </c>
      <c r="K7" s="29">
        <v>3.0</v>
      </c>
      <c r="L7" s="29" t="s">
        <v>1311</v>
      </c>
      <c r="M7" s="41" t="str">
        <f>IFNA(VLOOKUP(L7,'Faculty Details'!$B:$H,4,0),"")</f>
        <v>Dr.VINOTHINI V R</v>
      </c>
      <c r="N7" s="30" t="str">
        <f>IFNA(VLOOKUP(L7,'Faculty Details'!$B:$H,7,0),"")</f>
        <v>vinothinivr@bitsathy.ac.in</v>
      </c>
    </row>
    <row r="8" ht="30.75" customHeight="1">
      <c r="A8" s="29">
        <v>7.0</v>
      </c>
      <c r="B8" s="29" t="s">
        <v>24</v>
      </c>
      <c r="C8" s="29" t="s">
        <v>1596</v>
      </c>
      <c r="D8" s="29" t="s">
        <v>1573</v>
      </c>
      <c r="E8" s="29" t="s">
        <v>1711</v>
      </c>
      <c r="F8" s="26" t="s">
        <v>1712</v>
      </c>
      <c r="G8" s="29" t="s">
        <v>1576</v>
      </c>
      <c r="H8" s="29">
        <v>2.0</v>
      </c>
      <c r="I8" s="29">
        <v>0.0</v>
      </c>
      <c r="J8" s="29">
        <v>0.0</v>
      </c>
      <c r="K8" s="29">
        <v>2.0</v>
      </c>
      <c r="L8" s="81" t="s">
        <v>1524</v>
      </c>
      <c r="M8" s="41" t="str">
        <f>IFNA(VLOOKUP(L8,'Faculty Details'!$B:$H,4,0),"")</f>
        <v>Dr.VIDHYA S</v>
      </c>
      <c r="N8" s="30" t="str">
        <f>IFNA(VLOOKUP(L8,'Faculty Details'!$B:$H,7,0),"")</f>
        <v>vidhyas@bitsathy.ac.in</v>
      </c>
    </row>
    <row r="9" ht="30.75" customHeight="1">
      <c r="A9" s="29">
        <v>8.0</v>
      </c>
      <c r="B9" s="29" t="s">
        <v>24</v>
      </c>
      <c r="C9" s="29" t="s">
        <v>1596</v>
      </c>
      <c r="D9" s="29" t="s">
        <v>1607</v>
      </c>
      <c r="E9" s="78" t="s">
        <v>25</v>
      </c>
      <c r="F9" s="82" t="s">
        <v>26</v>
      </c>
      <c r="G9" s="29" t="s">
        <v>1576</v>
      </c>
      <c r="H9" s="29">
        <v>3.0</v>
      </c>
      <c r="I9" s="29">
        <v>0.0</v>
      </c>
      <c r="J9" s="29">
        <v>0.0</v>
      </c>
      <c r="K9" s="29">
        <v>3.0</v>
      </c>
      <c r="L9" s="29" t="s">
        <v>571</v>
      </c>
      <c r="M9" s="41" t="str">
        <f>IFNA(VLOOKUP(L9,'Faculty Details'!$B:$H,4,0),"")</f>
        <v>Ms.VAISHNAVI N</v>
      </c>
      <c r="N9" s="30" t="str">
        <f>IFNA(VLOOKUP(L9,'Faculty Details'!$B:$H,7,0),"")</f>
        <v>vaishnavin@bitsathy.ac.in</v>
      </c>
    </row>
    <row r="10" ht="30.75" customHeight="1">
      <c r="A10" s="29">
        <v>9.0</v>
      </c>
      <c r="B10" s="29" t="s">
        <v>24</v>
      </c>
      <c r="C10" s="29" t="s">
        <v>1596</v>
      </c>
      <c r="D10" s="29" t="s">
        <v>1573</v>
      </c>
      <c r="E10" s="29" t="s">
        <v>1608</v>
      </c>
      <c r="F10" s="26" t="s">
        <v>1609</v>
      </c>
      <c r="G10" s="29" t="s">
        <v>1588</v>
      </c>
      <c r="H10" s="29">
        <v>2.0</v>
      </c>
      <c r="I10" s="29">
        <v>0.0</v>
      </c>
      <c r="J10" s="29">
        <v>0.0</v>
      </c>
      <c r="K10" s="29">
        <v>2.0</v>
      </c>
      <c r="L10" s="29" t="s">
        <v>644</v>
      </c>
      <c r="M10" s="41" t="str">
        <f>IFNA(VLOOKUP(L10,'Faculty Details'!$B:$H,4,0),"")</f>
        <v>Dr.MANIGANDAN S</v>
      </c>
      <c r="N10" s="30" t="str">
        <f>IFNA(VLOOKUP(L10,'Faculty Details'!$B:$H,7,0),"")</f>
        <v>manigandan@bitsathy.ac.in</v>
      </c>
    </row>
    <row r="11" ht="30.75" customHeight="1">
      <c r="A11" s="29">
        <v>10.0</v>
      </c>
      <c r="B11" s="29" t="s">
        <v>24</v>
      </c>
      <c r="C11" s="29" t="s">
        <v>1612</v>
      </c>
      <c r="D11" s="29" t="s">
        <v>1573</v>
      </c>
      <c r="E11" s="29" t="s">
        <v>1713</v>
      </c>
      <c r="F11" s="26" t="s">
        <v>1714</v>
      </c>
      <c r="G11" s="29" t="s">
        <v>1579</v>
      </c>
      <c r="H11" s="29">
        <v>3.0</v>
      </c>
      <c r="I11" s="29">
        <v>0.0</v>
      </c>
      <c r="J11" s="29">
        <v>2.0</v>
      </c>
      <c r="K11" s="29">
        <v>4.0</v>
      </c>
      <c r="L11" s="29" t="s">
        <v>571</v>
      </c>
      <c r="M11" s="41" t="str">
        <f>IFNA(VLOOKUP(L11,'Faculty Details'!$B:$H,4,0),"")</f>
        <v>Ms.VAISHNAVI N</v>
      </c>
      <c r="N11" s="30" t="str">
        <f>IFNA(VLOOKUP(L11,'Faculty Details'!$B:$H,7,0),"")</f>
        <v>vaishnavin@bitsathy.ac.in</v>
      </c>
    </row>
    <row r="12" ht="30.75" customHeight="1">
      <c r="A12" s="29">
        <v>11.0</v>
      </c>
      <c r="B12" s="29" t="s">
        <v>24</v>
      </c>
      <c r="C12" s="29" t="s">
        <v>1612</v>
      </c>
      <c r="D12" s="29" t="s">
        <v>1573</v>
      </c>
      <c r="E12" s="29" t="s">
        <v>1715</v>
      </c>
      <c r="F12" s="26" t="s">
        <v>1716</v>
      </c>
      <c r="G12" s="29" t="s">
        <v>1576</v>
      </c>
      <c r="H12" s="29">
        <v>3.0</v>
      </c>
      <c r="I12" s="29">
        <v>0.0</v>
      </c>
      <c r="J12" s="29">
        <v>0.0</v>
      </c>
      <c r="K12" s="29">
        <v>3.0</v>
      </c>
      <c r="L12" s="29" t="s">
        <v>562</v>
      </c>
      <c r="M12" s="41" t="str">
        <f>IFNA(VLOOKUP(L12,'Faculty Details'!$B:$H,4,0),"")</f>
        <v>Mrs.SARANYA N</v>
      </c>
      <c r="N12" s="30" t="str">
        <f>IFNA(VLOOKUP(L12,'Faculty Details'!$B:$H,7,0),"")</f>
        <v>saranyanj@bitsathy.ac.in</v>
      </c>
    </row>
    <row r="13" ht="30.75" customHeight="1">
      <c r="A13" s="29">
        <v>12.0</v>
      </c>
      <c r="B13" s="29" t="s">
        <v>24</v>
      </c>
      <c r="C13" s="29" t="s">
        <v>1612</v>
      </c>
      <c r="D13" s="29" t="s">
        <v>1573</v>
      </c>
      <c r="E13" s="29" t="s">
        <v>1717</v>
      </c>
      <c r="F13" s="26" t="s">
        <v>1718</v>
      </c>
      <c r="G13" s="29" t="s">
        <v>1579</v>
      </c>
      <c r="H13" s="29">
        <v>3.0</v>
      </c>
      <c r="I13" s="29">
        <v>0.0</v>
      </c>
      <c r="J13" s="29">
        <v>2.0</v>
      </c>
      <c r="K13" s="29">
        <v>4.0</v>
      </c>
      <c r="L13" s="83" t="s">
        <v>411</v>
      </c>
      <c r="M13" s="41" t="str">
        <f>IFNA(VLOOKUP(L13,'Faculty Details'!$B:$H,4,0),"")</f>
        <v>Dr.PADMASHREE A</v>
      </c>
      <c r="N13" s="30" t="str">
        <f>IFNA(VLOOKUP(L13,'Faculty Details'!$B:$H,7,0),"")</f>
        <v>padmashreea@bitsathy.ac.in</v>
      </c>
    </row>
    <row r="14" ht="30.75" customHeight="1">
      <c r="A14" s="29">
        <v>13.0</v>
      </c>
      <c r="B14" s="29" t="s">
        <v>24</v>
      </c>
      <c r="C14" s="29" t="s">
        <v>1612</v>
      </c>
      <c r="D14" s="29" t="s">
        <v>1573</v>
      </c>
      <c r="E14" s="29" t="s">
        <v>1719</v>
      </c>
      <c r="F14" s="26" t="s">
        <v>1720</v>
      </c>
      <c r="G14" s="29" t="s">
        <v>1576</v>
      </c>
      <c r="H14" s="29">
        <v>2.0</v>
      </c>
      <c r="I14" s="29">
        <v>0.0</v>
      </c>
      <c r="J14" s="29">
        <v>2.0</v>
      </c>
      <c r="K14" s="29">
        <v>3.0</v>
      </c>
      <c r="L14" s="29" t="s">
        <v>559</v>
      </c>
      <c r="M14" s="41" t="str">
        <f>IFNA(VLOOKUP(L14,'Faculty Details'!$B:$H,4,0),"")</f>
        <v>Mrs.MADHUMITHA A</v>
      </c>
      <c r="N14" s="30" t="str">
        <f>IFNA(VLOOKUP(L14,'Faculty Details'!$B:$H,7,0),"")</f>
        <v>madhumithaa@bitsathy.ac.in</v>
      </c>
    </row>
    <row r="15" ht="30.75" customHeight="1">
      <c r="A15" s="29">
        <v>14.0</v>
      </c>
      <c r="B15" s="29" t="s">
        <v>24</v>
      </c>
      <c r="C15" s="29" t="s">
        <v>1612</v>
      </c>
      <c r="D15" s="29" t="s">
        <v>1573</v>
      </c>
      <c r="E15" s="29" t="s">
        <v>1719</v>
      </c>
      <c r="F15" s="26" t="s">
        <v>1720</v>
      </c>
      <c r="G15" s="29" t="s">
        <v>1588</v>
      </c>
      <c r="H15" s="29">
        <v>2.0</v>
      </c>
      <c r="I15" s="29">
        <v>0.0</v>
      </c>
      <c r="J15" s="29">
        <v>2.0</v>
      </c>
      <c r="K15" s="29">
        <v>3.0</v>
      </c>
      <c r="L15" s="29" t="s">
        <v>559</v>
      </c>
      <c r="M15" s="41" t="str">
        <f>IFNA(VLOOKUP(L15,'Faculty Details'!$B:$H,4,0),"")</f>
        <v>Mrs.MADHUMITHA A</v>
      </c>
      <c r="N15" s="30" t="str">
        <f>IFNA(VLOOKUP(L15,'Faculty Details'!$B:$H,7,0),"")</f>
        <v>madhumithaa@bitsathy.ac.in</v>
      </c>
    </row>
    <row r="16" ht="30.75" customHeight="1">
      <c r="A16" s="29">
        <v>15.0</v>
      </c>
      <c r="B16" s="29" t="s">
        <v>24</v>
      </c>
      <c r="C16" s="29" t="s">
        <v>1612</v>
      </c>
      <c r="D16" s="29" t="s">
        <v>1619</v>
      </c>
      <c r="E16" s="29" t="s">
        <v>137</v>
      </c>
      <c r="F16" s="26" t="s">
        <v>138</v>
      </c>
      <c r="G16" s="29" t="s">
        <v>1576</v>
      </c>
      <c r="H16" s="29">
        <v>3.0</v>
      </c>
      <c r="I16" s="29">
        <v>0.0</v>
      </c>
      <c r="J16" s="29">
        <v>0.0</v>
      </c>
      <c r="K16" s="29">
        <v>3.0</v>
      </c>
      <c r="L16" s="29" t="s">
        <v>552</v>
      </c>
      <c r="M16" s="41" t="str">
        <f>IFNA(VLOOKUP(L16,'Faculty Details'!$B:$H,4,0),"")</f>
        <v>Mr.CHANDRU K S</v>
      </c>
      <c r="N16" s="30" t="str">
        <f>IFNA(VLOOKUP(L16,'Faculty Details'!$B:$H,7,0),"")</f>
        <v>chandruks@bitsathy.ac.in</v>
      </c>
    </row>
    <row r="17" ht="30.75" customHeight="1">
      <c r="A17" s="29">
        <v>16.0</v>
      </c>
      <c r="B17" s="29" t="s">
        <v>24</v>
      </c>
      <c r="C17" s="29" t="s">
        <v>1612</v>
      </c>
      <c r="D17" s="29" t="s">
        <v>1620</v>
      </c>
      <c r="E17" s="29" t="s">
        <v>139</v>
      </c>
      <c r="F17" s="26" t="s">
        <v>140</v>
      </c>
      <c r="G17" s="29" t="s">
        <v>1576</v>
      </c>
      <c r="H17" s="29">
        <v>3.0</v>
      </c>
      <c r="I17" s="29">
        <v>0.0</v>
      </c>
      <c r="J17" s="29">
        <v>0.0</v>
      </c>
      <c r="K17" s="29">
        <v>3.0</v>
      </c>
      <c r="L17" s="29" t="s">
        <v>325</v>
      </c>
      <c r="M17" s="41" t="str">
        <f>IFNA(VLOOKUP(L17,'Faculty Details'!$B:$H,4,0),"")</f>
        <v>Mrs.ASHFORN HERMINA J M</v>
      </c>
      <c r="N17" s="30" t="str">
        <f>IFNA(VLOOKUP(L17,'Faculty Details'!$B:$H,7,0),"")</f>
        <v>ashfornherminajm@bitsathy.ac.in</v>
      </c>
    </row>
    <row r="18" ht="30.75" customHeight="1">
      <c r="A18" s="29">
        <v>17.0</v>
      </c>
      <c r="B18" s="29" t="s">
        <v>24</v>
      </c>
      <c r="C18" s="29" t="s">
        <v>1612</v>
      </c>
      <c r="D18" s="29" t="s">
        <v>1621</v>
      </c>
      <c r="E18" s="29" t="s">
        <v>141</v>
      </c>
      <c r="F18" s="26" t="s">
        <v>142</v>
      </c>
      <c r="G18" s="29" t="s">
        <v>1576</v>
      </c>
      <c r="H18" s="29">
        <v>3.0</v>
      </c>
      <c r="I18" s="29">
        <v>0.0</v>
      </c>
      <c r="J18" s="29">
        <v>0.0</v>
      </c>
      <c r="K18" s="29">
        <v>3.0</v>
      </c>
      <c r="L18" s="29" t="s">
        <v>1521</v>
      </c>
      <c r="M18" s="41" t="str">
        <f>IFNA(VLOOKUP(L18,'Faculty Details'!$B:$H,4,0),"")</f>
        <v>Mrs.AISHWARIYA M R</v>
      </c>
      <c r="N18" s="30" t="str">
        <f>IFNA(VLOOKUP(L18,'Faculty Details'!$B:$H,7,0),"")</f>
        <v>aishwariya@bitsathy.ac.in</v>
      </c>
    </row>
    <row r="19" ht="30.75" customHeight="1">
      <c r="A19" s="29">
        <v>18.0</v>
      </c>
      <c r="B19" s="29" t="s">
        <v>24</v>
      </c>
      <c r="C19" s="29" t="s">
        <v>1612</v>
      </c>
      <c r="D19" s="29" t="s">
        <v>1622</v>
      </c>
      <c r="E19" s="78" t="s">
        <v>135</v>
      </c>
      <c r="F19" s="82" t="s">
        <v>136</v>
      </c>
      <c r="G19" s="29" t="s">
        <v>1576</v>
      </c>
      <c r="H19" s="29">
        <v>3.0</v>
      </c>
      <c r="I19" s="29">
        <v>0.0</v>
      </c>
      <c r="J19" s="29">
        <v>0.0</v>
      </c>
      <c r="K19" s="29">
        <v>3.0</v>
      </c>
      <c r="L19" s="29" t="s">
        <v>450</v>
      </c>
      <c r="M19" s="41" t="str">
        <f>IFNA(VLOOKUP(L19,'Faculty Details'!$B:$H,4,0),"")</f>
        <v>Mrs.LOKESWARI P</v>
      </c>
      <c r="N19" s="30" t="str">
        <f>IFNA(VLOOKUP(L19,'Faculty Details'!$B:$H,7,0),"")</f>
        <v>lokeswari@bitsathy.ac.in</v>
      </c>
    </row>
    <row r="20" ht="30.75" customHeight="1">
      <c r="A20" s="29">
        <v>19.0</v>
      </c>
      <c r="B20" s="29" t="s">
        <v>24</v>
      </c>
      <c r="C20" s="29" t="s">
        <v>1612</v>
      </c>
      <c r="D20" s="29" t="s">
        <v>1628</v>
      </c>
      <c r="E20" s="29" t="s">
        <v>1721</v>
      </c>
      <c r="F20" s="26" t="s">
        <v>1630</v>
      </c>
      <c r="G20" s="29" t="s">
        <v>1588</v>
      </c>
      <c r="H20" s="29">
        <v>0.0</v>
      </c>
      <c r="I20" s="29">
        <v>0.0</v>
      </c>
      <c r="J20" s="29">
        <v>2.0</v>
      </c>
      <c r="K20" s="29">
        <v>1.0</v>
      </c>
      <c r="L20" s="29"/>
      <c r="M20" s="41" t="str">
        <f>IFNA(VLOOKUP(L20,'Faculty Details'!$B:$H,4,0),"")</f>
        <v/>
      </c>
      <c r="N20" s="30" t="str">
        <f>IFNA(VLOOKUP(L20,'Faculty Details'!$B:$H,7,0),"")</f>
        <v/>
      </c>
    </row>
    <row r="21" ht="30.75" customHeight="1">
      <c r="A21" s="29">
        <v>20.0</v>
      </c>
      <c r="B21" s="29" t="s">
        <v>24</v>
      </c>
      <c r="C21" s="29" t="s">
        <v>1631</v>
      </c>
      <c r="D21" s="29" t="s">
        <v>1632</v>
      </c>
      <c r="E21" s="29" t="s">
        <v>1722</v>
      </c>
      <c r="F21" s="26" t="s">
        <v>1723</v>
      </c>
      <c r="G21" s="29" t="s">
        <v>1588</v>
      </c>
      <c r="H21" s="29">
        <v>0.0</v>
      </c>
      <c r="I21" s="29">
        <v>0.0</v>
      </c>
      <c r="J21" s="29">
        <v>18.0</v>
      </c>
      <c r="K21" s="29">
        <v>9.0</v>
      </c>
      <c r="L21" s="29"/>
      <c r="M21" s="41" t="str">
        <f>IFNA(VLOOKUP(L21,'Faculty Details'!$B:$H,4,0),"")</f>
        <v/>
      </c>
      <c r="N21" s="30" t="str">
        <f>IFNA(VLOOKUP(L21,'Faculty Details'!$B:$H,7,0),"")</f>
        <v/>
      </c>
    </row>
  </sheetData>
  <conditionalFormatting sqref="L2:L5 L7 L9:L21">
    <cfRule type="containsBlanks" dxfId="1" priority="1">
      <formula>LEN(TRIM(L2))=0</formula>
    </cfRule>
  </conditionalFormatting>
  <dataValidations>
    <dataValidation type="list" allowBlank="1" showErrorMessage="1" sqref="D2:D8">
      <formula1>"CORE,ELECTIVE 1,OPEN ELECTIVE,ELECTIVE 6,ELECTIVE 7,ELECTIVE 8,ELECTIVE 9,HONOURS,MINOR"</formula1>
    </dataValidation>
    <dataValidation type="list" allowBlank="1" showErrorMessage="1" sqref="C2:C21">
      <formula1>"S2,S4,S6,S8"</formula1>
    </dataValidation>
    <dataValidation type="list" allowBlank="1" showErrorMessage="1" sqref="G2:G21">
      <formula1>"THEORY,THEORY WITH LAB,LAB"</formula1>
    </dataValidation>
    <dataValidation type="list" allowBlank="1" showErrorMessage="1" sqref="D9:D21">
      <formula1>"CORE,ELECTIVE 1,OPEN ELECTIVE,ELECTIVE 3,ELECTIVE 4,ELECTIVE 5,ADD COURSE,HONOURS,MINOR,LAB,PROJECT,MINI PROJECT"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0.0"/>
    <col customWidth="1" min="3" max="3" width="8.0"/>
    <col customWidth="1" min="4" max="5" width="16.13"/>
    <col customWidth="1" min="6" max="6" width="30.13"/>
    <col customWidth="1" min="7" max="7" width="14.38"/>
    <col customWidth="1" min="8" max="9" width="5.0"/>
    <col customWidth="1" min="10" max="10" width="5.5"/>
    <col customWidth="1" min="11" max="11" width="5.0"/>
    <col customWidth="1" min="12" max="12" width="15.0"/>
    <col customWidth="1" min="13" max="13" width="28.0"/>
    <col customWidth="1" min="14" max="14" width="26.0"/>
  </cols>
  <sheetData>
    <row r="1">
      <c r="A1" s="38" t="s">
        <v>1724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8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9" t="s">
        <v>257</v>
      </c>
      <c r="N1" s="39" t="s">
        <v>1571</v>
      </c>
    </row>
    <row r="2" ht="37.5" customHeight="1">
      <c r="A2" s="25">
        <v>1.0</v>
      </c>
      <c r="B2" s="25" t="s">
        <v>18</v>
      </c>
      <c r="C2" s="25" t="s">
        <v>1572</v>
      </c>
      <c r="D2" s="25" t="s">
        <v>1573</v>
      </c>
      <c r="E2" s="25" t="s">
        <v>1574</v>
      </c>
      <c r="F2" s="26" t="s">
        <v>1575</v>
      </c>
      <c r="G2" s="25" t="s">
        <v>1576</v>
      </c>
      <c r="H2" s="25">
        <v>3.0</v>
      </c>
      <c r="I2" s="25">
        <v>1.0</v>
      </c>
      <c r="J2" s="25">
        <v>0.0</v>
      </c>
      <c r="K2" s="25">
        <v>4.0</v>
      </c>
      <c r="L2" s="84" t="s">
        <v>1302</v>
      </c>
      <c r="M2" s="40" t="str">
        <f>IFNA(VLOOKUP(L2,'Faculty Details'!$B:$H,4,0),"")</f>
        <v>Dr.INDIRANI C</v>
      </c>
      <c r="N2" s="40" t="str">
        <f>IFNA(VLOOKUP(L2,'Faculty Details'!$B:$H,7,0),"")</f>
        <v>indiranic@bitsathy.ac.in</v>
      </c>
    </row>
    <row r="3" ht="37.5" customHeight="1">
      <c r="A3" s="25">
        <v>2.0</v>
      </c>
      <c r="B3" s="25" t="s">
        <v>18</v>
      </c>
      <c r="C3" s="25" t="s">
        <v>1572</v>
      </c>
      <c r="D3" s="25" t="s">
        <v>1573</v>
      </c>
      <c r="E3" s="25" t="s">
        <v>1574</v>
      </c>
      <c r="F3" s="26" t="s">
        <v>1575</v>
      </c>
      <c r="G3" s="25" t="s">
        <v>1576</v>
      </c>
      <c r="H3" s="25">
        <v>3.0</v>
      </c>
      <c r="I3" s="25">
        <v>1.0</v>
      </c>
      <c r="J3" s="25">
        <v>0.0</v>
      </c>
      <c r="K3" s="25">
        <v>4.0</v>
      </c>
      <c r="L3" s="25" t="s">
        <v>1269</v>
      </c>
      <c r="M3" s="40" t="str">
        <f>IFNA(VLOOKUP(L3,'Faculty Details'!$B:$H,4,0),"")</f>
        <v>Mr.KARUPPUSAMY M</v>
      </c>
      <c r="N3" s="40" t="str">
        <f>IFNA(VLOOKUP(L3,'Faculty Details'!$B:$H,7,0),"")</f>
        <v>karuppusamy@bitsathy.ac.in</v>
      </c>
    </row>
    <row r="4" ht="37.5" customHeight="1">
      <c r="A4" s="25">
        <v>3.0</v>
      </c>
      <c r="B4" s="25" t="s">
        <v>18</v>
      </c>
      <c r="C4" s="25" t="s">
        <v>1572</v>
      </c>
      <c r="D4" s="25" t="s">
        <v>1573</v>
      </c>
      <c r="E4" s="25" t="s">
        <v>1574</v>
      </c>
      <c r="F4" s="26" t="s">
        <v>1575</v>
      </c>
      <c r="G4" s="25" t="s">
        <v>1576</v>
      </c>
      <c r="H4" s="25">
        <v>3.0</v>
      </c>
      <c r="I4" s="25">
        <v>1.0</v>
      </c>
      <c r="J4" s="25">
        <v>0.0</v>
      </c>
      <c r="K4" s="25">
        <v>4.0</v>
      </c>
      <c r="L4" s="25" t="s">
        <v>1272</v>
      </c>
      <c r="M4" s="40" t="str">
        <f>IFNA(VLOOKUP(L4,'Faculty Details'!$B:$H,4,0),"")</f>
        <v>Mrs.KARTHIKA M</v>
      </c>
      <c r="N4" s="40" t="str">
        <f>IFNA(VLOOKUP(L4,'Faculty Details'!$B:$H,7,0),"")</f>
        <v>karthikam@bitsathy.ac.in</v>
      </c>
    </row>
    <row r="5" ht="37.5" customHeight="1">
      <c r="A5" s="25">
        <v>4.0</v>
      </c>
      <c r="B5" s="25" t="s">
        <v>18</v>
      </c>
      <c r="C5" s="25" t="s">
        <v>1572</v>
      </c>
      <c r="D5" s="25" t="s">
        <v>1573</v>
      </c>
      <c r="E5" s="25" t="s">
        <v>1574</v>
      </c>
      <c r="F5" s="26" t="s">
        <v>1575</v>
      </c>
      <c r="G5" s="25" t="s">
        <v>1576</v>
      </c>
      <c r="H5" s="25">
        <v>3.0</v>
      </c>
      <c r="I5" s="25">
        <v>1.0</v>
      </c>
      <c r="J5" s="25">
        <v>0.0</v>
      </c>
      <c r="K5" s="25">
        <v>4.0</v>
      </c>
      <c r="L5" s="25" t="s">
        <v>1275</v>
      </c>
      <c r="M5" s="40" t="str">
        <f>IFNA(VLOOKUP(L5,'Faculty Details'!$B:$H,4,0),"")</f>
        <v>Mr.KALAISELVAN S</v>
      </c>
      <c r="N5" s="40" t="str">
        <f>IFNA(VLOOKUP(L5,'Faculty Details'!$B:$H,7,0),"")</f>
        <v>kalaiselvan@bitsathy.ac.in</v>
      </c>
    </row>
    <row r="6" ht="37.5" customHeight="1">
      <c r="A6" s="25">
        <v>5.0</v>
      </c>
      <c r="B6" s="25" t="s">
        <v>18</v>
      </c>
      <c r="C6" s="25" t="s">
        <v>1572</v>
      </c>
      <c r="D6" s="25" t="s">
        <v>1573</v>
      </c>
      <c r="E6" s="25" t="s">
        <v>1574</v>
      </c>
      <c r="F6" s="26" t="s">
        <v>1575</v>
      </c>
      <c r="G6" s="25" t="s">
        <v>1576</v>
      </c>
      <c r="H6" s="25">
        <v>3.0</v>
      </c>
      <c r="I6" s="25">
        <v>1.0</v>
      </c>
      <c r="J6" s="25">
        <v>0.0</v>
      </c>
      <c r="K6" s="25">
        <v>4.0</v>
      </c>
      <c r="L6" s="25" t="s">
        <v>1293</v>
      </c>
      <c r="M6" s="40" t="str">
        <f>IFNA(VLOOKUP(L6,'Faculty Details'!$B:$H,4,0),"")</f>
        <v>Dr.MALATHI M</v>
      </c>
      <c r="N6" s="40" t="str">
        <f>IFNA(VLOOKUP(L6,'Faculty Details'!$B:$H,7,0),"")</f>
        <v>malathim@bitsathy.ac.in</v>
      </c>
    </row>
    <row r="7" ht="37.5" customHeight="1">
      <c r="A7" s="25">
        <v>6.0</v>
      </c>
      <c r="B7" s="25" t="s">
        <v>18</v>
      </c>
      <c r="C7" s="25" t="s">
        <v>1572</v>
      </c>
      <c r="D7" s="25" t="s">
        <v>1573</v>
      </c>
      <c r="E7" s="25" t="s">
        <v>1574</v>
      </c>
      <c r="F7" s="26" t="s">
        <v>1575</v>
      </c>
      <c r="G7" s="25" t="s">
        <v>1576</v>
      </c>
      <c r="H7" s="25">
        <v>3.0</v>
      </c>
      <c r="I7" s="25">
        <v>1.0</v>
      </c>
      <c r="J7" s="25">
        <v>0.0</v>
      </c>
      <c r="K7" s="25">
        <v>4.0</v>
      </c>
      <c r="L7" s="25" t="s">
        <v>1290</v>
      </c>
      <c r="M7" s="40" t="str">
        <f>IFNA(VLOOKUP(L7,'Faculty Details'!$B:$H,4,0),"")</f>
        <v>Mr.SURESH R</v>
      </c>
      <c r="N7" s="40" t="str">
        <f>IFNA(VLOOKUP(L7,'Faculty Details'!$B:$H,7,0),"")</f>
        <v>sureshr@bitsathy.ac.in</v>
      </c>
    </row>
    <row r="8" ht="37.5" customHeight="1">
      <c r="A8" s="25">
        <v>7.0</v>
      </c>
      <c r="B8" s="25" t="s">
        <v>18</v>
      </c>
      <c r="C8" s="25" t="s">
        <v>1572</v>
      </c>
      <c r="D8" s="25" t="s">
        <v>1573</v>
      </c>
      <c r="E8" s="25" t="s">
        <v>1577</v>
      </c>
      <c r="F8" s="26" t="s">
        <v>1578</v>
      </c>
      <c r="G8" s="25" t="s">
        <v>1579</v>
      </c>
      <c r="H8" s="25">
        <v>2.0</v>
      </c>
      <c r="I8" s="25">
        <v>0.0</v>
      </c>
      <c r="J8" s="25">
        <v>2.0</v>
      </c>
      <c r="K8" s="25">
        <v>3.0</v>
      </c>
      <c r="L8" s="1" t="s">
        <v>1505</v>
      </c>
      <c r="M8" s="40" t="str">
        <f>IFNA(VLOOKUP(L8,'Faculty Details'!$B:$H,4,0),"")</f>
        <v>Dr.PONGALI SATHYA PRABU N</v>
      </c>
      <c r="N8" s="40" t="str">
        <f>IFNA(VLOOKUP(L8,'Faculty Details'!$B:$H,7,0),"")</f>
        <v>pongalispn@bitsathy.ac.in</v>
      </c>
    </row>
    <row r="9" ht="37.5" customHeight="1">
      <c r="A9" s="25">
        <v>8.0</v>
      </c>
      <c r="B9" s="25" t="s">
        <v>18</v>
      </c>
      <c r="C9" s="25" t="s">
        <v>1572</v>
      </c>
      <c r="D9" s="25" t="s">
        <v>1573</v>
      </c>
      <c r="E9" s="25" t="s">
        <v>1577</v>
      </c>
      <c r="F9" s="26" t="s">
        <v>1578</v>
      </c>
      <c r="G9" s="25" t="s">
        <v>1579</v>
      </c>
      <c r="H9" s="25">
        <v>2.0</v>
      </c>
      <c r="I9" s="25">
        <v>0.0</v>
      </c>
      <c r="J9" s="25">
        <v>2.0</v>
      </c>
      <c r="K9" s="25">
        <v>3.0</v>
      </c>
      <c r="L9" s="1" t="s">
        <v>1466</v>
      </c>
      <c r="M9" s="40" t="str">
        <f>IFNA(VLOOKUP(L9,'Faculty Details'!$B:$H,4,0),"")</f>
        <v>Dr.ASHOKAN S</v>
      </c>
      <c r="N9" s="40" t="str">
        <f>IFNA(VLOOKUP(L9,'Faculty Details'!$B:$H,7,0),"")</f>
        <v>ashokan@bitsathy.ac.in</v>
      </c>
    </row>
    <row r="10" ht="37.5" customHeight="1">
      <c r="A10" s="25">
        <v>9.0</v>
      </c>
      <c r="B10" s="25" t="s">
        <v>18</v>
      </c>
      <c r="C10" s="25" t="s">
        <v>1572</v>
      </c>
      <c r="D10" s="25" t="s">
        <v>1573</v>
      </c>
      <c r="E10" s="25" t="s">
        <v>1577</v>
      </c>
      <c r="F10" s="26" t="s">
        <v>1578</v>
      </c>
      <c r="G10" s="25" t="s">
        <v>1579</v>
      </c>
      <c r="H10" s="25">
        <v>2.0</v>
      </c>
      <c r="I10" s="25">
        <v>0.0</v>
      </c>
      <c r="J10" s="25">
        <v>2.0</v>
      </c>
      <c r="K10" s="25">
        <v>3.0</v>
      </c>
      <c r="L10" s="1" t="s">
        <v>1462</v>
      </c>
      <c r="M10" s="40" t="str">
        <f>IFNA(VLOOKUP(L10,'Faculty Details'!$B:$H,4,0),"")</f>
        <v>Dr.PARASURAMAN P</v>
      </c>
      <c r="N10" s="40" t="str">
        <f>IFNA(VLOOKUP(L10,'Faculty Details'!$B:$H,7,0),"")</f>
        <v>parasuraman@bitsathy.ac.in</v>
      </c>
    </row>
    <row r="11" ht="37.5" customHeight="1">
      <c r="A11" s="25">
        <v>10.0</v>
      </c>
      <c r="B11" s="25" t="s">
        <v>18</v>
      </c>
      <c r="C11" s="25" t="s">
        <v>1572</v>
      </c>
      <c r="D11" s="25" t="s">
        <v>1573</v>
      </c>
      <c r="E11" s="25" t="s">
        <v>1577</v>
      </c>
      <c r="F11" s="26" t="s">
        <v>1578</v>
      </c>
      <c r="G11" s="25" t="s">
        <v>1579</v>
      </c>
      <c r="H11" s="25">
        <v>2.0</v>
      </c>
      <c r="I11" s="25">
        <v>0.0</v>
      </c>
      <c r="J11" s="25">
        <v>2.0</v>
      </c>
      <c r="K11" s="25">
        <v>3.0</v>
      </c>
      <c r="L11" s="1" t="s">
        <v>1484</v>
      </c>
      <c r="M11" s="40" t="str">
        <f>IFNA(VLOOKUP(L11,'Faculty Details'!$B:$H,4,0),"")</f>
        <v>Dr.ANANDHA BABU G</v>
      </c>
      <c r="N11" s="40" t="str">
        <f>IFNA(VLOOKUP(L11,'Faculty Details'!$B:$H,7,0),"")</f>
        <v>anandhababug@bitsathy.ac.in</v>
      </c>
    </row>
    <row r="12" ht="37.5" customHeight="1">
      <c r="A12" s="25">
        <v>11.0</v>
      </c>
      <c r="B12" s="25" t="s">
        <v>18</v>
      </c>
      <c r="C12" s="25" t="s">
        <v>1572</v>
      </c>
      <c r="D12" s="25" t="s">
        <v>1573</v>
      </c>
      <c r="E12" s="25" t="s">
        <v>1577</v>
      </c>
      <c r="F12" s="26" t="s">
        <v>1578</v>
      </c>
      <c r="G12" s="25" t="s">
        <v>1579</v>
      </c>
      <c r="H12" s="25">
        <v>2.0</v>
      </c>
      <c r="I12" s="25">
        <v>0.0</v>
      </c>
      <c r="J12" s="25">
        <v>2.0</v>
      </c>
      <c r="K12" s="25">
        <v>3.0</v>
      </c>
      <c r="L12" s="1" t="s">
        <v>1493</v>
      </c>
      <c r="M12" s="40" t="str">
        <f>IFNA(VLOOKUP(L12,'Faculty Details'!$B:$H,4,0),"")</f>
        <v>Dr.BASKARAN P</v>
      </c>
      <c r="N12" s="40" t="str">
        <f>IFNA(VLOOKUP(L12,'Faculty Details'!$B:$H,7,0),"")</f>
        <v>baskaranp@bitsathy.ac.in</v>
      </c>
    </row>
    <row r="13" ht="37.5" customHeight="1">
      <c r="A13" s="25">
        <v>12.0</v>
      </c>
      <c r="B13" s="25" t="s">
        <v>18</v>
      </c>
      <c r="C13" s="25" t="s">
        <v>1572</v>
      </c>
      <c r="D13" s="25" t="s">
        <v>1573</v>
      </c>
      <c r="E13" s="25" t="s">
        <v>1577</v>
      </c>
      <c r="F13" s="26" t="s">
        <v>1578</v>
      </c>
      <c r="G13" s="25" t="s">
        <v>1579</v>
      </c>
      <c r="H13" s="25">
        <v>2.0</v>
      </c>
      <c r="I13" s="25">
        <v>0.0</v>
      </c>
      <c r="J13" s="25">
        <v>2.0</v>
      </c>
      <c r="K13" s="25">
        <v>3.0</v>
      </c>
      <c r="L13" s="1" t="s">
        <v>1496</v>
      </c>
      <c r="M13" s="40" t="str">
        <f>IFNA(VLOOKUP(L13,'Faculty Details'!$B:$H,4,0),"")</f>
        <v>Dr.PRIYADHARSINI A</v>
      </c>
      <c r="N13" s="40" t="str">
        <f>IFNA(VLOOKUP(L13,'Faculty Details'!$B:$H,7,0),"")</f>
        <v>Priyadharsinia@bitsathy.ac.in</v>
      </c>
    </row>
    <row r="14" ht="37.5" customHeight="1">
      <c r="A14" s="25">
        <v>13.0</v>
      </c>
      <c r="B14" s="25" t="s">
        <v>18</v>
      </c>
      <c r="C14" s="25" t="s">
        <v>1572</v>
      </c>
      <c r="D14" s="25" t="s">
        <v>1573</v>
      </c>
      <c r="E14" s="25" t="s">
        <v>1580</v>
      </c>
      <c r="F14" s="26" t="s">
        <v>1581</v>
      </c>
      <c r="G14" s="25" t="s">
        <v>1579</v>
      </c>
      <c r="H14" s="25">
        <v>2.0</v>
      </c>
      <c r="I14" s="25">
        <v>0.0</v>
      </c>
      <c r="J14" s="25">
        <v>2.0</v>
      </c>
      <c r="K14" s="25">
        <v>3.0</v>
      </c>
      <c r="L14" s="25" t="s">
        <v>656</v>
      </c>
      <c r="M14" s="40" t="str">
        <f>IFNA(VLOOKUP(L14,'Faculty Details'!$B:$H,4,0),"")</f>
        <v>Dr.PRAVEENA R</v>
      </c>
      <c r="N14" s="40" t="str">
        <f>IFNA(VLOOKUP(L14,'Faculty Details'!$B:$H,7,0),"")</f>
        <v>praveenar@bitsathy.ac.in</v>
      </c>
    </row>
    <row r="15" ht="37.5" customHeight="1">
      <c r="A15" s="25">
        <v>14.0</v>
      </c>
      <c r="B15" s="25" t="s">
        <v>18</v>
      </c>
      <c r="C15" s="25" t="s">
        <v>1572</v>
      </c>
      <c r="D15" s="25" t="s">
        <v>1573</v>
      </c>
      <c r="E15" s="25" t="s">
        <v>1580</v>
      </c>
      <c r="F15" s="26" t="s">
        <v>1581</v>
      </c>
      <c r="G15" s="25" t="s">
        <v>1579</v>
      </c>
      <c r="H15" s="25">
        <v>2.0</v>
      </c>
      <c r="I15" s="25">
        <v>0.0</v>
      </c>
      <c r="J15" s="25">
        <v>2.0</v>
      </c>
      <c r="K15" s="25">
        <v>3.0</v>
      </c>
      <c r="L15" s="25" t="s">
        <v>662</v>
      </c>
      <c r="M15" s="40" t="str">
        <f>IFNA(VLOOKUP(L15,'Faculty Details'!$B:$H,4,0),"")</f>
        <v>Dr.MALATHI MAHALINGAM</v>
      </c>
      <c r="N15" s="40" t="str">
        <f>IFNA(VLOOKUP(L15,'Faculty Details'!$B:$H,7,0),"")</f>
        <v>malathimahalingamm@bitsathy.ac.in</v>
      </c>
    </row>
    <row r="16" ht="37.5" customHeight="1">
      <c r="A16" s="25">
        <v>15.0</v>
      </c>
      <c r="B16" s="25" t="s">
        <v>18</v>
      </c>
      <c r="C16" s="25" t="s">
        <v>1572</v>
      </c>
      <c r="D16" s="25" t="s">
        <v>1573</v>
      </c>
      <c r="E16" s="25" t="s">
        <v>1580</v>
      </c>
      <c r="F16" s="26" t="s">
        <v>1581</v>
      </c>
      <c r="G16" s="25" t="s">
        <v>1579</v>
      </c>
      <c r="H16" s="25">
        <v>2.0</v>
      </c>
      <c r="I16" s="25">
        <v>0.0</v>
      </c>
      <c r="J16" s="25">
        <v>2.0</v>
      </c>
      <c r="K16" s="25">
        <v>3.0</v>
      </c>
      <c r="L16" s="25" t="s">
        <v>632</v>
      </c>
      <c r="M16" s="40" t="str">
        <f>IFNA(VLOOKUP(L16,'Faculty Details'!$B:$H,4,0),"")</f>
        <v>Dr.RAMESHKUMAR A</v>
      </c>
      <c r="N16" s="40" t="str">
        <f>IFNA(VLOOKUP(L16,'Faculty Details'!$B:$H,7,0),"")</f>
        <v>rameshkumar@bitsathy.ac.in</v>
      </c>
    </row>
    <row r="17" ht="37.5" customHeight="1">
      <c r="A17" s="25">
        <v>16.0</v>
      </c>
      <c r="B17" s="25" t="s">
        <v>18</v>
      </c>
      <c r="C17" s="25" t="s">
        <v>1572</v>
      </c>
      <c r="D17" s="25" t="s">
        <v>1573</v>
      </c>
      <c r="E17" s="25" t="s">
        <v>1580</v>
      </c>
      <c r="F17" s="26" t="s">
        <v>1581</v>
      </c>
      <c r="G17" s="25" t="s">
        <v>1579</v>
      </c>
      <c r="H17" s="25">
        <v>2.0</v>
      </c>
      <c r="I17" s="25">
        <v>0.0</v>
      </c>
      <c r="J17" s="25">
        <v>2.0</v>
      </c>
      <c r="K17" s="25">
        <v>3.0</v>
      </c>
      <c r="L17" s="25" t="s">
        <v>635</v>
      </c>
      <c r="M17" s="40" t="str">
        <f>IFNA(VLOOKUP(L17,'Faculty Details'!$B:$H,4,0),"")</f>
        <v>Dr.DEEPHA V</v>
      </c>
      <c r="N17" s="40" t="str">
        <f>IFNA(VLOOKUP(L17,'Faculty Details'!$B:$H,7,0),"")</f>
        <v>deephav@bitsathy.ac.in</v>
      </c>
    </row>
    <row r="18" ht="37.5" customHeight="1">
      <c r="A18" s="25">
        <v>17.0</v>
      </c>
      <c r="B18" s="25" t="s">
        <v>18</v>
      </c>
      <c r="C18" s="25" t="s">
        <v>1572</v>
      </c>
      <c r="D18" s="25" t="s">
        <v>1573</v>
      </c>
      <c r="E18" s="25" t="s">
        <v>1580</v>
      </c>
      <c r="F18" s="26" t="s">
        <v>1581</v>
      </c>
      <c r="G18" s="25" t="s">
        <v>1579</v>
      </c>
      <c r="H18" s="25">
        <v>2.0</v>
      </c>
      <c r="I18" s="25">
        <v>0.0</v>
      </c>
      <c r="J18" s="25">
        <v>2.0</v>
      </c>
      <c r="K18" s="25">
        <v>3.0</v>
      </c>
      <c r="L18" s="29" t="s">
        <v>629</v>
      </c>
      <c r="M18" s="41" t="str">
        <f>IFNA(VLOOKUP(L18,'Faculty Details'!$B:$H,4,0),"")</f>
        <v>Dr.MURALI KRISHNAN M</v>
      </c>
      <c r="N18" s="41" t="str">
        <f>IFNA(VLOOKUP(L18,'Faculty Details'!$B:$H,7,0),"")</f>
        <v>muralikrishnan@bitsathy.ac.in</v>
      </c>
    </row>
    <row r="19" ht="37.5" customHeight="1">
      <c r="A19" s="25">
        <v>18.0</v>
      </c>
      <c r="B19" s="25" t="s">
        <v>18</v>
      </c>
      <c r="C19" s="25" t="s">
        <v>1572</v>
      </c>
      <c r="D19" s="25" t="s">
        <v>1573</v>
      </c>
      <c r="E19" s="25" t="s">
        <v>1580</v>
      </c>
      <c r="F19" s="26" t="s">
        <v>1581</v>
      </c>
      <c r="G19" s="25" t="s">
        <v>1579</v>
      </c>
      <c r="H19" s="25">
        <v>2.0</v>
      </c>
      <c r="I19" s="25">
        <v>0.0</v>
      </c>
      <c r="J19" s="25">
        <v>2.0</v>
      </c>
      <c r="K19" s="25">
        <v>3.0</v>
      </c>
      <c r="L19" s="29" t="s">
        <v>619</v>
      </c>
      <c r="M19" s="41" t="str">
        <f>IFNA(VLOOKUP(L19,'Faculty Details'!$B:$H,4,0),"")</f>
        <v>Dr.SATHISH V</v>
      </c>
      <c r="N19" s="41" t="str">
        <f>IFNA(VLOOKUP(L19,'Faculty Details'!$B:$H,7,0),"")</f>
        <v>sathishv@bitsathy.ac.in</v>
      </c>
    </row>
    <row r="20" ht="37.5" customHeight="1">
      <c r="A20" s="25">
        <v>19.0</v>
      </c>
      <c r="B20" s="25" t="s">
        <v>18</v>
      </c>
      <c r="C20" s="25" t="s">
        <v>1572</v>
      </c>
      <c r="D20" s="25" t="s">
        <v>1573</v>
      </c>
      <c r="E20" s="25" t="s">
        <v>1582</v>
      </c>
      <c r="F20" s="26" t="s">
        <v>1583</v>
      </c>
      <c r="G20" s="25" t="s">
        <v>1576</v>
      </c>
      <c r="H20" s="25">
        <v>3.0</v>
      </c>
      <c r="I20" s="25">
        <v>0.0</v>
      </c>
      <c r="J20" s="25">
        <v>0.0</v>
      </c>
      <c r="K20" s="25">
        <v>3.0</v>
      </c>
      <c r="L20" s="29" t="s">
        <v>771</v>
      </c>
      <c r="M20" s="40" t="str">
        <f>IFNA(VLOOKUP(L20,'Faculty Details'!$B:$H,4,0),"")</f>
        <v>Mrs.ALAMELU M</v>
      </c>
      <c r="N20" s="40" t="str">
        <f>IFNA(VLOOKUP(L20,'Faculty Details'!$B:$H,7,0),"")</f>
        <v>alamelu@bitsathy.ac.in</v>
      </c>
    </row>
    <row r="21" ht="37.5" customHeight="1">
      <c r="A21" s="25">
        <v>20.0</v>
      </c>
      <c r="B21" s="25" t="s">
        <v>18</v>
      </c>
      <c r="C21" s="25" t="s">
        <v>1572</v>
      </c>
      <c r="D21" s="25" t="s">
        <v>1573</v>
      </c>
      <c r="E21" s="25" t="s">
        <v>1582</v>
      </c>
      <c r="F21" s="26" t="s">
        <v>1583</v>
      </c>
      <c r="G21" s="25" t="s">
        <v>1576</v>
      </c>
      <c r="H21" s="25">
        <v>3.0</v>
      </c>
      <c r="I21" s="25">
        <v>0.0</v>
      </c>
      <c r="J21" s="25">
        <v>0.0</v>
      </c>
      <c r="K21" s="25">
        <v>3.0</v>
      </c>
      <c r="L21" s="29" t="s">
        <v>678</v>
      </c>
      <c r="M21" s="40" t="str">
        <f>IFNA(VLOOKUP(L21,'Faculty Details'!$B:$H,4,0),"")</f>
        <v>Mrs.PRABHA DEVI D</v>
      </c>
      <c r="N21" s="40" t="str">
        <f>IFNA(VLOOKUP(L21,'Faculty Details'!$B:$H,7,0),"")</f>
        <v>prabhadevi@bitsathy.ac.in</v>
      </c>
    </row>
    <row r="22" ht="37.5" customHeight="1">
      <c r="A22" s="25">
        <v>21.0</v>
      </c>
      <c r="B22" s="25" t="s">
        <v>18</v>
      </c>
      <c r="C22" s="25" t="s">
        <v>1572</v>
      </c>
      <c r="D22" s="25" t="s">
        <v>1573</v>
      </c>
      <c r="E22" s="25" t="s">
        <v>1582</v>
      </c>
      <c r="F22" s="26" t="s">
        <v>1583</v>
      </c>
      <c r="G22" s="25" t="s">
        <v>1576</v>
      </c>
      <c r="H22" s="25">
        <v>3.0</v>
      </c>
      <c r="I22" s="25">
        <v>0.0</v>
      </c>
      <c r="J22" s="25">
        <v>0.0</v>
      </c>
      <c r="K22" s="25">
        <v>3.0</v>
      </c>
      <c r="L22" s="83" t="s">
        <v>810</v>
      </c>
      <c r="M22" s="40" t="str">
        <f>IFNA(VLOOKUP(L22,'Faculty Details'!$B:$H,4,0),"")</f>
        <v>Dr.RAMYA R</v>
      </c>
      <c r="N22" s="40" t="str">
        <f>IFNA(VLOOKUP(L22,'Faculty Details'!$B:$H,7,0),"")</f>
        <v>ramyarv@bitsathy.ac.in</v>
      </c>
    </row>
    <row r="23" ht="37.5" customHeight="1">
      <c r="A23" s="25">
        <v>22.0</v>
      </c>
      <c r="B23" s="25" t="s">
        <v>18</v>
      </c>
      <c r="C23" s="25" t="s">
        <v>1572</v>
      </c>
      <c r="D23" s="25" t="s">
        <v>1573</v>
      </c>
      <c r="E23" s="25" t="s">
        <v>1582</v>
      </c>
      <c r="F23" s="26" t="s">
        <v>1583</v>
      </c>
      <c r="G23" s="25" t="s">
        <v>1576</v>
      </c>
      <c r="H23" s="25">
        <v>3.0</v>
      </c>
      <c r="I23" s="25">
        <v>0.0</v>
      </c>
      <c r="J23" s="25">
        <v>0.0</v>
      </c>
      <c r="K23" s="25">
        <v>3.0</v>
      </c>
      <c r="L23" s="29" t="s">
        <v>593</v>
      </c>
      <c r="M23" s="40" t="str">
        <f>IFNA(VLOOKUP(L23,'Faculty Details'!$B:$H,4,0),"")</f>
        <v>Mrs.INDHUMATHI K</v>
      </c>
      <c r="N23" s="40" t="str">
        <f>IFNA(VLOOKUP(L23,'Faculty Details'!$B:$H,7,0),"")</f>
        <v>indhumathik@bitsathy.ac.in</v>
      </c>
    </row>
    <row r="24" ht="37.5" customHeight="1">
      <c r="A24" s="25">
        <v>23.0</v>
      </c>
      <c r="B24" s="25" t="s">
        <v>18</v>
      </c>
      <c r="C24" s="25" t="s">
        <v>1572</v>
      </c>
      <c r="D24" s="25" t="s">
        <v>1573</v>
      </c>
      <c r="E24" s="25" t="s">
        <v>1582</v>
      </c>
      <c r="F24" s="26" t="s">
        <v>1583</v>
      </c>
      <c r="G24" s="25" t="s">
        <v>1576</v>
      </c>
      <c r="H24" s="25">
        <v>3.0</v>
      </c>
      <c r="I24" s="25">
        <v>0.0</v>
      </c>
      <c r="J24" s="25">
        <v>0.0</v>
      </c>
      <c r="K24" s="25">
        <v>3.0</v>
      </c>
      <c r="L24" s="29" t="s">
        <v>762</v>
      </c>
      <c r="M24" s="40" t="str">
        <f>IFNA(VLOOKUP(L24,'Faculty Details'!$B:$H,4,0),"")</f>
        <v>Ms.SATHIYA B</v>
      </c>
      <c r="N24" s="40" t="str">
        <f>IFNA(VLOOKUP(L24,'Faculty Details'!$B:$H,7,0),"")</f>
        <v>sathiya@bitsathy.ac.in</v>
      </c>
    </row>
    <row r="25" ht="37.5" customHeight="1">
      <c r="A25" s="25">
        <v>24.0</v>
      </c>
      <c r="B25" s="25" t="s">
        <v>18</v>
      </c>
      <c r="C25" s="25" t="s">
        <v>1572</v>
      </c>
      <c r="D25" s="25" t="s">
        <v>1573</v>
      </c>
      <c r="E25" s="25" t="s">
        <v>1582</v>
      </c>
      <c r="F25" s="85" t="s">
        <v>1583</v>
      </c>
      <c r="G25" s="25" t="s">
        <v>1576</v>
      </c>
      <c r="H25" s="25">
        <v>3.0</v>
      </c>
      <c r="I25" s="25">
        <v>0.0</v>
      </c>
      <c r="J25" s="25">
        <v>0.0</v>
      </c>
      <c r="K25" s="25">
        <v>3.0</v>
      </c>
      <c r="L25" s="29" t="s">
        <v>750</v>
      </c>
      <c r="M25" s="40" t="str">
        <f>IFNA(VLOOKUP(L25,'Faculty Details'!$B:$H,4,0),"")</f>
        <v>Dr.DEEPA PRIYA B S</v>
      </c>
      <c r="N25" s="40" t="str">
        <f>IFNA(VLOOKUP(L25,'Faculty Details'!$B:$H,7,0),"")</f>
        <v>deepapriya@bitsathy.ac.in</v>
      </c>
    </row>
    <row r="26" ht="37.5" customHeight="1">
      <c r="A26" s="25">
        <v>25.0</v>
      </c>
      <c r="B26" s="25" t="s">
        <v>18</v>
      </c>
      <c r="C26" s="25" t="s">
        <v>1572</v>
      </c>
      <c r="D26" s="25" t="s">
        <v>1573</v>
      </c>
      <c r="E26" s="25" t="s">
        <v>1636</v>
      </c>
      <c r="F26" s="26" t="s">
        <v>1637</v>
      </c>
      <c r="G26" s="25" t="s">
        <v>1579</v>
      </c>
      <c r="H26" s="25">
        <v>2.0</v>
      </c>
      <c r="I26" s="25">
        <v>0.0</v>
      </c>
      <c r="J26" s="25">
        <v>2.0</v>
      </c>
      <c r="K26" s="25">
        <v>3.0</v>
      </c>
      <c r="L26" s="29" t="s">
        <v>1000</v>
      </c>
      <c r="M26" s="40" t="str">
        <f>IFNA(VLOOKUP(L26,'Faculty Details'!$B:$H,4,0),"")</f>
        <v>Dr.CHINNADURRAI CL</v>
      </c>
      <c r="N26" s="40" t="str">
        <f>IFNA(VLOOKUP(L26,'Faculty Details'!$B:$H,7,0),"")</f>
        <v>chinnadurraicl@bitsathy.ac.in</v>
      </c>
    </row>
    <row r="27" ht="37.5" customHeight="1">
      <c r="A27" s="25">
        <v>26.0</v>
      </c>
      <c r="B27" s="25" t="s">
        <v>18</v>
      </c>
      <c r="C27" s="25" t="s">
        <v>1572</v>
      </c>
      <c r="D27" s="25" t="s">
        <v>1573</v>
      </c>
      <c r="E27" s="25" t="s">
        <v>1636</v>
      </c>
      <c r="F27" s="26" t="s">
        <v>1637</v>
      </c>
      <c r="G27" s="25" t="s">
        <v>1579</v>
      </c>
      <c r="H27" s="25">
        <v>2.0</v>
      </c>
      <c r="I27" s="25">
        <v>0.0</v>
      </c>
      <c r="J27" s="25">
        <v>2.0</v>
      </c>
      <c r="K27" s="25">
        <v>3.0</v>
      </c>
      <c r="L27" s="29" t="s">
        <v>973</v>
      </c>
      <c r="M27" s="40" t="str">
        <f>IFNA(VLOOKUP(L27,'Faculty Details'!$B:$H,4,0),"")</f>
        <v>Mr.ARUN CHENDHURAN R</v>
      </c>
      <c r="N27" s="40" t="str">
        <f>IFNA(VLOOKUP(L27,'Faculty Details'!$B:$H,7,0),"")</f>
        <v>arunchendhuran@bitsathy.ac.in</v>
      </c>
    </row>
    <row r="28" ht="37.5" customHeight="1">
      <c r="A28" s="25">
        <v>27.0</v>
      </c>
      <c r="B28" s="25" t="s">
        <v>18</v>
      </c>
      <c r="C28" s="25" t="s">
        <v>1572</v>
      </c>
      <c r="D28" s="25" t="s">
        <v>1573</v>
      </c>
      <c r="E28" s="25" t="s">
        <v>1636</v>
      </c>
      <c r="F28" s="26" t="s">
        <v>1637</v>
      </c>
      <c r="G28" s="25" t="s">
        <v>1579</v>
      </c>
      <c r="H28" s="25">
        <v>2.0</v>
      </c>
      <c r="I28" s="25">
        <v>0.0</v>
      </c>
      <c r="J28" s="25">
        <v>2.0</v>
      </c>
      <c r="K28" s="25">
        <v>3.0</v>
      </c>
      <c r="L28" s="29" t="s">
        <v>1018</v>
      </c>
      <c r="M28" s="40" t="str">
        <f>IFNA(VLOOKUP(L28,'Faculty Details'!$B:$H,4,0),"")</f>
        <v>Dr.SIVARAMAN P</v>
      </c>
      <c r="N28" s="40" t="str">
        <f>IFNA(VLOOKUP(L28,'Faculty Details'!$B:$H,7,0),"")</f>
        <v>sivaramanpsr@bitsathy.ac.in</v>
      </c>
    </row>
    <row r="29" ht="37.5" customHeight="1">
      <c r="A29" s="25">
        <v>28.0</v>
      </c>
      <c r="B29" s="25" t="s">
        <v>18</v>
      </c>
      <c r="C29" s="25" t="s">
        <v>1572</v>
      </c>
      <c r="D29" s="25" t="s">
        <v>1573</v>
      </c>
      <c r="E29" s="25" t="s">
        <v>1636</v>
      </c>
      <c r="F29" s="26" t="s">
        <v>1637</v>
      </c>
      <c r="G29" s="25" t="s">
        <v>1579</v>
      </c>
      <c r="H29" s="25">
        <v>2.0</v>
      </c>
      <c r="I29" s="25">
        <v>0.0</v>
      </c>
      <c r="J29" s="25">
        <v>2.0</v>
      </c>
      <c r="K29" s="25">
        <v>3.0</v>
      </c>
      <c r="L29" s="29" t="s">
        <v>1012</v>
      </c>
      <c r="M29" s="40" t="str">
        <f>IFNA(VLOOKUP(L29,'Faculty Details'!$B:$H,4,0),"")</f>
        <v>Dr.SRINIVASAN M</v>
      </c>
      <c r="N29" s="40" t="str">
        <f>IFNA(VLOOKUP(L29,'Faculty Details'!$B:$H,7,0),"")</f>
        <v>srinivasanm@bitsathy.ac.in</v>
      </c>
    </row>
    <row r="30" ht="37.5" customHeight="1">
      <c r="A30" s="25">
        <v>29.0</v>
      </c>
      <c r="B30" s="25" t="s">
        <v>18</v>
      </c>
      <c r="C30" s="25" t="s">
        <v>1572</v>
      </c>
      <c r="D30" s="25" t="s">
        <v>1573</v>
      </c>
      <c r="E30" s="25" t="s">
        <v>1636</v>
      </c>
      <c r="F30" s="26" t="s">
        <v>1637</v>
      </c>
      <c r="G30" s="25" t="s">
        <v>1579</v>
      </c>
      <c r="H30" s="25">
        <v>2.0</v>
      </c>
      <c r="I30" s="25">
        <v>0.0</v>
      </c>
      <c r="J30" s="25">
        <v>2.0</v>
      </c>
      <c r="K30" s="25">
        <v>3.0</v>
      </c>
      <c r="L30" s="29" t="s">
        <v>997</v>
      </c>
      <c r="M30" s="45" t="str">
        <f>IFNA(VLOOKUP(L30,'Faculty Details'!$B:$H,4,0),"")</f>
        <v>Dr.MANOJKUMAR P</v>
      </c>
      <c r="N30" s="40" t="str">
        <f>IFNA(VLOOKUP(L30,'Faculty Details'!$B:$H,7,0),"")</f>
        <v>manojkumarp@bitsathy.ac.in</v>
      </c>
    </row>
    <row r="31" ht="37.5" customHeight="1">
      <c r="A31" s="25">
        <v>30.0</v>
      </c>
      <c r="B31" s="25" t="s">
        <v>18</v>
      </c>
      <c r="C31" s="25" t="s">
        <v>1572</v>
      </c>
      <c r="D31" s="25" t="s">
        <v>1573</v>
      </c>
      <c r="E31" s="25" t="s">
        <v>1636</v>
      </c>
      <c r="F31" s="26" t="s">
        <v>1637</v>
      </c>
      <c r="G31" s="25" t="s">
        <v>1579</v>
      </c>
      <c r="H31" s="25">
        <v>2.0</v>
      </c>
      <c r="I31" s="25">
        <v>0.0</v>
      </c>
      <c r="J31" s="25">
        <v>2.0</v>
      </c>
      <c r="K31" s="25">
        <v>3.0</v>
      </c>
      <c r="L31" s="29" t="s">
        <v>985</v>
      </c>
      <c r="M31" s="45" t="str">
        <f>IFNA(VLOOKUP(L31,'Faculty Details'!$B:$H,4,0),"")</f>
        <v>Mrs.MADHUMITHA J</v>
      </c>
      <c r="N31" s="40" t="str">
        <f>IFNA(VLOOKUP(L31,'Faculty Details'!$B:$H,7,0),"")</f>
        <v>madhumithaj@bitsathy.ac.in</v>
      </c>
    </row>
    <row r="32" ht="37.5" customHeight="1">
      <c r="A32" s="25">
        <v>31.0</v>
      </c>
      <c r="B32" s="25" t="s">
        <v>18</v>
      </c>
      <c r="C32" s="25" t="s">
        <v>1572</v>
      </c>
      <c r="D32" s="25" t="s">
        <v>1573</v>
      </c>
      <c r="E32" s="25" t="s">
        <v>1725</v>
      </c>
      <c r="F32" s="26" t="s">
        <v>1639</v>
      </c>
      <c r="G32" s="25" t="s">
        <v>1579</v>
      </c>
      <c r="H32" s="25">
        <v>3.0</v>
      </c>
      <c r="I32" s="25">
        <v>0.0</v>
      </c>
      <c r="J32" s="25">
        <v>2.0</v>
      </c>
      <c r="K32" s="25">
        <v>4.0</v>
      </c>
      <c r="L32" s="29" t="s">
        <v>693</v>
      </c>
      <c r="M32" s="41" t="str">
        <f>IFNA(VLOOKUP(L32,'Faculty Details'!$B:$H,4,0),"")</f>
        <v>Mr.SUSEENDRAN S</v>
      </c>
      <c r="N32" s="40" t="str">
        <f>IFNA(VLOOKUP(L32,'Faculty Details'!$B:$H,7,0),"")</f>
        <v>suseendrans@bitsathy.ac.in</v>
      </c>
    </row>
    <row r="33" ht="37.5" customHeight="1">
      <c r="A33" s="25">
        <v>32.0</v>
      </c>
      <c r="B33" s="25" t="s">
        <v>18</v>
      </c>
      <c r="C33" s="25" t="s">
        <v>1572</v>
      </c>
      <c r="D33" s="25" t="s">
        <v>1573</v>
      </c>
      <c r="E33" s="25" t="s">
        <v>1725</v>
      </c>
      <c r="F33" s="26" t="s">
        <v>1639</v>
      </c>
      <c r="G33" s="25" t="s">
        <v>1579</v>
      </c>
      <c r="H33" s="25">
        <v>3.0</v>
      </c>
      <c r="I33" s="25">
        <v>0.0</v>
      </c>
      <c r="J33" s="25">
        <v>2.0</v>
      </c>
      <c r="K33" s="25">
        <v>4.0</v>
      </c>
      <c r="L33" s="29" t="s">
        <v>868</v>
      </c>
      <c r="M33" s="40" t="str">
        <f>IFNA(VLOOKUP(L33,'Faculty Details'!$B:$H,4,0),"")</f>
        <v>Mrs.ABINAYA M</v>
      </c>
      <c r="N33" s="40" t="str">
        <f>IFNA(VLOOKUP(L33,'Faculty Details'!$B:$H,7,0),"")</f>
        <v>abinayam@bitsathy.ac.in</v>
      </c>
    </row>
    <row r="34" ht="37.5" customHeight="1">
      <c r="A34" s="25">
        <v>33.0</v>
      </c>
      <c r="B34" s="25" t="s">
        <v>18</v>
      </c>
      <c r="C34" s="25" t="s">
        <v>1572</v>
      </c>
      <c r="D34" s="25" t="s">
        <v>1573</v>
      </c>
      <c r="E34" s="25" t="s">
        <v>1725</v>
      </c>
      <c r="F34" s="26" t="s">
        <v>1639</v>
      </c>
      <c r="G34" s="25" t="s">
        <v>1579</v>
      </c>
      <c r="H34" s="25">
        <v>3.0</v>
      </c>
      <c r="I34" s="25">
        <v>0.0</v>
      </c>
      <c r="J34" s="25">
        <v>2.0</v>
      </c>
      <c r="K34" s="25">
        <v>4.0</v>
      </c>
      <c r="L34" s="29" t="s">
        <v>921</v>
      </c>
      <c r="M34" s="40" t="str">
        <f>IFNA(VLOOKUP(L34,'Faculty Details'!$B:$H,4,0),"")</f>
        <v>Mrs.SANDHIYADEVI P</v>
      </c>
      <c r="N34" s="40" t="str">
        <f>IFNA(VLOOKUP(L34,'Faculty Details'!$B:$H,7,0),"")</f>
        <v>sandhiyadevip@bitsathy.ac.in</v>
      </c>
    </row>
    <row r="35" ht="37.5" customHeight="1">
      <c r="A35" s="25">
        <v>34.0</v>
      </c>
      <c r="B35" s="25" t="s">
        <v>18</v>
      </c>
      <c r="C35" s="25" t="s">
        <v>1572</v>
      </c>
      <c r="D35" s="25" t="s">
        <v>1573</v>
      </c>
      <c r="E35" s="25" t="s">
        <v>1725</v>
      </c>
      <c r="F35" s="26" t="s">
        <v>1639</v>
      </c>
      <c r="G35" s="25" t="s">
        <v>1579</v>
      </c>
      <c r="H35" s="25">
        <v>3.0</v>
      </c>
      <c r="I35" s="25">
        <v>0.0</v>
      </c>
      <c r="J35" s="25">
        <v>2.0</v>
      </c>
      <c r="K35" s="25">
        <v>4.0</v>
      </c>
      <c r="L35" s="29" t="s">
        <v>951</v>
      </c>
      <c r="M35" s="40" t="str">
        <f>IFNA(VLOOKUP(L35,'Faculty Details'!$B:$H,4,0),"")</f>
        <v>Dr.RAMYA P</v>
      </c>
      <c r="N35" s="40" t="str">
        <f>IFNA(VLOOKUP(L35,'Faculty Details'!$B:$H,7,0),"")</f>
        <v>ramyap@bitsathy.ac.in</v>
      </c>
    </row>
    <row r="36" ht="37.5" customHeight="1">
      <c r="A36" s="25">
        <v>35.0</v>
      </c>
      <c r="B36" s="25" t="s">
        <v>18</v>
      </c>
      <c r="C36" s="25" t="s">
        <v>1572</v>
      </c>
      <c r="D36" s="25" t="s">
        <v>1573</v>
      </c>
      <c r="E36" s="25" t="s">
        <v>1725</v>
      </c>
      <c r="F36" s="26" t="s">
        <v>1639</v>
      </c>
      <c r="G36" s="25" t="s">
        <v>1579</v>
      </c>
      <c r="H36" s="25">
        <v>3.0</v>
      </c>
      <c r="I36" s="25">
        <v>0.0</v>
      </c>
      <c r="J36" s="25">
        <v>2.0</v>
      </c>
      <c r="K36" s="25">
        <v>4.0</v>
      </c>
      <c r="L36" s="29" t="s">
        <v>895</v>
      </c>
      <c r="M36" s="40" t="str">
        <f>IFNA(VLOOKUP(L36,'Faculty Details'!$B:$H,4,0),"")</f>
        <v>Mrs.KARTHIGA M</v>
      </c>
      <c r="N36" s="40" t="str">
        <f>IFNA(VLOOKUP(L36,'Faculty Details'!$B:$H,7,0),"")</f>
        <v>karthiga@bitsathy.ac.in</v>
      </c>
    </row>
    <row r="37" ht="37.5" customHeight="1">
      <c r="A37" s="25">
        <v>36.0</v>
      </c>
      <c r="B37" s="25" t="s">
        <v>18</v>
      </c>
      <c r="C37" s="25" t="s">
        <v>1572</v>
      </c>
      <c r="D37" s="25" t="s">
        <v>1573</v>
      </c>
      <c r="E37" s="25" t="s">
        <v>1725</v>
      </c>
      <c r="F37" s="26" t="s">
        <v>1639</v>
      </c>
      <c r="G37" s="25" t="s">
        <v>1579</v>
      </c>
      <c r="H37" s="25">
        <v>3.0</v>
      </c>
      <c r="I37" s="25">
        <v>0.0</v>
      </c>
      <c r="J37" s="25">
        <v>2.0</v>
      </c>
      <c r="K37" s="25">
        <v>4.0</v>
      </c>
      <c r="L37" s="29" t="s">
        <v>927</v>
      </c>
      <c r="M37" s="40" t="str">
        <f>IFNA(VLOOKUP(L37,'Faculty Details'!$B:$H,4,0),"")</f>
        <v>Mrs.RAGAVI M</v>
      </c>
      <c r="N37" s="40" t="str">
        <f>IFNA(VLOOKUP(L37,'Faculty Details'!$B:$H,7,0),"")</f>
        <v>ragavim@bitsathy.ac.in</v>
      </c>
    </row>
    <row r="38" ht="37.5" customHeight="1">
      <c r="A38" s="25">
        <v>37.0</v>
      </c>
      <c r="B38" s="25" t="s">
        <v>18</v>
      </c>
      <c r="C38" s="25" t="s">
        <v>1572</v>
      </c>
      <c r="D38" s="25" t="s">
        <v>1573</v>
      </c>
      <c r="E38" s="25" t="s">
        <v>1589</v>
      </c>
      <c r="F38" s="26" t="s">
        <v>1590</v>
      </c>
      <c r="G38" s="25" t="s">
        <v>1588</v>
      </c>
      <c r="H38" s="25">
        <v>1.0</v>
      </c>
      <c r="I38" s="25">
        <v>0.0</v>
      </c>
      <c r="J38" s="25">
        <v>0.0</v>
      </c>
      <c r="K38" s="25">
        <v>1.0</v>
      </c>
      <c r="L38" s="29" t="s">
        <v>1112</v>
      </c>
      <c r="M38" s="40" t="str">
        <f>IFNA(VLOOKUP(L38,'Faculty Details'!$B:$H,4,0),"")</f>
        <v>Dr.SAGUNTHALA DEVI P</v>
      </c>
      <c r="N38" s="40" t="str">
        <f>IFNA(VLOOKUP(L38,'Faculty Details'!$B:$H,7,0),"")</f>
        <v>sagunthaladevi@bitsathy.ac.in</v>
      </c>
    </row>
    <row r="39" ht="37.5" customHeight="1">
      <c r="A39" s="25">
        <v>38.0</v>
      </c>
      <c r="B39" s="25" t="s">
        <v>18</v>
      </c>
      <c r="C39" s="25" t="s">
        <v>1572</v>
      </c>
      <c r="D39" s="25" t="s">
        <v>1573</v>
      </c>
      <c r="E39" s="25" t="s">
        <v>1589</v>
      </c>
      <c r="F39" s="26" t="s">
        <v>1590</v>
      </c>
      <c r="G39" s="25" t="s">
        <v>1588</v>
      </c>
      <c r="H39" s="25">
        <v>1.0</v>
      </c>
      <c r="I39" s="25">
        <v>0.0</v>
      </c>
      <c r="J39" s="25">
        <v>0.0</v>
      </c>
      <c r="K39" s="25">
        <v>1.0</v>
      </c>
      <c r="L39" s="29" t="s">
        <v>1115</v>
      </c>
      <c r="M39" s="40" t="str">
        <f>IFNA(VLOOKUP(L39,'Faculty Details'!$B:$H,4,0),"")</f>
        <v>Ms.KAMALI D</v>
      </c>
      <c r="N39" s="40" t="str">
        <f>IFNA(VLOOKUP(L39,'Faculty Details'!$B:$H,7,0),"")</f>
        <v>kamali@bitsathy.ac.in</v>
      </c>
    </row>
    <row r="40" ht="37.5" customHeight="1">
      <c r="A40" s="25">
        <v>39.0</v>
      </c>
      <c r="B40" s="25" t="s">
        <v>18</v>
      </c>
      <c r="C40" s="25" t="s">
        <v>1572</v>
      </c>
      <c r="D40" s="25" t="s">
        <v>1573</v>
      </c>
      <c r="E40" s="25" t="s">
        <v>1589</v>
      </c>
      <c r="F40" s="26" t="s">
        <v>1590</v>
      </c>
      <c r="G40" s="25" t="s">
        <v>1588</v>
      </c>
      <c r="H40" s="25">
        <v>1.0</v>
      </c>
      <c r="I40" s="25">
        <v>0.0</v>
      </c>
      <c r="J40" s="25">
        <v>0.0</v>
      </c>
      <c r="K40" s="25">
        <v>1.0</v>
      </c>
      <c r="L40" s="29" t="s">
        <v>1130</v>
      </c>
      <c r="M40" s="40" t="str">
        <f>IFNA(VLOOKUP(L40,'Faculty Details'!$B:$H,4,0),"")</f>
        <v>Mr.SHYAMSUNDAR S</v>
      </c>
      <c r="N40" s="40" t="str">
        <f>IFNA(VLOOKUP(L40,'Faculty Details'!$B:$H,7,0),"")</f>
        <v>shyamsundar@bitsathy.ac.in</v>
      </c>
    </row>
    <row r="41" ht="37.5" customHeight="1">
      <c r="A41" s="25">
        <v>40.0</v>
      </c>
      <c r="B41" s="25" t="s">
        <v>18</v>
      </c>
      <c r="C41" s="25" t="s">
        <v>1572</v>
      </c>
      <c r="D41" s="25" t="s">
        <v>1573</v>
      </c>
      <c r="E41" s="25" t="s">
        <v>1589</v>
      </c>
      <c r="F41" s="26" t="s">
        <v>1590</v>
      </c>
      <c r="G41" s="25" t="s">
        <v>1588</v>
      </c>
      <c r="H41" s="25">
        <v>1.0</v>
      </c>
      <c r="I41" s="25">
        <v>0.0</v>
      </c>
      <c r="J41" s="25">
        <v>0.0</v>
      </c>
      <c r="K41" s="25">
        <v>1.0</v>
      </c>
      <c r="L41" s="29" t="s">
        <v>1112</v>
      </c>
      <c r="M41" s="40"/>
      <c r="N41" s="40"/>
    </row>
    <row r="42" ht="37.5" customHeight="1">
      <c r="A42" s="25">
        <v>41.0</v>
      </c>
      <c r="B42" s="25" t="s">
        <v>18</v>
      </c>
      <c r="C42" s="25" t="s">
        <v>1572</v>
      </c>
      <c r="D42" s="25" t="s">
        <v>1573</v>
      </c>
      <c r="E42" s="25" t="s">
        <v>1589</v>
      </c>
      <c r="F42" s="26" t="s">
        <v>1590</v>
      </c>
      <c r="G42" s="25" t="s">
        <v>1588</v>
      </c>
      <c r="H42" s="25">
        <v>1.0</v>
      </c>
      <c r="I42" s="25">
        <v>0.0</v>
      </c>
      <c r="J42" s="25">
        <v>0.0</v>
      </c>
      <c r="K42" s="25">
        <v>1.0</v>
      </c>
      <c r="L42" s="29" t="s">
        <v>1115</v>
      </c>
      <c r="M42" s="40"/>
      <c r="N42" s="40"/>
    </row>
    <row r="43" ht="37.5" customHeight="1">
      <c r="A43" s="25">
        <v>42.0</v>
      </c>
      <c r="B43" s="25" t="s">
        <v>18</v>
      </c>
      <c r="C43" s="25" t="s">
        <v>1572</v>
      </c>
      <c r="D43" s="25" t="s">
        <v>1573</v>
      </c>
      <c r="E43" s="25" t="s">
        <v>1589</v>
      </c>
      <c r="F43" s="26" t="s">
        <v>1590</v>
      </c>
      <c r="G43" s="25" t="s">
        <v>1588</v>
      </c>
      <c r="H43" s="25">
        <v>1.0</v>
      </c>
      <c r="I43" s="25">
        <v>0.0</v>
      </c>
      <c r="J43" s="25">
        <v>0.0</v>
      </c>
      <c r="K43" s="25">
        <v>1.0</v>
      </c>
      <c r="L43" s="29" t="s">
        <v>1130</v>
      </c>
      <c r="M43" s="40"/>
      <c r="N43" s="40"/>
    </row>
    <row r="44" ht="37.5" customHeight="1">
      <c r="A44" s="25">
        <v>43.0</v>
      </c>
      <c r="B44" s="25" t="s">
        <v>18</v>
      </c>
      <c r="C44" s="25" t="s">
        <v>1572</v>
      </c>
      <c r="D44" s="25" t="s">
        <v>1573</v>
      </c>
      <c r="E44" s="25" t="s">
        <v>1591</v>
      </c>
      <c r="F44" s="26" t="s">
        <v>1726</v>
      </c>
      <c r="G44" s="25"/>
      <c r="H44" s="25"/>
      <c r="I44" s="25"/>
      <c r="J44" s="25"/>
      <c r="K44" s="25"/>
      <c r="L44" s="86"/>
      <c r="M44" s="40" t="str">
        <f>IFNA(VLOOKUP(L44,'Faculty Details'!$B:$H,4,0),"")</f>
        <v/>
      </c>
      <c r="N44" s="40" t="str">
        <f>IFNA(VLOOKUP(L44,'Faculty Details'!$B:$H,7,0),"")</f>
        <v/>
      </c>
    </row>
    <row r="45" ht="37.5" customHeight="1">
      <c r="A45" s="25">
        <v>44.0</v>
      </c>
      <c r="B45" s="25" t="s">
        <v>18</v>
      </c>
      <c r="C45" s="25" t="s">
        <v>1572</v>
      </c>
      <c r="D45" s="25" t="s">
        <v>1593</v>
      </c>
      <c r="E45" s="25" t="s">
        <v>1594</v>
      </c>
      <c r="F45" s="26" t="s">
        <v>1640</v>
      </c>
      <c r="G45" s="25" t="s">
        <v>1588</v>
      </c>
      <c r="H45" s="25">
        <v>1.0</v>
      </c>
      <c r="I45" s="25">
        <v>0.0</v>
      </c>
      <c r="J45" s="25">
        <v>2.0</v>
      </c>
      <c r="K45" s="25">
        <v>2.0</v>
      </c>
      <c r="L45" s="29" t="s">
        <v>1133</v>
      </c>
      <c r="M45" s="40" t="str">
        <f>IFNA(VLOOKUP(L45,'Faculty Details'!$B:$H,4,0),"")</f>
        <v>Dr.JAYA K</v>
      </c>
      <c r="N45" s="40" t="str">
        <f>IFNA(VLOOKUP(L45,'Faculty Details'!$B:$H,7,0),"")</f>
        <v>jayak@bitsathy.ac.in</v>
      </c>
    </row>
    <row r="46" ht="37.5" customHeight="1">
      <c r="A46" s="25">
        <v>45.0</v>
      </c>
      <c r="B46" s="25" t="s">
        <v>18</v>
      </c>
      <c r="C46" s="25" t="s">
        <v>1572</v>
      </c>
      <c r="D46" s="25" t="s">
        <v>1593</v>
      </c>
      <c r="E46" s="25" t="s">
        <v>1594</v>
      </c>
      <c r="F46" s="26" t="s">
        <v>1640</v>
      </c>
      <c r="G46" s="25" t="s">
        <v>1588</v>
      </c>
      <c r="H46" s="25">
        <v>1.0</v>
      </c>
      <c r="I46" s="25">
        <v>0.0</v>
      </c>
      <c r="J46" s="25">
        <v>2.0</v>
      </c>
      <c r="K46" s="25">
        <v>2.0</v>
      </c>
      <c r="L46" s="29" t="s">
        <v>1127</v>
      </c>
      <c r="M46" s="40" t="str">
        <f>IFNA(VLOOKUP(L46,'Faculty Details'!$B:$H,4,0),"")</f>
        <v>Dr.NITHYA S</v>
      </c>
      <c r="N46" s="40" t="str">
        <f>IFNA(VLOOKUP(L46,'Faculty Details'!$B:$H,7,0),"")</f>
        <v>nithyas@bitsathy.ac.in</v>
      </c>
    </row>
    <row r="47" ht="37.5" customHeight="1">
      <c r="A47" s="25">
        <v>46.0</v>
      </c>
      <c r="B47" s="25" t="s">
        <v>18</v>
      </c>
      <c r="C47" s="25" t="s">
        <v>1572</v>
      </c>
      <c r="D47" s="25" t="s">
        <v>1593</v>
      </c>
      <c r="E47" s="25" t="s">
        <v>1641</v>
      </c>
      <c r="F47" s="26" t="s">
        <v>1642</v>
      </c>
      <c r="G47" s="25" t="s">
        <v>1588</v>
      </c>
      <c r="H47" s="25">
        <v>1.0</v>
      </c>
      <c r="I47" s="25">
        <v>0.0</v>
      </c>
      <c r="J47" s="25">
        <v>2.0</v>
      </c>
      <c r="K47" s="25">
        <v>2.0</v>
      </c>
      <c r="L47" s="86"/>
      <c r="M47" s="40" t="str">
        <f>IFNA(VLOOKUP(L47,'Faculty Details'!$B:$H,4,0),"")</f>
        <v/>
      </c>
      <c r="N47" s="40" t="str">
        <f>IFNA(VLOOKUP(L47,'Faculty Details'!$B:$H,7,0),"")</f>
        <v/>
      </c>
    </row>
    <row r="48" ht="37.5" customHeight="1">
      <c r="A48" s="25">
        <v>47.0</v>
      </c>
      <c r="B48" s="25" t="s">
        <v>18</v>
      </c>
      <c r="C48" s="25" t="s">
        <v>1572</v>
      </c>
      <c r="D48" s="25" t="s">
        <v>1593</v>
      </c>
      <c r="E48" s="25" t="s">
        <v>1641</v>
      </c>
      <c r="F48" s="26" t="s">
        <v>1642</v>
      </c>
      <c r="G48" s="25" t="s">
        <v>1588</v>
      </c>
      <c r="H48" s="25">
        <v>1.0</v>
      </c>
      <c r="I48" s="25">
        <v>0.0</v>
      </c>
      <c r="J48" s="25">
        <v>2.0</v>
      </c>
      <c r="K48" s="25">
        <v>2.0</v>
      </c>
      <c r="L48" s="86"/>
      <c r="M48" s="40" t="str">
        <f>IFNA(VLOOKUP(L48,'Faculty Details'!$B:$H,4,0),"")</f>
        <v/>
      </c>
      <c r="N48" s="40" t="str">
        <f>IFNA(VLOOKUP(L48,'Faculty Details'!$B:$H,7,0),"")</f>
        <v/>
      </c>
    </row>
    <row r="49" ht="37.5" customHeight="1">
      <c r="A49" s="25">
        <v>48.0</v>
      </c>
      <c r="B49" s="25" t="s">
        <v>18</v>
      </c>
      <c r="C49" s="25" t="s">
        <v>1572</v>
      </c>
      <c r="D49" s="25" t="s">
        <v>1593</v>
      </c>
      <c r="E49" s="25" t="s">
        <v>1643</v>
      </c>
      <c r="F49" s="26" t="s">
        <v>1644</v>
      </c>
      <c r="G49" s="25" t="s">
        <v>1588</v>
      </c>
      <c r="H49" s="25">
        <v>1.0</v>
      </c>
      <c r="I49" s="25">
        <v>0.0</v>
      </c>
      <c r="J49" s="25">
        <v>2.0</v>
      </c>
      <c r="K49" s="25">
        <v>2.0</v>
      </c>
      <c r="L49" s="86"/>
      <c r="M49" s="40" t="str">
        <f>IFNA(VLOOKUP(L49,'Faculty Details'!$B:$H,4,0),"")</f>
        <v/>
      </c>
      <c r="N49" s="40" t="str">
        <f>IFNA(VLOOKUP(L49,'Faculty Details'!$B:$H,7,0),"")</f>
        <v/>
      </c>
    </row>
    <row r="50" ht="37.5" customHeight="1">
      <c r="A50" s="25">
        <v>49.0</v>
      </c>
      <c r="B50" s="25" t="s">
        <v>18</v>
      </c>
      <c r="C50" s="25" t="s">
        <v>1572</v>
      </c>
      <c r="D50" s="25" t="s">
        <v>1593</v>
      </c>
      <c r="E50" s="25" t="s">
        <v>1643</v>
      </c>
      <c r="F50" s="26" t="s">
        <v>1644</v>
      </c>
      <c r="G50" s="25" t="s">
        <v>1588</v>
      </c>
      <c r="H50" s="25">
        <v>1.0</v>
      </c>
      <c r="I50" s="25">
        <v>0.0</v>
      </c>
      <c r="J50" s="25">
        <v>2.0</v>
      </c>
      <c r="K50" s="25">
        <v>2.0</v>
      </c>
      <c r="L50" s="86"/>
      <c r="M50" s="40" t="str">
        <f>IFNA(VLOOKUP(L50,'Faculty Details'!$B:$H,4,0),"")</f>
        <v/>
      </c>
      <c r="N50" s="40" t="str">
        <f>IFNA(VLOOKUP(L50,'Faculty Details'!$B:$H,7,0),"")</f>
        <v/>
      </c>
    </row>
    <row r="51" ht="37.5" customHeight="1">
      <c r="A51" s="25">
        <v>50.0</v>
      </c>
      <c r="B51" s="25" t="s">
        <v>18</v>
      </c>
      <c r="C51" s="25" t="s">
        <v>1596</v>
      </c>
      <c r="D51" s="25" t="s">
        <v>1573</v>
      </c>
      <c r="E51" s="25" t="s">
        <v>1727</v>
      </c>
      <c r="F51" s="26" t="s">
        <v>1728</v>
      </c>
      <c r="G51" s="25" t="s">
        <v>1576</v>
      </c>
      <c r="H51" s="25">
        <v>3.0</v>
      </c>
      <c r="I51" s="25">
        <v>1.0</v>
      </c>
      <c r="J51" s="25">
        <v>0.0</v>
      </c>
      <c r="K51" s="25">
        <v>4.0</v>
      </c>
      <c r="L51" s="29" t="s">
        <v>1320</v>
      </c>
      <c r="M51" s="40" t="str">
        <f>IFNA(VLOOKUP(L51,'Faculty Details'!$B:$H,4,0),"")</f>
        <v>Dr.PARIMALA M</v>
      </c>
      <c r="N51" s="40" t="str">
        <f>IFNA(VLOOKUP(L51,'Faculty Details'!$B:$H,7,0),"")</f>
        <v>parimalam@bitsathy.ac.in</v>
      </c>
    </row>
    <row r="52" ht="37.5" customHeight="1">
      <c r="A52" s="25">
        <v>51.0</v>
      </c>
      <c r="B52" s="25" t="s">
        <v>18</v>
      </c>
      <c r="C52" s="25" t="s">
        <v>1596</v>
      </c>
      <c r="D52" s="25" t="s">
        <v>1573</v>
      </c>
      <c r="E52" s="25" t="s">
        <v>1727</v>
      </c>
      <c r="F52" s="26" t="s">
        <v>1728</v>
      </c>
      <c r="G52" s="25" t="s">
        <v>1576</v>
      </c>
      <c r="H52" s="25">
        <v>3.0</v>
      </c>
      <c r="I52" s="25">
        <v>1.0</v>
      </c>
      <c r="J52" s="25">
        <v>0.0</v>
      </c>
      <c r="K52" s="25">
        <v>4.0</v>
      </c>
      <c r="L52" s="29" t="s">
        <v>1317</v>
      </c>
      <c r="M52" s="40" t="str">
        <f>IFNA(VLOOKUP(L52,'Faculty Details'!$B:$H,4,0),"")</f>
        <v>Dr.PRAKASH K</v>
      </c>
      <c r="N52" s="40" t="str">
        <f>IFNA(VLOOKUP(L52,'Faculty Details'!$B:$H,7,0),"")</f>
        <v>prakashk@bitsathy.ac.in</v>
      </c>
    </row>
    <row r="53" ht="37.5" customHeight="1">
      <c r="A53" s="25">
        <v>52.0</v>
      </c>
      <c r="B53" s="25" t="s">
        <v>18</v>
      </c>
      <c r="C53" s="25" t="s">
        <v>1596</v>
      </c>
      <c r="D53" s="25" t="s">
        <v>1573</v>
      </c>
      <c r="E53" s="25" t="s">
        <v>1727</v>
      </c>
      <c r="F53" s="26" t="s">
        <v>1728</v>
      </c>
      <c r="G53" s="25" t="s">
        <v>1576</v>
      </c>
      <c r="H53" s="25">
        <v>3.0</v>
      </c>
      <c r="I53" s="25">
        <v>1.0</v>
      </c>
      <c r="J53" s="25">
        <v>0.0</v>
      </c>
      <c r="K53" s="25">
        <v>4.0</v>
      </c>
      <c r="L53" s="29" t="s">
        <v>1323</v>
      </c>
      <c r="M53" s="40" t="str">
        <f>IFNA(VLOOKUP(L53,'Faculty Details'!$B:$H,4,0),"")</f>
        <v>Dr.UMAMAGESWARI D</v>
      </c>
      <c r="N53" s="40" t="str">
        <f>IFNA(VLOOKUP(L53,'Faculty Details'!$B:$H,7,0),"")</f>
        <v>umamageswarid@bitsathy.ac.in</v>
      </c>
    </row>
    <row r="54" ht="37.5" customHeight="1">
      <c r="A54" s="25">
        <v>53.0</v>
      </c>
      <c r="B54" s="25" t="s">
        <v>18</v>
      </c>
      <c r="C54" s="25" t="s">
        <v>1596</v>
      </c>
      <c r="D54" s="25" t="s">
        <v>1573</v>
      </c>
      <c r="E54" s="25" t="s">
        <v>1727</v>
      </c>
      <c r="F54" s="26" t="s">
        <v>1728</v>
      </c>
      <c r="G54" s="25" t="s">
        <v>1576</v>
      </c>
      <c r="H54" s="25">
        <v>3.0</v>
      </c>
      <c r="I54" s="25">
        <v>1.0</v>
      </c>
      <c r="J54" s="25">
        <v>0.0</v>
      </c>
      <c r="K54" s="25">
        <v>4.0</v>
      </c>
      <c r="L54" s="29" t="s">
        <v>1262</v>
      </c>
      <c r="M54" s="40" t="str">
        <f>IFNA(VLOOKUP(L54,'Faculty Details'!$B:$H,4,0),"")</f>
        <v>Mrs.PREETHA R</v>
      </c>
      <c r="N54" s="40" t="str">
        <f>IFNA(VLOOKUP(L54,'Faculty Details'!$B:$H,7,0),"")</f>
        <v>preetha@bitsathy.ac.in</v>
      </c>
    </row>
    <row r="55" ht="37.5" customHeight="1">
      <c r="A55" s="25">
        <v>54.0</v>
      </c>
      <c r="B55" s="25" t="s">
        <v>18</v>
      </c>
      <c r="C55" s="25" t="s">
        <v>1596</v>
      </c>
      <c r="D55" s="25" t="s">
        <v>1573</v>
      </c>
      <c r="E55" s="25" t="s">
        <v>1727</v>
      </c>
      <c r="F55" s="26" t="s">
        <v>1728</v>
      </c>
      <c r="G55" s="25" t="s">
        <v>1576</v>
      </c>
      <c r="H55" s="25">
        <v>3.0</v>
      </c>
      <c r="I55" s="25">
        <v>1.0</v>
      </c>
      <c r="J55" s="25">
        <v>0.0</v>
      </c>
      <c r="K55" s="25">
        <v>4.0</v>
      </c>
      <c r="L55" s="29" t="s">
        <v>1266</v>
      </c>
      <c r="M55" s="40" t="str">
        <f>IFNA(VLOOKUP(L55,'Faculty Details'!$B:$H,4,0),"")</f>
        <v>Dr.SARANYA D</v>
      </c>
      <c r="N55" s="40" t="str">
        <f>IFNA(VLOOKUP(L55,'Faculty Details'!$B:$H,7,0),"")</f>
        <v>saranyad@bitsathy.ac.in</v>
      </c>
    </row>
    <row r="56" ht="37.5" customHeight="1">
      <c r="A56" s="25">
        <v>55.0</v>
      </c>
      <c r="B56" s="25" t="s">
        <v>18</v>
      </c>
      <c r="C56" s="25" t="s">
        <v>1596</v>
      </c>
      <c r="D56" s="25" t="s">
        <v>1573</v>
      </c>
      <c r="E56" s="25" t="s">
        <v>1727</v>
      </c>
      <c r="F56" s="26" t="s">
        <v>1728</v>
      </c>
      <c r="G56" s="25" t="s">
        <v>1576</v>
      </c>
      <c r="H56" s="25">
        <v>3.0</v>
      </c>
      <c r="I56" s="25">
        <v>1.0</v>
      </c>
      <c r="J56" s="25">
        <v>0.0</v>
      </c>
      <c r="K56" s="25">
        <v>4.0</v>
      </c>
      <c r="L56" s="29" t="s">
        <v>1299</v>
      </c>
      <c r="M56" s="40" t="str">
        <f>IFNA(VLOOKUP(L56,'Faculty Details'!$B:$H,4,0),"")</f>
        <v>Dr.HEMALATHA B</v>
      </c>
      <c r="N56" s="40" t="str">
        <f>IFNA(VLOOKUP(L56,'Faculty Details'!$B:$H,7,0),"")</f>
        <v>hemalathab@bitsathy.ac.in</v>
      </c>
    </row>
    <row r="57" ht="37.5" customHeight="1">
      <c r="A57" s="25">
        <v>56.0</v>
      </c>
      <c r="B57" s="25" t="s">
        <v>18</v>
      </c>
      <c r="C57" s="25" t="s">
        <v>1596</v>
      </c>
      <c r="D57" s="25" t="s">
        <v>1573</v>
      </c>
      <c r="E57" s="25" t="s">
        <v>1729</v>
      </c>
      <c r="F57" s="26" t="s">
        <v>1649</v>
      </c>
      <c r="G57" s="25" t="s">
        <v>1579</v>
      </c>
      <c r="H57" s="25">
        <v>3.0</v>
      </c>
      <c r="I57" s="25">
        <v>0.0</v>
      </c>
      <c r="J57" s="25">
        <v>2.0</v>
      </c>
      <c r="K57" s="25">
        <v>4.0</v>
      </c>
      <c r="L57" s="29" t="s">
        <v>702</v>
      </c>
      <c r="M57" s="40" t="str">
        <f>IFNA(VLOOKUP(L57,'Faculty Details'!$B:$H,4,0),"")</f>
        <v>Dr.SANGEETHAA SN</v>
      </c>
      <c r="N57" s="40" t="str">
        <f>IFNA(VLOOKUP(L57,'Faculty Details'!$B:$H,7,0),"")</f>
        <v>sangeethaasn@bitsathy.ac.in</v>
      </c>
    </row>
    <row r="58" ht="37.5" customHeight="1">
      <c r="A58" s="25">
        <v>57.0</v>
      </c>
      <c r="B58" s="25" t="s">
        <v>18</v>
      </c>
      <c r="C58" s="25" t="s">
        <v>1596</v>
      </c>
      <c r="D58" s="25" t="s">
        <v>1573</v>
      </c>
      <c r="E58" s="25" t="s">
        <v>1729</v>
      </c>
      <c r="F58" s="26" t="s">
        <v>1649</v>
      </c>
      <c r="G58" s="25" t="s">
        <v>1579</v>
      </c>
      <c r="H58" s="25">
        <v>3.0</v>
      </c>
      <c r="I58" s="25">
        <v>0.0</v>
      </c>
      <c r="J58" s="25">
        <v>2.0</v>
      </c>
      <c r="K58" s="25">
        <v>4.0</v>
      </c>
      <c r="L58" s="29" t="s">
        <v>810</v>
      </c>
      <c r="M58" s="40" t="str">
        <f>IFNA(VLOOKUP(L58,'Faculty Details'!$B:$H,4,0),"")</f>
        <v>Dr.RAMYA R</v>
      </c>
      <c r="N58" s="40" t="str">
        <f>IFNA(VLOOKUP(L58,'Faculty Details'!$B:$H,7,0),"")</f>
        <v>ramyarv@bitsathy.ac.in</v>
      </c>
    </row>
    <row r="59" ht="37.5" customHeight="1">
      <c r="A59" s="25">
        <v>58.0</v>
      </c>
      <c r="B59" s="25" t="s">
        <v>18</v>
      </c>
      <c r="C59" s="25" t="s">
        <v>1596</v>
      </c>
      <c r="D59" s="25" t="s">
        <v>1573</v>
      </c>
      <c r="E59" s="25" t="s">
        <v>1729</v>
      </c>
      <c r="F59" s="26" t="s">
        <v>1649</v>
      </c>
      <c r="G59" s="25" t="s">
        <v>1579</v>
      </c>
      <c r="H59" s="25">
        <v>3.0</v>
      </c>
      <c r="I59" s="25">
        <v>0.0</v>
      </c>
      <c r="J59" s="25">
        <v>2.0</v>
      </c>
      <c r="K59" s="25">
        <v>4.0</v>
      </c>
      <c r="L59" s="29" t="s">
        <v>747</v>
      </c>
      <c r="M59" s="40" t="str">
        <f>IFNA(VLOOKUP(L59,'Faculty Details'!$B:$H,4,0),"")</f>
        <v>Mrs.AMMU V</v>
      </c>
      <c r="N59" s="40" t="str">
        <f>IFNA(VLOOKUP(L59,'Faculty Details'!$B:$H,7,0),"")</f>
        <v>ammu@bitsathy.ac.in</v>
      </c>
    </row>
    <row r="60" ht="37.5" customHeight="1">
      <c r="A60" s="25">
        <v>59.0</v>
      </c>
      <c r="B60" s="25" t="s">
        <v>18</v>
      </c>
      <c r="C60" s="25" t="s">
        <v>1596</v>
      </c>
      <c r="D60" s="25" t="s">
        <v>1573</v>
      </c>
      <c r="E60" s="25" t="s">
        <v>1729</v>
      </c>
      <c r="F60" s="26" t="s">
        <v>1649</v>
      </c>
      <c r="G60" s="25" t="s">
        <v>1579</v>
      </c>
      <c r="H60" s="25">
        <v>3.0</v>
      </c>
      <c r="I60" s="25">
        <v>0.0</v>
      </c>
      <c r="J60" s="25">
        <v>2.0</v>
      </c>
      <c r="K60" s="25">
        <v>4.0</v>
      </c>
      <c r="L60" s="29" t="s">
        <v>783</v>
      </c>
      <c r="M60" s="40" t="str">
        <f>IFNA(VLOOKUP(L60,'Faculty Details'!$B:$H,4,0),"")</f>
        <v>Mrs.KAYALVIZHI B</v>
      </c>
      <c r="N60" s="40" t="str">
        <f>IFNA(VLOOKUP(L60,'Faculty Details'!$B:$H,7,0),"")</f>
        <v>kayalvizhib@bitsathy.ac.in</v>
      </c>
    </row>
    <row r="61" ht="37.5" customHeight="1">
      <c r="A61" s="25">
        <v>60.0</v>
      </c>
      <c r="B61" s="25" t="s">
        <v>18</v>
      </c>
      <c r="C61" s="25" t="s">
        <v>1596</v>
      </c>
      <c r="D61" s="25" t="s">
        <v>1573</v>
      </c>
      <c r="E61" s="25" t="s">
        <v>1729</v>
      </c>
      <c r="F61" s="26" t="s">
        <v>1649</v>
      </c>
      <c r="G61" s="25" t="s">
        <v>1579</v>
      </c>
      <c r="H61" s="25">
        <v>3.0</v>
      </c>
      <c r="I61" s="25">
        <v>0.0</v>
      </c>
      <c r="J61" s="25">
        <v>2.0</v>
      </c>
      <c r="K61" s="25">
        <v>4.0</v>
      </c>
      <c r="L61" s="29" t="s">
        <v>765</v>
      </c>
      <c r="M61" s="40" t="str">
        <f>IFNA(VLOOKUP(L61,'Faculty Details'!$B:$H,4,0),"")</f>
        <v>Ms.RATHNA S</v>
      </c>
      <c r="N61" s="40" t="str">
        <f>IFNA(VLOOKUP(L61,'Faculty Details'!$B:$H,7,0),"")</f>
        <v>rathna@bitsathy.ac.in</v>
      </c>
    </row>
    <row r="62" ht="37.5" customHeight="1">
      <c r="A62" s="25">
        <v>61.0</v>
      </c>
      <c r="B62" s="25" t="s">
        <v>18</v>
      </c>
      <c r="C62" s="25" t="s">
        <v>1596</v>
      </c>
      <c r="D62" s="25" t="s">
        <v>1573</v>
      </c>
      <c r="E62" s="25" t="s">
        <v>1729</v>
      </c>
      <c r="F62" s="26" t="s">
        <v>1649</v>
      </c>
      <c r="G62" s="25" t="s">
        <v>1579</v>
      </c>
      <c r="H62" s="25">
        <v>3.0</v>
      </c>
      <c r="I62" s="25">
        <v>0.0</v>
      </c>
      <c r="J62" s="25">
        <v>2.0</v>
      </c>
      <c r="K62" s="25">
        <v>4.0</v>
      </c>
      <c r="L62" s="29" t="s">
        <v>786</v>
      </c>
      <c r="M62" s="40" t="str">
        <f>IFNA(VLOOKUP(L62,'Faculty Details'!$B:$H,4,0),"")</f>
        <v>Ms.THANGATAMILSELVI S</v>
      </c>
      <c r="N62" s="40" t="str">
        <f>IFNA(VLOOKUP(L62,'Faculty Details'!$B:$H,7,0),"")</f>
        <v>thangatamilselvis@bitsathy.ac.in</v>
      </c>
    </row>
    <row r="63" ht="37.5" customHeight="1">
      <c r="A63" s="25">
        <v>62.0</v>
      </c>
      <c r="B63" s="25" t="s">
        <v>18</v>
      </c>
      <c r="C63" s="25" t="s">
        <v>1596</v>
      </c>
      <c r="D63" s="25" t="s">
        <v>1573</v>
      </c>
      <c r="E63" s="25" t="s">
        <v>1730</v>
      </c>
      <c r="F63" s="26" t="s">
        <v>1651</v>
      </c>
      <c r="G63" s="25" t="s">
        <v>1576</v>
      </c>
      <c r="H63" s="25">
        <v>3.0</v>
      </c>
      <c r="I63" s="25">
        <v>1.0</v>
      </c>
      <c r="J63" s="25">
        <v>0.0</v>
      </c>
      <c r="K63" s="25">
        <v>4.0</v>
      </c>
      <c r="L63" s="29" t="s">
        <v>768</v>
      </c>
      <c r="M63" s="40" t="str">
        <f>IFNA(VLOOKUP(L63,'Faculty Details'!$B:$H,4,0),"")</f>
        <v>Dr.SASIKALA D</v>
      </c>
      <c r="N63" s="40" t="str">
        <f>IFNA(VLOOKUP(L63,'Faculty Details'!$B:$H,7,0),"")</f>
        <v>sasikalad@bitsathy.ac.in</v>
      </c>
    </row>
    <row r="64" ht="37.5" customHeight="1">
      <c r="A64" s="25">
        <v>63.0</v>
      </c>
      <c r="B64" s="25" t="s">
        <v>18</v>
      </c>
      <c r="C64" s="25" t="s">
        <v>1596</v>
      </c>
      <c r="D64" s="25" t="s">
        <v>1573</v>
      </c>
      <c r="E64" s="25" t="s">
        <v>1730</v>
      </c>
      <c r="F64" s="26" t="s">
        <v>1651</v>
      </c>
      <c r="G64" s="25" t="s">
        <v>1576</v>
      </c>
      <c r="H64" s="25">
        <v>3.0</v>
      </c>
      <c r="I64" s="25">
        <v>1.0</v>
      </c>
      <c r="J64" s="25">
        <v>0.0</v>
      </c>
      <c r="K64" s="25">
        <v>4.0</v>
      </c>
      <c r="L64" s="29" t="s">
        <v>726</v>
      </c>
      <c r="M64" s="40" t="str">
        <f>IFNA(VLOOKUP(L64,'Faculty Details'!$B:$H,4,0),"")</f>
        <v>Mr.RAMASAMI S</v>
      </c>
      <c r="N64" s="40" t="str">
        <f>IFNA(VLOOKUP(L64,'Faculty Details'!$B:$H,7,0),"")</f>
        <v>ramasamis@bitsathy.ac.in</v>
      </c>
    </row>
    <row r="65" ht="37.5" customHeight="1">
      <c r="A65" s="25">
        <v>64.0</v>
      </c>
      <c r="B65" s="25" t="s">
        <v>18</v>
      </c>
      <c r="C65" s="25" t="s">
        <v>1596</v>
      </c>
      <c r="D65" s="25" t="s">
        <v>1573</v>
      </c>
      <c r="E65" s="25" t="s">
        <v>1730</v>
      </c>
      <c r="F65" s="26" t="s">
        <v>1651</v>
      </c>
      <c r="G65" s="25" t="s">
        <v>1576</v>
      </c>
      <c r="H65" s="25">
        <v>3.0</v>
      </c>
      <c r="I65" s="25">
        <v>1.0</v>
      </c>
      <c r="J65" s="25">
        <v>0.0</v>
      </c>
      <c r="K65" s="25">
        <v>4.0</v>
      </c>
      <c r="L65" s="29" t="s">
        <v>690</v>
      </c>
      <c r="M65" s="40" t="str">
        <f>IFNA(VLOOKUP(L65,'Faculty Details'!$B:$H,4,0),"")</f>
        <v>Mr.MAGESH KUMAR B</v>
      </c>
      <c r="N65" s="40" t="str">
        <f>IFNA(VLOOKUP(L65,'Faculty Details'!$B:$H,7,0),"")</f>
        <v>mageshkumar@bitsathy.ac.in</v>
      </c>
    </row>
    <row r="66" ht="37.5" customHeight="1">
      <c r="A66" s="25">
        <v>65.0</v>
      </c>
      <c r="B66" s="25" t="s">
        <v>18</v>
      </c>
      <c r="C66" s="25" t="s">
        <v>1596</v>
      </c>
      <c r="D66" s="25" t="s">
        <v>1573</v>
      </c>
      <c r="E66" s="25" t="s">
        <v>1730</v>
      </c>
      <c r="F66" s="26" t="s">
        <v>1651</v>
      </c>
      <c r="G66" s="25" t="s">
        <v>1576</v>
      </c>
      <c r="H66" s="25">
        <v>3.0</v>
      </c>
      <c r="I66" s="25">
        <v>1.0</v>
      </c>
      <c r="J66" s="25">
        <v>0.0</v>
      </c>
      <c r="K66" s="25">
        <v>4.0</v>
      </c>
      <c r="L66" s="29" t="s">
        <v>756</v>
      </c>
      <c r="M66" s="40" t="str">
        <f>IFNA(VLOOKUP(L66,'Faculty Details'!$B:$H,4,0),"")</f>
        <v>Mrs.GAYATHRI S</v>
      </c>
      <c r="N66" s="40" t="str">
        <f>IFNA(VLOOKUP(L66,'Faculty Details'!$B:$H,7,0),"")</f>
        <v>gayathris@bitsathy.ac.in</v>
      </c>
    </row>
    <row r="67" ht="37.5" customHeight="1">
      <c r="A67" s="25">
        <v>66.0</v>
      </c>
      <c r="B67" s="25" t="s">
        <v>18</v>
      </c>
      <c r="C67" s="25" t="s">
        <v>1596</v>
      </c>
      <c r="D67" s="25" t="s">
        <v>1573</v>
      </c>
      <c r="E67" s="25" t="s">
        <v>1730</v>
      </c>
      <c r="F67" s="26" t="s">
        <v>1651</v>
      </c>
      <c r="G67" s="25" t="s">
        <v>1576</v>
      </c>
      <c r="H67" s="25">
        <v>3.0</v>
      </c>
      <c r="I67" s="25">
        <v>1.0</v>
      </c>
      <c r="J67" s="25">
        <v>0.0</v>
      </c>
      <c r="K67" s="25">
        <v>4.0</v>
      </c>
      <c r="L67" s="29" t="s">
        <v>774</v>
      </c>
      <c r="M67" s="40" t="str">
        <f>IFNA(VLOOKUP(L67,'Faculty Details'!$B:$H,4,0),"")</f>
        <v>Ms.PARKAVI S</v>
      </c>
      <c r="N67" s="40" t="str">
        <f>IFNA(VLOOKUP(L67,'Faculty Details'!$B:$H,7,0),"")</f>
        <v>parkavi@bitsathy.ac.in</v>
      </c>
    </row>
    <row r="68" ht="37.5" customHeight="1">
      <c r="A68" s="25">
        <v>67.0</v>
      </c>
      <c r="B68" s="25" t="s">
        <v>18</v>
      </c>
      <c r="C68" s="25" t="s">
        <v>1596</v>
      </c>
      <c r="D68" s="25" t="s">
        <v>1573</v>
      </c>
      <c r="E68" s="25" t="s">
        <v>1730</v>
      </c>
      <c r="F68" s="26" t="s">
        <v>1651</v>
      </c>
      <c r="G68" s="25" t="s">
        <v>1576</v>
      </c>
      <c r="H68" s="25">
        <v>3.0</v>
      </c>
      <c r="I68" s="25">
        <v>1.0</v>
      </c>
      <c r="J68" s="25">
        <v>0.0</v>
      </c>
      <c r="K68" s="25">
        <v>4.0</v>
      </c>
      <c r="L68" s="29" t="s">
        <v>665</v>
      </c>
      <c r="M68" s="40" t="str">
        <f>IFNA(VLOOKUP(L68,'Faculty Details'!$B:$H,4,0),"")</f>
        <v>Mr.DINESH P S</v>
      </c>
      <c r="N68" s="40" t="str">
        <f>IFNA(VLOOKUP(L68,'Faculty Details'!$B:$H,7,0),"")</f>
        <v>dineshps@bitsathy.ac.in</v>
      </c>
    </row>
    <row r="69" ht="37.5" customHeight="1">
      <c r="A69" s="25">
        <v>68.0</v>
      </c>
      <c r="B69" s="25" t="s">
        <v>18</v>
      </c>
      <c r="C69" s="25" t="s">
        <v>1596</v>
      </c>
      <c r="D69" s="25" t="s">
        <v>1573</v>
      </c>
      <c r="E69" s="25" t="s">
        <v>1731</v>
      </c>
      <c r="F69" s="26" t="s">
        <v>1653</v>
      </c>
      <c r="G69" s="25" t="s">
        <v>1579</v>
      </c>
      <c r="H69" s="25">
        <v>2.0</v>
      </c>
      <c r="I69" s="25">
        <v>0.0</v>
      </c>
      <c r="J69" s="25">
        <v>2.0</v>
      </c>
      <c r="K69" s="25">
        <v>3.0</v>
      </c>
      <c r="L69" s="29" t="s">
        <v>699</v>
      </c>
      <c r="M69" s="40" t="str">
        <f>IFNA(VLOOKUP(L69,'Faculty Details'!$B:$H,4,0),"")</f>
        <v>Dr.DHIVYA P</v>
      </c>
      <c r="N69" s="40" t="str">
        <f>IFNA(VLOOKUP(L69,'Faculty Details'!$B:$H,7,0),"")</f>
        <v>dhivyap@bitsathy.ac.in</v>
      </c>
    </row>
    <row r="70" ht="37.5" customHeight="1">
      <c r="A70" s="25">
        <v>69.0</v>
      </c>
      <c r="B70" s="25" t="s">
        <v>18</v>
      </c>
      <c r="C70" s="25" t="s">
        <v>1596</v>
      </c>
      <c r="D70" s="25" t="s">
        <v>1573</v>
      </c>
      <c r="E70" s="25" t="s">
        <v>1731</v>
      </c>
      <c r="F70" s="26" t="s">
        <v>1653</v>
      </c>
      <c r="G70" s="25" t="s">
        <v>1579</v>
      </c>
      <c r="H70" s="25">
        <v>2.0</v>
      </c>
      <c r="I70" s="25">
        <v>0.0</v>
      </c>
      <c r="J70" s="25">
        <v>2.0</v>
      </c>
      <c r="K70" s="25">
        <v>3.0</v>
      </c>
      <c r="L70" s="29" t="s">
        <v>696</v>
      </c>
      <c r="M70" s="40" t="str">
        <f>IFNA(VLOOKUP(L70,'Faculty Details'!$B:$H,4,0),"")</f>
        <v>Dr.PARTHASARATHI P</v>
      </c>
      <c r="N70" s="40" t="str">
        <f>IFNA(VLOOKUP(L70,'Faculty Details'!$B:$H,7,0),"")</f>
        <v>parthasarathip@bitsathy.ac.in</v>
      </c>
    </row>
    <row r="71" ht="37.5" customHeight="1">
      <c r="A71" s="25">
        <v>70.0</v>
      </c>
      <c r="B71" s="25" t="s">
        <v>18</v>
      </c>
      <c r="C71" s="25" t="s">
        <v>1596</v>
      </c>
      <c r="D71" s="25" t="s">
        <v>1573</v>
      </c>
      <c r="E71" s="25" t="s">
        <v>1731</v>
      </c>
      <c r="F71" s="26" t="s">
        <v>1653</v>
      </c>
      <c r="G71" s="25" t="s">
        <v>1579</v>
      </c>
      <c r="H71" s="25">
        <v>2.0</v>
      </c>
      <c r="I71" s="25">
        <v>0.0</v>
      </c>
      <c r="J71" s="25">
        <v>2.0</v>
      </c>
      <c r="K71" s="25">
        <v>3.0</v>
      </c>
      <c r="L71" s="29" t="s">
        <v>678</v>
      </c>
      <c r="M71" s="40" t="str">
        <f>IFNA(VLOOKUP(L71,'Faculty Details'!$B:$H,4,0),"")</f>
        <v>Mrs.PRABHA DEVI D</v>
      </c>
      <c r="N71" s="40" t="str">
        <f>IFNA(VLOOKUP(L71,'Faculty Details'!$B:$H,7,0),"")</f>
        <v>prabhadevi@bitsathy.ac.in</v>
      </c>
    </row>
    <row r="72" ht="37.5" customHeight="1">
      <c r="A72" s="25">
        <v>71.0</v>
      </c>
      <c r="B72" s="25" t="s">
        <v>18</v>
      </c>
      <c r="C72" s="25" t="s">
        <v>1596</v>
      </c>
      <c r="D72" s="25" t="s">
        <v>1573</v>
      </c>
      <c r="E72" s="25" t="s">
        <v>1731</v>
      </c>
      <c r="F72" s="26" t="s">
        <v>1653</v>
      </c>
      <c r="G72" s="25" t="s">
        <v>1579</v>
      </c>
      <c r="H72" s="25">
        <v>2.0</v>
      </c>
      <c r="I72" s="25">
        <v>0.0</v>
      </c>
      <c r="J72" s="25">
        <v>2.0</v>
      </c>
      <c r="K72" s="25">
        <v>3.0</v>
      </c>
      <c r="L72" s="29" t="s">
        <v>1140</v>
      </c>
      <c r="M72" s="40" t="str">
        <f>IFNA(VLOOKUP(L72,'Faculty Details'!$B:$H,4,0),"")</f>
        <v>Mr.GOPAL R</v>
      </c>
      <c r="N72" s="40" t="str">
        <f>IFNA(VLOOKUP(L72,'Faculty Details'!$B:$H,7,0),"")</f>
        <v>gopalr@bitsathy.ac.in</v>
      </c>
    </row>
    <row r="73" ht="37.5" customHeight="1">
      <c r="A73" s="25">
        <v>72.0</v>
      </c>
      <c r="B73" s="25" t="s">
        <v>18</v>
      </c>
      <c r="C73" s="25" t="s">
        <v>1596</v>
      </c>
      <c r="D73" s="25" t="s">
        <v>1573</v>
      </c>
      <c r="E73" s="25" t="s">
        <v>1731</v>
      </c>
      <c r="F73" s="26" t="s">
        <v>1653</v>
      </c>
      <c r="G73" s="25" t="s">
        <v>1579</v>
      </c>
      <c r="H73" s="25">
        <v>2.0</v>
      </c>
      <c r="I73" s="25">
        <v>0.0</v>
      </c>
      <c r="J73" s="25">
        <v>2.0</v>
      </c>
      <c r="K73" s="25">
        <v>3.0</v>
      </c>
      <c r="L73" s="29" t="s">
        <v>826</v>
      </c>
      <c r="M73" s="40" t="str">
        <f>IFNA(VLOOKUP(L73,'Faculty Details'!$B:$H,4,0),"")</f>
        <v>Mr.ANANDAN P</v>
      </c>
      <c r="N73" s="40" t="str">
        <f>IFNA(VLOOKUP(L73,'Faculty Details'!$B:$H,7,0),"")</f>
        <v>anandan@bitsathy.ac.in</v>
      </c>
    </row>
    <row r="74" ht="37.5" customHeight="1">
      <c r="A74" s="25">
        <v>73.0</v>
      </c>
      <c r="B74" s="25" t="s">
        <v>18</v>
      </c>
      <c r="C74" s="25" t="s">
        <v>1596</v>
      </c>
      <c r="D74" s="25" t="s">
        <v>1573</v>
      </c>
      <c r="E74" s="25" t="s">
        <v>1731</v>
      </c>
      <c r="F74" s="26" t="s">
        <v>1653</v>
      </c>
      <c r="G74" s="25" t="s">
        <v>1579</v>
      </c>
      <c r="H74" s="25">
        <v>2.0</v>
      </c>
      <c r="I74" s="25">
        <v>0.0</v>
      </c>
      <c r="J74" s="25">
        <v>2.0</v>
      </c>
      <c r="K74" s="25">
        <v>3.0</v>
      </c>
      <c r="L74" s="29" t="s">
        <v>708</v>
      </c>
      <c r="M74" s="40" t="str">
        <f>IFNA(VLOOKUP(L74,'Faculty Details'!$B:$H,4,0),"")</f>
        <v>Ms.KIRUTHIKA V R</v>
      </c>
      <c r="N74" s="40" t="str">
        <f>IFNA(VLOOKUP(L74,'Faculty Details'!$B:$H,7,0),"")</f>
        <v>kiruthikavr@bitsathy.ac.in</v>
      </c>
    </row>
    <row r="75" ht="37.5" customHeight="1">
      <c r="A75" s="25">
        <v>74.0</v>
      </c>
      <c r="B75" s="25" t="s">
        <v>18</v>
      </c>
      <c r="C75" s="25" t="s">
        <v>1596</v>
      </c>
      <c r="D75" s="25" t="s">
        <v>1573</v>
      </c>
      <c r="E75" s="25" t="s">
        <v>1732</v>
      </c>
      <c r="F75" s="26" t="s">
        <v>1655</v>
      </c>
      <c r="G75" s="25" t="s">
        <v>1579</v>
      </c>
      <c r="H75" s="25">
        <v>3.0</v>
      </c>
      <c r="I75" s="25">
        <v>0.0</v>
      </c>
      <c r="J75" s="25">
        <v>2.0</v>
      </c>
      <c r="K75" s="25">
        <v>4.0</v>
      </c>
      <c r="L75" s="29" t="s">
        <v>750</v>
      </c>
      <c r="M75" s="40" t="str">
        <f>IFNA(VLOOKUP(L75,'Faculty Details'!$B:$H,4,0),"")</f>
        <v>Dr.DEEPA PRIYA B S</v>
      </c>
      <c r="N75" s="40" t="str">
        <f>IFNA(VLOOKUP(L75,'Faculty Details'!$B:$H,7,0),"")</f>
        <v>deepapriya@bitsathy.ac.in</v>
      </c>
    </row>
    <row r="76" ht="37.5" customHeight="1">
      <c r="A76" s="25">
        <v>75.0</v>
      </c>
      <c r="B76" s="25" t="s">
        <v>18</v>
      </c>
      <c r="C76" s="25" t="s">
        <v>1596</v>
      </c>
      <c r="D76" s="25" t="s">
        <v>1573</v>
      </c>
      <c r="E76" s="25" t="s">
        <v>1732</v>
      </c>
      <c r="F76" s="26" t="s">
        <v>1655</v>
      </c>
      <c r="G76" s="25" t="s">
        <v>1579</v>
      </c>
      <c r="H76" s="25">
        <v>3.0</v>
      </c>
      <c r="I76" s="25">
        <v>0.0</v>
      </c>
      <c r="J76" s="25">
        <v>2.0</v>
      </c>
      <c r="K76" s="25">
        <v>4.0</v>
      </c>
      <c r="L76" s="29" t="s">
        <v>687</v>
      </c>
      <c r="M76" s="40" t="str">
        <f>IFNA(VLOOKUP(L76,'Faculty Details'!$B:$H,4,0),"")</f>
        <v>Dr.SWATHYPRIYADHARSINI P</v>
      </c>
      <c r="N76" s="40" t="str">
        <f>IFNA(VLOOKUP(L76,'Faculty Details'!$B:$H,7,0),"")</f>
        <v>swathypriyadharsini@bitsathy.ac.in</v>
      </c>
    </row>
    <row r="77" ht="37.5" customHeight="1">
      <c r="A77" s="25">
        <v>76.0</v>
      </c>
      <c r="B77" s="25" t="s">
        <v>18</v>
      </c>
      <c r="C77" s="25" t="s">
        <v>1596</v>
      </c>
      <c r="D77" s="25" t="s">
        <v>1573</v>
      </c>
      <c r="E77" s="25" t="s">
        <v>1732</v>
      </c>
      <c r="F77" s="26" t="s">
        <v>1655</v>
      </c>
      <c r="G77" s="25" t="s">
        <v>1579</v>
      </c>
      <c r="H77" s="25">
        <v>3.0</v>
      </c>
      <c r="I77" s="25">
        <v>0.0</v>
      </c>
      <c r="J77" s="25">
        <v>2.0</v>
      </c>
      <c r="K77" s="25">
        <v>4.0</v>
      </c>
      <c r="L77" s="29" t="s">
        <v>771</v>
      </c>
      <c r="M77" s="40" t="str">
        <f>IFNA(VLOOKUP(L77,'Faculty Details'!$B:$H,4,0),"")</f>
        <v>Mrs.ALAMELU M</v>
      </c>
      <c r="N77" s="40" t="str">
        <f>IFNA(VLOOKUP(L77,'Faculty Details'!$B:$H,7,0),"")</f>
        <v>alamelu@bitsathy.ac.in</v>
      </c>
    </row>
    <row r="78" ht="37.5" customHeight="1">
      <c r="A78" s="25">
        <v>77.0</v>
      </c>
      <c r="B78" s="25" t="s">
        <v>18</v>
      </c>
      <c r="C78" s="25" t="s">
        <v>1596</v>
      </c>
      <c r="D78" s="25" t="s">
        <v>1573</v>
      </c>
      <c r="E78" s="25" t="s">
        <v>1732</v>
      </c>
      <c r="F78" s="26" t="s">
        <v>1655</v>
      </c>
      <c r="G78" s="25" t="s">
        <v>1579</v>
      </c>
      <c r="H78" s="25">
        <v>3.0</v>
      </c>
      <c r="I78" s="25">
        <v>0.0</v>
      </c>
      <c r="J78" s="25">
        <v>2.0</v>
      </c>
      <c r="K78" s="25">
        <v>4.0</v>
      </c>
      <c r="L78" s="29" t="s">
        <v>681</v>
      </c>
      <c r="M78" s="40" t="str">
        <f>IFNA(VLOOKUP(L78,'Faculty Details'!$B:$H,4,0),"")</f>
        <v>Ms.SOUNDARIYA R S</v>
      </c>
      <c r="N78" s="40" t="str">
        <f>IFNA(VLOOKUP(L78,'Faculty Details'!$B:$H,7,0),"")</f>
        <v>soundariya@bitsathy.ac.in</v>
      </c>
    </row>
    <row r="79" ht="37.5" customHeight="1">
      <c r="A79" s="25">
        <v>78.0</v>
      </c>
      <c r="B79" s="25" t="s">
        <v>18</v>
      </c>
      <c r="C79" s="25" t="s">
        <v>1596</v>
      </c>
      <c r="D79" s="25" t="s">
        <v>1573</v>
      </c>
      <c r="E79" s="25" t="s">
        <v>1732</v>
      </c>
      <c r="F79" s="26" t="s">
        <v>1655</v>
      </c>
      <c r="G79" s="25" t="s">
        <v>1579</v>
      </c>
      <c r="H79" s="25">
        <v>3.0</v>
      </c>
      <c r="I79" s="25">
        <v>0.0</v>
      </c>
      <c r="J79" s="25">
        <v>2.0</v>
      </c>
      <c r="K79" s="25">
        <v>4.0</v>
      </c>
      <c r="L79" s="29" t="s">
        <v>744</v>
      </c>
      <c r="M79" s="40" t="str">
        <f>IFNA(VLOOKUP(L79,'Faculty Details'!$B:$H,4,0),"")</f>
        <v>Mrs.CHITRADEVI T N</v>
      </c>
      <c r="N79" s="40" t="str">
        <f>IFNA(VLOOKUP(L79,'Faculty Details'!$B:$H,7,0),"")</f>
        <v>chitradevi@bitsathy.ac.in</v>
      </c>
    </row>
    <row r="80" ht="37.5" customHeight="1">
      <c r="A80" s="25">
        <v>79.0</v>
      </c>
      <c r="B80" s="25" t="s">
        <v>18</v>
      </c>
      <c r="C80" s="25" t="s">
        <v>1596</v>
      </c>
      <c r="D80" s="25" t="s">
        <v>1573</v>
      </c>
      <c r="E80" s="25" t="s">
        <v>1732</v>
      </c>
      <c r="F80" s="26" t="s">
        <v>1655</v>
      </c>
      <c r="G80" s="25" t="s">
        <v>1579</v>
      </c>
      <c r="H80" s="25">
        <v>3.0</v>
      </c>
      <c r="I80" s="25">
        <v>0.0</v>
      </c>
      <c r="J80" s="25">
        <v>2.0</v>
      </c>
      <c r="K80" s="25">
        <v>4.0</v>
      </c>
      <c r="L80" s="29" t="s">
        <v>720</v>
      </c>
      <c r="M80" s="40" t="str">
        <f>IFNA(VLOOKUP(L80,'Faculty Details'!$B:$H,4,0),"")</f>
        <v>Mrs.KALAIVANI E</v>
      </c>
      <c r="N80" s="40" t="str">
        <f>IFNA(VLOOKUP(L80,'Faculty Details'!$B:$H,7,0),"")</f>
        <v>kalaivanie@bitsathy.ac.in</v>
      </c>
    </row>
    <row r="81" ht="37.5" customHeight="1">
      <c r="A81" s="25">
        <v>80.0</v>
      </c>
      <c r="B81" s="25" t="s">
        <v>18</v>
      </c>
      <c r="C81" s="25" t="s">
        <v>1596</v>
      </c>
      <c r="D81" s="25" t="s">
        <v>1607</v>
      </c>
      <c r="E81" s="25" t="s">
        <v>19</v>
      </c>
      <c r="F81" s="26" t="s">
        <v>8</v>
      </c>
      <c r="G81" s="25" t="s">
        <v>1576</v>
      </c>
      <c r="H81" s="25">
        <v>3.0</v>
      </c>
      <c r="I81" s="25">
        <v>0.0</v>
      </c>
      <c r="J81" s="25">
        <v>0.0</v>
      </c>
      <c r="K81" s="25">
        <v>3.0</v>
      </c>
      <c r="L81" s="29" t="s">
        <v>684</v>
      </c>
      <c r="M81" s="40" t="str">
        <f>IFNA(VLOOKUP(L81,'Faculty Details'!$B:$H,4,0),"")</f>
        <v>Dr.PRAVEEN V</v>
      </c>
      <c r="N81" s="40" t="str">
        <f>IFNA(VLOOKUP(L81,'Faculty Details'!$B:$H,7,0),"")</f>
        <v>praveen@bitsathy.ac.in</v>
      </c>
    </row>
    <row r="82" ht="37.5" customHeight="1">
      <c r="A82" s="25">
        <v>81.0</v>
      </c>
      <c r="B82" s="25" t="s">
        <v>18</v>
      </c>
      <c r="C82" s="25" t="s">
        <v>1596</v>
      </c>
      <c r="D82" s="25" t="s">
        <v>1607</v>
      </c>
      <c r="E82" s="25" t="s">
        <v>19</v>
      </c>
      <c r="F82" s="26" t="s">
        <v>8</v>
      </c>
      <c r="G82" s="25" t="s">
        <v>1576</v>
      </c>
      <c r="H82" s="25">
        <v>3.0</v>
      </c>
      <c r="I82" s="25">
        <v>0.0</v>
      </c>
      <c r="J82" s="25">
        <v>0.0</v>
      </c>
      <c r="K82" s="25">
        <v>3.0</v>
      </c>
      <c r="L82" s="29" t="s">
        <v>777</v>
      </c>
      <c r="M82" s="40" t="str">
        <f>IFNA(VLOOKUP(L82,'Faculty Details'!$B:$H,4,0),"")</f>
        <v>Mrs.MYTHILI G M</v>
      </c>
      <c r="N82" s="40" t="str">
        <f>IFNA(VLOOKUP(L82,'Faculty Details'!$B:$H,7,0),"")</f>
        <v>mythili@bitsathy.ac.in</v>
      </c>
    </row>
    <row r="83" ht="37.5" customHeight="1">
      <c r="A83" s="25">
        <v>82.0</v>
      </c>
      <c r="B83" s="25" t="s">
        <v>18</v>
      </c>
      <c r="C83" s="25" t="s">
        <v>1596</v>
      </c>
      <c r="D83" s="25" t="s">
        <v>1607</v>
      </c>
      <c r="E83" s="25" t="s">
        <v>19</v>
      </c>
      <c r="F83" s="26" t="s">
        <v>8</v>
      </c>
      <c r="G83" s="25" t="s">
        <v>1576</v>
      </c>
      <c r="H83" s="25">
        <v>3.0</v>
      </c>
      <c r="I83" s="25">
        <v>0.0</v>
      </c>
      <c r="J83" s="25">
        <v>0.0</v>
      </c>
      <c r="K83" s="25">
        <v>3.0</v>
      </c>
      <c r="L83" s="29" t="s">
        <v>789</v>
      </c>
      <c r="M83" s="40" t="str">
        <f>IFNA(VLOOKUP(L83,'Faculty Details'!$B:$H,4,0),"")</f>
        <v>Ms.MAHESH S</v>
      </c>
      <c r="N83" s="40" t="str">
        <f>IFNA(VLOOKUP(L83,'Faculty Details'!$B:$H,7,0),"")</f>
        <v>maheshs@bitsathy.ac.in</v>
      </c>
    </row>
    <row r="84" ht="37.5" customHeight="1">
      <c r="A84" s="25">
        <v>83.0</v>
      </c>
      <c r="B84" s="25" t="s">
        <v>18</v>
      </c>
      <c r="C84" s="25" t="s">
        <v>1596</v>
      </c>
      <c r="D84" s="25" t="s">
        <v>1607</v>
      </c>
      <c r="E84" s="25" t="s">
        <v>19</v>
      </c>
      <c r="F84" s="26" t="s">
        <v>8</v>
      </c>
      <c r="G84" s="25" t="s">
        <v>1576</v>
      </c>
      <c r="H84" s="25">
        <v>3.0</v>
      </c>
      <c r="I84" s="25">
        <v>0.0</v>
      </c>
      <c r="J84" s="25">
        <v>0.0</v>
      </c>
      <c r="K84" s="25">
        <v>3.0</v>
      </c>
      <c r="L84" s="29" t="s">
        <v>798</v>
      </c>
      <c r="M84" s="40" t="str">
        <f>IFNA(VLOOKUP(L84,'Faculty Details'!$B:$H,4,0),"")</f>
        <v>Mr.ASWIN JAYA SURYA M J</v>
      </c>
      <c r="N84" s="40" t="str">
        <f>IFNA(VLOOKUP(L84,'Faculty Details'!$B:$H,7,0),"")</f>
        <v>aswinjayasuryamj@bitsathy.ac.in</v>
      </c>
    </row>
    <row r="85" ht="37.5" customHeight="1">
      <c r="A85" s="25">
        <v>84.0</v>
      </c>
      <c r="B85" s="25" t="s">
        <v>18</v>
      </c>
      <c r="C85" s="25" t="s">
        <v>1596</v>
      </c>
      <c r="D85" s="25" t="s">
        <v>1607</v>
      </c>
      <c r="E85" s="25" t="s">
        <v>19</v>
      </c>
      <c r="F85" s="26" t="s">
        <v>8</v>
      </c>
      <c r="G85" s="25" t="s">
        <v>1576</v>
      </c>
      <c r="H85" s="25">
        <v>3.0</v>
      </c>
      <c r="I85" s="25">
        <v>0.0</v>
      </c>
      <c r="J85" s="25">
        <v>0.0</v>
      </c>
      <c r="K85" s="25">
        <v>3.0</v>
      </c>
      <c r="L85" s="29" t="s">
        <v>759</v>
      </c>
      <c r="M85" s="40" t="str">
        <f>IFNA(VLOOKUP(L85,'Faculty Details'!$B:$H,4,0),"")</f>
        <v>Mrs.PRIYANGA M A</v>
      </c>
      <c r="N85" s="40" t="str">
        <f>IFNA(VLOOKUP(L85,'Faculty Details'!$B:$H,7,0),"")</f>
        <v>priyanga@bitsathy.ac.in</v>
      </c>
    </row>
    <row r="86" ht="37.5" customHeight="1">
      <c r="A86" s="25">
        <v>85.0</v>
      </c>
      <c r="B86" s="25" t="s">
        <v>18</v>
      </c>
      <c r="C86" s="25" t="s">
        <v>1596</v>
      </c>
      <c r="D86" s="25" t="s">
        <v>1607</v>
      </c>
      <c r="E86" s="25" t="s">
        <v>19</v>
      </c>
      <c r="F86" s="26" t="s">
        <v>8</v>
      </c>
      <c r="G86" s="25" t="s">
        <v>1576</v>
      </c>
      <c r="H86" s="25">
        <v>3.0</v>
      </c>
      <c r="I86" s="25">
        <v>0.0</v>
      </c>
      <c r="J86" s="25">
        <v>0.0</v>
      </c>
      <c r="K86" s="25">
        <v>3.0</v>
      </c>
      <c r="L86" s="29" t="s">
        <v>741</v>
      </c>
      <c r="M86" s="40" t="str">
        <f>IFNA(VLOOKUP(L86,'Faculty Details'!$B:$H,4,0),"")</f>
        <v>Mrs.MOHANAMBAL K</v>
      </c>
      <c r="N86" s="40" t="str">
        <f>IFNA(VLOOKUP(L86,'Faculty Details'!$B:$H,7,0),"")</f>
        <v>mohanambal@bitsathy.ac.in</v>
      </c>
    </row>
    <row r="87" ht="37.5" customHeight="1">
      <c r="A87" s="25">
        <v>86.0</v>
      </c>
      <c r="B87" s="25" t="s">
        <v>18</v>
      </c>
      <c r="C87" s="25" t="s">
        <v>1596</v>
      </c>
      <c r="D87" s="25" t="s">
        <v>1607</v>
      </c>
      <c r="E87" s="25" t="s">
        <v>22</v>
      </c>
      <c r="F87" s="26" t="s">
        <v>23</v>
      </c>
      <c r="G87" s="25" t="s">
        <v>1576</v>
      </c>
      <c r="H87" s="25">
        <v>3.0</v>
      </c>
      <c r="I87" s="25">
        <v>0.0</v>
      </c>
      <c r="J87" s="25">
        <v>0.0</v>
      </c>
      <c r="K87" s="25">
        <v>3.0</v>
      </c>
      <c r="L87" s="29" t="s">
        <v>729</v>
      </c>
      <c r="M87" s="40" t="str">
        <f>IFNA(VLOOKUP(L87,'Faculty Details'!$B:$H,4,0),"")</f>
        <v>Dr.RAJESHKUMAR G</v>
      </c>
      <c r="N87" s="40" t="str">
        <f>IFNA(VLOOKUP(L87,'Faculty Details'!$B:$H,7,0),"")</f>
        <v>rajeshkumarg@bitsathy.ac.in</v>
      </c>
    </row>
    <row r="88" ht="37.5" customHeight="1">
      <c r="A88" s="25">
        <v>87.0</v>
      </c>
      <c r="B88" s="25" t="s">
        <v>18</v>
      </c>
      <c r="C88" s="25" t="s">
        <v>1596</v>
      </c>
      <c r="D88" s="25" t="s">
        <v>1607</v>
      </c>
      <c r="E88" s="35" t="s">
        <v>20</v>
      </c>
      <c r="F88" s="87" t="s">
        <v>21</v>
      </c>
      <c r="G88" s="25" t="s">
        <v>1576</v>
      </c>
      <c r="H88" s="25">
        <v>3.0</v>
      </c>
      <c r="I88" s="25">
        <v>0.0</v>
      </c>
      <c r="J88" s="25">
        <v>0.0</v>
      </c>
      <c r="K88" s="25">
        <v>3.0</v>
      </c>
      <c r="L88" s="29" t="s">
        <v>714</v>
      </c>
      <c r="M88" s="40" t="str">
        <f>IFNA(VLOOKUP(L88,'Faculty Details'!$B:$H,4,0),"")</f>
        <v>Ms.SANGAVI N</v>
      </c>
      <c r="N88" s="40" t="str">
        <f>IFNA(VLOOKUP(L88,'Faculty Details'!$B:$H,7,0),"")</f>
        <v>sangavin@bitsathy.ac.in</v>
      </c>
    </row>
    <row r="89" ht="37.5" customHeight="1">
      <c r="A89" s="25">
        <v>88.0</v>
      </c>
      <c r="B89" s="25" t="s">
        <v>18</v>
      </c>
      <c r="C89" s="25" t="s">
        <v>1596</v>
      </c>
      <c r="D89" s="25" t="s">
        <v>1573</v>
      </c>
      <c r="E89" s="25" t="s">
        <v>1608</v>
      </c>
      <c r="F89" s="26" t="s">
        <v>1609</v>
      </c>
      <c r="G89" s="25" t="s">
        <v>1588</v>
      </c>
      <c r="H89" s="25">
        <v>2.0</v>
      </c>
      <c r="I89" s="25">
        <v>0.0</v>
      </c>
      <c r="J89" s="25">
        <v>0.0</v>
      </c>
      <c r="K89" s="25">
        <v>2.0</v>
      </c>
      <c r="L89" s="29" t="s">
        <v>659</v>
      </c>
      <c r="M89" s="40" t="str">
        <f>IFNA(VLOOKUP(L89,'Faculty Details'!$B:$H,4,0),"")</f>
        <v>Dr.KAVITHA C</v>
      </c>
      <c r="N89" s="40" t="str">
        <f>IFNA(VLOOKUP(L89,'Faculty Details'!$B:$H,7,0),"")</f>
        <v>kavithac@bitsathy.ac.in</v>
      </c>
    </row>
    <row r="90" ht="37.5" customHeight="1">
      <c r="A90" s="25">
        <v>89.0</v>
      </c>
      <c r="B90" s="25" t="s">
        <v>18</v>
      </c>
      <c r="C90" s="25" t="s">
        <v>1596</v>
      </c>
      <c r="D90" s="25" t="s">
        <v>1573</v>
      </c>
      <c r="E90" s="25" t="s">
        <v>1608</v>
      </c>
      <c r="F90" s="26" t="s">
        <v>1609</v>
      </c>
      <c r="G90" s="25" t="s">
        <v>1588</v>
      </c>
      <c r="H90" s="25">
        <v>2.0</v>
      </c>
      <c r="I90" s="25">
        <v>0.0</v>
      </c>
      <c r="J90" s="25">
        <v>0.0</v>
      </c>
      <c r="K90" s="25">
        <v>2.0</v>
      </c>
      <c r="L90" s="29" t="s">
        <v>626</v>
      </c>
      <c r="M90" s="40" t="str">
        <f>IFNA(VLOOKUP(L90,'Faculty Details'!$B:$H,4,0),"")</f>
        <v>Dr.VISWANATHAN G</v>
      </c>
      <c r="N90" s="40" t="str">
        <f>IFNA(VLOOKUP(L90,'Faculty Details'!$B:$H,7,0),"")</f>
        <v>viswanathan@bitsathy.ac.in</v>
      </c>
    </row>
    <row r="91" ht="37.5" customHeight="1">
      <c r="A91" s="25">
        <v>90.0</v>
      </c>
      <c r="B91" s="25" t="s">
        <v>18</v>
      </c>
      <c r="C91" s="25" t="s">
        <v>1596</v>
      </c>
      <c r="D91" s="25" t="s">
        <v>1573</v>
      </c>
      <c r="E91" s="25" t="s">
        <v>1608</v>
      </c>
      <c r="F91" s="26" t="s">
        <v>1609</v>
      </c>
      <c r="G91" s="25" t="s">
        <v>1588</v>
      </c>
      <c r="H91" s="25">
        <v>2.0</v>
      </c>
      <c r="I91" s="25">
        <v>0.0</v>
      </c>
      <c r="J91" s="25">
        <v>0.0</v>
      </c>
      <c r="K91" s="25">
        <v>2.0</v>
      </c>
      <c r="L91" s="29" t="s">
        <v>623</v>
      </c>
      <c r="M91" s="40" t="str">
        <f>IFNA(VLOOKUP(L91,'Faculty Details'!$B:$H,4,0),"")</f>
        <v>Dr.MUTHUKUMAR P</v>
      </c>
      <c r="N91" s="40" t="str">
        <f>IFNA(VLOOKUP(L91,'Faculty Details'!$B:$H,7,0),"")</f>
        <v>muthukumar@bitsathy.ac.in</v>
      </c>
    </row>
    <row r="92" ht="37.5" customHeight="1">
      <c r="A92" s="25">
        <v>91.0</v>
      </c>
      <c r="B92" s="25" t="s">
        <v>18</v>
      </c>
      <c r="C92" s="25" t="s">
        <v>1596</v>
      </c>
      <c r="D92" s="25" t="s">
        <v>1573</v>
      </c>
      <c r="E92" s="25" t="s">
        <v>1608</v>
      </c>
      <c r="F92" s="26" t="s">
        <v>1609</v>
      </c>
      <c r="G92" s="25" t="s">
        <v>1588</v>
      </c>
      <c r="H92" s="25">
        <v>2.0</v>
      </c>
      <c r="I92" s="25">
        <v>0.0</v>
      </c>
      <c r="J92" s="25">
        <v>0.0</v>
      </c>
      <c r="K92" s="25">
        <v>2.0</v>
      </c>
      <c r="L92" s="29" t="s">
        <v>647</v>
      </c>
      <c r="M92" s="40" t="str">
        <f>IFNA(VLOOKUP(L92,'Faculty Details'!$B:$H,4,0),"")</f>
        <v>Dr.KASTHURI S</v>
      </c>
      <c r="N92" s="40" t="str">
        <f>IFNA(VLOOKUP(L92,'Faculty Details'!$B:$H,7,0),"")</f>
        <v>kasthuris@bitsathy.ac.in</v>
      </c>
    </row>
    <row r="93" ht="37.5" customHeight="1">
      <c r="A93" s="25">
        <v>92.0</v>
      </c>
      <c r="B93" s="25" t="s">
        <v>18</v>
      </c>
      <c r="C93" s="25" t="s">
        <v>1596</v>
      </c>
      <c r="D93" s="25" t="s">
        <v>1573</v>
      </c>
      <c r="E93" s="25" t="s">
        <v>1608</v>
      </c>
      <c r="F93" s="26" t="s">
        <v>1609</v>
      </c>
      <c r="G93" s="25" t="s">
        <v>1588</v>
      </c>
      <c r="H93" s="25">
        <v>2.0</v>
      </c>
      <c r="I93" s="25">
        <v>0.0</v>
      </c>
      <c r="J93" s="25">
        <v>0.0</v>
      </c>
      <c r="K93" s="25">
        <v>2.0</v>
      </c>
      <c r="L93" s="29" t="s">
        <v>641</v>
      </c>
      <c r="M93" s="40" t="str">
        <f>IFNA(VLOOKUP(L93,'Faculty Details'!$B:$H,4,0),"")</f>
        <v>Dr.JESIN BENETO A</v>
      </c>
      <c r="N93" s="40" t="str">
        <f>IFNA(VLOOKUP(L93,'Faculty Details'!$B:$H,7,0),"")</f>
        <v>jesinbeneto@bitsathy.ac.in</v>
      </c>
    </row>
    <row r="94" ht="37.5" customHeight="1">
      <c r="A94" s="25">
        <v>93.0</v>
      </c>
      <c r="B94" s="25" t="s">
        <v>18</v>
      </c>
      <c r="C94" s="25" t="s">
        <v>1596</v>
      </c>
      <c r="D94" s="25" t="s">
        <v>1573</v>
      </c>
      <c r="E94" s="25" t="s">
        <v>1608</v>
      </c>
      <c r="F94" s="26" t="s">
        <v>1609</v>
      </c>
      <c r="G94" s="25" t="s">
        <v>1588</v>
      </c>
      <c r="H94" s="25">
        <v>2.0</v>
      </c>
      <c r="I94" s="25">
        <v>0.0</v>
      </c>
      <c r="J94" s="25">
        <v>0.0</v>
      </c>
      <c r="K94" s="25">
        <v>2.0</v>
      </c>
      <c r="L94" s="29" t="s">
        <v>619</v>
      </c>
      <c r="M94" s="40" t="str">
        <f>IFNA(VLOOKUP(L94,'Faculty Details'!$B:$H,4,0),"")</f>
        <v>Dr.SATHISH V</v>
      </c>
      <c r="N94" s="40" t="str">
        <f>IFNA(VLOOKUP(L94,'Faculty Details'!$B:$H,7,0),"")</f>
        <v>sathishv@bitsathy.ac.in</v>
      </c>
    </row>
    <row r="95" ht="37.5" customHeight="1">
      <c r="A95" s="25">
        <v>94.0</v>
      </c>
      <c r="B95" s="25" t="s">
        <v>18</v>
      </c>
      <c r="C95" s="25" t="s">
        <v>1596</v>
      </c>
      <c r="D95" s="25" t="s">
        <v>1573</v>
      </c>
      <c r="E95" s="25" t="s">
        <v>1610</v>
      </c>
      <c r="F95" s="34" t="s">
        <v>1611</v>
      </c>
      <c r="G95" s="25" t="s">
        <v>1588</v>
      </c>
      <c r="H95" s="25">
        <v>0.0</v>
      </c>
      <c r="I95" s="25">
        <v>0.0</v>
      </c>
      <c r="J95" s="25">
        <v>2.0</v>
      </c>
      <c r="K95" s="25">
        <v>1.0</v>
      </c>
      <c r="L95" s="29" t="s">
        <v>1118</v>
      </c>
      <c r="M95" s="40" t="str">
        <f>IFNA(VLOOKUP(L95,'Faculty Details'!$B:$H,4,0),"")</f>
        <v>Dr.GAYATHRI G M</v>
      </c>
      <c r="N95" s="40" t="str">
        <f>IFNA(VLOOKUP(L95,'Faculty Details'!$B:$H,7,0),"")</f>
        <v>gayathri@bitsathy.ac.in</v>
      </c>
    </row>
    <row r="96" ht="37.5" customHeight="1">
      <c r="A96" s="25">
        <v>95.0</v>
      </c>
      <c r="B96" s="25" t="s">
        <v>18</v>
      </c>
      <c r="C96" s="25" t="s">
        <v>1596</v>
      </c>
      <c r="D96" s="25" t="s">
        <v>1573</v>
      </c>
      <c r="E96" s="25" t="s">
        <v>1610</v>
      </c>
      <c r="F96" s="34" t="s">
        <v>1611</v>
      </c>
      <c r="G96" s="25" t="s">
        <v>1588</v>
      </c>
      <c r="H96" s="25">
        <v>0.0</v>
      </c>
      <c r="I96" s="25">
        <v>0.0</v>
      </c>
      <c r="J96" s="25">
        <v>2.0</v>
      </c>
      <c r="K96" s="25">
        <v>1.0</v>
      </c>
      <c r="L96" s="29" t="s">
        <v>1124</v>
      </c>
      <c r="M96" s="40" t="str">
        <f>IFNA(VLOOKUP(L96,'Faculty Details'!$B:$H,4,0),"")</f>
        <v>Dr.EZHIL G</v>
      </c>
      <c r="N96" s="40" t="str">
        <f>IFNA(VLOOKUP(L96,'Faculty Details'!$B:$H,7,0),"")</f>
        <v>ezhil@bitsathy.ac.in</v>
      </c>
    </row>
    <row r="97" ht="37.5" customHeight="1">
      <c r="A97" s="25">
        <v>96.0</v>
      </c>
      <c r="B97" s="25" t="s">
        <v>18</v>
      </c>
      <c r="C97" s="25" t="s">
        <v>1596</v>
      </c>
      <c r="D97" s="25" t="s">
        <v>1573</v>
      </c>
      <c r="E97" s="25" t="s">
        <v>1610</v>
      </c>
      <c r="F97" s="34" t="s">
        <v>1611</v>
      </c>
      <c r="G97" s="25" t="s">
        <v>1588</v>
      </c>
      <c r="H97" s="25">
        <v>0.0</v>
      </c>
      <c r="I97" s="25">
        <v>0.0</v>
      </c>
      <c r="J97" s="25">
        <v>2.0</v>
      </c>
      <c r="K97" s="25">
        <v>1.0</v>
      </c>
      <c r="L97" s="29" t="s">
        <v>1121</v>
      </c>
      <c r="M97" s="40" t="str">
        <f>IFNA(VLOOKUP(L97,'Faculty Details'!$B:$H,4,0),"")</f>
        <v>Dr.ASLIN JERUSHA D</v>
      </c>
      <c r="N97" s="40" t="str">
        <f>IFNA(VLOOKUP(L97,'Faculty Details'!$B:$H,7,0),"")</f>
        <v>aslinjerusha@bitsathy.ac.in</v>
      </c>
    </row>
    <row r="98" ht="37.5" customHeight="1">
      <c r="A98" s="25">
        <v>97.0</v>
      </c>
      <c r="B98" s="25" t="s">
        <v>18</v>
      </c>
      <c r="C98" s="25" t="s">
        <v>1596</v>
      </c>
      <c r="D98" s="25" t="s">
        <v>1573</v>
      </c>
      <c r="E98" s="25" t="s">
        <v>1610</v>
      </c>
      <c r="F98" s="34" t="s">
        <v>1611</v>
      </c>
      <c r="G98" s="25" t="s">
        <v>1588</v>
      </c>
      <c r="H98" s="25">
        <v>0.0</v>
      </c>
      <c r="I98" s="25">
        <v>0.0</v>
      </c>
      <c r="J98" s="25">
        <v>2.0</v>
      </c>
      <c r="K98" s="25">
        <v>1.0</v>
      </c>
      <c r="L98" s="29" t="s">
        <v>1127</v>
      </c>
      <c r="M98" s="40" t="str">
        <f>IFNA(VLOOKUP(L98,'Faculty Details'!$B:$H,4,0),"")</f>
        <v>Dr.NITHYA S</v>
      </c>
      <c r="N98" s="40" t="str">
        <f>IFNA(VLOOKUP(L98,'Faculty Details'!$B:$H,7,0),"")</f>
        <v>nithyas@bitsathy.ac.in</v>
      </c>
    </row>
    <row r="99" ht="37.5" customHeight="1">
      <c r="A99" s="25">
        <v>98.0</v>
      </c>
      <c r="B99" s="25" t="s">
        <v>18</v>
      </c>
      <c r="C99" s="25" t="s">
        <v>1596</v>
      </c>
      <c r="D99" s="25" t="s">
        <v>1573</v>
      </c>
      <c r="E99" s="25" t="s">
        <v>1610</v>
      </c>
      <c r="F99" s="34" t="s">
        <v>1611</v>
      </c>
      <c r="G99" s="25" t="s">
        <v>1588</v>
      </c>
      <c r="H99" s="25">
        <v>0.0</v>
      </c>
      <c r="I99" s="25">
        <v>0.0</v>
      </c>
      <c r="J99" s="25">
        <v>2.0</v>
      </c>
      <c r="K99" s="25">
        <v>1.0</v>
      </c>
      <c r="L99" s="29" t="s">
        <v>1133</v>
      </c>
      <c r="M99" s="40" t="str">
        <f>IFNA(VLOOKUP(L99,'Faculty Details'!$B:$H,4,0),"")</f>
        <v>Dr.JAYA K</v>
      </c>
      <c r="N99" s="40" t="str">
        <f>IFNA(VLOOKUP(L99,'Faculty Details'!$B:$H,7,0),"")</f>
        <v>jayak@bitsathy.ac.in</v>
      </c>
    </row>
    <row r="100" ht="37.5" customHeight="1">
      <c r="A100" s="25">
        <v>99.0</v>
      </c>
      <c r="B100" s="25" t="s">
        <v>18</v>
      </c>
      <c r="C100" s="25" t="s">
        <v>1596</v>
      </c>
      <c r="D100" s="25" t="s">
        <v>1573</v>
      </c>
      <c r="E100" s="25" t="s">
        <v>1610</v>
      </c>
      <c r="F100" s="34" t="s">
        <v>1611</v>
      </c>
      <c r="G100" s="25" t="s">
        <v>1588</v>
      </c>
      <c r="H100" s="25">
        <v>0.0</v>
      </c>
      <c r="I100" s="25">
        <v>0.0</v>
      </c>
      <c r="J100" s="25">
        <v>2.0</v>
      </c>
      <c r="K100" s="25">
        <v>1.0</v>
      </c>
      <c r="L100" s="29" t="s">
        <v>1108</v>
      </c>
      <c r="M100" s="40" t="str">
        <f>IFNA(VLOOKUP(L100,'Faculty Details'!$B:$H,4,0),"")</f>
        <v>Dr.AJAI A</v>
      </c>
      <c r="N100" s="40" t="str">
        <f>IFNA(VLOOKUP(L100,'Faculty Details'!$B:$H,7,0),"")</f>
        <v>ajai@bitsathy.ac.in</v>
      </c>
    </row>
    <row r="101" ht="37.5" customHeight="1">
      <c r="A101" s="25">
        <v>100.0</v>
      </c>
      <c r="B101" s="25" t="s">
        <v>18</v>
      </c>
      <c r="C101" s="25" t="s">
        <v>1612</v>
      </c>
      <c r="D101" s="25" t="s">
        <v>1573</v>
      </c>
      <c r="E101" s="25" t="s">
        <v>1733</v>
      </c>
      <c r="F101" s="26" t="s">
        <v>1734</v>
      </c>
      <c r="G101" s="25" t="s">
        <v>1576</v>
      </c>
      <c r="H101" s="25">
        <v>3.0</v>
      </c>
      <c r="I101" s="25">
        <v>0.0</v>
      </c>
      <c r="J101" s="25">
        <v>0.0</v>
      </c>
      <c r="K101" s="25">
        <v>3.0</v>
      </c>
      <c r="L101" s="29" t="s">
        <v>747</v>
      </c>
      <c r="M101" s="40" t="str">
        <f>IFNA(VLOOKUP(L101,'Faculty Details'!$B:$H,4,0),"")</f>
        <v>Mrs.AMMU V</v>
      </c>
      <c r="N101" s="40" t="str">
        <f>IFNA(VLOOKUP(L101,'Faculty Details'!$B:$H,7,0),"")</f>
        <v>ammu@bitsathy.ac.in</v>
      </c>
    </row>
    <row r="102" ht="37.5" customHeight="1">
      <c r="A102" s="25">
        <v>101.0</v>
      </c>
      <c r="B102" s="25" t="s">
        <v>18</v>
      </c>
      <c r="C102" s="25" t="s">
        <v>1612</v>
      </c>
      <c r="D102" s="25" t="s">
        <v>1573</v>
      </c>
      <c r="E102" s="25" t="s">
        <v>1733</v>
      </c>
      <c r="F102" s="26" t="s">
        <v>1734</v>
      </c>
      <c r="G102" s="25" t="s">
        <v>1576</v>
      </c>
      <c r="H102" s="25">
        <v>3.0</v>
      </c>
      <c r="I102" s="25">
        <v>0.0</v>
      </c>
      <c r="J102" s="25">
        <v>0.0</v>
      </c>
      <c r="K102" s="25">
        <v>3.0</v>
      </c>
      <c r="L102" s="29" t="s">
        <v>711</v>
      </c>
      <c r="M102" s="40" t="str">
        <f>IFNA(VLOOKUP(L102,'Faculty Details'!$B:$H,4,0),"")</f>
        <v>Mrs.NITHYA R</v>
      </c>
      <c r="N102" s="40" t="str">
        <f>IFNA(VLOOKUP(L102,'Faculty Details'!$B:$H,7,0),"")</f>
        <v>nithyars@bitsathy.ac.in</v>
      </c>
    </row>
    <row r="103" ht="37.5" customHeight="1">
      <c r="A103" s="25">
        <v>102.0</v>
      </c>
      <c r="B103" s="25" t="s">
        <v>18</v>
      </c>
      <c r="C103" s="25" t="s">
        <v>1612</v>
      </c>
      <c r="D103" s="25" t="s">
        <v>1573</v>
      </c>
      <c r="E103" s="25" t="s">
        <v>1733</v>
      </c>
      <c r="F103" s="26" t="s">
        <v>1734</v>
      </c>
      <c r="G103" s="25" t="s">
        <v>1576</v>
      </c>
      <c r="H103" s="25">
        <v>3.0</v>
      </c>
      <c r="I103" s="25">
        <v>0.0</v>
      </c>
      <c r="J103" s="25">
        <v>0.0</v>
      </c>
      <c r="K103" s="25">
        <v>3.0</v>
      </c>
      <c r="L103" s="29" t="s">
        <v>798</v>
      </c>
      <c r="M103" s="40" t="str">
        <f>IFNA(VLOOKUP(L103,'Faculty Details'!$B:$H,4,0),"")</f>
        <v>Mr.ASWIN JAYA SURYA M J</v>
      </c>
      <c r="N103" s="40" t="str">
        <f>IFNA(VLOOKUP(L103,'Faculty Details'!$B:$H,7,0),"")</f>
        <v>aswinjayasuryamj@bitsathy.ac.in</v>
      </c>
    </row>
    <row r="104" ht="37.5" customHeight="1">
      <c r="A104" s="25">
        <v>103.0</v>
      </c>
      <c r="B104" s="25" t="s">
        <v>18</v>
      </c>
      <c r="C104" s="25" t="s">
        <v>1612</v>
      </c>
      <c r="D104" s="25" t="s">
        <v>1573</v>
      </c>
      <c r="E104" s="25" t="s">
        <v>1733</v>
      </c>
      <c r="F104" s="26" t="s">
        <v>1734</v>
      </c>
      <c r="G104" s="25" t="s">
        <v>1576</v>
      </c>
      <c r="H104" s="25">
        <v>3.0</v>
      </c>
      <c r="I104" s="25">
        <v>0.0</v>
      </c>
      <c r="J104" s="25">
        <v>0.0</v>
      </c>
      <c r="K104" s="25">
        <v>3.0</v>
      </c>
      <c r="L104" s="29" t="s">
        <v>672</v>
      </c>
      <c r="M104" s="40" t="str">
        <f>IFNA(VLOOKUP(L104,'Faculty Details'!$B:$H,4,0),"")</f>
        <v>Mrs.GANAGAVALLI K</v>
      </c>
      <c r="N104" s="40" t="str">
        <f>IFNA(VLOOKUP(L104,'Faculty Details'!$B:$H,7,0),"")</f>
        <v>ganagavalli@bitsathy.ac.in</v>
      </c>
    </row>
    <row r="105" ht="37.5" customHeight="1">
      <c r="A105" s="25">
        <v>104.0</v>
      </c>
      <c r="B105" s="25" t="s">
        <v>18</v>
      </c>
      <c r="C105" s="25" t="s">
        <v>1612</v>
      </c>
      <c r="D105" s="25" t="s">
        <v>1573</v>
      </c>
      <c r="E105" s="25" t="s">
        <v>1735</v>
      </c>
      <c r="F105" s="26" t="s">
        <v>1736</v>
      </c>
      <c r="G105" s="25" t="s">
        <v>1576</v>
      </c>
      <c r="H105" s="25">
        <v>3.0</v>
      </c>
      <c r="I105" s="25">
        <v>1.0</v>
      </c>
      <c r="J105" s="25">
        <v>0.0</v>
      </c>
      <c r="K105" s="25">
        <v>4.0</v>
      </c>
      <c r="L105" s="88" t="s">
        <v>669</v>
      </c>
      <c r="M105" s="40" t="str">
        <f>IFNA(VLOOKUP(L105,'Faculty Details'!$B:$H,4,0),"")</f>
        <v>Dr.KARTHIGA M</v>
      </c>
      <c r="N105" s="40" t="str">
        <f>IFNA(VLOOKUP(L105,'Faculty Details'!$B:$H,7,0),"")</f>
        <v>karthigam@bitsathy.ac.in</v>
      </c>
    </row>
    <row r="106" ht="37.5" customHeight="1">
      <c r="A106" s="25">
        <v>105.0</v>
      </c>
      <c r="B106" s="25" t="s">
        <v>18</v>
      </c>
      <c r="C106" s="25" t="s">
        <v>1612</v>
      </c>
      <c r="D106" s="25" t="s">
        <v>1573</v>
      </c>
      <c r="E106" s="25" t="s">
        <v>1735</v>
      </c>
      <c r="F106" s="26" t="s">
        <v>1736</v>
      </c>
      <c r="G106" s="25" t="s">
        <v>1576</v>
      </c>
      <c r="H106" s="25">
        <v>3.0</v>
      </c>
      <c r="I106" s="25">
        <v>1.0</v>
      </c>
      <c r="J106" s="25">
        <v>0.0</v>
      </c>
      <c r="K106" s="25">
        <v>4.0</v>
      </c>
      <c r="L106" s="29" t="s">
        <v>696</v>
      </c>
      <c r="M106" s="40" t="str">
        <f>IFNA(VLOOKUP(L106,'Faculty Details'!$B:$H,4,0),"")</f>
        <v>Dr.PARTHASARATHI P</v>
      </c>
      <c r="N106" s="40" t="str">
        <f>IFNA(VLOOKUP(L106,'Faculty Details'!$B:$H,7,0),"")</f>
        <v>parthasarathip@bitsathy.ac.in</v>
      </c>
    </row>
    <row r="107" ht="37.5" customHeight="1">
      <c r="A107" s="25">
        <v>106.0</v>
      </c>
      <c r="B107" s="25" t="s">
        <v>18</v>
      </c>
      <c r="C107" s="25" t="s">
        <v>1612</v>
      </c>
      <c r="D107" s="25" t="s">
        <v>1573</v>
      </c>
      <c r="E107" s="25" t="s">
        <v>1735</v>
      </c>
      <c r="F107" s="26" t="s">
        <v>1736</v>
      </c>
      <c r="G107" s="25" t="s">
        <v>1576</v>
      </c>
      <c r="H107" s="25">
        <v>3.0</v>
      </c>
      <c r="I107" s="25">
        <v>1.0</v>
      </c>
      <c r="J107" s="25">
        <v>0.0</v>
      </c>
      <c r="K107" s="25">
        <v>4.0</v>
      </c>
      <c r="L107" s="29" t="s">
        <v>807</v>
      </c>
      <c r="M107" s="40" t="str">
        <f>IFNA(VLOOKUP(L107,'Faculty Details'!$B:$H,4,0),"")</f>
        <v>Dr.PREMALATHA K</v>
      </c>
      <c r="N107" s="40" t="str">
        <f>IFNA(VLOOKUP(L107,'Faculty Details'!$B:$H,7,0),"")</f>
        <v>premalathak@bitsathy.ac.in</v>
      </c>
    </row>
    <row r="108" ht="37.5" customHeight="1">
      <c r="A108" s="25">
        <v>107.0</v>
      </c>
      <c r="B108" s="25" t="s">
        <v>18</v>
      </c>
      <c r="C108" s="25" t="s">
        <v>1612</v>
      </c>
      <c r="D108" s="25" t="s">
        <v>1573</v>
      </c>
      <c r="E108" s="25" t="s">
        <v>1735</v>
      </c>
      <c r="F108" s="26" t="s">
        <v>1736</v>
      </c>
      <c r="G108" s="25" t="s">
        <v>1576</v>
      </c>
      <c r="H108" s="25">
        <v>3.0</v>
      </c>
      <c r="I108" s="25">
        <v>1.0</v>
      </c>
      <c r="J108" s="25">
        <v>0.0</v>
      </c>
      <c r="K108" s="25">
        <v>4.0</v>
      </c>
      <c r="L108" s="29" t="s">
        <v>693</v>
      </c>
      <c r="M108" s="40" t="str">
        <f>IFNA(VLOOKUP(L108,'Faculty Details'!$B:$H,4,0),"")</f>
        <v>Mr.SUSEENDRAN S</v>
      </c>
      <c r="N108" s="40" t="str">
        <f>IFNA(VLOOKUP(L108,'Faculty Details'!$B:$H,7,0),"")</f>
        <v>suseendrans@bitsathy.ac.in</v>
      </c>
    </row>
    <row r="109" ht="37.5" customHeight="1">
      <c r="A109" s="25">
        <v>108.0</v>
      </c>
      <c r="B109" s="25" t="s">
        <v>18</v>
      </c>
      <c r="C109" s="25" t="s">
        <v>1612</v>
      </c>
      <c r="D109" s="25" t="s">
        <v>1573</v>
      </c>
      <c r="E109" s="25" t="s">
        <v>1737</v>
      </c>
      <c r="F109" s="26" t="s">
        <v>1738</v>
      </c>
      <c r="G109" s="25" t="s">
        <v>1579</v>
      </c>
      <c r="H109" s="25">
        <v>3.0</v>
      </c>
      <c r="I109" s="25">
        <v>0.0</v>
      </c>
      <c r="J109" s="25">
        <v>2.0</v>
      </c>
      <c r="K109" s="25">
        <v>4.0</v>
      </c>
      <c r="L109" s="29" t="s">
        <v>732</v>
      </c>
      <c r="M109" s="40" t="str">
        <f>IFNA(VLOOKUP(L109,'Faculty Details'!$B:$H,4,0),"")</f>
        <v>Mr.STEEPHAN AMALRAJ J</v>
      </c>
      <c r="N109" s="40" t="str">
        <f>IFNA(VLOOKUP(L109,'Faculty Details'!$B:$H,7,0),"")</f>
        <v>steephanamalrajj@bitsathy.ac.in</v>
      </c>
    </row>
    <row r="110" ht="37.5" customHeight="1">
      <c r="A110" s="25">
        <v>109.0</v>
      </c>
      <c r="B110" s="25" t="s">
        <v>18</v>
      </c>
      <c r="C110" s="25" t="s">
        <v>1612</v>
      </c>
      <c r="D110" s="25" t="s">
        <v>1573</v>
      </c>
      <c r="E110" s="25" t="s">
        <v>1737</v>
      </c>
      <c r="F110" s="26" t="s">
        <v>1738</v>
      </c>
      <c r="G110" s="25" t="s">
        <v>1579</v>
      </c>
      <c r="H110" s="25">
        <v>3.0</v>
      </c>
      <c r="I110" s="25">
        <v>0.0</v>
      </c>
      <c r="J110" s="25">
        <v>2.0</v>
      </c>
      <c r="K110" s="25">
        <v>4.0</v>
      </c>
      <c r="L110" s="29" t="s">
        <v>705</v>
      </c>
      <c r="M110" s="40" t="str">
        <f>IFNA(VLOOKUP(L110,'Faculty Details'!$B:$H,4,0),"")</f>
        <v>Dr.RAJESH KANNA P</v>
      </c>
      <c r="N110" s="40" t="str">
        <f>IFNA(VLOOKUP(L110,'Faculty Details'!$B:$H,7,0),"")</f>
        <v>rajeshkannap@bitsathy.ac.in</v>
      </c>
    </row>
    <row r="111" ht="37.5" customHeight="1">
      <c r="A111" s="25">
        <v>110.0</v>
      </c>
      <c r="B111" s="25" t="s">
        <v>18</v>
      </c>
      <c r="C111" s="25" t="s">
        <v>1612</v>
      </c>
      <c r="D111" s="25" t="s">
        <v>1573</v>
      </c>
      <c r="E111" s="25" t="s">
        <v>1737</v>
      </c>
      <c r="F111" s="26" t="s">
        <v>1738</v>
      </c>
      <c r="G111" s="25" t="s">
        <v>1579</v>
      </c>
      <c r="H111" s="25">
        <v>3.0</v>
      </c>
      <c r="I111" s="25">
        <v>0.0</v>
      </c>
      <c r="J111" s="25">
        <v>2.0</v>
      </c>
      <c r="K111" s="25">
        <v>4.0</v>
      </c>
      <c r="L111" s="29" t="s">
        <v>684</v>
      </c>
      <c r="M111" s="40" t="str">
        <f>IFNA(VLOOKUP(L111,'Faculty Details'!$B:$H,4,0),"")</f>
        <v>Dr.PRAVEEN V</v>
      </c>
      <c r="N111" s="40" t="str">
        <f>IFNA(VLOOKUP(L111,'Faculty Details'!$B:$H,7,0),"")</f>
        <v>praveen@bitsathy.ac.in</v>
      </c>
    </row>
    <row r="112" ht="37.5" customHeight="1">
      <c r="A112" s="25">
        <v>111.0</v>
      </c>
      <c r="B112" s="25" t="s">
        <v>18</v>
      </c>
      <c r="C112" s="25" t="s">
        <v>1612</v>
      </c>
      <c r="D112" s="25" t="s">
        <v>1573</v>
      </c>
      <c r="E112" s="25" t="s">
        <v>1737</v>
      </c>
      <c r="F112" s="26" t="s">
        <v>1738</v>
      </c>
      <c r="G112" s="25" t="s">
        <v>1579</v>
      </c>
      <c r="H112" s="25">
        <v>3.0</v>
      </c>
      <c r="I112" s="25">
        <v>0.0</v>
      </c>
      <c r="J112" s="25">
        <v>2.0</v>
      </c>
      <c r="K112" s="25">
        <v>4.0</v>
      </c>
      <c r="L112" s="29" t="s">
        <v>665</v>
      </c>
      <c r="M112" s="40" t="str">
        <f>IFNA(VLOOKUP(L112,'Faculty Details'!$B:$H,4,0),"")</f>
        <v>Mr.DINESH P S</v>
      </c>
      <c r="N112" s="40" t="str">
        <f>IFNA(VLOOKUP(L112,'Faculty Details'!$B:$H,7,0),"")</f>
        <v>dineshps@bitsathy.ac.in</v>
      </c>
    </row>
    <row r="113" ht="37.5" customHeight="1">
      <c r="A113" s="25">
        <v>112.0</v>
      </c>
      <c r="B113" s="25" t="s">
        <v>18</v>
      </c>
      <c r="C113" s="25" t="s">
        <v>1612</v>
      </c>
      <c r="D113" s="25" t="s">
        <v>1619</v>
      </c>
      <c r="E113" s="25" t="s">
        <v>126</v>
      </c>
      <c r="F113" s="26" t="s">
        <v>78</v>
      </c>
      <c r="G113" s="25" t="s">
        <v>1576</v>
      </c>
      <c r="H113" s="25">
        <v>3.0</v>
      </c>
      <c r="I113" s="25">
        <v>0.0</v>
      </c>
      <c r="J113" s="25">
        <v>0.0</v>
      </c>
      <c r="K113" s="25">
        <v>3.0</v>
      </c>
      <c r="L113" s="29" t="s">
        <v>723</v>
      </c>
      <c r="M113" s="40" t="str">
        <f>IFNA(VLOOKUP(L113,'Faculty Details'!$B:$H,4,0),"")</f>
        <v>Dr.SARANYA K</v>
      </c>
      <c r="N113" s="40" t="str">
        <f>IFNA(VLOOKUP(L113,'Faculty Details'!$B:$H,7,0),"")</f>
        <v>saranyaks@bitsathy.ac.in</v>
      </c>
    </row>
    <row r="114" ht="37.5" customHeight="1">
      <c r="A114" s="25">
        <v>113.0</v>
      </c>
      <c r="B114" s="25" t="s">
        <v>18</v>
      </c>
      <c r="C114" s="25" t="s">
        <v>1612</v>
      </c>
      <c r="D114" s="25" t="s">
        <v>1619</v>
      </c>
      <c r="E114" s="25" t="s">
        <v>126</v>
      </c>
      <c r="F114" s="26" t="s">
        <v>78</v>
      </c>
      <c r="G114" s="25" t="s">
        <v>1576</v>
      </c>
      <c r="H114" s="25">
        <v>3.0</v>
      </c>
      <c r="I114" s="25">
        <v>0.0</v>
      </c>
      <c r="J114" s="25">
        <v>0.0</v>
      </c>
      <c r="K114" s="25">
        <v>3.0</v>
      </c>
      <c r="L114" s="29" t="s">
        <v>780</v>
      </c>
      <c r="M114" s="40" t="str">
        <f>IFNA(VLOOKUP(L114,'Faculty Details'!$B:$H,4,0),"")</f>
        <v>Ms.GAYATHIRI DEVI S</v>
      </c>
      <c r="N114" s="40" t="str">
        <f>IFNA(VLOOKUP(L114,'Faculty Details'!$B:$H,7,0),"")</f>
        <v>gayathiridevis@bitsathy.ac.in</v>
      </c>
    </row>
    <row r="115" ht="37.5" customHeight="1">
      <c r="A115" s="25">
        <v>114.0</v>
      </c>
      <c r="B115" s="25" t="s">
        <v>18</v>
      </c>
      <c r="C115" s="25" t="s">
        <v>1612</v>
      </c>
      <c r="D115" s="25" t="s">
        <v>1619</v>
      </c>
      <c r="E115" s="25" t="s">
        <v>127</v>
      </c>
      <c r="F115" s="26" t="s">
        <v>128</v>
      </c>
      <c r="G115" s="25" t="s">
        <v>1576</v>
      </c>
      <c r="H115" s="25">
        <v>3.0</v>
      </c>
      <c r="I115" s="25">
        <v>0.0</v>
      </c>
      <c r="J115" s="25">
        <v>0.0</v>
      </c>
      <c r="K115" s="25">
        <v>3.0</v>
      </c>
      <c r="L115" s="29" t="s">
        <v>717</v>
      </c>
      <c r="M115" s="40" t="str">
        <f>IFNA(VLOOKUP(L115,'Faculty Details'!$B:$H,4,0),"")</f>
        <v>Mr.SATHISHKANNAN R</v>
      </c>
      <c r="N115" s="40" t="str">
        <f>IFNA(VLOOKUP(L115,'Faculty Details'!$B:$H,7,0),"")</f>
        <v>sathishkannanr@bitsathy.ac.in</v>
      </c>
    </row>
    <row r="116" ht="37.5" customHeight="1">
      <c r="A116" s="25">
        <v>115.0</v>
      </c>
      <c r="B116" s="25" t="s">
        <v>18</v>
      </c>
      <c r="C116" s="25" t="s">
        <v>1612</v>
      </c>
      <c r="D116" s="25" t="s">
        <v>1619</v>
      </c>
      <c r="E116" s="25" t="s">
        <v>127</v>
      </c>
      <c r="F116" s="26" t="s">
        <v>128</v>
      </c>
      <c r="G116" s="25" t="s">
        <v>1576</v>
      </c>
      <c r="H116" s="25">
        <v>3.0</v>
      </c>
      <c r="I116" s="25">
        <v>0.0</v>
      </c>
      <c r="J116" s="25">
        <v>0.0</v>
      </c>
      <c r="K116" s="25">
        <v>3.0</v>
      </c>
      <c r="L116" s="29" t="s">
        <v>729</v>
      </c>
      <c r="M116" s="40" t="str">
        <f>IFNA(VLOOKUP(L116,'Faculty Details'!$B:$H,4,0),"")</f>
        <v>Dr.RAJESHKUMAR G</v>
      </c>
      <c r="N116" s="40" t="str">
        <f>IFNA(VLOOKUP(L116,'Faculty Details'!$B:$H,7,0),"")</f>
        <v>rajeshkumarg@bitsathy.ac.in</v>
      </c>
    </row>
    <row r="117" ht="37.5" customHeight="1">
      <c r="A117" s="25">
        <v>116.0</v>
      </c>
      <c r="B117" s="25" t="s">
        <v>18</v>
      </c>
      <c r="C117" s="25" t="s">
        <v>1612</v>
      </c>
      <c r="D117" s="25" t="s">
        <v>1620</v>
      </c>
      <c r="E117" s="25" t="s">
        <v>129</v>
      </c>
      <c r="F117" s="26" t="s">
        <v>130</v>
      </c>
      <c r="G117" s="25" t="s">
        <v>1576</v>
      </c>
      <c r="H117" s="25">
        <v>3.0</v>
      </c>
      <c r="I117" s="25">
        <v>0.0</v>
      </c>
      <c r="J117" s="25">
        <v>0.0</v>
      </c>
      <c r="K117" s="25">
        <v>3.0</v>
      </c>
      <c r="L117" s="29" t="s">
        <v>687</v>
      </c>
      <c r="M117" s="40" t="str">
        <f>IFNA(VLOOKUP(L117,'Faculty Details'!$B:$H,4,0),"")</f>
        <v>Dr.SWATHYPRIYADHARSINI P</v>
      </c>
      <c r="N117" s="40" t="str">
        <f>IFNA(VLOOKUP(L117,'Faculty Details'!$B:$H,7,0),"")</f>
        <v>swathypriyadharsini@bitsathy.ac.in</v>
      </c>
    </row>
    <row r="118" ht="37.5" customHeight="1">
      <c r="A118" s="25">
        <v>117.0</v>
      </c>
      <c r="B118" s="25" t="s">
        <v>18</v>
      </c>
      <c r="C118" s="25" t="s">
        <v>1612</v>
      </c>
      <c r="D118" s="25" t="s">
        <v>1620</v>
      </c>
      <c r="E118" s="25" t="s">
        <v>129</v>
      </c>
      <c r="F118" s="26" t="s">
        <v>130</v>
      </c>
      <c r="G118" s="25" t="s">
        <v>1576</v>
      </c>
      <c r="H118" s="25">
        <v>3.0</v>
      </c>
      <c r="I118" s="25">
        <v>0.0</v>
      </c>
      <c r="J118" s="25">
        <v>0.0</v>
      </c>
      <c r="K118" s="25">
        <v>3.0</v>
      </c>
      <c r="L118" s="29" t="s">
        <v>762</v>
      </c>
      <c r="M118" s="40" t="str">
        <f>IFNA(VLOOKUP(L118,'Faculty Details'!$B:$H,4,0),"")</f>
        <v>Ms.SATHIYA B</v>
      </c>
      <c r="N118" s="40" t="str">
        <f>IFNA(VLOOKUP(L118,'Faculty Details'!$B:$H,7,0),"")</f>
        <v>sathiya@bitsathy.ac.in</v>
      </c>
    </row>
    <row r="119" ht="37.5" customHeight="1">
      <c r="A119" s="25">
        <v>118.0</v>
      </c>
      <c r="B119" s="25" t="s">
        <v>18</v>
      </c>
      <c r="C119" s="25" t="s">
        <v>1612</v>
      </c>
      <c r="D119" s="25" t="s">
        <v>1620</v>
      </c>
      <c r="E119" s="89" t="s">
        <v>131</v>
      </c>
      <c r="F119" s="87" t="s">
        <v>68</v>
      </c>
      <c r="G119" s="25" t="s">
        <v>1576</v>
      </c>
      <c r="H119" s="25">
        <v>3.0</v>
      </c>
      <c r="I119" s="25">
        <v>0.0</v>
      </c>
      <c r="J119" s="25">
        <v>0.0</v>
      </c>
      <c r="K119" s="25">
        <v>3.0</v>
      </c>
      <c r="L119" s="29" t="s">
        <v>744</v>
      </c>
      <c r="M119" s="40" t="str">
        <f>IFNA(VLOOKUP(L119,'Faculty Details'!$B:$H,4,0),"")</f>
        <v>Mrs.CHITRADEVI T N</v>
      </c>
      <c r="N119" s="40" t="str">
        <f>IFNA(VLOOKUP(L119,'Faculty Details'!$B:$H,7,0),"")</f>
        <v>chitradevi@bitsathy.ac.in</v>
      </c>
    </row>
    <row r="120" ht="37.5" customHeight="1">
      <c r="A120" s="25">
        <v>119.0</v>
      </c>
      <c r="B120" s="25" t="s">
        <v>18</v>
      </c>
      <c r="C120" s="25" t="s">
        <v>1612</v>
      </c>
      <c r="D120" s="25" t="s">
        <v>1620</v>
      </c>
      <c r="E120" s="89" t="s">
        <v>131</v>
      </c>
      <c r="F120" s="87" t="s">
        <v>68</v>
      </c>
      <c r="G120" s="25" t="s">
        <v>1576</v>
      </c>
      <c r="H120" s="25">
        <v>3.0</v>
      </c>
      <c r="I120" s="25">
        <v>0.0</v>
      </c>
      <c r="J120" s="25">
        <v>0.0</v>
      </c>
      <c r="K120" s="25">
        <v>3.0</v>
      </c>
      <c r="L120" s="83" t="s">
        <v>786</v>
      </c>
      <c r="M120" s="40" t="str">
        <f>IFNA(VLOOKUP(L120,'Faculty Details'!$B:$H,4,0),"")</f>
        <v>Ms.THANGATAMILSELVI S</v>
      </c>
      <c r="N120" s="40" t="str">
        <f>IFNA(VLOOKUP(L120,'Faculty Details'!$B:$H,7,0),"")</f>
        <v>thangatamilselvis@bitsathy.ac.in</v>
      </c>
    </row>
    <row r="121" ht="37.5" customHeight="1">
      <c r="A121" s="25">
        <v>120.0</v>
      </c>
      <c r="B121" s="25" t="s">
        <v>18</v>
      </c>
      <c r="C121" s="25" t="s">
        <v>1612</v>
      </c>
      <c r="D121" s="25" t="s">
        <v>1621</v>
      </c>
      <c r="E121" s="89" t="s">
        <v>132</v>
      </c>
      <c r="F121" s="87" t="s">
        <v>133</v>
      </c>
      <c r="G121" s="25" t="s">
        <v>1576</v>
      </c>
      <c r="H121" s="25">
        <v>3.0</v>
      </c>
      <c r="I121" s="25">
        <v>0.0</v>
      </c>
      <c r="J121" s="25">
        <v>0.0</v>
      </c>
      <c r="K121" s="25">
        <v>3.0</v>
      </c>
      <c r="L121" s="83" t="s">
        <v>738</v>
      </c>
      <c r="M121" s="40" t="str">
        <f>IFNA(VLOOKUP(L121,'Faculty Details'!$B:$H,4,0),"")</f>
        <v>Mr.SATHYAMOORTHY J</v>
      </c>
      <c r="N121" s="40" t="str">
        <f>IFNA(VLOOKUP(L121,'Faculty Details'!$B:$H,7,0),"")</f>
        <v>sathyamoorthyj@bitsathy.ac.in</v>
      </c>
    </row>
    <row r="122" ht="37.5" customHeight="1">
      <c r="A122" s="25">
        <v>121.0</v>
      </c>
      <c r="B122" s="25" t="s">
        <v>18</v>
      </c>
      <c r="C122" s="25" t="s">
        <v>1612</v>
      </c>
      <c r="D122" s="25" t="s">
        <v>1621</v>
      </c>
      <c r="E122" s="89" t="s">
        <v>132</v>
      </c>
      <c r="F122" s="87" t="s">
        <v>133</v>
      </c>
      <c r="G122" s="25" t="s">
        <v>1576</v>
      </c>
      <c r="H122" s="25">
        <v>3.0</v>
      </c>
      <c r="I122" s="25">
        <v>0.0</v>
      </c>
      <c r="J122" s="25">
        <v>0.0</v>
      </c>
      <c r="K122" s="25">
        <v>3.0</v>
      </c>
      <c r="L122" s="29" t="s">
        <v>795</v>
      </c>
      <c r="M122" s="40" t="str">
        <f>IFNA(VLOOKUP(L122,'Faculty Details'!$B:$H,4,0),"")</f>
        <v>Mr.RANGARAJ K</v>
      </c>
      <c r="N122" s="40" t="str">
        <f>IFNA(VLOOKUP(L122,'Faculty Details'!$B:$H,7,0),"")</f>
        <v>rangarajk@bitsathy.ac.in</v>
      </c>
    </row>
    <row r="123" ht="37.5" customHeight="1">
      <c r="A123" s="25">
        <v>122.0</v>
      </c>
      <c r="B123" s="25" t="s">
        <v>18</v>
      </c>
      <c r="C123" s="25" t="s">
        <v>1612</v>
      </c>
      <c r="D123" s="25" t="s">
        <v>1621</v>
      </c>
      <c r="E123" s="89" t="s">
        <v>132</v>
      </c>
      <c r="F123" s="87" t="s">
        <v>133</v>
      </c>
      <c r="G123" s="25" t="s">
        <v>1576</v>
      </c>
      <c r="H123" s="25">
        <v>3.0</v>
      </c>
      <c r="I123" s="25">
        <v>0.0</v>
      </c>
      <c r="J123" s="25">
        <v>0.0</v>
      </c>
      <c r="K123" s="25">
        <v>3.0</v>
      </c>
      <c r="L123" s="29" t="s">
        <v>681</v>
      </c>
      <c r="M123" s="40" t="str">
        <f>IFNA(VLOOKUP(L123,'Faculty Details'!$B:$H,4,0),"")</f>
        <v>Ms.SOUNDARIYA R S</v>
      </c>
      <c r="N123" s="40" t="str">
        <f>IFNA(VLOOKUP(L123,'Faculty Details'!$B:$H,7,0),"")</f>
        <v>soundariya@bitsathy.ac.in</v>
      </c>
    </row>
    <row r="124" ht="37.5" customHeight="1">
      <c r="A124" s="25">
        <v>123.0</v>
      </c>
      <c r="B124" s="25" t="s">
        <v>18</v>
      </c>
      <c r="C124" s="25" t="s">
        <v>1612</v>
      </c>
      <c r="D124" s="25" t="s">
        <v>1621</v>
      </c>
      <c r="E124" s="89" t="s">
        <v>134</v>
      </c>
      <c r="F124" s="87" t="s">
        <v>72</v>
      </c>
      <c r="G124" s="25" t="s">
        <v>1576</v>
      </c>
      <c r="H124" s="25">
        <v>3.0</v>
      </c>
      <c r="I124" s="25">
        <v>0.0</v>
      </c>
      <c r="J124" s="25">
        <v>0.0</v>
      </c>
      <c r="K124" s="25">
        <v>3.0</v>
      </c>
      <c r="L124" s="29" t="s">
        <v>735</v>
      </c>
      <c r="M124" s="40" t="str">
        <f>IFNA(VLOOKUP(L124,'Faculty Details'!$B:$H,4,0),"")</f>
        <v>Mrs.KAVITHA R</v>
      </c>
      <c r="N124" s="40" t="str">
        <f>IFNA(VLOOKUP(L124,'Faculty Details'!$B:$H,7,0),"")</f>
        <v>kavithar@bitsathy.ac.in</v>
      </c>
    </row>
    <row r="125" ht="37.5" customHeight="1">
      <c r="A125" s="25">
        <v>124.0</v>
      </c>
      <c r="B125" s="25" t="s">
        <v>18</v>
      </c>
      <c r="C125" s="25" t="s">
        <v>1612</v>
      </c>
      <c r="D125" s="25" t="s">
        <v>86</v>
      </c>
      <c r="E125" s="89" t="s">
        <v>124</v>
      </c>
      <c r="F125" s="87" t="s">
        <v>125</v>
      </c>
      <c r="G125" s="25" t="s">
        <v>1576</v>
      </c>
      <c r="H125" s="25">
        <v>3.0</v>
      </c>
      <c r="I125" s="25">
        <v>0.0</v>
      </c>
      <c r="J125" s="25">
        <v>0.0</v>
      </c>
      <c r="K125" s="25">
        <v>3.0</v>
      </c>
      <c r="L125" s="83" t="s">
        <v>699</v>
      </c>
      <c r="M125" s="40" t="str">
        <f>IFNA(VLOOKUP(L125,'Faculty Details'!$B:$H,4,0),"")</f>
        <v>Dr.DHIVYA P</v>
      </c>
      <c r="N125" s="40" t="str">
        <f>IFNA(VLOOKUP(L125,'Faculty Details'!$B:$H,7,0),"")</f>
        <v>dhivyap@bitsathy.ac.in</v>
      </c>
    </row>
    <row r="126" ht="37.5" customHeight="1">
      <c r="A126" s="25">
        <v>125.0</v>
      </c>
      <c r="B126" s="25" t="s">
        <v>18</v>
      </c>
      <c r="C126" s="25" t="s">
        <v>1612</v>
      </c>
      <c r="D126" s="25" t="s">
        <v>86</v>
      </c>
      <c r="E126" s="89" t="s">
        <v>124</v>
      </c>
      <c r="F126" s="87" t="s">
        <v>125</v>
      </c>
      <c r="G126" s="25" t="s">
        <v>1576</v>
      </c>
      <c r="H126" s="25">
        <v>3.0</v>
      </c>
      <c r="I126" s="25">
        <v>0.0</v>
      </c>
      <c r="J126" s="25">
        <v>0.0</v>
      </c>
      <c r="K126" s="25">
        <v>3.0</v>
      </c>
      <c r="L126" s="83" t="s">
        <v>753</v>
      </c>
      <c r="M126" s="40" t="str">
        <f>IFNA(VLOOKUP(L126,'Faculty Details'!$B:$H,4,0),"")</f>
        <v>Mrs.GUNAVARDINI V</v>
      </c>
      <c r="N126" s="40" t="str">
        <f>IFNA(VLOOKUP(L126,'Faculty Details'!$B:$H,7,0),"")</f>
        <v>gunavardini@bitsathy.ac.in</v>
      </c>
    </row>
    <row r="127" ht="37.5" customHeight="1">
      <c r="A127" s="25">
        <v>126.0</v>
      </c>
      <c r="B127" s="25" t="s">
        <v>18</v>
      </c>
      <c r="C127" s="25" t="s">
        <v>1612</v>
      </c>
      <c r="D127" s="25" t="s">
        <v>1622</v>
      </c>
      <c r="E127" s="89" t="s">
        <v>122</v>
      </c>
      <c r="F127" s="87" t="s">
        <v>123</v>
      </c>
      <c r="G127" s="25" t="s">
        <v>1576</v>
      </c>
      <c r="H127" s="25">
        <v>3.0</v>
      </c>
      <c r="I127" s="25">
        <v>0.0</v>
      </c>
      <c r="J127" s="25">
        <v>0.0</v>
      </c>
      <c r="K127" s="25">
        <v>3.0</v>
      </c>
      <c r="L127" s="29" t="s">
        <v>774</v>
      </c>
      <c r="M127" s="40" t="str">
        <f>IFNA(VLOOKUP(L127,'Faculty Details'!$B:$H,4,0),"")</f>
        <v>Ms.PARKAVI S</v>
      </c>
      <c r="N127" s="40" t="str">
        <f>IFNA(VLOOKUP(L127,'Faculty Details'!$B:$H,7,0),"")</f>
        <v>parkavi@bitsathy.ac.in</v>
      </c>
    </row>
    <row r="128" ht="37.5" customHeight="1">
      <c r="A128" s="25">
        <v>127.0</v>
      </c>
      <c r="B128" s="25" t="s">
        <v>18</v>
      </c>
      <c r="C128" s="25" t="s">
        <v>1612</v>
      </c>
      <c r="D128" s="25" t="s">
        <v>1622</v>
      </c>
      <c r="E128" s="89" t="s">
        <v>122</v>
      </c>
      <c r="F128" s="87" t="s">
        <v>123</v>
      </c>
      <c r="G128" s="25" t="s">
        <v>1576</v>
      </c>
      <c r="H128" s="25">
        <v>3.0</v>
      </c>
      <c r="I128" s="25">
        <v>0.0</v>
      </c>
      <c r="J128" s="25">
        <v>0.0</v>
      </c>
      <c r="K128" s="25">
        <v>3.0</v>
      </c>
      <c r="L128" s="29" t="s">
        <v>783</v>
      </c>
      <c r="M128" s="40" t="str">
        <f>IFNA(VLOOKUP(L128,'Faculty Details'!$B:$H,4,0),"")</f>
        <v>Mrs.KAYALVIZHI B</v>
      </c>
      <c r="N128" s="40" t="str">
        <f>IFNA(VLOOKUP(L128,'Faculty Details'!$B:$H,7,0),"")</f>
        <v>kayalvizhib@bitsathy.ac.in</v>
      </c>
    </row>
    <row r="129" ht="37.5" customHeight="1">
      <c r="A129" s="25">
        <v>128.0</v>
      </c>
      <c r="B129" s="25" t="s">
        <v>18</v>
      </c>
      <c r="C129" s="25" t="s">
        <v>1612</v>
      </c>
      <c r="D129" s="25" t="s">
        <v>1622</v>
      </c>
      <c r="E129" s="89" t="s">
        <v>122</v>
      </c>
      <c r="F129" s="87" t="s">
        <v>123</v>
      </c>
      <c r="G129" s="25" t="s">
        <v>1576</v>
      </c>
      <c r="H129" s="25">
        <v>3.0</v>
      </c>
      <c r="I129" s="25">
        <v>0.0</v>
      </c>
      <c r="J129" s="25">
        <v>0.0</v>
      </c>
      <c r="K129" s="25">
        <v>3.0</v>
      </c>
      <c r="L129" s="29" t="s">
        <v>777</v>
      </c>
      <c r="M129" s="40" t="str">
        <f>IFNA(VLOOKUP(L129,'Faculty Details'!$B:$H,4,0),"")</f>
        <v>Mrs.MYTHILI G M</v>
      </c>
      <c r="N129" s="40" t="str">
        <f>IFNA(VLOOKUP(L129,'Faculty Details'!$B:$H,7,0),"")</f>
        <v>mythili@bitsathy.ac.in</v>
      </c>
    </row>
    <row r="130" ht="37.5" customHeight="1">
      <c r="A130" s="25">
        <v>129.0</v>
      </c>
      <c r="B130" s="25" t="s">
        <v>18</v>
      </c>
      <c r="C130" s="25" t="s">
        <v>1612</v>
      </c>
      <c r="D130" s="25" t="s">
        <v>1623</v>
      </c>
      <c r="E130" s="25" t="s">
        <v>1739</v>
      </c>
      <c r="F130" s="90" t="s">
        <v>1740</v>
      </c>
      <c r="G130" s="25" t="s">
        <v>1576</v>
      </c>
      <c r="H130" s="25">
        <v>3.0</v>
      </c>
      <c r="I130" s="25">
        <v>0.0</v>
      </c>
      <c r="J130" s="25">
        <v>0.0</v>
      </c>
      <c r="K130" s="25">
        <v>3.0</v>
      </c>
      <c r="L130" s="29" t="s">
        <v>789</v>
      </c>
      <c r="M130" s="40" t="str">
        <f>IFNA(VLOOKUP(L130,'Faculty Details'!$B:$H,4,0),"")</f>
        <v>Ms.MAHESH S</v>
      </c>
      <c r="N130" s="40" t="str">
        <f>IFNA(VLOOKUP(L130,'Faculty Details'!$B:$H,7,0),"")</f>
        <v>maheshs@bitsathy.ac.in</v>
      </c>
    </row>
    <row r="131" ht="37.5" customHeight="1">
      <c r="A131" s="25">
        <v>130.0</v>
      </c>
      <c r="B131" s="25" t="s">
        <v>18</v>
      </c>
      <c r="C131" s="25" t="s">
        <v>1612</v>
      </c>
      <c r="D131" s="25" t="s">
        <v>1623</v>
      </c>
      <c r="E131" s="25" t="s">
        <v>1741</v>
      </c>
      <c r="F131" s="90" t="s">
        <v>1742</v>
      </c>
      <c r="G131" s="25" t="s">
        <v>1579</v>
      </c>
      <c r="H131" s="25">
        <v>2.0</v>
      </c>
      <c r="I131" s="25">
        <v>0.0</v>
      </c>
      <c r="J131" s="25">
        <v>2.0</v>
      </c>
      <c r="K131" s="25">
        <v>3.0</v>
      </c>
      <c r="L131" s="29" t="s">
        <v>765</v>
      </c>
      <c r="M131" s="40" t="str">
        <f>IFNA(VLOOKUP(L131,'Faculty Details'!$B:$H,4,0),"")</f>
        <v>Ms.RATHNA S</v>
      </c>
      <c r="N131" s="40" t="str">
        <f>IFNA(VLOOKUP(L131,'Faculty Details'!$B:$H,7,0),"")</f>
        <v>rathna@bitsathy.ac.in</v>
      </c>
    </row>
    <row r="132" ht="37.5" customHeight="1">
      <c r="A132" s="25">
        <v>131.0</v>
      </c>
      <c r="B132" s="25" t="s">
        <v>18</v>
      </c>
      <c r="C132" s="25" t="s">
        <v>1612</v>
      </c>
      <c r="D132" s="25" t="s">
        <v>1628</v>
      </c>
      <c r="E132" s="25" t="s">
        <v>1743</v>
      </c>
      <c r="F132" s="26" t="s">
        <v>1630</v>
      </c>
      <c r="G132" s="25" t="s">
        <v>1588</v>
      </c>
      <c r="H132" s="25">
        <v>0.0</v>
      </c>
      <c r="I132" s="25">
        <v>0.0</v>
      </c>
      <c r="J132" s="25">
        <v>2.0</v>
      </c>
      <c r="K132" s="25">
        <v>1.0</v>
      </c>
      <c r="L132" s="86"/>
      <c r="M132" s="40" t="str">
        <f>IFNA(VLOOKUP(L132,'Faculty Details'!$B:$H,4,0),"")</f>
        <v/>
      </c>
      <c r="N132" s="40" t="str">
        <f>IFNA(VLOOKUP(L132,'Faculty Details'!$B:$H,7,0),"")</f>
        <v/>
      </c>
    </row>
    <row r="133" ht="37.5" customHeight="1">
      <c r="A133" s="25">
        <v>132.0</v>
      </c>
      <c r="B133" s="25" t="s">
        <v>18</v>
      </c>
      <c r="C133" s="25" t="s">
        <v>1631</v>
      </c>
      <c r="D133" s="25" t="s">
        <v>1632</v>
      </c>
      <c r="E133" s="25" t="s">
        <v>1744</v>
      </c>
      <c r="F133" s="26" t="s">
        <v>1634</v>
      </c>
      <c r="G133" s="25" t="s">
        <v>1588</v>
      </c>
      <c r="H133" s="25">
        <v>0.0</v>
      </c>
      <c r="I133" s="25">
        <v>0.0</v>
      </c>
      <c r="J133" s="25">
        <v>18.0</v>
      </c>
      <c r="K133" s="25">
        <v>9.0</v>
      </c>
      <c r="L133" s="86"/>
      <c r="M133" s="40" t="str">
        <f>IFNA(VLOOKUP(L133,'Faculty Details'!$B:$H,4,0),"")</f>
        <v/>
      </c>
      <c r="N133" s="40" t="str">
        <f>IFNA(VLOOKUP(L133,'Faculty Details'!$B:$H,7,0),"")</f>
        <v/>
      </c>
    </row>
    <row r="134" ht="37.5" customHeight="1">
      <c r="A134" s="25">
        <v>133.0</v>
      </c>
      <c r="B134" s="25" t="s">
        <v>18</v>
      </c>
      <c r="C134" s="25" t="s">
        <v>1745</v>
      </c>
      <c r="D134" s="25" t="s">
        <v>1573</v>
      </c>
      <c r="E134" s="32" t="s">
        <v>1746</v>
      </c>
      <c r="F134" s="26" t="s">
        <v>23</v>
      </c>
      <c r="G134" s="25" t="s">
        <v>1576</v>
      </c>
      <c r="H134" s="25">
        <v>3.0</v>
      </c>
      <c r="I134" s="25">
        <v>0.0</v>
      </c>
      <c r="J134" s="25">
        <v>0.0</v>
      </c>
      <c r="K134" s="25">
        <v>3.0</v>
      </c>
      <c r="L134" s="29" t="s">
        <v>711</v>
      </c>
      <c r="M134" s="40" t="str">
        <f>IFNA(VLOOKUP(L134,'Faculty Details'!$B:$H,4,0),"")</f>
        <v>Mrs.NITHYA R</v>
      </c>
      <c r="N134" s="40" t="str">
        <f>IFNA(VLOOKUP(L134,'Faculty Details'!$B:$H,7,0),"")</f>
        <v>nithyars@bitsathy.ac.in</v>
      </c>
    </row>
    <row r="135" ht="37.5" customHeight="1">
      <c r="A135" s="25">
        <v>134.0</v>
      </c>
      <c r="B135" s="25" t="s">
        <v>18</v>
      </c>
      <c r="C135" s="25" t="s">
        <v>1745</v>
      </c>
      <c r="D135" s="25" t="s">
        <v>1573</v>
      </c>
      <c r="E135" s="32" t="s">
        <v>1747</v>
      </c>
      <c r="F135" s="26" t="s">
        <v>140</v>
      </c>
      <c r="G135" s="25" t="s">
        <v>1576</v>
      </c>
      <c r="H135" s="25">
        <v>3.0</v>
      </c>
      <c r="I135" s="25">
        <v>0.0</v>
      </c>
      <c r="J135" s="25">
        <v>0.0</v>
      </c>
      <c r="K135" s="25">
        <v>3.0</v>
      </c>
      <c r="L135" s="29" t="s">
        <v>714</v>
      </c>
      <c r="M135" s="40" t="str">
        <f>IFNA(VLOOKUP(L135,'Faculty Details'!$B:$H,4,0),"")</f>
        <v>Ms.SANGAVI N</v>
      </c>
      <c r="N135" s="40" t="str">
        <f>IFNA(VLOOKUP(L135,'Faculty Details'!$B:$H,7,0),"")</f>
        <v>sangavin@bitsathy.ac.in</v>
      </c>
    </row>
    <row r="136" ht="37.5" customHeight="1">
      <c r="A136" s="25">
        <v>135.0</v>
      </c>
      <c r="B136" s="25" t="s">
        <v>18</v>
      </c>
      <c r="C136" s="25" t="s">
        <v>1745</v>
      </c>
      <c r="D136" s="25" t="s">
        <v>1573</v>
      </c>
      <c r="E136" s="32" t="s">
        <v>1748</v>
      </c>
      <c r="F136" s="26" t="s">
        <v>1749</v>
      </c>
      <c r="G136" s="25" t="s">
        <v>1579</v>
      </c>
      <c r="H136" s="25">
        <v>3.0</v>
      </c>
      <c r="I136" s="25">
        <v>0.0</v>
      </c>
      <c r="J136" s="25">
        <v>2.0</v>
      </c>
      <c r="K136" s="25">
        <v>4.0</v>
      </c>
      <c r="L136" s="29" t="s">
        <v>780</v>
      </c>
      <c r="M136" s="40" t="str">
        <f>IFNA(VLOOKUP(L136,'Faculty Details'!$B:$H,4,0),"")</f>
        <v>Ms.GAYATHIRI DEVI S</v>
      </c>
      <c r="N136" s="40" t="str">
        <f>IFNA(VLOOKUP(L136,'Faculty Details'!$B:$H,7,0),"")</f>
        <v>gayathiridevis@bitsathy.ac.in</v>
      </c>
    </row>
    <row r="137" ht="37.5" customHeight="1">
      <c r="A137" s="25">
        <v>136.0</v>
      </c>
      <c r="B137" s="25" t="s">
        <v>18</v>
      </c>
      <c r="C137" s="25" t="s">
        <v>1745</v>
      </c>
      <c r="D137" s="25" t="s">
        <v>1573</v>
      </c>
      <c r="E137" s="32" t="s">
        <v>1750</v>
      </c>
      <c r="F137" s="26" t="s">
        <v>1751</v>
      </c>
      <c r="G137" s="25" t="s">
        <v>1576</v>
      </c>
      <c r="H137" s="25">
        <v>3.0</v>
      </c>
      <c r="I137" s="25">
        <v>0.0</v>
      </c>
      <c r="J137" s="25">
        <v>0.0</v>
      </c>
      <c r="K137" s="25">
        <v>3.0</v>
      </c>
      <c r="L137" s="29" t="s">
        <v>1190</v>
      </c>
      <c r="M137" s="40" t="str">
        <f>IFNA(VLOOKUP(L137,'Faculty Details'!$B:$H,4,0),"")</f>
        <v>Dr.SADHASIVAM N</v>
      </c>
      <c r="N137" s="40" t="str">
        <f>IFNA(VLOOKUP(L137,'Faculty Details'!$B:$H,7,0),"")</f>
        <v>sadhasivamn@bitsathy.ac.in</v>
      </c>
    </row>
    <row r="138" ht="37.5" customHeight="1">
      <c r="A138" s="25">
        <v>137.0</v>
      </c>
      <c r="B138" s="25" t="s">
        <v>18</v>
      </c>
      <c r="C138" s="25" t="s">
        <v>1745</v>
      </c>
      <c r="D138" s="25" t="s">
        <v>1607</v>
      </c>
      <c r="E138" s="32" t="s">
        <v>1752</v>
      </c>
      <c r="F138" s="26" t="s">
        <v>1753</v>
      </c>
      <c r="G138" s="25" t="s">
        <v>1576</v>
      </c>
      <c r="H138" s="25">
        <v>3.0</v>
      </c>
      <c r="I138" s="25">
        <v>0.0</v>
      </c>
      <c r="J138" s="25">
        <v>0.0</v>
      </c>
      <c r="K138" s="25">
        <v>3.0</v>
      </c>
      <c r="L138" s="29" t="s">
        <v>756</v>
      </c>
      <c r="M138" s="40" t="str">
        <f>IFNA(VLOOKUP(L138,'Faculty Details'!$B:$H,4,0),"")</f>
        <v>Mrs.GAYATHRI S</v>
      </c>
      <c r="N138" s="40" t="str">
        <f>IFNA(VLOOKUP(L138,'Faculty Details'!$B:$H,7,0),"")</f>
        <v>gayathris@bitsathy.ac.in</v>
      </c>
    </row>
    <row r="139" ht="37.5" customHeight="1">
      <c r="A139" s="25">
        <v>138.0</v>
      </c>
      <c r="B139" s="25" t="s">
        <v>18</v>
      </c>
      <c r="C139" s="25" t="s">
        <v>1745</v>
      </c>
      <c r="D139" s="25" t="s">
        <v>1607</v>
      </c>
      <c r="E139" s="32" t="s">
        <v>1754</v>
      </c>
      <c r="F139" s="26" t="s">
        <v>181</v>
      </c>
      <c r="G139" s="25" t="s">
        <v>1576</v>
      </c>
      <c r="H139" s="25">
        <v>3.0</v>
      </c>
      <c r="I139" s="25">
        <v>0.0</v>
      </c>
      <c r="J139" s="25">
        <v>0.0</v>
      </c>
      <c r="K139" s="25">
        <v>3.0</v>
      </c>
      <c r="L139" s="29" t="s">
        <v>702</v>
      </c>
      <c r="M139" s="40" t="str">
        <f>IFNA(VLOOKUP(L139,'Faculty Details'!$B:$H,4,0),"")</f>
        <v>Dr.SANGEETHAA SN</v>
      </c>
      <c r="N139" s="40" t="str">
        <f>IFNA(VLOOKUP(L139,'Faculty Details'!$B:$H,7,0),"")</f>
        <v>sangeethaasn@bitsathy.ac.in</v>
      </c>
    </row>
    <row r="140" ht="37.5" customHeight="1">
      <c r="A140" s="25">
        <v>139.0</v>
      </c>
      <c r="B140" s="25" t="s">
        <v>18</v>
      </c>
      <c r="C140" s="25" t="s">
        <v>1745</v>
      </c>
      <c r="D140" s="25" t="s">
        <v>1755</v>
      </c>
      <c r="E140" s="32" t="s">
        <v>1756</v>
      </c>
      <c r="F140" s="26" t="s">
        <v>1757</v>
      </c>
      <c r="G140" s="25" t="s">
        <v>1576</v>
      </c>
      <c r="H140" s="25">
        <v>3.0</v>
      </c>
      <c r="I140" s="25">
        <v>0.0</v>
      </c>
      <c r="J140" s="25">
        <v>0.0</v>
      </c>
      <c r="K140" s="25">
        <v>3.0</v>
      </c>
      <c r="L140" s="29" t="s">
        <v>807</v>
      </c>
      <c r="M140" s="40" t="str">
        <f>IFNA(VLOOKUP(L140,'Faculty Details'!$B:$H,4,0),"")</f>
        <v>Dr.PREMALATHA K</v>
      </c>
      <c r="N140" s="40" t="str">
        <f>IFNA(VLOOKUP(L140,'Faculty Details'!$B:$H,7,0),"")</f>
        <v>premalathak@bitsathy.ac.in</v>
      </c>
    </row>
    <row r="141" ht="37.5" customHeight="1">
      <c r="A141" s="25">
        <v>140.0</v>
      </c>
      <c r="B141" s="25" t="s">
        <v>18</v>
      </c>
      <c r="C141" s="25" t="s">
        <v>1745</v>
      </c>
      <c r="D141" s="25" t="s">
        <v>1755</v>
      </c>
      <c r="E141" s="32" t="s">
        <v>1758</v>
      </c>
      <c r="F141" s="26" t="s">
        <v>1759</v>
      </c>
      <c r="G141" s="25" t="s">
        <v>1576</v>
      </c>
      <c r="H141" s="25">
        <v>3.0</v>
      </c>
      <c r="I141" s="25">
        <v>0.0</v>
      </c>
      <c r="J141" s="25">
        <v>0.0</v>
      </c>
      <c r="K141" s="25">
        <v>3.0</v>
      </c>
      <c r="L141" s="25" t="s">
        <v>813</v>
      </c>
      <c r="M141" s="40" t="str">
        <f>IFNA(VLOOKUP(L141,'Faculty Details'!$B:$H,4,0),"")</f>
        <v>Dr.THANGA PARVATHI B</v>
      </c>
      <c r="N141" s="40" t="str">
        <f>IFNA(VLOOKUP(L141,'Faculty Details'!$B:$H,7,0),"")</f>
        <v>btparvathi@bitsathy.ac.in</v>
      </c>
    </row>
    <row r="142" ht="37.5" customHeight="1">
      <c r="A142" s="25">
        <v>141.0</v>
      </c>
      <c r="B142" s="25" t="s">
        <v>18</v>
      </c>
      <c r="C142" s="25" t="s">
        <v>1745</v>
      </c>
      <c r="D142" s="25" t="s">
        <v>1573</v>
      </c>
      <c r="E142" s="25" t="s">
        <v>1760</v>
      </c>
      <c r="F142" s="26" t="s">
        <v>1761</v>
      </c>
      <c r="G142" s="25" t="s">
        <v>1588</v>
      </c>
      <c r="H142" s="25">
        <v>0.0</v>
      </c>
      <c r="I142" s="25">
        <v>0.0</v>
      </c>
      <c r="J142" s="25">
        <v>4.0</v>
      </c>
      <c r="K142" s="25">
        <v>2.0</v>
      </c>
      <c r="L142" s="29" t="s">
        <v>714</v>
      </c>
      <c r="M142" s="40" t="str">
        <f>IFNA(VLOOKUP(L142,'Faculty Details'!$B:$H,4,0),"")</f>
        <v>Ms.SANGAVI N</v>
      </c>
      <c r="N142" s="40" t="str">
        <f>IFNA(VLOOKUP(L142,'Faculty Details'!$B:$H,7,0),"")</f>
        <v>sangavin@bitsathy.ac.in</v>
      </c>
    </row>
    <row r="143" ht="37.5" customHeight="1">
      <c r="A143" s="25">
        <v>142.0</v>
      </c>
      <c r="B143" s="25" t="s">
        <v>18</v>
      </c>
      <c r="C143" s="25" t="s">
        <v>1745</v>
      </c>
      <c r="D143" s="25" t="s">
        <v>1573</v>
      </c>
      <c r="E143" s="25" t="s">
        <v>1762</v>
      </c>
      <c r="F143" s="26" t="s">
        <v>1628</v>
      </c>
      <c r="G143" s="25" t="s">
        <v>1588</v>
      </c>
      <c r="H143" s="25">
        <v>0.0</v>
      </c>
      <c r="I143" s="25">
        <v>0.0</v>
      </c>
      <c r="J143" s="25">
        <v>4.0</v>
      </c>
      <c r="K143" s="25">
        <v>2.0</v>
      </c>
      <c r="L143" s="86"/>
      <c r="M143" s="40"/>
      <c r="N143" s="40"/>
    </row>
  </sheetData>
  <conditionalFormatting sqref="L2:L143">
    <cfRule type="containsBlanks" dxfId="1" priority="1">
      <formula>LEN(TRIM(L2))=0</formula>
    </cfRule>
  </conditionalFormatting>
  <dataValidations>
    <dataValidation type="list" allowBlank="1" showErrorMessage="1" sqref="D95:D100">
      <formula1>"CORE,ELECTIVE 1,OPEN ELECTIVE,ELECTIVE 3,ELECTIVE 4,ELECTIVE 5,HONOURS,MINOR,LAB,PROJECT,MINI PROJECT"</formula1>
    </dataValidation>
    <dataValidation type="list" allowBlank="1" showErrorMessage="1" sqref="D89:D94">
      <formula1>"CORE,ELECTIVE 1,OPEN ELECTIVE,ELECTIVE 6,ELECTIVE 7,ELECTIVE 8,ELECTIVE 9,HONOURS,MINOR,ADD COURSE"</formula1>
    </dataValidation>
    <dataValidation type="list" allowBlank="1" showErrorMessage="1" sqref="G2:G143">
      <formula1>"THEORY,THEORY WITH LAB,LAB"</formula1>
    </dataValidation>
    <dataValidation type="list" allowBlank="1" showErrorMessage="1" sqref="D2:D44 D51:D80 D133:D143">
      <formula1>"CORE,ELECTIVE 1,OPEN ELECTIVE,ELECTIVE 6,ELECTIVE 7,ELECTIVE 8,ELECTIVE 9,HONOURS,MINOR,ELECTIVE 2,MINI PROJECT,PROJECT"</formula1>
    </dataValidation>
    <dataValidation type="list" allowBlank="1" showErrorMessage="1" sqref="D81:D88 D101:D132">
      <formula1>"CORE,ELECTIVE 1,OPEN ELECTIVE,ELECTIVE 3,ELECTIVE 4,ELECTIVE 5,ADD COURSE,HONOURS,MINOR,LAB,PROJECT,MINI PROJECT"</formula1>
    </dataValidation>
    <dataValidation type="list" allowBlank="1" showErrorMessage="1" sqref="C2:C143">
      <formula1>"S2,S4,S6,S8,PG"</formula1>
    </dataValidation>
    <dataValidation type="list" allowBlank="1" showErrorMessage="1" sqref="D45:D50">
      <formula1>"CORE,ELECTIVE 1,OPEN ELECTIVE,ELECTIVE 6,ELECTIVE 7,ELECTIVE 8,ELECTIVE 9,HONOURS,MINOR,LANGUAGE ELECTIVE"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3" max="3" width="8.0"/>
    <col customWidth="1" min="4" max="4" width="18.63"/>
    <col customWidth="1" min="5" max="5" width="10.38"/>
    <col customWidth="1" min="6" max="6" width="43.5"/>
    <col customWidth="1" min="7" max="7" width="16.5"/>
    <col customWidth="1" min="8" max="9" width="5.0"/>
    <col customWidth="1" min="10" max="10" width="5.5"/>
    <col customWidth="1" min="11" max="11" width="5.0"/>
    <col customWidth="1" min="12" max="12" width="9.88"/>
    <col customWidth="1" min="13" max="13" width="21.63"/>
    <col customWidth="1" min="14" max="14" width="13.25"/>
  </cols>
  <sheetData>
    <row r="1">
      <c r="A1" s="23" t="s">
        <v>1635</v>
      </c>
      <c r="B1" s="23" t="s">
        <v>1560</v>
      </c>
      <c r="C1" s="23" t="s">
        <v>1561</v>
      </c>
      <c r="D1" s="23" t="s">
        <v>1562</v>
      </c>
      <c r="E1" s="23" t="s">
        <v>1563</v>
      </c>
      <c r="F1" s="23" t="s">
        <v>1564</v>
      </c>
      <c r="G1" s="23" t="s">
        <v>1565</v>
      </c>
      <c r="H1" s="23" t="s">
        <v>1566</v>
      </c>
      <c r="I1" s="23" t="s">
        <v>1567</v>
      </c>
      <c r="J1" s="23" t="s">
        <v>1568</v>
      </c>
      <c r="K1" s="23" t="s">
        <v>1569</v>
      </c>
      <c r="L1" s="38" t="s">
        <v>1570</v>
      </c>
      <c r="M1" s="23" t="s">
        <v>257</v>
      </c>
      <c r="N1" s="23" t="s">
        <v>1571</v>
      </c>
    </row>
    <row r="2" ht="34.5" customHeight="1">
      <c r="A2" s="29">
        <f t="array" ref="A2:A63">SEQUENCE(COUNTA(B2:B63),1)</f>
        <v>1</v>
      </c>
      <c r="B2" s="29" t="s">
        <v>13</v>
      </c>
      <c r="C2" s="29" t="s">
        <v>1572</v>
      </c>
      <c r="D2" s="29" t="s">
        <v>1573</v>
      </c>
      <c r="E2" s="29" t="s">
        <v>1574</v>
      </c>
      <c r="F2" s="26" t="s">
        <v>1575</v>
      </c>
      <c r="G2" s="29" t="s">
        <v>1576</v>
      </c>
      <c r="H2" s="29">
        <v>3.0</v>
      </c>
      <c r="I2" s="29">
        <v>1.0</v>
      </c>
      <c r="J2" s="29">
        <v>0.0</v>
      </c>
      <c r="K2" s="29">
        <v>4.0</v>
      </c>
      <c r="L2" s="29" t="s">
        <v>1296</v>
      </c>
      <c r="M2" s="30" t="str">
        <f>IFNA(VLOOKUP(L2,'Faculty Details'!$B:$H,4,0),"")</f>
        <v>Dr.AKALYADEVI K</v>
      </c>
      <c r="N2" s="30" t="str">
        <f>IFNA(VLOOKUP(L2,'Faculty Details'!$B:$H,7,0),"")</f>
        <v>akalyadevi@bitsathy.ac.in</v>
      </c>
    </row>
    <row r="3" ht="34.5" customHeight="1">
      <c r="A3" s="29">
        <v>2.0</v>
      </c>
      <c r="B3" s="29" t="s">
        <v>13</v>
      </c>
      <c r="C3" s="29" t="s">
        <v>1572</v>
      </c>
      <c r="D3" s="29" t="s">
        <v>1573</v>
      </c>
      <c r="E3" s="29" t="s">
        <v>1574</v>
      </c>
      <c r="F3" s="26" t="s">
        <v>1575</v>
      </c>
      <c r="G3" s="29" t="s">
        <v>1576</v>
      </c>
      <c r="H3" s="29">
        <v>3.0</v>
      </c>
      <c r="I3" s="29">
        <v>1.0</v>
      </c>
      <c r="J3" s="29">
        <v>0.0</v>
      </c>
      <c r="K3" s="29">
        <v>4.0</v>
      </c>
      <c r="L3" s="29" t="s">
        <v>1299</v>
      </c>
      <c r="M3" s="30" t="str">
        <f>IFNA(VLOOKUP(L3,'Faculty Details'!$B:$H,4,0),"")</f>
        <v>Dr.HEMALATHA B</v>
      </c>
      <c r="N3" s="30" t="str">
        <f>IFNA(VLOOKUP(L3,'Faculty Details'!$B:$H,7,0),"")</f>
        <v>hemalathab@bitsathy.ac.in</v>
      </c>
    </row>
    <row r="4" ht="34.5" customHeight="1">
      <c r="A4" s="29">
        <v>3.0</v>
      </c>
      <c r="B4" s="29" t="s">
        <v>13</v>
      </c>
      <c r="C4" s="29" t="s">
        <v>1572</v>
      </c>
      <c r="D4" s="29" t="s">
        <v>1573</v>
      </c>
      <c r="E4" s="29" t="s">
        <v>1577</v>
      </c>
      <c r="F4" s="26" t="s">
        <v>1578</v>
      </c>
      <c r="G4" s="29" t="s">
        <v>1579</v>
      </c>
      <c r="H4" s="29">
        <v>2.0</v>
      </c>
      <c r="I4" s="29">
        <v>0.0</v>
      </c>
      <c r="J4" s="29">
        <v>2.0</v>
      </c>
      <c r="K4" s="29">
        <v>3.0</v>
      </c>
      <c r="L4" s="1" t="s">
        <v>1499</v>
      </c>
      <c r="M4" s="30" t="str">
        <f>IFNA(VLOOKUP(L4,'Faculty Details'!$B:$H,4,0),"")</f>
        <v>Dr.SANGEETHA K</v>
      </c>
      <c r="N4" s="30" t="str">
        <f>IFNA(VLOOKUP(L4,'Faculty Details'!$B:$H,7,0),"")</f>
        <v>sangeethak@bitsathy.ac.in</v>
      </c>
    </row>
    <row r="5" ht="34.5" customHeight="1">
      <c r="A5" s="29">
        <v>4.0</v>
      </c>
      <c r="B5" s="29" t="s">
        <v>13</v>
      </c>
      <c r="C5" s="29" t="s">
        <v>1572</v>
      </c>
      <c r="D5" s="29" t="s">
        <v>1573</v>
      </c>
      <c r="E5" s="29" t="s">
        <v>1577</v>
      </c>
      <c r="F5" s="26" t="s">
        <v>1578</v>
      </c>
      <c r="G5" s="29" t="s">
        <v>1579</v>
      </c>
      <c r="H5" s="29">
        <v>2.0</v>
      </c>
      <c r="I5" s="29">
        <v>0.0</v>
      </c>
      <c r="J5" s="29">
        <v>2.0</v>
      </c>
      <c r="K5" s="29">
        <v>3.0</v>
      </c>
      <c r="L5" s="1" t="s">
        <v>1493</v>
      </c>
      <c r="M5" s="30" t="str">
        <f>IFNA(VLOOKUP(L5,'Faculty Details'!$B:$H,4,0),"")</f>
        <v>Dr.BASKARAN P</v>
      </c>
      <c r="N5" s="30" t="str">
        <f>IFNA(VLOOKUP(L5,'Faculty Details'!$B:$H,7,0),"")</f>
        <v>baskaranp@bitsathy.ac.in</v>
      </c>
    </row>
    <row r="6" ht="34.5" customHeight="1">
      <c r="A6" s="29">
        <v>5.0</v>
      </c>
      <c r="B6" s="29" t="s">
        <v>13</v>
      </c>
      <c r="C6" s="29" t="s">
        <v>1572</v>
      </c>
      <c r="D6" s="29" t="s">
        <v>1573</v>
      </c>
      <c r="E6" s="29" t="s">
        <v>1580</v>
      </c>
      <c r="F6" s="26" t="s">
        <v>1581</v>
      </c>
      <c r="G6" s="29" t="s">
        <v>1579</v>
      </c>
      <c r="H6" s="29">
        <v>2.0</v>
      </c>
      <c r="I6" s="29">
        <v>0.0</v>
      </c>
      <c r="J6" s="29">
        <v>2.0</v>
      </c>
      <c r="K6" s="29">
        <v>3.0</v>
      </c>
      <c r="L6" s="29" t="s">
        <v>629</v>
      </c>
      <c r="M6" s="30" t="str">
        <f>IFNA(VLOOKUP(L6,'Faculty Details'!$B:$H,4,0),"")</f>
        <v>Dr.MURALI KRISHNAN M</v>
      </c>
      <c r="N6" s="30" t="str">
        <f>IFNA(VLOOKUP(L6,'Faculty Details'!$B:$H,7,0),"")</f>
        <v>muralikrishnan@bitsathy.ac.in</v>
      </c>
    </row>
    <row r="7" ht="34.5" customHeight="1">
      <c r="A7" s="29">
        <v>6.0</v>
      </c>
      <c r="B7" s="29" t="s">
        <v>13</v>
      </c>
      <c r="C7" s="29" t="s">
        <v>1572</v>
      </c>
      <c r="D7" s="29" t="s">
        <v>1573</v>
      </c>
      <c r="E7" s="29" t="s">
        <v>1580</v>
      </c>
      <c r="F7" s="26" t="s">
        <v>1581</v>
      </c>
      <c r="G7" s="29" t="s">
        <v>1579</v>
      </c>
      <c r="H7" s="29">
        <v>2.0</v>
      </c>
      <c r="I7" s="29">
        <v>0.0</v>
      </c>
      <c r="J7" s="29">
        <v>2.0</v>
      </c>
      <c r="K7" s="29">
        <v>3.0</v>
      </c>
      <c r="L7" s="29" t="s">
        <v>635</v>
      </c>
      <c r="M7" s="30" t="str">
        <f>IFNA(VLOOKUP(L7,'Faculty Details'!$B:$H,4,0),"")</f>
        <v>Dr.DEEPHA V</v>
      </c>
      <c r="N7" s="30" t="str">
        <f>IFNA(VLOOKUP(L7,'Faculty Details'!$B:$H,7,0),"")</f>
        <v>deephav@bitsathy.ac.in</v>
      </c>
    </row>
    <row r="8" ht="34.5" customHeight="1">
      <c r="A8" s="29">
        <v>7.0</v>
      </c>
      <c r="B8" s="29" t="s">
        <v>13</v>
      </c>
      <c r="C8" s="29" t="s">
        <v>1572</v>
      </c>
      <c r="D8" s="29" t="s">
        <v>1573</v>
      </c>
      <c r="E8" s="29" t="s">
        <v>1582</v>
      </c>
      <c r="F8" s="26" t="s">
        <v>1583</v>
      </c>
      <c r="G8" s="29" t="s">
        <v>1576</v>
      </c>
      <c r="H8" s="29">
        <v>3.0</v>
      </c>
      <c r="I8" s="29">
        <v>0.0</v>
      </c>
      <c r="J8" s="29">
        <v>0.0</v>
      </c>
      <c r="K8" s="29">
        <v>3.0</v>
      </c>
      <c r="L8" s="29" t="s">
        <v>414</v>
      </c>
      <c r="M8" s="30" t="str">
        <f>IFNA(VLOOKUP(L8,'Faculty Details'!$B:$H,4,0),"")</f>
        <v>Dr.RAJASEKAR S S</v>
      </c>
      <c r="N8" s="30" t="str">
        <f>IFNA(VLOOKUP(L8,'Faculty Details'!$B:$H,7,0),"")</f>
        <v>rajasekarss@bitsathy.ac.in</v>
      </c>
    </row>
    <row r="9" ht="34.5" customHeight="1">
      <c r="A9" s="29">
        <v>8.0</v>
      </c>
      <c r="B9" s="29" t="s">
        <v>13</v>
      </c>
      <c r="C9" s="29" t="s">
        <v>1572</v>
      </c>
      <c r="D9" s="29" t="s">
        <v>1573</v>
      </c>
      <c r="E9" s="29" t="s">
        <v>1582</v>
      </c>
      <c r="F9" s="26" t="s">
        <v>1583</v>
      </c>
      <c r="G9" s="29" t="s">
        <v>1576</v>
      </c>
      <c r="H9" s="29">
        <v>3.0</v>
      </c>
      <c r="I9" s="29">
        <v>0.0</v>
      </c>
      <c r="J9" s="29">
        <v>0.0</v>
      </c>
      <c r="K9" s="29">
        <v>3.0</v>
      </c>
      <c r="L9" s="29" t="s">
        <v>426</v>
      </c>
      <c r="M9" s="30" t="str">
        <f>IFNA(VLOOKUP(L9,'Faculty Details'!$B:$H,4,0),"")</f>
        <v>Mr.SATHESHKUMAR K</v>
      </c>
      <c r="N9" s="30" t="str">
        <f>IFNA(VLOOKUP(L9,'Faculty Details'!$B:$H,7,0),"")</f>
        <v>satheshkumar@bitsathy.ac.in</v>
      </c>
    </row>
    <row r="10" ht="34.5" customHeight="1">
      <c r="A10" s="29">
        <v>9.0</v>
      </c>
      <c r="B10" s="29" t="s">
        <v>13</v>
      </c>
      <c r="C10" s="29" t="s">
        <v>1572</v>
      </c>
      <c r="D10" s="29" t="s">
        <v>1573</v>
      </c>
      <c r="E10" s="29" t="s">
        <v>1584</v>
      </c>
      <c r="F10" s="26" t="s">
        <v>1585</v>
      </c>
      <c r="G10" s="29" t="s">
        <v>1579</v>
      </c>
      <c r="H10" s="29">
        <v>2.0</v>
      </c>
      <c r="I10" s="29">
        <v>0.0</v>
      </c>
      <c r="J10" s="29">
        <v>2.0</v>
      </c>
      <c r="K10" s="29">
        <v>3.0</v>
      </c>
      <c r="L10" s="29" t="s">
        <v>921</v>
      </c>
      <c r="M10" s="30" t="str">
        <f>IFNA(VLOOKUP(L10,'Faculty Details'!$B:$H,4,0),"")</f>
        <v>Mrs.SANDHIYADEVI P</v>
      </c>
      <c r="N10" s="30" t="str">
        <f>IFNA(VLOOKUP(L10,'Faculty Details'!$B:$H,7,0),"")</f>
        <v>sandhiyadevip@bitsathy.ac.in</v>
      </c>
    </row>
    <row r="11" ht="34.5" customHeight="1">
      <c r="A11" s="29">
        <v>10.0</v>
      </c>
      <c r="B11" s="29" t="s">
        <v>13</v>
      </c>
      <c r="C11" s="29" t="s">
        <v>1572</v>
      </c>
      <c r="D11" s="29" t="s">
        <v>1573</v>
      </c>
      <c r="E11" s="29" t="s">
        <v>1584</v>
      </c>
      <c r="F11" s="26" t="s">
        <v>1585</v>
      </c>
      <c r="G11" s="29" t="s">
        <v>1579</v>
      </c>
      <c r="H11" s="29">
        <v>2.0</v>
      </c>
      <c r="I11" s="29">
        <v>0.0</v>
      </c>
      <c r="J11" s="29">
        <v>2.0</v>
      </c>
      <c r="K11" s="29">
        <v>3.0</v>
      </c>
      <c r="L11" s="29" t="s">
        <v>868</v>
      </c>
      <c r="M11" s="30" t="str">
        <f>IFNA(VLOOKUP(L11,'Faculty Details'!$B:$H,4,0),"")</f>
        <v>Mrs.ABINAYA M</v>
      </c>
      <c r="N11" s="30" t="str">
        <f>IFNA(VLOOKUP(L11,'Faculty Details'!$B:$H,7,0),"")</f>
        <v>abinayam@bitsathy.ac.in</v>
      </c>
    </row>
    <row r="12" ht="34.5" customHeight="1">
      <c r="A12" s="29">
        <v>11.0</v>
      </c>
      <c r="B12" s="29" t="s">
        <v>13</v>
      </c>
      <c r="C12" s="29" t="s">
        <v>1572</v>
      </c>
      <c r="D12" s="29" t="s">
        <v>1573</v>
      </c>
      <c r="E12" s="29" t="s">
        <v>1763</v>
      </c>
      <c r="F12" s="26" t="s">
        <v>1764</v>
      </c>
      <c r="G12" s="29" t="s">
        <v>1588</v>
      </c>
      <c r="H12" s="29">
        <v>1.0</v>
      </c>
      <c r="I12" s="29">
        <v>0.0</v>
      </c>
      <c r="J12" s="29">
        <v>2.0</v>
      </c>
      <c r="K12" s="29">
        <v>3.0</v>
      </c>
      <c r="L12" s="25" t="s">
        <v>1456</v>
      </c>
      <c r="M12" s="30" t="str">
        <f>IFNA(VLOOKUP(L12,'Faculty Details'!$B:$H,4,0),"")</f>
        <v>Mr.SAKTHIVEL MURUGAN E</v>
      </c>
      <c r="N12" s="30" t="str">
        <f>IFNA(VLOOKUP(L12,'Faculty Details'!$B:$H,7,0),"")</f>
        <v>sakthivelmurugane@bitsathy.ac.in</v>
      </c>
    </row>
    <row r="13" ht="34.5" customHeight="1">
      <c r="A13" s="29">
        <v>12.0</v>
      </c>
      <c r="B13" s="29" t="s">
        <v>13</v>
      </c>
      <c r="C13" s="29" t="s">
        <v>1572</v>
      </c>
      <c r="D13" s="29" t="s">
        <v>1573</v>
      </c>
      <c r="E13" s="29" t="s">
        <v>1763</v>
      </c>
      <c r="F13" s="26" t="s">
        <v>1764</v>
      </c>
      <c r="G13" s="29" t="s">
        <v>1588</v>
      </c>
      <c r="H13" s="29">
        <v>1.0</v>
      </c>
      <c r="I13" s="29">
        <v>0.0</v>
      </c>
      <c r="J13" s="29">
        <v>2.0</v>
      </c>
      <c r="K13" s="29">
        <v>3.0</v>
      </c>
      <c r="L13" s="29" t="s">
        <v>1373</v>
      </c>
      <c r="M13" s="30" t="str">
        <f>IFNA(VLOOKUP(L13,'Faculty Details'!$B:$H,4,0),"")</f>
        <v>Dr.PRADEEP A D</v>
      </c>
      <c r="N13" s="30" t="str">
        <f>IFNA(VLOOKUP(L13,'Faculty Details'!$B:$H,7,0),"")</f>
        <v>pradeep@bitsathy.ac.in</v>
      </c>
    </row>
    <row r="14" ht="34.5" customHeight="1">
      <c r="A14" s="29">
        <v>13.0</v>
      </c>
      <c r="B14" s="29" t="s">
        <v>13</v>
      </c>
      <c r="C14" s="29" t="s">
        <v>1572</v>
      </c>
      <c r="D14" s="29" t="s">
        <v>1573</v>
      </c>
      <c r="E14" s="29" t="s">
        <v>1589</v>
      </c>
      <c r="F14" s="26" t="s">
        <v>1590</v>
      </c>
      <c r="G14" s="29" t="s">
        <v>1588</v>
      </c>
      <c r="H14" s="29">
        <v>1.0</v>
      </c>
      <c r="I14" s="29">
        <v>0.0</v>
      </c>
      <c r="J14" s="29">
        <v>0.0</v>
      </c>
      <c r="K14" s="29">
        <v>1.0</v>
      </c>
      <c r="L14" s="29" t="s">
        <v>1112</v>
      </c>
      <c r="M14" s="30" t="str">
        <f>IFNA(VLOOKUP(L14,'Faculty Details'!$B:$H,4,0),"")</f>
        <v>Dr.SAGUNTHALA DEVI P</v>
      </c>
      <c r="N14" s="30" t="str">
        <f>IFNA(VLOOKUP(L14,'Faculty Details'!$B:$H,7,0),"")</f>
        <v>sagunthaladevi@bitsathy.ac.in</v>
      </c>
    </row>
    <row r="15" ht="34.5" customHeight="1">
      <c r="A15" s="29">
        <v>14.0</v>
      </c>
      <c r="B15" s="29" t="s">
        <v>13</v>
      </c>
      <c r="C15" s="29" t="s">
        <v>1572</v>
      </c>
      <c r="D15" s="29" t="s">
        <v>1573</v>
      </c>
      <c r="E15" s="29" t="s">
        <v>1589</v>
      </c>
      <c r="F15" s="26" t="s">
        <v>1590</v>
      </c>
      <c r="G15" s="29" t="s">
        <v>1588</v>
      </c>
      <c r="H15" s="29">
        <v>1.0</v>
      </c>
      <c r="I15" s="29">
        <v>0.0</v>
      </c>
      <c r="J15" s="29">
        <v>0.0</v>
      </c>
      <c r="K15" s="29">
        <v>1.0</v>
      </c>
      <c r="L15" s="29" t="s">
        <v>1115</v>
      </c>
      <c r="M15" s="30" t="str">
        <f>IFNA(VLOOKUP(L15,'Faculty Details'!$B:$H,4,0),"")</f>
        <v>Ms.KAMALI D</v>
      </c>
      <c r="N15" s="30" t="str">
        <f>IFNA(VLOOKUP(L15,'Faculty Details'!$B:$H,7,0),"")</f>
        <v>kamali@bitsathy.ac.in</v>
      </c>
    </row>
    <row r="16" ht="34.5" customHeight="1">
      <c r="A16" s="29">
        <v>15.0</v>
      </c>
      <c r="B16" s="29" t="s">
        <v>13</v>
      </c>
      <c r="C16" s="29" t="s">
        <v>1572</v>
      </c>
      <c r="D16" s="29" t="s">
        <v>1573</v>
      </c>
      <c r="E16" s="29" t="s">
        <v>1591</v>
      </c>
      <c r="F16" s="26" t="s">
        <v>1726</v>
      </c>
      <c r="G16" s="29"/>
      <c r="H16" s="29"/>
      <c r="I16" s="29"/>
      <c r="J16" s="29"/>
      <c r="K16" s="29"/>
      <c r="L16" s="29"/>
      <c r="M16" s="30" t="str">
        <f>IFNA(VLOOKUP(L16,'Faculty Details'!$B:$H,4,0),"")</f>
        <v/>
      </c>
      <c r="N16" s="30" t="str">
        <f>IFNA(VLOOKUP(L16,'Faculty Details'!$B:$H,7,0),"")</f>
        <v/>
      </c>
    </row>
    <row r="17" ht="34.5" customHeight="1">
      <c r="A17" s="29">
        <v>16.0</v>
      </c>
      <c r="B17" s="29" t="s">
        <v>13</v>
      </c>
      <c r="C17" s="29" t="s">
        <v>1572</v>
      </c>
      <c r="D17" s="29" t="s">
        <v>1593</v>
      </c>
      <c r="E17" s="29" t="s">
        <v>1594</v>
      </c>
      <c r="F17" s="26" t="s">
        <v>1640</v>
      </c>
      <c r="G17" s="29" t="s">
        <v>1588</v>
      </c>
      <c r="H17" s="29">
        <v>1.0</v>
      </c>
      <c r="I17" s="29">
        <v>0.0</v>
      </c>
      <c r="J17" s="29">
        <v>2.0</v>
      </c>
      <c r="K17" s="29">
        <v>2.0</v>
      </c>
      <c r="L17" s="29" t="s">
        <v>1118</v>
      </c>
      <c r="M17" s="30" t="str">
        <f>IFNA(VLOOKUP(L17,'Faculty Details'!$B:$H,4,0),"")</f>
        <v>Dr.GAYATHRI G M</v>
      </c>
      <c r="N17" s="30" t="str">
        <f>IFNA(VLOOKUP(L17,'Faculty Details'!$B:$H,7,0),"")</f>
        <v>gayathri@bitsathy.ac.in</v>
      </c>
    </row>
    <row r="18" ht="34.5" customHeight="1">
      <c r="A18" s="29">
        <v>17.0</v>
      </c>
      <c r="B18" s="29" t="s">
        <v>13</v>
      </c>
      <c r="C18" s="29" t="s">
        <v>1572</v>
      </c>
      <c r="D18" s="29" t="s">
        <v>1593</v>
      </c>
      <c r="E18" s="29" t="s">
        <v>1641</v>
      </c>
      <c r="F18" s="26" t="s">
        <v>1642</v>
      </c>
      <c r="G18" s="29" t="s">
        <v>1588</v>
      </c>
      <c r="H18" s="29">
        <v>1.0</v>
      </c>
      <c r="I18" s="29">
        <v>0.0</v>
      </c>
      <c r="J18" s="29">
        <v>2.0</v>
      </c>
      <c r="K18" s="29">
        <v>2.0</v>
      </c>
      <c r="L18" s="29"/>
      <c r="M18" s="30" t="str">
        <f>IFNA(VLOOKUP(L18,'Faculty Details'!$B:$H,4,0),"")</f>
        <v/>
      </c>
      <c r="N18" s="30" t="str">
        <f>IFNA(VLOOKUP(L18,'Faculty Details'!$B:$H,7,0),"")</f>
        <v/>
      </c>
    </row>
    <row r="19" ht="34.5" customHeight="1">
      <c r="A19" s="29">
        <v>18.0</v>
      </c>
      <c r="B19" s="29" t="s">
        <v>13</v>
      </c>
      <c r="C19" s="29" t="s">
        <v>1572</v>
      </c>
      <c r="D19" s="29" t="s">
        <v>1593</v>
      </c>
      <c r="E19" s="29" t="s">
        <v>1643</v>
      </c>
      <c r="F19" s="26" t="s">
        <v>1644</v>
      </c>
      <c r="G19" s="29" t="s">
        <v>1588</v>
      </c>
      <c r="H19" s="29">
        <v>1.0</v>
      </c>
      <c r="I19" s="29">
        <v>0.0</v>
      </c>
      <c r="J19" s="29">
        <v>2.0</v>
      </c>
      <c r="K19" s="29">
        <v>2.0</v>
      </c>
      <c r="L19" s="29"/>
      <c r="M19" s="30" t="str">
        <f>IFNA(VLOOKUP(L19,'Faculty Details'!$B:$H,4,0),"")</f>
        <v/>
      </c>
      <c r="N19" s="30" t="str">
        <f>IFNA(VLOOKUP(L19,'Faculty Details'!$B:$H,7,0),"")</f>
        <v/>
      </c>
    </row>
    <row r="20" ht="34.5" customHeight="1">
      <c r="A20" s="29">
        <v>19.0</v>
      </c>
      <c r="B20" s="29" t="s">
        <v>13</v>
      </c>
      <c r="C20" s="29" t="s">
        <v>1596</v>
      </c>
      <c r="D20" s="29" t="s">
        <v>1573</v>
      </c>
      <c r="E20" s="29" t="s">
        <v>1765</v>
      </c>
      <c r="F20" s="26" t="s">
        <v>1766</v>
      </c>
      <c r="G20" s="29" t="s">
        <v>1579</v>
      </c>
      <c r="H20" s="29">
        <v>3.0</v>
      </c>
      <c r="I20" s="29">
        <v>0.0</v>
      </c>
      <c r="J20" s="29">
        <v>2.0</v>
      </c>
      <c r="K20" s="29">
        <v>4.0</v>
      </c>
      <c r="L20" s="29" t="s">
        <v>540</v>
      </c>
      <c r="M20" s="30" t="str">
        <f>IFNA(VLOOKUP(L20,'Faculty Details'!$B:$H,4,0),"")</f>
        <v>Dr.TAMILSELVI S</v>
      </c>
      <c r="N20" s="30" t="str">
        <f>IFNA(VLOOKUP(L20,'Faculty Details'!$B:$H,7,0),"")</f>
        <v>tamilselvis@bitsathy.ac.in</v>
      </c>
    </row>
    <row r="21" ht="34.5" customHeight="1">
      <c r="A21" s="29">
        <v>20.0</v>
      </c>
      <c r="B21" s="29" t="s">
        <v>13</v>
      </c>
      <c r="C21" s="29" t="s">
        <v>1596</v>
      </c>
      <c r="D21" s="29" t="s">
        <v>1573</v>
      </c>
      <c r="E21" s="29" t="s">
        <v>1765</v>
      </c>
      <c r="F21" s="26" t="s">
        <v>1766</v>
      </c>
      <c r="G21" s="29" t="s">
        <v>1579</v>
      </c>
      <c r="H21" s="29">
        <v>3.0</v>
      </c>
      <c r="I21" s="29">
        <v>0.0</v>
      </c>
      <c r="J21" s="29">
        <v>2.0</v>
      </c>
      <c r="K21" s="29">
        <v>4.0</v>
      </c>
      <c r="L21" s="29" t="s">
        <v>522</v>
      </c>
      <c r="M21" s="30" t="str">
        <f>IFNA(VLOOKUP(L21,'Faculty Details'!$B:$H,4,0),"")</f>
        <v>Dr.SURESH CHALUVADI</v>
      </c>
      <c r="N21" s="30" t="str">
        <f>IFNA(VLOOKUP(L21,'Faculty Details'!$B:$H,7,0),"")</f>
        <v>sureshchaluvadi@bitsathy.ac.in</v>
      </c>
    </row>
    <row r="22" ht="34.5" customHeight="1">
      <c r="A22" s="29">
        <v>21.0</v>
      </c>
      <c r="B22" s="29" t="s">
        <v>13</v>
      </c>
      <c r="C22" s="29" t="s">
        <v>1596</v>
      </c>
      <c r="D22" s="29" t="s">
        <v>1573</v>
      </c>
      <c r="E22" s="29" t="s">
        <v>1767</v>
      </c>
      <c r="F22" s="26" t="s">
        <v>1600</v>
      </c>
      <c r="G22" s="29" t="s">
        <v>1576</v>
      </c>
      <c r="H22" s="29">
        <v>3.0</v>
      </c>
      <c r="I22" s="29">
        <v>0.0</v>
      </c>
      <c r="J22" s="29">
        <v>2.0</v>
      </c>
      <c r="K22" s="29">
        <v>4.0</v>
      </c>
      <c r="L22" s="91" t="s">
        <v>1369</v>
      </c>
      <c r="M22" s="30" t="str">
        <f>IFNA(VLOOKUP(L22,'Faculty Details'!$B:$H,4,0),"")</f>
        <v>Dr.KUMARESAN G</v>
      </c>
      <c r="N22" s="30" t="str">
        <f>IFNA(VLOOKUP(L22,'Faculty Details'!$B:$H,7,0),"")</f>
        <v>kumaresan@bitsathy.ac.in</v>
      </c>
    </row>
    <row r="23" ht="34.5" customHeight="1">
      <c r="A23" s="29">
        <v>22.0</v>
      </c>
      <c r="B23" s="29" t="s">
        <v>13</v>
      </c>
      <c r="C23" s="29" t="s">
        <v>1596</v>
      </c>
      <c r="D23" s="29" t="s">
        <v>1573</v>
      </c>
      <c r="E23" s="29" t="s">
        <v>1767</v>
      </c>
      <c r="F23" s="26" t="s">
        <v>1600</v>
      </c>
      <c r="G23" s="29" t="s">
        <v>1588</v>
      </c>
      <c r="H23" s="29">
        <v>3.0</v>
      </c>
      <c r="I23" s="29">
        <v>0.0</v>
      </c>
      <c r="J23" s="29">
        <v>2.0</v>
      </c>
      <c r="K23" s="29">
        <v>4.0</v>
      </c>
      <c r="L23" s="91" t="s">
        <v>1435</v>
      </c>
      <c r="M23" s="30" t="str">
        <f>IFNA(VLOOKUP(L23,'Faculty Details'!$B:$H,4,0),"")</f>
        <v>Dr.DINESH D</v>
      </c>
      <c r="N23" s="30" t="str">
        <f>IFNA(VLOOKUP(L23,'Faculty Details'!$B:$H,7,0),"")</f>
        <v>dineshd@bitsathy.ac.in</v>
      </c>
    </row>
    <row r="24" ht="34.5" customHeight="1">
      <c r="A24" s="29">
        <v>23.0</v>
      </c>
      <c r="B24" s="29" t="s">
        <v>13</v>
      </c>
      <c r="C24" s="29" t="s">
        <v>1596</v>
      </c>
      <c r="D24" s="29" t="s">
        <v>1573</v>
      </c>
      <c r="E24" s="29" t="s">
        <v>1767</v>
      </c>
      <c r="F24" s="26" t="s">
        <v>1600</v>
      </c>
      <c r="G24" s="29" t="s">
        <v>1576</v>
      </c>
      <c r="H24" s="29">
        <v>3.0</v>
      </c>
      <c r="I24" s="29">
        <v>0.0</v>
      </c>
      <c r="J24" s="29">
        <v>2.0</v>
      </c>
      <c r="K24" s="29">
        <v>4.0</v>
      </c>
      <c r="L24" s="92" t="s">
        <v>1395</v>
      </c>
      <c r="M24" s="30" t="str">
        <f>IFNA(VLOOKUP(L24,'Faculty Details'!$B:$H,4,0),"")</f>
        <v>Dr.PRAKASH K B</v>
      </c>
      <c r="N24" s="30" t="str">
        <f>IFNA(VLOOKUP(L24,'Faculty Details'!$B:$H,7,0),"")</f>
        <v>prakashkb@bitsathy.ac.in</v>
      </c>
    </row>
    <row r="25" ht="34.5" customHeight="1">
      <c r="A25" s="29">
        <v>24.0</v>
      </c>
      <c r="B25" s="29" t="s">
        <v>13</v>
      </c>
      <c r="C25" s="29" t="s">
        <v>1596</v>
      </c>
      <c r="D25" s="29" t="s">
        <v>1573</v>
      </c>
      <c r="E25" s="29" t="s">
        <v>1767</v>
      </c>
      <c r="F25" s="26" t="s">
        <v>1600</v>
      </c>
      <c r="G25" s="29" t="s">
        <v>1588</v>
      </c>
      <c r="H25" s="29">
        <v>3.0</v>
      </c>
      <c r="I25" s="29">
        <v>0.0</v>
      </c>
      <c r="J25" s="29">
        <v>2.0</v>
      </c>
      <c r="K25" s="29">
        <v>4.0</v>
      </c>
      <c r="L25" s="92" t="s">
        <v>1395</v>
      </c>
      <c r="M25" s="30" t="str">
        <f>IFNA(VLOOKUP(L25,'Faculty Details'!$B:$H,4,0),"")</f>
        <v>Dr.PRAKASH K B</v>
      </c>
      <c r="N25" s="30" t="str">
        <f>IFNA(VLOOKUP(L25,'Faculty Details'!$B:$H,7,0),"")</f>
        <v>prakashkb@bitsathy.ac.in</v>
      </c>
    </row>
    <row r="26" ht="34.5" customHeight="1">
      <c r="A26" s="29">
        <v>25.0</v>
      </c>
      <c r="B26" s="29" t="s">
        <v>13</v>
      </c>
      <c r="C26" s="29" t="s">
        <v>1596</v>
      </c>
      <c r="D26" s="29" t="s">
        <v>1573</v>
      </c>
      <c r="E26" s="29" t="s">
        <v>1768</v>
      </c>
      <c r="F26" s="26" t="s">
        <v>1769</v>
      </c>
      <c r="G26" s="29" t="s">
        <v>1579</v>
      </c>
      <c r="H26" s="29">
        <v>3.0</v>
      </c>
      <c r="I26" s="29">
        <v>0.0</v>
      </c>
      <c r="J26" s="29">
        <v>2.0</v>
      </c>
      <c r="K26" s="29">
        <v>4.0</v>
      </c>
      <c r="L26" s="29" t="s">
        <v>528</v>
      </c>
      <c r="M26" s="30" t="str">
        <f>IFNA(VLOOKUP(L26,'Faculty Details'!$B:$H,4,0),"")</f>
        <v>Mrs.VINODHINI R T</v>
      </c>
      <c r="N26" s="30" t="str">
        <f>IFNA(VLOOKUP(L26,'Faculty Details'!$B:$H,7,0),"")</f>
        <v>vinodhinirt@bitsathy.ac.in</v>
      </c>
    </row>
    <row r="27" ht="34.5" customHeight="1">
      <c r="A27" s="29">
        <v>26.0</v>
      </c>
      <c r="B27" s="29" t="s">
        <v>13</v>
      </c>
      <c r="C27" s="29" t="s">
        <v>1596</v>
      </c>
      <c r="D27" s="29" t="s">
        <v>1573</v>
      </c>
      <c r="E27" s="29" t="s">
        <v>1768</v>
      </c>
      <c r="F27" s="26" t="s">
        <v>1769</v>
      </c>
      <c r="G27" s="29" t="s">
        <v>1579</v>
      </c>
      <c r="H27" s="29">
        <v>3.0</v>
      </c>
      <c r="I27" s="29">
        <v>0.0</v>
      </c>
      <c r="J27" s="29">
        <v>2.0</v>
      </c>
      <c r="K27" s="29">
        <v>4.0</v>
      </c>
      <c r="L27" s="29" t="s">
        <v>513</v>
      </c>
      <c r="M27" s="30" t="str">
        <f>IFNA(VLOOKUP(L27,'Faculty Details'!$B:$H,4,0),"")</f>
        <v>Mrs.MAHIMA P</v>
      </c>
      <c r="N27" s="30" t="str">
        <f>IFNA(VLOOKUP(L27,'Faculty Details'!$B:$H,7,0),"")</f>
        <v>mahimap@bitsathy.ac.in</v>
      </c>
    </row>
    <row r="28" ht="34.5" customHeight="1">
      <c r="A28" s="29">
        <v>27.0</v>
      </c>
      <c r="B28" s="29" t="s">
        <v>13</v>
      </c>
      <c r="C28" s="29" t="s">
        <v>1596</v>
      </c>
      <c r="D28" s="29" t="s">
        <v>1573</v>
      </c>
      <c r="E28" s="29" t="s">
        <v>1770</v>
      </c>
      <c r="F28" s="26" t="s">
        <v>1771</v>
      </c>
      <c r="G28" s="29" t="s">
        <v>1579</v>
      </c>
      <c r="H28" s="29">
        <v>3.0</v>
      </c>
      <c r="I28" s="29">
        <v>0.0</v>
      </c>
      <c r="J28" s="29">
        <v>2.0</v>
      </c>
      <c r="K28" s="29">
        <v>4.0</v>
      </c>
      <c r="L28" s="86" t="s">
        <v>534</v>
      </c>
      <c r="M28" s="30" t="str">
        <f>IFNA(VLOOKUP(L28,'Faculty Details'!$B:$H,4,0),"")</f>
        <v>Mrs.SHANKARI V</v>
      </c>
      <c r="N28" s="30" t="str">
        <f>IFNA(VLOOKUP(L28,'Faculty Details'!$B:$H,7,0),"")</f>
        <v>shankariv@bitsathy.ac.in</v>
      </c>
    </row>
    <row r="29" ht="34.5" customHeight="1">
      <c r="A29" s="29">
        <v>28.0</v>
      </c>
      <c r="B29" s="29" t="s">
        <v>13</v>
      </c>
      <c r="C29" s="29" t="s">
        <v>1596</v>
      </c>
      <c r="D29" s="29" t="s">
        <v>1573</v>
      </c>
      <c r="E29" s="29" t="s">
        <v>1770</v>
      </c>
      <c r="F29" s="26" t="s">
        <v>1771</v>
      </c>
      <c r="G29" s="29" t="s">
        <v>1576</v>
      </c>
      <c r="H29" s="29">
        <v>3.0</v>
      </c>
      <c r="I29" s="29">
        <v>0.0</v>
      </c>
      <c r="J29" s="29">
        <v>2.0</v>
      </c>
      <c r="K29" s="29">
        <v>4.0</v>
      </c>
      <c r="L29" s="29" t="s">
        <v>498</v>
      </c>
      <c r="M29" s="30" t="str">
        <f>IFNA(VLOOKUP(L29,'Faculty Details'!$B:$H,4,0),"")</f>
        <v>Mr.RAJASEETHARAMA S</v>
      </c>
      <c r="N29" s="30" t="str">
        <f>IFNA(VLOOKUP(L29,'Faculty Details'!$B:$H,7,0),"")</f>
        <v>rajaseetharama@bitsathy.ac.in</v>
      </c>
    </row>
    <row r="30" ht="34.5" customHeight="1">
      <c r="A30" s="29">
        <v>29.0</v>
      </c>
      <c r="B30" s="29" t="s">
        <v>13</v>
      </c>
      <c r="C30" s="29" t="s">
        <v>1596</v>
      </c>
      <c r="D30" s="29" t="s">
        <v>1573</v>
      </c>
      <c r="E30" s="29" t="s">
        <v>1770</v>
      </c>
      <c r="F30" s="26" t="s">
        <v>1771</v>
      </c>
      <c r="G30" s="29" t="s">
        <v>1588</v>
      </c>
      <c r="H30" s="29">
        <v>3.0</v>
      </c>
      <c r="I30" s="29">
        <v>0.0</v>
      </c>
      <c r="J30" s="29">
        <v>2.0</v>
      </c>
      <c r="K30" s="29">
        <v>4.0</v>
      </c>
      <c r="L30" s="29" t="s">
        <v>525</v>
      </c>
      <c r="M30" s="30" t="str">
        <f>IFNA(VLOOKUP(L30,'Faculty Details'!$B:$H,4,0),"")</f>
        <v>Ms.NANDHINI N</v>
      </c>
      <c r="N30" s="30" t="str">
        <f>IFNA(VLOOKUP(L30,'Faculty Details'!$B:$H,7,0),"")</f>
        <v>nandhinin@bitsathy.ac.in</v>
      </c>
    </row>
    <row r="31" ht="34.5" customHeight="1">
      <c r="A31" s="29">
        <v>30.0</v>
      </c>
      <c r="B31" s="29" t="s">
        <v>13</v>
      </c>
      <c r="C31" s="29" t="s">
        <v>1596</v>
      </c>
      <c r="D31" s="29" t="s">
        <v>1573</v>
      </c>
      <c r="E31" s="29" t="s">
        <v>1772</v>
      </c>
      <c r="F31" s="26" t="s">
        <v>1773</v>
      </c>
      <c r="G31" s="29" t="s">
        <v>1579</v>
      </c>
      <c r="H31" s="29">
        <v>3.0</v>
      </c>
      <c r="I31" s="29">
        <v>0.0</v>
      </c>
      <c r="J31" s="29">
        <v>2.0</v>
      </c>
      <c r="K31" s="29">
        <v>4.0</v>
      </c>
      <c r="L31" s="29" t="s">
        <v>537</v>
      </c>
      <c r="M31" s="30" t="str">
        <f>IFNA(VLOOKUP(L31,'Faculty Details'!$B:$H,4,0),"")</f>
        <v>Dr.KANNAN K P</v>
      </c>
      <c r="N31" s="30" t="str">
        <f>IFNA(VLOOKUP(L31,'Faculty Details'!$B:$H,7,0),"")</f>
        <v>kannankp@bitsathy.ac.in</v>
      </c>
    </row>
    <row r="32" ht="34.5" customHeight="1">
      <c r="A32" s="29">
        <v>31.0</v>
      </c>
      <c r="B32" s="29" t="s">
        <v>13</v>
      </c>
      <c r="C32" s="29" t="s">
        <v>1596</v>
      </c>
      <c r="D32" s="29" t="s">
        <v>1573</v>
      </c>
      <c r="E32" s="29" t="s">
        <v>1772</v>
      </c>
      <c r="F32" s="26" t="s">
        <v>1773</v>
      </c>
      <c r="G32" s="29" t="s">
        <v>1579</v>
      </c>
      <c r="H32" s="29">
        <v>3.0</v>
      </c>
      <c r="I32" s="29">
        <v>0.0</v>
      </c>
      <c r="J32" s="29">
        <v>2.0</v>
      </c>
      <c r="K32" s="29">
        <v>4.0</v>
      </c>
      <c r="L32" s="29" t="s">
        <v>549</v>
      </c>
      <c r="M32" s="30" t="str">
        <f>IFNA(VLOOKUP(L32,'Faculty Details'!$B:$H,4,0),"")</f>
        <v>Dr.PAVITHRA MKS</v>
      </c>
      <c r="N32" s="30" t="str">
        <f>IFNA(VLOOKUP(L32,'Faculty Details'!$B:$H,7,0),"")</f>
        <v>pavithramks@bitsathy.ac.in</v>
      </c>
    </row>
    <row r="33" ht="34.5" customHeight="1">
      <c r="A33" s="29">
        <v>32.0</v>
      </c>
      <c r="B33" s="29" t="s">
        <v>13</v>
      </c>
      <c r="C33" s="29" t="s">
        <v>1596</v>
      </c>
      <c r="D33" s="29" t="s">
        <v>1607</v>
      </c>
      <c r="E33" s="93" t="s">
        <v>14</v>
      </c>
      <c r="F33" s="94" t="s">
        <v>15</v>
      </c>
      <c r="G33" s="29" t="s">
        <v>1576</v>
      </c>
      <c r="H33" s="29">
        <v>3.0</v>
      </c>
      <c r="I33" s="29">
        <v>0.0</v>
      </c>
      <c r="J33" s="29">
        <v>0.0</v>
      </c>
      <c r="K33" s="29">
        <v>3.0</v>
      </c>
      <c r="L33" s="29" t="s">
        <v>510</v>
      </c>
      <c r="M33" s="30" t="str">
        <f>IFNA(VLOOKUP(L33,'Faculty Details'!$B:$H,4,0),"")</f>
        <v>Mrs.SAKTHISHOBANA K</v>
      </c>
      <c r="N33" s="30" t="str">
        <f>IFNA(VLOOKUP(L33,'Faculty Details'!$B:$H,7,0),"")</f>
        <v>sakthishobanak@bitsathy.ac.in</v>
      </c>
    </row>
    <row r="34" ht="34.5" customHeight="1">
      <c r="A34" s="29">
        <v>33.0</v>
      </c>
      <c r="B34" s="29" t="s">
        <v>13</v>
      </c>
      <c r="C34" s="29" t="s">
        <v>1596</v>
      </c>
      <c r="D34" s="29" t="s">
        <v>1607</v>
      </c>
      <c r="E34" s="93" t="s">
        <v>16</v>
      </c>
      <c r="F34" s="94" t="s">
        <v>17</v>
      </c>
      <c r="G34" s="29" t="s">
        <v>1576</v>
      </c>
      <c r="H34" s="29">
        <v>3.0</v>
      </c>
      <c r="I34" s="29">
        <v>0.0</v>
      </c>
      <c r="J34" s="29">
        <v>0.0</v>
      </c>
      <c r="K34" s="29">
        <v>3.0</v>
      </c>
      <c r="L34" s="29" t="s">
        <v>546</v>
      </c>
      <c r="M34" s="30" t="str">
        <f>IFNA(VLOOKUP(L34,'Faculty Details'!$B:$H,4,0),"")</f>
        <v>Dr.KIRUPA SANKAR M</v>
      </c>
      <c r="N34" s="30" t="str">
        <f>IFNA(VLOOKUP(L34,'Faculty Details'!$B:$H,7,0),"")</f>
        <v>kirupasankarm@bitsathy.ac.in</v>
      </c>
    </row>
    <row r="35" ht="34.5" customHeight="1">
      <c r="A35" s="29">
        <v>34.0</v>
      </c>
      <c r="B35" s="29" t="s">
        <v>13</v>
      </c>
      <c r="C35" s="29" t="s">
        <v>1596</v>
      </c>
      <c r="D35" s="29" t="s">
        <v>1607</v>
      </c>
      <c r="E35" s="93" t="s">
        <v>16</v>
      </c>
      <c r="F35" s="94" t="s">
        <v>17</v>
      </c>
      <c r="G35" s="29" t="s">
        <v>1576</v>
      </c>
      <c r="H35" s="29">
        <v>3.0</v>
      </c>
      <c r="I35" s="29">
        <v>0.0</v>
      </c>
      <c r="J35" s="29">
        <v>0.0</v>
      </c>
      <c r="K35" s="29">
        <v>3.0</v>
      </c>
      <c r="L35" s="29" t="s">
        <v>494</v>
      </c>
      <c r="M35" s="30" t="str">
        <f>IFNA(VLOOKUP(L35,'Faculty Details'!$B:$H,4,0),"")</f>
        <v>Dr.ASHWIN  RAJ S</v>
      </c>
      <c r="N35" s="30" t="str">
        <f>IFNA(VLOOKUP(L35,'Faculty Details'!$B:$H,7,0),"")</f>
        <v>ashwinraj@bitsathy.ac.in</v>
      </c>
    </row>
    <row r="36" ht="34.5" customHeight="1">
      <c r="A36" s="29">
        <v>35.0</v>
      </c>
      <c r="B36" s="29" t="s">
        <v>13</v>
      </c>
      <c r="C36" s="29" t="s">
        <v>1596</v>
      </c>
      <c r="D36" s="29" t="s">
        <v>1573</v>
      </c>
      <c r="E36" s="29" t="s">
        <v>1608</v>
      </c>
      <c r="F36" s="26" t="s">
        <v>1609</v>
      </c>
      <c r="G36" s="29" t="s">
        <v>1588</v>
      </c>
      <c r="H36" s="29">
        <v>2.0</v>
      </c>
      <c r="I36" s="29">
        <v>0.0</v>
      </c>
      <c r="J36" s="29">
        <v>0.0</v>
      </c>
      <c r="K36" s="29">
        <v>2.0</v>
      </c>
      <c r="L36" s="29" t="s">
        <v>650</v>
      </c>
      <c r="M36" s="30" t="str">
        <f>IFNA(VLOOKUP(L36,'Faculty Details'!$B:$H,4,0),"")</f>
        <v>Dr.SUBHAPRIYA P</v>
      </c>
      <c r="N36" s="30" t="str">
        <f>IFNA(VLOOKUP(L36,'Faculty Details'!$B:$H,7,0),"")</f>
        <v>subhapriyap@bitsathy.ac.in</v>
      </c>
    </row>
    <row r="37" ht="34.5" customHeight="1">
      <c r="A37" s="29">
        <v>36.0</v>
      </c>
      <c r="B37" s="29" t="s">
        <v>13</v>
      </c>
      <c r="C37" s="29" t="s">
        <v>1596</v>
      </c>
      <c r="D37" s="29" t="s">
        <v>1573</v>
      </c>
      <c r="E37" s="29" t="s">
        <v>1608</v>
      </c>
      <c r="F37" s="26" t="s">
        <v>1609</v>
      </c>
      <c r="G37" s="29" t="s">
        <v>1588</v>
      </c>
      <c r="H37" s="29">
        <v>2.0</v>
      </c>
      <c r="I37" s="29">
        <v>0.0</v>
      </c>
      <c r="J37" s="29">
        <v>0.0</v>
      </c>
      <c r="K37" s="29">
        <v>2.0</v>
      </c>
      <c r="L37" s="29" t="s">
        <v>632</v>
      </c>
      <c r="M37" s="30" t="str">
        <f>IFNA(VLOOKUP(L37,'Faculty Details'!$B:$H,4,0),"")</f>
        <v>Dr.RAMESHKUMAR A</v>
      </c>
      <c r="N37" s="30" t="str">
        <f>IFNA(VLOOKUP(L37,'Faculty Details'!$B:$H,7,0),"")</f>
        <v>rameshkumar@bitsathy.ac.in</v>
      </c>
    </row>
    <row r="38" ht="34.5" customHeight="1">
      <c r="A38" s="29">
        <v>37.0</v>
      </c>
      <c r="B38" s="29" t="s">
        <v>13</v>
      </c>
      <c r="C38" s="29" t="s">
        <v>1596</v>
      </c>
      <c r="D38" s="29" t="s">
        <v>1573</v>
      </c>
      <c r="E38" s="29" t="s">
        <v>1610</v>
      </c>
      <c r="F38" s="34" t="s">
        <v>1611</v>
      </c>
      <c r="G38" s="29" t="s">
        <v>1588</v>
      </c>
      <c r="H38" s="29">
        <v>0.0</v>
      </c>
      <c r="I38" s="29">
        <v>0.0</v>
      </c>
      <c r="J38" s="29">
        <v>2.0</v>
      </c>
      <c r="K38" s="29">
        <v>1.0</v>
      </c>
      <c r="L38" s="29" t="s">
        <v>1121</v>
      </c>
      <c r="M38" s="30" t="str">
        <f>IFNA(VLOOKUP(L38,'Faculty Details'!$B:$H,4,0),"")</f>
        <v>Dr.ASLIN JERUSHA D</v>
      </c>
      <c r="N38" s="30" t="str">
        <f>IFNA(VLOOKUP(L38,'Faculty Details'!$B:$H,7,0),"")</f>
        <v>aslinjerusha@bitsathy.ac.in</v>
      </c>
    </row>
    <row r="39" ht="34.5" customHeight="1">
      <c r="A39" s="29">
        <v>38.0</v>
      </c>
      <c r="B39" s="29" t="s">
        <v>13</v>
      </c>
      <c r="C39" s="29" t="s">
        <v>1596</v>
      </c>
      <c r="D39" s="29" t="s">
        <v>1573</v>
      </c>
      <c r="E39" s="29" t="s">
        <v>1610</v>
      </c>
      <c r="F39" s="34" t="s">
        <v>1611</v>
      </c>
      <c r="G39" s="29" t="s">
        <v>1588</v>
      </c>
      <c r="H39" s="29">
        <v>0.0</v>
      </c>
      <c r="I39" s="29">
        <v>0.0</v>
      </c>
      <c r="J39" s="29">
        <v>2.0</v>
      </c>
      <c r="K39" s="29">
        <v>1.0</v>
      </c>
      <c r="L39" s="29" t="s">
        <v>1127</v>
      </c>
      <c r="M39" s="30" t="str">
        <f>IFNA(VLOOKUP(L39,'Faculty Details'!$B:$H,4,0),"")</f>
        <v>Dr.NITHYA S</v>
      </c>
      <c r="N39" s="30" t="str">
        <f>IFNA(VLOOKUP(L39,'Faculty Details'!$B:$H,7,0),"")</f>
        <v>nithyas@bitsathy.ac.in</v>
      </c>
    </row>
    <row r="40" ht="34.5" customHeight="1">
      <c r="A40" s="29">
        <v>39.0</v>
      </c>
      <c r="B40" s="29" t="s">
        <v>13</v>
      </c>
      <c r="C40" s="29" t="s">
        <v>1612</v>
      </c>
      <c r="D40" s="29" t="s">
        <v>1573</v>
      </c>
      <c r="E40" s="29" t="s">
        <v>1774</v>
      </c>
      <c r="F40" s="26" t="s">
        <v>1775</v>
      </c>
      <c r="G40" s="29" t="s">
        <v>1579</v>
      </c>
      <c r="H40" s="29">
        <v>3.0</v>
      </c>
      <c r="I40" s="29">
        <v>0.0</v>
      </c>
      <c r="J40" s="29">
        <v>2.0</v>
      </c>
      <c r="K40" s="29">
        <v>4.0</v>
      </c>
      <c r="L40" s="29" t="s">
        <v>494</v>
      </c>
      <c r="M40" s="30" t="str">
        <f>IFNA(VLOOKUP(L40,'Faculty Details'!$B:$H,4,0),"")</f>
        <v>Dr.ASHWIN  RAJ S</v>
      </c>
      <c r="N40" s="30" t="str">
        <f>IFNA(VLOOKUP(L40,'Faculty Details'!$B:$H,7,0),"")</f>
        <v>ashwinraj@bitsathy.ac.in</v>
      </c>
    </row>
    <row r="41" ht="34.5" customHeight="1">
      <c r="A41" s="29">
        <v>40.0</v>
      </c>
      <c r="B41" s="29" t="s">
        <v>13</v>
      </c>
      <c r="C41" s="29" t="s">
        <v>1612</v>
      </c>
      <c r="D41" s="29" t="s">
        <v>1573</v>
      </c>
      <c r="E41" s="29" t="s">
        <v>1774</v>
      </c>
      <c r="F41" s="26" t="s">
        <v>1775</v>
      </c>
      <c r="G41" s="29" t="s">
        <v>1579</v>
      </c>
      <c r="H41" s="29">
        <v>3.0</v>
      </c>
      <c r="I41" s="29">
        <v>0.0</v>
      </c>
      <c r="J41" s="29">
        <v>2.0</v>
      </c>
      <c r="K41" s="29">
        <v>4.0</v>
      </c>
      <c r="L41" s="29" t="s">
        <v>507</v>
      </c>
      <c r="M41" s="30" t="str">
        <f>IFNA(VLOOKUP(L41,'Faculty Details'!$B:$H,4,0),"")</f>
        <v>Ms.DHIVYA DHARSHINI U</v>
      </c>
      <c r="N41" s="30" t="str">
        <f>IFNA(VLOOKUP(L41,'Faculty Details'!$B:$H,7,0),"")</f>
        <v>dhivyadharshiniu@bitsathy.ac.in</v>
      </c>
    </row>
    <row r="42" ht="34.5" customHeight="1">
      <c r="A42" s="29">
        <v>41.0</v>
      </c>
      <c r="B42" s="29" t="s">
        <v>13</v>
      </c>
      <c r="C42" s="29" t="s">
        <v>1612</v>
      </c>
      <c r="D42" s="29" t="s">
        <v>1573</v>
      </c>
      <c r="E42" s="29" t="s">
        <v>1776</v>
      </c>
      <c r="F42" s="26" t="s">
        <v>1777</v>
      </c>
      <c r="G42" s="29" t="s">
        <v>1579</v>
      </c>
      <c r="H42" s="29">
        <v>3.0</v>
      </c>
      <c r="I42" s="29">
        <v>0.0</v>
      </c>
      <c r="J42" s="29">
        <v>2.0</v>
      </c>
      <c r="K42" s="29">
        <v>4.0</v>
      </c>
      <c r="L42" s="29" t="s">
        <v>504</v>
      </c>
      <c r="M42" s="30" t="str">
        <f>IFNA(VLOOKUP(L42,'Faculty Details'!$B:$H,4,0),"")</f>
        <v>Mr.JEYAVEL KARTHICK P</v>
      </c>
      <c r="N42" s="30" t="str">
        <f>IFNA(VLOOKUP(L42,'Faculty Details'!$B:$H,7,0),"")</f>
        <v>jeyavelkarthick@bitsathy.ac.in</v>
      </c>
    </row>
    <row r="43" ht="34.5" customHeight="1">
      <c r="A43" s="29">
        <v>42.0</v>
      </c>
      <c r="B43" s="29" t="s">
        <v>13</v>
      </c>
      <c r="C43" s="29" t="s">
        <v>1612</v>
      </c>
      <c r="D43" s="29" t="s">
        <v>1573</v>
      </c>
      <c r="E43" s="29" t="s">
        <v>1776</v>
      </c>
      <c r="F43" s="26" t="s">
        <v>1777</v>
      </c>
      <c r="G43" s="29" t="s">
        <v>1576</v>
      </c>
      <c r="H43" s="29">
        <v>3.0</v>
      </c>
      <c r="I43" s="29">
        <v>0.0</v>
      </c>
      <c r="J43" s="29">
        <v>2.0</v>
      </c>
      <c r="K43" s="29">
        <v>4.0</v>
      </c>
      <c r="L43" s="29" t="s">
        <v>519</v>
      </c>
      <c r="M43" s="30" t="str">
        <f>IFNA(VLOOKUP(L43,'Faculty Details'!$B:$H,4,0),"")</f>
        <v>Mr.BALAJI S</v>
      </c>
      <c r="N43" s="30" t="str">
        <f>IFNA(VLOOKUP(L43,'Faculty Details'!$B:$H,7,0),"")</f>
        <v>balajisadhasivam@bitsathy.ac.in</v>
      </c>
    </row>
    <row r="44" ht="34.5" customHeight="1">
      <c r="A44" s="29">
        <v>43.0</v>
      </c>
      <c r="B44" s="29" t="s">
        <v>13</v>
      </c>
      <c r="C44" s="29" t="s">
        <v>1612</v>
      </c>
      <c r="D44" s="29" t="s">
        <v>1573</v>
      </c>
      <c r="E44" s="29" t="s">
        <v>1776</v>
      </c>
      <c r="F44" s="26" t="s">
        <v>1777</v>
      </c>
      <c r="G44" s="29" t="s">
        <v>1588</v>
      </c>
      <c r="H44" s="29">
        <v>3.0</v>
      </c>
      <c r="I44" s="29">
        <v>0.0</v>
      </c>
      <c r="J44" s="29">
        <v>2.0</v>
      </c>
      <c r="K44" s="29">
        <v>4.0</v>
      </c>
      <c r="L44" s="29" t="s">
        <v>546</v>
      </c>
      <c r="M44" s="30" t="str">
        <f>IFNA(VLOOKUP(L44,'Faculty Details'!$B:$H,4,0),"")</f>
        <v>Dr.KIRUPA SANKAR M</v>
      </c>
      <c r="N44" s="30" t="str">
        <f>IFNA(VLOOKUP(L44,'Faculty Details'!$B:$H,7,0),"")</f>
        <v>kirupasankarm@bitsathy.ac.in</v>
      </c>
    </row>
    <row r="45" ht="34.5" customHeight="1">
      <c r="A45" s="29">
        <v>44.0</v>
      </c>
      <c r="B45" s="29" t="s">
        <v>13</v>
      </c>
      <c r="C45" s="29" t="s">
        <v>1612</v>
      </c>
      <c r="D45" s="29" t="s">
        <v>1573</v>
      </c>
      <c r="E45" s="29" t="s">
        <v>1778</v>
      </c>
      <c r="F45" s="26" t="s">
        <v>1779</v>
      </c>
      <c r="G45" s="29" t="s">
        <v>1579</v>
      </c>
      <c r="H45" s="29">
        <v>3.0</v>
      </c>
      <c r="I45" s="29">
        <v>0.0</v>
      </c>
      <c r="J45" s="29">
        <v>2.0</v>
      </c>
      <c r="K45" s="29">
        <v>4.0</v>
      </c>
      <c r="L45" s="29" t="s">
        <v>531</v>
      </c>
      <c r="M45" s="30" t="str">
        <f>IFNA(VLOOKUP(L45,'Faculty Details'!$B:$H,4,0),"")</f>
        <v>Dr.SARANYA S</v>
      </c>
      <c r="N45" s="30" t="str">
        <f>IFNA(VLOOKUP(L45,'Faculty Details'!$B:$H,7,0),"")</f>
        <v>saranya@bitsathy.ac.in</v>
      </c>
    </row>
    <row r="46" ht="34.5" customHeight="1">
      <c r="A46" s="29">
        <v>45.0</v>
      </c>
      <c r="B46" s="29" t="s">
        <v>13</v>
      </c>
      <c r="C46" s="29" t="s">
        <v>1612</v>
      </c>
      <c r="D46" s="29" t="s">
        <v>1573</v>
      </c>
      <c r="E46" s="29" t="s">
        <v>1778</v>
      </c>
      <c r="F46" s="26" t="s">
        <v>1779</v>
      </c>
      <c r="G46" s="29" t="s">
        <v>1579</v>
      </c>
      <c r="H46" s="29">
        <v>3.0</v>
      </c>
      <c r="I46" s="29">
        <v>0.0</v>
      </c>
      <c r="J46" s="29">
        <v>2.0</v>
      </c>
      <c r="K46" s="29">
        <v>4.0</v>
      </c>
      <c r="L46" s="29" t="s">
        <v>510</v>
      </c>
      <c r="M46" s="30" t="str">
        <f>IFNA(VLOOKUP(L46,'Faculty Details'!$B:$H,4,0),"")</f>
        <v>Mrs.SAKTHISHOBANA K</v>
      </c>
      <c r="N46" s="30" t="str">
        <f>IFNA(VLOOKUP(L46,'Faculty Details'!$B:$H,7,0),"")</f>
        <v>sakthishobanak@bitsathy.ac.in</v>
      </c>
    </row>
    <row r="47" ht="34.5" customHeight="1">
      <c r="A47" s="29">
        <v>46.0</v>
      </c>
      <c r="B47" s="29" t="s">
        <v>13</v>
      </c>
      <c r="C47" s="29" t="s">
        <v>1612</v>
      </c>
      <c r="D47" s="29" t="s">
        <v>1619</v>
      </c>
      <c r="E47" s="78" t="s">
        <v>99</v>
      </c>
      <c r="F47" s="95" t="s">
        <v>1780</v>
      </c>
      <c r="G47" s="29" t="s">
        <v>1576</v>
      </c>
      <c r="H47" s="29">
        <v>3.0</v>
      </c>
      <c r="I47" s="29">
        <v>0.0</v>
      </c>
      <c r="J47" s="29">
        <v>0.0</v>
      </c>
      <c r="K47" s="29">
        <v>3.0</v>
      </c>
      <c r="L47" s="29" t="s">
        <v>516</v>
      </c>
      <c r="M47" s="30" t="str">
        <f>IFNA(VLOOKUP(L47,'Faculty Details'!$B:$H,4,0),"")</f>
        <v>Dr.SANDHYARANI R</v>
      </c>
      <c r="N47" s="30" t="str">
        <f>IFNA(VLOOKUP(L47,'Faculty Details'!$B:$H,7,0),"")</f>
        <v>sandhyaranir@bitsathy.ac.in</v>
      </c>
    </row>
    <row r="48" ht="34.5" customHeight="1">
      <c r="A48" s="29">
        <v>47.0</v>
      </c>
      <c r="B48" s="29" t="s">
        <v>13</v>
      </c>
      <c r="C48" s="29" t="s">
        <v>1612</v>
      </c>
      <c r="D48" s="29" t="s">
        <v>1619</v>
      </c>
      <c r="E48" s="78" t="s">
        <v>101</v>
      </c>
      <c r="F48" s="95" t="s">
        <v>102</v>
      </c>
      <c r="G48" s="29" t="s">
        <v>1576</v>
      </c>
      <c r="H48" s="29">
        <v>3.0</v>
      </c>
      <c r="I48" s="29">
        <v>0.0</v>
      </c>
      <c r="J48" s="29">
        <v>0.0</v>
      </c>
      <c r="K48" s="29">
        <v>3.0</v>
      </c>
      <c r="L48" s="29" t="s">
        <v>528</v>
      </c>
      <c r="M48" s="30" t="str">
        <f>IFNA(VLOOKUP(L48,'Faculty Details'!$B:$H,4,0),"")</f>
        <v>Mrs.VINODHINI R T</v>
      </c>
      <c r="N48" s="30" t="str">
        <f>IFNA(VLOOKUP(L48,'Faculty Details'!$B:$H,7,0),"")</f>
        <v>vinodhinirt@bitsathy.ac.in</v>
      </c>
    </row>
    <row r="49" ht="34.5" customHeight="1">
      <c r="A49" s="29">
        <v>48.0</v>
      </c>
      <c r="B49" s="29" t="s">
        <v>13</v>
      </c>
      <c r="C49" s="29" t="s">
        <v>1612</v>
      </c>
      <c r="D49" s="29" t="s">
        <v>1619</v>
      </c>
      <c r="E49" s="78" t="s">
        <v>101</v>
      </c>
      <c r="F49" s="95" t="s">
        <v>102</v>
      </c>
      <c r="G49" s="29" t="s">
        <v>1576</v>
      </c>
      <c r="H49" s="29">
        <v>3.0</v>
      </c>
      <c r="I49" s="29">
        <v>0.0</v>
      </c>
      <c r="J49" s="29">
        <v>0.0</v>
      </c>
      <c r="K49" s="29">
        <v>3.0</v>
      </c>
      <c r="L49" s="29" t="s">
        <v>525</v>
      </c>
      <c r="M49" s="30" t="str">
        <f>IFNA(VLOOKUP(L49,'Faculty Details'!$B:$H,4,0),"")</f>
        <v>Ms.NANDHINI N</v>
      </c>
      <c r="N49" s="30" t="str">
        <f>IFNA(VLOOKUP(L49,'Faculty Details'!$B:$H,7,0),"")</f>
        <v>nandhinin@bitsathy.ac.in</v>
      </c>
    </row>
    <row r="50" ht="34.5" customHeight="1">
      <c r="A50" s="29">
        <v>49.0</v>
      </c>
      <c r="B50" s="29" t="s">
        <v>13</v>
      </c>
      <c r="C50" s="29" t="s">
        <v>1612</v>
      </c>
      <c r="D50" s="29" t="s">
        <v>1620</v>
      </c>
      <c r="E50" s="78" t="s">
        <v>103</v>
      </c>
      <c r="F50" s="96" t="s">
        <v>104</v>
      </c>
      <c r="G50" s="29" t="s">
        <v>1576</v>
      </c>
      <c r="H50" s="29">
        <v>3.0</v>
      </c>
      <c r="I50" s="29">
        <v>0.0</v>
      </c>
      <c r="J50" s="29">
        <v>0.0</v>
      </c>
      <c r="K50" s="29">
        <v>3.0</v>
      </c>
      <c r="L50" s="29" t="s">
        <v>507</v>
      </c>
      <c r="M50" s="30" t="str">
        <f>IFNA(VLOOKUP(L50,'Faculty Details'!$B:$H,4,0),"")</f>
        <v>Ms.DHIVYA DHARSHINI U</v>
      </c>
      <c r="N50" s="30" t="str">
        <f>IFNA(VLOOKUP(L50,'Faculty Details'!$B:$H,7,0),"")</f>
        <v>dhivyadharshiniu@bitsathy.ac.in</v>
      </c>
    </row>
    <row r="51" ht="34.5" customHeight="1">
      <c r="A51" s="29">
        <v>50.0</v>
      </c>
      <c r="B51" s="29" t="s">
        <v>13</v>
      </c>
      <c r="C51" s="29" t="s">
        <v>1612</v>
      </c>
      <c r="D51" s="29" t="s">
        <v>1620</v>
      </c>
      <c r="E51" s="78" t="s">
        <v>103</v>
      </c>
      <c r="F51" s="96" t="s">
        <v>104</v>
      </c>
      <c r="G51" s="29" t="s">
        <v>1576</v>
      </c>
      <c r="H51" s="29">
        <v>3.0</v>
      </c>
      <c r="I51" s="29">
        <v>0.0</v>
      </c>
      <c r="J51" s="29">
        <v>0.0</v>
      </c>
      <c r="K51" s="29">
        <v>3.0</v>
      </c>
      <c r="L51" s="29" t="s">
        <v>501</v>
      </c>
      <c r="M51" s="30" t="str">
        <f>IFNA(VLOOKUP(L51,'Faculty Details'!$B:$H,4,0),"")</f>
        <v>Ms.SWATHI G</v>
      </c>
      <c r="N51" s="30" t="str">
        <f>IFNA(VLOOKUP(L51,'Faculty Details'!$B:$H,7,0),"")</f>
        <v>swathi@bitsathy.ac.in</v>
      </c>
    </row>
    <row r="52" ht="34.5" customHeight="1">
      <c r="A52" s="29">
        <v>51.0</v>
      </c>
      <c r="B52" s="29" t="s">
        <v>13</v>
      </c>
      <c r="C52" s="29" t="s">
        <v>1612</v>
      </c>
      <c r="D52" s="29" t="s">
        <v>1620</v>
      </c>
      <c r="E52" s="78" t="s">
        <v>105</v>
      </c>
      <c r="F52" s="96" t="s">
        <v>106</v>
      </c>
      <c r="G52" s="29" t="s">
        <v>1576</v>
      </c>
      <c r="H52" s="29">
        <v>3.0</v>
      </c>
      <c r="I52" s="29">
        <v>0.0</v>
      </c>
      <c r="J52" s="29">
        <v>0.0</v>
      </c>
      <c r="K52" s="29">
        <v>3.0</v>
      </c>
      <c r="L52" s="29" t="s">
        <v>546</v>
      </c>
      <c r="M52" s="30" t="str">
        <f>IFNA(VLOOKUP(L52,'Faculty Details'!$B:$H,4,0),"")</f>
        <v>Dr.KIRUPA SANKAR M</v>
      </c>
      <c r="N52" s="30" t="str">
        <f>IFNA(VLOOKUP(L52,'Faculty Details'!$B:$H,7,0),"")</f>
        <v>kirupasankarm@bitsathy.ac.in</v>
      </c>
    </row>
    <row r="53" ht="34.5" customHeight="1">
      <c r="A53" s="29">
        <v>52.0</v>
      </c>
      <c r="B53" s="29" t="s">
        <v>13</v>
      </c>
      <c r="C53" s="29" t="s">
        <v>1612</v>
      </c>
      <c r="D53" s="29" t="s">
        <v>1621</v>
      </c>
      <c r="E53" s="78" t="s">
        <v>107</v>
      </c>
      <c r="F53" s="96" t="s">
        <v>108</v>
      </c>
      <c r="G53" s="29" t="s">
        <v>1576</v>
      </c>
      <c r="H53" s="29">
        <v>3.0</v>
      </c>
      <c r="I53" s="29">
        <v>0.0</v>
      </c>
      <c r="J53" s="29">
        <v>0.0</v>
      </c>
      <c r="K53" s="29">
        <v>3.0</v>
      </c>
      <c r="L53" s="29" t="s">
        <v>549</v>
      </c>
      <c r="M53" s="30" t="str">
        <f>IFNA(VLOOKUP(L53,'Faculty Details'!$B:$H,4,0),"")</f>
        <v>Dr.PAVITHRA MKS</v>
      </c>
      <c r="N53" s="30" t="str">
        <f>IFNA(VLOOKUP(L53,'Faculty Details'!$B:$H,7,0),"")</f>
        <v>pavithramks@bitsathy.ac.in</v>
      </c>
    </row>
    <row r="54" ht="34.5" customHeight="1">
      <c r="A54" s="29">
        <v>53.0</v>
      </c>
      <c r="B54" s="29" t="s">
        <v>13</v>
      </c>
      <c r="C54" s="29" t="s">
        <v>1612</v>
      </c>
      <c r="D54" s="29" t="s">
        <v>1621</v>
      </c>
      <c r="E54" s="78" t="s">
        <v>109</v>
      </c>
      <c r="F54" s="96" t="s">
        <v>110</v>
      </c>
      <c r="G54" s="29" t="s">
        <v>1576</v>
      </c>
      <c r="H54" s="29">
        <v>3.0</v>
      </c>
      <c r="I54" s="29">
        <v>0.0</v>
      </c>
      <c r="J54" s="29">
        <v>0.0</v>
      </c>
      <c r="K54" s="29">
        <v>3.0</v>
      </c>
      <c r="L54" s="25" t="s">
        <v>1092</v>
      </c>
      <c r="M54" s="30" t="str">
        <f>IFNA(VLOOKUP(L54,'Faculty Details'!$B:$H,4,0),"")</f>
        <v>Ms.SIVARAHINI K</v>
      </c>
      <c r="N54" s="30" t="str">
        <f>IFNA(VLOOKUP(L54,'Faculty Details'!$B:$H,7,0),"")</f>
        <v>sivarahini@bitsathy.ac.in</v>
      </c>
    </row>
    <row r="55" ht="34.5" customHeight="1">
      <c r="A55" s="29">
        <v>54.0</v>
      </c>
      <c r="B55" s="29" t="s">
        <v>13</v>
      </c>
      <c r="C55" s="29" t="s">
        <v>1612</v>
      </c>
      <c r="D55" s="29" t="s">
        <v>1621</v>
      </c>
      <c r="E55" s="78" t="s">
        <v>109</v>
      </c>
      <c r="F55" s="96" t="s">
        <v>110</v>
      </c>
      <c r="G55" s="29" t="s">
        <v>1576</v>
      </c>
      <c r="H55" s="29">
        <v>3.0</v>
      </c>
      <c r="I55" s="29">
        <v>0.0</v>
      </c>
      <c r="J55" s="29">
        <v>0.0</v>
      </c>
      <c r="K55" s="29">
        <v>3.0</v>
      </c>
      <c r="L55" s="25" t="s">
        <v>1083</v>
      </c>
      <c r="M55" s="30" t="str">
        <f>IFNA(VLOOKUP(L55,'Faculty Details'!$B:$H,4,0),"")</f>
        <v>Ms.PIDATHALA SAHITYA</v>
      </c>
      <c r="N55" s="30" t="str">
        <f>IFNA(VLOOKUP(L55,'Faculty Details'!$B:$H,7,0),"")</f>
        <v>pidathalasahitya@bitsathy.ac.in</v>
      </c>
    </row>
    <row r="56" ht="34.5" customHeight="1">
      <c r="A56" s="29">
        <v>55.0</v>
      </c>
      <c r="B56" s="29" t="s">
        <v>13</v>
      </c>
      <c r="C56" s="29" t="s">
        <v>1612</v>
      </c>
      <c r="D56" s="29" t="s">
        <v>1622</v>
      </c>
      <c r="E56" s="78" t="s">
        <v>95</v>
      </c>
      <c r="F56" s="96" t="s">
        <v>96</v>
      </c>
      <c r="G56" s="29" t="s">
        <v>1576</v>
      </c>
      <c r="H56" s="29">
        <v>3.0</v>
      </c>
      <c r="I56" s="29">
        <v>0.0</v>
      </c>
      <c r="J56" s="29">
        <v>0.0</v>
      </c>
      <c r="K56" s="29">
        <v>3.0</v>
      </c>
      <c r="L56" s="29" t="s">
        <v>543</v>
      </c>
      <c r="M56" s="30" t="str">
        <f>IFNA(VLOOKUP(L56,'Faculty Details'!$B:$H,4,0),"")</f>
        <v>Dr.BALAKRISHNARAJA R</v>
      </c>
      <c r="N56" s="30" t="str">
        <f>IFNA(VLOOKUP(L56,'Faculty Details'!$B:$H,7,0),"")</f>
        <v>balakrishnarajar@bitsathy.ac.in</v>
      </c>
    </row>
    <row r="57" ht="39.0" customHeight="1">
      <c r="A57" s="29">
        <v>56.0</v>
      </c>
      <c r="B57" s="29" t="s">
        <v>13</v>
      </c>
      <c r="C57" s="29" t="s">
        <v>1612</v>
      </c>
      <c r="D57" s="29" t="s">
        <v>1622</v>
      </c>
      <c r="E57" s="78" t="s">
        <v>95</v>
      </c>
      <c r="F57" s="96" t="s">
        <v>96</v>
      </c>
      <c r="G57" s="29" t="s">
        <v>1576</v>
      </c>
      <c r="H57" s="29">
        <v>3.0</v>
      </c>
      <c r="I57" s="29">
        <v>0.0</v>
      </c>
      <c r="J57" s="29">
        <v>0.0</v>
      </c>
      <c r="K57" s="29">
        <v>3.0</v>
      </c>
      <c r="L57" s="29" t="s">
        <v>504</v>
      </c>
      <c r="M57" s="30" t="str">
        <f>IFNA(VLOOKUP(L57,'Faculty Details'!$B:$H,4,0),"")</f>
        <v>Mr.JEYAVEL KARTHICK P</v>
      </c>
      <c r="N57" s="30" t="str">
        <f>IFNA(VLOOKUP(L57,'Faculty Details'!$B:$H,7,0),"")</f>
        <v>jeyavelkarthick@bitsathy.ac.in</v>
      </c>
    </row>
    <row r="58" ht="34.5" customHeight="1">
      <c r="A58" s="29">
        <v>57.0</v>
      </c>
      <c r="B58" s="29" t="s">
        <v>13</v>
      </c>
      <c r="C58" s="29" t="s">
        <v>1612</v>
      </c>
      <c r="D58" s="29" t="s">
        <v>86</v>
      </c>
      <c r="E58" s="78" t="s">
        <v>97</v>
      </c>
      <c r="F58" s="96" t="s">
        <v>98</v>
      </c>
      <c r="G58" s="29" t="s">
        <v>1576</v>
      </c>
      <c r="H58" s="29">
        <v>3.0</v>
      </c>
      <c r="I58" s="29">
        <v>0.0</v>
      </c>
      <c r="J58" s="29">
        <v>0.0</v>
      </c>
      <c r="K58" s="29">
        <v>3.0</v>
      </c>
      <c r="L58" s="29" t="s">
        <v>522</v>
      </c>
      <c r="M58" s="30" t="str">
        <f>IFNA(VLOOKUP(L58,'Faculty Details'!$B:$H,4,0),"")</f>
        <v>Dr.SURESH CHALUVADI</v>
      </c>
      <c r="N58" s="30" t="str">
        <f>IFNA(VLOOKUP(L58,'Faculty Details'!$B:$H,7,0),"")</f>
        <v>sureshchaluvadi@bitsathy.ac.in</v>
      </c>
    </row>
    <row r="59" ht="34.5" customHeight="1">
      <c r="A59" s="29">
        <v>58.0</v>
      </c>
      <c r="B59" s="29" t="s">
        <v>13</v>
      </c>
      <c r="C59" s="29" t="s">
        <v>1612</v>
      </c>
      <c r="D59" s="29" t="s">
        <v>86</v>
      </c>
      <c r="E59" s="78" t="s">
        <v>97</v>
      </c>
      <c r="F59" s="96" t="s">
        <v>98</v>
      </c>
      <c r="G59" s="29" t="s">
        <v>1576</v>
      </c>
      <c r="H59" s="29">
        <v>3.0</v>
      </c>
      <c r="I59" s="29">
        <v>0.0</v>
      </c>
      <c r="J59" s="29">
        <v>0.0</v>
      </c>
      <c r="K59" s="29">
        <v>3.0</v>
      </c>
      <c r="L59" s="29" t="s">
        <v>525</v>
      </c>
      <c r="M59" s="30" t="str">
        <f>IFNA(VLOOKUP(L59,'Faculty Details'!$B:$H,4,0),"")</f>
        <v>Ms.NANDHINI N</v>
      </c>
      <c r="N59" s="30" t="str">
        <f>IFNA(VLOOKUP(L59,'Faculty Details'!$B:$H,7,0),"")</f>
        <v>nandhinin@bitsathy.ac.in</v>
      </c>
    </row>
    <row r="60" ht="34.5" customHeight="1">
      <c r="A60" s="29">
        <v>59.0</v>
      </c>
      <c r="B60" s="29" t="s">
        <v>13</v>
      </c>
      <c r="C60" s="29" t="s">
        <v>1612</v>
      </c>
      <c r="D60" s="29" t="s">
        <v>1623</v>
      </c>
      <c r="E60" s="78" t="s">
        <v>1781</v>
      </c>
      <c r="F60" s="96" t="s">
        <v>1782</v>
      </c>
      <c r="G60" s="29" t="s">
        <v>1576</v>
      </c>
      <c r="H60" s="29">
        <v>3.0</v>
      </c>
      <c r="I60" s="29">
        <v>0.0</v>
      </c>
      <c r="J60" s="29">
        <v>0.0</v>
      </c>
      <c r="K60" s="29">
        <v>3.0</v>
      </c>
      <c r="L60" s="29" t="s">
        <v>513</v>
      </c>
      <c r="M60" s="30" t="str">
        <f>IFNA(VLOOKUP(L60,'Faculty Details'!$B:$H,4,0),"")</f>
        <v>Mrs.MAHIMA P</v>
      </c>
      <c r="N60" s="30" t="str">
        <f>IFNA(VLOOKUP(L60,'Faculty Details'!$B:$H,7,0),"")</f>
        <v>mahimap@bitsathy.ac.in</v>
      </c>
    </row>
    <row r="61" ht="34.5" customHeight="1">
      <c r="A61" s="29">
        <v>60.0</v>
      </c>
      <c r="B61" s="29" t="s">
        <v>13</v>
      </c>
      <c r="C61" s="29" t="s">
        <v>1612</v>
      </c>
      <c r="D61" s="29" t="s">
        <v>1623</v>
      </c>
      <c r="E61" s="78" t="s">
        <v>1783</v>
      </c>
      <c r="F61" s="96" t="s">
        <v>1784</v>
      </c>
      <c r="G61" s="29" t="s">
        <v>1576</v>
      </c>
      <c r="H61" s="29">
        <v>3.0</v>
      </c>
      <c r="I61" s="29">
        <v>0.0</v>
      </c>
      <c r="J61" s="29">
        <v>0.0</v>
      </c>
      <c r="K61" s="29">
        <v>3.0</v>
      </c>
      <c r="L61" s="29" t="s">
        <v>501</v>
      </c>
      <c r="M61" s="30" t="str">
        <f>IFNA(VLOOKUP(L61,'Faculty Details'!$B:$H,4,0),"")</f>
        <v>Ms.SWATHI G</v>
      </c>
      <c r="N61" s="30" t="str">
        <f>IFNA(VLOOKUP(L61,'Faculty Details'!$B:$H,7,0),"")</f>
        <v>swathi@bitsathy.ac.in</v>
      </c>
    </row>
    <row r="62" ht="34.5" customHeight="1">
      <c r="A62" s="29">
        <v>61.0</v>
      </c>
      <c r="B62" s="29" t="s">
        <v>13</v>
      </c>
      <c r="C62" s="29" t="s">
        <v>1612</v>
      </c>
      <c r="D62" s="29" t="s">
        <v>1628</v>
      </c>
      <c r="E62" s="29" t="s">
        <v>1785</v>
      </c>
      <c r="F62" s="26" t="s">
        <v>1630</v>
      </c>
      <c r="G62" s="29" t="s">
        <v>1588</v>
      </c>
      <c r="H62" s="29">
        <v>0.0</v>
      </c>
      <c r="I62" s="29">
        <v>0.0</v>
      </c>
      <c r="J62" s="29">
        <v>2.0</v>
      </c>
      <c r="K62" s="29">
        <v>1.0</v>
      </c>
      <c r="L62" s="25"/>
      <c r="M62" s="30" t="str">
        <f>IFNA(VLOOKUP(L62,'Faculty Details'!$B:$H,4,0),"")</f>
        <v/>
      </c>
      <c r="N62" s="30" t="str">
        <f>IFNA(VLOOKUP(L62,'Faculty Details'!$B:$H,7,0),"")</f>
        <v/>
      </c>
    </row>
    <row r="63" ht="34.5" customHeight="1">
      <c r="A63" s="29">
        <v>62.0</v>
      </c>
      <c r="B63" s="29" t="s">
        <v>13</v>
      </c>
      <c r="C63" s="29" t="s">
        <v>1631</v>
      </c>
      <c r="D63" s="29" t="s">
        <v>1632</v>
      </c>
      <c r="E63" s="29" t="s">
        <v>1786</v>
      </c>
      <c r="F63" s="26" t="s">
        <v>1634</v>
      </c>
      <c r="G63" s="29" t="s">
        <v>1588</v>
      </c>
      <c r="H63" s="29">
        <v>0.0</v>
      </c>
      <c r="I63" s="29">
        <v>0.0</v>
      </c>
      <c r="J63" s="29">
        <v>18.0</v>
      </c>
      <c r="K63" s="29">
        <v>9.0</v>
      </c>
      <c r="L63" s="29"/>
      <c r="M63" s="30" t="str">
        <f>IFNA(VLOOKUP(L63,'Faculty Details'!$B:$H,4,0),"")</f>
        <v/>
      </c>
      <c r="N63" s="30" t="str">
        <f>IFNA(VLOOKUP(L63,'Faculty Details'!$B:$H,7,0),"")</f>
        <v/>
      </c>
    </row>
  </sheetData>
  <conditionalFormatting sqref="L2:L10 L12:L44 L46:L48 L50:L63">
    <cfRule type="containsBlanks" dxfId="1" priority="1">
      <formula>LEN(TRIM(L2))=0</formula>
    </cfRule>
  </conditionalFormatting>
  <dataValidations>
    <dataValidation type="list" allowBlank="1" showErrorMessage="1" sqref="D38:D39">
      <formula1>"CORE,ELECTIVE 1,OPEN ELECTIVE,ELECTIVE 3,ELECTIVE 4,ELECTIVE 5,HONOURS,MINOR,LAB,PROJECT,MINI PROJECT"</formula1>
    </dataValidation>
    <dataValidation type="list" allowBlank="1" showErrorMessage="1" sqref="D14:D16">
      <formula1>"CORE,ELECTIVE 1,OPEN ELECTIVE,ELECTIVE 6,ELECTIVE 7,ELECTIVE 8,ELECTIVE 9,HONOURS,MINOR"</formula1>
    </dataValidation>
    <dataValidation type="list" allowBlank="1" showErrorMessage="1" sqref="D36:D37">
      <formula1>"CORE,ELECTIVE 1,OPEN ELECTIVE,ELECTIVE 6,ELECTIVE 7,ELECTIVE 8,ELECTIVE 9,HONOURS,MINOR,ADD COURSE"</formula1>
    </dataValidation>
    <dataValidation type="list" allowBlank="1" showErrorMessage="1" sqref="C2:C63">
      <formula1>"S2,S4,S6,S8"</formula1>
    </dataValidation>
    <dataValidation type="list" allowBlank="1" showErrorMessage="1" sqref="D2:D13 D20:D35 D40:D63">
      <formula1>"CORE,ELECTIVE 1,OPEN ELECTIVE,ELECTIVE 3,ELECTIVE 4,ELECTIVE 5,ADD COURSE,HONOURS,MINOR,MINI PROJECT,PROJECT"</formula1>
    </dataValidation>
    <dataValidation type="list" allowBlank="1" showErrorMessage="1" sqref="G2:G63">
      <formula1>"THEORY,THEORY WITH LAB,LAB"</formula1>
    </dataValidation>
    <dataValidation type="list" allowBlank="1" showErrorMessage="1" sqref="D17:D19">
      <formula1>"CORE,ELECTIVE 1,OPEN ELECTIVE,ELECTIVE 6,ELECTIVE 7,ELECTIVE 8,ELECTIVE 9,HONOURS,MINOR,LANGUAGE ELECTIVE"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8.0"/>
    <col customWidth="1" min="4" max="4" width="15.75"/>
    <col customWidth="1" min="5" max="5" width="10.38"/>
    <col customWidth="1" min="6" max="6" width="31.63"/>
    <col customWidth="1" min="7" max="7" width="15.38"/>
    <col customWidth="1" min="8" max="9" width="5.0"/>
    <col customWidth="1" min="10" max="10" width="5.5"/>
    <col customWidth="1" min="11" max="11" width="5.0"/>
    <col customWidth="1" min="12" max="12" width="11.25"/>
    <col customWidth="1" min="13" max="13" width="20.5"/>
    <col customWidth="1" min="14" max="14" width="13.25"/>
  </cols>
  <sheetData>
    <row r="1">
      <c r="A1" s="23" t="s">
        <v>1635</v>
      </c>
      <c r="B1" s="23" t="s">
        <v>1560</v>
      </c>
      <c r="C1" s="23" t="s">
        <v>1561</v>
      </c>
      <c r="D1" s="23" t="s">
        <v>1562</v>
      </c>
      <c r="E1" s="23" t="s">
        <v>1563</v>
      </c>
      <c r="F1" s="23" t="s">
        <v>1564</v>
      </c>
      <c r="G1" s="23" t="s">
        <v>1565</v>
      </c>
      <c r="H1" s="23" t="s">
        <v>1566</v>
      </c>
      <c r="I1" s="23" t="s">
        <v>1567</v>
      </c>
      <c r="J1" s="23" t="s">
        <v>1568</v>
      </c>
      <c r="K1" s="23" t="s">
        <v>1569</v>
      </c>
      <c r="L1" s="38" t="s">
        <v>1570</v>
      </c>
      <c r="M1" s="23" t="s">
        <v>257</v>
      </c>
      <c r="N1" s="23" t="s">
        <v>1571</v>
      </c>
    </row>
    <row r="2" ht="30.75" customHeight="1">
      <c r="A2" s="29">
        <f t="array" ref="A2:A11">SEQUENCE(COUNTA(B2:B11),1)</f>
        <v>1</v>
      </c>
      <c r="B2" s="29" t="s">
        <v>143</v>
      </c>
      <c r="C2" s="29" t="s">
        <v>1612</v>
      </c>
      <c r="D2" s="29" t="s">
        <v>1573</v>
      </c>
      <c r="E2" s="29" t="s">
        <v>1787</v>
      </c>
      <c r="F2" s="26" t="s">
        <v>1788</v>
      </c>
      <c r="G2" s="29" t="s">
        <v>1579</v>
      </c>
      <c r="H2" s="29">
        <v>3.0</v>
      </c>
      <c r="I2" s="29">
        <v>0.0</v>
      </c>
      <c r="J2" s="29">
        <v>2.0</v>
      </c>
      <c r="K2" s="29">
        <v>4.0</v>
      </c>
      <c r="L2" s="1" t="s">
        <v>705</v>
      </c>
      <c r="M2" s="83" t="str">
        <f>IFNA(VLOOKUP(L2,'Faculty Details'!$B:$H,4,0),"")</f>
        <v>Dr.RAJESH KANNA P</v>
      </c>
      <c r="N2" s="30" t="str">
        <f>IFNA(VLOOKUP(L2,'Faculty Details'!$B:$H,7,0),"")</f>
        <v>rajeshkannap@bitsathy.ac.in</v>
      </c>
    </row>
    <row r="3" ht="30.75" customHeight="1">
      <c r="A3" s="29">
        <v>2.0</v>
      </c>
      <c r="B3" s="29" t="s">
        <v>143</v>
      </c>
      <c r="C3" s="29" t="s">
        <v>1612</v>
      </c>
      <c r="D3" s="29" t="s">
        <v>1573</v>
      </c>
      <c r="E3" s="29" t="s">
        <v>1789</v>
      </c>
      <c r="F3" s="26" t="s">
        <v>1736</v>
      </c>
      <c r="G3" s="29" t="s">
        <v>1576</v>
      </c>
      <c r="H3" s="29">
        <v>3.0</v>
      </c>
      <c r="I3" s="29">
        <v>1.0</v>
      </c>
      <c r="J3" s="29">
        <v>0.0</v>
      </c>
      <c r="K3" s="29">
        <v>4.0</v>
      </c>
      <c r="L3" s="83" t="s">
        <v>590</v>
      </c>
      <c r="M3" s="30" t="str">
        <f>IFNA(VLOOKUP(L3,'Faculty Details'!$B:$H,4,0),"")</f>
        <v>Mrs.SUBHASHREE P</v>
      </c>
      <c r="N3" s="30" t="str">
        <f>IFNA(VLOOKUP(L3,'Faculty Details'!$B:$H,7,0),"")</f>
        <v>subhashreep@bitsathy.ac.in</v>
      </c>
    </row>
    <row r="4" ht="30.75" customHeight="1">
      <c r="A4" s="29">
        <v>3.0</v>
      </c>
      <c r="B4" s="29" t="s">
        <v>143</v>
      </c>
      <c r="C4" s="29" t="s">
        <v>1612</v>
      </c>
      <c r="D4" s="29" t="s">
        <v>1573</v>
      </c>
      <c r="E4" s="29" t="s">
        <v>1790</v>
      </c>
      <c r="F4" s="26" t="s">
        <v>153</v>
      </c>
      <c r="G4" s="29" t="s">
        <v>1576</v>
      </c>
      <c r="H4" s="29">
        <v>3.0</v>
      </c>
      <c r="I4" s="29">
        <v>0.0</v>
      </c>
      <c r="J4" s="29">
        <v>0.0</v>
      </c>
      <c r="K4" s="29">
        <v>3.0</v>
      </c>
      <c r="L4" s="83" t="s">
        <v>577</v>
      </c>
      <c r="M4" s="83" t="s">
        <v>1791</v>
      </c>
      <c r="N4" s="30" t="str">
        <f>IFNA(VLOOKUP(L4,'Faculty Details'!$B:$H,7,0),"")</f>
        <v>preethimathi@bitsathy.ac.in</v>
      </c>
    </row>
    <row r="5" ht="30.75" customHeight="1">
      <c r="A5" s="29">
        <v>4.0</v>
      </c>
      <c r="B5" s="29" t="s">
        <v>143</v>
      </c>
      <c r="C5" s="29" t="s">
        <v>1612</v>
      </c>
      <c r="D5" s="29" t="s">
        <v>1619</v>
      </c>
      <c r="E5" s="78" t="s">
        <v>146</v>
      </c>
      <c r="F5" s="96" t="s">
        <v>133</v>
      </c>
      <c r="G5" s="29" t="s">
        <v>1576</v>
      </c>
      <c r="H5" s="29">
        <v>3.0</v>
      </c>
      <c r="I5" s="29">
        <v>0.0</v>
      </c>
      <c r="J5" s="29">
        <v>0.0</v>
      </c>
      <c r="K5" s="29">
        <v>3.0</v>
      </c>
      <c r="L5" s="83" t="s">
        <v>358</v>
      </c>
      <c r="M5" s="83" t="str">
        <f>IFNA(VLOOKUP(L5,'Faculty Details'!$B:$H,4,0),"")</f>
        <v>Ms.PRIYADHARSHNI S</v>
      </c>
      <c r="N5" s="30" t="str">
        <f>IFNA(VLOOKUP(L5,'Faculty Details'!$B:$H,7,0),"")</f>
        <v>priyadharshni@bitsathy.ac.in</v>
      </c>
    </row>
    <row r="6" ht="30.75" customHeight="1">
      <c r="A6" s="29">
        <v>5.0</v>
      </c>
      <c r="B6" s="29" t="s">
        <v>143</v>
      </c>
      <c r="C6" s="29" t="s">
        <v>1612</v>
      </c>
      <c r="D6" s="29" t="s">
        <v>1620</v>
      </c>
      <c r="E6" s="29" t="s">
        <v>147</v>
      </c>
      <c r="F6" s="26" t="s">
        <v>148</v>
      </c>
      <c r="G6" s="29" t="s">
        <v>1579</v>
      </c>
      <c r="H6" s="29">
        <v>2.0</v>
      </c>
      <c r="I6" s="29">
        <v>0.0</v>
      </c>
      <c r="J6" s="29">
        <v>2.0</v>
      </c>
      <c r="K6" s="29">
        <v>3.0</v>
      </c>
      <c r="L6" s="83" t="s">
        <v>584</v>
      </c>
      <c r="M6" s="83" t="str">
        <f>IFNA(VLOOKUP(L6,'Faculty Details'!$B:$H,4,0),"")</f>
        <v>Ms.KIRUTHIKA S</v>
      </c>
      <c r="N6" s="30" t="str">
        <f>IFNA(VLOOKUP(L6,'Faculty Details'!$B:$H,7,0),"")</f>
        <v>kiruthikas@bitsathy.ac.in</v>
      </c>
    </row>
    <row r="7" ht="30.75" customHeight="1">
      <c r="A7" s="29">
        <v>6.0</v>
      </c>
      <c r="B7" s="29" t="s">
        <v>143</v>
      </c>
      <c r="C7" s="29" t="s">
        <v>1612</v>
      </c>
      <c r="D7" s="29" t="s">
        <v>1621</v>
      </c>
      <c r="E7" s="78" t="s">
        <v>149</v>
      </c>
      <c r="F7" s="96" t="s">
        <v>150</v>
      </c>
      <c r="G7" s="29" t="s">
        <v>1576</v>
      </c>
      <c r="H7" s="29">
        <v>3.0</v>
      </c>
      <c r="I7" s="29">
        <v>0.0</v>
      </c>
      <c r="J7" s="29">
        <v>0.0</v>
      </c>
      <c r="K7" s="29">
        <v>3.0</v>
      </c>
      <c r="L7" s="83" t="s">
        <v>732</v>
      </c>
      <c r="M7" s="83" t="str">
        <f>IFNA(VLOOKUP(L7,'Faculty Details'!$B:$H,4,0),"")</f>
        <v>Mr.STEEPHAN AMALRAJ J</v>
      </c>
      <c r="N7" s="30" t="str">
        <f>IFNA(VLOOKUP(L7,'Faculty Details'!$B:$H,7,0),"")</f>
        <v>steephanamalrajj@bitsathy.ac.in</v>
      </c>
    </row>
    <row r="8" ht="30.75" customHeight="1">
      <c r="A8" s="29">
        <v>7.0</v>
      </c>
      <c r="B8" s="29" t="s">
        <v>143</v>
      </c>
      <c r="C8" s="29" t="s">
        <v>1612</v>
      </c>
      <c r="D8" s="29" t="s">
        <v>1622</v>
      </c>
      <c r="E8" s="78" t="s">
        <v>144</v>
      </c>
      <c r="F8" s="96" t="s">
        <v>145</v>
      </c>
      <c r="G8" s="29" t="s">
        <v>1579</v>
      </c>
      <c r="H8" s="29">
        <v>2.0</v>
      </c>
      <c r="I8" s="29">
        <v>0.0</v>
      </c>
      <c r="J8" s="29">
        <v>2.0</v>
      </c>
      <c r="K8" s="29">
        <v>3.0</v>
      </c>
      <c r="L8" s="1" t="s">
        <v>450</v>
      </c>
      <c r="M8" s="83" t="str">
        <f>IFNA(VLOOKUP(L8,'Faculty Details'!$B:$H,4,0),"")</f>
        <v>Mrs.LOKESWARI P</v>
      </c>
      <c r="N8" s="30" t="str">
        <f>IFNA(VLOOKUP(L8,'Faculty Details'!$B:$H,7,0),"")</f>
        <v>lokeswari@bitsathy.ac.in</v>
      </c>
    </row>
    <row r="9" ht="30.75" customHeight="1">
      <c r="A9" s="29">
        <v>8.0</v>
      </c>
      <c r="B9" s="29" t="s">
        <v>143</v>
      </c>
      <c r="C9" s="29" t="s">
        <v>1612</v>
      </c>
      <c r="D9" s="29" t="s">
        <v>1623</v>
      </c>
      <c r="E9" s="29" t="s">
        <v>1792</v>
      </c>
      <c r="F9" s="26" t="s">
        <v>1793</v>
      </c>
      <c r="G9" s="29" t="s">
        <v>1579</v>
      </c>
      <c r="H9" s="29">
        <v>2.0</v>
      </c>
      <c r="I9" s="29">
        <v>0.0</v>
      </c>
      <c r="J9" s="29">
        <v>2.0</v>
      </c>
      <c r="K9" s="29">
        <v>3.0</v>
      </c>
      <c r="L9" s="83" t="s">
        <v>349</v>
      </c>
      <c r="M9" s="83" t="str">
        <f>IFNA(VLOOKUP(L9,'Faculty Details'!$B:$H,4,0),"")</f>
        <v>Ms.SURIYA V</v>
      </c>
      <c r="N9" s="30" t="str">
        <f>IFNA(VLOOKUP(L9,'Faculty Details'!$B:$H,7,0),"")</f>
        <v>suriya@bitsathy.ac.in</v>
      </c>
    </row>
    <row r="10" ht="30.75" customHeight="1">
      <c r="A10" s="29">
        <v>9.0</v>
      </c>
      <c r="B10" s="29" t="s">
        <v>143</v>
      </c>
      <c r="C10" s="29" t="s">
        <v>1612</v>
      </c>
      <c r="D10" s="29" t="s">
        <v>1623</v>
      </c>
      <c r="E10" s="29" t="s">
        <v>1794</v>
      </c>
      <c r="F10" s="26" t="s">
        <v>1795</v>
      </c>
      <c r="G10" s="29" t="s">
        <v>1576</v>
      </c>
      <c r="H10" s="29">
        <v>3.0</v>
      </c>
      <c r="I10" s="29">
        <v>0.0</v>
      </c>
      <c r="J10" s="29">
        <v>0.0</v>
      </c>
      <c r="K10" s="29">
        <v>3.0</v>
      </c>
      <c r="L10" s="83" t="s">
        <v>705</v>
      </c>
      <c r="M10" s="83" t="str">
        <f>IFNA(VLOOKUP(L10,'Faculty Details'!$B:$H,4,0),"")</f>
        <v>Dr.RAJESH KANNA P</v>
      </c>
      <c r="N10" s="30" t="str">
        <f>IFNA(VLOOKUP(L10,'Faculty Details'!$B:$H,7,0),"")</f>
        <v>rajeshkannap@bitsathy.ac.in</v>
      </c>
    </row>
    <row r="11" ht="30.75" customHeight="1">
      <c r="A11" s="29">
        <v>10.0</v>
      </c>
      <c r="B11" s="29" t="s">
        <v>143</v>
      </c>
      <c r="C11" s="29" t="s">
        <v>1612</v>
      </c>
      <c r="D11" s="29" t="s">
        <v>1628</v>
      </c>
      <c r="E11" s="29" t="s">
        <v>1796</v>
      </c>
      <c r="F11" s="26" t="s">
        <v>1630</v>
      </c>
      <c r="G11" s="29" t="s">
        <v>1588</v>
      </c>
      <c r="H11" s="29">
        <v>0.0</v>
      </c>
      <c r="I11" s="29">
        <v>0.0</v>
      </c>
      <c r="J11" s="29">
        <v>2.0</v>
      </c>
      <c r="K11" s="29">
        <v>1.0</v>
      </c>
      <c r="L11" s="83"/>
      <c r="M11" s="83" t="str">
        <f>IFNA(VLOOKUP(L11,'Faculty Details'!$B:$H,4,0),"")</f>
        <v/>
      </c>
      <c r="N11" s="30"/>
    </row>
  </sheetData>
  <dataValidations>
    <dataValidation type="list" allowBlank="1" showErrorMessage="1" sqref="C2:C11">
      <formula1>"S2,S4,S6,S8"</formula1>
    </dataValidation>
    <dataValidation type="list" allowBlank="1" showErrorMessage="1" sqref="D2:D11">
      <formula1>"CORE,ELECTIVE 1,OPEN ELECTIVE,ELECTIVE 3,ELECTIVE 4,ELECTIVE 5,ADD COURSE,HONOURS,MINOR,MINI PROJECT,PROJECT"</formula1>
    </dataValidation>
    <dataValidation type="list" allowBlank="1" showErrorMessage="1" sqref="G2:G11">
      <formula1>"THEORY,THEORY WITH LAB,LAB"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0.63"/>
    <col customWidth="1" min="3" max="3" width="8.0"/>
    <col customWidth="1" min="4" max="4" width="17.25"/>
    <col customWidth="1" min="5" max="5" width="10.38"/>
    <col customWidth="1" min="6" max="6" width="35.13"/>
    <col customWidth="1" min="7" max="7" width="16.38"/>
    <col customWidth="1" min="8" max="9" width="5.0"/>
    <col customWidth="1" min="10" max="10" width="5.5"/>
    <col customWidth="1" min="11" max="11" width="5.88"/>
    <col customWidth="1" min="13" max="13" width="21.5"/>
    <col customWidth="1" min="14" max="14" width="17.25"/>
  </cols>
  <sheetData>
    <row r="1">
      <c r="A1" s="38" t="s">
        <v>1797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8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9" t="s">
        <v>257</v>
      </c>
      <c r="N1" s="38" t="s">
        <v>1571</v>
      </c>
    </row>
    <row r="2" ht="37.5" customHeight="1">
      <c r="A2" s="25">
        <f t="array" ref="A2:A51">SEQUENCE(COUNTA(B2:B51),1)</f>
        <v>1</v>
      </c>
      <c r="B2" s="25" t="s">
        <v>27</v>
      </c>
      <c r="C2" s="25" t="s">
        <v>1572</v>
      </c>
      <c r="D2" s="25" t="s">
        <v>1573</v>
      </c>
      <c r="E2" s="25" t="s">
        <v>1574</v>
      </c>
      <c r="F2" s="26" t="s">
        <v>1575</v>
      </c>
      <c r="G2" s="25" t="s">
        <v>1576</v>
      </c>
      <c r="H2" s="25">
        <v>3.0</v>
      </c>
      <c r="I2" s="25">
        <v>1.0</v>
      </c>
      <c r="J2" s="25">
        <v>0.0</v>
      </c>
      <c r="K2" s="25">
        <v>4.0</v>
      </c>
      <c r="L2" s="25" t="s">
        <v>1305</v>
      </c>
      <c r="M2" s="28" t="str">
        <f>IFNA(VLOOKUP(L2,'Faculty Details'!$B:$H,4,0),"")</f>
        <v>Dr.THULASIMANI T</v>
      </c>
      <c r="N2" s="28" t="str">
        <f>IFNA(VLOOKUP(L2,'Faculty Details'!$B:$H,7,0),"")</f>
        <v>thulasimanit@bitsathy.ac.in</v>
      </c>
    </row>
    <row r="3" ht="37.5" customHeight="1">
      <c r="A3" s="25">
        <v>2.0</v>
      </c>
      <c r="B3" s="25" t="s">
        <v>27</v>
      </c>
      <c r="C3" s="25" t="s">
        <v>1572</v>
      </c>
      <c r="D3" s="25" t="s">
        <v>1573</v>
      </c>
      <c r="E3" s="25" t="s">
        <v>1574</v>
      </c>
      <c r="F3" s="26" t="s">
        <v>1575</v>
      </c>
      <c r="G3" s="25" t="s">
        <v>1576</v>
      </c>
      <c r="H3" s="25">
        <v>3.0</v>
      </c>
      <c r="I3" s="25">
        <v>1.0</v>
      </c>
      <c r="J3" s="25">
        <v>0.0</v>
      </c>
      <c r="K3" s="25">
        <v>4.0</v>
      </c>
      <c r="L3" s="25" t="s">
        <v>1278</v>
      </c>
      <c r="M3" s="28" t="str">
        <f>IFNA(VLOOKUP(L3,'Faculty Details'!$B:$H,4,0),"")</f>
        <v>Dr.PRABAKARAN P</v>
      </c>
      <c r="N3" s="28" t="str">
        <f>IFNA(VLOOKUP(L3,'Faculty Details'!$B:$H,7,0),"")</f>
        <v>prabakaran@bitsathy.ac.in</v>
      </c>
    </row>
    <row r="4" ht="37.5" customHeight="1">
      <c r="A4" s="25">
        <v>3.0</v>
      </c>
      <c r="B4" s="25" t="s">
        <v>27</v>
      </c>
      <c r="C4" s="25" t="s">
        <v>1572</v>
      </c>
      <c r="D4" s="25" t="s">
        <v>1573</v>
      </c>
      <c r="E4" s="25" t="s">
        <v>1577</v>
      </c>
      <c r="F4" s="26" t="s">
        <v>1578</v>
      </c>
      <c r="G4" s="25" t="s">
        <v>1579</v>
      </c>
      <c r="H4" s="25">
        <v>2.0</v>
      </c>
      <c r="I4" s="25">
        <v>0.0</v>
      </c>
      <c r="J4" s="25">
        <v>2.0</v>
      </c>
      <c r="K4" s="25">
        <v>3.0</v>
      </c>
      <c r="L4" s="1" t="s">
        <v>1469</v>
      </c>
      <c r="M4" s="28" t="str">
        <f>IFNA(VLOOKUP(L4,'Faculty Details'!$B:$H,4,0),"")</f>
        <v>Dr.SELVAKUMAR K</v>
      </c>
      <c r="N4" s="28" t="str">
        <f>IFNA(VLOOKUP(L4,'Faculty Details'!$B:$H,7,0),"")</f>
        <v>selvakumark@bitsathy.ac.in</v>
      </c>
    </row>
    <row r="5" ht="37.5" customHeight="1">
      <c r="A5" s="25">
        <v>4.0</v>
      </c>
      <c r="B5" s="25" t="s">
        <v>27</v>
      </c>
      <c r="C5" s="25" t="s">
        <v>1572</v>
      </c>
      <c r="D5" s="25" t="s">
        <v>1573</v>
      </c>
      <c r="E5" s="25" t="s">
        <v>1577</v>
      </c>
      <c r="F5" s="26" t="s">
        <v>1578</v>
      </c>
      <c r="G5" s="25" t="s">
        <v>1579</v>
      </c>
      <c r="H5" s="25">
        <v>2.0</v>
      </c>
      <c r="I5" s="25">
        <v>0.0</v>
      </c>
      <c r="J5" s="25">
        <v>2.0</v>
      </c>
      <c r="K5" s="25">
        <v>3.0</v>
      </c>
      <c r="L5" s="1" t="s">
        <v>1484</v>
      </c>
      <c r="M5" s="28" t="str">
        <f>IFNA(VLOOKUP(L5,'Faculty Details'!$B:$H,4,0),"")</f>
        <v>Dr.ANANDHA BABU G</v>
      </c>
      <c r="N5" s="28" t="str">
        <f>IFNA(VLOOKUP(L5,'Faculty Details'!$B:$H,7,0),"")</f>
        <v>anandhababug@bitsathy.ac.in</v>
      </c>
    </row>
    <row r="6" ht="37.5" customHeight="1">
      <c r="A6" s="25">
        <v>5.0</v>
      </c>
      <c r="B6" s="25" t="s">
        <v>27</v>
      </c>
      <c r="C6" s="25" t="s">
        <v>1572</v>
      </c>
      <c r="D6" s="25" t="s">
        <v>1573</v>
      </c>
      <c r="E6" s="25" t="s">
        <v>1580</v>
      </c>
      <c r="F6" s="26" t="s">
        <v>1581</v>
      </c>
      <c r="G6" s="25" t="s">
        <v>1579</v>
      </c>
      <c r="H6" s="25">
        <v>2.0</v>
      </c>
      <c r="I6" s="25">
        <v>0.0</v>
      </c>
      <c r="J6" s="25">
        <v>2.0</v>
      </c>
      <c r="K6" s="25">
        <v>3.0</v>
      </c>
      <c r="L6" s="25" t="s">
        <v>659</v>
      </c>
      <c r="M6" s="28" t="str">
        <f>IFNA(VLOOKUP(L6,'Faculty Details'!$B:$H,4,0),"")</f>
        <v>Dr.KAVITHA C</v>
      </c>
      <c r="N6" s="28" t="str">
        <f>IFNA(VLOOKUP(L6,'Faculty Details'!$B:$H,7,0),"")</f>
        <v>kavithac@bitsathy.ac.in</v>
      </c>
    </row>
    <row r="7" ht="37.5" customHeight="1">
      <c r="A7" s="25">
        <v>6.0</v>
      </c>
      <c r="B7" s="25" t="s">
        <v>27</v>
      </c>
      <c r="C7" s="25" t="s">
        <v>1572</v>
      </c>
      <c r="D7" s="25" t="s">
        <v>1573</v>
      </c>
      <c r="E7" s="25" t="s">
        <v>1580</v>
      </c>
      <c r="F7" s="26" t="s">
        <v>1581</v>
      </c>
      <c r="G7" s="25" t="s">
        <v>1579</v>
      </c>
      <c r="H7" s="25">
        <v>2.0</v>
      </c>
      <c r="I7" s="25">
        <v>0.0</v>
      </c>
      <c r="J7" s="25">
        <v>2.0</v>
      </c>
      <c r="K7" s="25">
        <v>3.0</v>
      </c>
      <c r="L7" s="25" t="s">
        <v>641</v>
      </c>
      <c r="M7" s="28" t="str">
        <f>IFNA(VLOOKUP(L7,'Faculty Details'!$B:$H,4,0),"")</f>
        <v>Dr.JESIN BENETO A</v>
      </c>
      <c r="N7" s="28" t="str">
        <f>IFNA(VLOOKUP(L7,'Faculty Details'!$B:$H,7,0),"")</f>
        <v>jesinbeneto@bitsathy.ac.in</v>
      </c>
    </row>
    <row r="8" ht="37.5" customHeight="1">
      <c r="A8" s="25">
        <v>7.0</v>
      </c>
      <c r="B8" s="25" t="s">
        <v>27</v>
      </c>
      <c r="C8" s="25" t="s">
        <v>1572</v>
      </c>
      <c r="D8" s="25" t="s">
        <v>1573</v>
      </c>
      <c r="E8" s="25" t="s">
        <v>1582</v>
      </c>
      <c r="F8" s="26" t="s">
        <v>1583</v>
      </c>
      <c r="G8" s="25" t="s">
        <v>1576</v>
      </c>
      <c r="H8" s="25">
        <v>3.0</v>
      </c>
      <c r="I8" s="25">
        <v>0.0</v>
      </c>
      <c r="J8" s="25">
        <v>0.0</v>
      </c>
      <c r="K8" s="25">
        <v>3.0</v>
      </c>
      <c r="L8" s="25" t="s">
        <v>723</v>
      </c>
      <c r="M8" s="28" t="str">
        <f>IFNA(VLOOKUP(L8,'Faculty Details'!$B:$H,4,0),"")</f>
        <v>Dr.SARANYA K</v>
      </c>
      <c r="N8" s="28" t="str">
        <f>IFNA(VLOOKUP(L8,'Faculty Details'!$B:$H,7,0),"")</f>
        <v>saranyaks@bitsathy.ac.in</v>
      </c>
    </row>
    <row r="9" ht="37.5" customHeight="1">
      <c r="A9" s="25">
        <v>8.0</v>
      </c>
      <c r="B9" s="25" t="s">
        <v>27</v>
      </c>
      <c r="C9" s="25" t="s">
        <v>1572</v>
      </c>
      <c r="D9" s="25" t="s">
        <v>1573</v>
      </c>
      <c r="E9" s="25" t="s">
        <v>1582</v>
      </c>
      <c r="F9" s="26" t="s">
        <v>1583</v>
      </c>
      <c r="G9" s="25" t="s">
        <v>1576</v>
      </c>
      <c r="H9" s="25">
        <v>3.0</v>
      </c>
      <c r="I9" s="25">
        <v>0.0</v>
      </c>
      <c r="J9" s="25">
        <v>0.0</v>
      </c>
      <c r="K9" s="25">
        <v>3.0</v>
      </c>
      <c r="L9" s="25" t="s">
        <v>759</v>
      </c>
      <c r="M9" s="28" t="str">
        <f>IFNA(VLOOKUP(L9,'Faculty Details'!$B:$H,4,0),"")</f>
        <v>Mrs.PRIYANGA M A</v>
      </c>
      <c r="N9" s="28" t="str">
        <f>IFNA(VLOOKUP(L9,'Faculty Details'!$B:$H,7,0),"")</f>
        <v>priyanga@bitsathy.ac.in</v>
      </c>
    </row>
    <row r="10" ht="37.5" customHeight="1">
      <c r="A10" s="25">
        <v>9.0</v>
      </c>
      <c r="B10" s="25" t="s">
        <v>27</v>
      </c>
      <c r="C10" s="25" t="s">
        <v>1572</v>
      </c>
      <c r="D10" s="25" t="s">
        <v>1573</v>
      </c>
      <c r="E10" s="25" t="s">
        <v>1584</v>
      </c>
      <c r="F10" s="26" t="s">
        <v>1585</v>
      </c>
      <c r="G10" s="25" t="s">
        <v>1579</v>
      </c>
      <c r="H10" s="25">
        <v>2.0</v>
      </c>
      <c r="I10" s="25">
        <v>0.0</v>
      </c>
      <c r="J10" s="25">
        <v>2.0</v>
      </c>
      <c r="K10" s="25">
        <v>3.0</v>
      </c>
      <c r="L10" s="25" t="s">
        <v>845</v>
      </c>
      <c r="M10" s="28" t="str">
        <f>IFNA(VLOOKUP(L10,'Faculty Details'!$B:$H,4,0),"")</f>
        <v>Mrs.SARANYA N</v>
      </c>
      <c r="N10" s="28" t="str">
        <f>IFNA(VLOOKUP(L10,'Faculty Details'!$B:$H,7,0),"")</f>
        <v>saranyan@bitsathy.ac.in</v>
      </c>
    </row>
    <row r="11" ht="37.5" customHeight="1">
      <c r="A11" s="25">
        <v>10.0</v>
      </c>
      <c r="B11" s="25" t="s">
        <v>27</v>
      </c>
      <c r="C11" s="25" t="s">
        <v>1572</v>
      </c>
      <c r="D11" s="25" t="s">
        <v>1573</v>
      </c>
      <c r="E11" s="25" t="s">
        <v>1584</v>
      </c>
      <c r="F11" s="26" t="s">
        <v>1585</v>
      </c>
      <c r="G11" s="25" t="s">
        <v>1579</v>
      </c>
      <c r="H11" s="25">
        <v>2.0</v>
      </c>
      <c r="I11" s="25">
        <v>0.0</v>
      </c>
      <c r="J11" s="25">
        <v>2.0</v>
      </c>
      <c r="K11" s="25">
        <v>3.0</v>
      </c>
      <c r="L11" s="25" t="s">
        <v>892</v>
      </c>
      <c r="M11" s="28" t="str">
        <f>IFNA(VLOOKUP(L11,'Faculty Details'!$B:$H,4,0),"")</f>
        <v>Dr.STEPHEN SAGAYARAJ A</v>
      </c>
      <c r="N11" s="28" t="str">
        <f>IFNA(VLOOKUP(L11,'Faculty Details'!$B:$H,7,0),"")</f>
        <v>stephensagayaraja@bitsathy.ac.in</v>
      </c>
    </row>
    <row r="12" ht="37.5" customHeight="1">
      <c r="A12" s="25">
        <v>11.0</v>
      </c>
      <c r="B12" s="25" t="s">
        <v>27</v>
      </c>
      <c r="C12" s="25" t="s">
        <v>1572</v>
      </c>
      <c r="D12" s="25" t="s">
        <v>1573</v>
      </c>
      <c r="E12" s="25" t="s">
        <v>1763</v>
      </c>
      <c r="F12" s="26" t="s">
        <v>1764</v>
      </c>
      <c r="G12" s="25" t="s">
        <v>1588</v>
      </c>
      <c r="H12" s="25">
        <v>1.0</v>
      </c>
      <c r="I12" s="25">
        <v>0.0</v>
      </c>
      <c r="J12" s="25">
        <v>2.0</v>
      </c>
      <c r="K12" s="25">
        <v>3.0</v>
      </c>
      <c r="L12" s="25" t="s">
        <v>1389</v>
      </c>
      <c r="M12" s="28" t="str">
        <f>IFNA(VLOOKUP(L12,'Faculty Details'!$B:$H,4,0),"")</f>
        <v>Mr.RAMACHANDRA RAJU K</v>
      </c>
      <c r="N12" s="28" t="str">
        <f>IFNA(VLOOKUP(L12,'Faculty Details'!$B:$H,7,0),"")</f>
        <v>ramachandraraju@bitsathy.ac.in</v>
      </c>
    </row>
    <row r="13" ht="37.5" customHeight="1">
      <c r="A13" s="25">
        <v>12.0</v>
      </c>
      <c r="B13" s="25" t="s">
        <v>27</v>
      </c>
      <c r="C13" s="25" t="s">
        <v>1572</v>
      </c>
      <c r="D13" s="25" t="s">
        <v>1573</v>
      </c>
      <c r="E13" s="25" t="s">
        <v>1763</v>
      </c>
      <c r="F13" s="26" t="s">
        <v>1764</v>
      </c>
      <c r="G13" s="25" t="s">
        <v>1588</v>
      </c>
      <c r="H13" s="25">
        <v>1.0</v>
      </c>
      <c r="I13" s="25">
        <v>0.0</v>
      </c>
      <c r="J13" s="25">
        <v>2.0</v>
      </c>
      <c r="K13" s="25">
        <v>3.0</v>
      </c>
      <c r="L13" s="25" t="s">
        <v>1450</v>
      </c>
      <c r="M13" s="28" t="str">
        <f>IFNA(VLOOKUP(L13,'Faculty Details'!$B:$H,4,0),"")</f>
        <v>Dr.SUNDARRAJU G</v>
      </c>
      <c r="N13" s="28" t="str">
        <f>IFNA(VLOOKUP(L13,'Faculty Details'!$B:$H,7,0),"")</f>
        <v>sundarrajug@bitsathy.ac.in</v>
      </c>
    </row>
    <row r="14" ht="37.5" customHeight="1">
      <c r="A14" s="25">
        <v>13.0</v>
      </c>
      <c r="B14" s="25" t="s">
        <v>27</v>
      </c>
      <c r="C14" s="25" t="s">
        <v>1572</v>
      </c>
      <c r="D14" s="25" t="s">
        <v>1573</v>
      </c>
      <c r="E14" s="25" t="s">
        <v>1589</v>
      </c>
      <c r="F14" s="26" t="s">
        <v>1590</v>
      </c>
      <c r="G14" s="25" t="s">
        <v>1588</v>
      </c>
      <c r="H14" s="25">
        <v>1.0</v>
      </c>
      <c r="I14" s="25">
        <v>0.0</v>
      </c>
      <c r="J14" s="25">
        <v>0.0</v>
      </c>
      <c r="K14" s="25">
        <v>1.0</v>
      </c>
      <c r="L14" s="25" t="s">
        <v>1130</v>
      </c>
      <c r="M14" s="28" t="str">
        <f>IFNA(VLOOKUP(L14,'Faculty Details'!$B:$H,4,0),"")</f>
        <v>Mr.SHYAMSUNDAR S</v>
      </c>
      <c r="N14" s="28" t="str">
        <f>IFNA(VLOOKUP(L14,'Faculty Details'!$B:$H,7,0),"")</f>
        <v>shyamsundar@bitsathy.ac.in</v>
      </c>
    </row>
    <row r="15" ht="37.5" customHeight="1">
      <c r="A15" s="25">
        <v>14.0</v>
      </c>
      <c r="B15" s="25" t="s">
        <v>27</v>
      </c>
      <c r="C15" s="25" t="s">
        <v>1572</v>
      </c>
      <c r="D15" s="25" t="s">
        <v>1573</v>
      </c>
      <c r="E15" s="25" t="s">
        <v>1589</v>
      </c>
      <c r="F15" s="26" t="s">
        <v>1590</v>
      </c>
      <c r="G15" s="25" t="s">
        <v>1588</v>
      </c>
      <c r="H15" s="25">
        <v>1.0</v>
      </c>
      <c r="I15" s="25">
        <v>0.0</v>
      </c>
      <c r="J15" s="25">
        <v>0.0</v>
      </c>
      <c r="K15" s="25">
        <v>1.0</v>
      </c>
      <c r="L15" s="25" t="s">
        <v>1115</v>
      </c>
      <c r="M15" s="28" t="str">
        <f>IFNA(VLOOKUP(L15,'Faculty Details'!$B:$H,4,0),"")</f>
        <v>Ms.KAMALI D</v>
      </c>
      <c r="N15" s="28" t="str">
        <f>IFNA(VLOOKUP(L15,'Faculty Details'!$B:$H,7,0),"")</f>
        <v>kamali@bitsathy.ac.in</v>
      </c>
    </row>
    <row r="16" ht="37.5" customHeight="1">
      <c r="A16" s="25">
        <v>15.0</v>
      </c>
      <c r="B16" s="25" t="s">
        <v>27</v>
      </c>
      <c r="C16" s="25" t="s">
        <v>1572</v>
      </c>
      <c r="D16" s="25" t="s">
        <v>1573</v>
      </c>
      <c r="E16" s="25" t="s">
        <v>1591</v>
      </c>
      <c r="F16" s="26" t="s">
        <v>1726</v>
      </c>
      <c r="G16" s="25"/>
      <c r="H16" s="25"/>
      <c r="I16" s="25"/>
      <c r="J16" s="25"/>
      <c r="K16" s="25"/>
      <c r="L16" s="25"/>
      <c r="M16" s="28" t="str">
        <f>IFNA(VLOOKUP(L16,'Faculty Details'!$B:$H,4,0),"")</f>
        <v/>
      </c>
      <c r="N16" s="28" t="str">
        <f>IFNA(VLOOKUP(L16,'Faculty Details'!$B:$H,7,0),"")</f>
        <v/>
      </c>
    </row>
    <row r="17" ht="37.5" customHeight="1">
      <c r="A17" s="25">
        <v>16.0</v>
      </c>
      <c r="B17" s="25" t="s">
        <v>27</v>
      </c>
      <c r="C17" s="25" t="s">
        <v>1572</v>
      </c>
      <c r="D17" s="25" t="s">
        <v>1593</v>
      </c>
      <c r="E17" s="25" t="s">
        <v>1594</v>
      </c>
      <c r="F17" s="26" t="s">
        <v>1640</v>
      </c>
      <c r="G17" s="25" t="s">
        <v>1588</v>
      </c>
      <c r="H17" s="25">
        <v>1.0</v>
      </c>
      <c r="I17" s="25">
        <v>0.0</v>
      </c>
      <c r="J17" s="25">
        <v>2.0</v>
      </c>
      <c r="K17" s="25">
        <v>2.0</v>
      </c>
      <c r="L17" s="25" t="s">
        <v>1133</v>
      </c>
      <c r="M17" s="28" t="str">
        <f>IFNA(VLOOKUP(L17,'Faculty Details'!$B:$H,4,0),"")</f>
        <v>Dr.JAYA K</v>
      </c>
      <c r="N17" s="28" t="str">
        <f>IFNA(VLOOKUP(L17,'Faculty Details'!$B:$H,7,0),"")</f>
        <v>jayak@bitsathy.ac.in</v>
      </c>
    </row>
    <row r="18" ht="37.5" customHeight="1">
      <c r="A18" s="25">
        <v>17.0</v>
      </c>
      <c r="B18" s="25" t="s">
        <v>27</v>
      </c>
      <c r="C18" s="25" t="s">
        <v>1572</v>
      </c>
      <c r="D18" s="25" t="s">
        <v>1593</v>
      </c>
      <c r="E18" s="25" t="s">
        <v>1641</v>
      </c>
      <c r="F18" s="26" t="s">
        <v>1642</v>
      </c>
      <c r="G18" s="25" t="s">
        <v>1588</v>
      </c>
      <c r="H18" s="25">
        <v>1.0</v>
      </c>
      <c r="I18" s="25">
        <v>0.0</v>
      </c>
      <c r="J18" s="25">
        <v>2.0</v>
      </c>
      <c r="K18" s="25">
        <v>2.0</v>
      </c>
      <c r="L18" s="25"/>
      <c r="M18" s="28" t="str">
        <f>IFNA(VLOOKUP(L18,'Faculty Details'!$B:$H,4,0),"")</f>
        <v/>
      </c>
      <c r="N18" s="28" t="str">
        <f>IFNA(VLOOKUP(L18,'Faculty Details'!$B:$H,7,0),"")</f>
        <v/>
      </c>
    </row>
    <row r="19" ht="37.5" customHeight="1">
      <c r="A19" s="25">
        <v>18.0</v>
      </c>
      <c r="B19" s="25" t="s">
        <v>27</v>
      </c>
      <c r="C19" s="25" t="s">
        <v>1572</v>
      </c>
      <c r="D19" s="25" t="s">
        <v>1593</v>
      </c>
      <c r="E19" s="25" t="s">
        <v>1643</v>
      </c>
      <c r="F19" s="26" t="s">
        <v>1644</v>
      </c>
      <c r="G19" s="25" t="s">
        <v>1588</v>
      </c>
      <c r="H19" s="25">
        <v>1.0</v>
      </c>
      <c r="I19" s="25">
        <v>0.0</v>
      </c>
      <c r="J19" s="25">
        <v>2.0</v>
      </c>
      <c r="K19" s="25">
        <v>2.0</v>
      </c>
      <c r="L19" s="25"/>
      <c r="M19" s="28" t="str">
        <f>IFNA(VLOOKUP(L19,'Faculty Details'!$B:$H,4,0),"")</f>
        <v/>
      </c>
      <c r="N19" s="28" t="str">
        <f>IFNA(VLOOKUP(L19,'Faculty Details'!$B:$H,7,0),"")</f>
        <v/>
      </c>
    </row>
    <row r="20" ht="37.5" customHeight="1">
      <c r="A20" s="25">
        <v>19.0</v>
      </c>
      <c r="B20" s="25" t="s">
        <v>27</v>
      </c>
      <c r="C20" s="25" t="s">
        <v>1596</v>
      </c>
      <c r="D20" s="25" t="s">
        <v>1573</v>
      </c>
      <c r="E20" s="25" t="s">
        <v>1798</v>
      </c>
      <c r="F20" s="26" t="s">
        <v>1799</v>
      </c>
      <c r="G20" s="25" t="s">
        <v>1576</v>
      </c>
      <c r="H20" s="25">
        <v>3.0</v>
      </c>
      <c r="I20" s="25">
        <v>1.0</v>
      </c>
      <c r="J20" s="25">
        <v>0.0</v>
      </c>
      <c r="K20" s="25">
        <v>4.0</v>
      </c>
      <c r="L20" s="25" t="s">
        <v>988</v>
      </c>
      <c r="M20" s="28" t="str">
        <f>IFNA(VLOOKUP(L20,'Faculty Details'!$B:$H,4,0),"")</f>
        <v>Dr.SENTHIL KUMAR J</v>
      </c>
      <c r="N20" s="28" t="str">
        <f>IFNA(VLOOKUP(L20,'Faculty Details'!$B:$H,7,0),"")</f>
        <v>senthilkumarj@bitsathy.ac.in</v>
      </c>
    </row>
    <row r="21" ht="37.5" customHeight="1">
      <c r="A21" s="25">
        <v>20.0</v>
      </c>
      <c r="B21" s="25" t="s">
        <v>27</v>
      </c>
      <c r="C21" s="25" t="s">
        <v>1596</v>
      </c>
      <c r="D21" s="25" t="s">
        <v>1573</v>
      </c>
      <c r="E21" s="25" t="s">
        <v>1798</v>
      </c>
      <c r="F21" s="26" t="s">
        <v>1799</v>
      </c>
      <c r="G21" s="25" t="s">
        <v>1576</v>
      </c>
      <c r="H21" s="25">
        <v>3.0</v>
      </c>
      <c r="I21" s="25">
        <v>1.0</v>
      </c>
      <c r="J21" s="25">
        <v>0.0</v>
      </c>
      <c r="K21" s="25">
        <v>4.0</v>
      </c>
      <c r="L21" s="25" t="s">
        <v>1000</v>
      </c>
      <c r="M21" s="68" t="str">
        <f>IFNA(VLOOKUP(L21,'Faculty Details'!$B:$H,4,0),"")</f>
        <v>Dr.CHINNADURRAI CL</v>
      </c>
      <c r="N21" s="28" t="str">
        <f>IFNA(VLOOKUP(L21,'Faculty Details'!$B:$H,7,0),"")</f>
        <v>chinnadurraicl@bitsathy.ac.in</v>
      </c>
    </row>
    <row r="22" ht="37.5" customHeight="1">
      <c r="A22" s="25">
        <v>21.0</v>
      </c>
      <c r="B22" s="25" t="s">
        <v>27</v>
      </c>
      <c r="C22" s="25" t="s">
        <v>1596</v>
      </c>
      <c r="D22" s="25" t="s">
        <v>1573</v>
      </c>
      <c r="E22" s="25" t="s">
        <v>1800</v>
      </c>
      <c r="F22" s="26" t="s">
        <v>1801</v>
      </c>
      <c r="G22" s="25" t="s">
        <v>1576</v>
      </c>
      <c r="H22" s="25">
        <v>3.0</v>
      </c>
      <c r="I22" s="25">
        <v>0.0</v>
      </c>
      <c r="J22" s="25">
        <v>2.0</v>
      </c>
      <c r="K22" s="25">
        <v>4.0</v>
      </c>
      <c r="L22" s="25" t="s">
        <v>1021</v>
      </c>
      <c r="M22" s="28" t="str">
        <f>IFNA(VLOOKUP(L22,'Faculty Details'!$B:$H,4,0),"")</f>
        <v>Dr.VEERAKUMAR S</v>
      </c>
      <c r="N22" s="28" t="str">
        <f>IFNA(VLOOKUP(L22,'Faculty Details'!$B:$H,7,0),"")</f>
        <v>veerakumars@bitsathy.ac.in</v>
      </c>
    </row>
    <row r="23" ht="37.5" customHeight="1">
      <c r="A23" s="25">
        <v>22.0</v>
      </c>
      <c r="B23" s="25" t="s">
        <v>27</v>
      </c>
      <c r="C23" s="25" t="s">
        <v>1596</v>
      </c>
      <c r="D23" s="25" t="s">
        <v>1573</v>
      </c>
      <c r="E23" s="25" t="s">
        <v>1800</v>
      </c>
      <c r="F23" s="26" t="s">
        <v>1801</v>
      </c>
      <c r="G23" s="25" t="s">
        <v>1588</v>
      </c>
      <c r="H23" s="25">
        <v>3.0</v>
      </c>
      <c r="I23" s="25">
        <v>0.0</v>
      </c>
      <c r="J23" s="25">
        <v>2.0</v>
      </c>
      <c r="K23" s="25">
        <v>4.0</v>
      </c>
      <c r="L23" s="25" t="s">
        <v>1027</v>
      </c>
      <c r="M23" s="28" t="str">
        <f>IFNA(VLOOKUP(L23,'Faculty Details'!$B:$H,4,0),"")</f>
        <v>Dr.NANDHAKUMAR A</v>
      </c>
      <c r="N23" s="28" t="str">
        <f>IFNA(VLOOKUP(L23,'Faculty Details'!$B:$H,7,0),"")</f>
        <v>nandhakumara@bitsathy.ac.in</v>
      </c>
    </row>
    <row r="24" ht="37.5" customHeight="1">
      <c r="A24" s="25">
        <v>23.0</v>
      </c>
      <c r="B24" s="25" t="s">
        <v>27</v>
      </c>
      <c r="C24" s="25" t="s">
        <v>1596</v>
      </c>
      <c r="D24" s="25" t="s">
        <v>1573</v>
      </c>
      <c r="E24" s="25" t="s">
        <v>1800</v>
      </c>
      <c r="F24" s="26" t="s">
        <v>1801</v>
      </c>
      <c r="G24" s="25" t="s">
        <v>1576</v>
      </c>
      <c r="H24" s="25">
        <v>3.0</v>
      </c>
      <c r="I24" s="25">
        <v>0.0</v>
      </c>
      <c r="J24" s="25">
        <v>2.0</v>
      </c>
      <c r="K24" s="25">
        <v>4.0</v>
      </c>
      <c r="L24" s="25" t="s">
        <v>979</v>
      </c>
      <c r="M24" s="68" t="str">
        <f>IFNA(VLOOKUP(L24,'Faculty Details'!$B:$H,4,0),"")</f>
        <v>Dr.BHARANI KUMAR R</v>
      </c>
      <c r="N24" s="28" t="str">
        <f>IFNA(VLOOKUP(L24,'Faculty Details'!$B:$H,7,0),"")</f>
        <v>bharanikumarr@bitsathy.ac.in</v>
      </c>
    </row>
    <row r="25" ht="37.5" customHeight="1">
      <c r="A25" s="25">
        <v>24.0</v>
      </c>
      <c r="B25" s="25" t="s">
        <v>27</v>
      </c>
      <c r="C25" s="25" t="s">
        <v>1596</v>
      </c>
      <c r="D25" s="25" t="s">
        <v>1573</v>
      </c>
      <c r="E25" s="25" t="s">
        <v>1800</v>
      </c>
      <c r="F25" s="26" t="s">
        <v>1801</v>
      </c>
      <c r="G25" s="25" t="s">
        <v>1588</v>
      </c>
      <c r="H25" s="25">
        <v>3.0</v>
      </c>
      <c r="I25" s="25">
        <v>0.0</v>
      </c>
      <c r="J25" s="25">
        <v>2.0</v>
      </c>
      <c r="K25" s="25">
        <v>4.0</v>
      </c>
      <c r="L25" s="25" t="s">
        <v>973</v>
      </c>
      <c r="M25" s="28" t="str">
        <f>IFNA(VLOOKUP(L25,'Faculty Details'!$B:$H,4,0),"")</f>
        <v>Mr.ARUN CHENDHURAN R</v>
      </c>
      <c r="N25" s="28" t="str">
        <f>IFNA(VLOOKUP(L25,'Faculty Details'!$B:$H,7,0),"")</f>
        <v>arunchendhuran@bitsathy.ac.in</v>
      </c>
    </row>
    <row r="26" ht="37.5" customHeight="1">
      <c r="A26" s="25">
        <v>25.0</v>
      </c>
      <c r="B26" s="25" t="s">
        <v>27</v>
      </c>
      <c r="C26" s="25" t="s">
        <v>1596</v>
      </c>
      <c r="D26" s="25" t="s">
        <v>1573</v>
      </c>
      <c r="E26" s="25" t="s">
        <v>1802</v>
      </c>
      <c r="F26" s="26" t="s">
        <v>1803</v>
      </c>
      <c r="G26" s="25" t="s">
        <v>1579</v>
      </c>
      <c r="H26" s="25">
        <v>3.0</v>
      </c>
      <c r="I26" s="25">
        <v>0.0</v>
      </c>
      <c r="J26" s="25">
        <v>2.0</v>
      </c>
      <c r="K26" s="25">
        <v>4.0</v>
      </c>
      <c r="L26" s="25" t="s">
        <v>1033</v>
      </c>
      <c r="M26" s="28" t="str">
        <f>IFNA(VLOOKUP(L26,'Faculty Details'!$B:$H,4,0),"")</f>
        <v>Mrs.MOHANAPRIYA V</v>
      </c>
      <c r="N26" s="28" t="str">
        <f>IFNA(VLOOKUP(L26,'Faculty Details'!$B:$H,7,0),"")</f>
        <v>mohanapriyav@bitsathy.ac.in</v>
      </c>
    </row>
    <row r="27" ht="37.5" customHeight="1">
      <c r="A27" s="25">
        <v>26.0</v>
      </c>
      <c r="B27" s="25" t="s">
        <v>27</v>
      </c>
      <c r="C27" s="25" t="s">
        <v>1596</v>
      </c>
      <c r="D27" s="25" t="s">
        <v>1573</v>
      </c>
      <c r="E27" s="25" t="s">
        <v>1802</v>
      </c>
      <c r="F27" s="26" t="s">
        <v>1803</v>
      </c>
      <c r="G27" s="25" t="s">
        <v>1579</v>
      </c>
      <c r="H27" s="25">
        <v>3.0</v>
      </c>
      <c r="I27" s="25">
        <v>0.0</v>
      </c>
      <c r="J27" s="25">
        <v>2.0</v>
      </c>
      <c r="K27" s="25">
        <v>4.0</v>
      </c>
      <c r="L27" s="25" t="s">
        <v>1036</v>
      </c>
      <c r="M27" s="30" t="str">
        <f>IFNA(VLOOKUP(L27,'Faculty Details'!$B:$H,4,0),"")</f>
        <v>Mr.SUNDAR S</v>
      </c>
      <c r="N27" s="28" t="str">
        <f>IFNA(VLOOKUP(L27,'Faculty Details'!$B:$H,7,0),"")</f>
        <v>sundars@bitsathy.ac.in</v>
      </c>
    </row>
    <row r="28" ht="37.5" customHeight="1">
      <c r="A28" s="25">
        <v>27.0</v>
      </c>
      <c r="B28" s="25" t="s">
        <v>27</v>
      </c>
      <c r="C28" s="25" t="s">
        <v>1596</v>
      </c>
      <c r="D28" s="25" t="s">
        <v>1573</v>
      </c>
      <c r="E28" s="25" t="s">
        <v>1804</v>
      </c>
      <c r="F28" s="26" t="s">
        <v>1805</v>
      </c>
      <c r="G28" s="25" t="s">
        <v>1579</v>
      </c>
      <c r="H28" s="25">
        <v>3.0</v>
      </c>
      <c r="I28" s="25">
        <v>0.0</v>
      </c>
      <c r="J28" s="25">
        <v>2.0</v>
      </c>
      <c r="K28" s="25">
        <v>4.0</v>
      </c>
      <c r="L28" s="25" t="s">
        <v>1030</v>
      </c>
      <c r="M28" s="30" t="str">
        <f>IFNA(VLOOKUP(L28,'Faculty Details'!$B:$H,4,0),"")</f>
        <v>Dr.SRITHA P</v>
      </c>
      <c r="N28" s="28" t="str">
        <f>IFNA(VLOOKUP(L28,'Faculty Details'!$B:$H,7,0),"")</f>
        <v>srithap@bitsathy.ac.in</v>
      </c>
    </row>
    <row r="29" ht="37.5" customHeight="1">
      <c r="A29" s="25">
        <v>28.0</v>
      </c>
      <c r="B29" s="25" t="s">
        <v>27</v>
      </c>
      <c r="C29" s="25" t="s">
        <v>1596</v>
      </c>
      <c r="D29" s="25" t="s">
        <v>1573</v>
      </c>
      <c r="E29" s="25" t="s">
        <v>1804</v>
      </c>
      <c r="F29" s="26" t="s">
        <v>1805</v>
      </c>
      <c r="G29" s="25" t="s">
        <v>1579</v>
      </c>
      <c r="H29" s="25">
        <v>3.0</v>
      </c>
      <c r="I29" s="25">
        <v>0.0</v>
      </c>
      <c r="J29" s="25">
        <v>2.0</v>
      </c>
      <c r="K29" s="25">
        <v>4.0</v>
      </c>
      <c r="L29" s="25" t="s">
        <v>994</v>
      </c>
      <c r="M29" s="30" t="str">
        <f>IFNA(VLOOKUP(L29,'Faculty Details'!$B:$H,4,0),"")</f>
        <v>Mrs.GOPIKA N P</v>
      </c>
      <c r="N29" s="28" t="str">
        <f>IFNA(VLOOKUP(L29,'Faculty Details'!$B:$H,7,0),"")</f>
        <v>gopika@bitsathy.ac.in</v>
      </c>
    </row>
    <row r="30" ht="37.5" customHeight="1">
      <c r="A30" s="25">
        <v>29.0</v>
      </c>
      <c r="B30" s="25" t="s">
        <v>27</v>
      </c>
      <c r="C30" s="25" t="s">
        <v>1596</v>
      </c>
      <c r="D30" s="25" t="s">
        <v>1573</v>
      </c>
      <c r="E30" s="25" t="s">
        <v>1806</v>
      </c>
      <c r="F30" s="26" t="s">
        <v>1807</v>
      </c>
      <c r="G30" s="25" t="s">
        <v>1576</v>
      </c>
      <c r="H30" s="25">
        <v>3.0</v>
      </c>
      <c r="I30" s="25">
        <v>0.0</v>
      </c>
      <c r="J30" s="25">
        <v>2.0</v>
      </c>
      <c r="K30" s="25">
        <v>4.0</v>
      </c>
      <c r="L30" s="25" t="s">
        <v>997</v>
      </c>
      <c r="M30" s="30" t="str">
        <f>IFNA(VLOOKUP(L30,'Faculty Details'!$B:$H,4,0),"")</f>
        <v>Dr.MANOJKUMAR P</v>
      </c>
      <c r="N30" s="28" t="str">
        <f>IFNA(VLOOKUP(L30,'Faculty Details'!$B:$H,7,0),"")</f>
        <v>manojkumarp@bitsathy.ac.in</v>
      </c>
    </row>
    <row r="31" ht="37.5" customHeight="1">
      <c r="A31" s="25">
        <v>30.0</v>
      </c>
      <c r="B31" s="25" t="s">
        <v>27</v>
      </c>
      <c r="C31" s="25" t="s">
        <v>1596</v>
      </c>
      <c r="D31" s="25" t="s">
        <v>1573</v>
      </c>
      <c r="E31" s="25" t="s">
        <v>1806</v>
      </c>
      <c r="F31" s="26" t="s">
        <v>1807</v>
      </c>
      <c r="G31" s="25" t="s">
        <v>1588</v>
      </c>
      <c r="H31" s="25">
        <v>3.0</v>
      </c>
      <c r="I31" s="25">
        <v>0.0</v>
      </c>
      <c r="J31" s="25">
        <v>2.0</v>
      </c>
      <c r="K31" s="25">
        <v>4.0</v>
      </c>
      <c r="L31" s="25" t="s">
        <v>982</v>
      </c>
      <c r="M31" s="30" t="str">
        <f>IFNA(VLOOKUP(L31,'Faculty Details'!$B:$H,4,0),"")</f>
        <v>Mrs.NITHYA G</v>
      </c>
      <c r="N31" s="28" t="str">
        <f>IFNA(VLOOKUP(L31,'Faculty Details'!$B:$H,7,0),"")</f>
        <v>nithyag@bitsathy.ac.in</v>
      </c>
    </row>
    <row r="32" ht="37.5" customHeight="1">
      <c r="A32" s="25">
        <v>31.0</v>
      </c>
      <c r="B32" s="25" t="s">
        <v>27</v>
      </c>
      <c r="C32" s="25" t="s">
        <v>1596</v>
      </c>
      <c r="D32" s="25" t="s">
        <v>1573</v>
      </c>
      <c r="E32" s="25" t="s">
        <v>1806</v>
      </c>
      <c r="F32" s="26" t="s">
        <v>1807</v>
      </c>
      <c r="G32" s="25" t="s">
        <v>1576</v>
      </c>
      <c r="H32" s="25">
        <v>3.0</v>
      </c>
      <c r="I32" s="25">
        <v>0.0</v>
      </c>
      <c r="J32" s="25">
        <v>2.0</v>
      </c>
      <c r="K32" s="25">
        <v>4.0</v>
      </c>
      <c r="L32" s="25" t="s">
        <v>976</v>
      </c>
      <c r="M32" s="68" t="str">
        <f>IFNA(VLOOKUP(L32,'Faculty Details'!$B:$H,4,0),"")</f>
        <v>Dr.SATHISHKUMAR S</v>
      </c>
      <c r="N32" s="28" t="str">
        <f>IFNA(VLOOKUP(L32,'Faculty Details'!$B:$H,7,0),"")</f>
        <v>sathishkumars@bitsathy.ac.in</v>
      </c>
    </row>
    <row r="33" ht="37.5" customHeight="1">
      <c r="A33" s="25">
        <v>32.0</v>
      </c>
      <c r="B33" s="25" t="s">
        <v>27</v>
      </c>
      <c r="C33" s="25" t="s">
        <v>1596</v>
      </c>
      <c r="D33" s="25" t="s">
        <v>1573</v>
      </c>
      <c r="E33" s="25" t="s">
        <v>1806</v>
      </c>
      <c r="F33" s="26" t="s">
        <v>1807</v>
      </c>
      <c r="G33" s="25" t="s">
        <v>1588</v>
      </c>
      <c r="H33" s="25">
        <v>3.0</v>
      </c>
      <c r="I33" s="25">
        <v>0.0</v>
      </c>
      <c r="J33" s="25">
        <v>2.0</v>
      </c>
      <c r="K33" s="25">
        <v>4.0</v>
      </c>
      <c r="L33" s="25" t="s">
        <v>988</v>
      </c>
      <c r="M33" s="30" t="str">
        <f>IFNA(VLOOKUP(L33,'Faculty Details'!$B:$H,4,0),"")</f>
        <v>Dr.SENTHIL KUMAR J</v>
      </c>
      <c r="N33" s="28" t="str">
        <f>IFNA(VLOOKUP(L33,'Faculty Details'!$B:$H,7,0),"")</f>
        <v>senthilkumarj@bitsathy.ac.in</v>
      </c>
    </row>
    <row r="34" ht="37.5" customHeight="1">
      <c r="A34" s="25">
        <v>33.0</v>
      </c>
      <c r="B34" s="25" t="s">
        <v>27</v>
      </c>
      <c r="C34" s="25" t="s">
        <v>1596</v>
      </c>
      <c r="D34" s="25" t="s">
        <v>1607</v>
      </c>
      <c r="E34" s="32" t="s">
        <v>28</v>
      </c>
      <c r="F34" s="90" t="s">
        <v>29</v>
      </c>
      <c r="G34" s="25" t="s">
        <v>1576</v>
      </c>
      <c r="H34" s="25">
        <v>3.0</v>
      </c>
      <c r="I34" s="25">
        <v>0.0</v>
      </c>
      <c r="J34" s="25">
        <v>0.0</v>
      </c>
      <c r="K34" s="25">
        <v>3.0</v>
      </c>
      <c r="L34" s="25" t="s">
        <v>982</v>
      </c>
      <c r="M34" s="30" t="str">
        <f>IFNA(VLOOKUP(L34,'Faculty Details'!$B:$H,4,0),"")</f>
        <v>Mrs.NITHYA G</v>
      </c>
      <c r="N34" s="28" t="str">
        <f>IFNA(VLOOKUP(L34,'Faculty Details'!$B:$H,7,0),"")</f>
        <v>nithyag@bitsathy.ac.in</v>
      </c>
    </row>
    <row r="35" ht="37.5" customHeight="1">
      <c r="A35" s="25">
        <v>34.0</v>
      </c>
      <c r="B35" s="25" t="s">
        <v>27</v>
      </c>
      <c r="C35" s="25" t="s">
        <v>1596</v>
      </c>
      <c r="D35" s="25" t="s">
        <v>1607</v>
      </c>
      <c r="E35" s="32" t="s">
        <v>28</v>
      </c>
      <c r="F35" s="90" t="s">
        <v>29</v>
      </c>
      <c r="G35" s="25" t="s">
        <v>1576</v>
      </c>
      <c r="H35" s="25">
        <v>3.0</v>
      </c>
      <c r="I35" s="25">
        <v>0.0</v>
      </c>
      <c r="J35" s="25">
        <v>0.0</v>
      </c>
      <c r="K35" s="25">
        <v>3.0</v>
      </c>
      <c r="L35" s="25" t="s">
        <v>1024</v>
      </c>
      <c r="M35" s="30" t="str">
        <f>IFNA(VLOOKUP(L35,'Faculty Details'!$B:$H,4,0),"")</f>
        <v>Dr.MAHESWARI K T</v>
      </c>
      <c r="N35" s="28" t="str">
        <f>IFNA(VLOOKUP(L35,'Faculty Details'!$B:$H,7,0),"")</f>
        <v>maheswarikt@bitsathy.ac.in</v>
      </c>
    </row>
    <row r="36" ht="37.5" customHeight="1">
      <c r="A36" s="25">
        <v>35.0</v>
      </c>
      <c r="B36" s="25" t="s">
        <v>27</v>
      </c>
      <c r="C36" s="25" t="s">
        <v>1596</v>
      </c>
      <c r="D36" s="25" t="s">
        <v>1607</v>
      </c>
      <c r="E36" s="32" t="s">
        <v>30</v>
      </c>
      <c r="F36" s="90" t="s">
        <v>31</v>
      </c>
      <c r="G36" s="25" t="s">
        <v>1576</v>
      </c>
      <c r="H36" s="25">
        <v>3.0</v>
      </c>
      <c r="I36" s="25">
        <v>0.0</v>
      </c>
      <c r="J36" s="25">
        <v>0.0</v>
      </c>
      <c r="K36" s="25">
        <v>3.0</v>
      </c>
      <c r="L36" s="25" t="s">
        <v>1012</v>
      </c>
      <c r="M36" s="28" t="str">
        <f>IFNA(VLOOKUP(L36,'Faculty Details'!$B:$H,4,0),"")</f>
        <v>Dr.SRINIVASAN M</v>
      </c>
      <c r="N36" s="28" t="str">
        <f>IFNA(VLOOKUP(L36,'Faculty Details'!$B:$H,7,0),"")</f>
        <v>srinivasanm@bitsathy.ac.in</v>
      </c>
    </row>
    <row r="37" ht="37.5" customHeight="1">
      <c r="A37" s="25">
        <v>36.0</v>
      </c>
      <c r="B37" s="25" t="s">
        <v>27</v>
      </c>
      <c r="C37" s="25" t="s">
        <v>1596</v>
      </c>
      <c r="D37" s="25" t="s">
        <v>1573</v>
      </c>
      <c r="E37" s="25" t="s">
        <v>1608</v>
      </c>
      <c r="F37" s="26" t="s">
        <v>1609</v>
      </c>
      <c r="G37" s="25" t="s">
        <v>1588</v>
      </c>
      <c r="H37" s="25">
        <v>2.0</v>
      </c>
      <c r="I37" s="25">
        <v>0.0</v>
      </c>
      <c r="J37" s="25">
        <v>0.0</v>
      </c>
      <c r="K37" s="25">
        <v>2.0</v>
      </c>
      <c r="L37" s="25" t="s">
        <v>650</v>
      </c>
      <c r="M37" s="28" t="str">
        <f>IFNA(VLOOKUP(L37,'Faculty Details'!$B:$H,4,0),"")</f>
        <v>Dr.SUBHAPRIYA P</v>
      </c>
      <c r="N37" s="28" t="str">
        <f>IFNA(VLOOKUP(L37,'Faculty Details'!$B:$H,7,0),"")</f>
        <v>subhapriyap@bitsathy.ac.in</v>
      </c>
    </row>
    <row r="38" ht="37.5" customHeight="1">
      <c r="A38" s="25">
        <v>37.0</v>
      </c>
      <c r="B38" s="25" t="s">
        <v>27</v>
      </c>
      <c r="C38" s="25" t="s">
        <v>1596</v>
      </c>
      <c r="D38" s="25" t="s">
        <v>1573</v>
      </c>
      <c r="E38" s="25" t="s">
        <v>1608</v>
      </c>
      <c r="F38" s="26" t="s">
        <v>1609</v>
      </c>
      <c r="G38" s="25" t="s">
        <v>1588</v>
      </c>
      <c r="H38" s="25">
        <v>2.0</v>
      </c>
      <c r="I38" s="25">
        <v>0.0</v>
      </c>
      <c r="J38" s="25">
        <v>0.0</v>
      </c>
      <c r="K38" s="25">
        <v>2.0</v>
      </c>
      <c r="L38" s="25" t="s">
        <v>629</v>
      </c>
      <c r="M38" s="28" t="str">
        <f>IFNA(VLOOKUP(L38,'Faculty Details'!$B:$H,4,0),"")</f>
        <v>Dr.MURALI KRISHNAN M</v>
      </c>
      <c r="N38" s="28" t="str">
        <f>IFNA(VLOOKUP(L38,'Faculty Details'!$B:$H,7,0),"")</f>
        <v>muralikrishnan@bitsathy.ac.in</v>
      </c>
    </row>
    <row r="39" ht="37.5" customHeight="1">
      <c r="A39" s="25">
        <v>38.0</v>
      </c>
      <c r="B39" s="25" t="s">
        <v>27</v>
      </c>
      <c r="C39" s="25" t="s">
        <v>1596</v>
      </c>
      <c r="D39" s="25" t="s">
        <v>1588</v>
      </c>
      <c r="E39" s="25" t="s">
        <v>1610</v>
      </c>
      <c r="F39" s="34" t="s">
        <v>1611</v>
      </c>
      <c r="G39" s="25" t="s">
        <v>1588</v>
      </c>
      <c r="H39" s="25">
        <v>0.0</v>
      </c>
      <c r="I39" s="25">
        <v>0.0</v>
      </c>
      <c r="J39" s="25">
        <v>2.0</v>
      </c>
      <c r="K39" s="25">
        <v>1.0</v>
      </c>
      <c r="L39" s="25" t="s">
        <v>1121</v>
      </c>
      <c r="M39" s="28" t="str">
        <f>IFNA(VLOOKUP(L39,'Faculty Details'!$B:$H,4,0),"")</f>
        <v>Dr.ASLIN JERUSHA D</v>
      </c>
      <c r="N39" s="28" t="str">
        <f>IFNA(VLOOKUP(L39,'Faculty Details'!$B:$H,7,0),"")</f>
        <v>aslinjerusha@bitsathy.ac.in</v>
      </c>
    </row>
    <row r="40" ht="37.5" customHeight="1">
      <c r="A40" s="25">
        <v>39.0</v>
      </c>
      <c r="B40" s="25" t="s">
        <v>27</v>
      </c>
      <c r="C40" s="25" t="s">
        <v>1596</v>
      </c>
      <c r="D40" s="25" t="s">
        <v>1588</v>
      </c>
      <c r="E40" s="25" t="s">
        <v>1610</v>
      </c>
      <c r="F40" s="34" t="s">
        <v>1611</v>
      </c>
      <c r="G40" s="25" t="s">
        <v>1588</v>
      </c>
      <c r="H40" s="25">
        <v>0.0</v>
      </c>
      <c r="I40" s="25">
        <v>0.0</v>
      </c>
      <c r="J40" s="25">
        <v>2.0</v>
      </c>
      <c r="K40" s="25">
        <v>1.0</v>
      </c>
      <c r="L40" s="25" t="s">
        <v>1127</v>
      </c>
      <c r="M40" s="28" t="str">
        <f>IFNA(VLOOKUP(L40,'Faculty Details'!$B:$H,4,0),"")</f>
        <v>Dr.NITHYA S</v>
      </c>
      <c r="N40" s="28" t="str">
        <f>IFNA(VLOOKUP(L40,'Faculty Details'!$B:$H,7,0),"")</f>
        <v>nithyas@bitsathy.ac.in</v>
      </c>
    </row>
    <row r="41" ht="37.5" customHeight="1">
      <c r="A41" s="25">
        <v>40.0</v>
      </c>
      <c r="B41" s="25" t="s">
        <v>27</v>
      </c>
      <c r="C41" s="25" t="s">
        <v>1612</v>
      </c>
      <c r="D41" s="25" t="s">
        <v>1573</v>
      </c>
      <c r="E41" s="25" t="s">
        <v>1808</v>
      </c>
      <c r="F41" s="26" t="s">
        <v>1809</v>
      </c>
      <c r="G41" s="25" t="s">
        <v>1576</v>
      </c>
      <c r="H41" s="25">
        <v>3.0</v>
      </c>
      <c r="I41" s="25">
        <v>0.0</v>
      </c>
      <c r="J41" s="25">
        <v>0.0</v>
      </c>
      <c r="K41" s="25">
        <v>3.0</v>
      </c>
      <c r="L41" s="25" t="s">
        <v>1027</v>
      </c>
      <c r="M41" s="28" t="str">
        <f>IFNA(VLOOKUP(L41,'Faculty Details'!$B:$H,4,0),"")</f>
        <v>Dr.NANDHAKUMAR A</v>
      </c>
      <c r="N41" s="28" t="str">
        <f>IFNA(VLOOKUP(L41,'Faculty Details'!$B:$H,7,0),"")</f>
        <v>nandhakumara@bitsathy.ac.in</v>
      </c>
    </row>
    <row r="42" ht="37.5" customHeight="1">
      <c r="A42" s="25">
        <v>41.0</v>
      </c>
      <c r="B42" s="25" t="s">
        <v>27</v>
      </c>
      <c r="C42" s="25" t="s">
        <v>1612</v>
      </c>
      <c r="D42" s="25" t="s">
        <v>1573</v>
      </c>
      <c r="E42" s="25" t="s">
        <v>1810</v>
      </c>
      <c r="F42" s="26" t="s">
        <v>1811</v>
      </c>
      <c r="G42" s="25" t="s">
        <v>1576</v>
      </c>
      <c r="H42" s="25">
        <v>3.0</v>
      </c>
      <c r="I42" s="25">
        <v>1.0</v>
      </c>
      <c r="J42" s="25">
        <v>0.0</v>
      </c>
      <c r="K42" s="25">
        <v>4.0</v>
      </c>
      <c r="L42" s="25" t="s">
        <v>1015</v>
      </c>
      <c r="M42" s="28" t="str">
        <f>IFNA(VLOOKUP(L42,'Faculty Details'!$B:$H,4,0),"")</f>
        <v>Dr.RAJALASHMI K</v>
      </c>
      <c r="N42" s="28" t="str">
        <f>IFNA(VLOOKUP(L42,'Faculty Details'!$B:$H,7,0),"")</f>
        <v>rajalashmik@bitsathy.ac.in</v>
      </c>
    </row>
    <row r="43" ht="37.5" customHeight="1">
      <c r="A43" s="25">
        <v>42.0</v>
      </c>
      <c r="B43" s="25" t="s">
        <v>27</v>
      </c>
      <c r="C43" s="25" t="s">
        <v>1612</v>
      </c>
      <c r="D43" s="25" t="s">
        <v>1573</v>
      </c>
      <c r="E43" s="25" t="s">
        <v>1812</v>
      </c>
      <c r="F43" s="26" t="s">
        <v>1813</v>
      </c>
      <c r="G43" s="25" t="s">
        <v>1579</v>
      </c>
      <c r="H43" s="25">
        <v>2.0</v>
      </c>
      <c r="I43" s="25">
        <v>0.0</v>
      </c>
      <c r="J43" s="25">
        <v>2.0</v>
      </c>
      <c r="K43" s="25">
        <v>3.0</v>
      </c>
      <c r="L43" s="25" t="s">
        <v>1003</v>
      </c>
      <c r="M43" s="28" t="str">
        <f>IFNA(VLOOKUP(L43,'Faculty Details'!$B:$H,4,0),"")</f>
        <v>Dr.GOLDVIN SUGIRTHA DHAS B</v>
      </c>
      <c r="N43" s="28" t="str">
        <f>IFNA(VLOOKUP(L43,'Faculty Details'!$B:$H,7,0),"")</f>
        <v>goldvinsugirthadhasb@bitsathy.ac.in</v>
      </c>
    </row>
    <row r="44" ht="37.5" customHeight="1">
      <c r="A44" s="25">
        <v>43.0</v>
      </c>
      <c r="B44" s="25" t="s">
        <v>27</v>
      </c>
      <c r="C44" s="25" t="s">
        <v>1612</v>
      </c>
      <c r="D44" s="25" t="s">
        <v>1619</v>
      </c>
      <c r="E44" s="32" t="s">
        <v>162</v>
      </c>
      <c r="F44" s="90" t="s">
        <v>163</v>
      </c>
      <c r="G44" s="25" t="s">
        <v>1576</v>
      </c>
      <c r="H44" s="25">
        <v>3.0</v>
      </c>
      <c r="I44" s="25">
        <v>0.0</v>
      </c>
      <c r="J44" s="25">
        <v>0.0</v>
      </c>
      <c r="K44" s="25">
        <v>3.0</v>
      </c>
      <c r="L44" s="25" t="s">
        <v>969</v>
      </c>
      <c r="M44" s="28" t="str">
        <f>IFNA(VLOOKUP(L44,'Faculty Details'!$B:$H,4,0),"")</f>
        <v>Dr.ALEX STANLEY RAJA T</v>
      </c>
      <c r="N44" s="28" t="str">
        <f>IFNA(VLOOKUP(L44,'Faculty Details'!$B:$H,7,0),"")</f>
        <v>alexstanleyraja@bitsathy.ac.in</v>
      </c>
    </row>
    <row r="45" ht="37.5" customHeight="1">
      <c r="A45" s="25">
        <v>44.0</v>
      </c>
      <c r="B45" s="25" t="s">
        <v>27</v>
      </c>
      <c r="C45" s="25" t="s">
        <v>1612</v>
      </c>
      <c r="D45" s="25" t="s">
        <v>1620</v>
      </c>
      <c r="E45" s="32" t="s">
        <v>164</v>
      </c>
      <c r="F45" s="90" t="s">
        <v>165</v>
      </c>
      <c r="G45" s="25" t="s">
        <v>1576</v>
      </c>
      <c r="H45" s="25">
        <v>3.0</v>
      </c>
      <c r="I45" s="25">
        <v>0.0</v>
      </c>
      <c r="J45" s="25">
        <v>0.0</v>
      </c>
      <c r="K45" s="25">
        <v>3.0</v>
      </c>
      <c r="L45" s="25" t="s">
        <v>1018</v>
      </c>
      <c r="M45" s="28" t="str">
        <f>IFNA(VLOOKUP(L45,'Faculty Details'!$B:$H,4,0),"")</f>
        <v>Dr.SIVARAMAN P</v>
      </c>
      <c r="N45" s="28" t="str">
        <f>IFNA(VLOOKUP(L45,'Faculty Details'!$B:$H,7,0),"")</f>
        <v>sivaramanpsr@bitsathy.ac.in</v>
      </c>
    </row>
    <row r="46" ht="37.5" customHeight="1">
      <c r="A46" s="25">
        <v>45.0</v>
      </c>
      <c r="B46" s="25" t="s">
        <v>27</v>
      </c>
      <c r="C46" s="25" t="s">
        <v>1612</v>
      </c>
      <c r="D46" s="25" t="s">
        <v>1622</v>
      </c>
      <c r="E46" s="32" t="s">
        <v>158</v>
      </c>
      <c r="F46" s="90" t="s">
        <v>159</v>
      </c>
      <c r="G46" s="25" t="s">
        <v>1576</v>
      </c>
      <c r="H46" s="25">
        <v>3.0</v>
      </c>
      <c r="I46" s="25">
        <v>0.0</v>
      </c>
      <c r="J46" s="25">
        <v>0.0</v>
      </c>
      <c r="K46" s="25">
        <v>3.0</v>
      </c>
      <c r="L46" s="25" t="s">
        <v>1024</v>
      </c>
      <c r="M46" s="28" t="str">
        <f>IFNA(VLOOKUP(L46,'Faculty Details'!$B:$H,4,0),"")</f>
        <v>Dr.MAHESWARI K T</v>
      </c>
      <c r="N46" s="28" t="str">
        <f>IFNA(VLOOKUP(L46,'Faculty Details'!$B:$H,7,0),"")</f>
        <v>maheswarikt@bitsathy.ac.in</v>
      </c>
    </row>
    <row r="47" ht="37.5" customHeight="1">
      <c r="A47" s="25">
        <v>46.0</v>
      </c>
      <c r="B47" s="25" t="s">
        <v>27</v>
      </c>
      <c r="C47" s="25" t="s">
        <v>1612</v>
      </c>
      <c r="D47" s="25" t="s">
        <v>86</v>
      </c>
      <c r="E47" s="32" t="s">
        <v>160</v>
      </c>
      <c r="F47" s="90" t="s">
        <v>161</v>
      </c>
      <c r="G47" s="25" t="s">
        <v>1576</v>
      </c>
      <c r="H47" s="25">
        <v>3.0</v>
      </c>
      <c r="I47" s="25">
        <v>0.0</v>
      </c>
      <c r="J47" s="25">
        <v>0.0</v>
      </c>
      <c r="K47" s="25">
        <v>3.0</v>
      </c>
      <c r="L47" s="25" t="s">
        <v>988</v>
      </c>
      <c r="M47" s="28" t="str">
        <f>IFNA(VLOOKUP(L47,'Faculty Details'!$B:$H,4,0),"")</f>
        <v>Dr.SENTHIL KUMAR J</v>
      </c>
      <c r="N47" s="28" t="str">
        <f>IFNA(VLOOKUP(L47,'Faculty Details'!$B:$H,7,0),"")</f>
        <v>senthilkumarj@bitsathy.ac.in</v>
      </c>
    </row>
    <row r="48" ht="37.5" customHeight="1">
      <c r="A48" s="25">
        <v>47.0</v>
      </c>
      <c r="B48" s="25" t="s">
        <v>27</v>
      </c>
      <c r="C48" s="25" t="s">
        <v>1612</v>
      </c>
      <c r="D48" s="25" t="s">
        <v>1623</v>
      </c>
      <c r="E48" s="32" t="s">
        <v>1814</v>
      </c>
      <c r="F48" s="90" t="s">
        <v>1815</v>
      </c>
      <c r="G48" s="25" t="s">
        <v>1576</v>
      </c>
      <c r="H48" s="25">
        <v>3.0</v>
      </c>
      <c r="I48" s="25">
        <v>0.0</v>
      </c>
      <c r="J48" s="25">
        <v>0.0</v>
      </c>
      <c r="K48" s="25">
        <v>3.0</v>
      </c>
      <c r="L48" s="25" t="s">
        <v>976</v>
      </c>
      <c r="M48" s="28" t="str">
        <f>IFNA(VLOOKUP(L48,'Faculty Details'!$B:$H,4,0),"")</f>
        <v>Dr.SATHISHKUMAR S</v>
      </c>
      <c r="N48" s="28" t="str">
        <f>IFNA(VLOOKUP(L48,'Faculty Details'!$B:$H,7,0),"")</f>
        <v>sathishkumars@bitsathy.ac.in</v>
      </c>
    </row>
    <row r="49" ht="37.5" customHeight="1">
      <c r="A49" s="25">
        <v>48.0</v>
      </c>
      <c r="B49" s="25" t="s">
        <v>27</v>
      </c>
      <c r="C49" s="25" t="s">
        <v>1612</v>
      </c>
      <c r="D49" s="25" t="s">
        <v>1623</v>
      </c>
      <c r="E49" s="32" t="s">
        <v>1816</v>
      </c>
      <c r="F49" s="90" t="s">
        <v>1817</v>
      </c>
      <c r="G49" s="25" t="s">
        <v>1576</v>
      </c>
      <c r="H49" s="25">
        <v>3.0</v>
      </c>
      <c r="I49" s="25">
        <v>0.0</v>
      </c>
      <c r="J49" s="25">
        <v>0.0</v>
      </c>
      <c r="K49" s="25">
        <v>3.0</v>
      </c>
      <c r="L49" s="25" t="s">
        <v>973</v>
      </c>
      <c r="M49" s="28" t="str">
        <f>IFNA(VLOOKUP(L49,'Faculty Details'!$B:$H,4,0),"")</f>
        <v>Mr.ARUN CHENDHURAN R</v>
      </c>
      <c r="N49" s="28" t="str">
        <f>IFNA(VLOOKUP(L49,'Faculty Details'!$B:$H,7,0),"")</f>
        <v>arunchendhuran@bitsathy.ac.in</v>
      </c>
    </row>
    <row r="50" ht="37.5" customHeight="1">
      <c r="A50" s="25">
        <v>49.0</v>
      </c>
      <c r="B50" s="25" t="s">
        <v>27</v>
      </c>
      <c r="C50" s="25" t="s">
        <v>1612</v>
      </c>
      <c r="D50" s="25" t="s">
        <v>1628</v>
      </c>
      <c r="E50" s="25" t="s">
        <v>1818</v>
      </c>
      <c r="F50" s="26" t="s">
        <v>1630</v>
      </c>
      <c r="G50" s="25" t="s">
        <v>1588</v>
      </c>
      <c r="H50" s="25">
        <v>0.0</v>
      </c>
      <c r="I50" s="25">
        <v>0.0</v>
      </c>
      <c r="J50" s="25">
        <v>2.0</v>
      </c>
      <c r="K50" s="25">
        <v>1.0</v>
      </c>
      <c r="L50" s="25"/>
      <c r="M50" s="28" t="str">
        <f>IFNA(VLOOKUP(L50,'Faculty Details'!$B:$H,4,0),"")</f>
        <v/>
      </c>
      <c r="N50" s="28" t="str">
        <f>IFNA(VLOOKUP(L50,'Faculty Details'!$B:$H,7,0),"")</f>
        <v/>
      </c>
    </row>
    <row r="51" ht="37.5" customHeight="1">
      <c r="A51" s="25">
        <v>50.0</v>
      </c>
      <c r="B51" s="25" t="s">
        <v>27</v>
      </c>
      <c r="C51" s="25" t="s">
        <v>1631</v>
      </c>
      <c r="D51" s="25" t="s">
        <v>1632</v>
      </c>
      <c r="E51" s="25" t="s">
        <v>1819</v>
      </c>
      <c r="F51" s="26" t="s">
        <v>1634</v>
      </c>
      <c r="G51" s="25" t="s">
        <v>1588</v>
      </c>
      <c r="H51" s="25">
        <v>0.0</v>
      </c>
      <c r="I51" s="25">
        <v>0.0</v>
      </c>
      <c r="J51" s="25">
        <v>18.0</v>
      </c>
      <c r="K51" s="25">
        <v>9.0</v>
      </c>
      <c r="L51" s="25"/>
      <c r="M51" s="28" t="str">
        <f>IFNA(VLOOKUP(L51,'Faculty Details'!$B:$H,4,0),"")</f>
        <v/>
      </c>
      <c r="N51" s="28" t="str">
        <f>IFNA(VLOOKUP(L51,'Faculty Details'!$B:$H,7,0),"")</f>
        <v/>
      </c>
    </row>
  </sheetData>
  <conditionalFormatting sqref="L1:L51">
    <cfRule type="containsBlanks" dxfId="1" priority="1">
      <formula>LEN(TRIM(L1))=0</formula>
    </cfRule>
  </conditionalFormatting>
  <dataValidations>
    <dataValidation type="list" allowBlank="1" showErrorMessage="1" sqref="D2:D13 D43:D51">
      <formula1>"CORE,ELECTIVE 1,OPEN ELECTIVE,ELECTIVE 6,ELECTIVE 7,ELECTIVE 8,ADD COURSE,HONOURS,MINOR,ELECTIVE 3,ELECTIVE 4,ELECTIVE 5,MINI PROJECT,PROJECT"</formula1>
    </dataValidation>
    <dataValidation type="list" allowBlank="1" showErrorMessage="1" sqref="D14:D16">
      <formula1>"CORE,ELECTIVE 1,OPEN ELECTIVE,ELECTIVE 6,ELECTIVE 7,ELECTIVE 8,ELECTIVE 9,HONOURS,MINOR"</formula1>
    </dataValidation>
    <dataValidation type="list" allowBlank="1" showErrorMessage="1" sqref="C2:C51">
      <formula1>"S2,S4,S6,S8"</formula1>
    </dataValidation>
    <dataValidation type="list" allowBlank="1" showErrorMessage="1" sqref="G2:G51">
      <formula1>"THEORY,THEORY WITH LAB,LAB"</formula1>
    </dataValidation>
    <dataValidation type="list" allowBlank="1" showErrorMessage="1" sqref="D20:D42">
      <formula1>"CORE,ELECTIVE 2,OPEN ELECTIVE,ELECTIVE 6,ELECTIVE 7,ELECTIVE 8,ELECTIVE 9,HONOURS,MINOR,LAB,PROJECT,MINI PROJECT,ELECTIVE 1"</formula1>
    </dataValidation>
    <dataValidation type="list" allowBlank="1" showErrorMessage="1" sqref="D17:D19">
      <formula1>"CORE,ELECTIVE 1,OPEN ELECTIVE,ELECTIVE 6,ELECTIVE 7,ELECTIVE 8,ELECTIVE 9,HONOURS,MINOR,LANGUAGE ELECTIVE"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3" max="3" width="8.0"/>
    <col customWidth="1" min="4" max="4" width="14.25"/>
    <col customWidth="1" min="5" max="5" width="10.38"/>
    <col customWidth="1" min="6" max="6" width="23.63"/>
    <col customWidth="1" min="7" max="7" width="16.38"/>
    <col customWidth="1" min="8" max="9" width="5.0"/>
    <col customWidth="1" min="10" max="10" width="5.5"/>
    <col customWidth="1" min="11" max="11" width="5.0"/>
    <col customWidth="1" min="13" max="13" width="21.0"/>
    <col customWidth="1" min="14" max="14" width="13.25"/>
  </cols>
  <sheetData>
    <row r="1">
      <c r="A1" s="23" t="s">
        <v>1688</v>
      </c>
      <c r="B1" s="23" t="s">
        <v>1560</v>
      </c>
      <c r="C1" s="23" t="s">
        <v>1561</v>
      </c>
      <c r="D1" s="23" t="s">
        <v>1562</v>
      </c>
      <c r="E1" s="23" t="s">
        <v>1563</v>
      </c>
      <c r="F1" s="23" t="s">
        <v>1564</v>
      </c>
      <c r="G1" s="23" t="s">
        <v>1565</v>
      </c>
      <c r="H1" s="23" t="s">
        <v>1566</v>
      </c>
      <c r="I1" s="23" t="s">
        <v>1567</v>
      </c>
      <c r="J1" s="23" t="s">
        <v>1568</v>
      </c>
      <c r="K1" s="23" t="s">
        <v>1569</v>
      </c>
      <c r="L1" s="38" t="s">
        <v>1570</v>
      </c>
      <c r="M1" s="62" t="s">
        <v>257</v>
      </c>
      <c r="N1" s="23" t="s">
        <v>1571</v>
      </c>
    </row>
    <row r="2" ht="27.75" customHeight="1">
      <c r="A2" s="25">
        <f t="array" ref="A2:A14">SEQUENCE(COUNTA(B2:B14),1)</f>
        <v>1</v>
      </c>
      <c r="B2" s="25" t="s">
        <v>111</v>
      </c>
      <c r="C2" s="25" t="s">
        <v>1612</v>
      </c>
      <c r="D2" s="25" t="s">
        <v>1573</v>
      </c>
      <c r="E2" s="25" t="s">
        <v>1820</v>
      </c>
      <c r="F2" s="26" t="s">
        <v>1821</v>
      </c>
      <c r="G2" s="25" t="s">
        <v>1576</v>
      </c>
      <c r="H2" s="25">
        <v>3.0</v>
      </c>
      <c r="I2" s="25">
        <v>1.0</v>
      </c>
      <c r="J2" s="25">
        <v>0.0</v>
      </c>
      <c r="K2" s="25">
        <v>4.0</v>
      </c>
      <c r="L2" s="25" t="s">
        <v>610</v>
      </c>
      <c r="M2" s="40" t="str">
        <f>IFNA(VLOOKUP(L2,'Faculty Details'!$B:$H,4,0),"")</f>
        <v>Dr.KARTHIGA  SHENBAGAM N</v>
      </c>
      <c r="N2" s="40" t="str">
        <f>IFNA(VLOOKUP(L2,'Faculty Details'!$B:$H,7,0),"")</f>
        <v>karthigashenbagamn@bitsathy.ac.in</v>
      </c>
    </row>
    <row r="3" ht="27.75" customHeight="1">
      <c r="A3" s="25">
        <v>2.0</v>
      </c>
      <c r="B3" s="25" t="s">
        <v>111</v>
      </c>
      <c r="C3" s="25" t="s">
        <v>1612</v>
      </c>
      <c r="D3" s="25" t="s">
        <v>1573</v>
      </c>
      <c r="E3" s="25" t="s">
        <v>1822</v>
      </c>
      <c r="F3" s="26" t="s">
        <v>1823</v>
      </c>
      <c r="G3" s="25" t="s">
        <v>1576</v>
      </c>
      <c r="H3" s="25">
        <v>3.0</v>
      </c>
      <c r="I3" s="25">
        <v>1.0</v>
      </c>
      <c r="J3" s="25">
        <v>0.0</v>
      </c>
      <c r="K3" s="25">
        <v>4.0</v>
      </c>
      <c r="L3" s="25" t="s">
        <v>610</v>
      </c>
      <c r="M3" s="40" t="str">
        <f>IFNA(VLOOKUP(L3,'Faculty Details'!$B:$H,4,0),"")</f>
        <v>Dr.KARTHIGA  SHENBAGAM N</v>
      </c>
      <c r="N3" s="40" t="str">
        <f>IFNA(VLOOKUP(L3,'Faculty Details'!$B:$H,7,0),"")</f>
        <v>karthigashenbagamn@bitsathy.ac.in</v>
      </c>
    </row>
    <row r="4" ht="27.75" customHeight="1">
      <c r="A4" s="25">
        <v>3.0</v>
      </c>
      <c r="B4" s="25" t="s">
        <v>111</v>
      </c>
      <c r="C4" s="25" t="s">
        <v>1612</v>
      </c>
      <c r="D4" s="25" t="s">
        <v>1573</v>
      </c>
      <c r="E4" s="25" t="s">
        <v>1824</v>
      </c>
      <c r="F4" s="26" t="s">
        <v>1825</v>
      </c>
      <c r="G4" s="25" t="s">
        <v>1579</v>
      </c>
      <c r="H4" s="25">
        <v>3.0</v>
      </c>
      <c r="I4" s="25">
        <v>0.0</v>
      </c>
      <c r="J4" s="25">
        <v>2.0</v>
      </c>
      <c r="K4" s="25">
        <v>4.0</v>
      </c>
      <c r="L4" s="25" t="s">
        <v>616</v>
      </c>
      <c r="M4" s="40" t="str">
        <f>IFNA(VLOOKUP(L4,'Faculty Details'!$B:$H,4,0),"")</f>
        <v>Mr.RAJENDRAN M</v>
      </c>
      <c r="N4" s="40" t="str">
        <f>IFNA(VLOOKUP(L4,'Faculty Details'!$B:$H,7,0),"")</f>
        <v>rajendranm@bitsathy.ac.in</v>
      </c>
    </row>
    <row r="5" ht="27.75" customHeight="1">
      <c r="A5" s="25">
        <v>4.0</v>
      </c>
      <c r="B5" s="25" t="s">
        <v>111</v>
      </c>
      <c r="C5" s="25" t="s">
        <v>1612</v>
      </c>
      <c r="D5" s="25" t="s">
        <v>1619</v>
      </c>
      <c r="E5" s="89" t="s">
        <v>116</v>
      </c>
      <c r="F5" s="97" t="s">
        <v>117</v>
      </c>
      <c r="G5" s="25" t="s">
        <v>1576</v>
      </c>
      <c r="H5" s="25">
        <v>3.0</v>
      </c>
      <c r="I5" s="25">
        <v>0.0</v>
      </c>
      <c r="J5" s="25">
        <v>0.0</v>
      </c>
      <c r="K5" s="25">
        <v>3.0</v>
      </c>
      <c r="L5" s="25" t="s">
        <v>616</v>
      </c>
      <c r="M5" s="40" t="str">
        <f>IFNA(VLOOKUP(L5,'Faculty Details'!$B:$H,4,0),"")</f>
        <v>Mr.RAJENDRAN M</v>
      </c>
      <c r="N5" s="40" t="str">
        <f>IFNA(VLOOKUP(L5,'Faculty Details'!$B:$H,7,0),"")</f>
        <v>rajendranm@bitsathy.ac.in</v>
      </c>
    </row>
    <row r="6" ht="27.75" customHeight="1">
      <c r="A6" s="25">
        <v>5.0</v>
      </c>
      <c r="B6" s="25" t="s">
        <v>111</v>
      </c>
      <c r="C6" s="25" t="s">
        <v>1612</v>
      </c>
      <c r="D6" s="25" t="s">
        <v>1620</v>
      </c>
      <c r="E6" s="89" t="s">
        <v>118</v>
      </c>
      <c r="F6" s="97" t="s">
        <v>119</v>
      </c>
      <c r="G6" s="25" t="s">
        <v>1576</v>
      </c>
      <c r="H6" s="25">
        <v>3.0</v>
      </c>
      <c r="I6" s="25">
        <v>0.0</v>
      </c>
      <c r="J6" s="25">
        <v>0.0</v>
      </c>
      <c r="K6" s="25">
        <v>3.0</v>
      </c>
      <c r="L6" s="25" t="s">
        <v>613</v>
      </c>
      <c r="M6" s="40" t="str">
        <f>IFNA(VLOOKUP(L6,'Faculty Details'!$B:$H,4,0),"")</f>
        <v>Dr.GEETHAMANI R</v>
      </c>
      <c r="N6" s="40" t="str">
        <f>IFNA(VLOOKUP(L6,'Faculty Details'!$B:$H,7,0),"")</f>
        <v>geethamanir@bitsathy.ac.in</v>
      </c>
    </row>
    <row r="7" ht="27.75" customHeight="1">
      <c r="A7" s="25">
        <v>6.0</v>
      </c>
      <c r="B7" s="25" t="s">
        <v>111</v>
      </c>
      <c r="C7" s="25" t="s">
        <v>1612</v>
      </c>
      <c r="D7" s="25" t="s">
        <v>1621</v>
      </c>
      <c r="E7" s="89" t="s">
        <v>120</v>
      </c>
      <c r="F7" s="97" t="s">
        <v>121</v>
      </c>
      <c r="G7" s="25" t="s">
        <v>1576</v>
      </c>
      <c r="H7" s="25">
        <v>3.0</v>
      </c>
      <c r="I7" s="25">
        <v>0.0</v>
      </c>
      <c r="J7" s="25">
        <v>0.0</v>
      </c>
      <c r="K7" s="25">
        <v>3.0</v>
      </c>
      <c r="L7" s="25" t="s">
        <v>607</v>
      </c>
      <c r="M7" s="40" t="str">
        <f>IFNA(VLOOKUP(L7,'Faculty Details'!$B:$H,4,0),"")</f>
        <v>Dr.JEYANTH B</v>
      </c>
      <c r="N7" s="40" t="str">
        <f>IFNA(VLOOKUP(L7,'Faculty Details'!$B:$H,7,0),"")</f>
        <v>jeyanth@bitsathy.ac.in</v>
      </c>
    </row>
    <row r="8" ht="27.75" customHeight="1">
      <c r="A8" s="25">
        <v>7.0</v>
      </c>
      <c r="B8" s="25" t="s">
        <v>111</v>
      </c>
      <c r="C8" s="25" t="s">
        <v>1612</v>
      </c>
      <c r="D8" s="25" t="s">
        <v>1622</v>
      </c>
      <c r="E8" s="89" t="s">
        <v>112</v>
      </c>
      <c r="F8" s="97" t="s">
        <v>113</v>
      </c>
      <c r="G8" s="25" t="s">
        <v>1576</v>
      </c>
      <c r="H8" s="25">
        <v>3.0</v>
      </c>
      <c r="I8" s="25">
        <v>0.0</v>
      </c>
      <c r="J8" s="25">
        <v>0.0</v>
      </c>
      <c r="K8" s="25">
        <v>3.0</v>
      </c>
      <c r="L8" s="25" t="s">
        <v>597</v>
      </c>
      <c r="M8" s="40" t="str">
        <f>IFNA(VLOOKUP(L8,'Faculty Details'!$B:$H,4,0),"")</f>
        <v>Dr.MOHANRAJ A</v>
      </c>
      <c r="N8" s="40" t="str">
        <f>IFNA(VLOOKUP(L8,'Faculty Details'!$B:$H,7,0),"")</f>
        <v>mohanraja@bitsathy.ac.in</v>
      </c>
    </row>
    <row r="9" ht="27.75" customHeight="1">
      <c r="A9" s="25">
        <v>8.0</v>
      </c>
      <c r="B9" s="25" t="s">
        <v>111</v>
      </c>
      <c r="C9" s="25" t="s">
        <v>1612</v>
      </c>
      <c r="D9" s="25" t="s">
        <v>86</v>
      </c>
      <c r="E9" s="25" t="s">
        <v>114</v>
      </c>
      <c r="F9" s="69" t="s">
        <v>115</v>
      </c>
      <c r="G9" s="25" t="s">
        <v>1576</v>
      </c>
      <c r="H9" s="25">
        <v>3.0</v>
      </c>
      <c r="I9" s="25">
        <v>0.0</v>
      </c>
      <c r="J9" s="25">
        <v>0.0</v>
      </c>
      <c r="K9" s="25">
        <v>3.0</v>
      </c>
      <c r="L9" s="25" t="s">
        <v>604</v>
      </c>
      <c r="M9" s="40" t="str">
        <f>IFNA(VLOOKUP(L9,'Faculty Details'!$B:$H,4,0),"")</f>
        <v>Ms.ASHWATHI R</v>
      </c>
      <c r="N9" s="40" t="str">
        <f>IFNA(VLOOKUP(L9,'Faculty Details'!$B:$H,7,0),"")</f>
        <v>ashwathi@bitsathy.ac.in</v>
      </c>
    </row>
    <row r="10" ht="27.75" customHeight="1">
      <c r="A10" s="25">
        <v>9.0</v>
      </c>
      <c r="B10" s="25" t="s">
        <v>111</v>
      </c>
      <c r="C10" s="25" t="s">
        <v>1612</v>
      </c>
      <c r="D10" s="25" t="s">
        <v>86</v>
      </c>
      <c r="E10" s="25" t="s">
        <v>114</v>
      </c>
      <c r="F10" s="69" t="s">
        <v>115</v>
      </c>
      <c r="G10" s="25" t="s">
        <v>1576</v>
      </c>
      <c r="H10" s="25">
        <v>3.0</v>
      </c>
      <c r="I10" s="25">
        <v>0.0</v>
      </c>
      <c r="J10" s="25">
        <v>0.0</v>
      </c>
      <c r="K10" s="25">
        <v>3.0</v>
      </c>
      <c r="L10" s="25" t="s">
        <v>601</v>
      </c>
      <c r="M10" s="40" t="str">
        <f>IFNA(VLOOKUP(L10,'Faculty Details'!$B:$H,4,0),"")</f>
        <v>Mr.GNANASUNDAR V M</v>
      </c>
      <c r="N10" s="40" t="str">
        <f>IFNA(VLOOKUP(L10,'Faculty Details'!$B:$H,7,0),"")</f>
        <v>gnanasundar@bitsathy.ac.in</v>
      </c>
    </row>
    <row r="11" ht="27.75" customHeight="1">
      <c r="A11" s="25">
        <v>10.0</v>
      </c>
      <c r="B11" s="25" t="s">
        <v>111</v>
      </c>
      <c r="C11" s="25" t="s">
        <v>1612</v>
      </c>
      <c r="D11" s="25" t="s">
        <v>1623</v>
      </c>
      <c r="E11" s="89" t="s">
        <v>1826</v>
      </c>
      <c r="F11" s="97" t="s">
        <v>1827</v>
      </c>
      <c r="G11" s="25" t="s">
        <v>1576</v>
      </c>
      <c r="H11" s="25">
        <v>3.0</v>
      </c>
      <c r="I11" s="25">
        <v>0.0</v>
      </c>
      <c r="J11" s="25">
        <v>0.0</v>
      </c>
      <c r="K11" s="25">
        <v>3.0</v>
      </c>
      <c r="L11" s="25" t="s">
        <v>613</v>
      </c>
      <c r="M11" s="40" t="str">
        <f>IFNA(VLOOKUP(L11,'Faculty Details'!$B:$H,4,0),"")</f>
        <v>Dr.GEETHAMANI R</v>
      </c>
      <c r="N11" s="40" t="str">
        <f>IFNA(VLOOKUP(L11,'Faculty Details'!$B:$H,7,0),"")</f>
        <v>geethamanir@bitsathy.ac.in</v>
      </c>
    </row>
    <row r="12" ht="27.75" customHeight="1">
      <c r="A12" s="25">
        <v>11.0</v>
      </c>
      <c r="B12" s="25" t="s">
        <v>111</v>
      </c>
      <c r="C12" s="25" t="s">
        <v>1612</v>
      </c>
      <c r="D12" s="25" t="s">
        <v>1623</v>
      </c>
      <c r="E12" s="89" t="s">
        <v>1828</v>
      </c>
      <c r="F12" s="97" t="s">
        <v>1829</v>
      </c>
      <c r="G12" s="25" t="s">
        <v>1576</v>
      </c>
      <c r="H12" s="25">
        <v>3.0</v>
      </c>
      <c r="I12" s="25">
        <v>0.0</v>
      </c>
      <c r="J12" s="25">
        <v>0.0</v>
      </c>
      <c r="K12" s="25">
        <v>3.0</v>
      </c>
      <c r="L12" s="25" t="s">
        <v>610</v>
      </c>
      <c r="M12" s="40" t="str">
        <f>IFNA(VLOOKUP(L12,'Faculty Details'!$B:$H,4,0),"")</f>
        <v>Dr.KARTHIGA  SHENBAGAM N</v>
      </c>
      <c r="N12" s="40" t="str">
        <f>IFNA(VLOOKUP(L12,'Faculty Details'!$B:$H,7,0),"")</f>
        <v>karthigashenbagamn@bitsathy.ac.in</v>
      </c>
    </row>
    <row r="13" ht="27.75" customHeight="1">
      <c r="A13" s="25">
        <v>12.0</v>
      </c>
      <c r="B13" s="25" t="s">
        <v>111</v>
      </c>
      <c r="C13" s="25" t="s">
        <v>1612</v>
      </c>
      <c r="D13" s="25" t="s">
        <v>1573</v>
      </c>
      <c r="E13" s="25" t="s">
        <v>1830</v>
      </c>
      <c r="F13" s="26" t="s">
        <v>1630</v>
      </c>
      <c r="G13" s="25" t="s">
        <v>1588</v>
      </c>
      <c r="H13" s="25">
        <v>0.0</v>
      </c>
      <c r="I13" s="25">
        <v>0.0</v>
      </c>
      <c r="J13" s="25">
        <v>2.0</v>
      </c>
      <c r="K13" s="25">
        <v>1.0</v>
      </c>
      <c r="L13" s="98"/>
      <c r="N13" s="28"/>
    </row>
    <row r="14" ht="27.75" customHeight="1">
      <c r="A14" s="25">
        <v>13.0</v>
      </c>
      <c r="B14" s="25" t="s">
        <v>111</v>
      </c>
      <c r="C14" s="25" t="s">
        <v>1631</v>
      </c>
      <c r="D14" s="25" t="s">
        <v>1573</v>
      </c>
      <c r="E14" s="25" t="s">
        <v>1831</v>
      </c>
      <c r="F14" s="26" t="s">
        <v>1634</v>
      </c>
      <c r="G14" s="25" t="s">
        <v>1588</v>
      </c>
      <c r="H14" s="25">
        <v>0.0</v>
      </c>
      <c r="I14" s="25">
        <v>0.0</v>
      </c>
      <c r="J14" s="25">
        <v>18.0</v>
      </c>
      <c r="K14" s="25">
        <v>9.0</v>
      </c>
      <c r="L14" s="25"/>
      <c r="M14" s="40"/>
      <c r="N14" s="28"/>
    </row>
  </sheetData>
  <conditionalFormatting sqref="L2:L7 L9:L14">
    <cfRule type="containsBlanks" dxfId="1" priority="1">
      <formula>LEN(TRIM(L2))=0</formula>
    </cfRule>
  </conditionalFormatting>
  <dataValidations>
    <dataValidation type="list" allowBlank="1" showErrorMessage="1" sqref="C2:C14">
      <formula1>"S2,S4,S6,S8"</formula1>
    </dataValidation>
    <dataValidation type="list" allowBlank="1" showErrorMessage="1" sqref="G2:G14">
      <formula1>"THEORY,THEORY WITH LAB,LAB"</formula1>
    </dataValidation>
    <dataValidation type="list" allowBlank="1" showErrorMessage="1" sqref="D2:D14">
      <formula1>"CORE,ELECTIVE 1,OPEN ELECTIVE,ELECTIVE 3,ELECTIVE 4,ELECTIVE 5,ADD COURSE,HONOURS,MINOR"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8.63"/>
    <col customWidth="1" min="3" max="3" width="8.0"/>
    <col customWidth="1" min="4" max="4" width="17.0"/>
    <col customWidth="1" min="5" max="5" width="10.88"/>
    <col customWidth="1" min="6" max="6" width="36.38"/>
    <col customWidth="1" min="7" max="7" width="14.5"/>
    <col customWidth="1" min="8" max="9" width="5.0"/>
    <col customWidth="1" min="10" max="10" width="5.5"/>
    <col customWidth="1" min="11" max="11" width="5.0"/>
    <col customWidth="1" min="13" max="13" width="20.63"/>
    <col customWidth="1" min="14" max="14" width="29.63"/>
  </cols>
  <sheetData>
    <row r="1">
      <c r="A1" s="38" t="s">
        <v>1635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8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8" t="s">
        <v>257</v>
      </c>
      <c r="N1" s="38" t="s">
        <v>1571</v>
      </c>
    </row>
    <row r="2" ht="35.25" customHeight="1">
      <c r="A2" s="29">
        <f t="array" ref="A2:A11">SEQUENCE(COUNTA(B2:B11),1)</f>
        <v>1</v>
      </c>
      <c r="B2" s="29" t="s">
        <v>209</v>
      </c>
      <c r="C2" s="29" t="s">
        <v>1612</v>
      </c>
      <c r="D2" s="29" t="s">
        <v>1573</v>
      </c>
      <c r="E2" s="29" t="s">
        <v>1832</v>
      </c>
      <c r="F2" s="26" t="s">
        <v>1833</v>
      </c>
      <c r="G2" s="29" t="s">
        <v>1576</v>
      </c>
      <c r="H2" s="29">
        <v>3.0</v>
      </c>
      <c r="I2" s="29">
        <v>0.0</v>
      </c>
      <c r="J2" s="29">
        <v>0.0</v>
      </c>
      <c r="K2" s="29">
        <v>3.0</v>
      </c>
      <c r="L2" s="29" t="s">
        <v>587</v>
      </c>
      <c r="M2" s="30" t="str">
        <f>IFNA(VLOOKUP(L2,'Faculty Details'!$B:$H,4,0),"")</f>
        <v>Ms.MADHUMATHI S</v>
      </c>
      <c r="N2" s="30" t="str">
        <f>IFNA(VLOOKUP(L2,'Faculty Details'!$B:$H,7,0),"")</f>
        <v>madhumathis@bitsathy.ac.in</v>
      </c>
    </row>
    <row r="3" ht="35.25" customHeight="1">
      <c r="A3" s="29">
        <v>2.0</v>
      </c>
      <c r="B3" s="29" t="s">
        <v>209</v>
      </c>
      <c r="C3" s="29" t="s">
        <v>1612</v>
      </c>
      <c r="D3" s="29" t="s">
        <v>1573</v>
      </c>
      <c r="E3" s="29" t="s">
        <v>1834</v>
      </c>
      <c r="F3" s="26" t="s">
        <v>1835</v>
      </c>
      <c r="G3" s="29" t="s">
        <v>1576</v>
      </c>
      <c r="H3" s="29">
        <v>3.0</v>
      </c>
      <c r="I3" s="29">
        <v>0.0</v>
      </c>
      <c r="J3" s="29">
        <v>0.0</v>
      </c>
      <c r="K3" s="29">
        <v>3.0</v>
      </c>
      <c r="L3" s="99" t="s">
        <v>820</v>
      </c>
      <c r="M3" s="30" t="str">
        <f>IFNA(VLOOKUP(L3,'Faculty Details'!$B:$H,4,0),"")</f>
        <v>Ms.NITHYA M</v>
      </c>
      <c r="N3" s="30" t="str">
        <f>IFNA(VLOOKUP(L3,'Faculty Details'!$B:$H,7,0),"")</f>
        <v>nithyam@bitsathy.ac.in</v>
      </c>
    </row>
    <row r="4" ht="35.25" customHeight="1">
      <c r="A4" s="29">
        <v>3.0</v>
      </c>
      <c r="B4" s="29" t="s">
        <v>209</v>
      </c>
      <c r="C4" s="29" t="s">
        <v>1612</v>
      </c>
      <c r="D4" s="29" t="s">
        <v>1573</v>
      </c>
      <c r="E4" s="29" t="s">
        <v>1836</v>
      </c>
      <c r="F4" s="26" t="s">
        <v>1837</v>
      </c>
      <c r="G4" s="29" t="s">
        <v>1576</v>
      </c>
      <c r="H4" s="29">
        <v>3.0</v>
      </c>
      <c r="I4" s="29">
        <v>1.0</v>
      </c>
      <c r="J4" s="29">
        <v>0.0</v>
      </c>
      <c r="K4" s="29">
        <v>4.0</v>
      </c>
      <c r="L4" s="83" t="s">
        <v>756</v>
      </c>
      <c r="M4" s="30" t="str">
        <f>IFNA(VLOOKUP(L4,'Faculty Details'!$B:$H,4,0),"")</f>
        <v>Mrs.GAYATHRI S</v>
      </c>
      <c r="N4" s="30" t="str">
        <f>IFNA(VLOOKUP(L4,'Faculty Details'!$B:$H,7,0),"")</f>
        <v>gayathris@bitsathy.ac.in</v>
      </c>
    </row>
    <row r="5" ht="35.25" customHeight="1">
      <c r="A5" s="29">
        <v>4.0</v>
      </c>
      <c r="B5" s="29" t="s">
        <v>209</v>
      </c>
      <c r="C5" s="29" t="s">
        <v>1612</v>
      </c>
      <c r="D5" s="29" t="s">
        <v>1619</v>
      </c>
      <c r="E5" s="29" t="s">
        <v>212</v>
      </c>
      <c r="F5" s="26" t="s">
        <v>155</v>
      </c>
      <c r="G5" s="29" t="s">
        <v>1576</v>
      </c>
      <c r="H5" s="29">
        <v>3.0</v>
      </c>
      <c r="I5" s="29">
        <v>0.0</v>
      </c>
      <c r="J5" s="29">
        <v>0.0</v>
      </c>
      <c r="K5" s="29">
        <v>3.0</v>
      </c>
      <c r="L5" s="83" t="s">
        <v>792</v>
      </c>
      <c r="M5" s="30" t="str">
        <f>IFNA(VLOOKUP(L5,'Faculty Details'!$B:$H,4,0),"")</f>
        <v>Mr.JACKSON J</v>
      </c>
      <c r="N5" s="30" t="str">
        <f>IFNA(VLOOKUP(L5,'Faculty Details'!$B:$H,7,0),"")</f>
        <v>jacksonj@bitsathy.ac.in</v>
      </c>
    </row>
    <row r="6" ht="35.25" customHeight="1">
      <c r="A6" s="29">
        <v>5.0</v>
      </c>
      <c r="B6" s="29" t="s">
        <v>209</v>
      </c>
      <c r="C6" s="29" t="s">
        <v>1612</v>
      </c>
      <c r="D6" s="29" t="s">
        <v>1620</v>
      </c>
      <c r="E6" s="29" t="s">
        <v>213</v>
      </c>
      <c r="F6" s="26" t="s">
        <v>214</v>
      </c>
      <c r="G6" s="29" t="s">
        <v>1576</v>
      </c>
      <c r="H6" s="29">
        <v>3.0</v>
      </c>
      <c r="I6" s="29">
        <v>0.0</v>
      </c>
      <c r="J6" s="29">
        <v>0.0</v>
      </c>
      <c r="K6" s="29">
        <v>3.0</v>
      </c>
      <c r="L6" s="29" t="s">
        <v>720</v>
      </c>
      <c r="M6" s="30" t="str">
        <f>IFNA(VLOOKUP(L6,'Faculty Details'!$B:$H,4,0),"")</f>
        <v>Mrs.KALAIVANI E</v>
      </c>
      <c r="N6" s="30" t="str">
        <f>IFNA(VLOOKUP(L6,'Faculty Details'!$B:$H,7,0),"")</f>
        <v>kalaivanie@bitsathy.ac.in</v>
      </c>
    </row>
    <row r="7" ht="35.25" customHeight="1">
      <c r="A7" s="29">
        <v>6.0</v>
      </c>
      <c r="B7" s="29" t="s">
        <v>209</v>
      </c>
      <c r="C7" s="29" t="s">
        <v>1612</v>
      </c>
      <c r="D7" s="29" t="s">
        <v>1621</v>
      </c>
      <c r="E7" s="29" t="s">
        <v>215</v>
      </c>
      <c r="F7" s="26" t="s">
        <v>82</v>
      </c>
      <c r="G7" s="29" t="s">
        <v>1576</v>
      </c>
      <c r="H7" s="29">
        <v>3.0</v>
      </c>
      <c r="I7" s="29">
        <v>0.0</v>
      </c>
      <c r="J7" s="29">
        <v>0.0</v>
      </c>
      <c r="K7" s="29">
        <v>3.0</v>
      </c>
      <c r="L7" s="29" t="s">
        <v>285</v>
      </c>
      <c r="M7" s="30" t="str">
        <f>IFNA(VLOOKUP(L7,'Faculty Details'!$B:$H,4,0),"")</f>
        <v>Mrs.NITHYAPRIYA S</v>
      </c>
      <c r="N7" s="30" t="str">
        <f>IFNA(VLOOKUP(L7,'Faculty Details'!$B:$H,7,0),"")</f>
        <v>nithyapriyas@bitsathy.ac.in</v>
      </c>
    </row>
    <row r="8" ht="35.25" customHeight="1">
      <c r="A8" s="29">
        <v>7.0</v>
      </c>
      <c r="B8" s="29" t="s">
        <v>209</v>
      </c>
      <c r="C8" s="29" t="s">
        <v>1612</v>
      </c>
      <c r="D8" s="29" t="s">
        <v>1622</v>
      </c>
      <c r="E8" s="29" t="s">
        <v>210</v>
      </c>
      <c r="F8" s="26" t="s">
        <v>211</v>
      </c>
      <c r="G8" s="29" t="s">
        <v>1576</v>
      </c>
      <c r="H8" s="29">
        <v>3.0</v>
      </c>
      <c r="I8" s="29">
        <v>0.0</v>
      </c>
      <c r="J8" s="29">
        <v>0.0</v>
      </c>
      <c r="K8" s="29">
        <v>3.0</v>
      </c>
      <c r="L8" s="83" t="s">
        <v>1144</v>
      </c>
      <c r="M8" s="30" t="str">
        <f>IFNA(VLOOKUP(L8,'Faculty Details'!$B:$H,4,0),"")</f>
        <v>Mr.PANDIYAN M</v>
      </c>
      <c r="N8" s="30" t="str">
        <f>IFNA(VLOOKUP(L8,'Faculty Details'!$B:$H,7,0),"")</f>
        <v>pandiyanm@bitsathy.ac.in</v>
      </c>
    </row>
    <row r="9" ht="35.25" customHeight="1">
      <c r="A9" s="29">
        <v>8.0</v>
      </c>
      <c r="B9" s="29" t="s">
        <v>209</v>
      </c>
      <c r="C9" s="29" t="s">
        <v>1612</v>
      </c>
      <c r="D9" s="29" t="s">
        <v>1623</v>
      </c>
      <c r="E9" s="29" t="s">
        <v>1838</v>
      </c>
      <c r="F9" s="26" t="s">
        <v>1839</v>
      </c>
      <c r="G9" s="29" t="s">
        <v>1576</v>
      </c>
      <c r="H9" s="29">
        <v>3.0</v>
      </c>
      <c r="I9" s="29">
        <v>0.0</v>
      </c>
      <c r="J9" s="29">
        <v>0.0</v>
      </c>
      <c r="K9" s="29">
        <v>3.0</v>
      </c>
      <c r="L9" s="83" t="s">
        <v>1153</v>
      </c>
      <c r="M9" s="30" t="str">
        <f>IFNA(VLOOKUP(L9,'Faculty Details'!$B:$H,4,0),"")</f>
        <v>Dr.ANANDAKUMAR K</v>
      </c>
      <c r="N9" s="30" t="str">
        <f>IFNA(VLOOKUP(L9,'Faculty Details'!$B:$H,7,0),"")</f>
        <v>anandakumark@bitsathy.ac.in</v>
      </c>
    </row>
    <row r="10" ht="35.25" customHeight="1">
      <c r="A10" s="29">
        <v>9.0</v>
      </c>
      <c r="B10" s="29" t="s">
        <v>209</v>
      </c>
      <c r="C10" s="29" t="s">
        <v>1612</v>
      </c>
      <c r="D10" s="29" t="s">
        <v>1628</v>
      </c>
      <c r="E10" s="29" t="s">
        <v>1840</v>
      </c>
      <c r="F10" s="26" t="s">
        <v>1630</v>
      </c>
      <c r="G10" s="29" t="s">
        <v>1588</v>
      </c>
      <c r="H10" s="29">
        <v>0.0</v>
      </c>
      <c r="I10" s="29">
        <v>0.0</v>
      </c>
      <c r="J10" s="29">
        <v>2.0</v>
      </c>
      <c r="K10" s="29">
        <v>1.0</v>
      </c>
      <c r="L10" s="29"/>
      <c r="M10" s="30" t="str">
        <f>IFNA(VLOOKUP(L10,'Faculty Details'!$B:$H,4,0),"")</f>
        <v/>
      </c>
      <c r="N10" s="30" t="str">
        <f>IFNA(VLOOKUP(L10,'Faculty Details'!$B:$H,7,0),"")</f>
        <v/>
      </c>
    </row>
    <row r="11" ht="35.25" customHeight="1">
      <c r="A11" s="29">
        <v>10.0</v>
      </c>
      <c r="B11" s="29" t="s">
        <v>209</v>
      </c>
      <c r="C11" s="29" t="s">
        <v>1631</v>
      </c>
      <c r="D11" s="29" t="s">
        <v>1573</v>
      </c>
      <c r="E11" s="29" t="s">
        <v>1841</v>
      </c>
      <c r="F11" s="26" t="s">
        <v>1634</v>
      </c>
      <c r="G11" s="29" t="s">
        <v>1588</v>
      </c>
      <c r="H11" s="29">
        <v>0.0</v>
      </c>
      <c r="I11" s="29">
        <v>0.0</v>
      </c>
      <c r="J11" s="29">
        <v>18.0</v>
      </c>
      <c r="K11" s="29">
        <v>9.0</v>
      </c>
      <c r="L11" s="29"/>
      <c r="M11" s="30" t="str">
        <f>IFNA(VLOOKUP(L11,'Faculty Details'!$B:$H,4,0),"")</f>
        <v/>
      </c>
      <c r="N11" s="30" t="str">
        <f>IFNA(VLOOKUP(L11,'Faculty Details'!$B:$H,7,0),"")</f>
        <v/>
      </c>
    </row>
  </sheetData>
  <conditionalFormatting sqref="L2:L11">
    <cfRule type="containsBlanks" dxfId="1" priority="1">
      <formula>LEN(TRIM(L2))=0</formula>
    </cfRule>
  </conditionalFormatting>
  <dataValidations>
    <dataValidation type="list" allowBlank="1" showErrorMessage="1" sqref="C2:C11">
      <formula1>"S2,S4,S6,S8"</formula1>
    </dataValidation>
    <dataValidation type="list" allowBlank="1" showErrorMessage="1" sqref="G2:G11">
      <formula1>"THEORY,THEORY WITH LAB,LAB"</formula1>
    </dataValidation>
    <dataValidation type="list" allowBlank="1" showErrorMessage="1" sqref="D2:D11">
      <formula1>"CORE,ELECTIVE 1,OPEN ELECTIVE,ADD COURSE,HONOURS,MINOR,MINI PROJECT,ELECTIVE 3,ELECTIVE 4,ELECTIVE 5"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.25"/>
    <col customWidth="1" min="3" max="3" width="8.0"/>
    <col customWidth="1" min="4" max="4" width="13.88"/>
    <col customWidth="1" min="5" max="5" width="10.38"/>
    <col customWidth="1" min="6" max="6" width="29.38"/>
    <col customWidth="1" min="7" max="7" width="16.0"/>
    <col customWidth="1" min="8" max="9" width="5.0"/>
    <col customWidth="1" min="10" max="10" width="5.5"/>
    <col customWidth="1" min="11" max="11" width="5.0"/>
    <col customWidth="1" min="13" max="13" width="25.88"/>
    <col customWidth="1" min="14" max="15" width="13.0"/>
  </cols>
  <sheetData>
    <row r="1">
      <c r="A1" s="38" t="s">
        <v>1635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8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8" t="s">
        <v>257</v>
      </c>
      <c r="N1" s="38" t="s">
        <v>1571</v>
      </c>
      <c r="O1" s="100"/>
    </row>
    <row r="2" ht="39.75" customHeight="1">
      <c r="A2" s="29">
        <f t="array" ref="A2:A106">SEQUENCE(COUNTA(B2:B106),1)</f>
        <v>1</v>
      </c>
      <c r="B2" s="29" t="s">
        <v>32</v>
      </c>
      <c r="C2" s="29" t="s">
        <v>1572</v>
      </c>
      <c r="D2" s="29" t="s">
        <v>1573</v>
      </c>
      <c r="E2" s="29" t="s">
        <v>1574</v>
      </c>
      <c r="F2" s="26" t="s">
        <v>1575</v>
      </c>
      <c r="G2" s="29" t="s">
        <v>1576</v>
      </c>
      <c r="H2" s="29">
        <v>3.0</v>
      </c>
      <c r="I2" s="29">
        <v>1.0</v>
      </c>
      <c r="J2" s="29">
        <v>0.0</v>
      </c>
      <c r="K2" s="29">
        <v>4.0</v>
      </c>
      <c r="L2" s="29" t="s">
        <v>1308</v>
      </c>
      <c r="M2" s="30" t="str">
        <f>IFNA(VLOOKUP(L2,'Faculty Details'!$B:$H,4,0),"")</f>
        <v>Dr.PRABHAVATHI K</v>
      </c>
      <c r="N2" s="30" t="str">
        <f>IFNA(VLOOKUP(L2,'Faculty Details'!$B:$H,7,0),"")</f>
        <v>prabhavathik@bitsathy.ac.in</v>
      </c>
      <c r="O2" s="101"/>
    </row>
    <row r="3" ht="39.75" customHeight="1">
      <c r="A3" s="29">
        <v>2.0</v>
      </c>
      <c r="B3" s="29" t="s">
        <v>32</v>
      </c>
      <c r="C3" s="29" t="s">
        <v>1572</v>
      </c>
      <c r="D3" s="29" t="s">
        <v>1573</v>
      </c>
      <c r="E3" s="29" t="s">
        <v>1574</v>
      </c>
      <c r="F3" s="26" t="s">
        <v>1575</v>
      </c>
      <c r="G3" s="29" t="s">
        <v>1576</v>
      </c>
      <c r="H3" s="29">
        <v>3.0</v>
      </c>
      <c r="I3" s="29">
        <v>1.0</v>
      </c>
      <c r="J3" s="29">
        <v>0.0</v>
      </c>
      <c r="K3" s="29">
        <v>4.0</v>
      </c>
      <c r="L3" s="29" t="s">
        <v>1317</v>
      </c>
      <c r="M3" s="30" t="str">
        <f>IFNA(VLOOKUP(L3,'Faculty Details'!$B:$H,4,0),"")</f>
        <v>Dr.PRAKASH K</v>
      </c>
      <c r="N3" s="30" t="str">
        <f>IFNA(VLOOKUP(L3,'Faculty Details'!$B:$H,7,0),"")</f>
        <v>prakashk@bitsathy.ac.in</v>
      </c>
      <c r="O3" s="101"/>
    </row>
    <row r="4" ht="39.75" customHeight="1">
      <c r="A4" s="29">
        <v>3.0</v>
      </c>
      <c r="B4" s="29" t="s">
        <v>32</v>
      </c>
      <c r="C4" s="29" t="s">
        <v>1572</v>
      </c>
      <c r="D4" s="29" t="s">
        <v>1573</v>
      </c>
      <c r="E4" s="29" t="s">
        <v>1574</v>
      </c>
      <c r="F4" s="26" t="s">
        <v>1575</v>
      </c>
      <c r="G4" s="29" t="s">
        <v>1576</v>
      </c>
      <c r="H4" s="29">
        <v>3.0</v>
      </c>
      <c r="I4" s="29">
        <v>1.0</v>
      </c>
      <c r="J4" s="29">
        <v>0.0</v>
      </c>
      <c r="K4" s="29">
        <v>4.0</v>
      </c>
      <c r="L4" s="29" t="s">
        <v>1323</v>
      </c>
      <c r="M4" s="30" t="str">
        <f>IFNA(VLOOKUP(L4,'Faculty Details'!$B:$H,4,0),"")</f>
        <v>Dr.UMAMAGESWARI D</v>
      </c>
      <c r="N4" s="30" t="str">
        <f>IFNA(VLOOKUP(L4,'Faculty Details'!$B:$H,7,0),"")</f>
        <v>umamageswarid@bitsathy.ac.in</v>
      </c>
      <c r="O4" s="101"/>
    </row>
    <row r="5" ht="39.75" customHeight="1">
      <c r="A5" s="29">
        <v>4.0</v>
      </c>
      <c r="B5" s="29" t="s">
        <v>32</v>
      </c>
      <c r="C5" s="29" t="s">
        <v>1572</v>
      </c>
      <c r="D5" s="29" t="s">
        <v>1573</v>
      </c>
      <c r="E5" s="29" t="s">
        <v>1574</v>
      </c>
      <c r="F5" s="26" t="s">
        <v>1575</v>
      </c>
      <c r="G5" s="29" t="s">
        <v>1576</v>
      </c>
      <c r="H5" s="29">
        <v>3.0</v>
      </c>
      <c r="I5" s="29">
        <v>1.0</v>
      </c>
      <c r="J5" s="29">
        <v>0.0</v>
      </c>
      <c r="K5" s="29">
        <v>4.0</v>
      </c>
      <c r="L5" s="29" t="s">
        <v>1262</v>
      </c>
      <c r="M5" s="30" t="str">
        <f>IFNA(VLOOKUP(L5,'Faculty Details'!$B:$H,4,0),"")</f>
        <v>Mrs.PREETHA R</v>
      </c>
      <c r="N5" s="30" t="str">
        <f>IFNA(VLOOKUP(L5,'Faculty Details'!$B:$H,7,0),"")</f>
        <v>preetha@bitsathy.ac.in</v>
      </c>
      <c r="O5" s="101"/>
    </row>
    <row r="6" ht="39.75" customHeight="1">
      <c r="A6" s="29">
        <v>5.0</v>
      </c>
      <c r="B6" s="29" t="s">
        <v>32</v>
      </c>
      <c r="C6" s="29" t="s">
        <v>1572</v>
      </c>
      <c r="D6" s="29" t="s">
        <v>1573</v>
      </c>
      <c r="E6" s="29" t="s">
        <v>1577</v>
      </c>
      <c r="F6" s="26" t="s">
        <v>1578</v>
      </c>
      <c r="G6" s="29" t="s">
        <v>1579</v>
      </c>
      <c r="H6" s="29">
        <v>2.0</v>
      </c>
      <c r="I6" s="29">
        <v>0.0</v>
      </c>
      <c r="J6" s="29">
        <v>2.0</v>
      </c>
      <c r="K6" s="29">
        <v>3.0</v>
      </c>
      <c r="L6" s="63" t="s">
        <v>1475</v>
      </c>
      <c r="M6" s="30" t="str">
        <f>IFNA(VLOOKUP(L6,'Faculty Details'!$B:$H,4,0),"")</f>
        <v>Dr.SADASIVAM K</v>
      </c>
      <c r="N6" s="30" t="str">
        <f>IFNA(VLOOKUP(L6,'Faculty Details'!$B:$H,7,0),"")</f>
        <v>sadasivamk@bitsathy.ac.in</v>
      </c>
      <c r="O6" s="101"/>
    </row>
    <row r="7" ht="39.75" customHeight="1">
      <c r="A7" s="29">
        <v>6.0</v>
      </c>
      <c r="B7" s="29" t="s">
        <v>32</v>
      </c>
      <c r="C7" s="29" t="s">
        <v>1572</v>
      </c>
      <c r="D7" s="29" t="s">
        <v>1573</v>
      </c>
      <c r="E7" s="29" t="s">
        <v>1577</v>
      </c>
      <c r="F7" s="26" t="s">
        <v>1578</v>
      </c>
      <c r="G7" s="29" t="s">
        <v>1579</v>
      </c>
      <c r="H7" s="29">
        <v>2.0</v>
      </c>
      <c r="I7" s="29">
        <v>0.0</v>
      </c>
      <c r="J7" s="29">
        <v>2.0</v>
      </c>
      <c r="K7" s="29">
        <v>3.0</v>
      </c>
      <c r="L7" s="1" t="s">
        <v>1481</v>
      </c>
      <c r="M7" s="30" t="str">
        <f>IFNA(VLOOKUP(L7,'Faculty Details'!$B:$H,4,0),"")</f>
        <v>Dr.SUNDARAM S</v>
      </c>
      <c r="N7" s="30" t="str">
        <f>IFNA(VLOOKUP(L7,'Faculty Details'!$B:$H,7,0),"")</f>
        <v>sundarams@bitsathy.ac.in</v>
      </c>
      <c r="O7" s="101"/>
    </row>
    <row r="8" ht="39.75" customHeight="1">
      <c r="A8" s="29">
        <v>7.0</v>
      </c>
      <c r="B8" s="29" t="s">
        <v>32</v>
      </c>
      <c r="C8" s="29" t="s">
        <v>1572</v>
      </c>
      <c r="D8" s="29" t="s">
        <v>1573</v>
      </c>
      <c r="E8" s="29" t="s">
        <v>1577</v>
      </c>
      <c r="F8" s="26" t="s">
        <v>1578</v>
      </c>
      <c r="G8" s="29" t="s">
        <v>1579</v>
      </c>
      <c r="H8" s="29">
        <v>2.0</v>
      </c>
      <c r="I8" s="29">
        <v>0.0</v>
      </c>
      <c r="J8" s="29">
        <v>2.0</v>
      </c>
      <c r="K8" s="29">
        <v>3.0</v>
      </c>
      <c r="L8" s="1" t="s">
        <v>1508</v>
      </c>
      <c r="M8" s="30" t="str">
        <f>IFNA(VLOOKUP(L8,'Faculty Details'!$B:$H,4,0),"")</f>
        <v>Dr.ROHINI P</v>
      </c>
      <c r="N8" s="30" t="str">
        <f>IFNA(VLOOKUP(L8,'Faculty Details'!$B:$H,7,0),"")</f>
        <v>rohinip@bitsathy.ac.in</v>
      </c>
      <c r="O8" s="101"/>
    </row>
    <row r="9" ht="39.75" customHeight="1">
      <c r="A9" s="29">
        <v>8.0</v>
      </c>
      <c r="B9" s="29" t="s">
        <v>32</v>
      </c>
      <c r="C9" s="29" t="s">
        <v>1572</v>
      </c>
      <c r="D9" s="29" t="s">
        <v>1573</v>
      </c>
      <c r="E9" s="29" t="s">
        <v>1577</v>
      </c>
      <c r="F9" s="26" t="s">
        <v>1578</v>
      </c>
      <c r="G9" s="29" t="s">
        <v>1579</v>
      </c>
      <c r="H9" s="29">
        <v>2.0</v>
      </c>
      <c r="I9" s="29">
        <v>0.0</v>
      </c>
      <c r="J9" s="29">
        <v>2.0</v>
      </c>
      <c r="K9" s="29">
        <v>3.0</v>
      </c>
      <c r="L9" s="1" t="s">
        <v>1462</v>
      </c>
      <c r="M9" s="30" t="str">
        <f>IFNA(VLOOKUP(L9,'Faculty Details'!$B:$H,4,0),"")</f>
        <v>Dr.PARASURAMAN P</v>
      </c>
      <c r="N9" s="30" t="str">
        <f>IFNA(VLOOKUP(L9,'Faculty Details'!$B:$H,7,0),"")</f>
        <v>parasuraman@bitsathy.ac.in</v>
      </c>
      <c r="O9" s="101"/>
    </row>
    <row r="10" ht="39.75" customHeight="1">
      <c r="A10" s="29">
        <v>9.0</v>
      </c>
      <c r="B10" s="29" t="s">
        <v>32</v>
      </c>
      <c r="C10" s="29" t="s">
        <v>1572</v>
      </c>
      <c r="D10" s="29" t="s">
        <v>1573</v>
      </c>
      <c r="E10" s="29" t="s">
        <v>1580</v>
      </c>
      <c r="F10" s="26" t="s">
        <v>1581</v>
      </c>
      <c r="G10" s="29" t="s">
        <v>1579</v>
      </c>
      <c r="H10" s="29">
        <v>2.0</v>
      </c>
      <c r="I10" s="29">
        <v>0.0</v>
      </c>
      <c r="J10" s="29">
        <v>2.0</v>
      </c>
      <c r="K10" s="29">
        <v>3.0</v>
      </c>
      <c r="L10" s="29" t="s">
        <v>650</v>
      </c>
      <c r="M10" s="30" t="str">
        <f>IFNA(VLOOKUP(L10,'Faculty Details'!$B:$H,4,0),"")</f>
        <v>Dr.SUBHAPRIYA P</v>
      </c>
      <c r="N10" s="30" t="str">
        <f>IFNA(VLOOKUP(L10,'Faculty Details'!$B:$H,7,0),"")</f>
        <v>subhapriyap@bitsathy.ac.in</v>
      </c>
      <c r="O10" s="101"/>
    </row>
    <row r="11" ht="39.75" customHeight="1">
      <c r="A11" s="29">
        <v>10.0</v>
      </c>
      <c r="B11" s="29" t="s">
        <v>32</v>
      </c>
      <c r="C11" s="29" t="s">
        <v>1572</v>
      </c>
      <c r="D11" s="29" t="s">
        <v>1573</v>
      </c>
      <c r="E11" s="29" t="s">
        <v>1580</v>
      </c>
      <c r="F11" s="26" t="s">
        <v>1581</v>
      </c>
      <c r="G11" s="29" t="s">
        <v>1579</v>
      </c>
      <c r="H11" s="29">
        <v>2.0</v>
      </c>
      <c r="I11" s="29">
        <v>0.0</v>
      </c>
      <c r="J11" s="29">
        <v>2.0</v>
      </c>
      <c r="K11" s="29">
        <v>3.0</v>
      </c>
      <c r="L11" s="29" t="s">
        <v>626</v>
      </c>
      <c r="M11" s="30" t="str">
        <f>IFNA(VLOOKUP(L11,'Faculty Details'!$B:$H,4,0),"")</f>
        <v>Dr.VISWANATHAN G</v>
      </c>
      <c r="N11" s="30" t="str">
        <f>IFNA(VLOOKUP(L11,'Faculty Details'!$B:$H,7,0),"")</f>
        <v>viswanathan@bitsathy.ac.in</v>
      </c>
      <c r="O11" s="101"/>
    </row>
    <row r="12" ht="39.75" customHeight="1">
      <c r="A12" s="29">
        <v>11.0</v>
      </c>
      <c r="B12" s="29" t="s">
        <v>32</v>
      </c>
      <c r="C12" s="29" t="s">
        <v>1572</v>
      </c>
      <c r="D12" s="29" t="s">
        <v>1573</v>
      </c>
      <c r="E12" s="29" t="s">
        <v>1580</v>
      </c>
      <c r="F12" s="26" t="s">
        <v>1581</v>
      </c>
      <c r="G12" s="29" t="s">
        <v>1579</v>
      </c>
      <c r="H12" s="29">
        <v>2.0</v>
      </c>
      <c r="I12" s="29">
        <v>0.0</v>
      </c>
      <c r="J12" s="29">
        <v>2.0</v>
      </c>
      <c r="K12" s="29">
        <v>3.0</v>
      </c>
      <c r="L12" s="29" t="s">
        <v>656</v>
      </c>
      <c r="M12" s="30" t="str">
        <f>IFNA(VLOOKUP(L12,'Faculty Details'!$B:$H,4,0),"")</f>
        <v>Dr.PRAVEENA R</v>
      </c>
      <c r="N12" s="30" t="str">
        <f>IFNA(VLOOKUP(L12,'Faculty Details'!$B:$H,7,0),"")</f>
        <v>praveenar@bitsathy.ac.in</v>
      </c>
      <c r="O12" s="101"/>
    </row>
    <row r="13" ht="39.75" customHeight="1">
      <c r="A13" s="29">
        <v>12.0</v>
      </c>
      <c r="B13" s="29" t="s">
        <v>32</v>
      </c>
      <c r="C13" s="29" t="s">
        <v>1572</v>
      </c>
      <c r="D13" s="29" t="s">
        <v>1573</v>
      </c>
      <c r="E13" s="29" t="s">
        <v>1580</v>
      </c>
      <c r="F13" s="26" t="s">
        <v>1581</v>
      </c>
      <c r="G13" s="29" t="s">
        <v>1579</v>
      </c>
      <c r="H13" s="29">
        <v>2.0</v>
      </c>
      <c r="I13" s="29">
        <v>0.0</v>
      </c>
      <c r="J13" s="29">
        <v>2.0</v>
      </c>
      <c r="K13" s="29">
        <v>3.0</v>
      </c>
      <c r="L13" s="29" t="s">
        <v>623</v>
      </c>
      <c r="M13" s="30" t="str">
        <f>IFNA(VLOOKUP(L13,'Faculty Details'!$B:$H,4,0),"")</f>
        <v>Dr.MUTHUKUMAR P</v>
      </c>
      <c r="N13" s="30" t="str">
        <f>IFNA(VLOOKUP(L13,'Faculty Details'!$B:$H,7,0),"")</f>
        <v>muthukumar@bitsathy.ac.in</v>
      </c>
      <c r="O13" s="101"/>
    </row>
    <row r="14" ht="39.75" customHeight="1">
      <c r="A14" s="29">
        <v>13.0</v>
      </c>
      <c r="B14" s="29" t="s">
        <v>32</v>
      </c>
      <c r="C14" s="29" t="s">
        <v>1572</v>
      </c>
      <c r="D14" s="29" t="s">
        <v>1573</v>
      </c>
      <c r="E14" s="29" t="s">
        <v>1582</v>
      </c>
      <c r="F14" s="26" t="s">
        <v>1583</v>
      </c>
      <c r="G14" s="29" t="s">
        <v>1576</v>
      </c>
      <c r="H14" s="29">
        <v>3.0</v>
      </c>
      <c r="I14" s="29">
        <v>0.0</v>
      </c>
      <c r="J14" s="29">
        <v>0.0</v>
      </c>
      <c r="K14" s="29">
        <v>3.0</v>
      </c>
      <c r="L14" s="102" t="s">
        <v>753</v>
      </c>
      <c r="M14" s="30" t="str">
        <f>IFNA(VLOOKUP(L14,'Faculty Details'!$B:$H,4,0),"")</f>
        <v>Mrs.GUNAVARDINI V</v>
      </c>
      <c r="N14" s="30" t="str">
        <f>IFNA(VLOOKUP(L14,'Faculty Details'!$B:$H,7,0),"")</f>
        <v>gunavardini@bitsathy.ac.in</v>
      </c>
      <c r="O14" s="101"/>
    </row>
    <row r="15" ht="39.75" customHeight="1">
      <c r="A15" s="29">
        <v>14.0</v>
      </c>
      <c r="B15" s="29" t="s">
        <v>32</v>
      </c>
      <c r="C15" s="29" t="s">
        <v>1572</v>
      </c>
      <c r="D15" s="29" t="s">
        <v>1573</v>
      </c>
      <c r="E15" s="29" t="s">
        <v>1582</v>
      </c>
      <c r="F15" s="26" t="s">
        <v>1583</v>
      </c>
      <c r="G15" s="29" t="s">
        <v>1576</v>
      </c>
      <c r="H15" s="29">
        <v>3.0</v>
      </c>
      <c r="I15" s="29">
        <v>0.0</v>
      </c>
      <c r="J15" s="29">
        <v>0.0</v>
      </c>
      <c r="K15" s="29">
        <v>3.0</v>
      </c>
      <c r="L15" s="29" t="s">
        <v>708</v>
      </c>
      <c r="M15" s="30" t="str">
        <f>IFNA(VLOOKUP(L15,'Faculty Details'!$B:$H,4,0),"")</f>
        <v>Ms.KIRUTHIKA V R</v>
      </c>
      <c r="N15" s="30" t="str">
        <f>IFNA(VLOOKUP(L15,'Faculty Details'!$B:$H,7,0),"")</f>
        <v>kiruthikavr@bitsathy.ac.in</v>
      </c>
      <c r="O15" s="101"/>
    </row>
    <row r="16" ht="39.75" customHeight="1">
      <c r="A16" s="29">
        <v>15.0</v>
      </c>
      <c r="B16" s="29" t="s">
        <v>32</v>
      </c>
      <c r="C16" s="29" t="s">
        <v>1572</v>
      </c>
      <c r="D16" s="29" t="s">
        <v>1573</v>
      </c>
      <c r="E16" s="29" t="s">
        <v>1582</v>
      </c>
      <c r="F16" s="26" t="s">
        <v>1583</v>
      </c>
      <c r="G16" s="29" t="s">
        <v>1576</v>
      </c>
      <c r="H16" s="29">
        <v>3.0</v>
      </c>
      <c r="I16" s="29">
        <v>0.0</v>
      </c>
      <c r="J16" s="29">
        <v>0.0</v>
      </c>
      <c r="K16" s="29">
        <v>3.0</v>
      </c>
      <c r="L16" s="29" t="s">
        <v>823</v>
      </c>
      <c r="M16" s="30" t="str">
        <f>IFNA(VLOOKUP(L16,'Faculty Details'!$B:$H,4,0),"")</f>
        <v>Mr.GUNALAN K</v>
      </c>
      <c r="N16" s="30" t="str">
        <f>IFNA(VLOOKUP(L16,'Faculty Details'!$B:$H,7,0),"")</f>
        <v>gunalank@bitsathy.ac.in</v>
      </c>
      <c r="O16" s="101"/>
    </row>
    <row r="17" ht="39.75" customHeight="1">
      <c r="A17" s="29">
        <v>16.0</v>
      </c>
      <c r="B17" s="29" t="s">
        <v>32</v>
      </c>
      <c r="C17" s="29" t="s">
        <v>1572</v>
      </c>
      <c r="D17" s="29" t="s">
        <v>1573</v>
      </c>
      <c r="E17" s="29" t="s">
        <v>1582</v>
      </c>
      <c r="F17" s="26" t="s">
        <v>1583</v>
      </c>
      <c r="G17" s="29" t="s">
        <v>1576</v>
      </c>
      <c r="H17" s="29">
        <v>3.0</v>
      </c>
      <c r="I17" s="29">
        <v>0.0</v>
      </c>
      <c r="J17" s="29">
        <v>0.0</v>
      </c>
      <c r="K17" s="29">
        <v>3.0</v>
      </c>
      <c r="L17" s="29" t="s">
        <v>741</v>
      </c>
      <c r="M17" s="30" t="str">
        <f>IFNA(VLOOKUP(L17,'Faculty Details'!$B:$H,4,0),"")</f>
        <v>Mrs.MOHANAMBAL K</v>
      </c>
      <c r="N17" s="30" t="str">
        <f>IFNA(VLOOKUP(L17,'Faculty Details'!$B:$H,7,0),"")</f>
        <v>mohanambal@bitsathy.ac.in</v>
      </c>
      <c r="O17" s="101"/>
    </row>
    <row r="18" ht="39.75" customHeight="1">
      <c r="A18" s="29">
        <v>17.0</v>
      </c>
      <c r="B18" s="29" t="s">
        <v>32</v>
      </c>
      <c r="C18" s="29" t="s">
        <v>1572</v>
      </c>
      <c r="D18" s="29" t="s">
        <v>1573</v>
      </c>
      <c r="E18" s="29" t="s">
        <v>1584</v>
      </c>
      <c r="F18" s="26" t="s">
        <v>1585</v>
      </c>
      <c r="G18" s="29" t="s">
        <v>1579</v>
      </c>
      <c r="H18" s="29">
        <v>2.0</v>
      </c>
      <c r="I18" s="29">
        <v>0.0</v>
      </c>
      <c r="J18" s="29">
        <v>2.0</v>
      </c>
      <c r="K18" s="29">
        <v>3.0</v>
      </c>
      <c r="L18" s="29" t="s">
        <v>906</v>
      </c>
      <c r="M18" s="30" t="str">
        <f>IFNA(VLOOKUP(L18,'Faculty Details'!$B:$H,4,0),"")</f>
        <v>Dr.SATHIYAMURTHI P</v>
      </c>
      <c r="N18" s="30" t="str">
        <f>IFNA(VLOOKUP(L18,'Faculty Details'!$B:$H,7,0),"")</f>
        <v>sathiyamurthi@bitsathy.ac.in</v>
      </c>
      <c r="O18" s="101"/>
    </row>
    <row r="19" ht="39.75" customHeight="1">
      <c r="A19" s="29">
        <v>18.0</v>
      </c>
      <c r="B19" s="29" t="s">
        <v>32</v>
      </c>
      <c r="C19" s="29" t="s">
        <v>1572</v>
      </c>
      <c r="D19" s="29" t="s">
        <v>1573</v>
      </c>
      <c r="E19" s="29" t="s">
        <v>1584</v>
      </c>
      <c r="F19" s="26" t="s">
        <v>1585</v>
      </c>
      <c r="G19" s="29" t="s">
        <v>1576</v>
      </c>
      <c r="H19" s="29">
        <v>2.0</v>
      </c>
      <c r="I19" s="29">
        <v>0.0</v>
      </c>
      <c r="J19" s="29">
        <v>2.0</v>
      </c>
      <c r="K19" s="29">
        <v>3.0</v>
      </c>
      <c r="L19" s="29" t="s">
        <v>963</v>
      </c>
      <c r="M19" s="30" t="str">
        <f>IFNA(VLOOKUP(L19,'Faculty Details'!$B:$H,4,0),"")</f>
        <v>Dr.SAJAN P PHILIP</v>
      </c>
      <c r="N19" s="30" t="str">
        <f>IFNA(VLOOKUP(L19,'Faculty Details'!$B:$H,7,0),"")</f>
        <v>sajanpphilip@bitsathy.ac.in</v>
      </c>
      <c r="O19" s="103"/>
    </row>
    <row r="20" ht="39.75" customHeight="1">
      <c r="A20" s="29">
        <v>19.0</v>
      </c>
      <c r="B20" s="29" t="s">
        <v>32</v>
      </c>
      <c r="C20" s="29" t="s">
        <v>1572</v>
      </c>
      <c r="D20" s="29" t="s">
        <v>1573</v>
      </c>
      <c r="E20" s="29" t="s">
        <v>1584</v>
      </c>
      <c r="F20" s="26" t="s">
        <v>1585</v>
      </c>
      <c r="G20" s="29" t="s">
        <v>1588</v>
      </c>
      <c r="H20" s="29">
        <v>2.0</v>
      </c>
      <c r="I20" s="29">
        <v>0.0</v>
      </c>
      <c r="J20" s="29">
        <v>2.0</v>
      </c>
      <c r="K20" s="29">
        <v>3.0</v>
      </c>
      <c r="L20" s="29" t="s">
        <v>924</v>
      </c>
      <c r="M20" s="30" t="str">
        <f>IFNA(VLOOKUP(L20,'Faculty Details'!$B:$H,4,0),"")</f>
        <v>Dr.SANKARANANTH S</v>
      </c>
      <c r="N20" s="30" t="str">
        <f>IFNA(VLOOKUP(L20,'Faculty Details'!$B:$H,7,0),"")</f>
        <v>sankarananth@bitsathy.ac.in</v>
      </c>
      <c r="O20" s="103"/>
    </row>
    <row r="21" ht="39.75" customHeight="1">
      <c r="A21" s="29">
        <v>20.0</v>
      </c>
      <c r="B21" s="29" t="s">
        <v>32</v>
      </c>
      <c r="C21" s="29" t="s">
        <v>1572</v>
      </c>
      <c r="D21" s="29" t="s">
        <v>1573</v>
      </c>
      <c r="E21" s="29" t="s">
        <v>1584</v>
      </c>
      <c r="F21" s="26" t="s">
        <v>1585</v>
      </c>
      <c r="G21" s="29" t="s">
        <v>1579</v>
      </c>
      <c r="H21" s="29">
        <v>2.0</v>
      </c>
      <c r="I21" s="29">
        <v>0.0</v>
      </c>
      <c r="J21" s="29">
        <v>2.0</v>
      </c>
      <c r="K21" s="29">
        <v>3.0</v>
      </c>
      <c r="L21" s="29" t="s">
        <v>897</v>
      </c>
      <c r="M21" s="30" t="str">
        <f>IFNA(VLOOKUP(L21,'Faculty Details'!$B:$H,4,0),"")</f>
        <v>Dr.VENKATESHKUMAR U</v>
      </c>
      <c r="N21" s="30" t="str">
        <f>IFNA(VLOOKUP(L21,'Faculty Details'!$B:$H,7,0),"")</f>
        <v>venkateshkumaru@bitsathy.ac.in</v>
      </c>
      <c r="O21" s="101"/>
    </row>
    <row r="22" ht="39.75" customHeight="1">
      <c r="A22" s="29">
        <v>21.0</v>
      </c>
      <c r="B22" s="29" t="s">
        <v>32</v>
      </c>
      <c r="C22" s="29" t="s">
        <v>1572</v>
      </c>
      <c r="D22" s="29" t="s">
        <v>1573</v>
      </c>
      <c r="E22" s="29" t="s">
        <v>1584</v>
      </c>
      <c r="F22" s="26" t="s">
        <v>1585</v>
      </c>
      <c r="G22" s="29" t="s">
        <v>1579</v>
      </c>
      <c r="H22" s="29">
        <v>2.0</v>
      </c>
      <c r="I22" s="29">
        <v>0.0</v>
      </c>
      <c r="J22" s="29">
        <v>2.0</v>
      </c>
      <c r="K22" s="29">
        <v>3.0</v>
      </c>
      <c r="L22" s="29" t="s">
        <v>900</v>
      </c>
      <c r="M22" s="30" t="str">
        <f>IFNA(VLOOKUP(L22,'Faculty Details'!$B:$H,4,0),"")</f>
        <v>Mr.VELLINGIRI A</v>
      </c>
      <c r="N22" s="30" t="str">
        <f>IFNA(VLOOKUP(L22,'Faculty Details'!$B:$H,7,0),"")</f>
        <v>vellingiria@bitsathy.ac.in</v>
      </c>
      <c r="O22" s="101"/>
    </row>
    <row r="23" ht="39.75" customHeight="1">
      <c r="A23" s="29">
        <v>22.0</v>
      </c>
      <c r="B23" s="29" t="s">
        <v>32</v>
      </c>
      <c r="C23" s="29" t="s">
        <v>1572</v>
      </c>
      <c r="D23" s="29" t="s">
        <v>1573</v>
      </c>
      <c r="E23" s="29" t="s">
        <v>1763</v>
      </c>
      <c r="F23" s="26" t="s">
        <v>1764</v>
      </c>
      <c r="G23" s="29" t="s">
        <v>1588</v>
      </c>
      <c r="H23" s="29">
        <v>1.0</v>
      </c>
      <c r="I23" s="29">
        <v>0.0</v>
      </c>
      <c r="J23" s="29">
        <v>2.0</v>
      </c>
      <c r="K23" s="29">
        <v>3.0</v>
      </c>
      <c r="L23" s="25" t="s">
        <v>1382</v>
      </c>
      <c r="M23" s="30" t="str">
        <f>IFNA(VLOOKUP(L23,'Faculty Details'!$B:$H,4,0),"")</f>
        <v>Dr.BHUVANESH N</v>
      </c>
      <c r="N23" s="30" t="str">
        <f>IFNA(VLOOKUP(L23,'Faculty Details'!$B:$H,7,0),"")</f>
        <v>bhuvanesh@bitsathy.ac.in</v>
      </c>
      <c r="O23" s="101"/>
    </row>
    <row r="24" ht="39.75" customHeight="1">
      <c r="A24" s="29">
        <v>23.0</v>
      </c>
      <c r="B24" s="29" t="s">
        <v>32</v>
      </c>
      <c r="C24" s="29" t="s">
        <v>1572</v>
      </c>
      <c r="D24" s="29" t="s">
        <v>1573</v>
      </c>
      <c r="E24" s="29" t="s">
        <v>1763</v>
      </c>
      <c r="F24" s="26" t="s">
        <v>1764</v>
      </c>
      <c r="G24" s="29" t="s">
        <v>1588</v>
      </c>
      <c r="H24" s="29">
        <v>1.0</v>
      </c>
      <c r="I24" s="29">
        <v>0.0</v>
      </c>
      <c r="J24" s="29">
        <v>2.0</v>
      </c>
      <c r="K24" s="29">
        <v>3.0</v>
      </c>
      <c r="L24" s="25" t="s">
        <v>1389</v>
      </c>
      <c r="M24" s="30" t="str">
        <f>IFNA(VLOOKUP(L24,'Faculty Details'!$B:$H,4,0),"")</f>
        <v>Mr.RAMACHANDRA RAJU K</v>
      </c>
      <c r="N24" s="30" t="str">
        <f>IFNA(VLOOKUP(L24,'Faculty Details'!$B:$H,7,0),"")</f>
        <v>ramachandraraju@bitsathy.ac.in</v>
      </c>
      <c r="O24" s="101"/>
    </row>
    <row r="25" ht="39.75" customHeight="1">
      <c r="A25" s="29">
        <v>24.0</v>
      </c>
      <c r="B25" s="29" t="s">
        <v>32</v>
      </c>
      <c r="C25" s="29" t="s">
        <v>1572</v>
      </c>
      <c r="D25" s="29" t="s">
        <v>1573</v>
      </c>
      <c r="E25" s="29" t="s">
        <v>1763</v>
      </c>
      <c r="F25" s="26" t="s">
        <v>1764</v>
      </c>
      <c r="G25" s="29" t="s">
        <v>1588</v>
      </c>
      <c r="H25" s="29">
        <v>1.0</v>
      </c>
      <c r="I25" s="29">
        <v>0.0</v>
      </c>
      <c r="J25" s="29">
        <v>2.0</v>
      </c>
      <c r="K25" s="29">
        <v>3.0</v>
      </c>
      <c r="L25" s="25" t="s">
        <v>1373</v>
      </c>
      <c r="M25" s="30" t="str">
        <f>IFNA(VLOOKUP(L25,'Faculty Details'!$B:$H,4,0),"")</f>
        <v>Dr.PRADEEP A D</v>
      </c>
      <c r="N25" s="30" t="str">
        <f>IFNA(VLOOKUP(L25,'Faculty Details'!$B:$H,7,0),"")</f>
        <v>pradeep@bitsathy.ac.in</v>
      </c>
      <c r="O25" s="101"/>
    </row>
    <row r="26" ht="39.75" customHeight="1">
      <c r="A26" s="29">
        <v>25.0</v>
      </c>
      <c r="B26" s="29" t="s">
        <v>32</v>
      </c>
      <c r="C26" s="29" t="s">
        <v>1572</v>
      </c>
      <c r="D26" s="29" t="s">
        <v>1573</v>
      </c>
      <c r="E26" s="29" t="s">
        <v>1763</v>
      </c>
      <c r="F26" s="26" t="s">
        <v>1764</v>
      </c>
      <c r="G26" s="29" t="s">
        <v>1588</v>
      </c>
      <c r="H26" s="29">
        <v>1.0</v>
      </c>
      <c r="I26" s="29">
        <v>0.0</v>
      </c>
      <c r="J26" s="29">
        <v>2.0</v>
      </c>
      <c r="K26" s="29">
        <v>3.0</v>
      </c>
      <c r="L26" s="25" t="s">
        <v>1450</v>
      </c>
      <c r="M26" s="30" t="str">
        <f>IFNA(VLOOKUP(L26,'Faculty Details'!$B:$H,4,0),"")</f>
        <v>Dr.SUNDARRAJU G</v>
      </c>
      <c r="N26" s="30" t="str">
        <f>IFNA(VLOOKUP(L26,'Faculty Details'!$B:$H,7,0),"")</f>
        <v>sundarrajug@bitsathy.ac.in</v>
      </c>
      <c r="O26" s="101"/>
    </row>
    <row r="27" ht="39.75" customHeight="1">
      <c r="A27" s="29">
        <v>26.0</v>
      </c>
      <c r="B27" s="29" t="s">
        <v>32</v>
      </c>
      <c r="C27" s="29" t="s">
        <v>1572</v>
      </c>
      <c r="D27" s="29" t="s">
        <v>1573</v>
      </c>
      <c r="E27" s="29" t="s">
        <v>1589</v>
      </c>
      <c r="F27" s="26" t="s">
        <v>1590</v>
      </c>
      <c r="G27" s="29" t="s">
        <v>1588</v>
      </c>
      <c r="H27" s="29">
        <v>1.0</v>
      </c>
      <c r="I27" s="29">
        <v>0.0</v>
      </c>
      <c r="J27" s="29">
        <v>0.0</v>
      </c>
      <c r="K27" s="29">
        <v>1.0</v>
      </c>
      <c r="L27" s="29" t="s">
        <v>1112</v>
      </c>
      <c r="M27" s="30" t="str">
        <f>IFNA(VLOOKUP(L27,'Faculty Details'!$B:$H,4,0),"")</f>
        <v>Dr.SAGUNTHALA DEVI P</v>
      </c>
      <c r="N27" s="30" t="str">
        <f>IFNA(VLOOKUP(L27,'Faculty Details'!$B:$H,7,0),"")</f>
        <v>sagunthaladevi@bitsathy.ac.in</v>
      </c>
      <c r="O27" s="101"/>
    </row>
    <row r="28" ht="39.75" customHeight="1">
      <c r="A28" s="29">
        <v>27.0</v>
      </c>
      <c r="B28" s="29" t="s">
        <v>32</v>
      </c>
      <c r="C28" s="29" t="s">
        <v>1572</v>
      </c>
      <c r="D28" s="29" t="s">
        <v>1573</v>
      </c>
      <c r="E28" s="29" t="s">
        <v>1589</v>
      </c>
      <c r="F28" s="26" t="s">
        <v>1590</v>
      </c>
      <c r="G28" s="29" t="s">
        <v>1588</v>
      </c>
      <c r="H28" s="29">
        <v>1.0</v>
      </c>
      <c r="I28" s="29">
        <v>0.0</v>
      </c>
      <c r="J28" s="29">
        <v>0.0</v>
      </c>
      <c r="K28" s="29">
        <v>1.0</v>
      </c>
      <c r="L28" s="29" t="s">
        <v>1115</v>
      </c>
      <c r="M28" s="30" t="str">
        <f>IFNA(VLOOKUP(L28,'Faculty Details'!$B:$H,4,0),"")</f>
        <v>Ms.KAMALI D</v>
      </c>
      <c r="N28" s="30" t="str">
        <f>IFNA(VLOOKUP(L28,'Faculty Details'!$B:$H,7,0),"")</f>
        <v>kamali@bitsathy.ac.in</v>
      </c>
      <c r="O28" s="101"/>
    </row>
    <row r="29" ht="39.75" customHeight="1">
      <c r="A29" s="29">
        <v>28.0</v>
      </c>
      <c r="B29" s="29" t="s">
        <v>32</v>
      </c>
      <c r="C29" s="29" t="s">
        <v>1572</v>
      </c>
      <c r="D29" s="29" t="s">
        <v>1573</v>
      </c>
      <c r="E29" s="29" t="s">
        <v>1589</v>
      </c>
      <c r="F29" s="26" t="s">
        <v>1590</v>
      </c>
      <c r="G29" s="29" t="s">
        <v>1588</v>
      </c>
      <c r="H29" s="29">
        <v>1.0</v>
      </c>
      <c r="I29" s="29">
        <v>0.0</v>
      </c>
      <c r="J29" s="29">
        <v>0.0</v>
      </c>
      <c r="K29" s="29">
        <v>1.0</v>
      </c>
      <c r="L29" s="29" t="s">
        <v>1130</v>
      </c>
      <c r="M29" s="30" t="str">
        <f>IFNA(VLOOKUP(L29,'Faculty Details'!$B:$H,4,0),"")</f>
        <v>Mr.SHYAMSUNDAR S</v>
      </c>
      <c r="N29" s="30" t="str">
        <f>IFNA(VLOOKUP(L29,'Faculty Details'!$B:$H,7,0),"")</f>
        <v>shyamsundar@bitsathy.ac.in</v>
      </c>
      <c r="O29" s="101"/>
    </row>
    <row r="30" ht="39.75" customHeight="1">
      <c r="A30" s="29">
        <v>29.0</v>
      </c>
      <c r="B30" s="29" t="s">
        <v>32</v>
      </c>
      <c r="C30" s="29" t="s">
        <v>1572</v>
      </c>
      <c r="D30" s="29" t="s">
        <v>1573</v>
      </c>
      <c r="E30" s="29" t="s">
        <v>1589</v>
      </c>
      <c r="F30" s="26" t="s">
        <v>1590</v>
      </c>
      <c r="G30" s="29" t="s">
        <v>1588</v>
      </c>
      <c r="H30" s="29">
        <v>1.0</v>
      </c>
      <c r="I30" s="29">
        <v>0.0</v>
      </c>
      <c r="J30" s="29">
        <v>0.0</v>
      </c>
      <c r="K30" s="29">
        <v>1.0</v>
      </c>
      <c r="L30" s="29" t="s">
        <v>1112</v>
      </c>
      <c r="M30" s="30" t="str">
        <f>IFNA(VLOOKUP(L30,'Faculty Details'!$B:$H,4,0),"")</f>
        <v>Dr.SAGUNTHALA DEVI P</v>
      </c>
      <c r="N30" s="30" t="str">
        <f>IFNA(VLOOKUP(L30,'Faculty Details'!$B:$H,7,0),"")</f>
        <v>sagunthaladevi@bitsathy.ac.in</v>
      </c>
      <c r="O30" s="101"/>
    </row>
    <row r="31" ht="39.75" customHeight="1">
      <c r="A31" s="29">
        <v>30.0</v>
      </c>
      <c r="B31" s="29" t="s">
        <v>32</v>
      </c>
      <c r="C31" s="29" t="s">
        <v>1572</v>
      </c>
      <c r="D31" s="29" t="s">
        <v>1573</v>
      </c>
      <c r="E31" s="29" t="s">
        <v>1591</v>
      </c>
      <c r="F31" s="26" t="s">
        <v>1726</v>
      </c>
      <c r="G31" s="29"/>
      <c r="H31" s="29"/>
      <c r="I31" s="29"/>
      <c r="J31" s="29"/>
      <c r="K31" s="29"/>
      <c r="L31" s="29"/>
      <c r="M31" s="30" t="str">
        <f>IFNA(VLOOKUP(L31,'Faculty Details'!$B:$H,4,0),"")</f>
        <v/>
      </c>
      <c r="N31" s="30" t="str">
        <f>IFNA(VLOOKUP(L31,'Faculty Details'!$B:$H,7,0),"")</f>
        <v/>
      </c>
      <c r="O31" s="101"/>
    </row>
    <row r="32" ht="39.75" customHeight="1">
      <c r="A32" s="29">
        <v>31.0</v>
      </c>
      <c r="B32" s="29" t="s">
        <v>32</v>
      </c>
      <c r="C32" s="29" t="s">
        <v>1572</v>
      </c>
      <c r="D32" s="29" t="s">
        <v>1593</v>
      </c>
      <c r="E32" s="29" t="s">
        <v>1594</v>
      </c>
      <c r="F32" s="26" t="s">
        <v>1640</v>
      </c>
      <c r="G32" s="29" t="s">
        <v>1588</v>
      </c>
      <c r="H32" s="29">
        <v>1.0</v>
      </c>
      <c r="I32" s="29">
        <v>0.0</v>
      </c>
      <c r="J32" s="29">
        <v>2.0</v>
      </c>
      <c r="K32" s="29">
        <v>2.0</v>
      </c>
      <c r="L32" s="29" t="s">
        <v>1118</v>
      </c>
      <c r="M32" s="30" t="str">
        <f>IFNA(VLOOKUP(L32,'Faculty Details'!$B:$H,4,0),"")</f>
        <v>Dr.GAYATHRI G M</v>
      </c>
      <c r="N32" s="30" t="str">
        <f>IFNA(VLOOKUP(L32,'Faculty Details'!$B:$H,7,0),"")</f>
        <v>gayathri@bitsathy.ac.in</v>
      </c>
      <c r="O32" s="101"/>
    </row>
    <row r="33" ht="39.75" customHeight="1">
      <c r="A33" s="29">
        <v>32.0</v>
      </c>
      <c r="B33" s="29" t="s">
        <v>32</v>
      </c>
      <c r="C33" s="29" t="s">
        <v>1572</v>
      </c>
      <c r="D33" s="29" t="s">
        <v>1593</v>
      </c>
      <c r="E33" s="29" t="s">
        <v>1594</v>
      </c>
      <c r="F33" s="26" t="s">
        <v>1640</v>
      </c>
      <c r="G33" s="29" t="s">
        <v>1588</v>
      </c>
      <c r="H33" s="29">
        <v>1.0</v>
      </c>
      <c r="I33" s="29">
        <v>0.0</v>
      </c>
      <c r="J33" s="29">
        <v>2.0</v>
      </c>
      <c r="K33" s="29">
        <v>2.0</v>
      </c>
      <c r="L33" s="29" t="s">
        <v>1121</v>
      </c>
      <c r="M33" s="30" t="str">
        <f>IFNA(VLOOKUP(L33,'Faculty Details'!$B:$H,4,0),"")</f>
        <v>Dr.ASLIN JERUSHA D</v>
      </c>
      <c r="N33" s="30" t="str">
        <f>IFNA(VLOOKUP(L33,'Faculty Details'!$B:$H,7,0),"")</f>
        <v>aslinjerusha@bitsathy.ac.in</v>
      </c>
      <c r="O33" s="101"/>
    </row>
    <row r="34" ht="39.75" customHeight="1">
      <c r="A34" s="29">
        <v>33.0</v>
      </c>
      <c r="B34" s="29" t="s">
        <v>32</v>
      </c>
      <c r="C34" s="29" t="s">
        <v>1572</v>
      </c>
      <c r="D34" s="29" t="s">
        <v>1593</v>
      </c>
      <c r="E34" s="29" t="s">
        <v>1641</v>
      </c>
      <c r="F34" s="26" t="s">
        <v>1642</v>
      </c>
      <c r="G34" s="29" t="s">
        <v>1588</v>
      </c>
      <c r="H34" s="29">
        <v>1.0</v>
      </c>
      <c r="I34" s="29">
        <v>0.0</v>
      </c>
      <c r="J34" s="29">
        <v>2.0</v>
      </c>
      <c r="K34" s="29">
        <v>2.0</v>
      </c>
      <c r="L34" s="29"/>
      <c r="M34" s="30" t="str">
        <f>IFNA(VLOOKUP(L34,'Faculty Details'!$B:$H,4,0),"")</f>
        <v/>
      </c>
      <c r="N34" s="30" t="str">
        <f>IFNA(VLOOKUP(L34,'Faculty Details'!$B:$H,7,0),"")</f>
        <v/>
      </c>
      <c r="O34" s="101"/>
    </row>
    <row r="35" ht="39.75" customHeight="1">
      <c r="A35" s="29">
        <v>34.0</v>
      </c>
      <c r="B35" s="29" t="s">
        <v>32</v>
      </c>
      <c r="C35" s="29" t="s">
        <v>1572</v>
      </c>
      <c r="D35" s="29" t="s">
        <v>1593</v>
      </c>
      <c r="E35" s="29" t="s">
        <v>1643</v>
      </c>
      <c r="F35" s="26" t="s">
        <v>1644</v>
      </c>
      <c r="G35" s="29" t="s">
        <v>1588</v>
      </c>
      <c r="H35" s="29">
        <v>1.0</v>
      </c>
      <c r="I35" s="29">
        <v>0.0</v>
      </c>
      <c r="J35" s="29">
        <v>2.0</v>
      </c>
      <c r="K35" s="29">
        <v>2.0</v>
      </c>
      <c r="L35" s="29"/>
      <c r="M35" s="30" t="str">
        <f>IFNA(VLOOKUP(L35,'Faculty Details'!$B:$H,4,0),"")</f>
        <v/>
      </c>
      <c r="N35" s="30" t="str">
        <f>IFNA(VLOOKUP(L35,'Faculty Details'!$B:$H,7,0),"")</f>
        <v/>
      </c>
      <c r="O35" s="101"/>
    </row>
    <row r="36" ht="39.75" customHeight="1">
      <c r="A36" s="29">
        <v>35.0</v>
      </c>
      <c r="B36" s="29" t="s">
        <v>32</v>
      </c>
      <c r="C36" s="29" t="s">
        <v>1596</v>
      </c>
      <c r="D36" s="29" t="s">
        <v>1573</v>
      </c>
      <c r="E36" s="29" t="s">
        <v>1842</v>
      </c>
      <c r="F36" s="26" t="s">
        <v>1843</v>
      </c>
      <c r="G36" s="29" t="s">
        <v>1576</v>
      </c>
      <c r="H36" s="29">
        <v>3.0</v>
      </c>
      <c r="I36" s="29">
        <v>1.0</v>
      </c>
      <c r="J36" s="29">
        <v>0.0</v>
      </c>
      <c r="K36" s="29">
        <v>4.0</v>
      </c>
      <c r="L36" s="29" t="s">
        <v>491</v>
      </c>
      <c r="M36" s="30" t="str">
        <f>IFNA(VLOOKUP(L36,'Faculty Details'!$B:$H,4,0),"")</f>
        <v>Dr.DEEPA D</v>
      </c>
      <c r="N36" s="30" t="str">
        <f>IFNA(VLOOKUP(L36,'Faculty Details'!$B:$H,7,0),"")</f>
        <v>ddeepa@bitsathy.ac.in</v>
      </c>
      <c r="O36" s="101"/>
    </row>
    <row r="37" ht="39.75" customHeight="1">
      <c r="A37" s="29">
        <v>36.0</v>
      </c>
      <c r="B37" s="29" t="s">
        <v>32</v>
      </c>
      <c r="C37" s="29" t="s">
        <v>1596</v>
      </c>
      <c r="D37" s="29" t="s">
        <v>1573</v>
      </c>
      <c r="E37" s="29" t="s">
        <v>1842</v>
      </c>
      <c r="F37" s="26" t="s">
        <v>1843</v>
      </c>
      <c r="G37" s="29" t="s">
        <v>1576</v>
      </c>
      <c r="H37" s="29">
        <v>3.0</v>
      </c>
      <c r="I37" s="29">
        <v>1.0</v>
      </c>
      <c r="J37" s="29">
        <v>0.0</v>
      </c>
      <c r="K37" s="29">
        <v>4.0</v>
      </c>
      <c r="L37" s="29" t="s">
        <v>835</v>
      </c>
      <c r="M37" s="30" t="str">
        <f>IFNA(VLOOKUP(L37,'Faculty Details'!$B:$H,4,0),"")</f>
        <v>Dr.SANNASI CHAKRAVARTHY S R</v>
      </c>
      <c r="N37" s="30" t="str">
        <f>IFNA(VLOOKUP(L37,'Faculty Details'!$B:$H,7,0),"")</f>
        <v>sannasi@bitsathy.ac.in</v>
      </c>
      <c r="O37" s="101"/>
    </row>
    <row r="38" ht="39.75" customHeight="1">
      <c r="A38" s="29">
        <v>37.0</v>
      </c>
      <c r="B38" s="29" t="s">
        <v>32</v>
      </c>
      <c r="C38" s="29" t="s">
        <v>1596</v>
      </c>
      <c r="D38" s="29" t="s">
        <v>1573</v>
      </c>
      <c r="E38" s="29" t="s">
        <v>1842</v>
      </c>
      <c r="F38" s="26" t="s">
        <v>1843</v>
      </c>
      <c r="G38" s="29" t="s">
        <v>1576</v>
      </c>
      <c r="H38" s="29">
        <v>3.0</v>
      </c>
      <c r="I38" s="29">
        <v>1.0</v>
      </c>
      <c r="J38" s="29">
        <v>0.0</v>
      </c>
      <c r="K38" s="29">
        <v>4.0</v>
      </c>
      <c r="L38" s="29" t="s">
        <v>939</v>
      </c>
      <c r="M38" s="30" t="str">
        <f>IFNA(VLOOKUP(L38,'Faculty Details'!$B:$H,4,0),"")</f>
        <v>Dr.HARIKUMAR R</v>
      </c>
      <c r="N38" s="30" t="str">
        <f>IFNA(VLOOKUP(L38,'Faculty Details'!$B:$H,7,0),"")</f>
        <v>harikumarr@bitsathy.ac.in</v>
      </c>
      <c r="O38" s="101"/>
    </row>
    <row r="39" ht="39.75" customHeight="1">
      <c r="A39" s="29">
        <v>38.0</v>
      </c>
      <c r="B39" s="29" t="s">
        <v>32</v>
      </c>
      <c r="C39" s="29" t="s">
        <v>1596</v>
      </c>
      <c r="D39" s="29" t="s">
        <v>1573</v>
      </c>
      <c r="E39" s="29" t="s">
        <v>1842</v>
      </c>
      <c r="F39" s="26" t="s">
        <v>1843</v>
      </c>
      <c r="G39" s="29" t="s">
        <v>1576</v>
      </c>
      <c r="H39" s="29">
        <v>3.0</v>
      </c>
      <c r="I39" s="29">
        <v>1.0</v>
      </c>
      <c r="J39" s="29">
        <v>0.0</v>
      </c>
      <c r="K39" s="29">
        <v>4.0</v>
      </c>
      <c r="L39" s="29" t="s">
        <v>924</v>
      </c>
      <c r="M39" s="30" t="str">
        <f>IFNA(VLOOKUP(L39,'Faculty Details'!$B:$H,4,0),"")</f>
        <v>Dr.SANKARANANTH S</v>
      </c>
      <c r="N39" s="30" t="str">
        <f>IFNA(VLOOKUP(L39,'Faculty Details'!$B:$H,7,0),"")</f>
        <v>sankarananth@bitsathy.ac.in</v>
      </c>
      <c r="O39" s="101"/>
    </row>
    <row r="40" ht="39.75" customHeight="1">
      <c r="A40" s="29">
        <v>39.0</v>
      </c>
      <c r="B40" s="29" t="s">
        <v>32</v>
      </c>
      <c r="C40" s="29" t="s">
        <v>1596</v>
      </c>
      <c r="D40" s="29" t="s">
        <v>1573</v>
      </c>
      <c r="E40" s="29" t="s">
        <v>1844</v>
      </c>
      <c r="F40" s="26" t="s">
        <v>1845</v>
      </c>
      <c r="G40" s="29" t="s">
        <v>1576</v>
      </c>
      <c r="H40" s="29">
        <v>3.0</v>
      </c>
      <c r="I40" s="29">
        <v>0.0</v>
      </c>
      <c r="J40" s="29">
        <v>2.0</v>
      </c>
      <c r="K40" s="29">
        <v>4.0</v>
      </c>
      <c r="L40" s="29" t="s">
        <v>939</v>
      </c>
      <c r="M40" s="30" t="str">
        <f>IFNA(VLOOKUP(L40,'Faculty Details'!$B:$H,4,0),"")</f>
        <v>Dr.HARIKUMAR R</v>
      </c>
      <c r="N40" s="30" t="str">
        <f>IFNA(VLOOKUP(L40,'Faculty Details'!$B:$H,7,0),"")</f>
        <v>harikumarr@bitsathy.ac.in</v>
      </c>
      <c r="O40" s="103"/>
    </row>
    <row r="41" ht="39.75" customHeight="1">
      <c r="A41" s="29">
        <v>40.0</v>
      </c>
      <c r="B41" s="29" t="s">
        <v>32</v>
      </c>
      <c r="C41" s="29" t="s">
        <v>1596</v>
      </c>
      <c r="D41" s="29" t="s">
        <v>1573</v>
      </c>
      <c r="E41" s="29" t="s">
        <v>1844</v>
      </c>
      <c r="F41" s="26" t="s">
        <v>1845</v>
      </c>
      <c r="G41" s="29" t="s">
        <v>1588</v>
      </c>
      <c r="H41" s="29">
        <v>3.0</v>
      </c>
      <c r="I41" s="29">
        <v>0.0</v>
      </c>
      <c r="J41" s="29">
        <v>2.0</v>
      </c>
      <c r="K41" s="29">
        <v>4.0</v>
      </c>
      <c r="L41" s="29" t="s">
        <v>912</v>
      </c>
      <c r="M41" s="30" t="str">
        <f>IFNA(VLOOKUP(L41,'Faculty Details'!$B:$H,4,0),"")</f>
        <v>Mr.HARISH KUMAAR P</v>
      </c>
      <c r="N41" s="30" t="str">
        <f>IFNA(VLOOKUP(L41,'Faculty Details'!$B:$H,7,0),"")</f>
        <v>harishkumaarp@bitsathy.ac.in</v>
      </c>
      <c r="O41" s="103"/>
    </row>
    <row r="42" ht="39.75" customHeight="1">
      <c r="A42" s="29">
        <v>41.0</v>
      </c>
      <c r="B42" s="29" t="s">
        <v>32</v>
      </c>
      <c r="C42" s="29" t="s">
        <v>1596</v>
      </c>
      <c r="D42" s="29" t="s">
        <v>1573</v>
      </c>
      <c r="E42" s="29" t="s">
        <v>1844</v>
      </c>
      <c r="F42" s="26" t="s">
        <v>1845</v>
      </c>
      <c r="G42" s="29" t="s">
        <v>1579</v>
      </c>
      <c r="H42" s="29">
        <v>3.0</v>
      </c>
      <c r="I42" s="29">
        <v>0.0</v>
      </c>
      <c r="J42" s="29">
        <v>2.0</v>
      </c>
      <c r="K42" s="29">
        <v>4.0</v>
      </c>
      <c r="L42" s="29" t="s">
        <v>859</v>
      </c>
      <c r="M42" s="30" t="str">
        <f>IFNA(VLOOKUP(L42,'Faculty Details'!$B:$H,4,0),"")</f>
        <v>Dr.PERARASI T</v>
      </c>
      <c r="N42" s="30" t="str">
        <f>IFNA(VLOOKUP(L42,'Faculty Details'!$B:$H,7,0),"")</f>
        <v>perarasi@bitsathy.ac.in</v>
      </c>
      <c r="O42" s="101"/>
    </row>
    <row r="43" ht="39.75" customHeight="1">
      <c r="A43" s="29">
        <v>42.0</v>
      </c>
      <c r="B43" s="29" t="s">
        <v>32</v>
      </c>
      <c r="C43" s="29" t="s">
        <v>1596</v>
      </c>
      <c r="D43" s="29" t="s">
        <v>1573</v>
      </c>
      <c r="E43" s="29" t="s">
        <v>1844</v>
      </c>
      <c r="F43" s="26" t="s">
        <v>1845</v>
      </c>
      <c r="G43" s="29" t="s">
        <v>1579</v>
      </c>
      <c r="H43" s="29">
        <v>3.0</v>
      </c>
      <c r="I43" s="29">
        <v>0.0</v>
      </c>
      <c r="J43" s="29">
        <v>2.0</v>
      </c>
      <c r="K43" s="29">
        <v>4.0</v>
      </c>
      <c r="L43" s="29" t="s">
        <v>856</v>
      </c>
      <c r="M43" s="30" t="str">
        <f>IFNA(VLOOKUP(L43,'Faculty Details'!$B:$H,4,0),"")</f>
        <v>Dr.LEEBAN MOSES M</v>
      </c>
      <c r="N43" s="30" t="str">
        <f>IFNA(VLOOKUP(L43,'Faculty Details'!$B:$H,7,0),"")</f>
        <v>leebanmoses@bitsathy.ac.in</v>
      </c>
      <c r="O43" s="101"/>
    </row>
    <row r="44" ht="39.75" customHeight="1">
      <c r="A44" s="29">
        <v>43.0</v>
      </c>
      <c r="B44" s="29" t="s">
        <v>32</v>
      </c>
      <c r="C44" s="29" t="s">
        <v>1596</v>
      </c>
      <c r="D44" s="29" t="s">
        <v>1573</v>
      </c>
      <c r="E44" s="29" t="s">
        <v>1844</v>
      </c>
      <c r="F44" s="26" t="s">
        <v>1845</v>
      </c>
      <c r="G44" s="29" t="s">
        <v>1579</v>
      </c>
      <c r="H44" s="29">
        <v>3.0</v>
      </c>
      <c r="I44" s="29">
        <v>0.0</v>
      </c>
      <c r="J44" s="29">
        <v>2.0</v>
      </c>
      <c r="K44" s="29">
        <v>4.0</v>
      </c>
      <c r="L44" s="29" t="s">
        <v>842</v>
      </c>
      <c r="M44" s="30" t="str">
        <f>IFNA(VLOOKUP(L44,'Faculty Details'!$B:$H,4,0),"")</f>
        <v>Mr.KARTHIKEYAN S</v>
      </c>
      <c r="N44" s="30" t="str">
        <f>IFNA(VLOOKUP(L44,'Faculty Details'!$B:$H,7,0),"")</f>
        <v>karthikeyan@bitsathy.ac.in</v>
      </c>
      <c r="O44" s="101"/>
    </row>
    <row r="45" ht="39.75" customHeight="1">
      <c r="A45" s="29">
        <v>44.0</v>
      </c>
      <c r="B45" s="29" t="s">
        <v>32</v>
      </c>
      <c r="C45" s="29" t="s">
        <v>1596</v>
      </c>
      <c r="D45" s="29" t="s">
        <v>1573</v>
      </c>
      <c r="E45" s="29" t="s">
        <v>1846</v>
      </c>
      <c r="F45" s="26" t="s">
        <v>1847</v>
      </c>
      <c r="G45" s="29" t="s">
        <v>1576</v>
      </c>
      <c r="H45" s="29">
        <v>3.0</v>
      </c>
      <c r="I45" s="29">
        <v>1.0</v>
      </c>
      <c r="J45" s="29">
        <v>0.0</v>
      </c>
      <c r="K45" s="29">
        <v>4.0</v>
      </c>
      <c r="L45" s="29" t="s">
        <v>865</v>
      </c>
      <c r="M45" s="30" t="str">
        <f>IFNA(VLOOKUP(L45,'Faculty Details'!$B:$H,4,0),"")</f>
        <v>Dr.POONGODI C</v>
      </c>
      <c r="N45" s="30" t="str">
        <f>IFNA(VLOOKUP(L45,'Faculty Details'!$B:$H,7,0),"")</f>
        <v>poongodic@bitsathy.ac.in</v>
      </c>
      <c r="O45" s="101"/>
    </row>
    <row r="46" ht="39.75" customHeight="1">
      <c r="A46" s="29">
        <v>45.0</v>
      </c>
      <c r="B46" s="29" t="s">
        <v>32</v>
      </c>
      <c r="C46" s="29" t="s">
        <v>1596</v>
      </c>
      <c r="D46" s="29" t="s">
        <v>1573</v>
      </c>
      <c r="E46" s="29" t="s">
        <v>1846</v>
      </c>
      <c r="F46" s="26" t="s">
        <v>1847</v>
      </c>
      <c r="G46" s="29" t="s">
        <v>1576</v>
      </c>
      <c r="H46" s="29">
        <v>3.0</v>
      </c>
      <c r="I46" s="29">
        <v>1.0</v>
      </c>
      <c r="J46" s="29">
        <v>0.0</v>
      </c>
      <c r="K46" s="29">
        <v>4.0</v>
      </c>
      <c r="L46" s="29" t="s">
        <v>897</v>
      </c>
      <c r="M46" s="30" t="str">
        <f>IFNA(VLOOKUP(L46,'Faculty Details'!$B:$H,4,0),"")</f>
        <v>Dr.VENKATESHKUMAR U</v>
      </c>
      <c r="N46" s="30" t="str">
        <f>IFNA(VLOOKUP(L46,'Faculty Details'!$B:$H,7,0),"")</f>
        <v>venkateshkumaru@bitsathy.ac.in</v>
      </c>
      <c r="O46" s="101"/>
    </row>
    <row r="47" ht="39.75" customHeight="1">
      <c r="A47" s="29">
        <v>46.0</v>
      </c>
      <c r="B47" s="29" t="s">
        <v>32</v>
      </c>
      <c r="C47" s="29" t="s">
        <v>1596</v>
      </c>
      <c r="D47" s="29" t="s">
        <v>1573</v>
      </c>
      <c r="E47" s="29" t="s">
        <v>1846</v>
      </c>
      <c r="F47" s="26" t="s">
        <v>1847</v>
      </c>
      <c r="G47" s="29" t="s">
        <v>1576</v>
      </c>
      <c r="H47" s="29">
        <v>3.0</v>
      </c>
      <c r="I47" s="29">
        <v>1.0</v>
      </c>
      <c r="J47" s="29">
        <v>0.0</v>
      </c>
      <c r="K47" s="29">
        <v>4.0</v>
      </c>
      <c r="L47" s="29" t="s">
        <v>951</v>
      </c>
      <c r="M47" s="30" t="str">
        <f>IFNA(VLOOKUP(L47,'Faculty Details'!$B:$H,4,0),"")</f>
        <v>Dr.RAMYA P</v>
      </c>
      <c r="N47" s="30" t="str">
        <f>IFNA(VLOOKUP(L47,'Faculty Details'!$B:$H,7,0),"")</f>
        <v>ramyap@bitsathy.ac.in</v>
      </c>
      <c r="O47" s="101"/>
    </row>
    <row r="48" ht="39.75" customHeight="1">
      <c r="A48" s="29">
        <v>47.0</v>
      </c>
      <c r="B48" s="29" t="s">
        <v>32</v>
      </c>
      <c r="C48" s="29" t="s">
        <v>1596</v>
      </c>
      <c r="D48" s="29" t="s">
        <v>1573</v>
      </c>
      <c r="E48" s="29" t="s">
        <v>1846</v>
      </c>
      <c r="F48" s="26" t="s">
        <v>1847</v>
      </c>
      <c r="G48" s="29" t="s">
        <v>1576</v>
      </c>
      <c r="H48" s="29">
        <v>3.0</v>
      </c>
      <c r="I48" s="29">
        <v>1.0</v>
      </c>
      <c r="J48" s="29">
        <v>0.0</v>
      </c>
      <c r="K48" s="29">
        <v>4.0</v>
      </c>
      <c r="L48" s="29" t="s">
        <v>912</v>
      </c>
      <c r="M48" s="30" t="str">
        <f>IFNA(VLOOKUP(L48,'Faculty Details'!$B:$H,4,0),"")</f>
        <v>Mr.HARISH KUMAAR P</v>
      </c>
      <c r="N48" s="30" t="str">
        <f>IFNA(VLOOKUP(L48,'Faculty Details'!$B:$H,7,0),"")</f>
        <v>harishkumaarp@bitsathy.ac.in</v>
      </c>
      <c r="O48" s="101"/>
    </row>
    <row r="49" ht="39.75" customHeight="1">
      <c r="A49" s="29">
        <v>48.0</v>
      </c>
      <c r="B49" s="29" t="s">
        <v>32</v>
      </c>
      <c r="C49" s="29" t="s">
        <v>1596</v>
      </c>
      <c r="D49" s="29" t="s">
        <v>1573</v>
      </c>
      <c r="E49" s="29" t="s">
        <v>1848</v>
      </c>
      <c r="F49" s="26" t="s">
        <v>1849</v>
      </c>
      <c r="G49" s="29" t="s">
        <v>1576</v>
      </c>
      <c r="H49" s="29">
        <v>3.0</v>
      </c>
      <c r="I49" s="29">
        <v>0.0</v>
      </c>
      <c r="J49" s="29">
        <v>2.0</v>
      </c>
      <c r="K49" s="29">
        <v>4.0</v>
      </c>
      <c r="L49" s="29" t="s">
        <v>942</v>
      </c>
      <c r="M49" s="30" t="str">
        <f>IFNA(VLOOKUP(L49,'Faculty Details'!$B:$H,4,0),"")</f>
        <v>Dr.PRAKASH S P</v>
      </c>
      <c r="N49" s="30" t="str">
        <f>IFNA(VLOOKUP(L49,'Faculty Details'!$B:$H,7,0),"")</f>
        <v>prakashsp@bitsathy.ac.in</v>
      </c>
      <c r="O49" s="101"/>
    </row>
    <row r="50" ht="39.75" customHeight="1">
      <c r="A50" s="29">
        <v>49.0</v>
      </c>
      <c r="B50" s="29" t="s">
        <v>32</v>
      </c>
      <c r="C50" s="29" t="s">
        <v>1596</v>
      </c>
      <c r="D50" s="29" t="s">
        <v>1573</v>
      </c>
      <c r="E50" s="29" t="s">
        <v>1848</v>
      </c>
      <c r="F50" s="26" t="s">
        <v>1849</v>
      </c>
      <c r="G50" s="29" t="s">
        <v>1588</v>
      </c>
      <c r="H50" s="29">
        <v>3.0</v>
      </c>
      <c r="I50" s="29">
        <v>0.0</v>
      </c>
      <c r="J50" s="29">
        <v>2.0</v>
      </c>
      <c r="K50" s="29">
        <v>4.0</v>
      </c>
      <c r="L50" s="29" t="s">
        <v>909</v>
      </c>
      <c r="M50" s="30" t="str">
        <f>IFNA(VLOOKUP(L50,'Faculty Details'!$B:$H,4,0),"")</f>
        <v>Mrs.NIVETHA G</v>
      </c>
      <c r="N50" s="30" t="str">
        <f>IFNA(VLOOKUP(L50,'Faculty Details'!$B:$H,7,0),"")</f>
        <v>nivethag@bitsathy.ac.in</v>
      </c>
      <c r="O50" s="101"/>
    </row>
    <row r="51" ht="39.75" customHeight="1">
      <c r="A51" s="29">
        <v>50.0</v>
      </c>
      <c r="B51" s="29" t="s">
        <v>32</v>
      </c>
      <c r="C51" s="29" t="s">
        <v>1596</v>
      </c>
      <c r="D51" s="29" t="s">
        <v>1573</v>
      </c>
      <c r="E51" s="29" t="s">
        <v>1848</v>
      </c>
      <c r="F51" s="26" t="s">
        <v>1849</v>
      </c>
      <c r="G51" s="29" t="s">
        <v>1579</v>
      </c>
      <c r="H51" s="29">
        <v>3.0</v>
      </c>
      <c r="I51" s="29">
        <v>0.0</v>
      </c>
      <c r="J51" s="29">
        <v>2.0</v>
      </c>
      <c r="K51" s="29">
        <v>4.0</v>
      </c>
      <c r="L51" s="29" t="s">
        <v>871</v>
      </c>
      <c r="M51" s="30" t="str">
        <f>IFNA(VLOOKUP(L51,'Faculty Details'!$B:$H,4,0),"")</f>
        <v>Dr.ARULMURUGAN L</v>
      </c>
      <c r="N51" s="30" t="str">
        <f>IFNA(VLOOKUP(L51,'Faculty Details'!$B:$H,7,0),"")</f>
        <v>arulmurugan@bitsathy.ac.in</v>
      </c>
      <c r="O51" s="101"/>
    </row>
    <row r="52" ht="39.75" customHeight="1">
      <c r="A52" s="29">
        <v>51.0</v>
      </c>
      <c r="B52" s="29" t="s">
        <v>32</v>
      </c>
      <c r="C52" s="29" t="s">
        <v>1596</v>
      </c>
      <c r="D52" s="29" t="s">
        <v>1573</v>
      </c>
      <c r="E52" s="29" t="s">
        <v>1848</v>
      </c>
      <c r="F52" s="26" t="s">
        <v>1849</v>
      </c>
      <c r="G52" s="29" t="s">
        <v>1579</v>
      </c>
      <c r="H52" s="29">
        <v>3.0</v>
      </c>
      <c r="I52" s="29">
        <v>0.0</v>
      </c>
      <c r="J52" s="29">
        <v>2.0</v>
      </c>
      <c r="K52" s="29">
        <v>4.0</v>
      </c>
      <c r="L52" s="29" t="s">
        <v>853</v>
      </c>
      <c r="M52" s="68" t="str">
        <f>IFNA(VLOOKUP(L52,'Faculty Details'!$B:$H,4,0),"")</f>
        <v>Mr.RAJA SEKAR S</v>
      </c>
      <c r="N52" s="68" t="str">
        <f>IFNA(VLOOKUP(L52,'Faculty Details'!$B:$H,7,0),"")</f>
        <v>rajasekar@bitsathy.ac.in</v>
      </c>
      <c r="O52" s="104"/>
    </row>
    <row r="53" ht="39.75" customHeight="1">
      <c r="A53" s="29">
        <v>52.0</v>
      </c>
      <c r="B53" s="29" t="s">
        <v>32</v>
      </c>
      <c r="C53" s="29" t="s">
        <v>1596</v>
      </c>
      <c r="D53" s="29" t="s">
        <v>1573</v>
      </c>
      <c r="E53" s="29" t="s">
        <v>1848</v>
      </c>
      <c r="F53" s="26" t="s">
        <v>1849</v>
      </c>
      <c r="G53" s="29" t="s">
        <v>1579</v>
      </c>
      <c r="H53" s="29">
        <v>3.0</v>
      </c>
      <c r="I53" s="29">
        <v>0.0</v>
      </c>
      <c r="J53" s="29">
        <v>2.0</v>
      </c>
      <c r="K53" s="29">
        <v>4.0</v>
      </c>
      <c r="L53" s="29" t="s">
        <v>877</v>
      </c>
      <c r="M53" s="30" t="str">
        <f>IFNA(VLOOKUP(L53,'Faculty Details'!$B:$H,4,0),"")</f>
        <v>Mr.KRISHNARAJ R</v>
      </c>
      <c r="N53" s="30" t="str">
        <f>IFNA(VLOOKUP(L53,'Faculty Details'!$B:$H,7,0),"")</f>
        <v>krishnarajr@bitsathy.ac.in</v>
      </c>
      <c r="O53" s="101"/>
    </row>
    <row r="54" ht="39.75" customHeight="1">
      <c r="A54" s="29">
        <v>53.0</v>
      </c>
      <c r="B54" s="29" t="s">
        <v>32</v>
      </c>
      <c r="C54" s="29" t="s">
        <v>1596</v>
      </c>
      <c r="D54" s="29" t="s">
        <v>1573</v>
      </c>
      <c r="E54" s="29" t="s">
        <v>1850</v>
      </c>
      <c r="F54" s="26" t="s">
        <v>1807</v>
      </c>
      <c r="G54" s="29" t="s">
        <v>1576</v>
      </c>
      <c r="H54" s="29">
        <v>3.0</v>
      </c>
      <c r="I54" s="29">
        <v>0.0</v>
      </c>
      <c r="J54" s="29">
        <v>2.0</v>
      </c>
      <c r="K54" s="29">
        <v>4.0</v>
      </c>
      <c r="L54" s="29" t="s">
        <v>954</v>
      </c>
      <c r="M54" s="30" t="str">
        <f>IFNA(VLOOKUP(L54,'Faculty Details'!$B:$H,4,0),"")</f>
        <v>Dr.SANJOY DEB</v>
      </c>
      <c r="N54" s="30" t="str">
        <f>IFNA(VLOOKUP(L54,'Faculty Details'!$B:$H,7,0),"")</f>
        <v>sanjoydeb@bitsathy.ac.in</v>
      </c>
      <c r="O54" s="103"/>
    </row>
    <row r="55" ht="39.75" customHeight="1">
      <c r="A55" s="29">
        <v>54.0</v>
      </c>
      <c r="B55" s="29" t="s">
        <v>32</v>
      </c>
      <c r="C55" s="29" t="s">
        <v>1596</v>
      </c>
      <c r="D55" s="29" t="s">
        <v>1573</v>
      </c>
      <c r="E55" s="29" t="s">
        <v>1850</v>
      </c>
      <c r="F55" s="26" t="s">
        <v>1807</v>
      </c>
      <c r="G55" s="29" t="s">
        <v>1588</v>
      </c>
      <c r="H55" s="29">
        <v>3.0</v>
      </c>
      <c r="I55" s="29">
        <v>0.0</v>
      </c>
      <c r="J55" s="29">
        <v>2.0</v>
      </c>
      <c r="K55" s="29">
        <v>4.0</v>
      </c>
      <c r="L55" s="29" t="s">
        <v>845</v>
      </c>
      <c r="M55" s="30" t="str">
        <f>IFNA(VLOOKUP(L55,'Faculty Details'!$B:$H,4,0),"")</f>
        <v>Mrs.SARANYA N</v>
      </c>
      <c r="N55" s="30" t="str">
        <f>IFNA(VLOOKUP(L55,'Faculty Details'!$B:$H,7,0),"")</f>
        <v>saranyan@bitsathy.ac.in</v>
      </c>
      <c r="O55" s="103"/>
    </row>
    <row r="56" ht="39.75" customHeight="1">
      <c r="A56" s="29">
        <v>55.0</v>
      </c>
      <c r="B56" s="29" t="s">
        <v>32</v>
      </c>
      <c r="C56" s="29" t="s">
        <v>1596</v>
      </c>
      <c r="D56" s="29" t="s">
        <v>1573</v>
      </c>
      <c r="E56" s="29" t="s">
        <v>1850</v>
      </c>
      <c r="F56" s="26" t="s">
        <v>1807</v>
      </c>
      <c r="G56" s="29" t="s">
        <v>1576</v>
      </c>
      <c r="H56" s="29">
        <v>3.0</v>
      </c>
      <c r="I56" s="29">
        <v>0.0</v>
      </c>
      <c r="J56" s="29">
        <v>2.0</v>
      </c>
      <c r="K56" s="29">
        <v>4.0</v>
      </c>
      <c r="L56" s="29" t="s">
        <v>966</v>
      </c>
      <c r="M56" s="68" t="str">
        <f>IFNA(VLOOKUP(L56,'Faculty Details'!$B:$H,4,0),"")</f>
        <v>Dr.RAMKUMAR R</v>
      </c>
      <c r="N56" s="68" t="str">
        <f>IFNA(VLOOKUP(L56,'Faculty Details'!$B:$H,7,0),"")</f>
        <v>ramkumarr@bitsathy.ac.in</v>
      </c>
      <c r="O56" s="105"/>
    </row>
    <row r="57" ht="39.75" customHeight="1">
      <c r="A57" s="29">
        <v>56.0</v>
      </c>
      <c r="B57" s="29" t="s">
        <v>32</v>
      </c>
      <c r="C57" s="29" t="s">
        <v>1596</v>
      </c>
      <c r="D57" s="29" t="s">
        <v>1573</v>
      </c>
      <c r="E57" s="29" t="s">
        <v>1850</v>
      </c>
      <c r="F57" s="26" t="s">
        <v>1807</v>
      </c>
      <c r="G57" s="29" t="s">
        <v>1588</v>
      </c>
      <c r="H57" s="29">
        <v>3.0</v>
      </c>
      <c r="I57" s="29">
        <v>0.0</v>
      </c>
      <c r="J57" s="29">
        <v>2.0</v>
      </c>
      <c r="K57" s="29">
        <v>4.0</v>
      </c>
      <c r="L57" s="29" t="s">
        <v>915</v>
      </c>
      <c r="M57" s="106" t="str">
        <f>IFNA(VLOOKUP(L57,'Faculty Details'!$B:$H,4,0),"")</f>
        <v>Mrs.DHANALAKSHMI S</v>
      </c>
      <c r="N57" s="106" t="str">
        <f>IFNA(VLOOKUP(L57,'Faculty Details'!$B:$H,7,0),"")</f>
        <v>dhanalakshmis@bitsathy.ac.in</v>
      </c>
      <c r="O57" s="107"/>
    </row>
    <row r="58" ht="39.75" customHeight="1">
      <c r="A58" s="29">
        <v>57.0</v>
      </c>
      <c r="B58" s="29" t="s">
        <v>32</v>
      </c>
      <c r="C58" s="29" t="s">
        <v>1596</v>
      </c>
      <c r="D58" s="29" t="s">
        <v>1573</v>
      </c>
      <c r="E58" s="29" t="s">
        <v>1850</v>
      </c>
      <c r="F58" s="26" t="s">
        <v>1807</v>
      </c>
      <c r="G58" s="29" t="s">
        <v>1579</v>
      </c>
      <c r="H58" s="29">
        <v>3.0</v>
      </c>
      <c r="I58" s="29">
        <v>0.0</v>
      </c>
      <c r="J58" s="29">
        <v>2.0</v>
      </c>
      <c r="K58" s="29">
        <v>4.0</v>
      </c>
      <c r="L58" s="29" t="s">
        <v>886</v>
      </c>
      <c r="M58" s="30" t="str">
        <f>IFNA(VLOOKUP(L58,'Faculty Details'!$B:$H,4,0),"")</f>
        <v>Ms.SHARMILA A</v>
      </c>
      <c r="N58" s="30" t="str">
        <f>IFNA(VLOOKUP(L58,'Faculty Details'!$B:$H,7,0),"")</f>
        <v>sharmilaa@bitsathy.ac.in</v>
      </c>
      <c r="O58" s="101"/>
    </row>
    <row r="59" ht="39.75" customHeight="1">
      <c r="A59" s="29">
        <v>58.0</v>
      </c>
      <c r="B59" s="29" t="s">
        <v>32</v>
      </c>
      <c r="C59" s="29" t="s">
        <v>1596</v>
      </c>
      <c r="D59" s="29" t="s">
        <v>1573</v>
      </c>
      <c r="E59" s="29" t="s">
        <v>1850</v>
      </c>
      <c r="F59" s="26" t="s">
        <v>1807</v>
      </c>
      <c r="G59" s="29" t="s">
        <v>1576</v>
      </c>
      <c r="H59" s="29">
        <v>3.0</v>
      </c>
      <c r="I59" s="29">
        <v>0.0</v>
      </c>
      <c r="J59" s="29">
        <v>2.0</v>
      </c>
      <c r="K59" s="29">
        <v>4.0</v>
      </c>
      <c r="L59" s="29" t="s">
        <v>960</v>
      </c>
      <c r="M59" s="30" t="str">
        <f>IFNA(VLOOKUP(L59,'Faculty Details'!$B:$H,4,0),"")</f>
        <v>Dr.DANIEL RAJ A</v>
      </c>
      <c r="N59" s="30" t="str">
        <f>IFNA(VLOOKUP(L59,'Faculty Details'!$B:$H,7,0),"")</f>
        <v>danielraja@bitsathy.ac.in</v>
      </c>
      <c r="O59" s="103"/>
    </row>
    <row r="60" ht="39.75" customHeight="1">
      <c r="A60" s="29">
        <v>59.0</v>
      </c>
      <c r="B60" s="29" t="s">
        <v>32</v>
      </c>
      <c r="C60" s="29" t="s">
        <v>1596</v>
      </c>
      <c r="D60" s="29" t="s">
        <v>1573</v>
      </c>
      <c r="E60" s="29" t="s">
        <v>1850</v>
      </c>
      <c r="F60" s="26" t="s">
        <v>1807</v>
      </c>
      <c r="G60" s="29" t="s">
        <v>1588</v>
      </c>
      <c r="H60" s="29">
        <v>3.0</v>
      </c>
      <c r="I60" s="29">
        <v>0.0</v>
      </c>
      <c r="J60" s="29">
        <v>2.0</v>
      </c>
      <c r="K60" s="29">
        <v>4.0</v>
      </c>
      <c r="L60" s="29" t="s">
        <v>927</v>
      </c>
      <c r="M60" s="30" t="str">
        <f>IFNA(VLOOKUP(L60,'Faculty Details'!$B:$H,4,0),"")</f>
        <v>Mrs.RAGAVI M</v>
      </c>
      <c r="N60" s="30" t="str">
        <f>IFNA(VLOOKUP(L60,'Faculty Details'!$B:$H,7,0),"")</f>
        <v>ragavim@bitsathy.ac.in</v>
      </c>
      <c r="O60" s="103"/>
    </row>
    <row r="61" ht="39.75" customHeight="1">
      <c r="A61" s="29">
        <v>60.0</v>
      </c>
      <c r="B61" s="29" t="s">
        <v>32</v>
      </c>
      <c r="C61" s="29" t="s">
        <v>1596</v>
      </c>
      <c r="D61" s="29" t="s">
        <v>1607</v>
      </c>
      <c r="E61" s="108" t="s">
        <v>33</v>
      </c>
      <c r="F61" s="109" t="s">
        <v>34</v>
      </c>
      <c r="G61" s="29" t="s">
        <v>1576</v>
      </c>
      <c r="H61" s="29">
        <v>3.0</v>
      </c>
      <c r="I61" s="29">
        <v>0.0</v>
      </c>
      <c r="J61" s="29">
        <v>0.0</v>
      </c>
      <c r="K61" s="29">
        <v>3.0</v>
      </c>
      <c r="L61" s="29" t="s">
        <v>909</v>
      </c>
      <c r="M61" s="30" t="str">
        <f>IFNA(VLOOKUP(L61,'Faculty Details'!$B:$H,4,0),"")</f>
        <v>Mrs.NIVETHA G</v>
      </c>
      <c r="N61" s="30" t="str">
        <f>IFNA(VLOOKUP(L61,'Faculty Details'!$B:$H,7,0),"")</f>
        <v>nivethag@bitsathy.ac.in</v>
      </c>
      <c r="O61" s="101"/>
    </row>
    <row r="62" ht="39.75" customHeight="1">
      <c r="A62" s="29">
        <v>61.0</v>
      </c>
      <c r="B62" s="29" t="s">
        <v>32</v>
      </c>
      <c r="C62" s="29" t="s">
        <v>1596</v>
      </c>
      <c r="D62" s="29" t="s">
        <v>1607</v>
      </c>
      <c r="E62" s="108" t="s">
        <v>33</v>
      </c>
      <c r="F62" s="109" t="s">
        <v>34</v>
      </c>
      <c r="G62" s="29" t="s">
        <v>1576</v>
      </c>
      <c r="H62" s="29">
        <v>3.0</v>
      </c>
      <c r="I62" s="29">
        <v>0.0</v>
      </c>
      <c r="J62" s="29">
        <v>0.0</v>
      </c>
      <c r="K62" s="29">
        <v>3.0</v>
      </c>
      <c r="L62" s="29" t="s">
        <v>927</v>
      </c>
      <c r="M62" s="30" t="str">
        <f>IFNA(VLOOKUP(L62,'Faculty Details'!$B:$H,4,0),"")</f>
        <v>Mrs.RAGAVI M</v>
      </c>
      <c r="N62" s="30" t="str">
        <f>IFNA(VLOOKUP(L62,'Faculty Details'!$B:$H,7,0),"")</f>
        <v>ragavim@bitsathy.ac.in</v>
      </c>
      <c r="O62" s="101"/>
    </row>
    <row r="63" ht="39.75" customHeight="1">
      <c r="A63" s="29">
        <v>62.0</v>
      </c>
      <c r="B63" s="29" t="s">
        <v>32</v>
      </c>
      <c r="C63" s="29" t="s">
        <v>1596</v>
      </c>
      <c r="D63" s="29" t="s">
        <v>1607</v>
      </c>
      <c r="E63" s="108" t="s">
        <v>33</v>
      </c>
      <c r="F63" s="109" t="s">
        <v>34</v>
      </c>
      <c r="G63" s="29" t="s">
        <v>1576</v>
      </c>
      <c r="H63" s="29">
        <v>3.0</v>
      </c>
      <c r="I63" s="29">
        <v>0.0</v>
      </c>
      <c r="J63" s="29">
        <v>0.0</v>
      </c>
      <c r="K63" s="29">
        <v>3.0</v>
      </c>
      <c r="L63" s="29" t="s">
        <v>957</v>
      </c>
      <c r="M63" s="68" t="str">
        <f>IFNA(VLOOKUP(L63,'Faculty Details'!$B:$H,4,0),"")</f>
        <v>Dr.ELANGO S</v>
      </c>
      <c r="N63" s="68" t="str">
        <f>IFNA(VLOOKUP(L63,'Faculty Details'!$B:$H,7,0),"")</f>
        <v>elangos@bitsathy.ac.in</v>
      </c>
      <c r="O63" s="104"/>
    </row>
    <row r="64" ht="39.75" customHeight="1">
      <c r="A64" s="29">
        <v>63.0</v>
      </c>
      <c r="B64" s="29" t="s">
        <v>32</v>
      </c>
      <c r="C64" s="29" t="s">
        <v>1596</v>
      </c>
      <c r="D64" s="29" t="s">
        <v>1607</v>
      </c>
      <c r="E64" s="108" t="s">
        <v>35</v>
      </c>
      <c r="F64" s="109" t="s">
        <v>36</v>
      </c>
      <c r="G64" s="29" t="s">
        <v>1576</v>
      </c>
      <c r="H64" s="29">
        <v>3.0</v>
      </c>
      <c r="I64" s="29">
        <v>0.0</v>
      </c>
      <c r="J64" s="29">
        <v>0.0</v>
      </c>
      <c r="K64" s="29">
        <v>3.0</v>
      </c>
      <c r="L64" s="29" t="s">
        <v>1235</v>
      </c>
      <c r="M64" s="30" t="str">
        <f>IFNA(VLOOKUP(L64,'Faculty Details'!$B:$H,4,0),"")</f>
        <v>Mrs.GAYATHRI D</v>
      </c>
      <c r="N64" s="30" t="str">
        <f>IFNA(VLOOKUP(L64,'Faculty Details'!$B:$H,7,0),"")</f>
        <v>gayathrid@bitsathy.ac.in</v>
      </c>
      <c r="O64" s="101"/>
    </row>
    <row r="65" ht="39.75" customHeight="1">
      <c r="A65" s="29">
        <v>64.0</v>
      </c>
      <c r="B65" s="29" t="s">
        <v>32</v>
      </c>
      <c r="C65" s="29" t="s">
        <v>1596</v>
      </c>
      <c r="D65" s="29" t="s">
        <v>1607</v>
      </c>
      <c r="E65" s="108" t="s">
        <v>35</v>
      </c>
      <c r="F65" s="109" t="s">
        <v>36</v>
      </c>
      <c r="G65" s="29" t="s">
        <v>1576</v>
      </c>
      <c r="H65" s="29">
        <v>3.0</v>
      </c>
      <c r="I65" s="29">
        <v>0.0</v>
      </c>
      <c r="J65" s="29">
        <v>0.0</v>
      </c>
      <c r="K65" s="29">
        <v>3.0</v>
      </c>
      <c r="L65" s="83" t="s">
        <v>584</v>
      </c>
      <c r="M65" s="30" t="str">
        <f>IFNA(VLOOKUP(L65,'Faculty Details'!$B:$H,4,0),"")</f>
        <v>Ms.KIRUTHIKA S</v>
      </c>
      <c r="N65" s="30" t="str">
        <f>IFNA(VLOOKUP(L65,'Faculty Details'!$B:$H,7,0),"")</f>
        <v>kiruthikas@bitsathy.ac.in</v>
      </c>
      <c r="O65" s="101"/>
    </row>
    <row r="66" ht="39.75" customHeight="1">
      <c r="A66" s="29">
        <v>65.0</v>
      </c>
      <c r="B66" s="29" t="s">
        <v>32</v>
      </c>
      <c r="C66" s="29" t="s">
        <v>1596</v>
      </c>
      <c r="D66" s="29" t="s">
        <v>1573</v>
      </c>
      <c r="E66" s="29" t="s">
        <v>1608</v>
      </c>
      <c r="F66" s="26" t="s">
        <v>1609</v>
      </c>
      <c r="G66" s="29" t="s">
        <v>1588</v>
      </c>
      <c r="H66" s="29">
        <v>2.0</v>
      </c>
      <c r="I66" s="29">
        <v>0.0</v>
      </c>
      <c r="J66" s="29">
        <v>0.0</v>
      </c>
      <c r="K66" s="29">
        <v>2.0</v>
      </c>
      <c r="L66" s="29" t="s">
        <v>619</v>
      </c>
      <c r="M66" s="30" t="str">
        <f>IFNA(VLOOKUP(L66,'Faculty Details'!$B:$H,4,0),"")</f>
        <v>Dr.SATHISH V</v>
      </c>
      <c r="N66" s="30" t="str">
        <f>IFNA(VLOOKUP(L66,'Faculty Details'!$B:$H,7,0),"")</f>
        <v>sathishv@bitsathy.ac.in</v>
      </c>
      <c r="O66" s="101"/>
    </row>
    <row r="67" ht="39.75" customHeight="1">
      <c r="A67" s="29">
        <v>66.0</v>
      </c>
      <c r="B67" s="29" t="s">
        <v>32</v>
      </c>
      <c r="C67" s="29" t="s">
        <v>1596</v>
      </c>
      <c r="D67" s="29" t="s">
        <v>1573</v>
      </c>
      <c r="E67" s="29" t="s">
        <v>1608</v>
      </c>
      <c r="F67" s="26" t="s">
        <v>1609</v>
      </c>
      <c r="G67" s="29" t="s">
        <v>1588</v>
      </c>
      <c r="H67" s="29">
        <v>2.0</v>
      </c>
      <c r="I67" s="29">
        <v>0.0</v>
      </c>
      <c r="J67" s="29">
        <v>0.0</v>
      </c>
      <c r="K67" s="29">
        <v>2.0</v>
      </c>
      <c r="L67" s="29" t="s">
        <v>632</v>
      </c>
      <c r="M67" s="30" t="str">
        <f>IFNA(VLOOKUP(L67,'Faculty Details'!$B:$H,4,0),"")</f>
        <v>Dr.RAMESHKUMAR A</v>
      </c>
      <c r="N67" s="30" t="str">
        <f>IFNA(VLOOKUP(L67,'Faculty Details'!$B:$H,7,0),"")</f>
        <v>rameshkumar@bitsathy.ac.in</v>
      </c>
      <c r="O67" s="101"/>
    </row>
    <row r="68" ht="39.75" customHeight="1">
      <c r="A68" s="29">
        <v>67.0</v>
      </c>
      <c r="B68" s="29" t="s">
        <v>32</v>
      </c>
      <c r="C68" s="29" t="s">
        <v>1596</v>
      </c>
      <c r="D68" s="29" t="s">
        <v>1573</v>
      </c>
      <c r="E68" s="29" t="s">
        <v>1608</v>
      </c>
      <c r="F68" s="26" t="s">
        <v>1609</v>
      </c>
      <c r="G68" s="29" t="s">
        <v>1588</v>
      </c>
      <c r="H68" s="29">
        <v>2.0</v>
      </c>
      <c r="I68" s="29">
        <v>0.0</v>
      </c>
      <c r="J68" s="29">
        <v>0.0</v>
      </c>
      <c r="K68" s="29">
        <v>2.0</v>
      </c>
      <c r="L68" s="29" t="s">
        <v>638</v>
      </c>
      <c r="M68" s="30" t="str">
        <f>IFNA(VLOOKUP(L68,'Faculty Details'!$B:$H,4,0),"")</f>
        <v>Dr.KARUPPUSAMY S</v>
      </c>
      <c r="N68" s="30" t="str">
        <f>IFNA(VLOOKUP(L68,'Faculty Details'!$B:$H,7,0),"")</f>
        <v>karuppusamys@bitsathy.ac.in</v>
      </c>
      <c r="O68" s="101"/>
    </row>
    <row r="69" ht="39.75" customHeight="1">
      <c r="A69" s="29">
        <v>68.0</v>
      </c>
      <c r="B69" s="29" t="s">
        <v>32</v>
      </c>
      <c r="C69" s="29" t="s">
        <v>1596</v>
      </c>
      <c r="D69" s="29" t="s">
        <v>1573</v>
      </c>
      <c r="E69" s="29" t="s">
        <v>1608</v>
      </c>
      <c r="F69" s="26" t="s">
        <v>1609</v>
      </c>
      <c r="G69" s="29" t="s">
        <v>1588</v>
      </c>
      <c r="H69" s="29">
        <v>2.0</v>
      </c>
      <c r="I69" s="29">
        <v>0.0</v>
      </c>
      <c r="J69" s="29">
        <v>0.0</v>
      </c>
      <c r="K69" s="29">
        <v>2.0</v>
      </c>
      <c r="L69" s="29" t="s">
        <v>647</v>
      </c>
      <c r="M69" s="30" t="str">
        <f>IFNA(VLOOKUP(L69,'Faculty Details'!$B:$H,4,0),"")</f>
        <v>Dr.KASTHURI S</v>
      </c>
      <c r="N69" s="30" t="str">
        <f>IFNA(VLOOKUP(L69,'Faculty Details'!$B:$H,7,0),"")</f>
        <v>kasthuris@bitsathy.ac.in</v>
      </c>
      <c r="O69" s="101"/>
    </row>
    <row r="70" ht="39.75" customHeight="1">
      <c r="A70" s="29">
        <v>69.0</v>
      </c>
      <c r="B70" s="29" t="s">
        <v>32</v>
      </c>
      <c r="C70" s="29" t="s">
        <v>1596</v>
      </c>
      <c r="D70" s="29" t="s">
        <v>1573</v>
      </c>
      <c r="E70" s="29" t="s">
        <v>1610</v>
      </c>
      <c r="F70" s="34" t="s">
        <v>1611</v>
      </c>
      <c r="G70" s="29" t="s">
        <v>1588</v>
      </c>
      <c r="H70" s="29">
        <v>0.0</v>
      </c>
      <c r="I70" s="29">
        <v>0.0</v>
      </c>
      <c r="J70" s="29">
        <v>2.0</v>
      </c>
      <c r="K70" s="29">
        <v>1.0</v>
      </c>
      <c r="L70" s="29" t="s">
        <v>1124</v>
      </c>
      <c r="M70" s="30" t="str">
        <f>IFNA(VLOOKUP(L70,'Faculty Details'!$B:$H,4,0),"")</f>
        <v>Dr.EZHIL G</v>
      </c>
      <c r="N70" s="30" t="str">
        <f>IFNA(VLOOKUP(L70,'Faculty Details'!$B:$H,7,0),"")</f>
        <v>ezhil@bitsathy.ac.in</v>
      </c>
      <c r="O70" s="101"/>
    </row>
    <row r="71" ht="39.75" customHeight="1">
      <c r="A71" s="29">
        <v>70.0</v>
      </c>
      <c r="B71" s="29" t="s">
        <v>32</v>
      </c>
      <c r="C71" s="29" t="s">
        <v>1596</v>
      </c>
      <c r="D71" s="29" t="s">
        <v>1573</v>
      </c>
      <c r="E71" s="29" t="s">
        <v>1610</v>
      </c>
      <c r="F71" s="34" t="s">
        <v>1611</v>
      </c>
      <c r="G71" s="29" t="s">
        <v>1588</v>
      </c>
      <c r="H71" s="29">
        <v>0.0</v>
      </c>
      <c r="I71" s="29">
        <v>0.0</v>
      </c>
      <c r="J71" s="29">
        <v>2.0</v>
      </c>
      <c r="K71" s="29">
        <v>1.0</v>
      </c>
      <c r="L71" s="29" t="s">
        <v>1127</v>
      </c>
      <c r="M71" s="30" t="str">
        <f>IFNA(VLOOKUP(L71,'Faculty Details'!$B:$H,4,0),"")</f>
        <v>Dr.NITHYA S</v>
      </c>
      <c r="N71" s="30" t="str">
        <f>IFNA(VLOOKUP(L71,'Faculty Details'!$B:$H,7,0),"")</f>
        <v>nithyas@bitsathy.ac.in</v>
      </c>
      <c r="O71" s="101"/>
    </row>
    <row r="72" ht="39.75" customHeight="1">
      <c r="A72" s="29">
        <v>71.0</v>
      </c>
      <c r="B72" s="29" t="s">
        <v>32</v>
      </c>
      <c r="C72" s="29" t="s">
        <v>1596</v>
      </c>
      <c r="D72" s="29" t="s">
        <v>1573</v>
      </c>
      <c r="E72" s="29" t="s">
        <v>1610</v>
      </c>
      <c r="F72" s="34" t="s">
        <v>1611</v>
      </c>
      <c r="G72" s="29" t="s">
        <v>1588</v>
      </c>
      <c r="H72" s="29">
        <v>0.0</v>
      </c>
      <c r="I72" s="29">
        <v>0.0</v>
      </c>
      <c r="J72" s="29">
        <v>2.0</v>
      </c>
      <c r="K72" s="29">
        <v>1.0</v>
      </c>
      <c r="L72" s="29" t="s">
        <v>1133</v>
      </c>
      <c r="M72" s="30" t="str">
        <f>IFNA(VLOOKUP(L72,'Faculty Details'!$B:$H,4,0),"")</f>
        <v>Dr.JAYA K</v>
      </c>
      <c r="N72" s="30" t="str">
        <f>IFNA(VLOOKUP(L72,'Faculty Details'!$B:$H,7,0),"")</f>
        <v>jayak@bitsathy.ac.in</v>
      </c>
      <c r="O72" s="101"/>
    </row>
    <row r="73" ht="39.75" customHeight="1">
      <c r="A73" s="29">
        <v>72.0</v>
      </c>
      <c r="B73" s="29" t="s">
        <v>32</v>
      </c>
      <c r="C73" s="29" t="s">
        <v>1596</v>
      </c>
      <c r="D73" s="29" t="s">
        <v>1573</v>
      </c>
      <c r="E73" s="29" t="s">
        <v>1610</v>
      </c>
      <c r="F73" s="34" t="s">
        <v>1611</v>
      </c>
      <c r="G73" s="29" t="s">
        <v>1588</v>
      </c>
      <c r="H73" s="29">
        <v>0.0</v>
      </c>
      <c r="I73" s="29">
        <v>0.0</v>
      </c>
      <c r="J73" s="29">
        <v>2.0</v>
      </c>
      <c r="K73" s="29">
        <v>1.0</v>
      </c>
      <c r="L73" s="29" t="s">
        <v>1118</v>
      </c>
      <c r="M73" s="30" t="str">
        <f>IFNA(VLOOKUP(L73,'Faculty Details'!$B:$H,4,0),"")</f>
        <v>Dr.GAYATHRI G M</v>
      </c>
      <c r="N73" s="30" t="str">
        <f>IFNA(VLOOKUP(L73,'Faculty Details'!$B:$H,7,0),"")</f>
        <v>gayathri@bitsathy.ac.in</v>
      </c>
      <c r="O73" s="101"/>
    </row>
    <row r="74" ht="39.75" customHeight="1">
      <c r="A74" s="29">
        <v>73.0</v>
      </c>
      <c r="B74" s="29" t="s">
        <v>32</v>
      </c>
      <c r="C74" s="29" t="s">
        <v>1612</v>
      </c>
      <c r="D74" s="29" t="s">
        <v>1573</v>
      </c>
      <c r="E74" s="29" t="s">
        <v>1851</v>
      </c>
      <c r="F74" s="26" t="s">
        <v>1852</v>
      </c>
      <c r="G74" s="29" t="s">
        <v>1576</v>
      </c>
      <c r="H74" s="29">
        <v>3.0</v>
      </c>
      <c r="I74" s="29">
        <v>0.0</v>
      </c>
      <c r="J74" s="29">
        <v>0.0</v>
      </c>
      <c r="K74" s="29">
        <v>3.0</v>
      </c>
      <c r="L74" s="29" t="s">
        <v>845</v>
      </c>
      <c r="M74" s="30" t="str">
        <f>IFNA(VLOOKUP(L74,'Faculty Details'!$B:$H,4,0),"")</f>
        <v>Mrs.SARANYA N</v>
      </c>
      <c r="N74" s="30" t="str">
        <f>IFNA(VLOOKUP(L74,'Faculty Details'!$B:$H,7,0),"")</f>
        <v>saranyan@bitsathy.ac.in</v>
      </c>
      <c r="O74" s="101"/>
    </row>
    <row r="75" ht="39.75" customHeight="1">
      <c r="A75" s="29">
        <v>74.0</v>
      </c>
      <c r="B75" s="29" t="s">
        <v>32</v>
      </c>
      <c r="C75" s="29" t="s">
        <v>1612</v>
      </c>
      <c r="D75" s="29" t="s">
        <v>1573</v>
      </c>
      <c r="E75" s="29" t="s">
        <v>1851</v>
      </c>
      <c r="F75" s="26" t="s">
        <v>1852</v>
      </c>
      <c r="G75" s="29" t="s">
        <v>1576</v>
      </c>
      <c r="H75" s="29">
        <v>3.0</v>
      </c>
      <c r="I75" s="29">
        <v>0.0</v>
      </c>
      <c r="J75" s="29">
        <v>0.0</v>
      </c>
      <c r="K75" s="29">
        <v>3.0</v>
      </c>
      <c r="L75" s="29" t="s">
        <v>915</v>
      </c>
      <c r="M75" s="30" t="str">
        <f>IFNA(VLOOKUP(L75,'Faculty Details'!$B:$H,4,0),"")</f>
        <v>Mrs.DHANALAKSHMI S</v>
      </c>
      <c r="N75" s="30" t="str">
        <f>IFNA(VLOOKUP(L75,'Faculty Details'!$B:$H,7,0),"")</f>
        <v>dhanalakshmis@bitsathy.ac.in</v>
      </c>
      <c r="O75" s="101"/>
    </row>
    <row r="76" ht="39.75" customHeight="1">
      <c r="A76" s="29">
        <v>75.0</v>
      </c>
      <c r="B76" s="29" t="s">
        <v>32</v>
      </c>
      <c r="C76" s="29" t="s">
        <v>1612</v>
      </c>
      <c r="D76" s="29" t="s">
        <v>1573</v>
      </c>
      <c r="E76" s="29" t="s">
        <v>1851</v>
      </c>
      <c r="F76" s="26" t="s">
        <v>1852</v>
      </c>
      <c r="G76" s="29" t="s">
        <v>1576</v>
      </c>
      <c r="H76" s="29">
        <v>3.0</v>
      </c>
      <c r="I76" s="29">
        <v>0.0</v>
      </c>
      <c r="J76" s="29">
        <v>0.0</v>
      </c>
      <c r="K76" s="29">
        <v>3.0</v>
      </c>
      <c r="L76" s="29" t="s">
        <v>880</v>
      </c>
      <c r="M76" s="30" t="str">
        <f>IFNA(VLOOKUP(L76,'Faculty Details'!$B:$H,4,0),"")</f>
        <v>Mrs.MYTHILI S</v>
      </c>
      <c r="N76" s="30" t="str">
        <f>IFNA(VLOOKUP(L76,'Faculty Details'!$B:$H,7,0),"")</f>
        <v>mythilis@bitsathy.ac.in</v>
      </c>
      <c r="O76" s="101"/>
    </row>
    <row r="77" ht="39.75" customHeight="1">
      <c r="A77" s="29">
        <v>76.0</v>
      </c>
      <c r="B77" s="29" t="s">
        <v>32</v>
      </c>
      <c r="C77" s="29" t="s">
        <v>1612</v>
      </c>
      <c r="D77" s="29" t="s">
        <v>1573</v>
      </c>
      <c r="E77" s="29" t="s">
        <v>1851</v>
      </c>
      <c r="F77" s="26" t="s">
        <v>1852</v>
      </c>
      <c r="G77" s="29" t="s">
        <v>1576</v>
      </c>
      <c r="H77" s="29">
        <v>3.0</v>
      </c>
      <c r="I77" s="29">
        <v>0.0</v>
      </c>
      <c r="J77" s="29">
        <v>0.0</v>
      </c>
      <c r="K77" s="29">
        <v>3.0</v>
      </c>
      <c r="L77" s="29" t="s">
        <v>839</v>
      </c>
      <c r="M77" s="30" t="str">
        <f>IFNA(VLOOKUP(L77,'Faculty Details'!$B:$H,4,0),"")</f>
        <v>Dr.SAMPOORNAM K P</v>
      </c>
      <c r="N77" s="30" t="str">
        <f>IFNA(VLOOKUP(L77,'Faculty Details'!$B:$H,7,0),"")</f>
        <v>sampoornam@bitsathy.ac.in</v>
      </c>
      <c r="O77" s="101"/>
    </row>
    <row r="78" ht="39.75" customHeight="1">
      <c r="A78" s="29">
        <v>77.0</v>
      </c>
      <c r="B78" s="29" t="s">
        <v>32</v>
      </c>
      <c r="C78" s="29" t="s">
        <v>1612</v>
      </c>
      <c r="D78" s="29" t="s">
        <v>1573</v>
      </c>
      <c r="E78" s="29" t="s">
        <v>1853</v>
      </c>
      <c r="F78" s="26" t="s">
        <v>1854</v>
      </c>
      <c r="G78" s="29" t="s">
        <v>1579</v>
      </c>
      <c r="H78" s="29">
        <v>3.0</v>
      </c>
      <c r="I78" s="29">
        <v>0.0</v>
      </c>
      <c r="J78" s="29">
        <v>2.0</v>
      </c>
      <c r="K78" s="29">
        <v>4.0</v>
      </c>
      <c r="L78" s="29" t="s">
        <v>945</v>
      </c>
      <c r="M78" s="30" t="str">
        <f>IFNA(VLOOKUP(L78,'Faculty Details'!$B:$H,4,0),"")</f>
        <v>Dr.PUSHPAVALLI M</v>
      </c>
      <c r="N78" s="30" t="str">
        <f>IFNA(VLOOKUP(L78,'Faculty Details'!$B:$H,7,0),"")</f>
        <v>pushpavallim@bitsathy.ac.in</v>
      </c>
      <c r="O78" s="101"/>
    </row>
    <row r="79" ht="39.75" customHeight="1">
      <c r="A79" s="29">
        <v>78.0</v>
      </c>
      <c r="B79" s="29" t="s">
        <v>32</v>
      </c>
      <c r="C79" s="29" t="s">
        <v>1612</v>
      </c>
      <c r="D79" s="29" t="s">
        <v>1573</v>
      </c>
      <c r="E79" s="29" t="s">
        <v>1853</v>
      </c>
      <c r="F79" s="26" t="s">
        <v>1854</v>
      </c>
      <c r="G79" s="29" t="s">
        <v>1579</v>
      </c>
      <c r="H79" s="29">
        <v>3.0</v>
      </c>
      <c r="I79" s="29">
        <v>0.0</v>
      </c>
      <c r="J79" s="29">
        <v>2.0</v>
      </c>
      <c r="K79" s="29">
        <v>4.0</v>
      </c>
      <c r="L79" s="29" t="s">
        <v>850</v>
      </c>
      <c r="M79" s="30" t="str">
        <f>IFNA(VLOOKUP(L79,'Faculty Details'!$B:$H,4,0),"")</f>
        <v>Mr.TAMILSELVAN S</v>
      </c>
      <c r="N79" s="30" t="str">
        <f>IFNA(VLOOKUP(L79,'Faculty Details'!$B:$H,7,0),"")</f>
        <v>tamilselvans@bitsathy.ac.in</v>
      </c>
      <c r="O79" s="101"/>
    </row>
    <row r="80" ht="39.75" customHeight="1">
      <c r="A80" s="29">
        <v>79.0</v>
      </c>
      <c r="B80" s="29" t="s">
        <v>32</v>
      </c>
      <c r="C80" s="29" t="s">
        <v>1612</v>
      </c>
      <c r="D80" s="29" t="s">
        <v>1573</v>
      </c>
      <c r="E80" s="29" t="s">
        <v>1853</v>
      </c>
      <c r="F80" s="26" t="s">
        <v>1854</v>
      </c>
      <c r="G80" s="29" t="s">
        <v>1579</v>
      </c>
      <c r="H80" s="29">
        <v>3.0</v>
      </c>
      <c r="I80" s="29">
        <v>0.0</v>
      </c>
      <c r="J80" s="29">
        <v>2.0</v>
      </c>
      <c r="K80" s="29">
        <v>4.0</v>
      </c>
      <c r="L80" s="29" t="s">
        <v>889</v>
      </c>
      <c r="M80" s="30" t="str">
        <f>IFNA(VLOOKUP(L80,'Faculty Details'!$B:$H,4,0),"")</f>
        <v>Dr.MURUGAN K</v>
      </c>
      <c r="N80" s="30" t="str">
        <f>IFNA(VLOOKUP(L80,'Faculty Details'!$B:$H,7,0),"")</f>
        <v>murugank@bitsathy.ac.in</v>
      </c>
      <c r="O80" s="101"/>
    </row>
    <row r="81" ht="39.75" customHeight="1">
      <c r="A81" s="29">
        <v>80.0</v>
      </c>
      <c r="B81" s="29" t="s">
        <v>32</v>
      </c>
      <c r="C81" s="29" t="s">
        <v>1612</v>
      </c>
      <c r="D81" s="29" t="s">
        <v>1573</v>
      </c>
      <c r="E81" s="29" t="s">
        <v>1853</v>
      </c>
      <c r="F81" s="26" t="s">
        <v>1854</v>
      </c>
      <c r="G81" s="29" t="s">
        <v>1576</v>
      </c>
      <c r="H81" s="29">
        <v>3.0</v>
      </c>
      <c r="I81" s="29">
        <v>0.0</v>
      </c>
      <c r="J81" s="29">
        <v>2.0</v>
      </c>
      <c r="K81" s="29">
        <v>4.0</v>
      </c>
      <c r="L81" s="29" t="s">
        <v>957</v>
      </c>
      <c r="M81" s="30" t="str">
        <f>IFNA(VLOOKUP(L81,'Faculty Details'!$B:$H,4,0),"")</f>
        <v>Dr.ELANGO S</v>
      </c>
      <c r="N81" s="30" t="str">
        <f>IFNA(VLOOKUP(L81,'Faculty Details'!$B:$H,7,0),"")</f>
        <v>elangos@bitsathy.ac.in</v>
      </c>
      <c r="O81" s="101"/>
    </row>
    <row r="82" ht="39.75" customHeight="1">
      <c r="A82" s="29">
        <v>81.0</v>
      </c>
      <c r="B82" s="29" t="s">
        <v>32</v>
      </c>
      <c r="C82" s="29" t="s">
        <v>1612</v>
      </c>
      <c r="D82" s="29" t="s">
        <v>1573</v>
      </c>
      <c r="E82" s="29" t="s">
        <v>1853</v>
      </c>
      <c r="F82" s="26" t="s">
        <v>1854</v>
      </c>
      <c r="G82" s="29" t="s">
        <v>1588</v>
      </c>
      <c r="H82" s="29">
        <v>3.0</v>
      </c>
      <c r="I82" s="29">
        <v>0.0</v>
      </c>
      <c r="J82" s="29">
        <v>2.0</v>
      </c>
      <c r="K82" s="29">
        <v>4.0</v>
      </c>
      <c r="L82" s="29" t="s">
        <v>903</v>
      </c>
      <c r="M82" s="30" t="str">
        <f>IFNA(VLOOKUP(L82,'Faculty Details'!$B:$H,4,0),"")</f>
        <v>Mrs.MARIAAMUTHA R</v>
      </c>
      <c r="N82" s="30" t="str">
        <f>IFNA(VLOOKUP(L82,'Faculty Details'!$B:$H,7,0),"")</f>
        <v>mariaamuthar@bitsathy.ac.in</v>
      </c>
      <c r="O82" s="101"/>
    </row>
    <row r="83" ht="39.75" customHeight="1">
      <c r="A83" s="29">
        <v>82.0</v>
      </c>
      <c r="B83" s="29" t="s">
        <v>32</v>
      </c>
      <c r="C83" s="29" t="s">
        <v>1612</v>
      </c>
      <c r="D83" s="29" t="s">
        <v>1573</v>
      </c>
      <c r="E83" s="29" t="s">
        <v>1855</v>
      </c>
      <c r="F83" s="26" t="s">
        <v>1694</v>
      </c>
      <c r="G83" s="29" t="s">
        <v>1576</v>
      </c>
      <c r="H83" s="29">
        <v>3.0</v>
      </c>
      <c r="I83" s="29">
        <v>0.0</v>
      </c>
      <c r="J83" s="29">
        <v>2.0</v>
      </c>
      <c r="K83" s="29">
        <v>4.0</v>
      </c>
      <c r="L83" s="29" t="s">
        <v>842</v>
      </c>
      <c r="M83" s="30" t="str">
        <f>IFNA(VLOOKUP(L83,'Faculty Details'!$B:$H,4,0),"")</f>
        <v>Mr.KARTHIKEYAN S</v>
      </c>
      <c r="N83" s="30" t="str">
        <f>IFNA(VLOOKUP(L83,'Faculty Details'!$B:$H,7,0),"")</f>
        <v>karthikeyan@bitsathy.ac.in</v>
      </c>
      <c r="O83" s="103"/>
    </row>
    <row r="84" ht="39.75" customHeight="1">
      <c r="A84" s="29">
        <v>83.0</v>
      </c>
      <c r="B84" s="29" t="s">
        <v>32</v>
      </c>
      <c r="C84" s="29" t="s">
        <v>1612</v>
      </c>
      <c r="D84" s="29" t="s">
        <v>1573</v>
      </c>
      <c r="E84" s="29" t="s">
        <v>1855</v>
      </c>
      <c r="F84" s="26" t="s">
        <v>1694</v>
      </c>
      <c r="G84" s="29" t="s">
        <v>1588</v>
      </c>
      <c r="H84" s="29">
        <v>3.0</v>
      </c>
      <c r="I84" s="29">
        <v>0.0</v>
      </c>
      <c r="J84" s="29">
        <v>2.0</v>
      </c>
      <c r="K84" s="29">
        <v>4.0</v>
      </c>
      <c r="L84" s="29"/>
      <c r="M84" s="30" t="str">
        <f>IFNA(VLOOKUP(L84,'Faculty Details'!$B:$H,4,0),"")</f>
        <v/>
      </c>
      <c r="N84" s="30" t="str">
        <f>IFNA(VLOOKUP(L84,'Faculty Details'!$B:$H,7,0),"")</f>
        <v/>
      </c>
      <c r="O84" s="103" t="s">
        <v>1856</v>
      </c>
    </row>
    <row r="85" ht="39.75" customHeight="1">
      <c r="A85" s="29">
        <v>84.0</v>
      </c>
      <c r="B85" s="29" t="s">
        <v>32</v>
      </c>
      <c r="C85" s="29" t="s">
        <v>1612</v>
      </c>
      <c r="D85" s="29" t="s">
        <v>1573</v>
      </c>
      <c r="E85" s="29" t="s">
        <v>1855</v>
      </c>
      <c r="F85" s="26" t="s">
        <v>1694</v>
      </c>
      <c r="G85" s="29" t="s">
        <v>1579</v>
      </c>
      <c r="H85" s="29">
        <v>3.0</v>
      </c>
      <c r="I85" s="29">
        <v>0.0</v>
      </c>
      <c r="J85" s="29">
        <v>2.0</v>
      </c>
      <c r="K85" s="29">
        <v>4.0</v>
      </c>
      <c r="L85" s="29" t="s">
        <v>892</v>
      </c>
      <c r="M85" s="30" t="str">
        <f>IFNA(VLOOKUP(L85,'Faculty Details'!$B:$H,4,0),"")</f>
        <v>Dr.STEPHEN SAGAYARAJ A</v>
      </c>
      <c r="N85" s="30" t="str">
        <f>IFNA(VLOOKUP(L85,'Faculty Details'!$B:$H,7,0),"")</f>
        <v>stephensagayaraja@bitsathy.ac.in</v>
      </c>
      <c r="O85" s="101"/>
    </row>
    <row r="86" ht="39.75" customHeight="1">
      <c r="A86" s="29">
        <v>85.0</v>
      </c>
      <c r="B86" s="29" t="s">
        <v>32</v>
      </c>
      <c r="C86" s="29" t="s">
        <v>1612</v>
      </c>
      <c r="D86" s="29" t="s">
        <v>1573</v>
      </c>
      <c r="E86" s="29" t="s">
        <v>1855</v>
      </c>
      <c r="F86" s="26" t="s">
        <v>1694</v>
      </c>
      <c r="G86" s="29" t="s">
        <v>1579</v>
      </c>
      <c r="H86" s="29">
        <v>3.0</v>
      </c>
      <c r="I86" s="29">
        <v>0.0</v>
      </c>
      <c r="J86" s="29">
        <v>2.0</v>
      </c>
      <c r="K86" s="29">
        <v>4.0</v>
      </c>
      <c r="L86" s="29" t="s">
        <v>874</v>
      </c>
      <c r="M86" s="30" t="str">
        <f>IFNA(VLOOKUP(L86,'Faculty Details'!$B:$H,4,0),"")</f>
        <v>Mrs.SOUNDARYA B</v>
      </c>
      <c r="N86" s="30" t="str">
        <f>IFNA(VLOOKUP(L86,'Faculty Details'!$B:$H,7,0),"")</f>
        <v>soundarya@bitsathy.ac.in</v>
      </c>
      <c r="O86" s="101"/>
    </row>
    <row r="87" ht="39.75" customHeight="1">
      <c r="A87" s="29">
        <v>86.0</v>
      </c>
      <c r="B87" s="29" t="s">
        <v>32</v>
      </c>
      <c r="C87" s="29" t="s">
        <v>1612</v>
      </c>
      <c r="D87" s="29" t="s">
        <v>1573</v>
      </c>
      <c r="E87" s="29" t="s">
        <v>1855</v>
      </c>
      <c r="F87" s="26" t="s">
        <v>1694</v>
      </c>
      <c r="G87" s="29" t="s">
        <v>1576</v>
      </c>
      <c r="H87" s="29">
        <v>3.0</v>
      </c>
      <c r="I87" s="29">
        <v>0.0</v>
      </c>
      <c r="J87" s="29">
        <v>2.0</v>
      </c>
      <c r="K87" s="29">
        <v>4.0</v>
      </c>
      <c r="L87" s="29" t="s">
        <v>856</v>
      </c>
      <c r="M87" s="30" t="str">
        <f>IFNA(VLOOKUP(L87,'Faculty Details'!$B:$H,4,0),"")</f>
        <v>Dr.LEEBAN MOSES M</v>
      </c>
      <c r="N87" s="30" t="str">
        <f>IFNA(VLOOKUP(L87,'Faculty Details'!$B:$H,7,0),"")</f>
        <v>leebanmoses@bitsathy.ac.in</v>
      </c>
      <c r="O87" s="103"/>
    </row>
    <row r="88" ht="39.75" customHeight="1">
      <c r="A88" s="29">
        <v>87.0</v>
      </c>
      <c r="B88" s="29" t="s">
        <v>32</v>
      </c>
      <c r="C88" s="29" t="s">
        <v>1612</v>
      </c>
      <c r="D88" s="29" t="s">
        <v>1573</v>
      </c>
      <c r="E88" s="29" t="s">
        <v>1855</v>
      </c>
      <c r="F88" s="26" t="s">
        <v>1694</v>
      </c>
      <c r="G88" s="29" t="s">
        <v>1588</v>
      </c>
      <c r="H88" s="29">
        <v>3.0</v>
      </c>
      <c r="I88" s="29">
        <v>0.0</v>
      </c>
      <c r="J88" s="29">
        <v>2.0</v>
      </c>
      <c r="K88" s="29">
        <v>4.0</v>
      </c>
      <c r="L88" s="29"/>
      <c r="M88" s="30" t="str">
        <f>IFNA(VLOOKUP(L88,'Faculty Details'!$B:$H,4,0),"")</f>
        <v/>
      </c>
      <c r="N88" s="30" t="str">
        <f>IFNA(VLOOKUP(L88,'Faculty Details'!$B:$H,7,0),"")</f>
        <v/>
      </c>
      <c r="O88" s="103" t="s">
        <v>1856</v>
      </c>
    </row>
    <row r="89" ht="39.75" customHeight="1">
      <c r="A89" s="29">
        <v>88.0</v>
      </c>
      <c r="B89" s="29" t="s">
        <v>32</v>
      </c>
      <c r="C89" s="29" t="s">
        <v>1612</v>
      </c>
      <c r="D89" s="29" t="s">
        <v>1619</v>
      </c>
      <c r="E89" s="110" t="s">
        <v>172</v>
      </c>
      <c r="F89" s="111" t="s">
        <v>173</v>
      </c>
      <c r="G89" s="29" t="s">
        <v>1576</v>
      </c>
      <c r="H89" s="29">
        <v>3.0</v>
      </c>
      <c r="I89" s="29">
        <v>0.0</v>
      </c>
      <c r="J89" s="29">
        <v>0.0</v>
      </c>
      <c r="K89" s="29">
        <v>3.0</v>
      </c>
      <c r="L89" s="29" t="s">
        <v>839</v>
      </c>
      <c r="M89" s="30" t="str">
        <f>IFNA(VLOOKUP(L89,'Faculty Details'!$B:$H,4,0),"")</f>
        <v>Dr.SAMPOORNAM K P</v>
      </c>
      <c r="N89" s="30" t="str">
        <f>IFNA(VLOOKUP(L89,'Faculty Details'!$B:$H,7,0),"")</f>
        <v>sampoornam@bitsathy.ac.in</v>
      </c>
      <c r="O89" s="101"/>
    </row>
    <row r="90" ht="39.75" customHeight="1">
      <c r="A90" s="29">
        <v>89.0</v>
      </c>
      <c r="B90" s="29" t="s">
        <v>32</v>
      </c>
      <c r="C90" s="29" t="s">
        <v>1612</v>
      </c>
      <c r="D90" s="29" t="s">
        <v>1619</v>
      </c>
      <c r="E90" s="110" t="s">
        <v>172</v>
      </c>
      <c r="F90" s="111" t="s">
        <v>173</v>
      </c>
      <c r="G90" s="29" t="s">
        <v>1576</v>
      </c>
      <c r="H90" s="29">
        <v>3.0</v>
      </c>
      <c r="I90" s="29">
        <v>0.0</v>
      </c>
      <c r="J90" s="29">
        <v>0.0</v>
      </c>
      <c r="K90" s="29">
        <v>3.0</v>
      </c>
      <c r="L90" s="29" t="s">
        <v>906</v>
      </c>
      <c r="M90" s="30" t="str">
        <f>IFNA(VLOOKUP(L90,'Faculty Details'!$B:$H,4,0),"")</f>
        <v>Dr.SATHIYAMURTHI P</v>
      </c>
      <c r="N90" s="30" t="str">
        <f>IFNA(VLOOKUP(L90,'Faculty Details'!$B:$H,7,0),"")</f>
        <v>sathiyamurthi@bitsathy.ac.in</v>
      </c>
      <c r="O90" s="101"/>
    </row>
    <row r="91" ht="39.75" customHeight="1">
      <c r="A91" s="29">
        <v>90.0</v>
      </c>
      <c r="B91" s="29" t="s">
        <v>32</v>
      </c>
      <c r="C91" s="29" t="s">
        <v>1612</v>
      </c>
      <c r="D91" s="29" t="s">
        <v>1619</v>
      </c>
      <c r="E91" s="110" t="s">
        <v>172</v>
      </c>
      <c r="F91" s="111" t="s">
        <v>173</v>
      </c>
      <c r="G91" s="29" t="s">
        <v>1576</v>
      </c>
      <c r="H91" s="29">
        <v>3.0</v>
      </c>
      <c r="I91" s="29">
        <v>0.0</v>
      </c>
      <c r="J91" s="29">
        <v>0.0</v>
      </c>
      <c r="K91" s="29">
        <v>3.0</v>
      </c>
      <c r="L91" s="29" t="s">
        <v>468</v>
      </c>
      <c r="M91" s="30" t="str">
        <f>IFNA(VLOOKUP(L91,'Faculty Details'!$B:$H,4,0),"")</f>
        <v>Mr.TAMILSELVAN A</v>
      </c>
      <c r="N91" s="30" t="str">
        <f>IFNA(VLOOKUP(L91,'Faculty Details'!$B:$H,7,0),"")</f>
        <v>tamilselvan@bitsathy.ac.in</v>
      </c>
      <c r="O91" s="101"/>
    </row>
    <row r="92" ht="39.75" customHeight="1">
      <c r="A92" s="29">
        <v>91.0</v>
      </c>
      <c r="B92" s="29" t="s">
        <v>32</v>
      </c>
      <c r="C92" s="29" t="s">
        <v>1612</v>
      </c>
      <c r="D92" s="29" t="s">
        <v>1619</v>
      </c>
      <c r="E92" s="110" t="s">
        <v>174</v>
      </c>
      <c r="F92" s="111" t="s">
        <v>175</v>
      </c>
      <c r="G92" s="29" t="s">
        <v>1576</v>
      </c>
      <c r="H92" s="29">
        <v>3.0</v>
      </c>
      <c r="I92" s="29">
        <v>0.0</v>
      </c>
      <c r="J92" s="29">
        <v>0.0</v>
      </c>
      <c r="K92" s="29">
        <v>3.0</v>
      </c>
      <c r="L92" s="29" t="s">
        <v>853</v>
      </c>
      <c r="M92" s="30" t="str">
        <f>IFNA(VLOOKUP(L92,'Faculty Details'!$B:$H,4,0),"")</f>
        <v>Mr.RAJA SEKAR S</v>
      </c>
      <c r="N92" s="30" t="str">
        <f>IFNA(VLOOKUP(L92,'Faculty Details'!$B:$H,7,0),"")</f>
        <v>rajasekar@bitsathy.ac.in</v>
      </c>
      <c r="O92" s="101"/>
    </row>
    <row r="93" ht="39.75" customHeight="1">
      <c r="A93" s="29">
        <v>92.0</v>
      </c>
      <c r="B93" s="29" t="s">
        <v>32</v>
      </c>
      <c r="C93" s="29" t="s">
        <v>1612</v>
      </c>
      <c r="D93" s="29" t="s">
        <v>1619</v>
      </c>
      <c r="E93" s="110" t="s">
        <v>174</v>
      </c>
      <c r="F93" s="111" t="s">
        <v>175</v>
      </c>
      <c r="G93" s="29" t="s">
        <v>1576</v>
      </c>
      <c r="H93" s="29">
        <v>3.0</v>
      </c>
      <c r="I93" s="29">
        <v>0.0</v>
      </c>
      <c r="J93" s="29">
        <v>0.0</v>
      </c>
      <c r="K93" s="29">
        <v>3.0</v>
      </c>
      <c r="L93" s="29" t="s">
        <v>945</v>
      </c>
      <c r="M93" s="30" t="str">
        <f>IFNA(VLOOKUP(L93,'Faculty Details'!$B:$H,4,0),"")</f>
        <v>Dr.PUSHPAVALLI M</v>
      </c>
      <c r="N93" s="30" t="str">
        <f>IFNA(VLOOKUP(L93,'Faculty Details'!$B:$H,7,0),"")</f>
        <v>pushpavallim@bitsathy.ac.in</v>
      </c>
      <c r="O93" s="101"/>
    </row>
    <row r="94" ht="39.75" customHeight="1">
      <c r="A94" s="29">
        <v>93.0</v>
      </c>
      <c r="B94" s="29" t="s">
        <v>32</v>
      </c>
      <c r="C94" s="29" t="s">
        <v>1612</v>
      </c>
      <c r="D94" s="29" t="s">
        <v>1620</v>
      </c>
      <c r="E94" s="110" t="s">
        <v>176</v>
      </c>
      <c r="F94" s="111" t="s">
        <v>177</v>
      </c>
      <c r="G94" s="29" t="s">
        <v>1576</v>
      </c>
      <c r="H94" s="29">
        <v>3.0</v>
      </c>
      <c r="I94" s="29">
        <v>0.0</v>
      </c>
      <c r="J94" s="29">
        <v>0.0</v>
      </c>
      <c r="K94" s="29">
        <v>3.0</v>
      </c>
      <c r="L94" s="29" t="s">
        <v>903</v>
      </c>
      <c r="M94" s="30" t="str">
        <f>IFNA(VLOOKUP(L94,'Faculty Details'!$B:$H,4,0),"")</f>
        <v>Mrs.MARIAAMUTHA R</v>
      </c>
      <c r="N94" s="30" t="str">
        <f>IFNA(VLOOKUP(L94,'Faculty Details'!$B:$H,7,0),"")</f>
        <v>mariaamuthar@bitsathy.ac.in</v>
      </c>
      <c r="O94" s="101"/>
    </row>
    <row r="95" ht="39.75" customHeight="1">
      <c r="A95" s="29">
        <v>94.0</v>
      </c>
      <c r="B95" s="29" t="s">
        <v>32</v>
      </c>
      <c r="C95" s="29" t="s">
        <v>1612</v>
      </c>
      <c r="D95" s="29" t="s">
        <v>1620</v>
      </c>
      <c r="E95" s="110" t="s">
        <v>178</v>
      </c>
      <c r="F95" s="111" t="s">
        <v>179</v>
      </c>
      <c r="G95" s="29" t="s">
        <v>1576</v>
      </c>
      <c r="H95" s="29">
        <v>3.0</v>
      </c>
      <c r="I95" s="29">
        <v>0.0</v>
      </c>
      <c r="J95" s="29">
        <v>0.0</v>
      </c>
      <c r="K95" s="29">
        <v>3.0</v>
      </c>
      <c r="L95" s="29" t="s">
        <v>966</v>
      </c>
      <c r="M95" s="30" t="str">
        <f>IFNA(VLOOKUP(L95,'Faculty Details'!$B:$H,4,0),"")</f>
        <v>Dr.RAMKUMAR R</v>
      </c>
      <c r="N95" s="30" t="str">
        <f>IFNA(VLOOKUP(L95,'Faculty Details'!$B:$H,7,0),"")</f>
        <v>ramkumarr@bitsathy.ac.in</v>
      </c>
      <c r="O95" s="101"/>
    </row>
    <row r="96" ht="39.75" customHeight="1">
      <c r="A96" s="29">
        <v>95.0</v>
      </c>
      <c r="B96" s="29" t="s">
        <v>32</v>
      </c>
      <c r="C96" s="29" t="s">
        <v>1612</v>
      </c>
      <c r="D96" s="29" t="s">
        <v>1620</v>
      </c>
      <c r="E96" s="110" t="s">
        <v>178</v>
      </c>
      <c r="F96" s="111" t="s">
        <v>179</v>
      </c>
      <c r="G96" s="29" t="s">
        <v>1576</v>
      </c>
      <c r="H96" s="29">
        <v>3.0</v>
      </c>
      <c r="I96" s="29">
        <v>0.0</v>
      </c>
      <c r="J96" s="29">
        <v>0.0</v>
      </c>
      <c r="K96" s="29">
        <v>3.0</v>
      </c>
      <c r="L96" s="83" t="s">
        <v>909</v>
      </c>
      <c r="M96" s="30" t="str">
        <f>IFNA(VLOOKUP(L96,'Faculty Details'!$B:$H,4,0),"")</f>
        <v>Mrs.NIVETHA G</v>
      </c>
      <c r="N96" s="30" t="str">
        <f>IFNA(VLOOKUP(L96,'Faculty Details'!$B:$H,7,0),"")</f>
        <v>nivethag@bitsathy.ac.in</v>
      </c>
      <c r="O96" s="101"/>
    </row>
    <row r="97" ht="39.75" customHeight="1">
      <c r="A97" s="29">
        <v>96.0</v>
      </c>
      <c r="B97" s="29" t="s">
        <v>32</v>
      </c>
      <c r="C97" s="29" t="s">
        <v>1612</v>
      </c>
      <c r="D97" s="29" t="s">
        <v>1620</v>
      </c>
      <c r="E97" s="110" t="s">
        <v>178</v>
      </c>
      <c r="F97" s="111" t="s">
        <v>179</v>
      </c>
      <c r="G97" s="29" t="s">
        <v>1576</v>
      </c>
      <c r="H97" s="29">
        <v>3.0</v>
      </c>
      <c r="I97" s="29">
        <v>0.0</v>
      </c>
      <c r="J97" s="29">
        <v>0.0</v>
      </c>
      <c r="K97" s="29">
        <v>3.0</v>
      </c>
      <c r="L97" s="29"/>
      <c r="M97" s="30" t="str">
        <f>IFNA(VLOOKUP(L97,'Faculty Details'!$B:$H,4,0),"")</f>
        <v/>
      </c>
      <c r="N97" s="30" t="str">
        <f>IFNA(VLOOKUP(L97,'Faculty Details'!$B:$H,7,0),"")</f>
        <v/>
      </c>
      <c r="O97" s="103" t="s">
        <v>1857</v>
      </c>
    </row>
    <row r="98" ht="39.75" customHeight="1">
      <c r="A98" s="29">
        <v>97.0</v>
      </c>
      <c r="B98" s="29" t="s">
        <v>32</v>
      </c>
      <c r="C98" s="29" t="s">
        <v>1612</v>
      </c>
      <c r="D98" s="29" t="s">
        <v>1620</v>
      </c>
      <c r="E98" s="110" t="s">
        <v>178</v>
      </c>
      <c r="F98" s="111" t="s">
        <v>179</v>
      </c>
      <c r="G98" s="29" t="s">
        <v>1576</v>
      </c>
      <c r="H98" s="29">
        <v>3.0</v>
      </c>
      <c r="I98" s="29">
        <v>0.0</v>
      </c>
      <c r="J98" s="29">
        <v>0.0</v>
      </c>
      <c r="K98" s="29">
        <v>3.0</v>
      </c>
      <c r="L98" s="29" t="s">
        <v>960</v>
      </c>
      <c r="M98" s="68" t="str">
        <f>IFNA(VLOOKUP(L98,'Faculty Details'!$B:$H,4,0),"")</f>
        <v>Dr.DANIEL RAJ A</v>
      </c>
      <c r="N98" s="68" t="str">
        <f>IFNA(VLOOKUP(L98,'Faculty Details'!$B:$H,7,0),"")</f>
        <v>danielraja@bitsathy.ac.in</v>
      </c>
      <c r="O98" s="104"/>
    </row>
    <row r="99" ht="39.75" customHeight="1">
      <c r="A99" s="29">
        <v>98.0</v>
      </c>
      <c r="B99" s="29" t="s">
        <v>32</v>
      </c>
      <c r="C99" s="29" t="s">
        <v>1612</v>
      </c>
      <c r="D99" s="29" t="s">
        <v>1622</v>
      </c>
      <c r="E99" s="110" t="s">
        <v>168</v>
      </c>
      <c r="F99" s="111" t="s">
        <v>169</v>
      </c>
      <c r="G99" s="29" t="s">
        <v>1576</v>
      </c>
      <c r="H99" s="29">
        <v>3.0</v>
      </c>
      <c r="I99" s="29">
        <v>0.0</v>
      </c>
      <c r="J99" s="29">
        <v>0.0</v>
      </c>
      <c r="K99" s="29">
        <v>3.0</v>
      </c>
      <c r="L99" s="29" t="s">
        <v>954</v>
      </c>
      <c r="M99" s="30" t="str">
        <f>IFNA(VLOOKUP(L99,'Faculty Details'!$B:$H,4,0),"")</f>
        <v>Dr.SANJOY DEB</v>
      </c>
      <c r="N99" s="30" t="str">
        <f>IFNA(VLOOKUP(L99,'Faculty Details'!$B:$H,7,0),"")</f>
        <v>sanjoydeb@bitsathy.ac.in</v>
      </c>
      <c r="O99" s="101"/>
    </row>
    <row r="100" ht="39.75" customHeight="1">
      <c r="A100" s="29">
        <v>99.0</v>
      </c>
      <c r="B100" s="29" t="s">
        <v>32</v>
      </c>
      <c r="C100" s="29" t="s">
        <v>1612</v>
      </c>
      <c r="D100" s="29" t="s">
        <v>1622</v>
      </c>
      <c r="E100" s="110" t="s">
        <v>168</v>
      </c>
      <c r="F100" s="111" t="s">
        <v>169</v>
      </c>
      <c r="G100" s="29" t="s">
        <v>1576</v>
      </c>
      <c r="H100" s="29">
        <v>3.0</v>
      </c>
      <c r="I100" s="29">
        <v>0.0</v>
      </c>
      <c r="J100" s="29">
        <v>0.0</v>
      </c>
      <c r="K100" s="29">
        <v>3.0</v>
      </c>
      <c r="L100" s="29" t="s">
        <v>886</v>
      </c>
      <c r="M100" s="30" t="str">
        <f>IFNA(VLOOKUP(L100,'Faculty Details'!$B:$H,4,0),"")</f>
        <v>Ms.SHARMILA A</v>
      </c>
      <c r="N100" s="30" t="str">
        <f>IFNA(VLOOKUP(L100,'Faculty Details'!$B:$H,7,0),"")</f>
        <v>sharmilaa@bitsathy.ac.in</v>
      </c>
      <c r="O100" s="101"/>
    </row>
    <row r="101" ht="39.75" customHeight="1">
      <c r="A101" s="29">
        <v>100.0</v>
      </c>
      <c r="B101" s="29" t="s">
        <v>32</v>
      </c>
      <c r="C101" s="29" t="s">
        <v>1612</v>
      </c>
      <c r="D101" s="29" t="s">
        <v>1622</v>
      </c>
      <c r="E101" s="110" t="s">
        <v>168</v>
      </c>
      <c r="F101" s="111" t="s">
        <v>169</v>
      </c>
      <c r="G101" s="29" t="s">
        <v>1576</v>
      </c>
      <c r="H101" s="29">
        <v>3.0</v>
      </c>
      <c r="I101" s="29">
        <v>0.0</v>
      </c>
      <c r="J101" s="29">
        <v>0.0</v>
      </c>
      <c r="K101" s="29">
        <v>3.0</v>
      </c>
      <c r="L101" s="29" t="s">
        <v>918</v>
      </c>
      <c r="M101" s="68" t="str">
        <f>IFNA(VLOOKUP(L101,'Faculty Details'!$B:$H,4,0),"")</f>
        <v>Mr.RAMESH R</v>
      </c>
      <c r="N101" s="30" t="str">
        <f>IFNA(VLOOKUP(L101,'Faculty Details'!$B:$H,7,0),"")</f>
        <v>rameshr@bitsathy.ac.in</v>
      </c>
      <c r="O101" s="104"/>
    </row>
    <row r="102" ht="39.75" customHeight="1">
      <c r="A102" s="29">
        <v>101.0</v>
      </c>
      <c r="B102" s="29" t="s">
        <v>32</v>
      </c>
      <c r="C102" s="29" t="s">
        <v>1612</v>
      </c>
      <c r="D102" s="29" t="s">
        <v>86</v>
      </c>
      <c r="E102" s="110" t="s">
        <v>170</v>
      </c>
      <c r="F102" s="111" t="s">
        <v>171</v>
      </c>
      <c r="G102" s="29" t="s">
        <v>1576</v>
      </c>
      <c r="H102" s="29">
        <v>3.0</v>
      </c>
      <c r="I102" s="29">
        <v>0.0</v>
      </c>
      <c r="J102" s="29">
        <v>0.0</v>
      </c>
      <c r="K102" s="29">
        <v>3.0</v>
      </c>
      <c r="L102" s="29" t="s">
        <v>847</v>
      </c>
      <c r="M102" s="30" t="str">
        <f>IFNA(VLOOKUP(L102,'Faculty Details'!$B:$H,4,0),"")</f>
        <v>Mr.BARANIDHARAN V</v>
      </c>
      <c r="N102" s="30" t="str">
        <f>IFNA(VLOOKUP(L102,'Faculty Details'!$B:$H,7,0),"")</f>
        <v>baranidharan@bitsathy.ac.in</v>
      </c>
      <c r="O102" s="103"/>
    </row>
    <row r="103" ht="39.75" customHeight="1">
      <c r="A103" s="29">
        <v>102.0</v>
      </c>
      <c r="B103" s="29" t="s">
        <v>32</v>
      </c>
      <c r="C103" s="29" t="s">
        <v>1612</v>
      </c>
      <c r="D103" s="29" t="s">
        <v>1623</v>
      </c>
      <c r="E103" s="112" t="s">
        <v>1858</v>
      </c>
      <c r="F103" s="111" t="s">
        <v>1859</v>
      </c>
      <c r="G103" s="29" t="s">
        <v>1576</v>
      </c>
      <c r="H103" s="29">
        <v>3.0</v>
      </c>
      <c r="I103" s="29">
        <v>0.0</v>
      </c>
      <c r="J103" s="29">
        <v>0.0</v>
      </c>
      <c r="K103" s="29">
        <v>3.0</v>
      </c>
      <c r="L103" s="29" t="s">
        <v>918</v>
      </c>
      <c r="M103" s="30" t="str">
        <f>IFNA(VLOOKUP(L103,'Faculty Details'!$B:$H,4,0),"")</f>
        <v>Mr.RAMESH R</v>
      </c>
      <c r="N103" s="30" t="str">
        <f>IFNA(VLOOKUP(L103,'Faculty Details'!$B:$H,7,0),"")</f>
        <v>rameshr@bitsathy.ac.in</v>
      </c>
      <c r="O103" s="101"/>
    </row>
    <row r="104" ht="39.75" customHeight="1">
      <c r="A104" s="29">
        <v>103.0</v>
      </c>
      <c r="B104" s="29" t="s">
        <v>32</v>
      </c>
      <c r="C104" s="29" t="s">
        <v>1612</v>
      </c>
      <c r="D104" s="29" t="s">
        <v>1623</v>
      </c>
      <c r="E104" s="112" t="s">
        <v>1860</v>
      </c>
      <c r="F104" s="111" t="s">
        <v>1861</v>
      </c>
      <c r="G104" s="29" t="s">
        <v>1576</v>
      </c>
      <c r="H104" s="29">
        <v>3.0</v>
      </c>
      <c r="I104" s="29">
        <v>0.0</v>
      </c>
      <c r="J104" s="29">
        <v>0.0</v>
      </c>
      <c r="K104" s="29">
        <v>3.0</v>
      </c>
      <c r="L104" s="29" t="s">
        <v>880</v>
      </c>
      <c r="M104" s="30" t="str">
        <f>IFNA(VLOOKUP(L104,'Faculty Details'!$B:$H,4,0),"")</f>
        <v>Mrs.MYTHILI S</v>
      </c>
      <c r="N104" s="30" t="str">
        <f>IFNA(VLOOKUP(L104,'Faculty Details'!$B:$H,7,0),"")</f>
        <v>mythilis@bitsathy.ac.in</v>
      </c>
      <c r="O104" s="101"/>
    </row>
    <row r="105" ht="39.75" customHeight="1">
      <c r="A105" s="29">
        <v>104.0</v>
      </c>
      <c r="B105" s="29" t="s">
        <v>32</v>
      </c>
      <c r="C105" s="29" t="s">
        <v>1612</v>
      </c>
      <c r="D105" s="29" t="s">
        <v>1628</v>
      </c>
      <c r="E105" s="29" t="s">
        <v>1862</v>
      </c>
      <c r="F105" s="26" t="s">
        <v>1630</v>
      </c>
      <c r="G105" s="29" t="s">
        <v>1588</v>
      </c>
      <c r="H105" s="29">
        <v>0.0</v>
      </c>
      <c r="I105" s="29">
        <v>0.0</v>
      </c>
      <c r="J105" s="29">
        <v>2.0</v>
      </c>
      <c r="K105" s="29">
        <v>1.0</v>
      </c>
      <c r="L105" s="29"/>
      <c r="M105" s="30" t="str">
        <f>IFNA(VLOOKUP(L105,'Faculty Details'!$B:$H,4,0),"")</f>
        <v/>
      </c>
      <c r="N105" s="30" t="str">
        <f>IFNA(VLOOKUP(L105,'Faculty Details'!$B:$H,7,0),"")</f>
        <v/>
      </c>
      <c r="O105" s="101"/>
    </row>
    <row r="106" ht="39.75" customHeight="1">
      <c r="A106" s="29">
        <v>105.0</v>
      </c>
      <c r="B106" s="29" t="s">
        <v>32</v>
      </c>
      <c r="C106" s="29" t="s">
        <v>1631</v>
      </c>
      <c r="D106" s="29" t="s">
        <v>1573</v>
      </c>
      <c r="E106" s="29" t="s">
        <v>1863</v>
      </c>
      <c r="F106" s="26" t="s">
        <v>1634</v>
      </c>
      <c r="G106" s="29" t="s">
        <v>1588</v>
      </c>
      <c r="H106" s="29">
        <v>0.0</v>
      </c>
      <c r="I106" s="29">
        <v>0.0</v>
      </c>
      <c r="J106" s="29">
        <v>18.0</v>
      </c>
      <c r="K106" s="29">
        <v>9.0</v>
      </c>
      <c r="L106" s="29"/>
      <c r="M106" s="30" t="str">
        <f>IFNA(VLOOKUP(L106,'Faculty Details'!$B:$H,4,0),"")</f>
        <v/>
      </c>
      <c r="N106" s="30" t="str">
        <f>IFNA(VLOOKUP(L106,'Faculty Details'!$B:$H,7,0),"")</f>
        <v/>
      </c>
      <c r="O106" s="101"/>
    </row>
  </sheetData>
  <conditionalFormatting sqref="L2:L49 L51:L106">
    <cfRule type="containsBlanks" dxfId="1" priority="1">
      <formula>LEN(TRIM(L2))=0</formula>
    </cfRule>
  </conditionalFormatting>
  <conditionalFormatting sqref="L2:L49 L51:L69 L74:L106">
    <cfRule type="containsBlanks" dxfId="1" priority="2">
      <formula>LEN(TRIM(L2))=0</formula>
    </cfRule>
  </conditionalFormatting>
  <dataValidations>
    <dataValidation type="list" allowBlank="1" showErrorMessage="1" sqref="D70:D73">
      <formula1>"CORE,ELECTIVE 1,OPEN ELECTIVE,ELECTIVE 3,ELECTIVE 4,ELECTIVE 5,HONOURS,MINOR,LAB,PROJECT,MINI PROJECT"</formula1>
    </dataValidation>
    <dataValidation type="list" allowBlank="1" showErrorMessage="1" sqref="D2:D31 D36:D60 D106">
      <formula1>"CORE,ELECTIVE 1,OPEN ELECTIVE,ELECTIVE 6,ELECTIVE 7,ELECTIVE 8,ELECTIVE 9,HONOURS,MINOR"</formula1>
    </dataValidation>
    <dataValidation type="list" allowBlank="1" showErrorMessage="1" sqref="D66:D69">
      <formula1>"CORE,ELECTIVE 1,OPEN ELECTIVE,ELECTIVE 6,ELECTIVE 7,ELECTIVE 8,ELECTIVE 9,HONOURS,MINOR,ADD COURSE"</formula1>
    </dataValidation>
    <dataValidation type="list" allowBlank="1" showErrorMessage="1" sqref="C2:C106">
      <formula1>"S2,S4,S6,S8"</formula1>
    </dataValidation>
    <dataValidation type="list" allowBlank="1" showErrorMessage="1" sqref="G2:G106">
      <formula1>"THEORY,THEORY WITH LAB,LAB"</formula1>
    </dataValidation>
    <dataValidation type="list" allowBlank="1" showErrorMessage="1" sqref="D61:D65 D74:D105">
      <formula1>"CORE,ELECTIVE 1,OPEN ELECTIVE,ADD COURSE,HONOURS,MINOR,LAB,PROJECT,MINI PROJECT,ELECTIVE 3,ELECTIVE 4,ELECTIVE 5"</formula1>
    </dataValidation>
    <dataValidation type="list" allowBlank="1" showErrorMessage="1" sqref="D32:D35">
      <formula1>"CORE,ELECTIVE 1,OPEN ELECTIVE,ELECTIVE 6,ELECTIVE 7,ELECTIVE 8,ELECTIVE 9,HONOURS,MINOR,LANGUAGE ELECTIVE"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8.38"/>
    <col customWidth="1" min="3" max="3" width="8.0"/>
    <col customWidth="1" min="4" max="4" width="16.13"/>
    <col customWidth="1" min="5" max="5" width="9.13"/>
    <col customWidth="1" min="6" max="6" width="26.0"/>
    <col customWidth="1" min="7" max="7" width="20.5"/>
    <col customWidth="1" min="8" max="9" width="5.0"/>
    <col customWidth="1" min="10" max="10" width="5.5"/>
    <col customWidth="1" min="11" max="11" width="5.0"/>
    <col customWidth="1" min="13" max="13" width="25.38"/>
    <col customWidth="1" min="14" max="14" width="22.25"/>
  </cols>
  <sheetData>
    <row r="1">
      <c r="A1" s="38" t="s">
        <v>1635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9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9" t="s">
        <v>257</v>
      </c>
      <c r="N1" s="38" t="s">
        <v>1571</v>
      </c>
    </row>
    <row r="2" ht="35.25" customHeight="1">
      <c r="A2" s="25">
        <f t="array" ref="A2:A11">SEQUENCE(COUNTA(B2:B11),1)</f>
        <v>1</v>
      </c>
      <c r="B2" s="25" t="s">
        <v>151</v>
      </c>
      <c r="C2" s="25" t="s">
        <v>1612</v>
      </c>
      <c r="D2" s="25" t="s">
        <v>1573</v>
      </c>
      <c r="E2" s="25" t="s">
        <v>1864</v>
      </c>
      <c r="F2" s="26" t="s">
        <v>1865</v>
      </c>
      <c r="G2" s="25" t="s">
        <v>1576</v>
      </c>
      <c r="H2" s="25">
        <v>3.0</v>
      </c>
      <c r="I2" s="25">
        <v>0.0</v>
      </c>
      <c r="J2" s="25">
        <v>0.0</v>
      </c>
      <c r="K2" s="25">
        <v>3.0</v>
      </c>
      <c r="L2" s="25" t="s">
        <v>829</v>
      </c>
      <c r="M2" s="40" t="str">
        <f>IFNA(VLOOKUP(L2,'Faculty Details'!$B:$H,4,0),"")</f>
        <v>Mrs.SAVEETHA R</v>
      </c>
      <c r="N2" s="28" t="str">
        <f>IFNA(VLOOKUP(L2,'Faculty Details'!$B:$H,7,0),"")</f>
        <v>saveethar@bitsathy.ac.in</v>
      </c>
    </row>
    <row r="3" ht="35.25" customHeight="1">
      <c r="A3" s="25">
        <v>2.0</v>
      </c>
      <c r="B3" s="25" t="s">
        <v>151</v>
      </c>
      <c r="C3" s="25" t="s">
        <v>1612</v>
      </c>
      <c r="D3" s="25" t="s">
        <v>1573</v>
      </c>
      <c r="E3" s="25" t="s">
        <v>1866</v>
      </c>
      <c r="F3" s="26" t="s">
        <v>1867</v>
      </c>
      <c r="G3" s="25" t="s">
        <v>1576</v>
      </c>
      <c r="H3" s="25">
        <v>3.0</v>
      </c>
      <c r="I3" s="25">
        <v>0.0</v>
      </c>
      <c r="J3" s="25">
        <v>2.0</v>
      </c>
      <c r="K3" s="25">
        <v>4.0</v>
      </c>
      <c r="L3" s="25" t="s">
        <v>813</v>
      </c>
      <c r="M3" s="40" t="str">
        <f>IFNA(VLOOKUP(L3,'Faculty Details'!$B:$H,4,0),"")</f>
        <v>Dr.THANGA PARVATHI B</v>
      </c>
      <c r="N3" s="28" t="str">
        <f>IFNA(VLOOKUP(L3,'Faculty Details'!$B:$H,7,0),"")</f>
        <v>btparvathi@bitsathy.ac.in</v>
      </c>
    </row>
    <row r="4" ht="35.25" customHeight="1">
      <c r="A4" s="25">
        <v>3.0</v>
      </c>
      <c r="B4" s="25" t="s">
        <v>151</v>
      </c>
      <c r="C4" s="25" t="s">
        <v>1612</v>
      </c>
      <c r="D4" s="25" t="s">
        <v>1573</v>
      </c>
      <c r="E4" s="25" t="s">
        <v>1866</v>
      </c>
      <c r="F4" s="26" t="s">
        <v>1867</v>
      </c>
      <c r="G4" s="25" t="s">
        <v>1588</v>
      </c>
      <c r="H4" s="25">
        <v>3.0</v>
      </c>
      <c r="I4" s="25">
        <v>0.0</v>
      </c>
      <c r="J4" s="25">
        <v>2.0</v>
      </c>
      <c r="K4" s="25">
        <v>4.0</v>
      </c>
      <c r="L4" s="25" t="s">
        <v>817</v>
      </c>
      <c r="M4" s="40" t="str">
        <f>IFNA(VLOOKUP(L4,'Faculty Details'!$B:$H,4,0),"")</f>
        <v>Mrs.SWEETY PRASANNA KIRUBA G</v>
      </c>
      <c r="N4" s="28" t="str">
        <f>IFNA(VLOOKUP(L4,'Faculty Details'!$B:$H,7,0),"")</f>
        <v>prasannakiruba@bitsathy.ac.in</v>
      </c>
    </row>
    <row r="5" ht="35.25" customHeight="1">
      <c r="A5" s="25">
        <v>4.0</v>
      </c>
      <c r="B5" s="25" t="s">
        <v>151</v>
      </c>
      <c r="C5" s="25" t="s">
        <v>1612</v>
      </c>
      <c r="D5" s="25" t="s">
        <v>1573</v>
      </c>
      <c r="E5" s="25" t="s">
        <v>1868</v>
      </c>
      <c r="F5" s="26" t="s">
        <v>1738</v>
      </c>
      <c r="G5" s="25" t="s">
        <v>1579</v>
      </c>
      <c r="H5" s="25">
        <v>3.0</v>
      </c>
      <c r="I5" s="25">
        <v>0.0</v>
      </c>
      <c r="J5" s="25">
        <v>2.0</v>
      </c>
      <c r="K5" s="25">
        <v>4.0</v>
      </c>
      <c r="L5" s="25" t="s">
        <v>823</v>
      </c>
      <c r="M5" s="40" t="str">
        <f>IFNA(VLOOKUP(L5,'Faculty Details'!$B:$H,4,0),"")</f>
        <v>Mr.GUNALAN K</v>
      </c>
      <c r="N5" s="28" t="str">
        <f>IFNA(VLOOKUP(L5,'Faculty Details'!$B:$H,7,0),"")</f>
        <v>gunalank@bitsathy.ac.in</v>
      </c>
    </row>
    <row r="6" ht="35.25" customHeight="1">
      <c r="A6" s="25">
        <v>5.0</v>
      </c>
      <c r="B6" s="25" t="s">
        <v>151</v>
      </c>
      <c r="C6" s="25" t="s">
        <v>1612</v>
      </c>
      <c r="D6" s="25" t="s">
        <v>1619</v>
      </c>
      <c r="E6" s="25" t="s">
        <v>154</v>
      </c>
      <c r="F6" s="26" t="s">
        <v>155</v>
      </c>
      <c r="G6" s="25" t="s">
        <v>1576</v>
      </c>
      <c r="H6" s="25">
        <v>3.0</v>
      </c>
      <c r="I6" s="25">
        <v>0.0</v>
      </c>
      <c r="J6" s="25">
        <v>0.0</v>
      </c>
      <c r="K6" s="25">
        <v>3.0</v>
      </c>
      <c r="L6" s="25" t="s">
        <v>832</v>
      </c>
      <c r="M6" s="40" t="str">
        <f>IFNA(VLOOKUP(L6,'Faculty Details'!$B:$H,4,0),"")</f>
        <v>Dr.MURUGESAN P</v>
      </c>
      <c r="N6" s="28" t="str">
        <f>IFNA(VLOOKUP(L6,'Faculty Details'!$B:$H,7,0),"")</f>
        <v>murugesanp@bitsathy.ac.in</v>
      </c>
    </row>
    <row r="7" ht="35.25" customHeight="1">
      <c r="A7" s="25">
        <v>6.0</v>
      </c>
      <c r="B7" s="25" t="s">
        <v>151</v>
      </c>
      <c r="C7" s="25" t="s">
        <v>1612</v>
      </c>
      <c r="D7" s="25" t="s">
        <v>1620</v>
      </c>
      <c r="E7" s="25" t="s">
        <v>156</v>
      </c>
      <c r="F7" s="26" t="s">
        <v>148</v>
      </c>
      <c r="G7" s="25" t="s">
        <v>1579</v>
      </c>
      <c r="H7" s="25">
        <v>2.0</v>
      </c>
      <c r="I7" s="25">
        <v>0.0</v>
      </c>
      <c r="J7" s="25">
        <v>2.0</v>
      </c>
      <c r="K7" s="25">
        <v>3.0</v>
      </c>
      <c r="L7" s="25" t="s">
        <v>820</v>
      </c>
      <c r="M7" s="40" t="str">
        <f>IFNA(VLOOKUP(L7,'Faculty Details'!$B:$H,4,0),"")</f>
        <v>Ms.NITHYA M</v>
      </c>
      <c r="N7" s="28" t="str">
        <f>IFNA(VLOOKUP(L7,'Faculty Details'!$B:$H,7,0),"")</f>
        <v>nithyam@bitsathy.ac.in</v>
      </c>
    </row>
    <row r="8" ht="35.25" customHeight="1">
      <c r="A8" s="25">
        <v>7.0</v>
      </c>
      <c r="B8" s="25" t="s">
        <v>151</v>
      </c>
      <c r="C8" s="25" t="s">
        <v>1612</v>
      </c>
      <c r="D8" s="25" t="s">
        <v>1621</v>
      </c>
      <c r="E8" s="25" t="s">
        <v>157</v>
      </c>
      <c r="F8" s="26" t="s">
        <v>72</v>
      </c>
      <c r="G8" s="25" t="s">
        <v>1576</v>
      </c>
      <c r="H8" s="25">
        <v>3.0</v>
      </c>
      <c r="I8" s="25">
        <v>0.0</v>
      </c>
      <c r="J8" s="25">
        <v>0.0</v>
      </c>
      <c r="K8" s="25">
        <v>3.0</v>
      </c>
      <c r="L8" s="25" t="s">
        <v>826</v>
      </c>
      <c r="M8" s="40" t="str">
        <f>IFNA(VLOOKUP(L8,'Faculty Details'!$B:$H,4,0),"")</f>
        <v>Mr.ANANDAN P</v>
      </c>
      <c r="N8" s="28" t="str">
        <f>IFNA(VLOOKUP(L8,'Faculty Details'!$B:$H,7,0),"")</f>
        <v>anandan@bitsathy.ac.in</v>
      </c>
    </row>
    <row r="9" ht="35.25" customHeight="1">
      <c r="A9" s="25">
        <v>8.0</v>
      </c>
      <c r="B9" s="25" t="s">
        <v>151</v>
      </c>
      <c r="C9" s="25" t="s">
        <v>1612</v>
      </c>
      <c r="D9" s="25" t="s">
        <v>1622</v>
      </c>
      <c r="E9" s="25" t="s">
        <v>152</v>
      </c>
      <c r="F9" s="26" t="s">
        <v>153</v>
      </c>
      <c r="G9" s="25" t="s">
        <v>1576</v>
      </c>
      <c r="H9" s="25">
        <v>3.0</v>
      </c>
      <c r="I9" s="25">
        <v>0.0</v>
      </c>
      <c r="J9" s="25">
        <v>0.0</v>
      </c>
      <c r="K9" s="25">
        <v>3.0</v>
      </c>
      <c r="L9" s="25" t="s">
        <v>817</v>
      </c>
      <c r="M9" s="40" t="str">
        <f>IFNA(VLOOKUP(L9,'Faculty Details'!$B:$H,4,0),"")</f>
        <v>Mrs.SWEETY PRASANNA KIRUBA G</v>
      </c>
      <c r="N9" s="28" t="str">
        <f>IFNA(VLOOKUP(L9,'Faculty Details'!$B:$H,7,0),"")</f>
        <v>prasannakiruba@bitsathy.ac.in</v>
      </c>
    </row>
    <row r="10" ht="35.25" customHeight="1">
      <c r="A10" s="25">
        <v>9.0</v>
      </c>
      <c r="B10" s="25" t="s">
        <v>151</v>
      </c>
      <c r="C10" s="25" t="s">
        <v>1612</v>
      </c>
      <c r="D10" s="25" t="s">
        <v>1573</v>
      </c>
      <c r="E10" s="25" t="s">
        <v>1869</v>
      </c>
      <c r="F10" s="26" t="s">
        <v>1630</v>
      </c>
      <c r="G10" s="25" t="s">
        <v>1588</v>
      </c>
      <c r="H10" s="25">
        <v>0.0</v>
      </c>
      <c r="I10" s="25">
        <v>0.0</v>
      </c>
      <c r="J10" s="25">
        <v>2.0</v>
      </c>
      <c r="K10" s="25">
        <v>1.0</v>
      </c>
      <c r="L10" s="25"/>
      <c r="M10" s="40" t="str">
        <f>IFNA(VLOOKUP(L10,'Faculty Details'!$B:$H,4,0),"")</f>
        <v/>
      </c>
      <c r="N10" s="28" t="str">
        <f>IFNA(VLOOKUP(L10,'Faculty Details'!$B:$H,7,0),"")</f>
        <v/>
      </c>
    </row>
    <row r="11" ht="35.25" customHeight="1">
      <c r="A11" s="25">
        <v>10.0</v>
      </c>
      <c r="B11" s="25" t="s">
        <v>151</v>
      </c>
      <c r="C11" s="25" t="s">
        <v>1631</v>
      </c>
      <c r="D11" s="25" t="s">
        <v>1573</v>
      </c>
      <c r="E11" s="25" t="s">
        <v>1870</v>
      </c>
      <c r="F11" s="26" t="s">
        <v>1634</v>
      </c>
      <c r="G11" s="25" t="s">
        <v>1588</v>
      </c>
      <c r="H11" s="25">
        <v>0.0</v>
      </c>
      <c r="I11" s="25">
        <v>0.0</v>
      </c>
      <c r="J11" s="25">
        <v>18.0</v>
      </c>
      <c r="K11" s="25">
        <v>9.0</v>
      </c>
      <c r="L11" s="25"/>
      <c r="M11" s="40" t="str">
        <f>IFNA(VLOOKUP(L11,'Faculty Details'!$B:$H,4,0),"")</f>
        <v/>
      </c>
      <c r="N11" s="28" t="str">
        <f>IFNA(VLOOKUP(L11,'Faculty Details'!$B:$H,7,0),"")</f>
        <v/>
      </c>
    </row>
  </sheetData>
  <conditionalFormatting sqref="L2:L11">
    <cfRule type="containsBlanks" dxfId="1" priority="1">
      <formula>LEN(TRIM(L2))=0</formula>
    </cfRule>
  </conditionalFormatting>
  <dataValidations>
    <dataValidation type="list" allowBlank="1" showErrorMessage="1" sqref="C2:C11">
      <formula1>"S2,S4,S6,S8"</formula1>
    </dataValidation>
    <dataValidation type="list" allowBlank="1" showErrorMessage="1" sqref="G2:G11">
      <formula1>"THEORY,THEORY WITH LAB,LAB"</formula1>
    </dataValidation>
    <dataValidation type="list" allowBlank="1" showErrorMessage="1" sqref="D2:D11">
      <formula1>"CORE,ELECTIVE 1,OPEN ELECTIVE,ELECTIVE 3,ELECTIVE 4,ELECTIVE 5,ADD COURSE,HONOURS,MINOR"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3" max="3" width="8.0"/>
    <col customWidth="1" min="4" max="4" width="16.88"/>
    <col customWidth="1" min="5" max="5" width="10.38"/>
    <col customWidth="1" min="6" max="6" width="32.38"/>
    <col customWidth="1" min="7" max="7" width="15.13"/>
    <col customWidth="1" min="8" max="9" width="5.0"/>
    <col customWidth="1" min="10" max="10" width="5.5"/>
    <col customWidth="1" min="11" max="11" width="5.0"/>
    <col customWidth="1" min="13" max="13" width="17.88"/>
    <col customWidth="1" min="14" max="14" width="13.25"/>
  </cols>
  <sheetData>
    <row r="1">
      <c r="A1" s="38" t="s">
        <v>1635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8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8" t="s">
        <v>257</v>
      </c>
      <c r="N1" s="38" t="s">
        <v>1571</v>
      </c>
    </row>
    <row r="2" ht="43.5" customHeight="1">
      <c r="A2" s="29">
        <f t="array" ref="A2:A36">SEQUENCE(COUNTA(B2:B36),1)</f>
        <v>1</v>
      </c>
      <c r="B2" s="29" t="s">
        <v>46</v>
      </c>
      <c r="C2" s="29" t="s">
        <v>1572</v>
      </c>
      <c r="D2" s="29" t="s">
        <v>1573</v>
      </c>
      <c r="E2" s="29" t="s">
        <v>1574</v>
      </c>
      <c r="F2" s="26" t="s">
        <v>1575</v>
      </c>
      <c r="G2" s="29" t="s">
        <v>1576</v>
      </c>
      <c r="H2" s="29">
        <v>3.0</v>
      </c>
      <c r="I2" s="29">
        <v>1.0</v>
      </c>
      <c r="J2" s="29">
        <v>0.0</v>
      </c>
      <c r="K2" s="29">
        <v>4.0</v>
      </c>
      <c r="L2" s="29" t="s">
        <v>1293</v>
      </c>
      <c r="M2" s="30" t="str">
        <f>IFNA(VLOOKUP(L2,'Faculty Details'!$B:$H,4,0),"")</f>
        <v>Dr.MALATHI M</v>
      </c>
      <c r="N2" s="30" t="str">
        <f>IFNA(VLOOKUP(L2,'Faculty Details'!$B:$H,7,0),"")</f>
        <v>malathim@bitsathy.ac.in</v>
      </c>
    </row>
    <row r="3" ht="43.5" customHeight="1">
      <c r="A3" s="29">
        <v>2.0</v>
      </c>
      <c r="B3" s="29" t="s">
        <v>46</v>
      </c>
      <c r="C3" s="29" t="s">
        <v>1572</v>
      </c>
      <c r="D3" s="29" t="s">
        <v>1573</v>
      </c>
      <c r="E3" s="29" t="s">
        <v>1577</v>
      </c>
      <c r="F3" s="26" t="s">
        <v>1578</v>
      </c>
      <c r="G3" s="29" t="s">
        <v>1579</v>
      </c>
      <c r="H3" s="29">
        <v>2.0</v>
      </c>
      <c r="I3" s="29">
        <v>0.0</v>
      </c>
      <c r="J3" s="29">
        <v>2.0</v>
      </c>
      <c r="K3" s="29">
        <v>3.0</v>
      </c>
      <c r="L3" s="1" t="s">
        <v>1472</v>
      </c>
      <c r="M3" s="30" t="str">
        <f>IFNA(VLOOKUP(L3,'Faculty Details'!$B:$H,4,0),"")</f>
        <v>Dr.THIRUMOORTHY M</v>
      </c>
      <c r="N3" s="30" t="str">
        <f>IFNA(VLOOKUP(L3,'Faculty Details'!$B:$H,7,0),"")</f>
        <v>thirumoorthy@bitsathy.ac.in</v>
      </c>
    </row>
    <row r="4" ht="43.5" customHeight="1">
      <c r="A4" s="29">
        <v>3.0</v>
      </c>
      <c r="B4" s="29" t="s">
        <v>46</v>
      </c>
      <c r="C4" s="29" t="s">
        <v>1572</v>
      </c>
      <c r="D4" s="29" t="s">
        <v>1573</v>
      </c>
      <c r="E4" s="29" t="s">
        <v>1580</v>
      </c>
      <c r="F4" s="26" t="s">
        <v>1581</v>
      </c>
      <c r="G4" s="29" t="s">
        <v>1579</v>
      </c>
      <c r="H4" s="29">
        <v>2.0</v>
      </c>
      <c r="I4" s="29">
        <v>0.0</v>
      </c>
      <c r="J4" s="29">
        <v>2.0</v>
      </c>
      <c r="K4" s="29">
        <v>3.0</v>
      </c>
      <c r="L4" s="29" t="s">
        <v>619</v>
      </c>
      <c r="M4" s="30" t="str">
        <f>IFNA(VLOOKUP(L4,'Faculty Details'!$B:$H,4,0),"")</f>
        <v>Dr.SATHISH V</v>
      </c>
      <c r="N4" s="30" t="str">
        <f>IFNA(VLOOKUP(L4,'Faculty Details'!$B:$H,7,0),"")</f>
        <v>sathishv@bitsathy.ac.in</v>
      </c>
    </row>
    <row r="5" ht="43.5" customHeight="1">
      <c r="A5" s="29">
        <v>4.0</v>
      </c>
      <c r="B5" s="29" t="s">
        <v>46</v>
      </c>
      <c r="C5" s="29" t="s">
        <v>1572</v>
      </c>
      <c r="D5" s="29" t="s">
        <v>1573</v>
      </c>
      <c r="E5" s="29" t="s">
        <v>1582</v>
      </c>
      <c r="F5" s="26" t="s">
        <v>1583</v>
      </c>
      <c r="G5" s="29" t="s">
        <v>1576</v>
      </c>
      <c r="H5" s="29">
        <v>3.0</v>
      </c>
      <c r="I5" s="29">
        <v>0.0</v>
      </c>
      <c r="J5" s="29">
        <v>0.0</v>
      </c>
      <c r="K5" s="29">
        <v>3.0</v>
      </c>
      <c r="L5" s="29" t="s">
        <v>774</v>
      </c>
      <c r="M5" s="30" t="str">
        <f>IFNA(VLOOKUP(L5,'Faculty Details'!$B:$H,4,0),"")</f>
        <v>Ms.PARKAVI S</v>
      </c>
      <c r="N5" s="30" t="str">
        <f>IFNA(VLOOKUP(L5,'Faculty Details'!$B:$H,7,0),"")</f>
        <v>parkavi@bitsathy.ac.in</v>
      </c>
    </row>
    <row r="6" ht="43.5" customHeight="1">
      <c r="A6" s="29">
        <v>5.0</v>
      </c>
      <c r="B6" s="29" t="s">
        <v>46</v>
      </c>
      <c r="C6" s="29" t="s">
        <v>1572</v>
      </c>
      <c r="D6" s="29" t="s">
        <v>1573</v>
      </c>
      <c r="E6" s="29" t="s">
        <v>1584</v>
      </c>
      <c r="F6" s="26" t="s">
        <v>1585</v>
      </c>
      <c r="G6" s="29" t="s">
        <v>1579</v>
      </c>
      <c r="H6" s="29">
        <v>2.0</v>
      </c>
      <c r="I6" s="29">
        <v>0.0</v>
      </c>
      <c r="J6" s="29">
        <v>2.0</v>
      </c>
      <c r="K6" s="29">
        <v>3.0</v>
      </c>
      <c r="L6" s="29" t="s">
        <v>912</v>
      </c>
      <c r="M6" s="30" t="str">
        <f>IFNA(VLOOKUP(L6,'Faculty Details'!$B:$H,4,0),"")</f>
        <v>Mr.HARISH KUMAAR P</v>
      </c>
      <c r="N6" s="30" t="str">
        <f>IFNA(VLOOKUP(L6,'Faculty Details'!$B:$H,7,0),"")</f>
        <v>harishkumaarp@bitsathy.ac.in</v>
      </c>
    </row>
    <row r="7" ht="43.5" customHeight="1">
      <c r="A7" s="29">
        <v>6.0</v>
      </c>
      <c r="B7" s="29" t="s">
        <v>46</v>
      </c>
      <c r="C7" s="29" t="s">
        <v>1572</v>
      </c>
      <c r="D7" s="29" t="s">
        <v>1573</v>
      </c>
      <c r="E7" s="29" t="s">
        <v>1586</v>
      </c>
      <c r="F7" s="26" t="s">
        <v>1587</v>
      </c>
      <c r="G7" s="29" t="s">
        <v>1588</v>
      </c>
      <c r="H7" s="29">
        <v>1.0</v>
      </c>
      <c r="I7" s="29">
        <v>0.0</v>
      </c>
      <c r="J7" s="29">
        <v>2.0</v>
      </c>
      <c r="K7" s="29">
        <v>2.0</v>
      </c>
      <c r="L7" s="29" t="s">
        <v>1366</v>
      </c>
      <c r="M7" s="28" t="str">
        <f>IFNA(VLOOKUP(L7,'Faculty Details'!$B:$H,4,0),"")</f>
        <v>Dr.JEGADHEESWARAN S</v>
      </c>
      <c r="N7" s="28" t="str">
        <f>IFNA(VLOOKUP(L7,'Faculty Details'!$B:$H,7,0),"")</f>
        <v>jegadheeswarans@bitsathy.ac.in</v>
      </c>
    </row>
    <row r="8" ht="43.5" customHeight="1">
      <c r="A8" s="29">
        <v>7.0</v>
      </c>
      <c r="B8" s="29" t="s">
        <v>46</v>
      </c>
      <c r="C8" s="29" t="s">
        <v>1572</v>
      </c>
      <c r="D8" s="29" t="s">
        <v>1573</v>
      </c>
      <c r="E8" s="29" t="s">
        <v>1589</v>
      </c>
      <c r="F8" s="26" t="s">
        <v>1590</v>
      </c>
      <c r="G8" s="29" t="s">
        <v>1588</v>
      </c>
      <c r="H8" s="29">
        <v>1.0</v>
      </c>
      <c r="I8" s="29">
        <v>0.0</v>
      </c>
      <c r="J8" s="29">
        <v>0.0</v>
      </c>
      <c r="K8" s="29">
        <v>1.0</v>
      </c>
      <c r="L8" s="29" t="s">
        <v>1115</v>
      </c>
      <c r="M8" s="30" t="str">
        <f>IFNA(VLOOKUP(L8,'Faculty Details'!$B:$H,4,0),"")</f>
        <v>Ms.KAMALI D</v>
      </c>
      <c r="N8" s="30" t="str">
        <f>IFNA(VLOOKUP(L8,'Faculty Details'!$B:$H,7,0),"")</f>
        <v>kamali@bitsathy.ac.in</v>
      </c>
    </row>
    <row r="9" ht="43.5" customHeight="1">
      <c r="A9" s="29">
        <v>8.0</v>
      </c>
      <c r="B9" s="29" t="s">
        <v>46</v>
      </c>
      <c r="C9" s="29" t="s">
        <v>1572</v>
      </c>
      <c r="D9" s="29" t="s">
        <v>1573</v>
      </c>
      <c r="E9" s="29" t="s">
        <v>1591</v>
      </c>
      <c r="F9" s="26" t="s">
        <v>1726</v>
      </c>
      <c r="G9" s="29"/>
      <c r="H9" s="29"/>
      <c r="I9" s="29"/>
      <c r="J9" s="29"/>
      <c r="K9" s="29"/>
      <c r="L9" s="86"/>
      <c r="M9" s="30" t="str">
        <f>IFNA(VLOOKUP(L9,'Faculty Details'!$B:$H,4,0),"")</f>
        <v/>
      </c>
      <c r="N9" s="30" t="str">
        <f>IFNA(VLOOKUP(L9,'Faculty Details'!$B:$H,7,0),"")</f>
        <v/>
      </c>
    </row>
    <row r="10" ht="43.5" customHeight="1">
      <c r="A10" s="29">
        <v>9.0</v>
      </c>
      <c r="B10" s="29" t="s">
        <v>46</v>
      </c>
      <c r="C10" s="29" t="s">
        <v>1572</v>
      </c>
      <c r="D10" s="29" t="s">
        <v>1593</v>
      </c>
      <c r="E10" s="29" t="s">
        <v>1594</v>
      </c>
      <c r="F10" s="26" t="s">
        <v>1640</v>
      </c>
      <c r="G10" s="29" t="s">
        <v>1588</v>
      </c>
      <c r="H10" s="29">
        <v>1.0</v>
      </c>
      <c r="I10" s="29">
        <v>0.0</v>
      </c>
      <c r="J10" s="29">
        <v>2.0</v>
      </c>
      <c r="K10" s="29">
        <v>2.0</v>
      </c>
      <c r="L10" s="29" t="s">
        <v>1133</v>
      </c>
      <c r="M10" s="30" t="str">
        <f>IFNA(VLOOKUP(L10,'Faculty Details'!$B:$H,4,0),"")</f>
        <v>Dr.JAYA K</v>
      </c>
      <c r="N10" s="30" t="str">
        <f>IFNA(VLOOKUP(L10,'Faculty Details'!$B:$H,7,0),"")</f>
        <v>jayak@bitsathy.ac.in</v>
      </c>
    </row>
    <row r="11" ht="43.5" customHeight="1">
      <c r="A11" s="29">
        <v>10.0</v>
      </c>
      <c r="B11" s="29" t="s">
        <v>46</v>
      </c>
      <c r="C11" s="29" t="s">
        <v>1596</v>
      </c>
      <c r="D11" s="29" t="s">
        <v>1573</v>
      </c>
      <c r="E11" s="29" t="s">
        <v>1871</v>
      </c>
      <c r="F11" s="41" t="s">
        <v>1872</v>
      </c>
      <c r="G11" s="29" t="s">
        <v>1576</v>
      </c>
      <c r="H11" s="29">
        <v>3.0</v>
      </c>
      <c r="I11" s="29">
        <v>1.0</v>
      </c>
      <c r="J11" s="29">
        <v>0.0</v>
      </c>
      <c r="K11" s="29">
        <v>4.0</v>
      </c>
      <c r="L11" s="29" t="s">
        <v>1308</v>
      </c>
      <c r="M11" s="30" t="str">
        <f>IFNA(VLOOKUP(L11,'Faculty Details'!$B:$H,4,0),"")</f>
        <v>Dr.PRABHAVATHI K</v>
      </c>
      <c r="N11" s="30" t="str">
        <f>IFNA(VLOOKUP(L11,'Faculty Details'!$B:$H,7,0),"")</f>
        <v>prabhavathik@bitsathy.ac.in</v>
      </c>
    </row>
    <row r="12" ht="43.5" customHeight="1">
      <c r="A12" s="29">
        <v>11.0</v>
      </c>
      <c r="B12" s="29" t="s">
        <v>46</v>
      </c>
      <c r="C12" s="29" t="s">
        <v>1596</v>
      </c>
      <c r="D12" s="29" t="s">
        <v>1573</v>
      </c>
      <c r="E12" s="29" t="s">
        <v>1873</v>
      </c>
      <c r="F12" s="26" t="s">
        <v>1874</v>
      </c>
      <c r="G12" s="29" t="s">
        <v>1576</v>
      </c>
      <c r="H12" s="29">
        <v>3.0</v>
      </c>
      <c r="I12" s="29">
        <v>0.0</v>
      </c>
      <c r="J12" s="29">
        <v>2.0</v>
      </c>
      <c r="K12" s="29">
        <v>4.0</v>
      </c>
      <c r="L12" s="29" t="s">
        <v>1342</v>
      </c>
      <c r="M12" s="30" t="str">
        <f>IFNA(VLOOKUP(L12,'Faculty Details'!$B:$H,4,0),"")</f>
        <v>Dr.RAGHAVENDRA PRABHU S</v>
      </c>
      <c r="N12" s="30" t="str">
        <f>IFNA(VLOOKUP(L12,'Faculty Details'!$B:$H,7,0),"")</f>
        <v>raghavendraprabhu@bitsathy.ac.in</v>
      </c>
    </row>
    <row r="13" ht="43.5" customHeight="1">
      <c r="A13" s="29">
        <v>12.0</v>
      </c>
      <c r="B13" s="29" t="s">
        <v>46</v>
      </c>
      <c r="C13" s="29" t="s">
        <v>1596</v>
      </c>
      <c r="D13" s="29" t="s">
        <v>1573</v>
      </c>
      <c r="E13" s="29" t="s">
        <v>1873</v>
      </c>
      <c r="F13" s="26" t="s">
        <v>1874</v>
      </c>
      <c r="G13" s="29" t="s">
        <v>1588</v>
      </c>
      <c r="H13" s="29">
        <v>3.0</v>
      </c>
      <c r="I13" s="29">
        <v>0.0</v>
      </c>
      <c r="J13" s="29">
        <v>2.0</v>
      </c>
      <c r="K13" s="29">
        <v>4.0</v>
      </c>
      <c r="L13" s="29" t="s">
        <v>1342</v>
      </c>
      <c r="M13" s="30" t="str">
        <f>IFNA(VLOOKUP(L13,'Faculty Details'!$B:$H,4,0),"")</f>
        <v>Dr.RAGHAVENDRA PRABHU S</v>
      </c>
      <c r="N13" s="30" t="str">
        <f>IFNA(VLOOKUP(L13,'Faculty Details'!$B:$H,7,0),"")</f>
        <v>raghavendraprabhu@bitsathy.ac.in</v>
      </c>
    </row>
    <row r="14" ht="43.5" customHeight="1">
      <c r="A14" s="29">
        <v>13.0</v>
      </c>
      <c r="B14" s="29" t="s">
        <v>46</v>
      </c>
      <c r="C14" s="29" t="s">
        <v>1596</v>
      </c>
      <c r="D14" s="29" t="s">
        <v>1573</v>
      </c>
      <c r="E14" s="29" t="s">
        <v>1875</v>
      </c>
      <c r="F14" s="26" t="s">
        <v>1602</v>
      </c>
      <c r="G14" s="29" t="s">
        <v>1576</v>
      </c>
      <c r="H14" s="29">
        <v>2.0</v>
      </c>
      <c r="I14" s="29">
        <v>1.0</v>
      </c>
      <c r="J14" s="29">
        <v>2.0</v>
      </c>
      <c r="K14" s="29">
        <v>4.0</v>
      </c>
      <c r="L14" s="29" t="s">
        <v>1351</v>
      </c>
      <c r="M14" s="30" t="str">
        <f>IFNA(VLOOKUP(L14,'Faculty Details'!$B:$H,4,0),"")</f>
        <v>Dr.VADIVEL VIVEK V</v>
      </c>
      <c r="N14" s="30" t="str">
        <f>IFNA(VLOOKUP(L14,'Faculty Details'!$B:$H,7,0),"")</f>
        <v>vadivelvivek@bitsathy.ac.in</v>
      </c>
    </row>
    <row r="15" ht="43.5" customHeight="1">
      <c r="A15" s="29">
        <v>14.0</v>
      </c>
      <c r="B15" s="29" t="s">
        <v>46</v>
      </c>
      <c r="C15" s="29" t="s">
        <v>1596</v>
      </c>
      <c r="D15" s="29" t="s">
        <v>1573</v>
      </c>
      <c r="E15" s="29" t="s">
        <v>1875</v>
      </c>
      <c r="F15" s="26" t="s">
        <v>1602</v>
      </c>
      <c r="G15" s="29" t="s">
        <v>1588</v>
      </c>
      <c r="H15" s="29">
        <v>2.0</v>
      </c>
      <c r="I15" s="29">
        <v>1.0</v>
      </c>
      <c r="J15" s="29">
        <v>2.0</v>
      </c>
      <c r="K15" s="29">
        <v>4.0</v>
      </c>
      <c r="L15" s="29" t="s">
        <v>1392</v>
      </c>
      <c r="M15" s="30" t="str">
        <f>IFNA(VLOOKUP(L15,'Faculty Details'!$B:$H,4,0),"")</f>
        <v>Mr.KAMAL BASHA K</v>
      </c>
      <c r="N15" s="30" t="str">
        <f>IFNA(VLOOKUP(L15,'Faculty Details'!$B:$H,7,0),"")</f>
        <v>kamalbasha@bitsathy.ac.in</v>
      </c>
    </row>
    <row r="16" ht="43.5" customHeight="1">
      <c r="A16" s="29">
        <v>15.0</v>
      </c>
      <c r="B16" s="29" t="s">
        <v>46</v>
      </c>
      <c r="C16" s="29" t="s">
        <v>1596</v>
      </c>
      <c r="D16" s="29" t="s">
        <v>1573</v>
      </c>
      <c r="E16" s="29" t="s">
        <v>1876</v>
      </c>
      <c r="F16" s="26" t="s">
        <v>1604</v>
      </c>
      <c r="G16" s="29" t="s">
        <v>1576</v>
      </c>
      <c r="H16" s="29">
        <v>3.0</v>
      </c>
      <c r="I16" s="29">
        <v>0.0</v>
      </c>
      <c r="J16" s="29">
        <v>2.0</v>
      </c>
      <c r="K16" s="29">
        <v>4.0</v>
      </c>
      <c r="L16" s="29" t="s">
        <v>1363</v>
      </c>
      <c r="M16" s="30" t="str">
        <f>IFNA(VLOOKUP(L16,'Faculty Details'!$B:$H,4,0),"")</f>
        <v>Dr.SENTHILKUMAR P</v>
      </c>
      <c r="N16" s="30" t="str">
        <f>IFNA(VLOOKUP(L16,'Faculty Details'!$B:$H,7,0),"")</f>
        <v>senthilkumarp@bitsathy.ac.in</v>
      </c>
    </row>
    <row r="17" ht="43.5" customHeight="1">
      <c r="A17" s="29">
        <v>16.0</v>
      </c>
      <c r="B17" s="29" t="s">
        <v>46</v>
      </c>
      <c r="C17" s="29" t="s">
        <v>1596</v>
      </c>
      <c r="D17" s="29" t="s">
        <v>1573</v>
      </c>
      <c r="E17" s="29" t="s">
        <v>1876</v>
      </c>
      <c r="F17" s="26" t="s">
        <v>1604</v>
      </c>
      <c r="G17" s="29" t="s">
        <v>1588</v>
      </c>
      <c r="H17" s="29">
        <v>3.0</v>
      </c>
      <c r="I17" s="29">
        <v>0.0</v>
      </c>
      <c r="J17" s="29">
        <v>2.0</v>
      </c>
      <c r="K17" s="29">
        <v>4.0</v>
      </c>
      <c r="L17" s="113" t="s">
        <v>1447</v>
      </c>
      <c r="M17" s="30" t="str">
        <f>IFNA(VLOOKUP(L17,'Faculty Details'!$B:$H,4,0),"")</f>
        <v>Dr.SURESHKUMAR M</v>
      </c>
      <c r="N17" s="30" t="str">
        <f>IFNA(VLOOKUP(L17,'Faculty Details'!$B:$H,7,0),"")</f>
        <v>sureshkumarm@bitsathy.ac.in</v>
      </c>
    </row>
    <row r="18" ht="43.5" customHeight="1">
      <c r="A18" s="29">
        <v>17.0</v>
      </c>
      <c r="B18" s="29" t="s">
        <v>46</v>
      </c>
      <c r="C18" s="29" t="s">
        <v>1596</v>
      </c>
      <c r="D18" s="29" t="s">
        <v>1573</v>
      </c>
      <c r="E18" s="29" t="s">
        <v>1877</v>
      </c>
      <c r="F18" s="26" t="s">
        <v>1807</v>
      </c>
      <c r="G18" s="29" t="s">
        <v>1576</v>
      </c>
      <c r="H18" s="29">
        <v>3.0</v>
      </c>
      <c r="I18" s="29">
        <v>0.0</v>
      </c>
      <c r="J18" s="29">
        <v>2.0</v>
      </c>
      <c r="K18" s="29">
        <v>4.0</v>
      </c>
      <c r="L18" s="29" t="s">
        <v>1333</v>
      </c>
      <c r="M18" s="30" t="str">
        <f>IFNA(VLOOKUP(L18,'Faculty Details'!$B:$H,4,0),"")</f>
        <v>Dr.NIJANDHAN K</v>
      </c>
      <c r="N18" s="30" t="str">
        <f>IFNA(VLOOKUP(L18,'Faculty Details'!$B:$H,7,0),"")</f>
        <v>nijandhan@bitsathy.ac.in</v>
      </c>
    </row>
    <row r="19" ht="43.5" customHeight="1">
      <c r="A19" s="29">
        <v>18.0</v>
      </c>
      <c r="B19" s="29" t="s">
        <v>46</v>
      </c>
      <c r="C19" s="29" t="s">
        <v>1596</v>
      </c>
      <c r="D19" s="29" t="s">
        <v>1573</v>
      </c>
      <c r="E19" s="29" t="s">
        <v>1877</v>
      </c>
      <c r="F19" s="26" t="s">
        <v>1807</v>
      </c>
      <c r="G19" s="29" t="s">
        <v>1588</v>
      </c>
      <c r="H19" s="29">
        <v>3.0</v>
      </c>
      <c r="I19" s="29">
        <v>0.0</v>
      </c>
      <c r="J19" s="29">
        <v>2.0</v>
      </c>
      <c r="K19" s="29">
        <v>4.0</v>
      </c>
      <c r="L19" s="29" t="s">
        <v>1333</v>
      </c>
      <c r="M19" s="30" t="str">
        <f>IFNA(VLOOKUP(L19,'Faculty Details'!$B:$H,4,0),"")</f>
        <v>Dr.NIJANDHAN K</v>
      </c>
      <c r="N19" s="30" t="str">
        <f>IFNA(VLOOKUP(L19,'Faculty Details'!$B:$H,7,0),"")</f>
        <v>nijandhan@bitsathy.ac.in</v>
      </c>
    </row>
    <row r="20" ht="43.5" customHeight="1">
      <c r="A20" s="29">
        <v>19.0</v>
      </c>
      <c r="B20" s="29" t="s">
        <v>46</v>
      </c>
      <c r="C20" s="29" t="s">
        <v>1596</v>
      </c>
      <c r="D20" s="29" t="s">
        <v>1607</v>
      </c>
      <c r="E20" s="29" t="s">
        <v>1878</v>
      </c>
      <c r="F20" s="85" t="s">
        <v>1879</v>
      </c>
      <c r="G20" s="29" t="s">
        <v>1576</v>
      </c>
      <c r="H20" s="29">
        <v>3.0</v>
      </c>
      <c r="I20" s="29">
        <v>0.0</v>
      </c>
      <c r="J20" s="29">
        <v>0.0</v>
      </c>
      <c r="K20" s="29">
        <v>3.0</v>
      </c>
      <c r="L20" s="29" t="s">
        <v>1366</v>
      </c>
      <c r="M20" s="30" t="str">
        <f>IFNA(VLOOKUP(L20,'Faculty Details'!$B:$H,4,0),"")</f>
        <v>Dr.JEGADHEESWARAN S</v>
      </c>
      <c r="N20" s="30" t="str">
        <f>IFNA(VLOOKUP(L20,'Faculty Details'!$B:$H,7,0),"")</f>
        <v>jegadheeswarans@bitsathy.ac.in</v>
      </c>
    </row>
    <row r="21" ht="43.5" customHeight="1">
      <c r="A21" s="29">
        <v>20.0</v>
      </c>
      <c r="B21" s="29" t="s">
        <v>46</v>
      </c>
      <c r="C21" s="29" t="s">
        <v>1596</v>
      </c>
      <c r="D21" s="29" t="s">
        <v>1573</v>
      </c>
      <c r="E21" s="29" t="s">
        <v>1608</v>
      </c>
      <c r="F21" s="26" t="s">
        <v>1609</v>
      </c>
      <c r="G21" s="29" t="s">
        <v>1588</v>
      </c>
      <c r="H21" s="29">
        <v>2.0</v>
      </c>
      <c r="I21" s="29">
        <v>0.0</v>
      </c>
      <c r="J21" s="29">
        <v>0.0</v>
      </c>
      <c r="K21" s="29">
        <v>2.0</v>
      </c>
      <c r="L21" s="29" t="s">
        <v>623</v>
      </c>
      <c r="M21" s="30" t="str">
        <f>IFNA(VLOOKUP(L21,'Faculty Details'!$B:$H,4,0),"")</f>
        <v>Dr.MUTHUKUMAR P</v>
      </c>
      <c r="N21" s="30" t="str">
        <f>IFNA(VLOOKUP(L21,'Faculty Details'!$B:$H,7,0),"")</f>
        <v>muthukumar@bitsathy.ac.in</v>
      </c>
    </row>
    <row r="22" ht="43.5" customHeight="1">
      <c r="A22" s="29">
        <v>21.0</v>
      </c>
      <c r="B22" s="29" t="s">
        <v>46</v>
      </c>
      <c r="C22" s="29" t="s">
        <v>1596</v>
      </c>
      <c r="D22" s="29" t="s">
        <v>1573</v>
      </c>
      <c r="E22" s="29" t="s">
        <v>1610</v>
      </c>
      <c r="F22" s="34" t="s">
        <v>1611</v>
      </c>
      <c r="G22" s="29" t="s">
        <v>1588</v>
      </c>
      <c r="H22" s="29">
        <v>0.0</v>
      </c>
      <c r="I22" s="29">
        <v>0.0</v>
      </c>
      <c r="J22" s="29">
        <v>2.0</v>
      </c>
      <c r="K22" s="29">
        <v>1.0</v>
      </c>
      <c r="L22" s="29" t="s">
        <v>1133</v>
      </c>
      <c r="M22" s="30" t="str">
        <f>IFNA(VLOOKUP(L22,'Faculty Details'!$B:$H,4,0),"")</f>
        <v>Dr.JAYA K</v>
      </c>
      <c r="N22" s="30" t="str">
        <f>IFNA(VLOOKUP(L22,'Faculty Details'!$B:$H,7,0),"")</f>
        <v>jayak@bitsathy.ac.in</v>
      </c>
    </row>
    <row r="23" ht="43.5" customHeight="1">
      <c r="A23" s="29">
        <v>22.0</v>
      </c>
      <c r="B23" s="29" t="s">
        <v>46</v>
      </c>
      <c r="C23" s="29" t="s">
        <v>1612</v>
      </c>
      <c r="D23" s="29" t="s">
        <v>1573</v>
      </c>
      <c r="E23" s="29" t="s">
        <v>1880</v>
      </c>
      <c r="F23" s="26" t="s">
        <v>1881</v>
      </c>
      <c r="G23" s="29" t="s">
        <v>1576</v>
      </c>
      <c r="H23" s="29">
        <v>3.0</v>
      </c>
      <c r="I23" s="29">
        <v>0.0</v>
      </c>
      <c r="J23" s="29">
        <v>2.0</v>
      </c>
      <c r="K23" s="29">
        <v>4.0</v>
      </c>
      <c r="L23" s="29" t="s">
        <v>1360</v>
      </c>
      <c r="M23" s="30" t="str">
        <f>IFNA(VLOOKUP(L23,'Faculty Details'!$B:$H,4,0),"")</f>
        <v>Dr.RAJIEV R</v>
      </c>
      <c r="N23" s="30" t="str">
        <f>IFNA(VLOOKUP(L23,'Faculty Details'!$B:$H,7,0),"")</f>
        <v>rajievr@bitsathy.ac.in</v>
      </c>
    </row>
    <row r="24" ht="43.5" customHeight="1">
      <c r="A24" s="29">
        <v>23.0</v>
      </c>
      <c r="B24" s="29" t="s">
        <v>46</v>
      </c>
      <c r="C24" s="29" t="s">
        <v>1612</v>
      </c>
      <c r="D24" s="29" t="s">
        <v>1573</v>
      </c>
      <c r="E24" s="29" t="s">
        <v>1880</v>
      </c>
      <c r="F24" s="26" t="s">
        <v>1881</v>
      </c>
      <c r="G24" s="29" t="s">
        <v>1588</v>
      </c>
      <c r="H24" s="29">
        <v>3.0</v>
      </c>
      <c r="I24" s="29">
        <v>0.0</v>
      </c>
      <c r="J24" s="29">
        <v>2.0</v>
      </c>
      <c r="K24" s="29">
        <v>4.0</v>
      </c>
      <c r="L24" s="29" t="s">
        <v>1363</v>
      </c>
      <c r="M24" s="30" t="str">
        <f>IFNA(VLOOKUP(L24,'Faculty Details'!$B:$H,4,0),"")</f>
        <v>Dr.SENTHILKUMAR P</v>
      </c>
      <c r="N24" s="30" t="str">
        <f>IFNA(VLOOKUP(L24,'Faculty Details'!$B:$H,7,0),"")</f>
        <v>senthilkumarp@bitsathy.ac.in</v>
      </c>
    </row>
    <row r="25" ht="43.5" customHeight="1">
      <c r="A25" s="29">
        <v>24.0</v>
      </c>
      <c r="B25" s="29" t="s">
        <v>46</v>
      </c>
      <c r="C25" s="29" t="s">
        <v>1612</v>
      </c>
      <c r="D25" s="29" t="s">
        <v>1573</v>
      </c>
      <c r="E25" s="29" t="s">
        <v>1882</v>
      </c>
      <c r="F25" s="26" t="s">
        <v>1883</v>
      </c>
      <c r="G25" s="29" t="s">
        <v>1576</v>
      </c>
      <c r="H25" s="29">
        <v>3.0</v>
      </c>
      <c r="I25" s="29">
        <v>0.0</v>
      </c>
      <c r="J25" s="29">
        <v>2.0</v>
      </c>
      <c r="K25" s="29">
        <v>4.0</v>
      </c>
      <c r="L25" s="29" t="s">
        <v>1326</v>
      </c>
      <c r="M25" s="30" t="str">
        <f>IFNA(VLOOKUP(L25,'Faculty Details'!$B:$H,4,0),"")</f>
        <v>Dr.SIVABALAKRISHNAN R</v>
      </c>
      <c r="N25" s="30" t="str">
        <f>IFNA(VLOOKUP(L25,'Faculty Details'!$B:$H,7,0),"")</f>
        <v>sivabalakrishnan@bitsathy.ac.in</v>
      </c>
    </row>
    <row r="26" ht="43.5" customHeight="1">
      <c r="A26" s="29">
        <v>25.0</v>
      </c>
      <c r="B26" s="29" t="s">
        <v>46</v>
      </c>
      <c r="C26" s="29" t="s">
        <v>1612</v>
      </c>
      <c r="D26" s="29" t="s">
        <v>1573</v>
      </c>
      <c r="E26" s="29" t="s">
        <v>1882</v>
      </c>
      <c r="F26" s="26" t="s">
        <v>1883</v>
      </c>
      <c r="G26" s="29" t="s">
        <v>1588</v>
      </c>
      <c r="H26" s="29">
        <v>3.0</v>
      </c>
      <c r="I26" s="29">
        <v>0.0</v>
      </c>
      <c r="J26" s="29">
        <v>2.0</v>
      </c>
      <c r="K26" s="29">
        <v>4.0</v>
      </c>
      <c r="L26" s="29" t="s">
        <v>1326</v>
      </c>
      <c r="M26" s="30" t="str">
        <f>IFNA(VLOOKUP(L26,'Faculty Details'!$B:$H,4,0),"")</f>
        <v>Dr.SIVABALAKRISHNAN R</v>
      </c>
      <c r="N26" s="30" t="str">
        <f>IFNA(VLOOKUP(L26,'Faculty Details'!$B:$H,7,0),"")</f>
        <v>sivabalakrishnan@bitsathy.ac.in</v>
      </c>
    </row>
    <row r="27" ht="43.5" customHeight="1">
      <c r="A27" s="29">
        <v>26.0</v>
      </c>
      <c r="B27" s="29" t="s">
        <v>46</v>
      </c>
      <c r="C27" s="29" t="s">
        <v>1612</v>
      </c>
      <c r="D27" s="29" t="s">
        <v>1573</v>
      </c>
      <c r="E27" s="29" t="s">
        <v>1884</v>
      </c>
      <c r="F27" s="26" t="s">
        <v>1885</v>
      </c>
      <c r="G27" s="29" t="s">
        <v>1576</v>
      </c>
      <c r="H27" s="29">
        <v>2.0</v>
      </c>
      <c r="I27" s="29">
        <v>1.0</v>
      </c>
      <c r="J27" s="29">
        <v>2.0</v>
      </c>
      <c r="K27" s="29">
        <v>4.0</v>
      </c>
      <c r="L27" s="29" t="s">
        <v>1354</v>
      </c>
      <c r="M27" s="30" t="str">
        <f>IFNA(VLOOKUP(L27,'Faculty Details'!$B:$H,4,0),"")</f>
        <v>Dr.SENTHIL KUMAR K L</v>
      </c>
      <c r="N27" s="30" t="str">
        <f>IFNA(VLOOKUP(L27,'Faculty Details'!$B:$H,7,0),"")</f>
        <v>senthilkumarkl@bitsathy.ac.in</v>
      </c>
    </row>
    <row r="28" ht="43.5" customHeight="1">
      <c r="A28" s="29">
        <v>27.0</v>
      </c>
      <c r="B28" s="29" t="s">
        <v>46</v>
      </c>
      <c r="C28" s="29" t="s">
        <v>1612</v>
      </c>
      <c r="D28" s="29" t="s">
        <v>1573</v>
      </c>
      <c r="E28" s="29" t="s">
        <v>1884</v>
      </c>
      <c r="F28" s="26" t="s">
        <v>1885</v>
      </c>
      <c r="G28" s="29" t="s">
        <v>1588</v>
      </c>
      <c r="H28" s="29">
        <v>2.0</v>
      </c>
      <c r="I28" s="29">
        <v>1.0</v>
      </c>
      <c r="J28" s="29">
        <v>2.0</v>
      </c>
      <c r="K28" s="29">
        <v>4.0</v>
      </c>
      <c r="L28" s="29" t="s">
        <v>1342</v>
      </c>
      <c r="M28" s="30" t="str">
        <f>IFNA(VLOOKUP(L28,'Faculty Details'!$B:$H,4,0),"")</f>
        <v>Dr.RAGHAVENDRA PRABHU S</v>
      </c>
      <c r="N28" s="30" t="str">
        <f>IFNA(VLOOKUP(L28,'Faculty Details'!$B:$H,7,0),"")</f>
        <v>raghavendraprabhu@bitsathy.ac.in</v>
      </c>
    </row>
    <row r="29" ht="43.5" customHeight="1">
      <c r="A29" s="29">
        <v>28.0</v>
      </c>
      <c r="B29" s="29" t="s">
        <v>46</v>
      </c>
      <c r="C29" s="29" t="s">
        <v>1612</v>
      </c>
      <c r="D29" s="29" t="s">
        <v>1619</v>
      </c>
      <c r="E29" s="86" t="s">
        <v>248</v>
      </c>
      <c r="F29" s="114" t="s">
        <v>249</v>
      </c>
      <c r="G29" s="29" t="s">
        <v>1576</v>
      </c>
      <c r="H29" s="29">
        <v>3.0</v>
      </c>
      <c r="I29" s="29">
        <v>0.0</v>
      </c>
      <c r="J29" s="29">
        <v>0.0</v>
      </c>
      <c r="K29" s="29">
        <v>3.0</v>
      </c>
      <c r="L29" s="29" t="s">
        <v>1345</v>
      </c>
      <c r="M29" s="30" t="str">
        <f>IFNA(VLOOKUP(L29,'Faculty Details'!$B:$H,4,0),"")</f>
        <v>Dr.SIDDHARTHAN B</v>
      </c>
      <c r="N29" s="30" t="str">
        <f>IFNA(VLOOKUP(L29,'Faculty Details'!$B:$H,7,0),"")</f>
        <v>siddharthan@bitsathy.ac.in</v>
      </c>
    </row>
    <row r="30" ht="43.5" customHeight="1">
      <c r="A30" s="29">
        <v>29.0</v>
      </c>
      <c r="B30" s="29" t="s">
        <v>46</v>
      </c>
      <c r="C30" s="29" t="s">
        <v>1612</v>
      </c>
      <c r="D30" s="29" t="s">
        <v>1620</v>
      </c>
      <c r="E30" s="29" t="s">
        <v>1886</v>
      </c>
      <c r="F30" s="85" t="s">
        <v>1887</v>
      </c>
      <c r="G30" s="29" t="s">
        <v>1576</v>
      </c>
      <c r="H30" s="29">
        <v>3.0</v>
      </c>
      <c r="I30" s="29">
        <v>0.0</v>
      </c>
      <c r="J30" s="29">
        <v>0.0</v>
      </c>
      <c r="K30" s="29">
        <v>3.0</v>
      </c>
      <c r="L30" s="29" t="s">
        <v>1342</v>
      </c>
      <c r="M30" s="30" t="str">
        <f>IFNA(VLOOKUP(L30,'Faculty Details'!$B:$H,4,0),"")</f>
        <v>Dr.RAGHAVENDRA PRABHU S</v>
      </c>
      <c r="N30" s="30" t="str">
        <f>IFNA(VLOOKUP(L30,'Faculty Details'!$B:$H,7,0),"")</f>
        <v>raghavendraprabhu@bitsathy.ac.in</v>
      </c>
    </row>
    <row r="31" ht="43.5" customHeight="1">
      <c r="A31" s="29">
        <v>30.0</v>
      </c>
      <c r="B31" s="29" t="s">
        <v>46</v>
      </c>
      <c r="C31" s="29" t="s">
        <v>1612</v>
      </c>
      <c r="D31" s="29" t="s">
        <v>1621</v>
      </c>
      <c r="E31" s="29" t="s">
        <v>1888</v>
      </c>
      <c r="F31" s="85" t="s">
        <v>1889</v>
      </c>
      <c r="G31" s="29" t="s">
        <v>1576</v>
      </c>
      <c r="H31" s="29">
        <v>3.0</v>
      </c>
      <c r="I31" s="29">
        <v>0.0</v>
      </c>
      <c r="J31" s="29">
        <v>0.0</v>
      </c>
      <c r="K31" s="29">
        <v>3.0</v>
      </c>
      <c r="L31" s="29" t="s">
        <v>1330</v>
      </c>
      <c r="M31" s="30" t="str">
        <f>IFNA(VLOOKUP(L31,'Faculty Details'!$B:$H,4,0),"")</f>
        <v>Mr.VIGNESH S</v>
      </c>
      <c r="N31" s="30" t="str">
        <f>IFNA(VLOOKUP(L31,'Faculty Details'!$B:$H,7,0),"")</f>
        <v>vignesh@bitsathy.ac.in</v>
      </c>
    </row>
    <row r="32" ht="43.5" customHeight="1">
      <c r="A32" s="29">
        <v>31.0</v>
      </c>
      <c r="B32" s="29" t="s">
        <v>46</v>
      </c>
      <c r="C32" s="29" t="s">
        <v>1612</v>
      </c>
      <c r="D32" s="29" t="s">
        <v>1622</v>
      </c>
      <c r="E32" s="86" t="s">
        <v>246</v>
      </c>
      <c r="F32" s="114" t="s">
        <v>247</v>
      </c>
      <c r="G32" s="29" t="s">
        <v>1576</v>
      </c>
      <c r="H32" s="29">
        <v>3.0</v>
      </c>
      <c r="I32" s="29">
        <v>0.0</v>
      </c>
      <c r="J32" s="29">
        <v>0.0</v>
      </c>
      <c r="K32" s="29">
        <v>3.0</v>
      </c>
      <c r="L32" s="29" t="s">
        <v>1336</v>
      </c>
      <c r="M32" s="30" t="str">
        <f>IFNA(VLOOKUP(L32,'Faculty Details'!$B:$H,4,0),"")</f>
        <v>Mr.RAGHUNATH M</v>
      </c>
      <c r="N32" s="30" t="str">
        <f>IFNA(VLOOKUP(L32,'Faculty Details'!$B:$H,7,0),"")</f>
        <v>raghunath@bitsathy.ac.in</v>
      </c>
    </row>
    <row r="33" ht="43.5" customHeight="1">
      <c r="A33" s="29">
        <v>32.0</v>
      </c>
      <c r="B33" s="29" t="s">
        <v>46</v>
      </c>
      <c r="C33" s="29" t="s">
        <v>1612</v>
      </c>
      <c r="D33" s="29" t="s">
        <v>1623</v>
      </c>
      <c r="E33" s="29" t="s">
        <v>1890</v>
      </c>
      <c r="F33" s="114" t="s">
        <v>1891</v>
      </c>
      <c r="G33" s="29" t="s">
        <v>1576</v>
      </c>
      <c r="H33" s="29">
        <v>3.0</v>
      </c>
      <c r="I33" s="29">
        <v>0.0</v>
      </c>
      <c r="J33" s="29">
        <v>0.0</v>
      </c>
      <c r="K33" s="29">
        <v>3.0</v>
      </c>
      <c r="L33" s="29" t="s">
        <v>1333</v>
      </c>
      <c r="M33" s="30" t="str">
        <f>IFNA(VLOOKUP(L33,'Faculty Details'!$B:$H,4,0),"")</f>
        <v>Dr.NIJANDHAN K</v>
      </c>
      <c r="N33" s="30" t="str">
        <f>IFNA(VLOOKUP(L33,'Faculty Details'!$B:$H,7,0),"")</f>
        <v>nijandhan@bitsathy.ac.in</v>
      </c>
    </row>
    <row r="34" ht="43.5" customHeight="1">
      <c r="A34" s="29">
        <v>33.0</v>
      </c>
      <c r="B34" s="29" t="s">
        <v>46</v>
      </c>
      <c r="C34" s="29" t="s">
        <v>1612</v>
      </c>
      <c r="D34" s="29" t="s">
        <v>1623</v>
      </c>
      <c r="E34" s="29" t="s">
        <v>1892</v>
      </c>
      <c r="F34" s="85" t="s">
        <v>1893</v>
      </c>
      <c r="G34" s="29" t="s">
        <v>1576</v>
      </c>
      <c r="H34" s="29">
        <v>3.0</v>
      </c>
      <c r="I34" s="29">
        <v>0.0</v>
      </c>
      <c r="J34" s="29">
        <v>0.0</v>
      </c>
      <c r="K34" s="29">
        <v>3.0</v>
      </c>
      <c r="L34" s="29" t="s">
        <v>1357</v>
      </c>
      <c r="M34" s="30" t="str">
        <f>IFNA(VLOOKUP(L34,'Faculty Details'!$B:$H,4,0),"")</f>
        <v>Dr.NAGARAJAN P</v>
      </c>
      <c r="N34" s="30" t="str">
        <f>IFNA(VLOOKUP(L34,'Faculty Details'!$B:$H,7,0),"")</f>
        <v>nagarajanp@bitsathy.ac.in</v>
      </c>
    </row>
    <row r="35" ht="43.5" customHeight="1">
      <c r="A35" s="29">
        <v>34.0</v>
      </c>
      <c r="B35" s="29" t="s">
        <v>46</v>
      </c>
      <c r="C35" s="29" t="s">
        <v>1612</v>
      </c>
      <c r="D35" s="29" t="s">
        <v>1628</v>
      </c>
      <c r="E35" s="29" t="s">
        <v>1894</v>
      </c>
      <c r="F35" s="26" t="s">
        <v>1630</v>
      </c>
      <c r="G35" s="29" t="s">
        <v>1588</v>
      </c>
      <c r="H35" s="29">
        <v>0.0</v>
      </c>
      <c r="I35" s="29">
        <v>0.0</v>
      </c>
      <c r="J35" s="29">
        <v>2.0</v>
      </c>
      <c r="K35" s="29">
        <v>1.0</v>
      </c>
      <c r="L35" s="29"/>
      <c r="M35" s="30" t="str">
        <f>IFNA(VLOOKUP(L35,'Faculty Details'!$B:$H,4,0),"")</f>
        <v/>
      </c>
      <c r="N35" s="30" t="str">
        <f>IFNA(VLOOKUP(L35,'Faculty Details'!$B:$H,7,0),"")</f>
        <v/>
      </c>
    </row>
    <row r="36" ht="43.5" customHeight="1">
      <c r="A36" s="29">
        <v>35.0</v>
      </c>
      <c r="B36" s="29" t="s">
        <v>46</v>
      </c>
      <c r="C36" s="29" t="s">
        <v>1631</v>
      </c>
      <c r="D36" s="29" t="s">
        <v>1573</v>
      </c>
      <c r="E36" s="29" t="s">
        <v>1895</v>
      </c>
      <c r="F36" s="26" t="s">
        <v>1634</v>
      </c>
      <c r="G36" s="29" t="s">
        <v>1588</v>
      </c>
      <c r="H36" s="29">
        <v>0.0</v>
      </c>
      <c r="I36" s="29">
        <v>0.0</v>
      </c>
      <c r="J36" s="29">
        <v>18.0</v>
      </c>
      <c r="K36" s="29">
        <v>9.0</v>
      </c>
      <c r="L36" s="29"/>
      <c r="M36" s="30" t="str">
        <f>IFNA(VLOOKUP(L36,'Faculty Details'!$B:$H,4,0),"")</f>
        <v/>
      </c>
      <c r="N36" s="30" t="str">
        <f>IFNA(VLOOKUP(L36,'Faculty Details'!$B:$H,7,0),"")</f>
        <v/>
      </c>
    </row>
  </sheetData>
  <conditionalFormatting sqref="L2:L36">
    <cfRule type="containsBlanks" dxfId="1" priority="1">
      <formula>LEN(TRIM(L2))=0</formula>
    </cfRule>
  </conditionalFormatting>
  <dataValidations>
    <dataValidation type="list" allowBlank="1" showErrorMessage="1" sqref="D2:D9 D36">
      <formula1>"CORE,ELECTIVE 1,OPEN ELECTIVE,ELECTIVE 6,ELECTIVE 7,ELECTIVE 8,ELECTIVE 9,HONOURS,MINOR"</formula1>
    </dataValidation>
    <dataValidation type="list" allowBlank="1" showErrorMessage="1" sqref="C2:C36">
      <formula1>"S2,S4,S6,S8"</formula1>
    </dataValidation>
    <dataValidation type="list" allowBlank="1" showErrorMessage="1" sqref="G2:G36">
      <formula1>"THEORY,THEORY WITH LAB,LAB"</formula1>
    </dataValidation>
    <dataValidation type="list" allowBlank="1" showErrorMessage="1" sqref="D11:D35">
      <formula1>"CORE,ELECTIVE 1,OPEN ELECTIVE,ELECTIVE 3,ELECTIVE 4,ELECTIVE 5,ADD COURSE,HONOURS,MINOR,LAB,PROJECT,MINI PROJECT,ELECTIVE 3,ELECTIVE 4,ELECTIVE 5,ELECTIVE 1"</formula1>
    </dataValidation>
    <dataValidation type="list" allowBlank="1" showErrorMessage="1" sqref="D10">
      <formula1>"CORE,ELECTIVE 1,OPEN ELECTIVE,ELECTIVE 6,ELECTIVE 7,ELECTIVE 8,ELECTIVE 9,HONOURS,MINOR,LANGUAGE ELECTIVE"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.13"/>
    <col customWidth="1" min="3" max="3" width="8.0"/>
    <col customWidth="1" min="4" max="4" width="13.13"/>
    <col customWidth="1" min="5" max="5" width="10.38"/>
    <col customWidth="1" min="6" max="6" width="37.88"/>
    <col customWidth="1" min="7" max="7" width="14.38"/>
    <col customWidth="1" min="8" max="9" width="5.0"/>
    <col customWidth="1" min="10" max="10" width="5.5"/>
    <col customWidth="1" min="11" max="11" width="5.0"/>
    <col customWidth="1" min="13" max="13" width="20.88"/>
    <col customWidth="1" min="14" max="15" width="21.13"/>
  </cols>
  <sheetData>
    <row r="1">
      <c r="A1" s="38" t="s">
        <v>1635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9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9" t="s">
        <v>257</v>
      </c>
      <c r="N1" s="38" t="s">
        <v>1571</v>
      </c>
      <c r="O1" s="100"/>
    </row>
    <row r="2" ht="45.0" customHeight="1">
      <c r="A2" s="25">
        <f t="array" ref="A2:A99">SEQUENCE(COUNTA(B2:B99),1)</f>
        <v>1</v>
      </c>
      <c r="B2" s="25" t="s">
        <v>40</v>
      </c>
      <c r="C2" s="25" t="s">
        <v>1572</v>
      </c>
      <c r="D2" s="25" t="s">
        <v>1573</v>
      </c>
      <c r="E2" s="25" t="s">
        <v>1574</v>
      </c>
      <c r="F2" s="26" t="s">
        <v>1575</v>
      </c>
      <c r="G2" s="25" t="s">
        <v>1576</v>
      </c>
      <c r="H2" s="25">
        <v>3.0</v>
      </c>
      <c r="I2" s="25">
        <v>1.0</v>
      </c>
      <c r="J2" s="25">
        <v>0.0</v>
      </c>
      <c r="K2" s="25">
        <v>4.0</v>
      </c>
      <c r="L2" s="25" t="s">
        <v>1311</v>
      </c>
      <c r="M2" s="40" t="str">
        <f>IFNA(VLOOKUP(L2,'Faculty Details'!$B:$H,4,0),"")</f>
        <v>Dr.VINOTHINI V R</v>
      </c>
      <c r="N2" s="28" t="str">
        <f>IFNA(VLOOKUP(L2,'Faculty Details'!$B:$H,7,0),"")</f>
        <v>vinothinivr@bitsathy.ac.in</v>
      </c>
      <c r="O2" s="115"/>
    </row>
    <row r="3" ht="45.0" customHeight="1">
      <c r="A3" s="25">
        <v>2.0</v>
      </c>
      <c r="B3" s="25" t="s">
        <v>40</v>
      </c>
      <c r="C3" s="25" t="s">
        <v>1572</v>
      </c>
      <c r="D3" s="25" t="s">
        <v>1573</v>
      </c>
      <c r="E3" s="25" t="s">
        <v>1574</v>
      </c>
      <c r="F3" s="26" t="s">
        <v>1575</v>
      </c>
      <c r="G3" s="25" t="s">
        <v>1576</v>
      </c>
      <c r="H3" s="25">
        <v>3.0</v>
      </c>
      <c r="I3" s="25">
        <v>1.0</v>
      </c>
      <c r="J3" s="25">
        <v>0.0</v>
      </c>
      <c r="K3" s="25">
        <v>4.0</v>
      </c>
      <c r="L3" s="25" t="s">
        <v>1317</v>
      </c>
      <c r="M3" s="40" t="str">
        <f>IFNA(VLOOKUP(L3,'Faculty Details'!$B:$H,4,0),"")</f>
        <v>Dr.PRAKASH K</v>
      </c>
      <c r="N3" s="28" t="str">
        <f>IFNA(VLOOKUP(L3,'Faculty Details'!$B:$H,7,0),"")</f>
        <v>prakashk@bitsathy.ac.in</v>
      </c>
      <c r="O3" s="115"/>
    </row>
    <row r="4" ht="45.0" customHeight="1">
      <c r="A4" s="25">
        <v>3.0</v>
      </c>
      <c r="B4" s="25" t="s">
        <v>40</v>
      </c>
      <c r="C4" s="25" t="s">
        <v>1572</v>
      </c>
      <c r="D4" s="25" t="s">
        <v>1573</v>
      </c>
      <c r="E4" s="25" t="s">
        <v>1574</v>
      </c>
      <c r="F4" s="26" t="s">
        <v>1575</v>
      </c>
      <c r="G4" s="25" t="s">
        <v>1576</v>
      </c>
      <c r="H4" s="25">
        <v>3.0</v>
      </c>
      <c r="I4" s="25">
        <v>1.0</v>
      </c>
      <c r="J4" s="25">
        <v>0.0</v>
      </c>
      <c r="K4" s="25">
        <v>4.0</v>
      </c>
      <c r="L4" s="25" t="s">
        <v>1266</v>
      </c>
      <c r="M4" s="40" t="str">
        <f>IFNA(VLOOKUP(L4,'Faculty Details'!$B:$H,4,0),"")</f>
        <v>Dr.SARANYA D</v>
      </c>
      <c r="N4" s="28" t="str">
        <f>IFNA(VLOOKUP(L4,'Faculty Details'!$B:$H,7,0),"")</f>
        <v>saranyad@bitsathy.ac.in</v>
      </c>
      <c r="O4" s="115"/>
    </row>
    <row r="5" ht="45.0" customHeight="1">
      <c r="A5" s="25">
        <v>4.0</v>
      </c>
      <c r="B5" s="25" t="s">
        <v>40</v>
      </c>
      <c r="C5" s="25" t="s">
        <v>1572</v>
      </c>
      <c r="D5" s="25" t="s">
        <v>1573</v>
      </c>
      <c r="E5" s="25" t="s">
        <v>1574</v>
      </c>
      <c r="F5" s="26" t="s">
        <v>1575</v>
      </c>
      <c r="G5" s="25" t="s">
        <v>1576</v>
      </c>
      <c r="H5" s="25">
        <v>3.0</v>
      </c>
      <c r="I5" s="25">
        <v>1.0</v>
      </c>
      <c r="J5" s="25">
        <v>0.0</v>
      </c>
      <c r="K5" s="25">
        <v>4.0</v>
      </c>
      <c r="L5" s="25" t="s">
        <v>1284</v>
      </c>
      <c r="M5" s="40" t="str">
        <f>IFNA(VLOOKUP(L5,'Faculty Details'!$B:$H,4,0),"")</f>
        <v>Dr.GOMATHI M</v>
      </c>
      <c r="N5" s="28" t="str">
        <f>IFNA(VLOOKUP(L5,'Faculty Details'!$B:$H,7,0),"")</f>
        <v>gomathim@bitsathy.ac.in</v>
      </c>
      <c r="O5" s="115"/>
    </row>
    <row r="6" ht="45.0" customHeight="1">
      <c r="A6" s="25">
        <v>5.0</v>
      </c>
      <c r="B6" s="25" t="s">
        <v>40</v>
      </c>
      <c r="C6" s="25" t="s">
        <v>1572</v>
      </c>
      <c r="D6" s="25" t="s">
        <v>1573</v>
      </c>
      <c r="E6" s="25" t="s">
        <v>1574</v>
      </c>
      <c r="F6" s="26" t="s">
        <v>1575</v>
      </c>
      <c r="G6" s="25" t="s">
        <v>1576</v>
      </c>
      <c r="H6" s="25">
        <v>3.0</v>
      </c>
      <c r="I6" s="25">
        <v>1.0</v>
      </c>
      <c r="J6" s="25">
        <v>0.0</v>
      </c>
      <c r="K6" s="25">
        <v>4.0</v>
      </c>
      <c r="L6" s="25" t="s">
        <v>1296</v>
      </c>
      <c r="M6" s="85" t="str">
        <f>IFNA(VLOOKUP(L6,'Faculty Details'!$B:$H,4,0),"")</f>
        <v>Dr.AKALYADEVI K</v>
      </c>
      <c r="N6" s="28" t="str">
        <f>IFNA(VLOOKUP(L6,'Faculty Details'!$B:$H,7,0),"")</f>
        <v>akalyadevi@bitsathy.ac.in</v>
      </c>
      <c r="O6" s="115"/>
    </row>
    <row r="7" ht="45.0" customHeight="1">
      <c r="A7" s="25">
        <v>6.0</v>
      </c>
      <c r="B7" s="25" t="s">
        <v>40</v>
      </c>
      <c r="C7" s="25" t="s">
        <v>1572</v>
      </c>
      <c r="D7" s="25" t="s">
        <v>1573</v>
      </c>
      <c r="E7" s="25" t="s">
        <v>1577</v>
      </c>
      <c r="F7" s="26" t="s">
        <v>1578</v>
      </c>
      <c r="G7" s="25" t="s">
        <v>1579</v>
      </c>
      <c r="H7" s="25">
        <v>2.0</v>
      </c>
      <c r="I7" s="25">
        <v>0.0</v>
      </c>
      <c r="J7" s="25">
        <v>2.0</v>
      </c>
      <c r="K7" s="25">
        <v>3.0</v>
      </c>
      <c r="L7" s="63" t="s">
        <v>1502</v>
      </c>
      <c r="M7" s="41" t="str">
        <f>IFNA(VLOOKUP(L7,'Faculty Details'!$B:$H,4,0),"")</f>
        <v>Dr.VIJAYAKUMAR V N</v>
      </c>
      <c r="N7" s="30" t="str">
        <f>IFNA(VLOOKUP(L7,'Faculty Details'!$B:$H,7,0),"")</f>
        <v>vijayakumarvn@bitsathy.ac.in</v>
      </c>
      <c r="O7" s="101"/>
    </row>
    <row r="8" ht="45.0" customHeight="1">
      <c r="A8" s="25">
        <v>7.0</v>
      </c>
      <c r="B8" s="25" t="s">
        <v>40</v>
      </c>
      <c r="C8" s="25" t="s">
        <v>1572</v>
      </c>
      <c r="D8" s="25" t="s">
        <v>1573</v>
      </c>
      <c r="E8" s="25" t="s">
        <v>1577</v>
      </c>
      <c r="F8" s="26" t="s">
        <v>1578</v>
      </c>
      <c r="G8" s="25" t="s">
        <v>1579</v>
      </c>
      <c r="H8" s="25">
        <v>2.0</v>
      </c>
      <c r="I8" s="25">
        <v>0.0</v>
      </c>
      <c r="J8" s="25">
        <v>2.0</v>
      </c>
      <c r="K8" s="25">
        <v>3.0</v>
      </c>
      <c r="L8" s="1" t="s">
        <v>1478</v>
      </c>
      <c r="M8" s="40" t="str">
        <f>IFNA(VLOOKUP(L8,'Faculty Details'!$B:$H,4,0),"")</f>
        <v>Dr.VANITHA K</v>
      </c>
      <c r="N8" s="28" t="str">
        <f>IFNA(VLOOKUP(L8,'Faculty Details'!$B:$H,7,0),"")</f>
        <v>vanithak@bitsathy.ac.in</v>
      </c>
      <c r="O8" s="115"/>
    </row>
    <row r="9" ht="45.0" customHeight="1">
      <c r="A9" s="25">
        <v>8.0</v>
      </c>
      <c r="B9" s="25" t="s">
        <v>40</v>
      </c>
      <c r="C9" s="25" t="s">
        <v>1572</v>
      </c>
      <c r="D9" s="25" t="s">
        <v>1573</v>
      </c>
      <c r="E9" s="25" t="s">
        <v>1577</v>
      </c>
      <c r="F9" s="26" t="s">
        <v>1578</v>
      </c>
      <c r="G9" s="25" t="s">
        <v>1579</v>
      </c>
      <c r="H9" s="25">
        <v>2.0</v>
      </c>
      <c r="I9" s="25">
        <v>0.0</v>
      </c>
      <c r="J9" s="25">
        <v>2.0</v>
      </c>
      <c r="K9" s="25">
        <v>3.0</v>
      </c>
      <c r="L9" s="1" t="s">
        <v>1481</v>
      </c>
      <c r="M9" s="40" t="str">
        <f>IFNA(VLOOKUP(L9,'Faculty Details'!$B:$H,4,0),"")</f>
        <v>Dr.SUNDARAM S</v>
      </c>
      <c r="N9" s="28" t="str">
        <f>IFNA(VLOOKUP(L9,'Faculty Details'!$B:$H,7,0),"")</f>
        <v>sundarams@bitsathy.ac.in</v>
      </c>
      <c r="O9" s="115"/>
    </row>
    <row r="10" ht="45.0" customHeight="1">
      <c r="A10" s="25">
        <v>9.0</v>
      </c>
      <c r="B10" s="25" t="s">
        <v>40</v>
      </c>
      <c r="C10" s="25" t="s">
        <v>1572</v>
      </c>
      <c r="D10" s="25" t="s">
        <v>1573</v>
      </c>
      <c r="E10" s="25" t="s">
        <v>1577</v>
      </c>
      <c r="F10" s="26" t="s">
        <v>1578</v>
      </c>
      <c r="G10" s="25" t="s">
        <v>1579</v>
      </c>
      <c r="H10" s="25">
        <v>2.0</v>
      </c>
      <c r="I10" s="25">
        <v>0.0</v>
      </c>
      <c r="J10" s="25">
        <v>2.0</v>
      </c>
      <c r="K10" s="25">
        <v>3.0</v>
      </c>
      <c r="L10" s="1" t="s">
        <v>1490</v>
      </c>
      <c r="M10" s="40" t="str">
        <f>IFNA(VLOOKUP(L10,'Faculty Details'!$B:$H,4,0),"")</f>
        <v>Dr.SIVA G</v>
      </c>
      <c r="N10" s="28" t="str">
        <f>IFNA(VLOOKUP(L10,'Faculty Details'!$B:$H,7,0),"")</f>
        <v>sivag@bitsathy.ac.in</v>
      </c>
      <c r="O10" s="115"/>
    </row>
    <row r="11" ht="45.0" customHeight="1">
      <c r="A11" s="25">
        <v>10.0</v>
      </c>
      <c r="B11" s="25" t="s">
        <v>40</v>
      </c>
      <c r="C11" s="25" t="s">
        <v>1572</v>
      </c>
      <c r="D11" s="25" t="s">
        <v>1573</v>
      </c>
      <c r="E11" s="25" t="s">
        <v>1577</v>
      </c>
      <c r="F11" s="26" t="s">
        <v>1578</v>
      </c>
      <c r="G11" s="25" t="s">
        <v>1579</v>
      </c>
      <c r="H11" s="25">
        <v>2.0</v>
      </c>
      <c r="I11" s="25">
        <v>0.0</v>
      </c>
      <c r="J11" s="25">
        <v>2.0</v>
      </c>
      <c r="K11" s="25">
        <v>3.0</v>
      </c>
      <c r="L11" s="1" t="s">
        <v>1508</v>
      </c>
      <c r="M11" s="40" t="str">
        <f>IFNA(VLOOKUP(L11,'Faculty Details'!$B:$H,4,0),"")</f>
        <v>Dr.ROHINI P</v>
      </c>
      <c r="N11" s="28" t="str">
        <f>IFNA(VLOOKUP(L11,'Faculty Details'!$B:$H,7,0),"")</f>
        <v>rohinip@bitsathy.ac.in</v>
      </c>
      <c r="O11" s="115"/>
    </row>
    <row r="12" ht="45.0" customHeight="1">
      <c r="A12" s="25">
        <v>11.0</v>
      </c>
      <c r="B12" s="25" t="s">
        <v>40</v>
      </c>
      <c r="C12" s="25" t="s">
        <v>1572</v>
      </c>
      <c r="D12" s="25" t="s">
        <v>1573</v>
      </c>
      <c r="E12" s="25" t="s">
        <v>1580</v>
      </c>
      <c r="F12" s="26" t="s">
        <v>1581</v>
      </c>
      <c r="G12" s="25" t="s">
        <v>1579</v>
      </c>
      <c r="H12" s="25">
        <v>2.0</v>
      </c>
      <c r="I12" s="25">
        <v>0.0</v>
      </c>
      <c r="J12" s="25">
        <v>2.0</v>
      </c>
      <c r="K12" s="25">
        <v>3.0</v>
      </c>
      <c r="L12" s="25" t="s">
        <v>659</v>
      </c>
      <c r="M12" s="40" t="str">
        <f>IFNA(VLOOKUP(L12,'Faculty Details'!$B:$H,4,0),"")</f>
        <v>Dr.KAVITHA C</v>
      </c>
      <c r="N12" s="28" t="str">
        <f>IFNA(VLOOKUP(L12,'Faculty Details'!$B:$H,7,0),"")</f>
        <v>kavithac@bitsathy.ac.in</v>
      </c>
      <c r="O12" s="115"/>
    </row>
    <row r="13" ht="45.0" customHeight="1">
      <c r="A13" s="25">
        <v>12.0</v>
      </c>
      <c r="B13" s="25" t="s">
        <v>40</v>
      </c>
      <c r="C13" s="25" t="s">
        <v>1572</v>
      </c>
      <c r="D13" s="25" t="s">
        <v>1573</v>
      </c>
      <c r="E13" s="25" t="s">
        <v>1580</v>
      </c>
      <c r="F13" s="26" t="s">
        <v>1581</v>
      </c>
      <c r="G13" s="25" t="s">
        <v>1579</v>
      </c>
      <c r="H13" s="25">
        <v>2.0</v>
      </c>
      <c r="I13" s="25">
        <v>0.0</v>
      </c>
      <c r="J13" s="25">
        <v>2.0</v>
      </c>
      <c r="K13" s="25">
        <v>3.0</v>
      </c>
      <c r="L13" s="25" t="s">
        <v>632</v>
      </c>
      <c r="M13" s="40" t="str">
        <f>IFNA(VLOOKUP(L13,'Faculty Details'!$B:$H,4,0),"")</f>
        <v>Dr.RAMESHKUMAR A</v>
      </c>
      <c r="N13" s="28" t="str">
        <f>IFNA(VLOOKUP(L13,'Faculty Details'!$B:$H,7,0),"")</f>
        <v>rameshkumar@bitsathy.ac.in</v>
      </c>
      <c r="O13" s="115"/>
    </row>
    <row r="14" ht="45.0" customHeight="1">
      <c r="A14" s="25">
        <v>13.0</v>
      </c>
      <c r="B14" s="25" t="s">
        <v>40</v>
      </c>
      <c r="C14" s="25" t="s">
        <v>1572</v>
      </c>
      <c r="D14" s="25" t="s">
        <v>1573</v>
      </c>
      <c r="E14" s="25" t="s">
        <v>1580</v>
      </c>
      <c r="F14" s="26" t="s">
        <v>1581</v>
      </c>
      <c r="G14" s="25" t="s">
        <v>1579</v>
      </c>
      <c r="H14" s="25">
        <v>2.0</v>
      </c>
      <c r="I14" s="25">
        <v>0.0</v>
      </c>
      <c r="J14" s="25">
        <v>2.0</v>
      </c>
      <c r="K14" s="25">
        <v>3.0</v>
      </c>
      <c r="L14" s="25" t="s">
        <v>644</v>
      </c>
      <c r="M14" s="40" t="str">
        <f>IFNA(VLOOKUP(L14,'Faculty Details'!$B:$H,4,0),"")</f>
        <v>Dr.MANIGANDAN S</v>
      </c>
      <c r="N14" s="28" t="str">
        <f>IFNA(VLOOKUP(L14,'Faculty Details'!$B:$H,7,0),"")</f>
        <v>manigandan@bitsathy.ac.in</v>
      </c>
      <c r="O14" s="115"/>
    </row>
    <row r="15" ht="45.0" customHeight="1">
      <c r="A15" s="25">
        <v>14.0</v>
      </c>
      <c r="B15" s="25" t="s">
        <v>40</v>
      </c>
      <c r="C15" s="25" t="s">
        <v>1572</v>
      </c>
      <c r="D15" s="25" t="s">
        <v>1573</v>
      </c>
      <c r="E15" s="25" t="s">
        <v>1580</v>
      </c>
      <c r="F15" s="26" t="s">
        <v>1581</v>
      </c>
      <c r="G15" s="25" t="s">
        <v>1579</v>
      </c>
      <c r="H15" s="25">
        <v>2.0</v>
      </c>
      <c r="I15" s="25">
        <v>0.0</v>
      </c>
      <c r="J15" s="25">
        <v>2.0</v>
      </c>
      <c r="K15" s="25">
        <v>3.0</v>
      </c>
      <c r="L15" s="29" t="s">
        <v>647</v>
      </c>
      <c r="M15" s="41" t="str">
        <f>IFNA(VLOOKUP(L15,'Faculty Details'!$B:$H,4,0),"")</f>
        <v>Dr.KASTHURI S</v>
      </c>
      <c r="N15" s="30" t="str">
        <f>IFNA(VLOOKUP(L15,'Faculty Details'!$B:$H,7,0),"")</f>
        <v>kasthuris@bitsathy.ac.in</v>
      </c>
      <c r="O15" s="101"/>
    </row>
    <row r="16" ht="45.0" customHeight="1">
      <c r="A16" s="25">
        <v>15.0</v>
      </c>
      <c r="B16" s="25" t="s">
        <v>40</v>
      </c>
      <c r="C16" s="25" t="s">
        <v>1572</v>
      </c>
      <c r="D16" s="25" t="s">
        <v>1573</v>
      </c>
      <c r="E16" s="25" t="s">
        <v>1580</v>
      </c>
      <c r="F16" s="26" t="s">
        <v>1581</v>
      </c>
      <c r="G16" s="25" t="s">
        <v>1579</v>
      </c>
      <c r="H16" s="25">
        <v>2.0</v>
      </c>
      <c r="I16" s="25">
        <v>0.0</v>
      </c>
      <c r="J16" s="25">
        <v>2.0</v>
      </c>
      <c r="K16" s="25">
        <v>3.0</v>
      </c>
      <c r="L16" s="29" t="s">
        <v>638</v>
      </c>
      <c r="M16" s="41" t="str">
        <f>IFNA(VLOOKUP(L16,'Faculty Details'!$B:$H,4,0),"")</f>
        <v>Dr.KARUPPUSAMY S</v>
      </c>
      <c r="N16" s="30" t="str">
        <f>IFNA(VLOOKUP(L16,'Faculty Details'!$B:$H,7,0),"")</f>
        <v>karuppusamys@bitsathy.ac.in</v>
      </c>
      <c r="O16" s="101"/>
    </row>
    <row r="17" ht="45.0" customHeight="1">
      <c r="A17" s="25">
        <v>16.0</v>
      </c>
      <c r="B17" s="25" t="s">
        <v>40</v>
      </c>
      <c r="C17" s="25" t="s">
        <v>1572</v>
      </c>
      <c r="D17" s="25" t="s">
        <v>1573</v>
      </c>
      <c r="E17" s="25" t="s">
        <v>1582</v>
      </c>
      <c r="F17" s="26" t="s">
        <v>1583</v>
      </c>
      <c r="G17" s="25" t="s">
        <v>1576</v>
      </c>
      <c r="H17" s="25">
        <v>3.0</v>
      </c>
      <c r="I17" s="25">
        <v>0.0</v>
      </c>
      <c r="J17" s="25">
        <v>0.0</v>
      </c>
      <c r="K17" s="25">
        <v>3.0</v>
      </c>
      <c r="L17" s="102" t="s">
        <v>1172</v>
      </c>
      <c r="M17" s="40" t="str">
        <f>IFNA(VLOOKUP(L17,'Faculty Details'!$B:$H,4,0),"")</f>
        <v>Mrs.PRIYA L</v>
      </c>
      <c r="N17" s="28" t="str">
        <f>IFNA(VLOOKUP(L17,'Faculty Details'!$B:$H,7,0),"")</f>
        <v>priyal@bitsathy.ac.in</v>
      </c>
      <c r="O17" s="115"/>
    </row>
    <row r="18" ht="45.0" customHeight="1">
      <c r="A18" s="25">
        <v>17.0</v>
      </c>
      <c r="B18" s="25" t="s">
        <v>40</v>
      </c>
      <c r="C18" s="25" t="s">
        <v>1572</v>
      </c>
      <c r="D18" s="25" t="s">
        <v>1573</v>
      </c>
      <c r="E18" s="25" t="s">
        <v>1582</v>
      </c>
      <c r="F18" s="26" t="s">
        <v>1583</v>
      </c>
      <c r="G18" s="25" t="s">
        <v>1576</v>
      </c>
      <c r="H18" s="25">
        <v>3.0</v>
      </c>
      <c r="I18" s="25">
        <v>0.0</v>
      </c>
      <c r="J18" s="25">
        <v>0.0</v>
      </c>
      <c r="K18" s="25">
        <v>3.0</v>
      </c>
      <c r="L18" s="43" t="s">
        <v>1153</v>
      </c>
      <c r="M18" s="40" t="str">
        <f>IFNA(VLOOKUP(L18,'Faculty Details'!$B:$H,4,0),"")</f>
        <v>Dr.ANANDAKUMAR K</v>
      </c>
      <c r="N18" s="28" t="str">
        <f>IFNA(VLOOKUP(L18,'Faculty Details'!$B:$H,7,0),"")</f>
        <v>anandakumark@bitsathy.ac.in</v>
      </c>
      <c r="O18" s="115"/>
    </row>
    <row r="19" ht="45.0" customHeight="1">
      <c r="A19" s="25">
        <v>18.0</v>
      </c>
      <c r="B19" s="25" t="s">
        <v>40</v>
      </c>
      <c r="C19" s="25" t="s">
        <v>1572</v>
      </c>
      <c r="D19" s="25" t="s">
        <v>1573</v>
      </c>
      <c r="E19" s="25" t="s">
        <v>1582</v>
      </c>
      <c r="F19" s="26" t="s">
        <v>1583</v>
      </c>
      <c r="G19" s="25" t="s">
        <v>1576</v>
      </c>
      <c r="H19" s="25">
        <v>3.0</v>
      </c>
      <c r="I19" s="25">
        <v>0.0</v>
      </c>
      <c r="J19" s="25">
        <v>0.0</v>
      </c>
      <c r="K19" s="25">
        <v>3.0</v>
      </c>
      <c r="L19" s="102" t="s">
        <v>1196</v>
      </c>
      <c r="M19" s="40" t="str">
        <f>IFNA(VLOOKUP(L19,'Faculty Details'!$B:$H,4,0),"")</f>
        <v>Ms.MUTHUMEENA S</v>
      </c>
      <c r="N19" s="28" t="str">
        <f>IFNA(VLOOKUP(L19,'Faculty Details'!$B:$H,7,0),"")</f>
        <v>muthumeena@bitsathy.ac.in</v>
      </c>
      <c r="O19" s="115"/>
    </row>
    <row r="20" ht="45.0" customHeight="1">
      <c r="A20" s="25">
        <v>19.0</v>
      </c>
      <c r="B20" s="25" t="s">
        <v>40</v>
      </c>
      <c r="C20" s="25" t="s">
        <v>1572</v>
      </c>
      <c r="D20" s="25" t="s">
        <v>1573</v>
      </c>
      <c r="E20" s="25" t="s">
        <v>1582</v>
      </c>
      <c r="F20" s="26" t="s">
        <v>1583</v>
      </c>
      <c r="G20" s="25" t="s">
        <v>1576</v>
      </c>
      <c r="H20" s="25">
        <v>3.0</v>
      </c>
      <c r="I20" s="25">
        <v>0.0</v>
      </c>
      <c r="J20" s="25">
        <v>0.0</v>
      </c>
      <c r="K20" s="25">
        <v>3.0</v>
      </c>
      <c r="L20" s="102" t="s">
        <v>1217</v>
      </c>
      <c r="M20" s="40" t="str">
        <f>IFNA(VLOOKUP(L20,'Faculty Details'!$B:$H,4,0),"")</f>
        <v>Ms.INDHU BHASHINI V</v>
      </c>
      <c r="N20" s="28" t="str">
        <f>IFNA(VLOOKUP(L20,'Faculty Details'!$B:$H,7,0),"")</f>
        <v>indhubhashiniv@bitsathy.ac.in</v>
      </c>
      <c r="O20" s="115"/>
    </row>
    <row r="21" ht="45.0" customHeight="1">
      <c r="A21" s="25">
        <v>20.0</v>
      </c>
      <c r="B21" s="25" t="s">
        <v>40</v>
      </c>
      <c r="C21" s="25" t="s">
        <v>1572</v>
      </c>
      <c r="D21" s="25" t="s">
        <v>1573</v>
      </c>
      <c r="E21" s="25" t="s">
        <v>1582</v>
      </c>
      <c r="F21" s="26" t="s">
        <v>1583</v>
      </c>
      <c r="G21" s="25" t="s">
        <v>1576</v>
      </c>
      <c r="H21" s="25">
        <v>3.0</v>
      </c>
      <c r="I21" s="25">
        <v>0.0</v>
      </c>
      <c r="J21" s="25">
        <v>0.0</v>
      </c>
      <c r="K21" s="25">
        <v>3.0</v>
      </c>
      <c r="L21" s="102" t="s">
        <v>1190</v>
      </c>
      <c r="M21" s="40" t="str">
        <f>IFNA(VLOOKUP(L21,'Faculty Details'!$B:$H,4,0),"")</f>
        <v>Dr.SADHASIVAM N</v>
      </c>
      <c r="N21" s="28" t="str">
        <f>IFNA(VLOOKUP(L21,'Faculty Details'!$B:$H,7,0),"")</f>
        <v>sadhasivamn@bitsathy.ac.in</v>
      </c>
      <c r="O21" s="115"/>
    </row>
    <row r="22" ht="45.0" customHeight="1">
      <c r="A22" s="25">
        <v>21.0</v>
      </c>
      <c r="B22" s="25" t="s">
        <v>40</v>
      </c>
      <c r="C22" s="25" t="s">
        <v>1572</v>
      </c>
      <c r="D22" s="25" t="s">
        <v>1573</v>
      </c>
      <c r="E22" s="25" t="s">
        <v>1636</v>
      </c>
      <c r="F22" s="26" t="s">
        <v>1637</v>
      </c>
      <c r="G22" s="25" t="s">
        <v>1579</v>
      </c>
      <c r="H22" s="25">
        <v>2.0</v>
      </c>
      <c r="I22" s="25">
        <v>0.0</v>
      </c>
      <c r="J22" s="25">
        <v>2.0</v>
      </c>
      <c r="K22" s="25">
        <v>3.0</v>
      </c>
      <c r="L22" s="44" t="s">
        <v>1027</v>
      </c>
      <c r="M22" s="40" t="str">
        <f>IFNA(VLOOKUP(L22,'Faculty Details'!$B:$H,4,0),"")</f>
        <v>Dr.NANDHAKUMAR A</v>
      </c>
      <c r="N22" s="28" t="str">
        <f>IFNA(VLOOKUP(L22,'Faculty Details'!$B:$H,7,0),"")</f>
        <v>nandhakumara@bitsathy.ac.in</v>
      </c>
      <c r="O22" s="115"/>
    </row>
    <row r="23" ht="45.0" customHeight="1">
      <c r="A23" s="25">
        <v>22.0</v>
      </c>
      <c r="B23" s="25" t="s">
        <v>40</v>
      </c>
      <c r="C23" s="25" t="s">
        <v>1572</v>
      </c>
      <c r="D23" s="25" t="s">
        <v>1573</v>
      </c>
      <c r="E23" s="25" t="s">
        <v>1636</v>
      </c>
      <c r="F23" s="26" t="s">
        <v>1637</v>
      </c>
      <c r="G23" s="25" t="s">
        <v>1579</v>
      </c>
      <c r="H23" s="25">
        <v>2.0</v>
      </c>
      <c r="I23" s="25">
        <v>0.0</v>
      </c>
      <c r="J23" s="25">
        <v>2.0</v>
      </c>
      <c r="K23" s="25">
        <v>3.0</v>
      </c>
      <c r="L23" s="25" t="s">
        <v>1033</v>
      </c>
      <c r="M23" s="40" t="str">
        <f>IFNA(VLOOKUP(L23,'Faculty Details'!$B:$H,4,0),"")</f>
        <v>Mrs.MOHANAPRIYA V</v>
      </c>
      <c r="N23" s="28" t="str">
        <f>IFNA(VLOOKUP(L23,'Faculty Details'!$B:$H,7,0),"")</f>
        <v>mohanapriyav@bitsathy.ac.in</v>
      </c>
      <c r="O23" s="115"/>
    </row>
    <row r="24" ht="45.0" customHeight="1">
      <c r="A24" s="25">
        <v>23.0</v>
      </c>
      <c r="B24" s="25" t="s">
        <v>40</v>
      </c>
      <c r="C24" s="25" t="s">
        <v>1572</v>
      </c>
      <c r="D24" s="25" t="s">
        <v>1573</v>
      </c>
      <c r="E24" s="25" t="s">
        <v>1636</v>
      </c>
      <c r="F24" s="26" t="s">
        <v>1637</v>
      </c>
      <c r="G24" s="25" t="s">
        <v>1579</v>
      </c>
      <c r="H24" s="25">
        <v>2.0</v>
      </c>
      <c r="I24" s="25">
        <v>0.0</v>
      </c>
      <c r="J24" s="25">
        <v>2.0</v>
      </c>
      <c r="K24" s="25">
        <v>3.0</v>
      </c>
      <c r="L24" s="25" t="s">
        <v>1015</v>
      </c>
      <c r="M24" s="40" t="str">
        <f>IFNA(VLOOKUP(L24,'Faculty Details'!$B:$H,4,0),"")</f>
        <v>Dr.RAJALASHMI K</v>
      </c>
      <c r="N24" s="28" t="str">
        <f>IFNA(VLOOKUP(L24,'Faculty Details'!$B:$H,7,0),"")</f>
        <v>rajalashmik@bitsathy.ac.in</v>
      </c>
      <c r="O24" s="115"/>
    </row>
    <row r="25" ht="45.0" customHeight="1">
      <c r="A25" s="25">
        <v>24.0</v>
      </c>
      <c r="B25" s="25" t="s">
        <v>40</v>
      </c>
      <c r="C25" s="25" t="s">
        <v>1572</v>
      </c>
      <c r="D25" s="25" t="s">
        <v>1573</v>
      </c>
      <c r="E25" s="25" t="s">
        <v>1636</v>
      </c>
      <c r="F25" s="26" t="s">
        <v>1637</v>
      </c>
      <c r="G25" s="25" t="s">
        <v>1579</v>
      </c>
      <c r="H25" s="25">
        <v>2.0</v>
      </c>
      <c r="I25" s="25">
        <v>0.0</v>
      </c>
      <c r="J25" s="25">
        <v>2.0</v>
      </c>
      <c r="K25" s="25">
        <v>3.0</v>
      </c>
      <c r="L25" s="43" t="s">
        <v>991</v>
      </c>
      <c r="M25" s="45" t="str">
        <f>IFNA(VLOOKUP(L25,'Faculty Details'!$B:$H,4,0),"")</f>
        <v>Mr.RISHIKESH N</v>
      </c>
      <c r="N25" s="28" t="str">
        <f>IFNA(VLOOKUP(L25,'Faculty Details'!$B:$H,7,0),"")</f>
        <v>rishikesh@bitsathy.ac.in</v>
      </c>
      <c r="O25" s="115"/>
    </row>
    <row r="26" ht="45.0" customHeight="1">
      <c r="A26" s="25">
        <v>25.0</v>
      </c>
      <c r="B26" s="25" t="s">
        <v>40</v>
      </c>
      <c r="C26" s="25" t="s">
        <v>1572</v>
      </c>
      <c r="D26" s="25" t="s">
        <v>1573</v>
      </c>
      <c r="E26" s="25" t="s">
        <v>1636</v>
      </c>
      <c r="F26" s="26" t="s">
        <v>1637</v>
      </c>
      <c r="G26" s="25" t="s">
        <v>1579</v>
      </c>
      <c r="H26" s="25">
        <v>2.0</v>
      </c>
      <c r="I26" s="25">
        <v>0.0</v>
      </c>
      <c r="J26" s="25">
        <v>2.0</v>
      </c>
      <c r="K26" s="25">
        <v>3.0</v>
      </c>
      <c r="L26" s="44" t="s">
        <v>1027</v>
      </c>
      <c r="M26" s="45" t="str">
        <f>IFNA(VLOOKUP(L26,'Faculty Details'!$B:$H,4,0),"")</f>
        <v>Dr.NANDHAKUMAR A</v>
      </c>
      <c r="N26" s="28" t="str">
        <f>IFNA(VLOOKUP(L26,'Faculty Details'!$B:$H,7,0),"")</f>
        <v>nandhakumara@bitsathy.ac.in</v>
      </c>
      <c r="O26" s="115"/>
    </row>
    <row r="27" ht="45.0" customHeight="1">
      <c r="A27" s="25">
        <v>26.0</v>
      </c>
      <c r="B27" s="25" t="s">
        <v>40</v>
      </c>
      <c r="C27" s="25" t="s">
        <v>1572</v>
      </c>
      <c r="D27" s="25" t="s">
        <v>1573</v>
      </c>
      <c r="E27" s="25" t="s">
        <v>1896</v>
      </c>
      <c r="F27" s="26" t="s">
        <v>1639</v>
      </c>
      <c r="G27" s="25" t="s">
        <v>1579</v>
      </c>
      <c r="H27" s="25">
        <v>3.0</v>
      </c>
      <c r="I27" s="25">
        <v>0.0</v>
      </c>
      <c r="J27" s="25">
        <v>2.0</v>
      </c>
      <c r="K27" s="25">
        <v>4.0</v>
      </c>
      <c r="L27" s="86" t="s">
        <v>1235</v>
      </c>
      <c r="M27" s="40" t="str">
        <f>IFNA(VLOOKUP(L27,'Faculty Details'!$B:$H,4,0),"")</f>
        <v>Mrs.GAYATHRI D</v>
      </c>
      <c r="N27" s="28" t="str">
        <f>IFNA(VLOOKUP(L27,'Faculty Details'!$B:$H,7,0),"")</f>
        <v>gayathrid@bitsathy.ac.in</v>
      </c>
      <c r="O27" s="115"/>
    </row>
    <row r="28" ht="45.0" customHeight="1">
      <c r="A28" s="25">
        <v>27.0</v>
      </c>
      <c r="B28" s="25" t="s">
        <v>40</v>
      </c>
      <c r="C28" s="25" t="s">
        <v>1572</v>
      </c>
      <c r="D28" s="25" t="s">
        <v>1573</v>
      </c>
      <c r="E28" s="25" t="s">
        <v>1896</v>
      </c>
      <c r="F28" s="26" t="s">
        <v>1639</v>
      </c>
      <c r="G28" s="25" t="s">
        <v>1579</v>
      </c>
      <c r="H28" s="25">
        <v>3.0</v>
      </c>
      <c r="I28" s="25">
        <v>0.0</v>
      </c>
      <c r="J28" s="25">
        <v>2.0</v>
      </c>
      <c r="K28" s="25">
        <v>4.0</v>
      </c>
      <c r="L28" s="25" t="s">
        <v>850</v>
      </c>
      <c r="M28" s="40" t="str">
        <f>IFNA(VLOOKUP(L28,'Faculty Details'!$B:$H,4,0),"")</f>
        <v>Mr.TAMILSELVAN S</v>
      </c>
      <c r="N28" s="28" t="str">
        <f>IFNA(VLOOKUP(L28,'Faculty Details'!$B:$H,7,0),"")</f>
        <v>tamilselvans@bitsathy.ac.in</v>
      </c>
      <c r="O28" s="115"/>
    </row>
    <row r="29" ht="45.0" customHeight="1">
      <c r="A29" s="25">
        <v>28.0</v>
      </c>
      <c r="B29" s="25" t="s">
        <v>40</v>
      </c>
      <c r="C29" s="25" t="s">
        <v>1572</v>
      </c>
      <c r="D29" s="25" t="s">
        <v>1573</v>
      </c>
      <c r="E29" s="25" t="s">
        <v>1896</v>
      </c>
      <c r="F29" s="26" t="s">
        <v>1639</v>
      </c>
      <c r="G29" s="25" t="s">
        <v>1579</v>
      </c>
      <c r="H29" s="25">
        <v>3.0</v>
      </c>
      <c r="I29" s="25">
        <v>0.0</v>
      </c>
      <c r="J29" s="25">
        <v>2.0</v>
      </c>
      <c r="K29" s="25">
        <v>4.0</v>
      </c>
      <c r="L29" s="43" t="s">
        <v>915</v>
      </c>
      <c r="M29" s="40" t="str">
        <f>IFNA(VLOOKUP(L29,'Faculty Details'!$B:$H,4,0),"")</f>
        <v>Mrs.DHANALAKSHMI S</v>
      </c>
      <c r="N29" s="28" t="str">
        <f>IFNA(VLOOKUP(L29,'Faculty Details'!$B:$H,7,0),"")</f>
        <v>dhanalakshmis@bitsathy.ac.in</v>
      </c>
      <c r="O29" s="115"/>
    </row>
    <row r="30" ht="45.0" customHeight="1">
      <c r="A30" s="25">
        <v>29.0</v>
      </c>
      <c r="B30" s="25" t="s">
        <v>40</v>
      </c>
      <c r="C30" s="25" t="s">
        <v>1572</v>
      </c>
      <c r="D30" s="25" t="s">
        <v>1573</v>
      </c>
      <c r="E30" s="25" t="s">
        <v>1896</v>
      </c>
      <c r="F30" s="26" t="s">
        <v>1639</v>
      </c>
      <c r="G30" s="25" t="s">
        <v>1579</v>
      </c>
      <c r="H30" s="25">
        <v>3.0</v>
      </c>
      <c r="I30" s="25">
        <v>0.0</v>
      </c>
      <c r="J30" s="25">
        <v>2.0</v>
      </c>
      <c r="K30" s="25">
        <v>4.0</v>
      </c>
      <c r="L30" s="43" t="s">
        <v>862</v>
      </c>
      <c r="M30" s="40" t="str">
        <f>IFNA(VLOOKUP(L30,'Faculty Details'!$B:$H,4,0),"")</f>
        <v>Mrs.GAYATHRI R</v>
      </c>
      <c r="N30" s="28" t="str">
        <f>IFNA(VLOOKUP(L30,'Faculty Details'!$B:$H,7,0),"")</f>
        <v>gayathrir@bitsathy.ac.in</v>
      </c>
      <c r="O30" s="115"/>
    </row>
    <row r="31" ht="45.0" customHeight="1">
      <c r="A31" s="25">
        <v>30.0</v>
      </c>
      <c r="B31" s="25" t="s">
        <v>40</v>
      </c>
      <c r="C31" s="25" t="s">
        <v>1572</v>
      </c>
      <c r="D31" s="25" t="s">
        <v>1573</v>
      </c>
      <c r="E31" s="25" t="s">
        <v>1896</v>
      </c>
      <c r="F31" s="26" t="s">
        <v>1639</v>
      </c>
      <c r="G31" s="25" t="s">
        <v>1576</v>
      </c>
      <c r="H31" s="25">
        <v>3.0</v>
      </c>
      <c r="I31" s="25">
        <v>0.0</v>
      </c>
      <c r="J31" s="25">
        <v>2.0</v>
      </c>
      <c r="K31" s="25">
        <v>4.0</v>
      </c>
      <c r="L31" s="29" t="s">
        <v>903</v>
      </c>
      <c r="M31" s="40" t="str">
        <f>IFNA(VLOOKUP(L31,'Faculty Details'!$B:$H,4,0),"")</f>
        <v>Mrs.MARIAAMUTHA R</v>
      </c>
      <c r="N31" s="28" t="str">
        <f>IFNA(VLOOKUP(L31,'Faculty Details'!$B:$H,7,0),"")</f>
        <v>mariaamuthar@bitsathy.ac.in</v>
      </c>
      <c r="O31" s="116" t="s">
        <v>1897</v>
      </c>
    </row>
    <row r="32" ht="45.0" customHeight="1">
      <c r="A32" s="25">
        <v>31.0</v>
      </c>
      <c r="B32" s="25" t="s">
        <v>40</v>
      </c>
      <c r="C32" s="25" t="s">
        <v>1572</v>
      </c>
      <c r="D32" s="25" t="s">
        <v>1573</v>
      </c>
      <c r="E32" s="25" t="s">
        <v>1896</v>
      </c>
      <c r="F32" s="26" t="s">
        <v>1639</v>
      </c>
      <c r="G32" s="25" t="s">
        <v>1588</v>
      </c>
      <c r="H32" s="25">
        <v>3.0</v>
      </c>
      <c r="I32" s="25">
        <v>0.0</v>
      </c>
      <c r="J32" s="25">
        <v>2.0</v>
      </c>
      <c r="K32" s="25">
        <v>4.0</v>
      </c>
      <c r="L32" s="43" t="s">
        <v>909</v>
      </c>
      <c r="M32" s="40" t="str">
        <f>IFNA(VLOOKUP(L32,'Faculty Details'!$B:$H,4,0),"")</f>
        <v>Mrs.NIVETHA G</v>
      </c>
      <c r="N32" s="28" t="str">
        <f>IFNA(VLOOKUP(L32,'Faculty Details'!$B:$H,7,0),"")</f>
        <v>nivethag@bitsathy.ac.in</v>
      </c>
    </row>
    <row r="33" ht="45.0" customHeight="1">
      <c r="A33" s="25">
        <v>32.0</v>
      </c>
      <c r="B33" s="25" t="s">
        <v>40</v>
      </c>
      <c r="C33" s="25" t="s">
        <v>1572</v>
      </c>
      <c r="D33" s="25" t="s">
        <v>1573</v>
      </c>
      <c r="E33" s="25" t="s">
        <v>1589</v>
      </c>
      <c r="F33" s="26" t="s">
        <v>1590</v>
      </c>
      <c r="G33" s="25" t="s">
        <v>1588</v>
      </c>
      <c r="H33" s="25">
        <v>1.0</v>
      </c>
      <c r="I33" s="25">
        <v>0.0</v>
      </c>
      <c r="J33" s="25">
        <v>0.0</v>
      </c>
      <c r="K33" s="25">
        <v>1.0</v>
      </c>
      <c r="L33" s="25" t="s">
        <v>1112</v>
      </c>
      <c r="M33" s="40" t="str">
        <f>IFNA(VLOOKUP(L33,'Faculty Details'!$B:$H,4,0),"")</f>
        <v>Dr.SAGUNTHALA DEVI P</v>
      </c>
      <c r="N33" s="28" t="str">
        <f>IFNA(VLOOKUP(L33,'Faculty Details'!$B:$H,7,0),"")</f>
        <v>sagunthaladevi@bitsathy.ac.in</v>
      </c>
      <c r="O33" s="115"/>
    </row>
    <row r="34" ht="45.0" customHeight="1">
      <c r="A34" s="25">
        <v>33.0</v>
      </c>
      <c r="B34" s="25" t="s">
        <v>40</v>
      </c>
      <c r="C34" s="25" t="s">
        <v>1572</v>
      </c>
      <c r="D34" s="25" t="s">
        <v>1573</v>
      </c>
      <c r="E34" s="25" t="s">
        <v>1589</v>
      </c>
      <c r="F34" s="26" t="s">
        <v>1590</v>
      </c>
      <c r="G34" s="25" t="s">
        <v>1588</v>
      </c>
      <c r="H34" s="25">
        <v>1.0</v>
      </c>
      <c r="I34" s="25">
        <v>0.0</v>
      </c>
      <c r="J34" s="25">
        <v>0.0</v>
      </c>
      <c r="K34" s="25">
        <v>1.0</v>
      </c>
      <c r="L34" s="25" t="s">
        <v>1115</v>
      </c>
      <c r="M34" s="40" t="str">
        <f>IFNA(VLOOKUP(L34,'Faculty Details'!$B:$H,4,0),"")</f>
        <v>Ms.KAMALI D</v>
      </c>
      <c r="N34" s="28" t="str">
        <f>IFNA(VLOOKUP(L34,'Faculty Details'!$B:$H,7,0),"")</f>
        <v>kamali@bitsathy.ac.in</v>
      </c>
      <c r="O34" s="115"/>
    </row>
    <row r="35" ht="45.0" customHeight="1">
      <c r="A35" s="25">
        <v>34.0</v>
      </c>
      <c r="B35" s="25" t="s">
        <v>40</v>
      </c>
      <c r="C35" s="25" t="s">
        <v>1572</v>
      </c>
      <c r="D35" s="25" t="s">
        <v>1573</v>
      </c>
      <c r="E35" s="25" t="s">
        <v>1589</v>
      </c>
      <c r="F35" s="26" t="s">
        <v>1590</v>
      </c>
      <c r="G35" s="25" t="s">
        <v>1588</v>
      </c>
      <c r="H35" s="25">
        <v>1.0</v>
      </c>
      <c r="I35" s="25">
        <v>0.0</v>
      </c>
      <c r="J35" s="25">
        <v>0.0</v>
      </c>
      <c r="K35" s="25">
        <v>1.0</v>
      </c>
      <c r="L35" s="25" t="s">
        <v>1130</v>
      </c>
      <c r="M35" s="40" t="str">
        <f>IFNA(VLOOKUP(L35,'Faculty Details'!$B:$H,4,0),"")</f>
        <v>Mr.SHYAMSUNDAR S</v>
      </c>
      <c r="N35" s="28" t="str">
        <f>IFNA(VLOOKUP(L35,'Faculty Details'!$B:$H,7,0),"")</f>
        <v>shyamsundar@bitsathy.ac.in</v>
      </c>
      <c r="O35" s="115"/>
    </row>
    <row r="36" ht="45.0" customHeight="1">
      <c r="A36" s="25">
        <v>35.0</v>
      </c>
      <c r="B36" s="25" t="s">
        <v>40</v>
      </c>
      <c r="C36" s="25" t="s">
        <v>1572</v>
      </c>
      <c r="D36" s="25" t="s">
        <v>1573</v>
      </c>
      <c r="E36" s="25" t="s">
        <v>1589</v>
      </c>
      <c r="F36" s="26" t="s">
        <v>1590</v>
      </c>
      <c r="G36" s="25" t="s">
        <v>1588</v>
      </c>
      <c r="H36" s="25">
        <v>1.0</v>
      </c>
      <c r="I36" s="25">
        <v>0.0</v>
      </c>
      <c r="J36" s="25">
        <v>0.0</v>
      </c>
      <c r="K36" s="25">
        <v>1.0</v>
      </c>
      <c r="L36" s="25" t="s">
        <v>1112</v>
      </c>
      <c r="M36" s="40" t="str">
        <f>IFNA(VLOOKUP(L36,'Faculty Details'!$B:$H,4,0),"")</f>
        <v>Dr.SAGUNTHALA DEVI P</v>
      </c>
      <c r="N36" s="28" t="str">
        <f>IFNA(VLOOKUP(L36,'Faculty Details'!$B:$H,7,0),"")</f>
        <v>sagunthaladevi@bitsathy.ac.in</v>
      </c>
      <c r="O36" s="115"/>
    </row>
    <row r="37" ht="45.0" customHeight="1">
      <c r="A37" s="25">
        <v>36.0</v>
      </c>
      <c r="B37" s="25" t="s">
        <v>40</v>
      </c>
      <c r="C37" s="25" t="s">
        <v>1572</v>
      </c>
      <c r="D37" s="25" t="s">
        <v>1573</v>
      </c>
      <c r="E37" s="25" t="s">
        <v>1589</v>
      </c>
      <c r="F37" s="26" t="s">
        <v>1590</v>
      </c>
      <c r="G37" s="25" t="s">
        <v>1588</v>
      </c>
      <c r="H37" s="25">
        <v>1.0</v>
      </c>
      <c r="I37" s="25">
        <v>0.0</v>
      </c>
      <c r="J37" s="25">
        <v>0.0</v>
      </c>
      <c r="K37" s="25">
        <v>1.0</v>
      </c>
      <c r="L37" s="25" t="s">
        <v>1115</v>
      </c>
      <c r="M37" s="40" t="str">
        <f>IFNA(VLOOKUP(L37,'Faculty Details'!$B:$H,4,0),"")</f>
        <v>Ms.KAMALI D</v>
      </c>
      <c r="N37" s="28" t="str">
        <f>IFNA(VLOOKUP(L37,'Faculty Details'!$B:$H,7,0),"")</f>
        <v>kamali@bitsathy.ac.in</v>
      </c>
      <c r="O37" s="115"/>
    </row>
    <row r="38" ht="45.0" customHeight="1">
      <c r="A38" s="25">
        <v>37.0</v>
      </c>
      <c r="B38" s="25" t="s">
        <v>40</v>
      </c>
      <c r="C38" s="25" t="s">
        <v>1572</v>
      </c>
      <c r="D38" s="25" t="s">
        <v>1573</v>
      </c>
      <c r="E38" s="25" t="s">
        <v>1591</v>
      </c>
      <c r="F38" s="26" t="s">
        <v>1726</v>
      </c>
      <c r="G38" s="25"/>
      <c r="H38" s="25"/>
      <c r="I38" s="25"/>
      <c r="J38" s="25"/>
      <c r="K38" s="25"/>
      <c r="L38" s="32"/>
      <c r="M38" s="40" t="str">
        <f>IFNA(VLOOKUP(L38,'Faculty Details'!$B:$H,4,0),"")</f>
        <v/>
      </c>
      <c r="N38" s="28" t="str">
        <f>IFNA(VLOOKUP(L38,'Faculty Details'!$B:$H,7,0),"")</f>
        <v/>
      </c>
      <c r="O38" s="115"/>
    </row>
    <row r="39" ht="45.0" customHeight="1">
      <c r="A39" s="25">
        <v>38.0</v>
      </c>
      <c r="B39" s="25" t="s">
        <v>40</v>
      </c>
      <c r="C39" s="25" t="s">
        <v>1572</v>
      </c>
      <c r="D39" s="25" t="s">
        <v>1573</v>
      </c>
      <c r="E39" s="25" t="s">
        <v>1591</v>
      </c>
      <c r="F39" s="26" t="s">
        <v>1726</v>
      </c>
      <c r="G39" s="25"/>
      <c r="H39" s="25"/>
      <c r="I39" s="25"/>
      <c r="J39" s="25"/>
      <c r="K39" s="25"/>
      <c r="L39" s="32"/>
      <c r="M39" s="40" t="str">
        <f>IFNA(VLOOKUP(L39,'Faculty Details'!$B:$H,4,0),"")</f>
        <v/>
      </c>
      <c r="N39" s="28" t="str">
        <f>IFNA(VLOOKUP(L39,'Faculty Details'!$B:$H,7,0),"")</f>
        <v/>
      </c>
      <c r="O39" s="115"/>
    </row>
    <row r="40" ht="45.0" customHeight="1">
      <c r="A40" s="25">
        <v>39.0</v>
      </c>
      <c r="B40" s="25" t="s">
        <v>40</v>
      </c>
      <c r="C40" s="25" t="s">
        <v>1596</v>
      </c>
      <c r="D40" s="25" t="s">
        <v>1573</v>
      </c>
      <c r="E40" s="25" t="s">
        <v>1898</v>
      </c>
      <c r="F40" s="26" t="s">
        <v>1728</v>
      </c>
      <c r="G40" s="25" t="s">
        <v>1576</v>
      </c>
      <c r="H40" s="25">
        <v>3.0</v>
      </c>
      <c r="I40" s="25">
        <v>1.0</v>
      </c>
      <c r="J40" s="25">
        <v>0.0</v>
      </c>
      <c r="K40" s="25">
        <v>4.0</v>
      </c>
      <c r="L40" s="25" t="s">
        <v>1302</v>
      </c>
      <c r="M40" s="40" t="str">
        <f>IFNA(VLOOKUP(L40,'Faculty Details'!$B:$H,4,0),"")</f>
        <v>Dr.INDIRANI C</v>
      </c>
      <c r="N40" s="28" t="str">
        <f>IFNA(VLOOKUP(L40,'Faculty Details'!$B:$H,7,0),"")</f>
        <v>indiranic@bitsathy.ac.in</v>
      </c>
      <c r="O40" s="115"/>
    </row>
    <row r="41" ht="45.0" customHeight="1">
      <c r="A41" s="25">
        <v>40.0</v>
      </c>
      <c r="B41" s="25" t="s">
        <v>40</v>
      </c>
      <c r="C41" s="25" t="s">
        <v>1596</v>
      </c>
      <c r="D41" s="25" t="s">
        <v>1573</v>
      </c>
      <c r="E41" s="25" t="s">
        <v>1898</v>
      </c>
      <c r="F41" s="26" t="s">
        <v>1728</v>
      </c>
      <c r="G41" s="25" t="s">
        <v>1576</v>
      </c>
      <c r="H41" s="25">
        <v>3.0</v>
      </c>
      <c r="I41" s="25">
        <v>1.0</v>
      </c>
      <c r="J41" s="25">
        <v>0.0</v>
      </c>
      <c r="K41" s="25">
        <v>4.0</v>
      </c>
      <c r="L41" s="25" t="s">
        <v>1275</v>
      </c>
      <c r="M41" s="40" t="str">
        <f>IFNA(VLOOKUP(L41,'Faculty Details'!$B:$H,4,0),"")</f>
        <v>Mr.KALAISELVAN S</v>
      </c>
      <c r="N41" s="28" t="str">
        <f>IFNA(VLOOKUP(L41,'Faculty Details'!$B:$H,7,0),"")</f>
        <v>kalaiselvan@bitsathy.ac.in</v>
      </c>
      <c r="O41" s="115"/>
    </row>
    <row r="42" ht="45.0" customHeight="1">
      <c r="A42" s="25">
        <v>41.0</v>
      </c>
      <c r="B42" s="25" t="s">
        <v>40</v>
      </c>
      <c r="C42" s="25" t="s">
        <v>1596</v>
      </c>
      <c r="D42" s="25" t="s">
        <v>1573</v>
      </c>
      <c r="E42" s="25" t="s">
        <v>1898</v>
      </c>
      <c r="F42" s="26" t="s">
        <v>1728</v>
      </c>
      <c r="G42" s="25" t="s">
        <v>1576</v>
      </c>
      <c r="H42" s="25">
        <v>3.0</v>
      </c>
      <c r="I42" s="25">
        <v>1.0</v>
      </c>
      <c r="J42" s="25">
        <v>0.0</v>
      </c>
      <c r="K42" s="25">
        <v>4.0</v>
      </c>
      <c r="L42" s="25" t="s">
        <v>1278</v>
      </c>
      <c r="M42" s="40" t="str">
        <f>IFNA(VLOOKUP(L42,'Faculty Details'!$B:$H,4,0),"")</f>
        <v>Dr.PRABAKARAN P</v>
      </c>
      <c r="N42" s="28" t="str">
        <f>IFNA(VLOOKUP(L42,'Faculty Details'!$B:$H,7,0),"")</f>
        <v>prabakaran@bitsathy.ac.in</v>
      </c>
      <c r="O42" s="115"/>
    </row>
    <row r="43" ht="45.0" customHeight="1">
      <c r="A43" s="25">
        <v>42.0</v>
      </c>
      <c r="B43" s="25" t="s">
        <v>40</v>
      </c>
      <c r="C43" s="25" t="s">
        <v>1596</v>
      </c>
      <c r="D43" s="25" t="s">
        <v>1573</v>
      </c>
      <c r="E43" s="25" t="s">
        <v>1898</v>
      </c>
      <c r="F43" s="26" t="s">
        <v>1728</v>
      </c>
      <c r="G43" s="25" t="s">
        <v>1576</v>
      </c>
      <c r="H43" s="25">
        <v>3.0</v>
      </c>
      <c r="I43" s="25">
        <v>1.0</v>
      </c>
      <c r="J43" s="25">
        <v>0.0</v>
      </c>
      <c r="K43" s="25">
        <v>4.0</v>
      </c>
      <c r="L43" s="25" t="s">
        <v>1293</v>
      </c>
      <c r="M43" s="40" t="str">
        <f>IFNA(VLOOKUP(L43,'Faculty Details'!$B:$H,4,0),"")</f>
        <v>Dr.MALATHI M</v>
      </c>
      <c r="N43" s="28" t="str">
        <f>IFNA(VLOOKUP(L43,'Faculty Details'!$B:$H,7,0),"")</f>
        <v>malathim@bitsathy.ac.in</v>
      </c>
      <c r="O43" s="115"/>
    </row>
    <row r="44" ht="45.0" customHeight="1">
      <c r="A44" s="25">
        <v>43.0</v>
      </c>
      <c r="B44" s="25" t="s">
        <v>40</v>
      </c>
      <c r="C44" s="25" t="s">
        <v>1596</v>
      </c>
      <c r="D44" s="25" t="s">
        <v>1573</v>
      </c>
      <c r="E44" s="25" t="s">
        <v>1899</v>
      </c>
      <c r="F44" s="26" t="s">
        <v>1649</v>
      </c>
      <c r="G44" s="25" t="s">
        <v>1579</v>
      </c>
      <c r="H44" s="25">
        <v>3.0</v>
      </c>
      <c r="I44" s="25">
        <v>0.0</v>
      </c>
      <c r="J44" s="25">
        <v>2.0</v>
      </c>
      <c r="K44" s="25">
        <v>4.0</v>
      </c>
      <c r="L44" s="29" t="s">
        <v>590</v>
      </c>
      <c r="M44" s="40" t="str">
        <f>IFNA(VLOOKUP(L44,'Faculty Details'!$B:$H,4,0),"")</f>
        <v>Mrs.SUBHASHREE P</v>
      </c>
      <c r="N44" s="28" t="str">
        <f>IFNA(VLOOKUP(L44,'Faculty Details'!$B:$H,7,0),"")</f>
        <v>subhashreep@bitsathy.ac.in</v>
      </c>
      <c r="O44" s="115"/>
    </row>
    <row r="45" ht="45.0" customHeight="1">
      <c r="A45" s="25">
        <v>44.0</v>
      </c>
      <c r="B45" s="25" t="s">
        <v>40</v>
      </c>
      <c r="C45" s="25" t="s">
        <v>1596</v>
      </c>
      <c r="D45" s="25" t="s">
        <v>1573</v>
      </c>
      <c r="E45" s="25" t="s">
        <v>1899</v>
      </c>
      <c r="F45" s="26" t="s">
        <v>1649</v>
      </c>
      <c r="G45" s="25" t="s">
        <v>1579</v>
      </c>
      <c r="H45" s="25">
        <v>3.0</v>
      </c>
      <c r="I45" s="25">
        <v>0.0</v>
      </c>
      <c r="J45" s="25">
        <v>2.0</v>
      </c>
      <c r="K45" s="25">
        <v>4.0</v>
      </c>
      <c r="L45" s="25" t="s">
        <v>1187</v>
      </c>
      <c r="M45" s="40" t="str">
        <f>IFNA(VLOOKUP(L45,'Faculty Details'!$B:$H,4,0),"")</f>
        <v>Dr.PRIYA J</v>
      </c>
      <c r="N45" s="28" t="str">
        <f>IFNA(VLOOKUP(L45,'Faculty Details'!$B:$H,7,0),"")</f>
        <v>priyajn@bitsathy.ac.in</v>
      </c>
      <c r="O45" s="115"/>
    </row>
    <row r="46" ht="45.0" customHeight="1">
      <c r="A46" s="25">
        <v>45.0</v>
      </c>
      <c r="B46" s="25" t="s">
        <v>40</v>
      </c>
      <c r="C46" s="25" t="s">
        <v>1596</v>
      </c>
      <c r="D46" s="25" t="s">
        <v>1573</v>
      </c>
      <c r="E46" s="25" t="s">
        <v>1899</v>
      </c>
      <c r="F46" s="26" t="s">
        <v>1649</v>
      </c>
      <c r="G46" s="25" t="s">
        <v>1579</v>
      </c>
      <c r="H46" s="25">
        <v>3.0</v>
      </c>
      <c r="I46" s="25">
        <v>0.0</v>
      </c>
      <c r="J46" s="25">
        <v>2.0</v>
      </c>
      <c r="K46" s="25">
        <v>4.0</v>
      </c>
      <c r="L46" s="102" t="s">
        <v>1156</v>
      </c>
      <c r="M46" s="40" t="str">
        <f>IFNA(VLOOKUP(L46,'Faculty Details'!$B:$H,4,0),"")</f>
        <v>Ms.SABARMATHI K R</v>
      </c>
      <c r="N46" s="28" t="str">
        <f>IFNA(VLOOKUP(L46,'Faculty Details'!$B:$H,7,0),"")</f>
        <v>sabarmathi@bitsathy.ac.in</v>
      </c>
      <c r="O46" s="115"/>
    </row>
    <row r="47" ht="45.0" customHeight="1">
      <c r="A47" s="25">
        <v>46.0</v>
      </c>
      <c r="B47" s="25" t="s">
        <v>40</v>
      </c>
      <c r="C47" s="25" t="s">
        <v>1596</v>
      </c>
      <c r="D47" s="25" t="s">
        <v>1573</v>
      </c>
      <c r="E47" s="25" t="s">
        <v>1899</v>
      </c>
      <c r="F47" s="26" t="s">
        <v>1649</v>
      </c>
      <c r="G47" s="25" t="s">
        <v>1579</v>
      </c>
      <c r="H47" s="25">
        <v>3.0</v>
      </c>
      <c r="I47" s="25">
        <v>0.0</v>
      </c>
      <c r="J47" s="25">
        <v>2.0</v>
      </c>
      <c r="K47" s="25">
        <v>4.0</v>
      </c>
      <c r="L47" s="43" t="s">
        <v>829</v>
      </c>
      <c r="M47" s="40" t="str">
        <f>IFNA(VLOOKUP(L47,'Faculty Details'!$B:$H,4,0),"")</f>
        <v>Mrs.SAVEETHA R</v>
      </c>
      <c r="N47" s="28" t="str">
        <f>IFNA(VLOOKUP(L47,'Faculty Details'!$B:$H,7,0),"")</f>
        <v>saveethar@bitsathy.ac.in</v>
      </c>
      <c r="O47" s="115"/>
    </row>
    <row r="48" ht="45.0" customHeight="1">
      <c r="A48" s="25">
        <v>47.0</v>
      </c>
      <c r="B48" s="25" t="s">
        <v>40</v>
      </c>
      <c r="C48" s="25" t="s">
        <v>1596</v>
      </c>
      <c r="D48" s="25" t="s">
        <v>1573</v>
      </c>
      <c r="E48" s="25" t="s">
        <v>1900</v>
      </c>
      <c r="F48" s="26" t="s">
        <v>1651</v>
      </c>
      <c r="G48" s="25" t="s">
        <v>1576</v>
      </c>
      <c r="H48" s="25">
        <v>3.0</v>
      </c>
      <c r="I48" s="25">
        <v>1.0</v>
      </c>
      <c r="J48" s="25">
        <v>0.0</v>
      </c>
      <c r="K48" s="25">
        <v>4.0</v>
      </c>
      <c r="L48" s="25" t="s">
        <v>1160</v>
      </c>
      <c r="M48" s="40" t="str">
        <f>IFNA(VLOOKUP(L48,'Faculty Details'!$B:$H,4,0),"")</f>
        <v>Dr.SRI VINITHA V</v>
      </c>
      <c r="N48" s="28" t="str">
        <f>IFNA(VLOOKUP(L48,'Faculty Details'!$B:$H,7,0),"")</f>
        <v>srivinitha@bitsathy.ac.in</v>
      </c>
      <c r="O48" s="115"/>
    </row>
    <row r="49" ht="45.0" customHeight="1">
      <c r="A49" s="25">
        <v>48.0</v>
      </c>
      <c r="B49" s="25" t="s">
        <v>40</v>
      </c>
      <c r="C49" s="25" t="s">
        <v>1596</v>
      </c>
      <c r="D49" s="25" t="s">
        <v>1573</v>
      </c>
      <c r="E49" s="25" t="s">
        <v>1900</v>
      </c>
      <c r="F49" s="26" t="s">
        <v>1651</v>
      </c>
      <c r="G49" s="25" t="s">
        <v>1576</v>
      </c>
      <c r="H49" s="25">
        <v>3.0</v>
      </c>
      <c r="I49" s="25">
        <v>1.0</v>
      </c>
      <c r="J49" s="25">
        <v>0.0</v>
      </c>
      <c r="K49" s="25">
        <v>4.0</v>
      </c>
      <c r="L49" s="43" t="s">
        <v>711</v>
      </c>
      <c r="M49" s="40" t="str">
        <f>IFNA(VLOOKUP(L49,'Faculty Details'!$B:$H,4,0),"")</f>
        <v>Mrs.NITHYA R</v>
      </c>
      <c r="N49" s="28" t="str">
        <f>IFNA(VLOOKUP(L49,'Faculty Details'!$B:$H,7,0),"")</f>
        <v>nithyars@bitsathy.ac.in</v>
      </c>
      <c r="O49" s="115"/>
    </row>
    <row r="50" ht="45.0" customHeight="1">
      <c r="A50" s="25">
        <v>49.0</v>
      </c>
      <c r="B50" s="25" t="s">
        <v>40</v>
      </c>
      <c r="C50" s="25" t="s">
        <v>1596</v>
      </c>
      <c r="D50" s="25" t="s">
        <v>1573</v>
      </c>
      <c r="E50" s="25" t="s">
        <v>1900</v>
      </c>
      <c r="F50" s="26" t="s">
        <v>1651</v>
      </c>
      <c r="G50" s="25" t="s">
        <v>1576</v>
      </c>
      <c r="H50" s="25">
        <v>3.0</v>
      </c>
      <c r="I50" s="25">
        <v>1.0</v>
      </c>
      <c r="J50" s="25">
        <v>0.0</v>
      </c>
      <c r="K50" s="25">
        <v>4.0</v>
      </c>
      <c r="L50" s="86" t="s">
        <v>1214</v>
      </c>
      <c r="M50" s="40" t="str">
        <f>IFNA(VLOOKUP(L50,'Faculty Details'!$B:$H,4,0),"")</f>
        <v>Mrs.SHANGARA NARAYANEE N P</v>
      </c>
      <c r="N50" s="28" t="str">
        <f>IFNA(VLOOKUP(L50,'Faculty Details'!$B:$H,7,0),"")</f>
        <v>shangaranarayanee@bitsathy.ac.in</v>
      </c>
      <c r="O50" s="115"/>
    </row>
    <row r="51" ht="45.0" customHeight="1">
      <c r="A51" s="25">
        <v>50.0</v>
      </c>
      <c r="B51" s="25" t="s">
        <v>40</v>
      </c>
      <c r="C51" s="25" t="s">
        <v>1596</v>
      </c>
      <c r="D51" s="25" t="s">
        <v>1573</v>
      </c>
      <c r="E51" s="25" t="s">
        <v>1900</v>
      </c>
      <c r="F51" s="26" t="s">
        <v>1651</v>
      </c>
      <c r="G51" s="25" t="s">
        <v>1576</v>
      </c>
      <c r="H51" s="25">
        <v>3.0</v>
      </c>
      <c r="I51" s="25">
        <v>1.0</v>
      </c>
      <c r="J51" s="25">
        <v>0.0</v>
      </c>
      <c r="K51" s="25">
        <v>4.0</v>
      </c>
      <c r="L51" s="86" t="s">
        <v>1226</v>
      </c>
      <c r="M51" s="40" t="str">
        <f>IFNA(VLOOKUP(L51,'Faculty Details'!$B:$H,4,0),"")</f>
        <v>Mrs.DEEPA SUMATHI M</v>
      </c>
      <c r="N51" s="28" t="str">
        <f>IFNA(VLOOKUP(L51,'Faculty Details'!$B:$H,7,0),"")</f>
        <v>deepasumathim@bitsathy.ac.in</v>
      </c>
      <c r="O51" s="115"/>
    </row>
    <row r="52" ht="45.0" customHeight="1">
      <c r="A52" s="25">
        <v>51.0</v>
      </c>
      <c r="B52" s="25" t="s">
        <v>40</v>
      </c>
      <c r="C52" s="25" t="s">
        <v>1596</v>
      </c>
      <c r="D52" s="25" t="s">
        <v>1573</v>
      </c>
      <c r="E52" s="25" t="s">
        <v>1901</v>
      </c>
      <c r="F52" s="26" t="s">
        <v>1653</v>
      </c>
      <c r="G52" s="25" t="s">
        <v>1579</v>
      </c>
      <c r="H52" s="25">
        <v>2.0</v>
      </c>
      <c r="I52" s="25">
        <v>0.0</v>
      </c>
      <c r="J52" s="25">
        <v>2.0</v>
      </c>
      <c r="K52" s="25">
        <v>3.0</v>
      </c>
      <c r="L52" s="117" t="s">
        <v>1175</v>
      </c>
      <c r="M52" s="40" t="str">
        <f>IFNA(VLOOKUP(L52,'Faculty Details'!$B:$H,4,0),"")</f>
        <v>Dr.CHANDRAPRABHA K</v>
      </c>
      <c r="N52" s="28" t="str">
        <f>IFNA(VLOOKUP(L52,'Faculty Details'!$B:$H,7,0),"")</f>
        <v>chandraprabhak@bitsathy.ac.in</v>
      </c>
      <c r="O52" s="115"/>
    </row>
    <row r="53" ht="45.0" customHeight="1">
      <c r="A53" s="25">
        <v>52.0</v>
      </c>
      <c r="B53" s="25" t="s">
        <v>40</v>
      </c>
      <c r="C53" s="25" t="s">
        <v>1596</v>
      </c>
      <c r="D53" s="25" t="s">
        <v>1573</v>
      </c>
      <c r="E53" s="25" t="s">
        <v>1901</v>
      </c>
      <c r="F53" s="26" t="s">
        <v>1653</v>
      </c>
      <c r="G53" s="25" t="s">
        <v>1579</v>
      </c>
      <c r="H53" s="25">
        <v>2.0</v>
      </c>
      <c r="I53" s="25">
        <v>0.0</v>
      </c>
      <c r="J53" s="25">
        <v>2.0</v>
      </c>
      <c r="K53" s="25">
        <v>3.0</v>
      </c>
      <c r="L53" s="102" t="s">
        <v>1169</v>
      </c>
      <c r="M53" s="40" t="str">
        <f>IFNA(VLOOKUP(L53,'Faculty Details'!$B:$H,4,0),"")</f>
        <v>Mrs.JANANI T</v>
      </c>
      <c r="N53" s="28" t="str">
        <f>IFNA(VLOOKUP(L53,'Faculty Details'!$B:$H,7,0),"")</f>
        <v>jananit@bitsathy.ac.in</v>
      </c>
      <c r="O53" s="115"/>
    </row>
    <row r="54" ht="45.0" customHeight="1">
      <c r="A54" s="25">
        <v>53.0</v>
      </c>
      <c r="B54" s="25" t="s">
        <v>40</v>
      </c>
      <c r="C54" s="25" t="s">
        <v>1596</v>
      </c>
      <c r="D54" s="25" t="s">
        <v>1573</v>
      </c>
      <c r="E54" s="25" t="s">
        <v>1901</v>
      </c>
      <c r="F54" s="26" t="s">
        <v>1653</v>
      </c>
      <c r="G54" s="25" t="s">
        <v>1579</v>
      </c>
      <c r="H54" s="25">
        <v>2.0</v>
      </c>
      <c r="I54" s="25">
        <v>0.0</v>
      </c>
      <c r="J54" s="25">
        <v>2.0</v>
      </c>
      <c r="K54" s="25">
        <v>3.0</v>
      </c>
      <c r="L54" s="102" t="s">
        <v>1181</v>
      </c>
      <c r="M54" s="40" t="str">
        <f>IFNA(VLOOKUP(L54,'Faculty Details'!$B:$H,4,0),"")</f>
        <v>Mr.SELVAKUMAR M</v>
      </c>
      <c r="N54" s="28" t="str">
        <f>IFNA(VLOOKUP(L54,'Faculty Details'!$B:$H,7,0),"")</f>
        <v>selvakumarm@bitsathy.ac.in</v>
      </c>
      <c r="O54" s="115"/>
    </row>
    <row r="55" ht="45.0" customHeight="1">
      <c r="A55" s="25">
        <v>54.0</v>
      </c>
      <c r="B55" s="25" t="s">
        <v>40</v>
      </c>
      <c r="C55" s="25" t="s">
        <v>1596</v>
      </c>
      <c r="D55" s="25" t="s">
        <v>1573</v>
      </c>
      <c r="E55" s="25" t="s">
        <v>1901</v>
      </c>
      <c r="F55" s="26" t="s">
        <v>1653</v>
      </c>
      <c r="G55" s="25" t="s">
        <v>1579</v>
      </c>
      <c r="H55" s="25">
        <v>2.0</v>
      </c>
      <c r="I55" s="25">
        <v>0.0</v>
      </c>
      <c r="J55" s="25">
        <v>2.0</v>
      </c>
      <c r="K55" s="25">
        <v>3.0</v>
      </c>
      <c r="L55" s="29" t="s">
        <v>1229</v>
      </c>
      <c r="M55" s="40" t="str">
        <f>IFNA(VLOOKUP(L55,'Faculty Details'!$B:$H,4,0),"")</f>
        <v>Mrs.ELAVARASI T</v>
      </c>
      <c r="N55" s="28" t="str">
        <f>IFNA(VLOOKUP(L55,'Faculty Details'!$B:$H,7,0),"")</f>
        <v>elavarasit@bitsathy.ac.in</v>
      </c>
      <c r="O55" s="115"/>
    </row>
    <row r="56" ht="45.0" customHeight="1">
      <c r="A56" s="25">
        <v>55.0</v>
      </c>
      <c r="B56" s="25" t="s">
        <v>40</v>
      </c>
      <c r="C56" s="25" t="s">
        <v>1596</v>
      </c>
      <c r="D56" s="25" t="s">
        <v>1573</v>
      </c>
      <c r="E56" s="25" t="s">
        <v>1902</v>
      </c>
      <c r="F56" s="26" t="s">
        <v>1655</v>
      </c>
      <c r="G56" s="25" t="s">
        <v>1579</v>
      </c>
      <c r="H56" s="25">
        <v>3.0</v>
      </c>
      <c r="I56" s="25">
        <v>0.0</v>
      </c>
      <c r="J56" s="25">
        <v>2.0</v>
      </c>
      <c r="K56" s="25">
        <v>4.0</v>
      </c>
      <c r="L56" s="102" t="s">
        <v>1205</v>
      </c>
      <c r="M56" s="40" t="str">
        <f>IFNA(VLOOKUP(L56,'Faculty Details'!$B:$H,4,0),"")</f>
        <v>Mrs.KAVITHA V</v>
      </c>
      <c r="N56" s="28" t="str">
        <f>IFNA(VLOOKUP(L56,'Faculty Details'!$B:$H,7,0),"")</f>
        <v>kavitha@bitsathy.ac.in</v>
      </c>
      <c r="O56" s="115"/>
    </row>
    <row r="57" ht="45.0" customHeight="1">
      <c r="A57" s="25">
        <v>56.0</v>
      </c>
      <c r="B57" s="25" t="s">
        <v>40</v>
      </c>
      <c r="C57" s="25" t="s">
        <v>1596</v>
      </c>
      <c r="D57" s="25" t="s">
        <v>1573</v>
      </c>
      <c r="E57" s="25" t="s">
        <v>1902</v>
      </c>
      <c r="F57" s="26" t="s">
        <v>1655</v>
      </c>
      <c r="G57" s="25" t="s">
        <v>1579</v>
      </c>
      <c r="H57" s="25">
        <v>3.0</v>
      </c>
      <c r="I57" s="25">
        <v>0.0</v>
      </c>
      <c r="J57" s="25">
        <v>2.0</v>
      </c>
      <c r="K57" s="25">
        <v>4.0</v>
      </c>
      <c r="L57" s="102" t="s">
        <v>1217</v>
      </c>
      <c r="M57" s="40" t="str">
        <f>IFNA(VLOOKUP(L57,'Faculty Details'!$B:$H,4,0),"")</f>
        <v>Ms.INDHU BHASHINI V</v>
      </c>
      <c r="N57" s="28" t="str">
        <f>IFNA(VLOOKUP(L57,'Faculty Details'!$B:$H,7,0),"")</f>
        <v>indhubhashiniv@bitsathy.ac.in</v>
      </c>
      <c r="O57" s="115"/>
    </row>
    <row r="58" ht="45.0" customHeight="1">
      <c r="A58" s="25">
        <v>57.0</v>
      </c>
      <c r="B58" s="25" t="s">
        <v>40</v>
      </c>
      <c r="C58" s="25" t="s">
        <v>1596</v>
      </c>
      <c r="D58" s="25" t="s">
        <v>1573</v>
      </c>
      <c r="E58" s="25" t="s">
        <v>1902</v>
      </c>
      <c r="F58" s="26" t="s">
        <v>1655</v>
      </c>
      <c r="G58" s="25" t="s">
        <v>1579</v>
      </c>
      <c r="H58" s="25">
        <v>3.0</v>
      </c>
      <c r="I58" s="25">
        <v>0.0</v>
      </c>
      <c r="J58" s="25">
        <v>2.0</v>
      </c>
      <c r="K58" s="25">
        <v>4.0</v>
      </c>
      <c r="L58" s="102" t="s">
        <v>1196</v>
      </c>
      <c r="M58" s="41" t="str">
        <f>IFNA(VLOOKUP(L58,'Faculty Details'!$B:$H,4,0),"")</f>
        <v>Ms.MUTHUMEENA S</v>
      </c>
      <c r="N58" s="68" t="str">
        <f>IFNA(VLOOKUP(L58,'Faculty Details'!$B:$H,7,0),"")</f>
        <v>muthumeena@bitsathy.ac.in</v>
      </c>
      <c r="O58" s="104"/>
    </row>
    <row r="59" ht="45.0" customHeight="1">
      <c r="A59" s="25">
        <v>58.0</v>
      </c>
      <c r="B59" s="25" t="s">
        <v>40</v>
      </c>
      <c r="C59" s="25" t="s">
        <v>1596</v>
      </c>
      <c r="D59" s="25" t="s">
        <v>1573</v>
      </c>
      <c r="E59" s="25" t="s">
        <v>1902</v>
      </c>
      <c r="F59" s="26" t="s">
        <v>1655</v>
      </c>
      <c r="G59" s="25" t="s">
        <v>1579</v>
      </c>
      <c r="H59" s="25">
        <v>3.0</v>
      </c>
      <c r="I59" s="25">
        <v>0.0</v>
      </c>
      <c r="J59" s="25">
        <v>2.0</v>
      </c>
      <c r="K59" s="25">
        <v>4.0</v>
      </c>
      <c r="L59" s="102" t="s">
        <v>1226</v>
      </c>
      <c r="M59" s="40" t="str">
        <f>IFNA(VLOOKUP(L59,'Faculty Details'!$B:$H,4,0),"")</f>
        <v>Mrs.DEEPA SUMATHI M</v>
      </c>
      <c r="N59" s="28" t="str">
        <f>IFNA(VLOOKUP(L59,'Faculty Details'!$B:$H,7,0),"")</f>
        <v>deepasumathim@bitsathy.ac.in</v>
      </c>
      <c r="O59" s="115"/>
    </row>
    <row r="60" ht="45.0" customHeight="1">
      <c r="A60" s="25">
        <v>59.0</v>
      </c>
      <c r="B60" s="25" t="s">
        <v>40</v>
      </c>
      <c r="C60" s="25" t="s">
        <v>1596</v>
      </c>
      <c r="D60" s="25" t="s">
        <v>1607</v>
      </c>
      <c r="E60" s="89" t="s">
        <v>41</v>
      </c>
      <c r="F60" s="87" t="s">
        <v>21</v>
      </c>
      <c r="G60" s="25" t="s">
        <v>1576</v>
      </c>
      <c r="H60" s="25">
        <v>3.0</v>
      </c>
      <c r="I60" s="25">
        <v>0.0</v>
      </c>
      <c r="J60" s="25">
        <v>0.0</v>
      </c>
      <c r="K60" s="25">
        <v>3.0</v>
      </c>
      <c r="L60" s="43" t="s">
        <v>1253</v>
      </c>
      <c r="M60" s="40" t="str">
        <f>IFNA(VLOOKUP(L60,'Faculty Details'!$B:$H,4,0),"")</f>
        <v>Dr.NAVEENA S</v>
      </c>
      <c r="N60" s="28" t="str">
        <f>IFNA(VLOOKUP(L60,'Faculty Details'!$B:$H,7,0),"")</f>
        <v>naveena@bitsathy.ac.in</v>
      </c>
      <c r="O60" s="115"/>
    </row>
    <row r="61" ht="45.0" customHeight="1">
      <c r="A61" s="25">
        <v>60.0</v>
      </c>
      <c r="B61" s="25" t="s">
        <v>40</v>
      </c>
      <c r="C61" s="25" t="s">
        <v>1596</v>
      </c>
      <c r="D61" s="25" t="s">
        <v>1607</v>
      </c>
      <c r="E61" s="89" t="s">
        <v>42</v>
      </c>
      <c r="F61" s="87" t="s">
        <v>8</v>
      </c>
      <c r="G61" s="25" t="s">
        <v>1576</v>
      </c>
      <c r="H61" s="25">
        <v>3.0</v>
      </c>
      <c r="I61" s="25">
        <v>0.0</v>
      </c>
      <c r="J61" s="25">
        <v>0.0</v>
      </c>
      <c r="K61" s="25">
        <v>3.0</v>
      </c>
      <c r="L61" s="43" t="s">
        <v>1250</v>
      </c>
      <c r="M61" s="40" t="str">
        <f>IFNA(VLOOKUP(L61,'Faculty Details'!$B:$H,4,0),"")</f>
        <v>Dr.SATHIS KUMAR K</v>
      </c>
      <c r="N61" s="28" t="str">
        <f>IFNA(VLOOKUP(L61,'Faculty Details'!$B:$H,7,0),"")</f>
        <v>sathiskumark@bitsathy.ac.in</v>
      </c>
      <c r="O61" s="115"/>
    </row>
    <row r="62" ht="45.0" customHeight="1">
      <c r="A62" s="25">
        <v>61.0</v>
      </c>
      <c r="B62" s="25" t="s">
        <v>40</v>
      </c>
      <c r="C62" s="25" t="s">
        <v>1596</v>
      </c>
      <c r="D62" s="25" t="s">
        <v>1607</v>
      </c>
      <c r="E62" s="89" t="s">
        <v>42</v>
      </c>
      <c r="F62" s="87" t="s">
        <v>8</v>
      </c>
      <c r="G62" s="25" t="s">
        <v>1576</v>
      </c>
      <c r="H62" s="25">
        <v>3.0</v>
      </c>
      <c r="I62" s="25">
        <v>0.0</v>
      </c>
      <c r="J62" s="25">
        <v>0.0</v>
      </c>
      <c r="K62" s="25">
        <v>3.0</v>
      </c>
      <c r="L62" s="102" t="s">
        <v>1156</v>
      </c>
      <c r="M62" s="40" t="str">
        <f>IFNA(VLOOKUP(L62,'Faculty Details'!$B:$H,4,0),"")</f>
        <v>Ms.SABARMATHI K R</v>
      </c>
      <c r="N62" s="28" t="str">
        <f>IFNA(VLOOKUP(L62,'Faculty Details'!$B:$H,7,0),"")</f>
        <v>sabarmathi@bitsathy.ac.in</v>
      </c>
      <c r="O62" s="115"/>
    </row>
    <row r="63" ht="45.0" customHeight="1">
      <c r="A63" s="25">
        <v>62.0</v>
      </c>
      <c r="B63" s="25" t="s">
        <v>40</v>
      </c>
      <c r="C63" s="25" t="s">
        <v>1596</v>
      </c>
      <c r="D63" s="25" t="s">
        <v>1607</v>
      </c>
      <c r="E63" s="89" t="s">
        <v>42</v>
      </c>
      <c r="F63" s="87" t="s">
        <v>8</v>
      </c>
      <c r="G63" s="25" t="s">
        <v>1576</v>
      </c>
      <c r="H63" s="25">
        <v>3.0</v>
      </c>
      <c r="I63" s="25">
        <v>0.0</v>
      </c>
      <c r="J63" s="25">
        <v>0.0</v>
      </c>
      <c r="K63" s="25">
        <v>3.0</v>
      </c>
      <c r="L63" s="86" t="s">
        <v>1193</v>
      </c>
      <c r="M63" s="40" t="str">
        <f>IFNA(VLOOKUP(L63,'Faculty Details'!$B:$H,4,0),"")</f>
        <v>Mrs.SANTHIYA B</v>
      </c>
      <c r="N63" s="28" t="str">
        <f>IFNA(VLOOKUP(L63,'Faculty Details'!$B:$H,7,0),"")</f>
        <v>santhiyab@bitsathy.ac.in</v>
      </c>
      <c r="O63" s="115"/>
    </row>
    <row r="64" ht="45.0" customHeight="1">
      <c r="A64" s="25">
        <v>63.0</v>
      </c>
      <c r="B64" s="25" t="s">
        <v>40</v>
      </c>
      <c r="C64" s="25" t="s">
        <v>1596</v>
      </c>
      <c r="D64" s="25" t="s">
        <v>1607</v>
      </c>
      <c r="E64" s="89" t="s">
        <v>42</v>
      </c>
      <c r="F64" s="87" t="s">
        <v>8</v>
      </c>
      <c r="G64" s="25" t="s">
        <v>1576</v>
      </c>
      <c r="H64" s="25">
        <v>3.0</v>
      </c>
      <c r="I64" s="25">
        <v>0.0</v>
      </c>
      <c r="J64" s="25">
        <v>0.0</v>
      </c>
      <c r="K64" s="25">
        <v>3.0</v>
      </c>
      <c r="L64" s="25" t="s">
        <v>817</v>
      </c>
      <c r="M64" s="40" t="str">
        <f>IFNA(VLOOKUP(L64,'Faculty Details'!$B:$H,4,0),"")</f>
        <v>Mrs.SWEETY PRASANNA KIRUBA G</v>
      </c>
      <c r="N64" s="28" t="str">
        <f>IFNA(VLOOKUP(L64,'Faculty Details'!$B:$H,7,0),"")</f>
        <v>prasannakiruba@bitsathy.ac.in</v>
      </c>
      <c r="O64" s="115"/>
    </row>
    <row r="65" ht="45.0" customHeight="1">
      <c r="A65" s="25">
        <v>64.0</v>
      </c>
      <c r="B65" s="25" t="s">
        <v>40</v>
      </c>
      <c r="C65" s="25" t="s">
        <v>1596</v>
      </c>
      <c r="D65" s="25" t="s">
        <v>1573</v>
      </c>
      <c r="E65" s="25" t="s">
        <v>1608</v>
      </c>
      <c r="F65" s="26" t="s">
        <v>1609</v>
      </c>
      <c r="G65" s="25" t="s">
        <v>1588</v>
      </c>
      <c r="H65" s="25">
        <v>2.0</v>
      </c>
      <c r="I65" s="25">
        <v>0.0</v>
      </c>
      <c r="J65" s="25">
        <v>0.0</v>
      </c>
      <c r="K65" s="25">
        <v>2.0</v>
      </c>
      <c r="L65" s="25" t="s">
        <v>659</v>
      </c>
      <c r="M65" s="40" t="str">
        <f>IFNA(VLOOKUP(L65,'Faculty Details'!$B:$H,4,0),"")</f>
        <v>Dr.KAVITHA C</v>
      </c>
      <c r="N65" s="28" t="str">
        <f>IFNA(VLOOKUP(L65,'Faculty Details'!$B:$H,7,0),"")</f>
        <v>kavithac@bitsathy.ac.in</v>
      </c>
      <c r="O65" s="115"/>
    </row>
    <row r="66" ht="45.0" customHeight="1">
      <c r="A66" s="25">
        <v>65.0</v>
      </c>
      <c r="B66" s="25" t="s">
        <v>40</v>
      </c>
      <c r="C66" s="25" t="s">
        <v>1596</v>
      </c>
      <c r="D66" s="25" t="s">
        <v>1573</v>
      </c>
      <c r="E66" s="25" t="s">
        <v>1608</v>
      </c>
      <c r="F66" s="26" t="s">
        <v>1609</v>
      </c>
      <c r="G66" s="25" t="s">
        <v>1588</v>
      </c>
      <c r="H66" s="25">
        <v>2.0</v>
      </c>
      <c r="I66" s="25">
        <v>0.0</v>
      </c>
      <c r="J66" s="25">
        <v>0.0</v>
      </c>
      <c r="K66" s="25">
        <v>2.0</v>
      </c>
      <c r="L66" s="25" t="s">
        <v>662</v>
      </c>
      <c r="M66" s="40" t="str">
        <f>IFNA(VLOOKUP(L66,'Faculty Details'!$B:$H,4,0),"")</f>
        <v>Dr.MALATHI MAHALINGAM</v>
      </c>
      <c r="N66" s="28" t="str">
        <f>IFNA(VLOOKUP(L66,'Faculty Details'!$B:$H,7,0),"")</f>
        <v>malathimahalingamm@bitsathy.ac.in</v>
      </c>
      <c r="O66" s="115"/>
    </row>
    <row r="67" ht="45.0" customHeight="1">
      <c r="A67" s="25">
        <v>66.0</v>
      </c>
      <c r="B67" s="25" t="s">
        <v>40</v>
      </c>
      <c r="C67" s="25" t="s">
        <v>1596</v>
      </c>
      <c r="D67" s="25" t="s">
        <v>1573</v>
      </c>
      <c r="E67" s="25" t="s">
        <v>1608</v>
      </c>
      <c r="F67" s="26" t="s">
        <v>1609</v>
      </c>
      <c r="G67" s="25" t="s">
        <v>1588</v>
      </c>
      <c r="H67" s="25">
        <v>2.0</v>
      </c>
      <c r="I67" s="25">
        <v>0.0</v>
      </c>
      <c r="J67" s="25">
        <v>0.0</v>
      </c>
      <c r="K67" s="25">
        <v>2.0</v>
      </c>
      <c r="L67" s="25" t="s">
        <v>629</v>
      </c>
      <c r="M67" s="40" t="str">
        <f>IFNA(VLOOKUP(L67,'Faculty Details'!$B:$H,4,0),"")</f>
        <v>Dr.MURALI KRISHNAN M</v>
      </c>
      <c r="N67" s="28" t="str">
        <f>IFNA(VLOOKUP(L67,'Faculty Details'!$B:$H,7,0),"")</f>
        <v>muralikrishnan@bitsathy.ac.in</v>
      </c>
      <c r="O67" s="115"/>
    </row>
    <row r="68" ht="45.0" customHeight="1">
      <c r="A68" s="25">
        <v>67.0</v>
      </c>
      <c r="B68" s="25" t="s">
        <v>40</v>
      </c>
      <c r="C68" s="25" t="s">
        <v>1596</v>
      </c>
      <c r="D68" s="25" t="s">
        <v>1573</v>
      </c>
      <c r="E68" s="25" t="s">
        <v>1608</v>
      </c>
      <c r="F68" s="26" t="s">
        <v>1609</v>
      </c>
      <c r="G68" s="25" t="s">
        <v>1588</v>
      </c>
      <c r="H68" s="25">
        <v>2.0</v>
      </c>
      <c r="I68" s="25">
        <v>0.0</v>
      </c>
      <c r="J68" s="25">
        <v>0.0</v>
      </c>
      <c r="K68" s="25">
        <v>2.0</v>
      </c>
      <c r="L68" s="25" t="s">
        <v>641</v>
      </c>
      <c r="M68" s="40" t="str">
        <f>IFNA(VLOOKUP(L68,'Faculty Details'!$B:$H,4,0),"")</f>
        <v>Dr.JESIN BENETO A</v>
      </c>
      <c r="N68" s="28" t="str">
        <f>IFNA(VLOOKUP(L68,'Faculty Details'!$B:$H,7,0),"")</f>
        <v>jesinbeneto@bitsathy.ac.in</v>
      </c>
      <c r="O68" s="115"/>
    </row>
    <row r="69" ht="45.0" customHeight="1">
      <c r="A69" s="25">
        <v>68.0</v>
      </c>
      <c r="B69" s="25" t="s">
        <v>40</v>
      </c>
      <c r="C69" s="25" t="s">
        <v>1596</v>
      </c>
      <c r="D69" s="25" t="s">
        <v>1588</v>
      </c>
      <c r="E69" s="25" t="s">
        <v>1610</v>
      </c>
      <c r="F69" s="34" t="s">
        <v>1611</v>
      </c>
      <c r="G69" s="25" t="s">
        <v>1588</v>
      </c>
      <c r="H69" s="25">
        <v>0.0</v>
      </c>
      <c r="I69" s="25">
        <v>0.0</v>
      </c>
      <c r="J69" s="25">
        <v>2.0</v>
      </c>
      <c r="K69" s="25">
        <v>2.0</v>
      </c>
      <c r="L69" s="25" t="s">
        <v>1118</v>
      </c>
      <c r="M69" s="40" t="str">
        <f>IFNA(VLOOKUP(L69,'Faculty Details'!$B:$H,4,0),"")</f>
        <v>Dr.GAYATHRI G M</v>
      </c>
      <c r="N69" s="28" t="str">
        <f>IFNA(VLOOKUP(L69,'Faculty Details'!$B:$H,7,0),"")</f>
        <v>gayathri@bitsathy.ac.in</v>
      </c>
      <c r="O69" s="115"/>
    </row>
    <row r="70" ht="45.0" customHeight="1">
      <c r="A70" s="25">
        <v>69.0</v>
      </c>
      <c r="B70" s="25" t="s">
        <v>40</v>
      </c>
      <c r="C70" s="25" t="s">
        <v>1596</v>
      </c>
      <c r="D70" s="25" t="s">
        <v>1588</v>
      </c>
      <c r="E70" s="25" t="s">
        <v>1610</v>
      </c>
      <c r="F70" s="34" t="s">
        <v>1611</v>
      </c>
      <c r="G70" s="25" t="s">
        <v>1588</v>
      </c>
      <c r="H70" s="25">
        <v>0.0</v>
      </c>
      <c r="I70" s="25">
        <v>0.0</v>
      </c>
      <c r="J70" s="25">
        <v>2.0</v>
      </c>
      <c r="K70" s="25">
        <v>2.0</v>
      </c>
      <c r="L70" s="25" t="s">
        <v>1121</v>
      </c>
      <c r="M70" s="40" t="str">
        <f>IFNA(VLOOKUP(L70,'Faculty Details'!$B:$H,4,0),"")</f>
        <v>Dr.ASLIN JERUSHA D</v>
      </c>
      <c r="N70" s="28" t="str">
        <f>IFNA(VLOOKUP(L70,'Faculty Details'!$B:$H,7,0),"")</f>
        <v>aslinjerusha@bitsathy.ac.in</v>
      </c>
      <c r="O70" s="115"/>
    </row>
    <row r="71" ht="45.0" customHeight="1">
      <c r="A71" s="25">
        <v>70.0</v>
      </c>
      <c r="B71" s="25" t="s">
        <v>40</v>
      </c>
      <c r="C71" s="25" t="s">
        <v>1596</v>
      </c>
      <c r="D71" s="25" t="s">
        <v>1588</v>
      </c>
      <c r="E71" s="25" t="s">
        <v>1610</v>
      </c>
      <c r="F71" s="34" t="s">
        <v>1611</v>
      </c>
      <c r="G71" s="25" t="s">
        <v>1588</v>
      </c>
      <c r="H71" s="25">
        <v>0.0</v>
      </c>
      <c r="I71" s="25">
        <v>0.0</v>
      </c>
      <c r="J71" s="25">
        <v>2.0</v>
      </c>
      <c r="K71" s="25">
        <v>2.0</v>
      </c>
      <c r="L71" s="84" t="s">
        <v>1124</v>
      </c>
      <c r="M71" s="40" t="str">
        <f>IFNA(VLOOKUP(L71,'Faculty Details'!$B:$H,4,0),"")</f>
        <v>Dr.EZHIL G</v>
      </c>
      <c r="N71" s="28" t="str">
        <f>IFNA(VLOOKUP(L71,'Faculty Details'!$B:$H,7,0),"")</f>
        <v>ezhil@bitsathy.ac.in</v>
      </c>
      <c r="O71" s="115"/>
    </row>
    <row r="72" ht="45.0" customHeight="1">
      <c r="A72" s="25">
        <v>71.0</v>
      </c>
      <c r="B72" s="25" t="s">
        <v>40</v>
      </c>
      <c r="C72" s="25" t="s">
        <v>1596</v>
      </c>
      <c r="D72" s="25" t="s">
        <v>1588</v>
      </c>
      <c r="E72" s="25" t="s">
        <v>1610</v>
      </c>
      <c r="F72" s="34" t="s">
        <v>1611</v>
      </c>
      <c r="G72" s="25" t="s">
        <v>1588</v>
      </c>
      <c r="H72" s="25">
        <v>0.0</v>
      </c>
      <c r="I72" s="25">
        <v>0.0</v>
      </c>
      <c r="J72" s="25">
        <v>2.0</v>
      </c>
      <c r="K72" s="25">
        <v>2.0</v>
      </c>
      <c r="L72" s="84" t="s">
        <v>1127</v>
      </c>
      <c r="M72" s="40" t="str">
        <f>IFNA(VLOOKUP(L72,'Faculty Details'!$B:$H,4,0),"")</f>
        <v>Dr.NITHYA S</v>
      </c>
      <c r="N72" s="28" t="str">
        <f>IFNA(VLOOKUP(L72,'Faculty Details'!$B:$H,7,0),"")</f>
        <v>nithyas@bitsathy.ac.in</v>
      </c>
      <c r="O72" s="115"/>
    </row>
    <row r="73" ht="45.0" customHeight="1">
      <c r="A73" s="25">
        <v>72.0</v>
      </c>
      <c r="B73" s="25" t="s">
        <v>40</v>
      </c>
      <c r="C73" s="25" t="s">
        <v>1612</v>
      </c>
      <c r="D73" s="25" t="s">
        <v>1573</v>
      </c>
      <c r="E73" s="25" t="s">
        <v>1903</v>
      </c>
      <c r="F73" s="26" t="s">
        <v>1904</v>
      </c>
      <c r="G73" s="25" t="s">
        <v>1579</v>
      </c>
      <c r="H73" s="25">
        <v>3.0</v>
      </c>
      <c r="I73" s="25">
        <v>0.0</v>
      </c>
      <c r="J73" s="25">
        <v>2.0</v>
      </c>
      <c r="K73" s="25">
        <v>4.0</v>
      </c>
      <c r="L73" s="102" t="s">
        <v>1160</v>
      </c>
      <c r="M73" s="40" t="str">
        <f>IFNA(VLOOKUP(L73,'Faculty Details'!$B:$H,4,0),"")</f>
        <v>Dr.SRI VINITHA V</v>
      </c>
      <c r="N73" s="28" t="str">
        <f>IFNA(VLOOKUP(L73,'Faculty Details'!$B:$H,7,0),"")</f>
        <v>srivinitha@bitsathy.ac.in</v>
      </c>
      <c r="O73" s="115"/>
    </row>
    <row r="74" ht="45.0" customHeight="1">
      <c r="A74" s="25">
        <v>73.0</v>
      </c>
      <c r="B74" s="25" t="s">
        <v>40</v>
      </c>
      <c r="C74" s="25" t="s">
        <v>1612</v>
      </c>
      <c r="D74" s="25" t="s">
        <v>1573</v>
      </c>
      <c r="E74" s="25" t="s">
        <v>1903</v>
      </c>
      <c r="F74" s="26" t="s">
        <v>1904</v>
      </c>
      <c r="G74" s="25" t="s">
        <v>1579</v>
      </c>
      <c r="H74" s="25">
        <v>3.0</v>
      </c>
      <c r="I74" s="25">
        <v>0.0</v>
      </c>
      <c r="J74" s="25">
        <v>2.0</v>
      </c>
      <c r="K74" s="25">
        <v>4.0</v>
      </c>
      <c r="L74" s="102" t="s">
        <v>1208</v>
      </c>
      <c r="M74" s="40" t="str">
        <f>IFNA(VLOOKUP(L74,'Faculty Details'!$B:$H,4,0),"")</f>
        <v>Mrs.PRIYA A</v>
      </c>
      <c r="N74" s="28" t="str">
        <f>IFNA(VLOOKUP(L74,'Faculty Details'!$B:$H,7,0),"")</f>
        <v>priyaa@bitsathy.ac.in</v>
      </c>
      <c r="O74" s="115"/>
    </row>
    <row r="75" ht="45.0" customHeight="1">
      <c r="A75" s="25">
        <v>74.0</v>
      </c>
      <c r="B75" s="25" t="s">
        <v>40</v>
      </c>
      <c r="C75" s="25" t="s">
        <v>1612</v>
      </c>
      <c r="D75" s="25" t="s">
        <v>1573</v>
      </c>
      <c r="E75" s="25" t="s">
        <v>1903</v>
      </c>
      <c r="F75" s="26" t="s">
        <v>1904</v>
      </c>
      <c r="G75" s="25" t="s">
        <v>1579</v>
      </c>
      <c r="H75" s="25">
        <v>3.0</v>
      </c>
      <c r="I75" s="25">
        <v>0.0</v>
      </c>
      <c r="J75" s="25">
        <v>2.0</v>
      </c>
      <c r="K75" s="25">
        <v>4.0</v>
      </c>
      <c r="L75" s="102" t="s">
        <v>1214</v>
      </c>
      <c r="M75" s="40" t="str">
        <f>IFNA(VLOOKUP(L75,'Faculty Details'!$B:$H,4,0),"")</f>
        <v>Mrs.SHANGARA NARAYANEE N P</v>
      </c>
      <c r="N75" s="28" t="str">
        <f>IFNA(VLOOKUP(L75,'Faculty Details'!$B:$H,7,0),"")</f>
        <v>shangaranarayanee@bitsathy.ac.in</v>
      </c>
      <c r="O75" s="115"/>
    </row>
    <row r="76" ht="45.0" customHeight="1">
      <c r="A76" s="25">
        <v>75.0</v>
      </c>
      <c r="B76" s="25" t="s">
        <v>40</v>
      </c>
      <c r="C76" s="25" t="s">
        <v>1612</v>
      </c>
      <c r="D76" s="25" t="s">
        <v>1573</v>
      </c>
      <c r="E76" s="25" t="s">
        <v>1905</v>
      </c>
      <c r="F76" s="26" t="s">
        <v>1736</v>
      </c>
      <c r="G76" s="25" t="s">
        <v>1576</v>
      </c>
      <c r="H76" s="25">
        <v>3.0</v>
      </c>
      <c r="I76" s="25">
        <v>1.0</v>
      </c>
      <c r="J76" s="25">
        <v>0.0</v>
      </c>
      <c r="K76" s="25">
        <v>4.0</v>
      </c>
      <c r="L76" s="43" t="s">
        <v>1178</v>
      </c>
      <c r="M76" s="40" t="str">
        <f>IFNA(VLOOKUP(L76,'Faculty Details'!$B:$H,4,0),"")</f>
        <v>Dr.VENKATESAN R</v>
      </c>
      <c r="N76" s="28" t="str">
        <f>IFNA(VLOOKUP(L76,'Faculty Details'!$B:$H,7,0),"")</f>
        <v>venkatesanr@bitsathy.ac.in</v>
      </c>
      <c r="O76" s="115"/>
    </row>
    <row r="77" ht="45.0" customHeight="1">
      <c r="A77" s="25">
        <v>76.0</v>
      </c>
      <c r="B77" s="25" t="s">
        <v>40</v>
      </c>
      <c r="C77" s="25" t="s">
        <v>1612</v>
      </c>
      <c r="D77" s="25" t="s">
        <v>1573</v>
      </c>
      <c r="E77" s="25" t="s">
        <v>1905</v>
      </c>
      <c r="F77" s="26" t="s">
        <v>1736</v>
      </c>
      <c r="G77" s="25" t="s">
        <v>1576</v>
      </c>
      <c r="H77" s="25">
        <v>3.0</v>
      </c>
      <c r="I77" s="25">
        <v>1.0</v>
      </c>
      <c r="J77" s="25">
        <v>0.0</v>
      </c>
      <c r="K77" s="25">
        <v>4.0</v>
      </c>
      <c r="L77" s="29" t="s">
        <v>1181</v>
      </c>
      <c r="M77" s="40" t="str">
        <f>IFNA(VLOOKUP(L77,'Faculty Details'!$B:$H,4,0),"")</f>
        <v>Mr.SELVAKUMAR M</v>
      </c>
      <c r="N77" s="28" t="str">
        <f>IFNA(VLOOKUP(L77,'Faculty Details'!$B:$H,7,0),"")</f>
        <v>selvakumarm@bitsathy.ac.in</v>
      </c>
      <c r="O77" s="115"/>
    </row>
    <row r="78" ht="45.0" customHeight="1">
      <c r="A78" s="25">
        <v>77.0</v>
      </c>
      <c r="B78" s="25" t="s">
        <v>40</v>
      </c>
      <c r="C78" s="25" t="s">
        <v>1612</v>
      </c>
      <c r="D78" s="25" t="s">
        <v>1573</v>
      </c>
      <c r="E78" s="25" t="s">
        <v>1905</v>
      </c>
      <c r="F78" s="26" t="s">
        <v>1736</v>
      </c>
      <c r="G78" s="25" t="s">
        <v>1576</v>
      </c>
      <c r="H78" s="25">
        <v>3.0</v>
      </c>
      <c r="I78" s="25">
        <v>1.0</v>
      </c>
      <c r="J78" s="25">
        <v>0.0</v>
      </c>
      <c r="K78" s="25">
        <v>4.0</v>
      </c>
      <c r="L78" s="43" t="s">
        <v>447</v>
      </c>
      <c r="M78" s="40" t="str">
        <f>IFNA(VLOOKUP(L78,'Faculty Details'!$B:$H,4,0),"")</f>
        <v>Ms.SASITHRA S</v>
      </c>
      <c r="N78" s="28" t="str">
        <f>IFNA(VLOOKUP(L78,'Faculty Details'!$B:$H,7,0),"")</f>
        <v>sasithra@bitsathy.ac.in</v>
      </c>
      <c r="O78" s="115"/>
    </row>
    <row r="79" ht="45.0" customHeight="1">
      <c r="A79" s="25">
        <v>78.0</v>
      </c>
      <c r="B79" s="25" t="s">
        <v>40</v>
      </c>
      <c r="C79" s="25" t="s">
        <v>1612</v>
      </c>
      <c r="D79" s="25" t="s">
        <v>1573</v>
      </c>
      <c r="E79" s="25" t="s">
        <v>1906</v>
      </c>
      <c r="F79" s="26" t="s">
        <v>1738</v>
      </c>
      <c r="G79" s="25" t="s">
        <v>1579</v>
      </c>
      <c r="H79" s="25">
        <v>3.0</v>
      </c>
      <c r="I79" s="25">
        <v>0.0</v>
      </c>
      <c r="J79" s="25">
        <v>2.0</v>
      </c>
      <c r="K79" s="25">
        <v>4.0</v>
      </c>
      <c r="L79" s="102" t="s">
        <v>1202</v>
      </c>
      <c r="M79" s="40" t="str">
        <f>IFNA(VLOOKUP(L79,'Faculty Details'!$B:$H,4,0),"")</f>
        <v>Dr.NIVEDHA S</v>
      </c>
      <c r="N79" s="28" t="str">
        <f>IFNA(VLOOKUP(L79,'Faculty Details'!$B:$H,7,0),"")</f>
        <v>nivedha@bitsathy.ac.in</v>
      </c>
      <c r="O79" s="115"/>
    </row>
    <row r="80" ht="45.0" customHeight="1">
      <c r="A80" s="25">
        <v>79.0</v>
      </c>
      <c r="B80" s="25" t="s">
        <v>40</v>
      </c>
      <c r="C80" s="25" t="s">
        <v>1612</v>
      </c>
      <c r="D80" s="25" t="s">
        <v>1573</v>
      </c>
      <c r="E80" s="25" t="s">
        <v>1906</v>
      </c>
      <c r="F80" s="26" t="s">
        <v>1738</v>
      </c>
      <c r="G80" s="25" t="s">
        <v>1579</v>
      </c>
      <c r="H80" s="25">
        <v>3.0</v>
      </c>
      <c r="I80" s="25">
        <v>0.0</v>
      </c>
      <c r="J80" s="25">
        <v>2.0</v>
      </c>
      <c r="K80" s="25">
        <v>4.0</v>
      </c>
      <c r="L80" s="117" t="s">
        <v>1220</v>
      </c>
      <c r="M80" s="40" t="str">
        <f>IFNA(VLOOKUP(L80,'Faculty Details'!$B:$H,4,0),"")</f>
        <v>Mr.MOHEMMED YOUSUF</v>
      </c>
      <c r="N80" s="28" t="str">
        <f>IFNA(VLOOKUP(L80,'Faculty Details'!$B:$H,7,0),"")</f>
        <v>mohemmedyousuf@bitsathy.ac.in</v>
      </c>
      <c r="O80" s="115"/>
    </row>
    <row r="81" ht="45.0" customHeight="1">
      <c r="A81" s="25">
        <v>80.0</v>
      </c>
      <c r="B81" s="25" t="s">
        <v>40</v>
      </c>
      <c r="C81" s="25" t="s">
        <v>1612</v>
      </c>
      <c r="D81" s="25" t="s">
        <v>1573</v>
      </c>
      <c r="E81" s="25" t="s">
        <v>1906</v>
      </c>
      <c r="F81" s="26" t="s">
        <v>1738</v>
      </c>
      <c r="G81" s="25" t="s">
        <v>1579</v>
      </c>
      <c r="H81" s="25">
        <v>3.0</v>
      </c>
      <c r="I81" s="25">
        <v>0.0</v>
      </c>
      <c r="J81" s="25">
        <v>2.0</v>
      </c>
      <c r="K81" s="25">
        <v>4.0</v>
      </c>
      <c r="L81" s="102" t="s">
        <v>1223</v>
      </c>
      <c r="M81" s="40" t="str">
        <f>IFNA(VLOOKUP(L81,'Faculty Details'!$B:$H,4,0),"")</f>
        <v>Mr.SENTHILNATHAN S</v>
      </c>
      <c r="N81" s="28" t="str">
        <f>IFNA(VLOOKUP(L81,'Faculty Details'!$B:$H,7,0),"")</f>
        <v>senthilnathans@bitsathy.ac.in</v>
      </c>
      <c r="O81" s="115"/>
    </row>
    <row r="82" ht="45.0" customHeight="1">
      <c r="A82" s="25">
        <v>81.0</v>
      </c>
      <c r="B82" s="25" t="s">
        <v>40</v>
      </c>
      <c r="C82" s="25" t="s">
        <v>1612</v>
      </c>
      <c r="D82" s="25" t="s">
        <v>1619</v>
      </c>
      <c r="E82" s="25" t="s">
        <v>219</v>
      </c>
      <c r="F82" s="26" t="s">
        <v>78</v>
      </c>
      <c r="G82" s="25" t="s">
        <v>1576</v>
      </c>
      <c r="H82" s="25">
        <v>3.0</v>
      </c>
      <c r="I82" s="25">
        <v>0.0</v>
      </c>
      <c r="J82" s="25">
        <v>0.0</v>
      </c>
      <c r="K82" s="25">
        <v>3.0</v>
      </c>
      <c r="L82" s="102" t="s">
        <v>1166</v>
      </c>
      <c r="M82" s="40" t="str">
        <f>IFNA(VLOOKUP(L82,'Faculty Details'!$B:$H,4,0),"")</f>
        <v>Mrs.SOBIYAA P</v>
      </c>
      <c r="N82" s="28" t="str">
        <f>IFNA(VLOOKUP(L82,'Faculty Details'!$B:$H,7,0),"")</f>
        <v>sobiyaa@bitsathy.ac.in</v>
      </c>
      <c r="O82" s="115"/>
    </row>
    <row r="83" ht="45.0" customHeight="1">
      <c r="A83" s="25">
        <v>82.0</v>
      </c>
      <c r="B83" s="25" t="s">
        <v>40</v>
      </c>
      <c r="C83" s="25" t="s">
        <v>1612</v>
      </c>
      <c r="D83" s="25" t="s">
        <v>1619</v>
      </c>
      <c r="E83" s="25" t="s">
        <v>219</v>
      </c>
      <c r="F83" s="26" t="s">
        <v>78</v>
      </c>
      <c r="G83" s="25" t="s">
        <v>1576</v>
      </c>
      <c r="H83" s="25">
        <v>3.0</v>
      </c>
      <c r="I83" s="25">
        <v>0.0</v>
      </c>
      <c r="J83" s="25">
        <v>0.0</v>
      </c>
      <c r="K83" s="25">
        <v>3.0</v>
      </c>
      <c r="L83" s="102" t="s">
        <v>1184</v>
      </c>
      <c r="M83" s="40" t="str">
        <f>IFNA(VLOOKUP(L83,'Faculty Details'!$B:$H,4,0),"")</f>
        <v>Ms.NIKITHA M</v>
      </c>
      <c r="N83" s="28" t="str">
        <f>IFNA(VLOOKUP(L83,'Faculty Details'!$B:$H,7,0),"")</f>
        <v>nikitham@bitsathy.ac.in</v>
      </c>
      <c r="O83" s="115"/>
    </row>
    <row r="84" ht="45.0" customHeight="1">
      <c r="A84" s="25">
        <v>83.0</v>
      </c>
      <c r="B84" s="25" t="s">
        <v>40</v>
      </c>
      <c r="C84" s="25" t="s">
        <v>1612</v>
      </c>
      <c r="D84" s="25" t="s">
        <v>1619</v>
      </c>
      <c r="E84" s="25" t="s">
        <v>220</v>
      </c>
      <c r="F84" s="26" t="s">
        <v>155</v>
      </c>
      <c r="G84" s="25" t="s">
        <v>1576</v>
      </c>
      <c r="H84" s="25">
        <v>3.0</v>
      </c>
      <c r="I84" s="25">
        <v>0.0</v>
      </c>
      <c r="J84" s="25">
        <v>0.0</v>
      </c>
      <c r="K84" s="25">
        <v>3.0</v>
      </c>
      <c r="L84" s="43" t="s">
        <v>1187</v>
      </c>
      <c r="M84" s="40" t="str">
        <f>IFNA(VLOOKUP(L84,'Faculty Details'!$B:$H,4,0),"")</f>
        <v>Dr.PRIYA J</v>
      </c>
      <c r="N84" s="28" t="str">
        <f>IFNA(VLOOKUP(L84,'Faculty Details'!$B:$H,7,0),"")</f>
        <v>priyajn@bitsathy.ac.in</v>
      </c>
      <c r="O84" s="115"/>
    </row>
    <row r="85" ht="45.0" customHeight="1">
      <c r="A85" s="25">
        <v>84.0</v>
      </c>
      <c r="B85" s="25" t="s">
        <v>40</v>
      </c>
      <c r="C85" s="25" t="s">
        <v>1612</v>
      </c>
      <c r="D85" s="25" t="s">
        <v>1619</v>
      </c>
      <c r="E85" s="25" t="s">
        <v>220</v>
      </c>
      <c r="F85" s="26" t="s">
        <v>155</v>
      </c>
      <c r="G85" s="25" t="s">
        <v>1576</v>
      </c>
      <c r="H85" s="25">
        <v>3.0</v>
      </c>
      <c r="I85" s="25">
        <v>0.0</v>
      </c>
      <c r="J85" s="25">
        <v>0.0</v>
      </c>
      <c r="K85" s="25">
        <v>3.0</v>
      </c>
      <c r="L85" s="117" t="s">
        <v>1175</v>
      </c>
      <c r="M85" s="40" t="str">
        <f>IFNA(VLOOKUP(L85,'Faculty Details'!$B:$H,4,0),"")</f>
        <v>Dr.CHANDRAPRABHA K</v>
      </c>
      <c r="N85" s="28" t="str">
        <f>IFNA(VLOOKUP(L85,'Faculty Details'!$B:$H,7,0),"")</f>
        <v>chandraprabhak@bitsathy.ac.in</v>
      </c>
      <c r="O85" s="115"/>
    </row>
    <row r="86" ht="45.0" customHeight="1">
      <c r="A86" s="25">
        <v>85.0</v>
      </c>
      <c r="B86" s="25" t="s">
        <v>40</v>
      </c>
      <c r="C86" s="25" t="s">
        <v>1612</v>
      </c>
      <c r="D86" s="25" t="s">
        <v>1620</v>
      </c>
      <c r="E86" s="32" t="s">
        <v>221</v>
      </c>
      <c r="F86" s="67" t="s">
        <v>68</v>
      </c>
      <c r="G86" s="25" t="s">
        <v>1576</v>
      </c>
      <c r="H86" s="25">
        <v>3.0</v>
      </c>
      <c r="I86" s="25">
        <v>0.0</v>
      </c>
      <c r="J86" s="25">
        <v>0.0</v>
      </c>
      <c r="K86" s="25">
        <v>3.0</v>
      </c>
      <c r="L86" s="86" t="s">
        <v>1229</v>
      </c>
      <c r="M86" s="40" t="str">
        <f>IFNA(VLOOKUP(L86,'Faculty Details'!$B:$H,4,0),"")</f>
        <v>Mrs.ELAVARASI T</v>
      </c>
      <c r="N86" s="28" t="str">
        <f>IFNA(VLOOKUP(L86,'Faculty Details'!$B:$H,7,0),"")</f>
        <v>elavarasit@bitsathy.ac.in</v>
      </c>
      <c r="O86" s="115"/>
    </row>
    <row r="87" ht="45.0" customHeight="1">
      <c r="A87" s="25">
        <v>86.0</v>
      </c>
      <c r="B87" s="25" t="s">
        <v>40</v>
      </c>
      <c r="C87" s="25" t="s">
        <v>1612</v>
      </c>
      <c r="D87" s="25" t="s">
        <v>1620</v>
      </c>
      <c r="E87" s="32" t="s">
        <v>221</v>
      </c>
      <c r="F87" s="67" t="s">
        <v>68</v>
      </c>
      <c r="G87" s="25" t="s">
        <v>1576</v>
      </c>
      <c r="H87" s="25">
        <v>3.0</v>
      </c>
      <c r="I87" s="25">
        <v>0.0</v>
      </c>
      <c r="J87" s="25">
        <v>0.0</v>
      </c>
      <c r="K87" s="25">
        <v>3.0</v>
      </c>
      <c r="L87" s="29" t="s">
        <v>1256</v>
      </c>
      <c r="M87" s="40" t="str">
        <f>IFNA(VLOOKUP(L87,'Faculty Details'!$B:$H,4,0),"")</f>
        <v>Mr.PRABHU P S</v>
      </c>
      <c r="N87" s="28" t="str">
        <f>IFNA(VLOOKUP(L87,'Faculty Details'!$B:$H,7,0),"")</f>
        <v>prabhups@bitsathy.ac.in</v>
      </c>
      <c r="O87" s="115"/>
    </row>
    <row r="88" ht="45.0" customHeight="1">
      <c r="A88" s="25">
        <v>87.0</v>
      </c>
      <c r="B88" s="25" t="s">
        <v>40</v>
      </c>
      <c r="C88" s="25" t="s">
        <v>1612</v>
      </c>
      <c r="D88" s="25" t="s">
        <v>1620</v>
      </c>
      <c r="E88" s="32" t="s">
        <v>221</v>
      </c>
      <c r="F88" s="67" t="s">
        <v>68</v>
      </c>
      <c r="G88" s="25" t="s">
        <v>1576</v>
      </c>
      <c r="H88" s="25">
        <v>3.0</v>
      </c>
      <c r="I88" s="25">
        <v>0.0</v>
      </c>
      <c r="J88" s="25">
        <v>0.0</v>
      </c>
      <c r="K88" s="25">
        <v>3.0</v>
      </c>
      <c r="L88" s="43" t="s">
        <v>346</v>
      </c>
      <c r="M88" s="40" t="str">
        <f>IFNA(VLOOKUP(L88,'Faculty Details'!$B:$H,4,0),"")</f>
        <v>Mrs.KALPANA R</v>
      </c>
      <c r="N88" s="28" t="str">
        <f>IFNA(VLOOKUP(L88,'Faculty Details'!$B:$H,7,0),"")</f>
        <v>kalpana@bitsathy.ac.in</v>
      </c>
      <c r="O88" s="115"/>
    </row>
    <row r="89" ht="45.0" customHeight="1">
      <c r="A89" s="25">
        <v>88.0</v>
      </c>
      <c r="B89" s="25" t="s">
        <v>40</v>
      </c>
      <c r="C89" s="25" t="s">
        <v>1612</v>
      </c>
      <c r="D89" s="25" t="s">
        <v>1620</v>
      </c>
      <c r="E89" s="25" t="s">
        <v>222</v>
      </c>
      <c r="F89" s="26" t="s">
        <v>223</v>
      </c>
      <c r="G89" s="25" t="s">
        <v>1576</v>
      </c>
      <c r="H89" s="25">
        <v>3.0</v>
      </c>
      <c r="I89" s="25">
        <v>0.0</v>
      </c>
      <c r="J89" s="25">
        <v>0.0</v>
      </c>
      <c r="K89" s="25">
        <v>3.0</v>
      </c>
      <c r="L89" s="86" t="s">
        <v>1205</v>
      </c>
      <c r="M89" s="40" t="str">
        <f>IFNA(VLOOKUP(L89,'Faculty Details'!$B:$H,4,0),"")</f>
        <v>Mrs.KAVITHA V</v>
      </c>
      <c r="N89" s="28" t="str">
        <f>IFNA(VLOOKUP(L89,'Faculty Details'!$B:$H,7,0),"")</f>
        <v>kavitha@bitsathy.ac.in</v>
      </c>
      <c r="O89" s="115"/>
    </row>
    <row r="90" ht="45.0" customHeight="1">
      <c r="A90" s="25">
        <v>89.0</v>
      </c>
      <c r="B90" s="25" t="s">
        <v>40</v>
      </c>
      <c r="C90" s="25" t="s">
        <v>1612</v>
      </c>
      <c r="D90" s="25" t="s">
        <v>1620</v>
      </c>
      <c r="E90" s="89" t="s">
        <v>222</v>
      </c>
      <c r="F90" s="87" t="s">
        <v>223</v>
      </c>
      <c r="G90" s="25" t="s">
        <v>1579</v>
      </c>
      <c r="H90" s="25">
        <v>2.0</v>
      </c>
      <c r="I90" s="25">
        <v>0.0</v>
      </c>
      <c r="J90" s="25">
        <v>2.0</v>
      </c>
      <c r="K90" s="25">
        <v>3.0</v>
      </c>
      <c r="L90" s="86" t="s">
        <v>1208</v>
      </c>
      <c r="M90" s="40" t="str">
        <f>IFNA(VLOOKUP(L90,'Faculty Details'!$B:$H,4,0),"")</f>
        <v>Mrs.PRIYA A</v>
      </c>
      <c r="N90" s="28" t="str">
        <f>IFNA(VLOOKUP(L90,'Faculty Details'!$B:$H,7,0),"")</f>
        <v>priyaa@bitsathy.ac.in</v>
      </c>
      <c r="O90" s="115"/>
    </row>
    <row r="91" ht="45.0" customHeight="1">
      <c r="A91" s="25">
        <v>90.0</v>
      </c>
      <c r="B91" s="25" t="s">
        <v>40</v>
      </c>
      <c r="C91" s="25" t="s">
        <v>1612</v>
      </c>
      <c r="D91" s="25" t="s">
        <v>1621</v>
      </c>
      <c r="E91" s="32" t="s">
        <v>224</v>
      </c>
      <c r="F91" s="67" t="s">
        <v>225</v>
      </c>
      <c r="G91" s="25" t="s">
        <v>1576</v>
      </c>
      <c r="H91" s="25">
        <v>3.0</v>
      </c>
      <c r="I91" s="25">
        <v>0.0</v>
      </c>
      <c r="J91" s="25">
        <v>0.0</v>
      </c>
      <c r="K91" s="25">
        <v>3.0</v>
      </c>
      <c r="L91" s="86" t="s">
        <v>1223</v>
      </c>
      <c r="M91" s="40" t="str">
        <f>IFNA(VLOOKUP(L91,'Faculty Details'!$B:$H,4,0),"")</f>
        <v>Mr.SENTHILNATHAN S</v>
      </c>
      <c r="N91" s="28" t="str">
        <f>IFNA(VLOOKUP(L91,'Faculty Details'!$B:$H,7,0),"")</f>
        <v>senthilnathans@bitsathy.ac.in</v>
      </c>
      <c r="O91" s="115"/>
    </row>
    <row r="92" ht="45.0" customHeight="1">
      <c r="A92" s="25">
        <v>91.0</v>
      </c>
      <c r="B92" s="25" t="s">
        <v>40</v>
      </c>
      <c r="C92" s="25" t="s">
        <v>1612</v>
      </c>
      <c r="D92" s="25" t="s">
        <v>1621</v>
      </c>
      <c r="E92" s="89" t="s">
        <v>226</v>
      </c>
      <c r="F92" s="87" t="s">
        <v>133</v>
      </c>
      <c r="G92" s="25" t="s">
        <v>1576</v>
      </c>
      <c r="H92" s="25">
        <v>3.0</v>
      </c>
      <c r="I92" s="25">
        <v>0.0</v>
      </c>
      <c r="J92" s="25">
        <v>0.0</v>
      </c>
      <c r="K92" s="25">
        <v>3.0</v>
      </c>
      <c r="L92" s="86" t="s">
        <v>1220</v>
      </c>
      <c r="M92" s="40" t="str">
        <f>IFNA(VLOOKUP(L92,'Faculty Details'!$B:$H,4,0),"")</f>
        <v>Mr.MOHEMMED YOUSUF</v>
      </c>
      <c r="N92" s="28" t="str">
        <f>IFNA(VLOOKUP(L92,'Faculty Details'!$B:$H,7,0),"")</f>
        <v>mohemmedyousuf@bitsathy.ac.in</v>
      </c>
      <c r="O92" s="115"/>
    </row>
    <row r="93" ht="45.0" customHeight="1">
      <c r="A93" s="25">
        <v>92.0</v>
      </c>
      <c r="B93" s="25" t="s">
        <v>40</v>
      </c>
      <c r="C93" s="25" t="s">
        <v>1612</v>
      </c>
      <c r="D93" s="25" t="s">
        <v>1621</v>
      </c>
      <c r="E93" s="89" t="s">
        <v>226</v>
      </c>
      <c r="F93" s="87" t="s">
        <v>133</v>
      </c>
      <c r="G93" s="25" t="s">
        <v>1576</v>
      </c>
      <c r="H93" s="25">
        <v>3.0</v>
      </c>
      <c r="I93" s="25">
        <v>0.0</v>
      </c>
      <c r="J93" s="25">
        <v>0.0</v>
      </c>
      <c r="K93" s="25">
        <v>3.0</v>
      </c>
      <c r="L93" s="86" t="s">
        <v>1169</v>
      </c>
      <c r="M93" s="40" t="str">
        <f>IFNA(VLOOKUP(L93,'Faculty Details'!$B:$H,4,0),"")</f>
        <v>Mrs.JANANI T</v>
      </c>
      <c r="N93" s="28" t="str">
        <f>IFNA(VLOOKUP(L93,'Faculty Details'!$B:$H,7,0),"")</f>
        <v>jananit@bitsathy.ac.in</v>
      </c>
      <c r="O93" s="115"/>
    </row>
    <row r="94" ht="45.0" customHeight="1">
      <c r="A94" s="25">
        <v>93.0</v>
      </c>
      <c r="B94" s="25" t="s">
        <v>40</v>
      </c>
      <c r="C94" s="25" t="s">
        <v>1612</v>
      </c>
      <c r="D94" s="25" t="s">
        <v>1622</v>
      </c>
      <c r="E94" s="32" t="s">
        <v>216</v>
      </c>
      <c r="F94" s="67" t="s">
        <v>153</v>
      </c>
      <c r="G94" s="25" t="s">
        <v>1576</v>
      </c>
      <c r="H94" s="25">
        <v>3.0</v>
      </c>
      <c r="I94" s="25">
        <v>0.0</v>
      </c>
      <c r="J94" s="25">
        <v>0.0</v>
      </c>
      <c r="K94" s="25">
        <v>3.0</v>
      </c>
      <c r="L94" s="86" t="s">
        <v>1199</v>
      </c>
      <c r="M94" s="40" t="str">
        <f>IFNA(VLOOKUP(L94,'Faculty Details'!$B:$H,4,0),"")</f>
        <v>Dr.TAMILTHENDRAL M</v>
      </c>
      <c r="N94" s="28" t="str">
        <f>IFNA(VLOOKUP(L94,'Faculty Details'!$B:$H,7,0),"")</f>
        <v>tamilthendral@bitsathy.ac.in</v>
      </c>
      <c r="O94" s="115"/>
    </row>
    <row r="95" ht="45.0" customHeight="1">
      <c r="A95" s="25">
        <v>94.0</v>
      </c>
      <c r="B95" s="25" t="s">
        <v>40</v>
      </c>
      <c r="C95" s="25" t="s">
        <v>1612</v>
      </c>
      <c r="D95" s="25" t="s">
        <v>1622</v>
      </c>
      <c r="E95" s="32" t="s">
        <v>216</v>
      </c>
      <c r="F95" s="67" t="s">
        <v>153</v>
      </c>
      <c r="G95" s="25" t="s">
        <v>1576</v>
      </c>
      <c r="H95" s="25">
        <v>3.0</v>
      </c>
      <c r="I95" s="25">
        <v>0.0</v>
      </c>
      <c r="J95" s="25">
        <v>0.0</v>
      </c>
      <c r="K95" s="25">
        <v>3.0</v>
      </c>
      <c r="L95" s="43" t="s">
        <v>417</v>
      </c>
      <c r="M95" s="40" t="str">
        <f>IFNA(VLOOKUP(L95,'Faculty Details'!$B:$H,4,0),"")</f>
        <v>Mrs.HARI PRIYA R</v>
      </c>
      <c r="N95" s="28" t="str">
        <f>IFNA(VLOOKUP(L95,'Faculty Details'!$B:$H,7,0),"")</f>
        <v>haripriyar@bitsathy.ac.in</v>
      </c>
      <c r="O95" s="115"/>
    </row>
    <row r="96" ht="45.0" customHeight="1">
      <c r="A96" s="25">
        <v>95.0</v>
      </c>
      <c r="B96" s="25" t="s">
        <v>40</v>
      </c>
      <c r="C96" s="25" t="s">
        <v>1612</v>
      </c>
      <c r="D96" s="25" t="s">
        <v>1681</v>
      </c>
      <c r="E96" s="89" t="s">
        <v>1907</v>
      </c>
      <c r="F96" s="87" t="s">
        <v>1908</v>
      </c>
      <c r="G96" s="25" t="s">
        <v>1579</v>
      </c>
      <c r="H96" s="25">
        <v>2.0</v>
      </c>
      <c r="I96" s="25">
        <v>0.0</v>
      </c>
      <c r="J96" s="25">
        <v>2.0</v>
      </c>
      <c r="K96" s="25">
        <v>3.0</v>
      </c>
      <c r="L96" s="102" t="s">
        <v>1199</v>
      </c>
      <c r="M96" s="40" t="str">
        <f>IFNA(VLOOKUP(L96,'Faculty Details'!$B:$H,4,0),"")</f>
        <v>Dr.TAMILTHENDRAL M</v>
      </c>
      <c r="N96" s="28" t="str">
        <f>IFNA(VLOOKUP(L96,'Faculty Details'!$B:$H,7,0),"")</f>
        <v>tamilthendral@bitsathy.ac.in</v>
      </c>
      <c r="O96" s="115"/>
    </row>
    <row r="97" ht="45.0" customHeight="1">
      <c r="A97" s="25">
        <v>96.0</v>
      </c>
      <c r="B97" s="25" t="s">
        <v>40</v>
      </c>
      <c r="C97" s="25" t="s">
        <v>1612</v>
      </c>
      <c r="D97" s="25" t="s">
        <v>1681</v>
      </c>
      <c r="E97" s="89" t="s">
        <v>1909</v>
      </c>
      <c r="F97" s="87" t="s">
        <v>1910</v>
      </c>
      <c r="G97" s="25" t="s">
        <v>1579</v>
      </c>
      <c r="H97" s="25">
        <v>2.0</v>
      </c>
      <c r="I97" s="25">
        <v>0.0</v>
      </c>
      <c r="J97" s="25">
        <v>2.0</v>
      </c>
      <c r="K97" s="25">
        <v>3.0</v>
      </c>
      <c r="L97" s="102" t="s">
        <v>1193</v>
      </c>
      <c r="M97" s="40" t="str">
        <f>IFNA(VLOOKUP(L97,'Faculty Details'!$B:$H,4,0),"")</f>
        <v>Mrs.SANTHIYA B</v>
      </c>
      <c r="N97" s="28" t="str">
        <f>IFNA(VLOOKUP(L97,'Faculty Details'!$B:$H,7,0),"")</f>
        <v>santhiyab@bitsathy.ac.in</v>
      </c>
      <c r="O97" s="115"/>
    </row>
    <row r="98" ht="45.0" customHeight="1">
      <c r="A98" s="25">
        <v>97.0</v>
      </c>
      <c r="B98" s="25" t="s">
        <v>40</v>
      </c>
      <c r="C98" s="25" t="s">
        <v>1612</v>
      </c>
      <c r="D98" s="25" t="s">
        <v>1628</v>
      </c>
      <c r="E98" s="25" t="s">
        <v>1911</v>
      </c>
      <c r="F98" s="26" t="s">
        <v>1630</v>
      </c>
      <c r="G98" s="25" t="s">
        <v>1588</v>
      </c>
      <c r="H98" s="25">
        <v>0.0</v>
      </c>
      <c r="I98" s="25">
        <v>0.0</v>
      </c>
      <c r="J98" s="25">
        <v>2.0</v>
      </c>
      <c r="K98" s="25">
        <v>1.0</v>
      </c>
      <c r="L98" s="25"/>
      <c r="M98" s="40" t="str">
        <f>IFNA(VLOOKUP(L98,'Faculty Details'!$B:$H,4,0),"")</f>
        <v/>
      </c>
      <c r="N98" s="28" t="str">
        <f>IFNA(VLOOKUP(L98,'Faculty Details'!$B:$H,7,0),"")</f>
        <v/>
      </c>
      <c r="O98" s="115"/>
    </row>
    <row r="99" ht="45.0" customHeight="1">
      <c r="A99" s="25">
        <v>98.0</v>
      </c>
      <c r="B99" s="25" t="s">
        <v>40</v>
      </c>
      <c r="C99" s="25" t="s">
        <v>1631</v>
      </c>
      <c r="D99" s="25" t="s">
        <v>1573</v>
      </c>
      <c r="E99" s="25" t="s">
        <v>1912</v>
      </c>
      <c r="F99" s="26" t="s">
        <v>1634</v>
      </c>
      <c r="G99" s="25" t="s">
        <v>1588</v>
      </c>
      <c r="H99" s="25">
        <v>0.0</v>
      </c>
      <c r="I99" s="25">
        <v>0.0</v>
      </c>
      <c r="J99" s="25">
        <v>18.0</v>
      </c>
      <c r="K99" s="25">
        <v>9.0</v>
      </c>
      <c r="L99" s="25"/>
      <c r="M99" s="40" t="str">
        <f>IFNA(VLOOKUP(L99,'Faculty Details'!$B:$H,4,0),"")</f>
        <v/>
      </c>
      <c r="N99" s="28" t="str">
        <f>IFNA(VLOOKUP(L99,'Faculty Details'!$B:$H,7,0),"")</f>
        <v/>
      </c>
      <c r="O99" s="115"/>
    </row>
  </sheetData>
  <conditionalFormatting sqref="L2:L99 M6">
    <cfRule type="containsBlanks" dxfId="1" priority="1">
      <formula>LEN(TRIM(L2))=0</formula>
    </cfRule>
  </conditionalFormatting>
  <conditionalFormatting sqref="L2:L90 L94:L99">
    <cfRule type="containsBlanks" dxfId="1" priority="2">
      <formula>LEN(TRIM(L2))=0</formula>
    </cfRule>
  </conditionalFormatting>
  <dataValidations>
    <dataValidation type="list" allowBlank="1" showErrorMessage="1" sqref="D2:D55 D99">
      <formula1>"CORE,ELECTIVE 1,OPEN ELECTIVE,ELECTIVE 6,ELECTIVE 7,ELECTIVE 8,ELECTIVE 9,HONOURS,MINOR"</formula1>
    </dataValidation>
    <dataValidation type="list" allowBlank="1" showErrorMessage="1" sqref="C2:C99">
      <formula1>"S2,S4,S6,S8"</formula1>
    </dataValidation>
    <dataValidation type="list" allowBlank="1" showErrorMessage="1" sqref="G2:G99">
      <formula1>"THEORY,THEORY WITH LAB,LAB"</formula1>
    </dataValidation>
    <dataValidation type="list" allowBlank="1" showErrorMessage="1" sqref="D56:D98">
      <formula1>"CORE,ELECTIVE 1,OPEN ELECTIVE,ADD COURSE,HONOURS,MINOR,LAB,PROJECT,MINI PROJECT,ELECTIVE 3,ELECTIVE 4,ELECTIVE 5"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8.63"/>
    <col customWidth="1" min="3" max="3" width="8.0"/>
    <col customWidth="1" min="4" max="4" width="17.75"/>
    <col customWidth="1" min="5" max="5" width="10.38"/>
    <col customWidth="1" min="6" max="6" width="33.75"/>
    <col customWidth="1" min="8" max="9" width="5.0"/>
    <col customWidth="1" min="10" max="10" width="5.5"/>
    <col customWidth="1" min="11" max="11" width="5.0"/>
    <col customWidth="1" min="13" max="13" width="23.0"/>
    <col customWidth="1" min="14" max="14" width="13.25"/>
  </cols>
  <sheetData>
    <row r="1">
      <c r="A1" s="38" t="s">
        <v>1913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9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9" t="s">
        <v>257</v>
      </c>
      <c r="N1" s="38" t="s">
        <v>1571</v>
      </c>
    </row>
    <row r="2" ht="42.75" customHeight="1">
      <c r="A2" s="25">
        <f t="array" ref="A2:A37">SEQUENCE(COUNTA(B2:B37),1)</f>
        <v>1</v>
      </c>
      <c r="B2" s="25" t="s">
        <v>37</v>
      </c>
      <c r="C2" s="25" t="s">
        <v>1572</v>
      </c>
      <c r="D2" s="25" t="s">
        <v>1573</v>
      </c>
      <c r="E2" s="25" t="s">
        <v>1574</v>
      </c>
      <c r="F2" s="26" t="s">
        <v>1575</v>
      </c>
      <c r="G2" s="25" t="s">
        <v>1576</v>
      </c>
      <c r="H2" s="25">
        <v>3.0</v>
      </c>
      <c r="I2" s="25">
        <v>1.0</v>
      </c>
      <c r="J2" s="25">
        <v>0.0</v>
      </c>
      <c r="K2" s="25">
        <v>4.0</v>
      </c>
      <c r="L2" s="25" t="s">
        <v>1275</v>
      </c>
      <c r="M2" s="28" t="str">
        <f>IFNA(VLOOKUP(L2,'Faculty Details'!$B:$H,4,0),"")</f>
        <v>Mr.KALAISELVAN S</v>
      </c>
      <c r="N2" s="28" t="str">
        <f>IFNA(VLOOKUP(L2,'Faculty Details'!$B:$H,7,0),"")</f>
        <v>kalaiselvan@bitsathy.ac.in</v>
      </c>
    </row>
    <row r="3" ht="42.75" customHeight="1">
      <c r="A3" s="25">
        <v>2.0</v>
      </c>
      <c r="B3" s="25" t="s">
        <v>37</v>
      </c>
      <c r="C3" s="25" t="s">
        <v>1572</v>
      </c>
      <c r="D3" s="25" t="s">
        <v>1573</v>
      </c>
      <c r="E3" s="25" t="s">
        <v>1577</v>
      </c>
      <c r="F3" s="26" t="s">
        <v>1578</v>
      </c>
      <c r="G3" s="25" t="s">
        <v>1576</v>
      </c>
      <c r="H3" s="25">
        <v>2.0</v>
      </c>
      <c r="I3" s="25">
        <v>0.0</v>
      </c>
      <c r="J3" s="25">
        <v>2.0</v>
      </c>
      <c r="K3" s="25">
        <v>3.0</v>
      </c>
      <c r="L3" s="1" t="s">
        <v>1466</v>
      </c>
      <c r="M3" s="28" t="str">
        <f>IFNA(VLOOKUP(L3,'Faculty Details'!$B:$H,4,0),"")</f>
        <v>Dr.ASHOKAN S</v>
      </c>
      <c r="N3" s="28" t="str">
        <f>IFNA(VLOOKUP(L3,'Faculty Details'!$B:$H,7,0),"")</f>
        <v>ashokan@bitsathy.ac.in</v>
      </c>
    </row>
    <row r="4" ht="42.75" customHeight="1">
      <c r="A4" s="25">
        <v>3.0</v>
      </c>
      <c r="B4" s="25" t="s">
        <v>37</v>
      </c>
      <c r="C4" s="25" t="s">
        <v>1572</v>
      </c>
      <c r="D4" s="25" t="s">
        <v>1573</v>
      </c>
      <c r="E4" s="25" t="s">
        <v>1577</v>
      </c>
      <c r="F4" s="26" t="s">
        <v>1578</v>
      </c>
      <c r="G4" s="25" t="s">
        <v>1588</v>
      </c>
      <c r="H4" s="25">
        <v>2.0</v>
      </c>
      <c r="I4" s="25">
        <v>0.0</v>
      </c>
      <c r="J4" s="25">
        <v>2.0</v>
      </c>
      <c r="K4" s="25">
        <v>3.0</v>
      </c>
      <c r="L4" s="1" t="s">
        <v>1490</v>
      </c>
      <c r="M4" s="28" t="str">
        <f>IFNA(VLOOKUP(L4,'Faculty Details'!$B:$H,4,0),"")</f>
        <v>Dr.SIVA G</v>
      </c>
      <c r="N4" s="28" t="str">
        <f>IFNA(VLOOKUP(L4,'Faculty Details'!$B:$H,7,0),"")</f>
        <v>sivag@bitsathy.ac.in</v>
      </c>
    </row>
    <row r="5" ht="42.75" customHeight="1">
      <c r="A5" s="25">
        <v>4.0</v>
      </c>
      <c r="B5" s="25" t="s">
        <v>37</v>
      </c>
      <c r="C5" s="25" t="s">
        <v>1572</v>
      </c>
      <c r="D5" s="25" t="s">
        <v>1573</v>
      </c>
      <c r="E5" s="25" t="s">
        <v>1580</v>
      </c>
      <c r="F5" s="26" t="s">
        <v>1581</v>
      </c>
      <c r="G5" s="25" t="s">
        <v>1579</v>
      </c>
      <c r="H5" s="25">
        <v>2.0</v>
      </c>
      <c r="I5" s="25">
        <v>0.0</v>
      </c>
      <c r="J5" s="25">
        <v>2.0</v>
      </c>
      <c r="K5" s="25">
        <v>3.0</v>
      </c>
      <c r="L5" s="25" t="s">
        <v>662</v>
      </c>
      <c r="M5" s="28" t="str">
        <f>IFNA(VLOOKUP(L5,'Faculty Details'!$B:$H,4,0),"")</f>
        <v>Dr.MALATHI MAHALINGAM</v>
      </c>
      <c r="N5" s="28" t="str">
        <f>IFNA(VLOOKUP(L5,'Faculty Details'!$B:$H,7,0),"")</f>
        <v>malathimahalingamm@bitsathy.ac.in</v>
      </c>
    </row>
    <row r="6" ht="42.75" customHeight="1">
      <c r="A6" s="25">
        <v>5.0</v>
      </c>
      <c r="B6" s="25" t="s">
        <v>37</v>
      </c>
      <c r="C6" s="25" t="s">
        <v>1572</v>
      </c>
      <c r="D6" s="25" t="s">
        <v>1573</v>
      </c>
      <c r="E6" s="25" t="s">
        <v>1582</v>
      </c>
      <c r="F6" s="26" t="s">
        <v>1583</v>
      </c>
      <c r="G6" s="25" t="s">
        <v>1576</v>
      </c>
      <c r="H6" s="25">
        <v>3.0</v>
      </c>
      <c r="I6" s="25">
        <v>0.0</v>
      </c>
      <c r="J6" s="25">
        <v>0.0</v>
      </c>
      <c r="K6" s="25">
        <v>3.0</v>
      </c>
      <c r="L6" s="29" t="s">
        <v>556</v>
      </c>
      <c r="M6" s="28" t="str">
        <f>IFNA(VLOOKUP(L6,'Faculty Details'!$B:$H,4,0),"")</f>
        <v>Ms.YUVALATHA S</v>
      </c>
      <c r="N6" s="28" t="str">
        <f>IFNA(VLOOKUP(L6,'Faculty Details'!$B:$H,7,0),"")</f>
        <v>yuvalathas@bitsathy.ac.in</v>
      </c>
    </row>
    <row r="7" ht="42.75" customHeight="1">
      <c r="A7" s="25">
        <v>6.0</v>
      </c>
      <c r="B7" s="25" t="s">
        <v>37</v>
      </c>
      <c r="C7" s="25" t="s">
        <v>1572</v>
      </c>
      <c r="D7" s="25" t="s">
        <v>1573</v>
      </c>
      <c r="E7" s="25" t="s">
        <v>1584</v>
      </c>
      <c r="F7" s="26" t="s">
        <v>1585</v>
      </c>
      <c r="G7" s="25" t="s">
        <v>1576</v>
      </c>
      <c r="H7" s="25">
        <v>2.0</v>
      </c>
      <c r="I7" s="25">
        <v>0.0</v>
      </c>
      <c r="J7" s="25">
        <v>2.0</v>
      </c>
      <c r="K7" s="25">
        <v>3.0</v>
      </c>
      <c r="L7" s="118" t="s">
        <v>1067</v>
      </c>
      <c r="M7" s="28" t="str">
        <f>IFNA(VLOOKUP(L7,'Faculty Details'!$B:$H,4,0),"")</f>
        <v>Dr.GANESH BABU C</v>
      </c>
      <c r="N7" s="28" t="str">
        <f>IFNA(VLOOKUP(L7,'Faculty Details'!$B:$H,7,0),"")</f>
        <v>ganeshbabuc@bitsathy.ac.in</v>
      </c>
    </row>
    <row r="8" ht="42.75" customHeight="1">
      <c r="A8" s="25">
        <v>7.0</v>
      </c>
      <c r="B8" s="25" t="s">
        <v>37</v>
      </c>
      <c r="C8" s="25" t="s">
        <v>1572</v>
      </c>
      <c r="D8" s="25" t="s">
        <v>1573</v>
      </c>
      <c r="E8" s="25" t="s">
        <v>1584</v>
      </c>
      <c r="F8" s="26" t="s">
        <v>1585</v>
      </c>
      <c r="G8" s="25" t="s">
        <v>1588</v>
      </c>
      <c r="H8" s="25">
        <v>2.0</v>
      </c>
      <c r="I8" s="25">
        <v>0.0</v>
      </c>
      <c r="J8" s="25">
        <v>2.0</v>
      </c>
      <c r="K8" s="25">
        <v>3.0</v>
      </c>
      <c r="L8" s="119" t="s">
        <v>1061</v>
      </c>
      <c r="M8" s="28" t="str">
        <f>IFNA(VLOOKUP(L8,'Faculty Details'!$B:$H,4,0),"")</f>
        <v>Mr.PRATHAP M R</v>
      </c>
      <c r="N8" s="28" t="str">
        <f>IFNA(VLOOKUP(L8,'Faculty Details'!$B:$H,7,0),"")</f>
        <v>prathap@bitsathy.ac.in</v>
      </c>
    </row>
    <row r="9" ht="42.75" customHeight="1">
      <c r="A9" s="25">
        <v>8.0</v>
      </c>
      <c r="B9" s="25" t="s">
        <v>37</v>
      </c>
      <c r="C9" s="25" t="s">
        <v>1572</v>
      </c>
      <c r="D9" s="25" t="s">
        <v>1573</v>
      </c>
      <c r="E9" s="25" t="s">
        <v>1763</v>
      </c>
      <c r="F9" s="26" t="s">
        <v>1764</v>
      </c>
      <c r="G9" s="25" t="s">
        <v>1588</v>
      </c>
      <c r="H9" s="25">
        <v>1.0</v>
      </c>
      <c r="I9" s="25">
        <v>0.0</v>
      </c>
      <c r="J9" s="25">
        <v>2.0</v>
      </c>
      <c r="K9" s="25">
        <v>3.0</v>
      </c>
      <c r="L9" s="1" t="s">
        <v>1392</v>
      </c>
      <c r="M9" s="28" t="str">
        <f>IFNA(VLOOKUP(L9,'Faculty Details'!$B:$H,4,0),"")</f>
        <v>Mr.KAMAL BASHA K</v>
      </c>
      <c r="N9" s="28" t="str">
        <f>IFNA(VLOOKUP(L9,'Faculty Details'!$B:$H,7,0),"")</f>
        <v>kamalbasha@bitsathy.ac.in</v>
      </c>
    </row>
    <row r="10" ht="42.75" customHeight="1">
      <c r="A10" s="25">
        <v>9.0</v>
      </c>
      <c r="B10" s="25" t="s">
        <v>37</v>
      </c>
      <c r="C10" s="25" t="s">
        <v>1572</v>
      </c>
      <c r="D10" s="25" t="s">
        <v>1573</v>
      </c>
      <c r="E10" s="25" t="s">
        <v>1589</v>
      </c>
      <c r="F10" s="26" t="s">
        <v>1590</v>
      </c>
      <c r="G10" s="25" t="s">
        <v>1588</v>
      </c>
      <c r="H10" s="25">
        <v>1.0</v>
      </c>
      <c r="I10" s="25">
        <v>0.0</v>
      </c>
      <c r="J10" s="25">
        <v>0.0</v>
      </c>
      <c r="K10" s="25">
        <v>1.0</v>
      </c>
      <c r="L10" s="25" t="s">
        <v>1115</v>
      </c>
      <c r="M10" s="28" t="str">
        <f>IFNA(VLOOKUP(L10,'Faculty Details'!$B:$H,4,0),"")</f>
        <v>Ms.KAMALI D</v>
      </c>
      <c r="N10" s="28" t="str">
        <f>IFNA(VLOOKUP(L10,'Faculty Details'!$B:$H,7,0),"")</f>
        <v>kamali@bitsathy.ac.in</v>
      </c>
    </row>
    <row r="11" ht="42.75" customHeight="1">
      <c r="A11" s="25">
        <v>10.0</v>
      </c>
      <c r="B11" s="25" t="s">
        <v>37</v>
      </c>
      <c r="C11" s="25" t="s">
        <v>1572</v>
      </c>
      <c r="D11" s="25" t="s">
        <v>1573</v>
      </c>
      <c r="E11" s="25" t="s">
        <v>1591</v>
      </c>
      <c r="F11" s="26" t="s">
        <v>1726</v>
      </c>
      <c r="G11" s="25"/>
      <c r="H11" s="25"/>
      <c r="I11" s="25"/>
      <c r="J11" s="25"/>
      <c r="K11" s="25"/>
      <c r="L11" s="25"/>
      <c r="M11" s="28" t="str">
        <f>IFNA(VLOOKUP(L11,'Faculty Details'!$B:$H,4,0),"")</f>
        <v/>
      </c>
      <c r="N11" s="28" t="str">
        <f>IFNA(VLOOKUP(L11,'Faculty Details'!$B:$H,7,0),"")</f>
        <v/>
      </c>
    </row>
    <row r="12" ht="42.75" customHeight="1">
      <c r="A12" s="25">
        <v>11.0</v>
      </c>
      <c r="B12" s="25" t="s">
        <v>37</v>
      </c>
      <c r="C12" s="25" t="s">
        <v>1572</v>
      </c>
      <c r="D12" s="25" t="s">
        <v>1593</v>
      </c>
      <c r="E12" s="25" t="s">
        <v>1594</v>
      </c>
      <c r="F12" s="26" t="s">
        <v>1640</v>
      </c>
      <c r="G12" s="25" t="s">
        <v>1588</v>
      </c>
      <c r="H12" s="25">
        <v>1.0</v>
      </c>
      <c r="I12" s="25">
        <v>0.0</v>
      </c>
      <c r="J12" s="25">
        <v>2.0</v>
      </c>
      <c r="K12" s="25">
        <v>2.0</v>
      </c>
      <c r="L12" s="25" t="s">
        <v>1133</v>
      </c>
      <c r="M12" s="28" t="str">
        <f>IFNA(VLOOKUP(L12,'Faculty Details'!$B:$H,4,0),"")</f>
        <v>Dr.JAYA K</v>
      </c>
      <c r="N12" s="28" t="str">
        <f>IFNA(VLOOKUP(L12,'Faculty Details'!$B:$H,7,0),"")</f>
        <v>jayak@bitsathy.ac.in</v>
      </c>
    </row>
    <row r="13" ht="42.75" customHeight="1">
      <c r="A13" s="25">
        <v>12.0</v>
      </c>
      <c r="B13" s="25" t="s">
        <v>37</v>
      </c>
      <c r="C13" s="25" t="s">
        <v>1572</v>
      </c>
      <c r="D13" s="25" t="s">
        <v>1593</v>
      </c>
      <c r="E13" s="25" t="s">
        <v>1641</v>
      </c>
      <c r="F13" s="26" t="s">
        <v>1642</v>
      </c>
      <c r="G13" s="25" t="s">
        <v>1588</v>
      </c>
      <c r="H13" s="25">
        <v>1.0</v>
      </c>
      <c r="I13" s="25">
        <v>0.0</v>
      </c>
      <c r="J13" s="25">
        <v>2.0</v>
      </c>
      <c r="K13" s="25">
        <v>2.0</v>
      </c>
      <c r="L13" s="25"/>
      <c r="M13" s="28" t="str">
        <f>IFNA(VLOOKUP(L13,'Faculty Details'!$B:$H,4,0),"")</f>
        <v/>
      </c>
      <c r="N13" s="28" t="str">
        <f>IFNA(VLOOKUP(L13,'Faculty Details'!$B:$H,7,0),"")</f>
        <v/>
      </c>
    </row>
    <row r="14" ht="42.75" customHeight="1">
      <c r="A14" s="25">
        <v>13.0</v>
      </c>
      <c r="B14" s="25" t="s">
        <v>37</v>
      </c>
      <c r="C14" s="25" t="s">
        <v>1572</v>
      </c>
      <c r="D14" s="25" t="s">
        <v>1593</v>
      </c>
      <c r="E14" s="25" t="s">
        <v>1643</v>
      </c>
      <c r="F14" s="26" t="s">
        <v>1644</v>
      </c>
      <c r="G14" s="25" t="s">
        <v>1588</v>
      </c>
      <c r="H14" s="25">
        <v>1.0</v>
      </c>
      <c r="I14" s="25">
        <v>0.0</v>
      </c>
      <c r="J14" s="25">
        <v>2.0</v>
      </c>
      <c r="K14" s="25">
        <v>2.0</v>
      </c>
      <c r="L14" s="25"/>
      <c r="M14" s="28" t="str">
        <f>IFNA(VLOOKUP(L14,'Faculty Details'!$B:$H,4,0),"")</f>
        <v/>
      </c>
      <c r="N14" s="28" t="str">
        <f>IFNA(VLOOKUP(L14,'Faculty Details'!$B:$H,7,0),"")</f>
        <v/>
      </c>
    </row>
    <row r="15" ht="42.75" customHeight="1">
      <c r="A15" s="25">
        <v>14.0</v>
      </c>
      <c r="B15" s="25" t="s">
        <v>37</v>
      </c>
      <c r="C15" s="25" t="s">
        <v>1596</v>
      </c>
      <c r="D15" s="25" t="s">
        <v>1573</v>
      </c>
      <c r="E15" s="25" t="s">
        <v>1914</v>
      </c>
      <c r="F15" s="40" t="s">
        <v>1872</v>
      </c>
      <c r="G15" s="25" t="s">
        <v>1576</v>
      </c>
      <c r="H15" s="25">
        <v>3.0</v>
      </c>
      <c r="I15" s="25">
        <v>1.0</v>
      </c>
      <c r="J15" s="25">
        <v>0.0</v>
      </c>
      <c r="K15" s="25">
        <v>4.0</v>
      </c>
      <c r="L15" s="25" t="s">
        <v>1314</v>
      </c>
      <c r="M15" s="28" t="str">
        <f>IFNA(VLOOKUP(L15,'Faculty Details'!$B:$H,4,0),"")</f>
        <v>Dr.SARAVANA MOORTHI P</v>
      </c>
      <c r="N15" s="28" t="str">
        <f>IFNA(VLOOKUP(L15,'Faculty Details'!$B:$H,7,0),"")</f>
        <v>saravanamoorthip@bitsathy.ac.in</v>
      </c>
    </row>
    <row r="16" ht="42.75" customHeight="1">
      <c r="A16" s="25">
        <v>15.0</v>
      </c>
      <c r="B16" s="25" t="s">
        <v>37</v>
      </c>
      <c r="C16" s="25" t="s">
        <v>1596</v>
      </c>
      <c r="D16" s="25" t="s">
        <v>1573</v>
      </c>
      <c r="E16" s="25" t="s">
        <v>1915</v>
      </c>
      <c r="F16" s="26" t="s">
        <v>1874</v>
      </c>
      <c r="G16" s="25" t="s">
        <v>1576</v>
      </c>
      <c r="H16" s="25">
        <v>3.0</v>
      </c>
      <c r="I16" s="25">
        <v>0.0</v>
      </c>
      <c r="J16" s="25">
        <v>2.0</v>
      </c>
      <c r="K16" s="25">
        <v>4.0</v>
      </c>
      <c r="L16" s="118" t="s">
        <v>1076</v>
      </c>
      <c r="M16" s="28" t="str">
        <f>IFNA(VLOOKUP(L16,'Faculty Details'!$B:$H,4,0),"")</f>
        <v>Dr.ARUN JAYAKAR S</v>
      </c>
      <c r="N16" s="28" t="str">
        <f>IFNA(VLOOKUP(L16,'Faculty Details'!$B:$H,7,0),"")</f>
        <v>arunjayakars@bitsathy.ac.in</v>
      </c>
    </row>
    <row r="17" ht="42.75" customHeight="1">
      <c r="A17" s="25">
        <v>16.0</v>
      </c>
      <c r="B17" s="25" t="s">
        <v>37</v>
      </c>
      <c r="C17" s="25" t="s">
        <v>1596</v>
      </c>
      <c r="D17" s="25" t="s">
        <v>1573</v>
      </c>
      <c r="E17" s="25" t="s">
        <v>1915</v>
      </c>
      <c r="F17" s="26" t="s">
        <v>1874</v>
      </c>
      <c r="G17" s="25" t="s">
        <v>1588</v>
      </c>
      <c r="H17" s="25">
        <v>3.0</v>
      </c>
      <c r="I17" s="25">
        <v>0.0</v>
      </c>
      <c r="J17" s="25">
        <v>2.0</v>
      </c>
      <c r="K17" s="25">
        <v>4.0</v>
      </c>
      <c r="L17" s="118" t="s">
        <v>1073</v>
      </c>
      <c r="M17" s="28" t="str">
        <f>IFNA(VLOOKUP(L17,'Faculty Details'!$B:$H,4,0),"")</f>
        <v>Dr.SUDHAHAR S</v>
      </c>
      <c r="N17" s="28" t="str">
        <f>IFNA(VLOOKUP(L17,'Faculty Details'!$B:$H,7,0),"")</f>
        <v>sudhahars@bitsathy.ac.in</v>
      </c>
    </row>
    <row r="18" ht="42.75" customHeight="1">
      <c r="A18" s="25">
        <v>17.0</v>
      </c>
      <c r="B18" s="25" t="s">
        <v>37</v>
      </c>
      <c r="C18" s="25" t="s">
        <v>1596</v>
      </c>
      <c r="D18" s="25" t="s">
        <v>1573</v>
      </c>
      <c r="E18" s="25" t="s">
        <v>1916</v>
      </c>
      <c r="F18" s="26" t="s">
        <v>1917</v>
      </c>
      <c r="G18" s="25" t="s">
        <v>1576</v>
      </c>
      <c r="H18" s="25">
        <v>3.0</v>
      </c>
      <c r="I18" s="25">
        <v>0.0</v>
      </c>
      <c r="J18" s="25">
        <v>2.0</v>
      </c>
      <c r="K18" s="25">
        <v>4.0</v>
      </c>
      <c r="L18" s="118" t="s">
        <v>1058</v>
      </c>
      <c r="M18" s="28" t="str">
        <f>IFNA(VLOOKUP(L18,'Faculty Details'!$B:$H,4,0),"")</f>
        <v>Mr.PRAVIN SAVARIDASS M</v>
      </c>
      <c r="N18" s="28" t="str">
        <f>IFNA(VLOOKUP(L18,'Faculty Details'!$B:$H,7,0),"")</f>
        <v>pravinsavaridass@bitsathy.ac.in</v>
      </c>
    </row>
    <row r="19" ht="42.75" customHeight="1">
      <c r="A19" s="25">
        <v>18.0</v>
      </c>
      <c r="B19" s="25" t="s">
        <v>37</v>
      </c>
      <c r="C19" s="25" t="s">
        <v>1596</v>
      </c>
      <c r="D19" s="25" t="s">
        <v>1573</v>
      </c>
      <c r="E19" s="25" t="s">
        <v>1916</v>
      </c>
      <c r="F19" s="26" t="s">
        <v>1917</v>
      </c>
      <c r="G19" s="25" t="s">
        <v>1588</v>
      </c>
      <c r="H19" s="25">
        <v>3.0</v>
      </c>
      <c r="I19" s="25">
        <v>0.0</v>
      </c>
      <c r="J19" s="25">
        <v>2.0</v>
      </c>
      <c r="K19" s="25">
        <v>4.0</v>
      </c>
      <c r="L19" s="29" t="s">
        <v>485</v>
      </c>
      <c r="M19" s="28" t="str">
        <f>IFNA(VLOOKUP(L19,'Faculty Details'!$B:$H,4,0),"")</f>
        <v>Ms.SREENIVEATHA P</v>
      </c>
      <c r="N19" s="28" t="str">
        <f>IFNA(VLOOKUP(L19,'Faculty Details'!$B:$H,7,0),"")</f>
        <v>sreeniveathap@bitsathy.ac.in</v>
      </c>
    </row>
    <row r="20" ht="42.75" customHeight="1">
      <c r="A20" s="25">
        <v>19.0</v>
      </c>
      <c r="B20" s="25" t="s">
        <v>37</v>
      </c>
      <c r="C20" s="25" t="s">
        <v>1596</v>
      </c>
      <c r="D20" s="25" t="s">
        <v>1573</v>
      </c>
      <c r="E20" s="25" t="s">
        <v>1918</v>
      </c>
      <c r="F20" s="26" t="s">
        <v>1919</v>
      </c>
      <c r="G20" s="25" t="s">
        <v>1576</v>
      </c>
      <c r="H20" s="25">
        <v>3.0</v>
      </c>
      <c r="I20" s="25">
        <v>0.0</v>
      </c>
      <c r="J20" s="25">
        <v>0.0</v>
      </c>
      <c r="K20" s="25">
        <v>3.0</v>
      </c>
      <c r="L20" s="118" t="s">
        <v>1067</v>
      </c>
      <c r="M20" s="28" t="str">
        <f>IFNA(VLOOKUP(L20,'Faculty Details'!$B:$H,4,0),"")</f>
        <v>Dr.GANESH BABU C</v>
      </c>
      <c r="N20" s="28" t="str">
        <f>IFNA(VLOOKUP(L20,'Faculty Details'!$B:$H,7,0),"")</f>
        <v>ganeshbabuc@bitsathy.ac.in</v>
      </c>
    </row>
    <row r="21" ht="42.75" customHeight="1">
      <c r="A21" s="25">
        <v>20.0</v>
      </c>
      <c r="B21" s="25" t="s">
        <v>37</v>
      </c>
      <c r="C21" s="25" t="s">
        <v>1596</v>
      </c>
      <c r="D21" s="25" t="s">
        <v>1573</v>
      </c>
      <c r="E21" s="25" t="s">
        <v>1920</v>
      </c>
      <c r="F21" s="26" t="s">
        <v>1807</v>
      </c>
      <c r="G21" s="25" t="s">
        <v>1576</v>
      </c>
      <c r="H21" s="25">
        <v>3.0</v>
      </c>
      <c r="I21" s="25">
        <v>0.0</v>
      </c>
      <c r="J21" s="25">
        <v>2.0</v>
      </c>
      <c r="K21" s="25">
        <v>4.0</v>
      </c>
      <c r="L21" s="118" t="s">
        <v>1046</v>
      </c>
      <c r="M21" s="28" t="str">
        <f>IFNA(VLOOKUP(L21,'Faculty Details'!$B:$H,4,0),"")</f>
        <v>Dr.HARITHA J</v>
      </c>
      <c r="N21" s="28" t="str">
        <f>IFNA(VLOOKUP(L21,'Faculty Details'!$B:$H,7,0),"")</f>
        <v>haritha@bitsathy.ac.in</v>
      </c>
    </row>
    <row r="22" ht="42.75" customHeight="1">
      <c r="A22" s="25">
        <v>21.0</v>
      </c>
      <c r="B22" s="25" t="s">
        <v>37</v>
      </c>
      <c r="C22" s="25" t="s">
        <v>1596</v>
      </c>
      <c r="D22" s="25" t="s">
        <v>1573</v>
      </c>
      <c r="E22" s="25" t="s">
        <v>1920</v>
      </c>
      <c r="F22" s="26" t="s">
        <v>1807</v>
      </c>
      <c r="G22" s="25" t="s">
        <v>1588</v>
      </c>
      <c r="H22" s="25">
        <v>3.0</v>
      </c>
      <c r="I22" s="25">
        <v>0.0</v>
      </c>
      <c r="J22" s="25">
        <v>2.0</v>
      </c>
      <c r="K22" s="25">
        <v>4.0</v>
      </c>
      <c r="L22" s="29" t="s">
        <v>488</v>
      </c>
      <c r="M22" s="28" t="str">
        <f>IFNA(VLOOKUP(L22,'Faculty Details'!$B:$H,4,0),"")</f>
        <v>Ms.PRATHEEBHA G</v>
      </c>
      <c r="N22" s="28" t="str">
        <f>IFNA(VLOOKUP(L22,'Faculty Details'!$B:$H,7,0),"")</f>
        <v>pratheebhag@bitsathy.ac.in</v>
      </c>
    </row>
    <row r="23" ht="42.75" customHeight="1">
      <c r="A23" s="25">
        <v>22.0</v>
      </c>
      <c r="B23" s="25" t="s">
        <v>37</v>
      </c>
      <c r="C23" s="25" t="s">
        <v>1596</v>
      </c>
      <c r="D23" s="25" t="s">
        <v>1607</v>
      </c>
      <c r="E23" s="32" t="s">
        <v>38</v>
      </c>
      <c r="F23" s="67" t="s">
        <v>39</v>
      </c>
      <c r="G23" s="25" t="s">
        <v>1576</v>
      </c>
      <c r="H23" s="25">
        <v>3.0</v>
      </c>
      <c r="I23" s="25">
        <v>0.0</v>
      </c>
      <c r="J23" s="25">
        <v>0.0</v>
      </c>
      <c r="K23" s="25">
        <v>3.0</v>
      </c>
      <c r="L23" s="118" t="s">
        <v>1043</v>
      </c>
      <c r="M23" s="28" t="str">
        <f>IFNA(VLOOKUP(L23,'Faculty Details'!$B:$H,4,0),"")</f>
        <v>Dr.DHANASEKAR R</v>
      </c>
      <c r="N23" s="28" t="str">
        <f>IFNA(VLOOKUP(L23,'Faculty Details'!$B:$H,7,0),"")</f>
        <v>dhanasekar@bitsathy.ac.in</v>
      </c>
    </row>
    <row r="24" ht="42.75" customHeight="1">
      <c r="A24" s="25">
        <v>23.0</v>
      </c>
      <c r="B24" s="25" t="s">
        <v>37</v>
      </c>
      <c r="C24" s="25" t="s">
        <v>1596</v>
      </c>
      <c r="D24" s="25" t="s">
        <v>1573</v>
      </c>
      <c r="E24" s="25" t="s">
        <v>1608</v>
      </c>
      <c r="F24" s="26" t="s">
        <v>1609</v>
      </c>
      <c r="G24" s="25" t="s">
        <v>1588</v>
      </c>
      <c r="H24" s="25">
        <v>2.0</v>
      </c>
      <c r="I24" s="25">
        <v>0.0</v>
      </c>
      <c r="J24" s="25">
        <v>0.0</v>
      </c>
      <c r="K24" s="25">
        <v>2.0</v>
      </c>
      <c r="L24" s="25" t="s">
        <v>653</v>
      </c>
      <c r="M24" s="28" t="str">
        <f>IFNA(VLOOKUP(L24,'Faculty Details'!$B:$H,4,0),"")</f>
        <v>Dr.VIJAYANAND P S</v>
      </c>
      <c r="N24" s="28" t="str">
        <f>IFNA(VLOOKUP(L24,'Faculty Details'!$B:$H,7,0),"")</f>
        <v>vijayanandps@bitsathy.ac.in</v>
      </c>
    </row>
    <row r="25" ht="42.75" customHeight="1">
      <c r="A25" s="25">
        <v>24.0</v>
      </c>
      <c r="B25" s="25" t="s">
        <v>37</v>
      </c>
      <c r="C25" s="25" t="s">
        <v>1596</v>
      </c>
      <c r="D25" s="25" t="s">
        <v>1573</v>
      </c>
      <c r="E25" s="25" t="s">
        <v>1610</v>
      </c>
      <c r="F25" s="34" t="s">
        <v>1611</v>
      </c>
      <c r="G25" s="25" t="s">
        <v>1588</v>
      </c>
      <c r="H25" s="25">
        <v>0.0</v>
      </c>
      <c r="I25" s="25">
        <v>0.0</v>
      </c>
      <c r="J25" s="25">
        <v>2.0</v>
      </c>
      <c r="K25" s="25">
        <v>1.0</v>
      </c>
      <c r="L25" s="25" t="s">
        <v>1127</v>
      </c>
      <c r="M25" s="28" t="str">
        <f>IFNA(VLOOKUP(L25,'Faculty Details'!$B:$H,4,0),"")</f>
        <v>Dr.NITHYA S</v>
      </c>
      <c r="N25" s="28" t="str">
        <f>IFNA(VLOOKUP(L25,'Faculty Details'!$B:$H,7,0),"")</f>
        <v>nithyas@bitsathy.ac.in</v>
      </c>
    </row>
    <row r="26" ht="42.75" customHeight="1">
      <c r="A26" s="25">
        <v>25.0</v>
      </c>
      <c r="B26" s="25" t="s">
        <v>37</v>
      </c>
      <c r="C26" s="25" t="s">
        <v>1612</v>
      </c>
      <c r="D26" s="25" t="s">
        <v>1573</v>
      </c>
      <c r="E26" s="25" t="s">
        <v>1921</v>
      </c>
      <c r="F26" s="26" t="s">
        <v>1922</v>
      </c>
      <c r="G26" s="25" t="s">
        <v>1576</v>
      </c>
      <c r="H26" s="25">
        <v>3.0</v>
      </c>
      <c r="I26" s="25">
        <v>0.0</v>
      </c>
      <c r="J26" s="25">
        <v>2.0</v>
      </c>
      <c r="K26" s="25">
        <v>4.0</v>
      </c>
      <c r="L26" s="118" t="s">
        <v>1070</v>
      </c>
      <c r="M26" s="28" t="str">
        <f>IFNA(VLOOKUP(L26,'Faculty Details'!$B:$H,4,0),"")</f>
        <v>Dr.VAIRAVEL K S</v>
      </c>
      <c r="N26" s="28" t="str">
        <f>IFNA(VLOOKUP(L26,'Faculty Details'!$B:$H,7,0),"")</f>
        <v>vairavelks@bitsathy.ac.in</v>
      </c>
    </row>
    <row r="27" ht="42.75" customHeight="1">
      <c r="A27" s="25">
        <v>26.0</v>
      </c>
      <c r="B27" s="25" t="s">
        <v>37</v>
      </c>
      <c r="C27" s="25" t="s">
        <v>1612</v>
      </c>
      <c r="D27" s="25" t="s">
        <v>1573</v>
      </c>
      <c r="E27" s="25" t="s">
        <v>1921</v>
      </c>
      <c r="F27" s="26" t="s">
        <v>1922</v>
      </c>
      <c r="G27" s="25" t="s">
        <v>1588</v>
      </c>
      <c r="H27" s="25">
        <v>3.0</v>
      </c>
      <c r="I27" s="25">
        <v>0.0</v>
      </c>
      <c r="J27" s="25">
        <v>2.0</v>
      </c>
      <c r="K27" s="25">
        <v>4.0</v>
      </c>
      <c r="L27" s="118" t="s">
        <v>1058</v>
      </c>
      <c r="M27" s="28" t="str">
        <f>IFNA(VLOOKUP(L27,'Faculty Details'!$B:$H,4,0),"")</f>
        <v>Mr.PRAVIN SAVARIDASS M</v>
      </c>
      <c r="N27" s="28" t="str">
        <f>IFNA(VLOOKUP(L27,'Faculty Details'!$B:$H,7,0),"")</f>
        <v>pravinsavaridass@bitsathy.ac.in</v>
      </c>
    </row>
    <row r="28" ht="42.75" customHeight="1">
      <c r="A28" s="25">
        <v>27.0</v>
      </c>
      <c r="B28" s="25" t="s">
        <v>37</v>
      </c>
      <c r="C28" s="25" t="s">
        <v>1612</v>
      </c>
      <c r="D28" s="25" t="s">
        <v>1573</v>
      </c>
      <c r="E28" s="25" t="s">
        <v>1923</v>
      </c>
      <c r="F28" s="26" t="s">
        <v>1811</v>
      </c>
      <c r="G28" s="25" t="s">
        <v>1576</v>
      </c>
      <c r="H28" s="25">
        <v>3.0</v>
      </c>
      <c r="I28" s="25">
        <v>1.0</v>
      </c>
      <c r="J28" s="25">
        <v>0.0</v>
      </c>
      <c r="K28" s="25">
        <v>4.0</v>
      </c>
      <c r="L28" s="118" t="s">
        <v>1073</v>
      </c>
      <c r="M28" s="28" t="str">
        <f>IFNA(VLOOKUP(L28,'Faculty Details'!$B:$H,4,0),"")</f>
        <v>Dr.SUDHAHAR S</v>
      </c>
      <c r="N28" s="28" t="str">
        <f>IFNA(VLOOKUP(L28,'Faculty Details'!$B:$H,7,0),"")</f>
        <v>sudhahars@bitsathy.ac.in</v>
      </c>
    </row>
    <row r="29" ht="42.75" customHeight="1">
      <c r="A29" s="25">
        <v>28.0</v>
      </c>
      <c r="B29" s="25" t="s">
        <v>37</v>
      </c>
      <c r="C29" s="25" t="s">
        <v>1612</v>
      </c>
      <c r="D29" s="25" t="s">
        <v>1573</v>
      </c>
      <c r="E29" s="25" t="s">
        <v>1924</v>
      </c>
      <c r="F29" s="26" t="s">
        <v>1694</v>
      </c>
      <c r="G29" s="25" t="s">
        <v>1576</v>
      </c>
      <c r="H29" s="25">
        <v>3.0</v>
      </c>
      <c r="I29" s="25">
        <v>0.0</v>
      </c>
      <c r="J29" s="25">
        <v>2.0</v>
      </c>
      <c r="K29" s="25">
        <v>4.0</v>
      </c>
      <c r="L29" s="25" t="s">
        <v>1039</v>
      </c>
      <c r="M29" s="28" t="str">
        <f>IFNA(VLOOKUP(L29,'Faculty Details'!$B:$H,4,0),"")</f>
        <v>Dr.BALAMURUGAN V T</v>
      </c>
      <c r="N29" s="28" t="str">
        <f>IFNA(VLOOKUP(L29,'Faculty Details'!$B:$H,7,0),"")</f>
        <v>balamurugan@bitsathy.ac.in</v>
      </c>
    </row>
    <row r="30" ht="42.75" customHeight="1">
      <c r="A30" s="25">
        <v>29.0</v>
      </c>
      <c r="B30" s="25" t="s">
        <v>37</v>
      </c>
      <c r="C30" s="25" t="s">
        <v>1612</v>
      </c>
      <c r="D30" s="25" t="s">
        <v>1573</v>
      </c>
      <c r="E30" s="25" t="s">
        <v>1924</v>
      </c>
      <c r="F30" s="26" t="s">
        <v>1694</v>
      </c>
      <c r="G30" s="25" t="s">
        <v>1588</v>
      </c>
      <c r="H30" s="25">
        <v>3.0</v>
      </c>
      <c r="I30" s="25">
        <v>0.0</v>
      </c>
      <c r="J30" s="25">
        <v>2.0</v>
      </c>
      <c r="K30" s="25">
        <v>4.0</v>
      </c>
      <c r="L30" s="42" t="s">
        <v>364</v>
      </c>
      <c r="M30" s="28" t="str">
        <f>IFNA(VLOOKUP(L30,'Faculty Details'!$B:$H,4,0),"")</f>
        <v>Mrs.MANOCHITRA A S</v>
      </c>
      <c r="N30" s="28" t="str">
        <f>IFNA(VLOOKUP(L30,'Faculty Details'!$B:$H,7,0),"")</f>
        <v>manochitra@bitsathy.ac.in</v>
      </c>
    </row>
    <row r="31" ht="42.75" customHeight="1">
      <c r="A31" s="25">
        <v>30.0</v>
      </c>
      <c r="B31" s="25" t="s">
        <v>37</v>
      </c>
      <c r="C31" s="25" t="s">
        <v>1612</v>
      </c>
      <c r="D31" s="25" t="s">
        <v>1619</v>
      </c>
      <c r="E31" s="89" t="s">
        <v>187</v>
      </c>
      <c r="F31" s="97" t="s">
        <v>188</v>
      </c>
      <c r="G31" s="25" t="s">
        <v>1576</v>
      </c>
      <c r="H31" s="25">
        <v>3.0</v>
      </c>
      <c r="I31" s="25">
        <v>0.0</v>
      </c>
      <c r="J31" s="25">
        <v>0.0</v>
      </c>
      <c r="K31" s="25">
        <v>3.0</v>
      </c>
      <c r="L31" s="118" t="s">
        <v>1061</v>
      </c>
      <c r="M31" s="28" t="str">
        <f>IFNA(VLOOKUP(L31,'Faculty Details'!$B:$H,4,0),"")</f>
        <v>Mr.PRATHAP M R</v>
      </c>
      <c r="N31" s="28" t="str">
        <f>IFNA(VLOOKUP(L31,'Faculty Details'!$B:$H,7,0),"")</f>
        <v>prathap@bitsathy.ac.in</v>
      </c>
    </row>
    <row r="32" ht="42.75" customHeight="1">
      <c r="A32" s="25">
        <v>31.0</v>
      </c>
      <c r="B32" s="25" t="s">
        <v>37</v>
      </c>
      <c r="C32" s="25" t="s">
        <v>1612</v>
      </c>
      <c r="D32" s="25" t="s">
        <v>1620</v>
      </c>
      <c r="E32" s="25" t="s">
        <v>189</v>
      </c>
      <c r="F32" s="26" t="s">
        <v>190</v>
      </c>
      <c r="G32" s="25" t="s">
        <v>1576</v>
      </c>
      <c r="H32" s="25">
        <v>3.0</v>
      </c>
      <c r="I32" s="25">
        <v>0.0</v>
      </c>
      <c r="J32" s="25">
        <v>0.0</v>
      </c>
      <c r="K32" s="25">
        <v>3.0</v>
      </c>
      <c r="L32" s="118" t="s">
        <v>1073</v>
      </c>
      <c r="M32" s="28" t="str">
        <f>IFNA(VLOOKUP(L32,'Faculty Details'!$B:$H,4,0),"")</f>
        <v>Dr.SUDHAHAR S</v>
      </c>
      <c r="N32" s="28" t="str">
        <f>IFNA(VLOOKUP(L32,'Faculty Details'!$B:$H,7,0),"")</f>
        <v>sudhahars@bitsathy.ac.in</v>
      </c>
    </row>
    <row r="33" ht="42.75" customHeight="1">
      <c r="A33" s="25">
        <v>32.0</v>
      </c>
      <c r="B33" s="25" t="s">
        <v>37</v>
      </c>
      <c r="C33" s="25" t="s">
        <v>1612</v>
      </c>
      <c r="D33" s="25" t="s">
        <v>1621</v>
      </c>
      <c r="E33" s="25" t="s">
        <v>191</v>
      </c>
      <c r="F33" s="26" t="s">
        <v>192</v>
      </c>
      <c r="G33" s="25" t="s">
        <v>1576</v>
      </c>
      <c r="H33" s="25">
        <v>3.0</v>
      </c>
      <c r="I33" s="25">
        <v>0.0</v>
      </c>
      <c r="J33" s="25">
        <v>0.0</v>
      </c>
      <c r="K33" s="25">
        <v>3.0</v>
      </c>
      <c r="L33" s="118" t="s">
        <v>1064</v>
      </c>
      <c r="M33" s="28" t="str">
        <f>IFNA(VLOOKUP(L33,'Faculty Details'!$B:$H,4,0),"")</f>
        <v>Mr.KUMARESAN K</v>
      </c>
      <c r="N33" s="28" t="str">
        <f>IFNA(VLOOKUP(L33,'Faculty Details'!$B:$H,7,0),"")</f>
        <v>kumaresank@bitsathy.ac.in</v>
      </c>
    </row>
    <row r="34" ht="42.75" customHeight="1">
      <c r="A34" s="25">
        <v>33.0</v>
      </c>
      <c r="B34" s="25" t="s">
        <v>37</v>
      </c>
      <c r="C34" s="25" t="s">
        <v>1612</v>
      </c>
      <c r="D34" s="25" t="s">
        <v>1622</v>
      </c>
      <c r="E34" s="25" t="s">
        <v>183</v>
      </c>
      <c r="F34" s="26" t="s">
        <v>184</v>
      </c>
      <c r="G34" s="25" t="s">
        <v>1576</v>
      </c>
      <c r="H34" s="25">
        <v>3.0</v>
      </c>
      <c r="I34" s="25">
        <v>0.0</v>
      </c>
      <c r="J34" s="25">
        <v>0.0</v>
      </c>
      <c r="K34" s="25">
        <v>3.0</v>
      </c>
      <c r="L34" s="119" t="s">
        <v>1061</v>
      </c>
      <c r="M34" s="28" t="str">
        <f>IFNA(VLOOKUP(L34,'Faculty Details'!$B:$H,4,0),"")</f>
        <v>Mr.PRATHAP M R</v>
      </c>
      <c r="N34" s="28" t="str">
        <f>IFNA(VLOOKUP(L34,'Faculty Details'!$B:$H,7,0),"")</f>
        <v>prathap@bitsathy.ac.in</v>
      </c>
    </row>
    <row r="35" ht="42.75" customHeight="1">
      <c r="A35" s="25">
        <v>34.0</v>
      </c>
      <c r="B35" s="25" t="s">
        <v>37</v>
      </c>
      <c r="C35" s="25" t="s">
        <v>1612</v>
      </c>
      <c r="D35" s="25" t="s">
        <v>86</v>
      </c>
      <c r="E35" s="25" t="s">
        <v>185</v>
      </c>
      <c r="F35" s="26" t="s">
        <v>186</v>
      </c>
      <c r="G35" s="25" t="s">
        <v>1576</v>
      </c>
      <c r="H35" s="25">
        <v>3.0</v>
      </c>
      <c r="I35" s="25">
        <v>0.0</v>
      </c>
      <c r="J35" s="25">
        <v>0.0</v>
      </c>
      <c r="K35" s="25">
        <v>3.0</v>
      </c>
      <c r="L35" s="25" t="s">
        <v>1058</v>
      </c>
      <c r="M35" s="28" t="str">
        <f>IFNA(VLOOKUP(L35,'Faculty Details'!$B:$H,4,0),"")</f>
        <v>Mr.PRAVIN SAVARIDASS M</v>
      </c>
      <c r="N35" s="28" t="str">
        <f>IFNA(VLOOKUP(L35,'Faculty Details'!$B:$H,7,0),"")</f>
        <v>pravinsavaridass@bitsathy.ac.in</v>
      </c>
    </row>
    <row r="36" ht="42.75" customHeight="1">
      <c r="A36" s="25">
        <v>35.0</v>
      </c>
      <c r="B36" s="25" t="s">
        <v>37</v>
      </c>
      <c r="C36" s="25" t="s">
        <v>1612</v>
      </c>
      <c r="D36" s="25" t="s">
        <v>1628</v>
      </c>
      <c r="E36" s="25" t="s">
        <v>1925</v>
      </c>
      <c r="F36" s="26" t="s">
        <v>1630</v>
      </c>
      <c r="G36" s="25" t="s">
        <v>1588</v>
      </c>
      <c r="H36" s="25">
        <v>0.0</v>
      </c>
      <c r="I36" s="25">
        <v>0.0</v>
      </c>
      <c r="J36" s="25">
        <v>2.0</v>
      </c>
      <c r="K36" s="25">
        <v>1.0</v>
      </c>
      <c r="L36" s="120"/>
      <c r="M36" s="28" t="str">
        <f>IFNA(VLOOKUP(L36,'Faculty Details'!$B:$H,4,0),"")</f>
        <v/>
      </c>
      <c r="N36" s="28" t="str">
        <f>IFNA(VLOOKUP(L36,'Faculty Details'!$B:$H,7,0),"")</f>
        <v/>
      </c>
    </row>
    <row r="37" ht="42.75" customHeight="1">
      <c r="A37" s="25">
        <v>36.0</v>
      </c>
      <c r="B37" s="25" t="s">
        <v>37</v>
      </c>
      <c r="C37" s="25" t="s">
        <v>1631</v>
      </c>
      <c r="D37" s="25" t="s">
        <v>1573</v>
      </c>
      <c r="E37" s="25" t="s">
        <v>1926</v>
      </c>
      <c r="F37" s="26" t="s">
        <v>1634</v>
      </c>
      <c r="G37" s="25" t="s">
        <v>1588</v>
      </c>
      <c r="H37" s="25">
        <v>0.0</v>
      </c>
      <c r="I37" s="25">
        <v>0.0</v>
      </c>
      <c r="J37" s="25">
        <v>18.0</v>
      </c>
      <c r="K37" s="25">
        <v>9.0</v>
      </c>
      <c r="L37" s="25"/>
      <c r="M37" s="28" t="str">
        <f>IFNA(VLOOKUP(L37,'Faculty Details'!$B:$H,4,0),"")</f>
        <v/>
      </c>
      <c r="N37" s="28" t="str">
        <f>IFNA(VLOOKUP(L37,'Faculty Details'!$B:$H,7,0),"")</f>
        <v/>
      </c>
    </row>
  </sheetData>
  <conditionalFormatting sqref="L2:L8 L10:L37">
    <cfRule type="containsBlanks" dxfId="1" priority="1">
      <formula>LEN(TRIM(L2))=0</formula>
    </cfRule>
  </conditionalFormatting>
  <dataValidations>
    <dataValidation type="list" allowBlank="1" showErrorMessage="1" sqref="D25">
      <formula1>"CORE,ELECTIVE 1,OPEN ELECTIVE,ELECTIVE 3,ELECTIVE 4,ELECTIVE 5,HONOURS,MINOR,LAB,PROJECT,MINI PROJECT"</formula1>
    </dataValidation>
    <dataValidation type="list" allowBlank="1" showErrorMessage="1" sqref="D2:D11 D15:D22 D37">
      <formula1>"CORE,ELECTIVE 1,OPEN ELECTIVE,ELECTIVE 6,ELECTIVE 7,ELECTIVE 8,ELECTIVE 9,HONOURS,MINOR"</formula1>
    </dataValidation>
    <dataValidation type="list" allowBlank="1" showErrorMessage="1" sqref="D24">
      <formula1>"CORE,ELECTIVE 1,OPEN ELECTIVE,ELECTIVE 6,ELECTIVE 7,ELECTIVE 8,ELECTIVE 9,HONOURS,MINOR,ADD COURSE"</formula1>
    </dataValidation>
    <dataValidation type="list" allowBlank="1" showErrorMessage="1" sqref="C2:C37">
      <formula1>"S2,S4,S6,S8"</formula1>
    </dataValidation>
    <dataValidation type="list" allowBlank="1" showErrorMessage="1" sqref="G2:G37">
      <formula1>"THEORY,THEORY WITH LAB,LAB"</formula1>
    </dataValidation>
    <dataValidation type="list" allowBlank="1" showErrorMessage="1" sqref="D23 D26:D36">
      <formula1>"CORE,ELECTIVE 1,OPEN ELECTIVE,ELECTIVE 3,ELECTIVE 4,ELECTIVE 5,ADD COURSE,HONOURS,MINOR,LAB,PROJECT,MINI PROJECT,ELECTIVE 3,ELECTIVE 4,ELECTIVE 5"</formula1>
    </dataValidation>
    <dataValidation type="list" allowBlank="1" showErrorMessage="1" sqref="D12:D14">
      <formula1>"CORE,ELECTIVE 1,OPEN ELECTIVE,ELECTIVE 6,ELECTIVE 7,ELECTIVE 8,ELECTIVE 9,HONOURS,MINOR,LANGUAGE ELECTIVE"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9.88"/>
    <col customWidth="1" min="3" max="3" width="8.0"/>
    <col customWidth="1" min="4" max="4" width="16.75"/>
    <col customWidth="1" min="5" max="5" width="10.38"/>
    <col customWidth="1" min="6" max="6" width="29.5"/>
    <col customWidth="1" min="7" max="7" width="14.0"/>
    <col customWidth="1" min="8" max="9" width="5.0"/>
    <col customWidth="1" min="10" max="10" width="5.5"/>
    <col customWidth="1" min="11" max="11" width="5.0"/>
    <col customWidth="1" min="13" max="13" width="21.88"/>
    <col customWidth="1" min="14" max="14" width="25.88"/>
  </cols>
  <sheetData>
    <row r="1">
      <c r="A1" s="38" t="s">
        <v>1635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8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8" t="s">
        <v>257</v>
      </c>
      <c r="N1" s="38" t="s">
        <v>1571</v>
      </c>
    </row>
    <row r="2" ht="52.5" customHeight="1">
      <c r="A2" s="25">
        <f t="array" ref="A2:A13">SEQUENCE(COUNTA(B2:B13),1)</f>
        <v>1</v>
      </c>
      <c r="B2" s="25" t="s">
        <v>200</v>
      </c>
      <c r="C2" s="25" t="s">
        <v>1612</v>
      </c>
      <c r="D2" s="25" t="s">
        <v>1573</v>
      </c>
      <c r="E2" s="25" t="s">
        <v>1927</v>
      </c>
      <c r="F2" s="36" t="s">
        <v>1928</v>
      </c>
      <c r="G2" s="25" t="s">
        <v>1579</v>
      </c>
      <c r="H2" s="25">
        <v>3.0</v>
      </c>
      <c r="I2" s="25">
        <v>0.0</v>
      </c>
      <c r="J2" s="25">
        <v>2.0</v>
      </c>
      <c r="K2" s="25">
        <v>4.0</v>
      </c>
      <c r="L2" s="25" t="s">
        <v>1095</v>
      </c>
      <c r="M2" s="28" t="str">
        <f>IFNA(VLOOKUP(L2,'Faculty Details'!$B:$H,4,0),"")</f>
        <v>Mr.EDAMAKANTI RAMANJI REDDY</v>
      </c>
      <c r="N2" s="28" t="str">
        <f>IFNA(VLOOKUP(L2,'Faculty Details'!$B:$H,7,0),"")</f>
        <v>edamakantiramanjireddy@bitsathy.ac.in</v>
      </c>
    </row>
    <row r="3" ht="52.5" customHeight="1">
      <c r="A3" s="25">
        <v>2.0</v>
      </c>
      <c r="B3" s="25" t="s">
        <v>200</v>
      </c>
      <c r="C3" s="25" t="s">
        <v>1612</v>
      </c>
      <c r="D3" s="25" t="s">
        <v>1573</v>
      </c>
      <c r="E3" s="25" t="s">
        <v>1929</v>
      </c>
      <c r="F3" s="36" t="s">
        <v>1930</v>
      </c>
      <c r="G3" s="25" t="s">
        <v>1576</v>
      </c>
      <c r="H3" s="25">
        <v>3.0</v>
      </c>
      <c r="I3" s="25">
        <v>1.0</v>
      </c>
      <c r="J3" s="25">
        <v>0.0</v>
      </c>
      <c r="K3" s="25">
        <v>4.0</v>
      </c>
      <c r="L3" s="25" t="s">
        <v>1089</v>
      </c>
      <c r="M3" s="28" t="str">
        <f>IFNA(VLOOKUP(L3,'Faculty Details'!$B:$H,4,0),"")</f>
        <v>Dr.ARUNASREE TNA</v>
      </c>
      <c r="N3" s="28" t="str">
        <f>IFNA(VLOOKUP(L3,'Faculty Details'!$B:$H,7,0),"")</f>
        <v>arunasreetna@bitsathy.ac.in</v>
      </c>
    </row>
    <row r="4" ht="52.5" customHeight="1">
      <c r="A4" s="25">
        <v>3.0</v>
      </c>
      <c r="B4" s="25" t="s">
        <v>200</v>
      </c>
      <c r="C4" s="25" t="s">
        <v>1612</v>
      </c>
      <c r="D4" s="25" t="s">
        <v>1573</v>
      </c>
      <c r="E4" s="25" t="s">
        <v>1931</v>
      </c>
      <c r="F4" s="36" t="s">
        <v>1932</v>
      </c>
      <c r="G4" s="25" t="s">
        <v>1576</v>
      </c>
      <c r="H4" s="25">
        <v>3.0</v>
      </c>
      <c r="I4" s="25">
        <v>0.0</v>
      </c>
      <c r="J4" s="25">
        <v>2.0</v>
      </c>
      <c r="K4" s="25">
        <v>4.0</v>
      </c>
      <c r="L4" s="25" t="s">
        <v>1079</v>
      </c>
      <c r="M4" s="28" t="str">
        <f>IFNA(VLOOKUP(L4,'Faculty Details'!$B:$H,4,0),"")</f>
        <v>Mr.GOWRISHANKAR L</v>
      </c>
      <c r="N4" s="28" t="str">
        <f>IFNA(VLOOKUP(L4,'Faculty Details'!$B:$H,7,0),"")</f>
        <v>gowrishankar@bitsathy.ac.in</v>
      </c>
    </row>
    <row r="5" ht="52.5" customHeight="1">
      <c r="A5" s="25">
        <v>4.0</v>
      </c>
      <c r="B5" s="25" t="s">
        <v>200</v>
      </c>
      <c r="C5" s="25" t="s">
        <v>1612</v>
      </c>
      <c r="D5" s="25" t="s">
        <v>1573</v>
      </c>
      <c r="E5" s="25" t="s">
        <v>1931</v>
      </c>
      <c r="F5" s="36" t="s">
        <v>1932</v>
      </c>
      <c r="G5" s="25" t="s">
        <v>1588</v>
      </c>
      <c r="H5" s="25">
        <v>3.0</v>
      </c>
      <c r="I5" s="25">
        <v>0.0</v>
      </c>
      <c r="J5" s="25">
        <v>2.0</v>
      </c>
      <c r="K5" s="25">
        <v>4.0</v>
      </c>
      <c r="L5" s="25" t="s">
        <v>1086</v>
      </c>
      <c r="M5" s="28" t="str">
        <f>IFNA(VLOOKUP(L5,'Faculty Details'!$B:$H,4,0),"")</f>
        <v>Ms.NITHIYA PRIYA B T</v>
      </c>
      <c r="N5" s="28" t="str">
        <f>IFNA(VLOOKUP(L5,'Faculty Details'!$B:$H,7,0),"")</f>
        <v>nithiyapriyabt@bitsathy.ac.in</v>
      </c>
    </row>
    <row r="6" ht="52.5" customHeight="1">
      <c r="A6" s="25">
        <v>5.0</v>
      </c>
      <c r="B6" s="25" t="s">
        <v>200</v>
      </c>
      <c r="C6" s="25" t="s">
        <v>1612</v>
      </c>
      <c r="D6" s="25" t="s">
        <v>1619</v>
      </c>
      <c r="E6" s="25" t="s">
        <v>203</v>
      </c>
      <c r="F6" s="36" t="s">
        <v>1933</v>
      </c>
      <c r="G6" s="25" t="s">
        <v>1576</v>
      </c>
      <c r="H6" s="25">
        <v>3.0</v>
      </c>
      <c r="I6" s="25">
        <v>0.0</v>
      </c>
      <c r="J6" s="25">
        <v>0.0</v>
      </c>
      <c r="K6" s="25">
        <v>3.0</v>
      </c>
      <c r="L6" s="25" t="s">
        <v>1083</v>
      </c>
      <c r="M6" s="28" t="str">
        <f>IFNA(VLOOKUP(L6,'Faculty Details'!$B:$H,4,0),"")</f>
        <v>Ms.PIDATHALA SAHITYA</v>
      </c>
      <c r="N6" s="28" t="str">
        <f>IFNA(VLOOKUP(L6,'Faculty Details'!$B:$H,7,0),"")</f>
        <v>pidathalasahitya@bitsathy.ac.in</v>
      </c>
    </row>
    <row r="7" ht="52.5" customHeight="1">
      <c r="A7" s="25">
        <v>6.0</v>
      </c>
      <c r="B7" s="25" t="s">
        <v>200</v>
      </c>
      <c r="C7" s="25" t="s">
        <v>1612</v>
      </c>
      <c r="D7" s="25" t="s">
        <v>1621</v>
      </c>
      <c r="E7" s="25" t="s">
        <v>205</v>
      </c>
      <c r="F7" s="36" t="s">
        <v>1934</v>
      </c>
      <c r="G7" s="25" t="s">
        <v>1576</v>
      </c>
      <c r="H7" s="25">
        <v>3.0</v>
      </c>
      <c r="I7" s="25">
        <v>0.0</v>
      </c>
      <c r="J7" s="25">
        <v>0.0</v>
      </c>
      <c r="K7" s="25">
        <v>3.0</v>
      </c>
      <c r="L7" s="52" t="s">
        <v>1086</v>
      </c>
      <c r="M7" s="28" t="str">
        <f>IFNA(VLOOKUP(L7,'Faculty Details'!$B:$H,4,0),"")</f>
        <v>Ms.NITHIYA PRIYA B T</v>
      </c>
      <c r="N7" s="28" t="str">
        <f>IFNA(VLOOKUP(L7,'Faculty Details'!$B:$H,7,0),"")</f>
        <v>nithiyapriyabt@bitsathy.ac.in</v>
      </c>
    </row>
    <row r="8" ht="52.5" customHeight="1">
      <c r="A8" s="25">
        <v>7.0</v>
      </c>
      <c r="B8" s="25" t="s">
        <v>200</v>
      </c>
      <c r="C8" s="25" t="s">
        <v>1612</v>
      </c>
      <c r="D8" s="25" t="s">
        <v>1620</v>
      </c>
      <c r="E8" s="25" t="s">
        <v>207</v>
      </c>
      <c r="F8" s="36" t="s">
        <v>208</v>
      </c>
      <c r="G8" s="25" t="s">
        <v>1576</v>
      </c>
      <c r="H8" s="25">
        <v>3.0</v>
      </c>
      <c r="I8" s="25">
        <v>0.0</v>
      </c>
      <c r="J8" s="25">
        <v>0.0</v>
      </c>
      <c r="K8" s="25">
        <v>3.0</v>
      </c>
      <c r="L8" s="25" t="s">
        <v>1083</v>
      </c>
      <c r="M8" s="28" t="str">
        <f>IFNA(VLOOKUP(L8,'Faculty Details'!$B:$H,4,0),"")</f>
        <v>Ms.PIDATHALA SAHITYA</v>
      </c>
      <c r="N8" s="28" t="str">
        <f>IFNA(VLOOKUP(L8,'Faculty Details'!$B:$H,7,0),"")</f>
        <v>pidathalasahitya@bitsathy.ac.in</v>
      </c>
    </row>
    <row r="9" ht="52.5" customHeight="1">
      <c r="A9" s="25">
        <v>8.0</v>
      </c>
      <c r="B9" s="25" t="s">
        <v>200</v>
      </c>
      <c r="C9" s="25" t="s">
        <v>1612</v>
      </c>
      <c r="D9" s="25" t="s">
        <v>1622</v>
      </c>
      <c r="E9" s="25" t="s">
        <v>201</v>
      </c>
      <c r="F9" s="36" t="s">
        <v>202</v>
      </c>
      <c r="G9" s="25" t="s">
        <v>1576</v>
      </c>
      <c r="H9" s="25">
        <v>3.0</v>
      </c>
      <c r="I9" s="25">
        <v>0.0</v>
      </c>
      <c r="J9" s="25">
        <v>0.0</v>
      </c>
      <c r="K9" s="25">
        <v>3.0</v>
      </c>
      <c r="L9" s="25" t="s">
        <v>1092</v>
      </c>
      <c r="M9" s="28" t="str">
        <f>IFNA(VLOOKUP(L9,'Faculty Details'!$B:$H,4,0),"")</f>
        <v>Ms.SIVARAHINI K</v>
      </c>
      <c r="N9" s="28" t="str">
        <f>IFNA(VLOOKUP(L9,'Faculty Details'!$B:$H,7,0),"")</f>
        <v>sivarahini@bitsathy.ac.in</v>
      </c>
    </row>
    <row r="10" ht="52.5" customHeight="1">
      <c r="A10" s="25">
        <v>9.0</v>
      </c>
      <c r="B10" s="25" t="s">
        <v>200</v>
      </c>
      <c r="C10" s="25" t="s">
        <v>1612</v>
      </c>
      <c r="D10" s="25" t="s">
        <v>1623</v>
      </c>
      <c r="E10" s="25" t="s">
        <v>1935</v>
      </c>
      <c r="F10" s="36" t="s">
        <v>1936</v>
      </c>
      <c r="G10" s="25" t="s">
        <v>1576</v>
      </c>
      <c r="H10" s="25">
        <v>3.0</v>
      </c>
      <c r="I10" s="25">
        <v>0.0</v>
      </c>
      <c r="J10" s="25">
        <v>0.0</v>
      </c>
      <c r="K10" s="25">
        <v>3.0</v>
      </c>
      <c r="L10" s="25" t="s">
        <v>1092</v>
      </c>
      <c r="M10" s="28" t="str">
        <f>IFNA(VLOOKUP(L10,'Faculty Details'!$B:$H,4,0),"")</f>
        <v>Ms.SIVARAHINI K</v>
      </c>
      <c r="N10" s="28" t="str">
        <f>IFNA(VLOOKUP(L10,'Faculty Details'!$B:$H,7,0),"")</f>
        <v>sivarahini@bitsathy.ac.in</v>
      </c>
    </row>
    <row r="11" ht="52.5" customHeight="1">
      <c r="A11" s="25">
        <v>10.0</v>
      </c>
      <c r="B11" s="25" t="s">
        <v>200</v>
      </c>
      <c r="C11" s="25" t="s">
        <v>1612</v>
      </c>
      <c r="D11" s="25" t="s">
        <v>1623</v>
      </c>
      <c r="E11" s="25" t="s">
        <v>1937</v>
      </c>
      <c r="F11" s="36" t="s">
        <v>1938</v>
      </c>
      <c r="G11" s="25" t="s">
        <v>1576</v>
      </c>
      <c r="H11" s="25">
        <v>3.0</v>
      </c>
      <c r="I11" s="25">
        <v>0.0</v>
      </c>
      <c r="J11" s="25">
        <v>0.0</v>
      </c>
      <c r="K11" s="25">
        <v>3.0</v>
      </c>
      <c r="L11" s="25" t="s">
        <v>1086</v>
      </c>
      <c r="M11" s="28" t="str">
        <f>IFNA(VLOOKUP(L11,'Faculty Details'!$B:$H,4,0),"")</f>
        <v>Ms.NITHIYA PRIYA B T</v>
      </c>
      <c r="N11" s="28" t="str">
        <f>IFNA(VLOOKUP(L11,'Faculty Details'!$B:$H,7,0),"")</f>
        <v>nithiyapriyabt@bitsathy.ac.in</v>
      </c>
    </row>
    <row r="12" ht="52.5" customHeight="1">
      <c r="A12" s="25">
        <v>11.0</v>
      </c>
      <c r="B12" s="25" t="s">
        <v>200</v>
      </c>
      <c r="C12" s="25" t="s">
        <v>1612</v>
      </c>
      <c r="D12" s="25" t="s">
        <v>1573</v>
      </c>
      <c r="E12" s="25" t="s">
        <v>1939</v>
      </c>
      <c r="F12" s="36" t="s">
        <v>1630</v>
      </c>
      <c r="G12" s="25" t="s">
        <v>1588</v>
      </c>
      <c r="H12" s="25">
        <v>0.0</v>
      </c>
      <c r="I12" s="25">
        <v>0.0</v>
      </c>
      <c r="J12" s="25">
        <v>2.0</v>
      </c>
      <c r="K12" s="25">
        <v>1.0</v>
      </c>
      <c r="L12" s="25"/>
      <c r="M12" s="28" t="str">
        <f>IFNA(VLOOKUP(L12,'Faculty Details'!$B:$H,4,0),"")</f>
        <v/>
      </c>
      <c r="N12" s="28" t="str">
        <f>IFNA(VLOOKUP(L12,'Faculty Details'!$B:$H,7,0),"")</f>
        <v/>
      </c>
    </row>
    <row r="13" ht="52.5" customHeight="1">
      <c r="A13" s="25">
        <v>12.0</v>
      </c>
      <c r="B13" s="25" t="s">
        <v>200</v>
      </c>
      <c r="C13" s="25" t="s">
        <v>1631</v>
      </c>
      <c r="D13" s="25" t="s">
        <v>1573</v>
      </c>
      <c r="E13" s="25" t="s">
        <v>1940</v>
      </c>
      <c r="F13" s="36" t="s">
        <v>1634</v>
      </c>
      <c r="G13" s="25" t="s">
        <v>1588</v>
      </c>
      <c r="H13" s="25">
        <v>0.0</v>
      </c>
      <c r="I13" s="25">
        <v>0.0</v>
      </c>
      <c r="J13" s="25">
        <v>18.0</v>
      </c>
      <c r="K13" s="25">
        <v>9.0</v>
      </c>
      <c r="L13" s="25"/>
      <c r="M13" s="28" t="str">
        <f>IFNA(VLOOKUP(L13,'Faculty Details'!$B:$H,4,0),"")</f>
        <v/>
      </c>
      <c r="N13" s="28" t="str">
        <f>IFNA(VLOOKUP(L13,'Faculty Details'!$B:$H,7,0),"")</f>
        <v/>
      </c>
    </row>
  </sheetData>
  <conditionalFormatting sqref="L2:L13">
    <cfRule type="containsBlanks" dxfId="1" priority="1">
      <formula>LEN(TRIM(L2))=0</formula>
    </cfRule>
  </conditionalFormatting>
  <dataValidations>
    <dataValidation type="list" allowBlank="1" showErrorMessage="1" sqref="C2:C13">
      <formula1>"S2,S4,S6,S8"</formula1>
    </dataValidation>
    <dataValidation type="list" allowBlank="1" showErrorMessage="1" sqref="G2:G13">
      <formula1>"THEORY,THEORY WITH LAB,LAB"</formula1>
    </dataValidation>
    <dataValidation type="list" allowBlank="1" showErrorMessage="1" sqref="D2:D13">
      <formula1>"CORE,ELECTIVE 1,OPEN ELECTIVE,ELECTIVE 3,ELECTIVE 4,ELECTIVE 5,ADD COURSE,HONOURS,MINOR"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7.75"/>
    <col customWidth="1" min="3" max="3" width="11.88"/>
    <col customWidth="1" min="4" max="4" width="19.75"/>
    <col customWidth="1" min="5" max="5" width="17.88"/>
    <col customWidth="1" min="6" max="6" width="31.88"/>
    <col customWidth="1" min="7" max="7" width="14.25"/>
    <col customWidth="1" min="8" max="9" width="5.0"/>
    <col customWidth="1" min="10" max="10" width="5.5"/>
    <col customWidth="1" min="11" max="11" width="5.0"/>
    <col customWidth="1" min="12" max="12" width="13.63"/>
    <col customWidth="1" min="13" max="13" width="21.88"/>
    <col customWidth="1" min="14" max="14" width="19.38"/>
  </cols>
  <sheetData>
    <row r="1">
      <c r="A1" s="23" t="s">
        <v>1635</v>
      </c>
      <c r="B1" s="23" t="s">
        <v>1560</v>
      </c>
      <c r="C1" s="23" t="s">
        <v>1561</v>
      </c>
      <c r="D1" s="23" t="s">
        <v>1562</v>
      </c>
      <c r="E1" s="23" t="s">
        <v>1563</v>
      </c>
      <c r="F1" s="62" t="s">
        <v>1564</v>
      </c>
      <c r="G1" s="23" t="s">
        <v>1565</v>
      </c>
      <c r="H1" s="23" t="s">
        <v>1566</v>
      </c>
      <c r="I1" s="23" t="s">
        <v>1567</v>
      </c>
      <c r="J1" s="23" t="s">
        <v>1568</v>
      </c>
      <c r="K1" s="23" t="s">
        <v>1569</v>
      </c>
      <c r="L1" s="38" t="s">
        <v>1570</v>
      </c>
      <c r="M1" s="23" t="s">
        <v>257</v>
      </c>
      <c r="N1" s="23" t="s">
        <v>1571</v>
      </c>
    </row>
    <row r="2" ht="48.0" customHeight="1">
      <c r="A2" s="14">
        <f t="array" ref="A2:A54">SEQUENCE(COUNTA(B2:B54),1)</f>
        <v>1</v>
      </c>
      <c r="B2" s="14" t="s">
        <v>43</v>
      </c>
      <c r="C2" s="1" t="s">
        <v>1572</v>
      </c>
      <c r="D2" s="1" t="s">
        <v>1573</v>
      </c>
      <c r="E2" s="1" t="s">
        <v>1574</v>
      </c>
      <c r="F2" s="4" t="s">
        <v>1575</v>
      </c>
      <c r="G2" s="1" t="s">
        <v>1576</v>
      </c>
      <c r="H2" s="1">
        <v>3.0</v>
      </c>
      <c r="I2" s="1">
        <v>1.0</v>
      </c>
      <c r="J2" s="1">
        <v>0.0</v>
      </c>
      <c r="K2" s="1">
        <v>4.0</v>
      </c>
      <c r="L2" s="25" t="s">
        <v>1287</v>
      </c>
      <c r="M2" s="121" t="str">
        <f>IFNA(VLOOKUP(L2,'Faculty Details'!$B:$H,4,0),"")</f>
        <v>Dr.GAYATHIRI B</v>
      </c>
      <c r="N2" s="121" t="str">
        <f>IFNA(VLOOKUP(L2,'Faculty Details'!$B:$H,7,0),"")</f>
        <v>gayathirib@bitsathy.ac.in</v>
      </c>
    </row>
    <row r="3" ht="48.0" customHeight="1">
      <c r="A3" s="14">
        <v>2.0</v>
      </c>
      <c r="B3" s="14" t="s">
        <v>43</v>
      </c>
      <c r="C3" s="1" t="s">
        <v>1572</v>
      </c>
      <c r="D3" s="1" t="s">
        <v>1573</v>
      </c>
      <c r="E3" s="1" t="s">
        <v>1577</v>
      </c>
      <c r="F3" s="4" t="s">
        <v>1578</v>
      </c>
      <c r="G3" s="1" t="s">
        <v>1579</v>
      </c>
      <c r="H3" s="1">
        <v>2.0</v>
      </c>
      <c r="I3" s="1">
        <v>0.0</v>
      </c>
      <c r="J3" s="1">
        <v>2.0</v>
      </c>
      <c r="K3" s="1">
        <v>3.0</v>
      </c>
      <c r="L3" s="1" t="s">
        <v>1469</v>
      </c>
      <c r="M3" s="121" t="str">
        <f>IFNA(VLOOKUP(L3,'Faculty Details'!$B:$H,4,0),"")</f>
        <v>Dr.SELVAKUMAR K</v>
      </c>
      <c r="N3" s="121" t="str">
        <f>IFNA(VLOOKUP(L3,'Faculty Details'!$B:$H,7,0),"")</f>
        <v>selvakumark@bitsathy.ac.in</v>
      </c>
    </row>
    <row r="4" ht="48.0" customHeight="1">
      <c r="A4" s="14">
        <v>3.0</v>
      </c>
      <c r="B4" s="14" t="s">
        <v>43</v>
      </c>
      <c r="C4" s="1" t="s">
        <v>1572</v>
      </c>
      <c r="D4" s="1" t="s">
        <v>1573</v>
      </c>
      <c r="E4" s="1" t="s">
        <v>1580</v>
      </c>
      <c r="F4" s="4" t="s">
        <v>1581</v>
      </c>
      <c r="G4" s="1" t="s">
        <v>1579</v>
      </c>
      <c r="H4" s="1">
        <v>2.0</v>
      </c>
      <c r="I4" s="1">
        <v>0.0</v>
      </c>
      <c r="J4" s="1">
        <v>2.0</v>
      </c>
      <c r="K4" s="1">
        <v>3.0</v>
      </c>
      <c r="L4" s="25" t="s">
        <v>653</v>
      </c>
      <c r="M4" s="121" t="str">
        <f>IFNA(VLOOKUP(L4,'Faculty Details'!$B:$H,4,0),"")</f>
        <v>Dr.VIJAYANAND P S</v>
      </c>
      <c r="N4" s="121" t="str">
        <f>IFNA(VLOOKUP(L4,'Faculty Details'!$B:$H,7,0),"")</f>
        <v>vijayanandps@bitsathy.ac.in</v>
      </c>
    </row>
    <row r="5" ht="48.0" customHeight="1">
      <c r="A5" s="14">
        <v>4.0</v>
      </c>
      <c r="B5" s="14" t="s">
        <v>43</v>
      </c>
      <c r="C5" s="1" t="s">
        <v>1572</v>
      </c>
      <c r="D5" s="1" t="s">
        <v>1573</v>
      </c>
      <c r="E5" s="1" t="s">
        <v>1582</v>
      </c>
      <c r="F5" s="4" t="s">
        <v>1583</v>
      </c>
      <c r="G5" s="1" t="s">
        <v>1576</v>
      </c>
      <c r="H5" s="1">
        <v>3.0</v>
      </c>
      <c r="I5" s="1">
        <v>0.0</v>
      </c>
      <c r="J5" s="1">
        <v>0.0</v>
      </c>
      <c r="K5" s="1">
        <v>3.0</v>
      </c>
      <c r="L5" s="25" t="s">
        <v>777</v>
      </c>
      <c r="M5" s="121" t="str">
        <f>IFNA(VLOOKUP(L5,'Faculty Details'!$B:$H,4,0),"")</f>
        <v>Mrs.MYTHILI G M</v>
      </c>
      <c r="N5" s="121" t="str">
        <f>IFNA(VLOOKUP(L5,'Faculty Details'!$B:$H,7,0),"")</f>
        <v>mythili@bitsathy.ac.in</v>
      </c>
    </row>
    <row r="6" ht="48.0" customHeight="1">
      <c r="A6" s="14">
        <v>5.0</v>
      </c>
      <c r="B6" s="14" t="s">
        <v>43</v>
      </c>
      <c r="C6" s="1" t="s">
        <v>1572</v>
      </c>
      <c r="D6" s="1" t="s">
        <v>1573</v>
      </c>
      <c r="E6" s="1" t="s">
        <v>1584</v>
      </c>
      <c r="F6" s="4" t="s">
        <v>1585</v>
      </c>
      <c r="G6" s="1" t="s">
        <v>1579</v>
      </c>
      <c r="H6" s="1">
        <v>2.0</v>
      </c>
      <c r="I6" s="1">
        <v>0.0</v>
      </c>
      <c r="J6" s="1">
        <v>2.0</v>
      </c>
      <c r="K6" s="1">
        <v>3.0</v>
      </c>
      <c r="L6" s="25" t="s">
        <v>874</v>
      </c>
      <c r="M6" s="121" t="str">
        <f>IFNA(VLOOKUP(L6,'Faculty Details'!$B:$H,4,0),"")</f>
        <v>Mrs.SOUNDARYA B</v>
      </c>
      <c r="N6" s="121" t="str">
        <f>IFNA(VLOOKUP(L6,'Faculty Details'!$B:$H,7,0),"")</f>
        <v>soundarya@bitsathy.ac.in</v>
      </c>
    </row>
    <row r="7" ht="48.0" customHeight="1">
      <c r="A7" s="14">
        <v>6.0</v>
      </c>
      <c r="B7" s="14" t="s">
        <v>43</v>
      </c>
      <c r="C7" s="1" t="s">
        <v>1572</v>
      </c>
      <c r="D7" s="1" t="s">
        <v>1573</v>
      </c>
      <c r="E7" s="1" t="s">
        <v>1586</v>
      </c>
      <c r="F7" s="4" t="s">
        <v>1587</v>
      </c>
      <c r="G7" s="1" t="s">
        <v>1588</v>
      </c>
      <c r="H7" s="1">
        <v>1.0</v>
      </c>
      <c r="I7" s="1">
        <v>0.0</v>
      </c>
      <c r="J7" s="1">
        <v>2.0</v>
      </c>
      <c r="K7" s="1">
        <v>2.0</v>
      </c>
      <c r="L7" s="25" t="s">
        <v>1450</v>
      </c>
      <c r="M7" s="121" t="str">
        <f>IFNA(VLOOKUP(L7,'Faculty Details'!$B:$H,4,0),"")</f>
        <v>Dr.SUNDARRAJU G</v>
      </c>
      <c r="N7" s="121" t="str">
        <f>IFNA(VLOOKUP(L7,'Faculty Details'!$B:$H,7,0),"")</f>
        <v>sundarrajug@bitsathy.ac.in</v>
      </c>
    </row>
    <row r="8" ht="48.0" customHeight="1">
      <c r="A8" s="14">
        <v>7.0</v>
      </c>
      <c r="B8" s="14" t="s">
        <v>43</v>
      </c>
      <c r="C8" s="1" t="s">
        <v>1572</v>
      </c>
      <c r="D8" s="1" t="s">
        <v>1573</v>
      </c>
      <c r="E8" s="1" t="s">
        <v>1589</v>
      </c>
      <c r="F8" s="4" t="s">
        <v>1590</v>
      </c>
      <c r="G8" s="25" t="s">
        <v>1588</v>
      </c>
      <c r="H8" s="1">
        <v>1.0</v>
      </c>
      <c r="I8" s="1">
        <v>0.0</v>
      </c>
      <c r="J8" s="1">
        <v>0.0</v>
      </c>
      <c r="K8" s="1">
        <v>1.0</v>
      </c>
      <c r="L8" s="25" t="s">
        <v>1130</v>
      </c>
      <c r="M8" s="121" t="str">
        <f>IFNA(VLOOKUP(L8,'Faculty Details'!$B:$H,4,0),"")</f>
        <v>Mr.SHYAMSUNDAR S</v>
      </c>
      <c r="N8" s="121" t="str">
        <f>IFNA(VLOOKUP(L8,'Faculty Details'!$B:$H,7,0),"")</f>
        <v>shyamsundar@bitsathy.ac.in</v>
      </c>
    </row>
    <row r="9" ht="48.0" customHeight="1">
      <c r="A9" s="14">
        <v>8.0</v>
      </c>
      <c r="B9" s="14" t="s">
        <v>43</v>
      </c>
      <c r="C9" s="1" t="s">
        <v>1572</v>
      </c>
      <c r="D9" s="1" t="s">
        <v>1573</v>
      </c>
      <c r="E9" s="1" t="s">
        <v>1591</v>
      </c>
      <c r="F9" s="4" t="s">
        <v>1726</v>
      </c>
      <c r="G9" s="25"/>
      <c r="H9" s="1"/>
      <c r="I9" s="1"/>
      <c r="J9" s="1"/>
      <c r="K9" s="1"/>
      <c r="L9" s="25"/>
      <c r="M9" s="121" t="str">
        <f>IFNA(VLOOKUP(L9,'Faculty Details'!$B:$H,4,0),"")</f>
        <v/>
      </c>
      <c r="N9" s="121" t="str">
        <f>IFNA(VLOOKUP(L9,'Faculty Details'!$B:$H,7,0),"")</f>
        <v/>
      </c>
    </row>
    <row r="10" ht="48.0" customHeight="1">
      <c r="A10" s="14">
        <v>9.0</v>
      </c>
      <c r="B10" s="14" t="s">
        <v>43</v>
      </c>
      <c r="C10" s="1" t="s">
        <v>1572</v>
      </c>
      <c r="D10" s="1" t="s">
        <v>1593</v>
      </c>
      <c r="E10" s="1" t="s">
        <v>1594</v>
      </c>
      <c r="F10" s="4" t="s">
        <v>1640</v>
      </c>
      <c r="G10" s="25" t="s">
        <v>1588</v>
      </c>
      <c r="H10" s="1">
        <v>1.0</v>
      </c>
      <c r="I10" s="1">
        <v>0.0</v>
      </c>
      <c r="J10" s="1">
        <v>2.0</v>
      </c>
      <c r="K10" s="1">
        <v>2.0</v>
      </c>
      <c r="L10" s="25" t="s">
        <v>1133</v>
      </c>
      <c r="M10" s="121" t="str">
        <f>IFNA(VLOOKUP(L10,'Faculty Details'!$B:$H,4,0),"")</f>
        <v>Dr.JAYA K</v>
      </c>
      <c r="N10" s="121" t="str">
        <f>IFNA(VLOOKUP(L10,'Faculty Details'!$B:$H,7,0),"")</f>
        <v>jayak@bitsathy.ac.in</v>
      </c>
    </row>
    <row r="11" ht="48.0" customHeight="1">
      <c r="A11" s="14">
        <v>10.0</v>
      </c>
      <c r="B11" s="14" t="s">
        <v>43</v>
      </c>
      <c r="C11" s="1" t="s">
        <v>1596</v>
      </c>
      <c r="D11" s="1" t="s">
        <v>1573</v>
      </c>
      <c r="E11" s="1" t="s">
        <v>1941</v>
      </c>
      <c r="F11" s="4" t="s">
        <v>1942</v>
      </c>
      <c r="G11" s="1" t="s">
        <v>1576</v>
      </c>
      <c r="H11" s="1">
        <v>2.0</v>
      </c>
      <c r="I11" s="1">
        <v>1.0</v>
      </c>
      <c r="J11" s="1">
        <v>2.0</v>
      </c>
      <c r="K11" s="1">
        <v>4.0</v>
      </c>
      <c r="L11" s="25" t="s">
        <v>1435</v>
      </c>
      <c r="M11" s="121" t="str">
        <f>IFNA(VLOOKUP(L11,'Faculty Details'!$B:$H,4,0),"")</f>
        <v>Dr.DINESH D</v>
      </c>
      <c r="N11" s="121" t="str">
        <f>IFNA(VLOOKUP(L11,'Faculty Details'!$B:$H,7,0),"")</f>
        <v>dineshd@bitsathy.ac.in</v>
      </c>
    </row>
    <row r="12" ht="48.0" customHeight="1">
      <c r="A12" s="14">
        <v>11.0</v>
      </c>
      <c r="B12" s="14" t="s">
        <v>43</v>
      </c>
      <c r="C12" s="1" t="s">
        <v>1596</v>
      </c>
      <c r="D12" s="1" t="s">
        <v>1573</v>
      </c>
      <c r="E12" s="1" t="s">
        <v>1941</v>
      </c>
      <c r="F12" s="4" t="s">
        <v>1942</v>
      </c>
      <c r="G12" s="1" t="s">
        <v>1588</v>
      </c>
      <c r="H12" s="1">
        <v>2.0</v>
      </c>
      <c r="I12" s="1">
        <v>1.0</v>
      </c>
      <c r="J12" s="1">
        <v>2.0</v>
      </c>
      <c r="K12" s="1">
        <v>4.0</v>
      </c>
      <c r="L12" s="25" t="s">
        <v>1435</v>
      </c>
      <c r="M12" s="121" t="str">
        <f>IFNA(VLOOKUP(L12,'Faculty Details'!$B:$H,4,0),"")</f>
        <v>Dr.DINESH D</v>
      </c>
      <c r="N12" s="121" t="str">
        <f>IFNA(VLOOKUP(L12,'Faculty Details'!$B:$H,7,0),"")</f>
        <v>dineshd@bitsathy.ac.in</v>
      </c>
    </row>
    <row r="13" ht="48.0" customHeight="1">
      <c r="A13" s="14">
        <v>12.0</v>
      </c>
      <c r="B13" s="14" t="s">
        <v>43</v>
      </c>
      <c r="C13" s="1" t="s">
        <v>1596</v>
      </c>
      <c r="D13" s="1" t="s">
        <v>1573</v>
      </c>
      <c r="E13" s="1" t="s">
        <v>1943</v>
      </c>
      <c r="F13" s="4" t="s">
        <v>1874</v>
      </c>
      <c r="G13" s="1" t="s">
        <v>1576</v>
      </c>
      <c r="H13" s="1">
        <v>3.0</v>
      </c>
      <c r="I13" s="1">
        <v>0.0</v>
      </c>
      <c r="J13" s="1">
        <v>2.0</v>
      </c>
      <c r="K13" s="1">
        <v>4.0</v>
      </c>
      <c r="L13" s="25" t="s">
        <v>472</v>
      </c>
      <c r="M13" s="121" t="str">
        <f>IFNA(VLOOKUP(L13,'Faculty Details'!$B:$H,4,0),"")</f>
        <v>Dr.DHAYANEETHI S</v>
      </c>
      <c r="N13" s="121" t="str">
        <f>IFNA(VLOOKUP(L13,'Faculty Details'!$B:$H,7,0),"")</f>
        <v>dhayaneethi@bitsathy.ac.in</v>
      </c>
    </row>
    <row r="14" ht="48.0" customHeight="1">
      <c r="A14" s="14">
        <v>13.0</v>
      </c>
      <c r="B14" s="14" t="s">
        <v>43</v>
      </c>
      <c r="C14" s="1" t="s">
        <v>1596</v>
      </c>
      <c r="D14" s="1" t="s">
        <v>1573</v>
      </c>
      <c r="E14" s="1" t="s">
        <v>1943</v>
      </c>
      <c r="F14" s="4" t="s">
        <v>1874</v>
      </c>
      <c r="G14" s="1" t="s">
        <v>1588</v>
      </c>
      <c r="H14" s="1">
        <v>3.0</v>
      </c>
      <c r="I14" s="1">
        <v>0.0</v>
      </c>
      <c r="J14" s="1">
        <v>2.0</v>
      </c>
      <c r="K14" s="1">
        <v>4.0</v>
      </c>
      <c r="L14" s="25" t="s">
        <v>1401</v>
      </c>
      <c r="M14" s="121" t="str">
        <f>IFNA(VLOOKUP(L14,'Faculty Details'!$B:$H,4,0),"")</f>
        <v>Dr.PRAVIN M C</v>
      </c>
      <c r="N14" s="121" t="str">
        <f>IFNA(VLOOKUP(L14,'Faculty Details'!$B:$H,7,0),"")</f>
        <v>pravin@bitsathy.ac.in</v>
      </c>
    </row>
    <row r="15" ht="48.0" customHeight="1">
      <c r="A15" s="14">
        <v>14.0</v>
      </c>
      <c r="B15" s="14" t="s">
        <v>43</v>
      </c>
      <c r="C15" s="1" t="s">
        <v>1596</v>
      </c>
      <c r="D15" s="1" t="s">
        <v>1573</v>
      </c>
      <c r="E15" s="1" t="s">
        <v>1944</v>
      </c>
      <c r="F15" s="4" t="s">
        <v>1602</v>
      </c>
      <c r="G15" s="1" t="s">
        <v>1576</v>
      </c>
      <c r="H15" s="1">
        <v>2.0</v>
      </c>
      <c r="I15" s="1">
        <v>1.0</v>
      </c>
      <c r="J15" s="1">
        <v>2.0</v>
      </c>
      <c r="K15" s="1">
        <v>4.0</v>
      </c>
      <c r="L15" s="25" t="s">
        <v>1373</v>
      </c>
      <c r="M15" s="121" t="str">
        <f>IFNA(VLOOKUP(L15,'Faculty Details'!$B:$H,4,0),"")</f>
        <v>Dr.PRADEEP A D</v>
      </c>
      <c r="N15" s="121" t="str">
        <f>IFNA(VLOOKUP(L15,'Faculty Details'!$B:$H,7,0),"")</f>
        <v>pradeep@bitsathy.ac.in</v>
      </c>
    </row>
    <row r="16" ht="48.0" customHeight="1">
      <c r="A16" s="14">
        <v>15.0</v>
      </c>
      <c r="B16" s="14" t="s">
        <v>43</v>
      </c>
      <c r="C16" s="1" t="s">
        <v>1596</v>
      </c>
      <c r="D16" s="1" t="s">
        <v>1573</v>
      </c>
      <c r="E16" s="1" t="s">
        <v>1944</v>
      </c>
      <c r="F16" s="4" t="s">
        <v>1602</v>
      </c>
      <c r="G16" s="1" t="s">
        <v>1588</v>
      </c>
      <c r="H16" s="1">
        <v>2.0</v>
      </c>
      <c r="I16" s="1">
        <v>1.0</v>
      </c>
      <c r="J16" s="1">
        <v>2.0</v>
      </c>
      <c r="K16" s="1">
        <v>4.0</v>
      </c>
      <c r="L16" s="25" t="s">
        <v>1373</v>
      </c>
      <c r="M16" s="121" t="str">
        <f>IFNA(VLOOKUP(L16,'Faculty Details'!$B:$H,4,0),"")</f>
        <v>Dr.PRADEEP A D</v>
      </c>
      <c r="N16" s="121" t="str">
        <f>IFNA(VLOOKUP(L16,'Faculty Details'!$B:$H,7,0),"")</f>
        <v>pradeep@bitsathy.ac.in</v>
      </c>
    </row>
    <row r="17" ht="48.0" customHeight="1">
      <c r="A17" s="14">
        <v>16.0</v>
      </c>
      <c r="B17" s="14" t="s">
        <v>43</v>
      </c>
      <c r="C17" s="1" t="s">
        <v>1596</v>
      </c>
      <c r="D17" s="1" t="s">
        <v>1573</v>
      </c>
      <c r="E17" s="1" t="s">
        <v>1945</v>
      </c>
      <c r="F17" s="4" t="s">
        <v>1946</v>
      </c>
      <c r="G17" s="1" t="s">
        <v>1576</v>
      </c>
      <c r="H17" s="1">
        <v>2.0</v>
      </c>
      <c r="I17" s="1">
        <v>1.0</v>
      </c>
      <c r="J17" s="1">
        <v>2.0</v>
      </c>
      <c r="K17" s="1">
        <v>4.0</v>
      </c>
      <c r="L17" s="25" t="s">
        <v>1456</v>
      </c>
      <c r="M17" s="121" t="str">
        <f>IFNA(VLOOKUP(L17,'Faculty Details'!$B:$H,4,0),"")</f>
        <v>Mr.SAKTHIVEL MURUGAN E</v>
      </c>
      <c r="N17" s="121" t="str">
        <f>IFNA(VLOOKUP(L17,'Faculty Details'!$B:$H,7,0),"")</f>
        <v>sakthivelmurugane@bitsathy.ac.in</v>
      </c>
    </row>
    <row r="18" ht="48.0" customHeight="1">
      <c r="A18" s="14">
        <v>17.0</v>
      </c>
      <c r="B18" s="14" t="s">
        <v>43</v>
      </c>
      <c r="C18" s="1" t="s">
        <v>1596</v>
      </c>
      <c r="D18" s="1" t="s">
        <v>1573</v>
      </c>
      <c r="E18" s="1" t="s">
        <v>1945</v>
      </c>
      <c r="F18" s="4" t="s">
        <v>1946</v>
      </c>
      <c r="G18" s="1" t="s">
        <v>1588</v>
      </c>
      <c r="H18" s="1">
        <v>2.0</v>
      </c>
      <c r="I18" s="1">
        <v>1.0</v>
      </c>
      <c r="J18" s="1">
        <v>2.0</v>
      </c>
      <c r="K18" s="1">
        <v>4.0</v>
      </c>
      <c r="L18" s="25" t="s">
        <v>1456</v>
      </c>
      <c r="M18" s="121" t="str">
        <f>IFNA(VLOOKUP(L18,'Faculty Details'!$B:$H,4,0),"")</f>
        <v>Mr.SAKTHIVEL MURUGAN E</v>
      </c>
      <c r="N18" s="121" t="str">
        <f>IFNA(VLOOKUP(L18,'Faculty Details'!$B:$H,7,0),"")</f>
        <v>sakthivelmurugane@bitsathy.ac.in</v>
      </c>
    </row>
    <row r="19" ht="48.0" customHeight="1">
      <c r="A19" s="14">
        <v>18.0</v>
      </c>
      <c r="B19" s="14" t="s">
        <v>43</v>
      </c>
      <c r="C19" s="1" t="s">
        <v>1596</v>
      </c>
      <c r="D19" s="1" t="s">
        <v>1573</v>
      </c>
      <c r="E19" s="1" t="s">
        <v>1947</v>
      </c>
      <c r="F19" s="4" t="s">
        <v>1948</v>
      </c>
      <c r="G19" s="1" t="s">
        <v>1576</v>
      </c>
      <c r="H19" s="1">
        <v>2.0</v>
      </c>
      <c r="I19" s="1">
        <v>0.0</v>
      </c>
      <c r="J19" s="1">
        <v>2.0</v>
      </c>
      <c r="K19" s="1">
        <v>3.0</v>
      </c>
      <c r="L19" s="25" t="s">
        <v>1410</v>
      </c>
      <c r="M19" s="121" t="str">
        <f>IFNA(VLOOKUP(L19,'Faculty Details'!$B:$H,4,0),"")</f>
        <v>Dr.SENTHILKUMAR G</v>
      </c>
      <c r="N19" s="121" t="str">
        <f>IFNA(VLOOKUP(L19,'Faculty Details'!$B:$H,7,0),"")</f>
        <v>senthilkumarg@bitsathy.ac.in</v>
      </c>
    </row>
    <row r="20" ht="48.0" customHeight="1">
      <c r="A20" s="14">
        <v>19.0</v>
      </c>
      <c r="B20" s="14" t="s">
        <v>43</v>
      </c>
      <c r="C20" s="1" t="s">
        <v>1596</v>
      </c>
      <c r="D20" s="1" t="s">
        <v>1573</v>
      </c>
      <c r="E20" s="1" t="s">
        <v>1947</v>
      </c>
      <c r="F20" s="4" t="s">
        <v>1948</v>
      </c>
      <c r="G20" s="1" t="s">
        <v>1588</v>
      </c>
      <c r="H20" s="1">
        <v>2.0</v>
      </c>
      <c r="I20" s="1">
        <v>0.0</v>
      </c>
      <c r="J20" s="1">
        <v>2.0</v>
      </c>
      <c r="K20" s="1">
        <v>3.0</v>
      </c>
      <c r="L20" s="1" t="s">
        <v>1392</v>
      </c>
      <c r="M20" s="121" t="str">
        <f>IFNA(VLOOKUP(L20,'Faculty Details'!$B:$H,4,0),"")</f>
        <v>Mr.KAMAL BASHA K</v>
      </c>
      <c r="N20" s="121" t="str">
        <f>IFNA(VLOOKUP(L20,'Faculty Details'!$B:$H,7,0),"")</f>
        <v>kamalbasha@bitsathy.ac.in</v>
      </c>
    </row>
    <row r="21" ht="48.0" customHeight="1">
      <c r="A21" s="14">
        <v>20.0</v>
      </c>
      <c r="B21" s="14" t="s">
        <v>43</v>
      </c>
      <c r="C21" s="1" t="s">
        <v>1596</v>
      </c>
      <c r="D21" s="1" t="s">
        <v>1607</v>
      </c>
      <c r="E21" s="1" t="s">
        <v>44</v>
      </c>
      <c r="F21" s="4" t="s">
        <v>45</v>
      </c>
      <c r="G21" s="1" t="s">
        <v>1576</v>
      </c>
      <c r="H21" s="1">
        <v>3.0</v>
      </c>
      <c r="I21" s="1">
        <v>0.0</v>
      </c>
      <c r="J21" s="1">
        <v>0.0</v>
      </c>
      <c r="K21" s="1">
        <v>3.0</v>
      </c>
      <c r="L21" s="25" t="s">
        <v>1444</v>
      </c>
      <c r="M21" s="121" t="str">
        <f>IFNA(VLOOKUP(L21,'Faculty Details'!$B:$H,4,0),"")</f>
        <v>Mr.SATHISHKUMAR C</v>
      </c>
      <c r="N21" s="121" t="str">
        <f>IFNA(VLOOKUP(L21,'Faculty Details'!$B:$H,7,0),"")</f>
        <v>sathishkumarc@bitsathy.ac.in</v>
      </c>
    </row>
    <row r="22" ht="48.0" customHeight="1">
      <c r="A22" s="14">
        <v>21.0</v>
      </c>
      <c r="B22" s="14" t="s">
        <v>43</v>
      </c>
      <c r="C22" s="1" t="s">
        <v>1596</v>
      </c>
      <c r="D22" s="1" t="s">
        <v>1573</v>
      </c>
      <c r="E22" s="1" t="s">
        <v>1608</v>
      </c>
      <c r="F22" s="4" t="s">
        <v>1609</v>
      </c>
      <c r="G22" s="1" t="s">
        <v>1588</v>
      </c>
      <c r="H22" s="1">
        <v>2.0</v>
      </c>
      <c r="I22" s="1">
        <v>0.0</v>
      </c>
      <c r="J22" s="1">
        <v>0.0</v>
      </c>
      <c r="K22" s="1">
        <v>2.0</v>
      </c>
      <c r="L22" s="25" t="s">
        <v>626</v>
      </c>
      <c r="M22" s="121" t="str">
        <f>IFNA(VLOOKUP(L22,'Faculty Details'!$B:$H,4,0),"")</f>
        <v>Dr.VISWANATHAN G</v>
      </c>
      <c r="N22" s="121" t="str">
        <f>IFNA(VLOOKUP(L22,'Faculty Details'!$B:$H,7,0),"")</f>
        <v>viswanathan@bitsathy.ac.in</v>
      </c>
    </row>
    <row r="23" ht="48.0" customHeight="1">
      <c r="A23" s="14">
        <v>22.0</v>
      </c>
      <c r="B23" s="14" t="s">
        <v>43</v>
      </c>
      <c r="C23" s="1" t="s">
        <v>1596</v>
      </c>
      <c r="D23" s="1" t="s">
        <v>1573</v>
      </c>
      <c r="E23" s="1" t="s">
        <v>1610</v>
      </c>
      <c r="F23" s="34" t="s">
        <v>1611</v>
      </c>
      <c r="G23" s="1" t="s">
        <v>1588</v>
      </c>
      <c r="H23" s="1">
        <v>0.0</v>
      </c>
      <c r="I23" s="1">
        <v>0.0</v>
      </c>
      <c r="J23" s="1">
        <v>2.0</v>
      </c>
      <c r="K23" s="1">
        <v>1.0</v>
      </c>
      <c r="L23" s="25" t="s">
        <v>1127</v>
      </c>
      <c r="M23" s="121" t="str">
        <f>IFNA(VLOOKUP(L23,'Faculty Details'!$B:$H,4,0),"")</f>
        <v>Dr.NITHYA S</v>
      </c>
      <c r="N23" s="121" t="str">
        <f>IFNA(VLOOKUP(L23,'Faculty Details'!$B:$H,7,0),"")</f>
        <v>nithyas@bitsathy.ac.in</v>
      </c>
    </row>
    <row r="24" ht="48.0" customHeight="1">
      <c r="A24" s="14">
        <v>23.0</v>
      </c>
      <c r="B24" s="14" t="s">
        <v>43</v>
      </c>
      <c r="C24" s="1" t="s">
        <v>1949</v>
      </c>
      <c r="D24" s="1" t="s">
        <v>1573</v>
      </c>
      <c r="E24" s="1" t="s">
        <v>1950</v>
      </c>
      <c r="F24" s="4" t="s">
        <v>1951</v>
      </c>
      <c r="G24" s="1" t="s">
        <v>1576</v>
      </c>
      <c r="H24" s="1">
        <v>3.0</v>
      </c>
      <c r="I24" s="1">
        <v>0.0</v>
      </c>
      <c r="J24" s="1">
        <v>0.0</v>
      </c>
      <c r="K24" s="1">
        <v>3.0</v>
      </c>
      <c r="L24" s="25" t="s">
        <v>1419</v>
      </c>
      <c r="M24" s="121" t="str">
        <f>IFNA(VLOOKUP(L24,'Faculty Details'!$B:$H,4,0),"")</f>
        <v>Dr.PAVANADITYA BADIDA</v>
      </c>
      <c r="N24" s="121" t="str">
        <f>IFNA(VLOOKUP(L24,'Faculty Details'!$B:$H,7,0),"")</f>
        <v>pavanaditya@bitsathy.ac.in</v>
      </c>
    </row>
    <row r="25" ht="48.0" customHeight="1">
      <c r="A25" s="14">
        <v>24.0</v>
      </c>
      <c r="B25" s="14" t="s">
        <v>43</v>
      </c>
      <c r="C25" s="1" t="s">
        <v>1949</v>
      </c>
      <c r="D25" s="1" t="s">
        <v>1573</v>
      </c>
      <c r="E25" s="1" t="s">
        <v>1952</v>
      </c>
      <c r="F25" s="4" t="s">
        <v>1953</v>
      </c>
      <c r="G25" s="1" t="s">
        <v>1576</v>
      </c>
      <c r="H25" s="1">
        <v>3.0</v>
      </c>
      <c r="I25" s="1">
        <v>0.0</v>
      </c>
      <c r="J25" s="1">
        <v>0.0</v>
      </c>
      <c r="K25" s="1">
        <v>3.0</v>
      </c>
      <c r="L25" s="25" t="s">
        <v>1419</v>
      </c>
      <c r="M25" s="121" t="str">
        <f>IFNA(VLOOKUP(L25,'Faculty Details'!$B:$H,4,0),"")</f>
        <v>Dr.PAVANADITYA BADIDA</v>
      </c>
      <c r="N25" s="121" t="str">
        <f>IFNA(VLOOKUP(L25,'Faculty Details'!$B:$H,7,0),"")</f>
        <v>pavanaditya@bitsathy.ac.in</v>
      </c>
    </row>
    <row r="26" ht="48.0" customHeight="1">
      <c r="A26" s="14">
        <v>25.0</v>
      </c>
      <c r="B26" s="14" t="s">
        <v>43</v>
      </c>
      <c r="C26" s="1" t="s">
        <v>1949</v>
      </c>
      <c r="D26" s="1" t="s">
        <v>1573</v>
      </c>
      <c r="E26" s="1" t="s">
        <v>1954</v>
      </c>
      <c r="F26" s="4" t="s">
        <v>1955</v>
      </c>
      <c r="G26" s="1" t="s">
        <v>1576</v>
      </c>
      <c r="H26" s="1">
        <v>3.0</v>
      </c>
      <c r="I26" s="1">
        <v>0.0</v>
      </c>
      <c r="J26" s="1">
        <v>0.0</v>
      </c>
      <c r="K26" s="1">
        <v>3.0</v>
      </c>
      <c r="L26" s="25" t="s">
        <v>1385</v>
      </c>
      <c r="M26" s="121" t="str">
        <f>IFNA(VLOOKUP(L26,'Faculty Details'!$B:$H,4,0),"")</f>
        <v>Dr.MUTHUKUMAR K</v>
      </c>
      <c r="N26" s="121" t="str">
        <f>IFNA(VLOOKUP(L26,'Faculty Details'!$B:$H,7,0),"")</f>
        <v>muthukumarkm@bitsathy.ac.in</v>
      </c>
    </row>
    <row r="27" ht="48.0" customHeight="1">
      <c r="A27" s="14">
        <v>26.0</v>
      </c>
      <c r="B27" s="14" t="s">
        <v>43</v>
      </c>
      <c r="C27" s="1" t="s">
        <v>1949</v>
      </c>
      <c r="D27" s="1" t="s">
        <v>1573</v>
      </c>
      <c r="E27" s="1" t="s">
        <v>1956</v>
      </c>
      <c r="F27" s="4" t="s">
        <v>1957</v>
      </c>
      <c r="G27" s="1" t="s">
        <v>1576</v>
      </c>
      <c r="H27" s="1">
        <v>3.0</v>
      </c>
      <c r="I27" s="1">
        <v>0.0</v>
      </c>
      <c r="J27" s="1">
        <v>0.0</v>
      </c>
      <c r="K27" s="1">
        <v>3.0</v>
      </c>
      <c r="L27" s="25" t="s">
        <v>1416</v>
      </c>
      <c r="M27" s="121" t="str">
        <f>IFNA(VLOOKUP(L27,'Faculty Details'!$B:$H,4,0),"")</f>
        <v>Mr.JOSEPH SILVESTER K</v>
      </c>
      <c r="N27" s="121" t="str">
        <f>IFNA(VLOOKUP(L27,'Faculty Details'!$B:$H,7,0),"")</f>
        <v>josephsilvester@bitsathy.ac.in</v>
      </c>
    </row>
    <row r="28" ht="48.0" customHeight="1">
      <c r="A28" s="14">
        <v>27.0</v>
      </c>
      <c r="B28" s="14" t="s">
        <v>43</v>
      </c>
      <c r="C28" s="1" t="s">
        <v>1949</v>
      </c>
      <c r="D28" s="1" t="s">
        <v>1607</v>
      </c>
      <c r="E28" s="122" t="s">
        <v>1958</v>
      </c>
      <c r="F28" s="123" t="s">
        <v>1959</v>
      </c>
      <c r="G28" s="1" t="s">
        <v>1576</v>
      </c>
      <c r="H28" s="1">
        <v>3.0</v>
      </c>
      <c r="I28" s="1">
        <v>0.0</v>
      </c>
      <c r="J28" s="1">
        <v>0.0</v>
      </c>
      <c r="K28" s="1">
        <v>3.0</v>
      </c>
      <c r="L28" s="25" t="s">
        <v>1416</v>
      </c>
      <c r="M28" s="121" t="str">
        <f>IFNA(VLOOKUP(L28,'Faculty Details'!$B:$H,4,0),"")</f>
        <v>Mr.JOSEPH SILVESTER K</v>
      </c>
      <c r="N28" s="121" t="str">
        <f>IFNA(VLOOKUP(L28,'Faculty Details'!$B:$H,7,0),"")</f>
        <v>josephsilvester@bitsathy.ac.in</v>
      </c>
    </row>
    <row r="29" ht="48.0" customHeight="1">
      <c r="A29" s="14">
        <v>28.0</v>
      </c>
      <c r="B29" s="14" t="s">
        <v>43</v>
      </c>
      <c r="C29" s="1" t="s">
        <v>1949</v>
      </c>
      <c r="D29" s="1" t="s">
        <v>1755</v>
      </c>
      <c r="E29" s="1" t="s">
        <v>1960</v>
      </c>
      <c r="F29" s="4" t="s">
        <v>1961</v>
      </c>
      <c r="G29" s="1" t="s">
        <v>1576</v>
      </c>
      <c r="H29" s="1">
        <v>3.0</v>
      </c>
      <c r="I29" s="1">
        <v>0.0</v>
      </c>
      <c r="J29" s="1">
        <v>0.0</v>
      </c>
      <c r="K29" s="1">
        <v>3.0</v>
      </c>
      <c r="L29" s="25" t="s">
        <v>1385</v>
      </c>
      <c r="M29" s="121" t="str">
        <f>IFNA(VLOOKUP(L29,'Faculty Details'!$B:$H,4,0),"")</f>
        <v>Dr.MUTHUKUMAR K</v>
      </c>
      <c r="N29" s="121" t="str">
        <f>IFNA(VLOOKUP(L29,'Faculty Details'!$B:$H,7,0),"")</f>
        <v>muthukumarkm@bitsathy.ac.in</v>
      </c>
    </row>
    <row r="30" ht="48.0" customHeight="1">
      <c r="A30" s="14">
        <v>29.0</v>
      </c>
      <c r="B30" s="14" t="s">
        <v>43</v>
      </c>
      <c r="C30" s="1" t="s">
        <v>1949</v>
      </c>
      <c r="D30" s="1" t="s">
        <v>1573</v>
      </c>
      <c r="E30" s="1" t="s">
        <v>1962</v>
      </c>
      <c r="F30" s="4" t="s">
        <v>1963</v>
      </c>
      <c r="G30" s="1" t="s">
        <v>1588</v>
      </c>
      <c r="H30" s="1">
        <v>0.0</v>
      </c>
      <c r="I30" s="1">
        <v>0.0</v>
      </c>
      <c r="J30" s="1">
        <v>4.0</v>
      </c>
      <c r="K30" s="1">
        <v>3.0</v>
      </c>
      <c r="L30" s="25" t="s">
        <v>1416</v>
      </c>
      <c r="M30" s="121" t="str">
        <f>IFNA(VLOOKUP(L30,'Faculty Details'!$B:$H,4,0),"")</f>
        <v>Mr.JOSEPH SILVESTER K</v>
      </c>
      <c r="N30" s="121" t="str">
        <f>IFNA(VLOOKUP(L30,'Faculty Details'!$B:$H,7,0),"")</f>
        <v>josephsilvester@bitsathy.ac.in</v>
      </c>
    </row>
    <row r="31" ht="48.0" customHeight="1">
      <c r="A31" s="14">
        <v>30.0</v>
      </c>
      <c r="B31" s="14" t="s">
        <v>43</v>
      </c>
      <c r="C31" s="1" t="s">
        <v>1949</v>
      </c>
      <c r="D31" s="1" t="s">
        <v>1628</v>
      </c>
      <c r="E31" s="1" t="s">
        <v>1964</v>
      </c>
      <c r="F31" s="4" t="s">
        <v>1628</v>
      </c>
      <c r="G31" s="1" t="s">
        <v>1588</v>
      </c>
      <c r="H31" s="1">
        <v>0.0</v>
      </c>
      <c r="I31" s="1">
        <v>0.0</v>
      </c>
      <c r="J31" s="1">
        <v>4.0</v>
      </c>
      <c r="K31" s="1">
        <v>3.0</v>
      </c>
      <c r="L31" s="25" t="s">
        <v>1385</v>
      </c>
      <c r="M31" s="121" t="str">
        <f>IFNA(VLOOKUP(L31,'Faculty Details'!$B:$H,4,0),"")</f>
        <v>Dr.MUTHUKUMAR K</v>
      </c>
      <c r="N31" s="121" t="str">
        <f>IFNA(VLOOKUP(L31,'Faculty Details'!$B:$H,7,0),"")</f>
        <v>muthukumarkm@bitsathy.ac.in</v>
      </c>
    </row>
    <row r="32" ht="48.0" customHeight="1">
      <c r="A32" s="14">
        <v>31.0</v>
      </c>
      <c r="B32" s="14" t="s">
        <v>43</v>
      </c>
      <c r="C32" s="1" t="s">
        <v>1949</v>
      </c>
      <c r="D32" s="1" t="s">
        <v>1965</v>
      </c>
      <c r="E32" s="122" t="s">
        <v>1966</v>
      </c>
      <c r="F32" s="123" t="s">
        <v>1967</v>
      </c>
      <c r="G32" s="1" t="s">
        <v>1576</v>
      </c>
      <c r="H32" s="1">
        <v>2.0</v>
      </c>
      <c r="I32" s="1">
        <v>0.0</v>
      </c>
      <c r="J32" s="1">
        <v>0.0</v>
      </c>
      <c r="K32" s="1">
        <v>0.0</v>
      </c>
      <c r="L32" s="25" t="s">
        <v>1419</v>
      </c>
      <c r="M32" s="121" t="str">
        <f>IFNA(VLOOKUP(L32,'Faculty Details'!$B:$H,4,0),"")</f>
        <v>Dr.PAVANADITYA BADIDA</v>
      </c>
      <c r="N32" s="121" t="str">
        <f>IFNA(VLOOKUP(L32,'Faculty Details'!$B:$H,7,0),"")</f>
        <v>pavanaditya@bitsathy.ac.in</v>
      </c>
    </row>
    <row r="33" ht="48.0" customHeight="1">
      <c r="A33" s="14">
        <v>32.0</v>
      </c>
      <c r="B33" s="14" t="s">
        <v>43</v>
      </c>
      <c r="C33" s="1" t="s">
        <v>1949</v>
      </c>
      <c r="D33" s="1" t="s">
        <v>1968</v>
      </c>
      <c r="E33" s="1" t="s">
        <v>1969</v>
      </c>
      <c r="F33" s="4" t="s">
        <v>1970</v>
      </c>
      <c r="G33" s="1" t="s">
        <v>1588</v>
      </c>
      <c r="H33" s="1">
        <v>0.0</v>
      </c>
      <c r="I33" s="1">
        <v>0.0</v>
      </c>
      <c r="J33" s="1">
        <v>12.0</v>
      </c>
      <c r="K33" s="1">
        <v>6.0</v>
      </c>
      <c r="L33" s="25" t="s">
        <v>1385</v>
      </c>
      <c r="M33" s="121" t="str">
        <f>IFNA(VLOOKUP(L33,'Faculty Details'!$B:$H,4,0),"")</f>
        <v>Dr.MUTHUKUMAR K</v>
      </c>
      <c r="N33" s="121" t="str">
        <f>IFNA(VLOOKUP(L33,'Faculty Details'!$B:$H,7,0),"")</f>
        <v>muthukumarkm@bitsathy.ac.in</v>
      </c>
    </row>
    <row r="34" ht="48.0" customHeight="1">
      <c r="A34" s="14">
        <v>33.0</v>
      </c>
      <c r="B34" s="14" t="s">
        <v>43</v>
      </c>
      <c r="C34" s="1" t="s">
        <v>1612</v>
      </c>
      <c r="D34" s="1" t="s">
        <v>1573</v>
      </c>
      <c r="E34" s="1" t="s">
        <v>1971</v>
      </c>
      <c r="F34" s="4" t="s">
        <v>1600</v>
      </c>
      <c r="G34" s="1" t="s">
        <v>1576</v>
      </c>
      <c r="H34" s="1">
        <v>2.0</v>
      </c>
      <c r="I34" s="1">
        <v>1.0</v>
      </c>
      <c r="J34" s="1">
        <v>2.0</v>
      </c>
      <c r="K34" s="1">
        <v>4.0</v>
      </c>
      <c r="L34" s="25" t="s">
        <v>1407</v>
      </c>
      <c r="M34" s="121" t="str">
        <f>IFNA(VLOOKUP(L34,'Faculty Details'!$B:$H,4,0),"")</f>
        <v>Dr.RAVI KUMAR M</v>
      </c>
      <c r="N34" s="121" t="str">
        <f>IFNA(VLOOKUP(L34,'Faculty Details'!$B:$H,7,0),"")</f>
        <v>ravikumarm@bitsathy.ac.in</v>
      </c>
    </row>
    <row r="35" ht="48.0" customHeight="1">
      <c r="A35" s="14">
        <v>34.0</v>
      </c>
      <c r="B35" s="14" t="s">
        <v>43</v>
      </c>
      <c r="C35" s="1" t="s">
        <v>1612</v>
      </c>
      <c r="D35" s="1" t="s">
        <v>1573</v>
      </c>
      <c r="E35" s="1" t="s">
        <v>1971</v>
      </c>
      <c r="F35" s="4" t="s">
        <v>1600</v>
      </c>
      <c r="G35" s="1" t="s">
        <v>1588</v>
      </c>
      <c r="H35" s="1">
        <v>2.0</v>
      </c>
      <c r="I35" s="1">
        <v>1.0</v>
      </c>
      <c r="J35" s="1">
        <v>2.0</v>
      </c>
      <c r="K35" s="1">
        <v>4.0</v>
      </c>
      <c r="L35" s="113" t="s">
        <v>1366</v>
      </c>
      <c r="M35" s="121" t="str">
        <f>IFNA(VLOOKUP(L35,'Faculty Details'!$B:$H,4,0),"")</f>
        <v>Dr.JEGADHEESWARAN S</v>
      </c>
      <c r="N35" s="121" t="str">
        <f>IFNA(VLOOKUP(L35,'Faculty Details'!$B:$H,7,0),"")</f>
        <v>jegadheeswarans@bitsathy.ac.in</v>
      </c>
    </row>
    <row r="36" ht="48.0" customHeight="1">
      <c r="A36" s="14">
        <v>35.0</v>
      </c>
      <c r="B36" s="14" t="s">
        <v>43</v>
      </c>
      <c r="C36" s="1" t="s">
        <v>1612</v>
      </c>
      <c r="D36" s="1" t="s">
        <v>1573</v>
      </c>
      <c r="E36" s="1" t="s">
        <v>1972</v>
      </c>
      <c r="F36" s="4" t="s">
        <v>1973</v>
      </c>
      <c r="G36" s="1" t="s">
        <v>1576</v>
      </c>
      <c r="H36" s="1">
        <v>2.0</v>
      </c>
      <c r="I36" s="1">
        <v>1.0</v>
      </c>
      <c r="J36" s="1">
        <v>2.0</v>
      </c>
      <c r="K36" s="1">
        <v>4.0</v>
      </c>
      <c r="L36" s="25" t="s">
        <v>1453</v>
      </c>
      <c r="M36" s="121" t="str">
        <f>IFNA(VLOOKUP(L36,'Faculty Details'!$B:$H,4,0),"")</f>
        <v>Mr.RAMAKRISHNAN A</v>
      </c>
      <c r="N36" s="121" t="str">
        <f>IFNA(VLOOKUP(L36,'Faculty Details'!$B:$H,7,0),"")</f>
        <v>ramakrishnana@bitsathy.ac.in</v>
      </c>
    </row>
    <row r="37" ht="48.0" customHeight="1">
      <c r="A37" s="14">
        <v>36.0</v>
      </c>
      <c r="B37" s="14" t="s">
        <v>43</v>
      </c>
      <c r="C37" s="1" t="s">
        <v>1612</v>
      </c>
      <c r="D37" s="1" t="s">
        <v>1573</v>
      </c>
      <c r="E37" s="1" t="s">
        <v>1972</v>
      </c>
      <c r="F37" s="4" t="s">
        <v>1973</v>
      </c>
      <c r="G37" s="1" t="s">
        <v>1588</v>
      </c>
      <c r="H37" s="1">
        <v>2.0</v>
      </c>
      <c r="I37" s="1">
        <v>1.0</v>
      </c>
      <c r="J37" s="1">
        <v>2.0</v>
      </c>
      <c r="K37" s="1">
        <v>4.0</v>
      </c>
      <c r="L37" s="25" t="s">
        <v>1453</v>
      </c>
      <c r="M37" s="121" t="str">
        <f>IFNA(VLOOKUP(L37,'Faculty Details'!$B:$H,4,0),"")</f>
        <v>Mr.RAMAKRISHNAN A</v>
      </c>
      <c r="N37" s="121" t="str">
        <f>IFNA(VLOOKUP(L37,'Faculty Details'!$B:$H,7,0),"")</f>
        <v>ramakrishnana@bitsathy.ac.in</v>
      </c>
    </row>
    <row r="38" ht="48.0" customHeight="1">
      <c r="A38" s="14">
        <v>37.0</v>
      </c>
      <c r="B38" s="14" t="s">
        <v>43</v>
      </c>
      <c r="C38" s="1" t="s">
        <v>1612</v>
      </c>
      <c r="D38" s="1" t="s">
        <v>1573</v>
      </c>
      <c r="E38" s="1" t="s">
        <v>1974</v>
      </c>
      <c r="F38" s="4" t="s">
        <v>1975</v>
      </c>
      <c r="G38" s="1" t="s">
        <v>1576</v>
      </c>
      <c r="H38" s="1">
        <v>2.0</v>
      </c>
      <c r="I38" s="1">
        <v>0.0</v>
      </c>
      <c r="J38" s="1">
        <v>2.0</v>
      </c>
      <c r="K38" s="1">
        <v>3.0</v>
      </c>
      <c r="L38" s="25" t="s">
        <v>1389</v>
      </c>
      <c r="M38" s="121" t="str">
        <f>IFNA(VLOOKUP(L38,'Faculty Details'!$B:$H,4,0),"")</f>
        <v>Mr.RAMACHANDRA RAJU K</v>
      </c>
      <c r="N38" s="121" t="str">
        <f>IFNA(VLOOKUP(L38,'Faculty Details'!$B:$H,7,0),"")</f>
        <v>ramachandraraju@bitsathy.ac.in</v>
      </c>
    </row>
    <row r="39" ht="48.0" customHeight="1">
      <c r="A39" s="14">
        <v>38.0</v>
      </c>
      <c r="B39" s="14" t="s">
        <v>43</v>
      </c>
      <c r="C39" s="1" t="s">
        <v>1612</v>
      </c>
      <c r="D39" s="1" t="s">
        <v>1573</v>
      </c>
      <c r="E39" s="1" t="s">
        <v>1974</v>
      </c>
      <c r="F39" s="4" t="s">
        <v>1975</v>
      </c>
      <c r="G39" s="1" t="s">
        <v>1588</v>
      </c>
      <c r="H39" s="1">
        <v>2.0</v>
      </c>
      <c r="I39" s="1">
        <v>0.0</v>
      </c>
      <c r="J39" s="1">
        <v>2.0</v>
      </c>
      <c r="K39" s="1">
        <v>3.0</v>
      </c>
      <c r="L39" s="25" t="s">
        <v>1389</v>
      </c>
      <c r="M39" s="121" t="str">
        <f>IFNA(VLOOKUP(L39,'Faculty Details'!$B:$H,4,0),"")</f>
        <v>Mr.RAMACHANDRA RAJU K</v>
      </c>
      <c r="N39" s="121" t="str">
        <f>IFNA(VLOOKUP(L39,'Faculty Details'!$B:$H,7,0),"")</f>
        <v>ramachandraraju@bitsathy.ac.in</v>
      </c>
    </row>
    <row r="40" ht="48.0" customHeight="1">
      <c r="A40" s="14">
        <v>39.0</v>
      </c>
      <c r="B40" s="14" t="s">
        <v>43</v>
      </c>
      <c r="C40" s="1" t="s">
        <v>1612</v>
      </c>
      <c r="D40" s="1" t="s">
        <v>1619</v>
      </c>
      <c r="E40" s="1" t="s">
        <v>235</v>
      </c>
      <c r="F40" s="4" t="s">
        <v>236</v>
      </c>
      <c r="G40" s="1" t="s">
        <v>1576</v>
      </c>
      <c r="H40" s="1">
        <v>3.0</v>
      </c>
      <c r="I40" s="1">
        <v>0.0</v>
      </c>
      <c r="J40" s="1">
        <v>0.0</v>
      </c>
      <c r="K40" s="1">
        <v>3.0</v>
      </c>
      <c r="L40" s="25" t="s">
        <v>1450</v>
      </c>
      <c r="M40" s="121" t="str">
        <f>IFNA(VLOOKUP(L40,'Faculty Details'!$B:$H,4,0),"")</f>
        <v>Dr.SUNDARRAJU G</v>
      </c>
      <c r="N40" s="121" t="str">
        <f>IFNA(VLOOKUP(L40,'Faculty Details'!$B:$H,7,0),"")</f>
        <v>sundarrajug@bitsathy.ac.in</v>
      </c>
    </row>
    <row r="41" ht="48.0" customHeight="1">
      <c r="A41" s="14">
        <v>40.0</v>
      </c>
      <c r="B41" s="14" t="s">
        <v>43</v>
      </c>
      <c r="C41" s="1" t="s">
        <v>1612</v>
      </c>
      <c r="D41" s="1" t="s">
        <v>1620</v>
      </c>
      <c r="E41" s="1" t="s">
        <v>238</v>
      </c>
      <c r="F41" s="4" t="s">
        <v>239</v>
      </c>
      <c r="G41" s="1" t="s">
        <v>1576</v>
      </c>
      <c r="H41" s="1">
        <v>3.0</v>
      </c>
      <c r="I41" s="1">
        <v>0.0</v>
      </c>
      <c r="J41" s="1">
        <v>0.0</v>
      </c>
      <c r="K41" s="1">
        <v>3.0</v>
      </c>
      <c r="L41" s="25" t="s">
        <v>1392</v>
      </c>
      <c r="M41" s="121" t="str">
        <f>IFNA(VLOOKUP(L41,'Faculty Details'!$B:$H,4,0),"")</f>
        <v>Mr.KAMAL BASHA K</v>
      </c>
      <c r="N41" s="121" t="str">
        <f>IFNA(VLOOKUP(L41,'Faculty Details'!$B:$H,7,0),"")</f>
        <v>kamalbasha@bitsathy.ac.in</v>
      </c>
    </row>
    <row r="42" ht="48.0" customHeight="1">
      <c r="A42" s="14">
        <v>41.0</v>
      </c>
      <c r="B42" s="14" t="s">
        <v>43</v>
      </c>
      <c r="C42" s="1" t="s">
        <v>1612</v>
      </c>
      <c r="D42" s="1" t="s">
        <v>1620</v>
      </c>
      <c r="E42" s="1" t="s">
        <v>240</v>
      </c>
      <c r="F42" s="4" t="s">
        <v>241</v>
      </c>
      <c r="G42" s="1" t="s">
        <v>1576</v>
      </c>
      <c r="H42" s="1">
        <v>3.0</v>
      </c>
      <c r="I42" s="1">
        <v>0.0</v>
      </c>
      <c r="J42" s="1">
        <v>0.0</v>
      </c>
      <c r="K42" s="1">
        <v>3.0</v>
      </c>
      <c r="L42" s="25" t="s">
        <v>1376</v>
      </c>
      <c r="M42" s="121" t="str">
        <f>IFNA(VLOOKUP(L42,'Faculty Details'!$B:$H,4,0),"")</f>
        <v>Dr.MADHESWARAN S</v>
      </c>
      <c r="N42" s="121" t="str">
        <f>IFNA(VLOOKUP(L42,'Faculty Details'!$B:$H,7,0),"")</f>
        <v>madheswaran@bitsathy.ac.in</v>
      </c>
    </row>
    <row r="43" ht="48.0" customHeight="1">
      <c r="A43" s="14">
        <v>42.0</v>
      </c>
      <c r="B43" s="14" t="s">
        <v>43</v>
      </c>
      <c r="C43" s="1" t="s">
        <v>1612</v>
      </c>
      <c r="D43" s="1" t="s">
        <v>1621</v>
      </c>
      <c r="E43" s="1" t="s">
        <v>242</v>
      </c>
      <c r="F43" s="4" t="s">
        <v>243</v>
      </c>
      <c r="G43" s="1" t="s">
        <v>1576</v>
      </c>
      <c r="H43" s="1">
        <v>3.0</v>
      </c>
      <c r="I43" s="1">
        <v>0.0</v>
      </c>
      <c r="J43" s="1">
        <v>0.0</v>
      </c>
      <c r="K43" s="1">
        <v>3.0</v>
      </c>
      <c r="L43" s="25" t="s">
        <v>1369</v>
      </c>
      <c r="M43" s="121" t="str">
        <f>IFNA(VLOOKUP(L43,'Faculty Details'!$B:$H,4,0),"")</f>
        <v>Dr.KUMARESAN G</v>
      </c>
      <c r="N43" s="121" t="str">
        <f>IFNA(VLOOKUP(L43,'Faculty Details'!$B:$H,7,0),"")</f>
        <v>kumaresan@bitsathy.ac.in</v>
      </c>
    </row>
    <row r="44" ht="48.0" customHeight="1">
      <c r="A44" s="14">
        <v>43.0</v>
      </c>
      <c r="B44" s="14" t="s">
        <v>43</v>
      </c>
      <c r="C44" s="1" t="s">
        <v>1612</v>
      </c>
      <c r="D44" s="1" t="s">
        <v>1621</v>
      </c>
      <c r="E44" s="1" t="s">
        <v>244</v>
      </c>
      <c r="F44" s="4" t="s">
        <v>245</v>
      </c>
      <c r="G44" s="1" t="s">
        <v>1576</v>
      </c>
      <c r="H44" s="1">
        <v>3.0</v>
      </c>
      <c r="I44" s="1">
        <v>0.0</v>
      </c>
      <c r="J44" s="1">
        <v>0.0</v>
      </c>
      <c r="K44" s="1">
        <v>3.0</v>
      </c>
      <c r="L44" s="25" t="s">
        <v>1432</v>
      </c>
      <c r="M44" s="121" t="str">
        <f>IFNA(VLOOKUP(L44,'Faculty Details'!$B:$H,4,0),"")</f>
        <v>Dr.ANANDHA MOORTHY A</v>
      </c>
      <c r="N44" s="121" t="str">
        <f>IFNA(VLOOKUP(L44,'Faculty Details'!$B:$H,7,0),"")</f>
        <v>anandhamoorthya@bitsathy.ac.in</v>
      </c>
    </row>
    <row r="45" ht="48.0" customHeight="1">
      <c r="A45" s="14">
        <v>44.0</v>
      </c>
      <c r="B45" s="14" t="s">
        <v>43</v>
      </c>
      <c r="C45" s="1" t="s">
        <v>1612</v>
      </c>
      <c r="D45" s="1" t="s">
        <v>1622</v>
      </c>
      <c r="E45" s="1" t="s">
        <v>229</v>
      </c>
      <c r="F45" s="4" t="s">
        <v>230</v>
      </c>
      <c r="G45" s="1" t="s">
        <v>1576</v>
      </c>
      <c r="H45" s="1">
        <v>3.0</v>
      </c>
      <c r="I45" s="1">
        <v>0.0</v>
      </c>
      <c r="J45" s="1">
        <v>0.0</v>
      </c>
      <c r="K45" s="1">
        <v>3.0</v>
      </c>
      <c r="L45" s="81" t="s">
        <v>1524</v>
      </c>
      <c r="M45" s="121" t="str">
        <f>IFNA(VLOOKUP(L45,'Faculty Details'!$B:$H,4,0),"")</f>
        <v>Dr.VIDHYA S</v>
      </c>
      <c r="N45" s="121" t="str">
        <f>IFNA(VLOOKUP(L45,'Faculty Details'!$B:$H,7,0),"")</f>
        <v>vidhyas@bitsathy.ac.in</v>
      </c>
    </row>
    <row r="46" ht="48.0" customHeight="1">
      <c r="A46" s="14">
        <v>45.0</v>
      </c>
      <c r="B46" s="14" t="s">
        <v>43</v>
      </c>
      <c r="C46" s="1" t="s">
        <v>1612</v>
      </c>
      <c r="D46" s="1" t="s">
        <v>1622</v>
      </c>
      <c r="E46" s="1" t="s">
        <v>227</v>
      </c>
      <c r="F46" s="4" t="s">
        <v>228</v>
      </c>
      <c r="G46" s="1" t="s">
        <v>1576</v>
      </c>
      <c r="H46" s="1">
        <v>3.0</v>
      </c>
      <c r="I46" s="1">
        <v>0.0</v>
      </c>
      <c r="J46" s="1">
        <v>0.0</v>
      </c>
      <c r="K46" s="1">
        <v>3.0</v>
      </c>
      <c r="L46" s="25" t="s">
        <v>1404</v>
      </c>
      <c r="M46" s="121" t="str">
        <f>IFNA(VLOOKUP(L46,'Faculty Details'!$B:$H,4,0),"")</f>
        <v>Mr.CHANDRASEKARAN M</v>
      </c>
      <c r="N46" s="121" t="str">
        <f>IFNA(VLOOKUP(L46,'Faculty Details'!$B:$H,7,0),"")</f>
        <v>chandrasekaran@bitsathy.ac.in</v>
      </c>
    </row>
    <row r="47" ht="48.0" customHeight="1">
      <c r="A47" s="14">
        <v>46.0</v>
      </c>
      <c r="B47" s="14" t="s">
        <v>43</v>
      </c>
      <c r="C47" s="1" t="s">
        <v>1612</v>
      </c>
      <c r="D47" s="1" t="s">
        <v>86</v>
      </c>
      <c r="E47" s="1" t="s">
        <v>233</v>
      </c>
      <c r="F47" s="4" t="s">
        <v>234</v>
      </c>
      <c r="G47" s="1" t="s">
        <v>1576</v>
      </c>
      <c r="H47" s="1">
        <v>3.0</v>
      </c>
      <c r="I47" s="1">
        <v>0.0</v>
      </c>
      <c r="J47" s="1">
        <v>0.0</v>
      </c>
      <c r="K47" s="1">
        <v>3.0</v>
      </c>
      <c r="L47" s="25" t="s">
        <v>1441</v>
      </c>
      <c r="M47" s="121" t="str">
        <f>IFNA(VLOOKUP(L47,'Faculty Details'!$B:$H,4,0),"")</f>
        <v>Dr.VELMURUGAN S</v>
      </c>
      <c r="N47" s="121" t="str">
        <f>IFNA(VLOOKUP(L47,'Faculty Details'!$B:$H,7,0),"")</f>
        <v>velmurugans@bitsathy.ac.in</v>
      </c>
    </row>
    <row r="48" ht="48.0" customHeight="1">
      <c r="A48" s="14">
        <v>47.0</v>
      </c>
      <c r="B48" s="14" t="s">
        <v>43</v>
      </c>
      <c r="C48" s="1" t="s">
        <v>1612</v>
      </c>
      <c r="D48" s="1" t="s">
        <v>86</v>
      </c>
      <c r="E48" s="1" t="s">
        <v>231</v>
      </c>
      <c r="F48" s="4" t="s">
        <v>232</v>
      </c>
      <c r="G48" s="1" t="s">
        <v>1576</v>
      </c>
      <c r="H48" s="1">
        <v>3.0</v>
      </c>
      <c r="I48" s="1">
        <v>0.0</v>
      </c>
      <c r="J48" s="1">
        <v>0.0</v>
      </c>
      <c r="K48" s="1">
        <v>3.0</v>
      </c>
      <c r="L48" s="25" t="s">
        <v>1447</v>
      </c>
      <c r="M48" s="121" t="str">
        <f>IFNA(VLOOKUP(L48,'Faculty Details'!$B:$H,4,0),"")</f>
        <v>Dr.SURESHKUMAR M</v>
      </c>
      <c r="N48" s="121" t="str">
        <f>IFNA(VLOOKUP(L48,'Faculty Details'!$B:$H,7,0),"")</f>
        <v>sureshkumarm@bitsathy.ac.in</v>
      </c>
    </row>
    <row r="49" ht="48.0" customHeight="1">
      <c r="A49" s="14">
        <v>48.0</v>
      </c>
      <c r="B49" s="14" t="s">
        <v>43</v>
      </c>
      <c r="C49" s="1" t="s">
        <v>1612</v>
      </c>
      <c r="D49" s="1" t="s">
        <v>86</v>
      </c>
      <c r="E49" s="1" t="s">
        <v>231</v>
      </c>
      <c r="F49" s="4" t="s">
        <v>232</v>
      </c>
      <c r="G49" s="1" t="s">
        <v>1576</v>
      </c>
      <c r="H49" s="1">
        <v>3.0</v>
      </c>
      <c r="I49" s="1">
        <v>0.0</v>
      </c>
      <c r="J49" s="1">
        <v>0.0</v>
      </c>
      <c r="K49" s="1">
        <v>3.0</v>
      </c>
      <c r="L49" s="25" t="s">
        <v>1398</v>
      </c>
      <c r="M49" s="121" t="str">
        <f>IFNA(VLOOKUP(L49,'Faculty Details'!$B:$H,4,0),"")</f>
        <v>Mr.BOOPATHIRAJA K P</v>
      </c>
      <c r="N49" s="121" t="str">
        <f>IFNA(VLOOKUP(L49,'Faculty Details'!$B:$H,7,0),"")</f>
        <v>boopathiraja@bitsathy.ac.in</v>
      </c>
    </row>
    <row r="50" ht="48.0" customHeight="1">
      <c r="A50" s="14">
        <v>49.0</v>
      </c>
      <c r="B50" s="14" t="s">
        <v>43</v>
      </c>
      <c r="C50" s="1" t="s">
        <v>1612</v>
      </c>
      <c r="D50" s="1" t="s">
        <v>86</v>
      </c>
      <c r="E50" s="1" t="s">
        <v>231</v>
      </c>
      <c r="F50" s="4" t="s">
        <v>232</v>
      </c>
      <c r="G50" s="1" t="s">
        <v>1576</v>
      </c>
      <c r="H50" s="1">
        <v>3.0</v>
      </c>
      <c r="I50" s="1">
        <v>0.0</v>
      </c>
      <c r="J50" s="1">
        <v>0.0</v>
      </c>
      <c r="K50" s="1">
        <v>3.0</v>
      </c>
      <c r="L50" s="25" t="s">
        <v>1459</v>
      </c>
      <c r="M50" s="121" t="str">
        <f>IFNA(VLOOKUP(L50,'Faculty Details'!$B:$H,4,0),"")</f>
        <v>Dr.TAJDEEN A</v>
      </c>
      <c r="N50" s="121" t="str">
        <f>IFNA(VLOOKUP(L50,'Faculty Details'!$B:$H,7,0),"")</f>
        <v>tajdeena@bitsathy.ac.in</v>
      </c>
    </row>
    <row r="51" ht="48.0" customHeight="1">
      <c r="A51" s="14">
        <v>50.0</v>
      </c>
      <c r="B51" s="14" t="s">
        <v>43</v>
      </c>
      <c r="C51" s="1" t="s">
        <v>1612</v>
      </c>
      <c r="D51" s="1" t="s">
        <v>1623</v>
      </c>
      <c r="E51" s="1" t="s">
        <v>1976</v>
      </c>
      <c r="F51" s="4" t="s">
        <v>1977</v>
      </c>
      <c r="G51" s="1" t="s">
        <v>1576</v>
      </c>
      <c r="H51" s="1">
        <v>3.0</v>
      </c>
      <c r="I51" s="1">
        <v>0.0</v>
      </c>
      <c r="J51" s="1">
        <v>0.0</v>
      </c>
      <c r="K51" s="1">
        <v>3.0</v>
      </c>
      <c r="L51" s="25" t="s">
        <v>1453</v>
      </c>
      <c r="M51" s="121" t="str">
        <f>IFNA(VLOOKUP(L51,'Faculty Details'!$B:$H,4,0),"")</f>
        <v>Mr.RAMAKRISHNAN A</v>
      </c>
      <c r="N51" s="121" t="str">
        <f>IFNA(VLOOKUP(L51,'Faculty Details'!$B:$H,7,0),"")</f>
        <v>ramakrishnana@bitsathy.ac.in</v>
      </c>
    </row>
    <row r="52" ht="48.0" customHeight="1">
      <c r="A52" s="14">
        <v>51.0</v>
      </c>
      <c r="B52" s="14" t="s">
        <v>43</v>
      </c>
      <c r="C52" s="1" t="s">
        <v>1612</v>
      </c>
      <c r="D52" s="1" t="s">
        <v>1623</v>
      </c>
      <c r="E52" s="1" t="s">
        <v>1978</v>
      </c>
      <c r="F52" s="4" t="s">
        <v>1979</v>
      </c>
      <c r="G52" s="1" t="s">
        <v>1576</v>
      </c>
      <c r="H52" s="1">
        <v>3.0</v>
      </c>
      <c r="I52" s="1">
        <v>0.0</v>
      </c>
      <c r="J52" s="1">
        <v>0.0</v>
      </c>
      <c r="K52" s="1">
        <v>3.0</v>
      </c>
      <c r="L52" s="25" t="s">
        <v>1447</v>
      </c>
      <c r="M52" s="121" t="str">
        <f>IFNA(VLOOKUP(L52,'Faculty Details'!$B:$H,4,0),"")</f>
        <v>Dr.SURESHKUMAR M</v>
      </c>
      <c r="N52" s="121" t="str">
        <f>IFNA(VLOOKUP(L52,'Faculty Details'!$B:$H,7,0),"")</f>
        <v>sureshkumarm@bitsathy.ac.in</v>
      </c>
    </row>
    <row r="53" ht="48.0" customHeight="1">
      <c r="A53" s="14">
        <v>52.0</v>
      </c>
      <c r="B53" s="14" t="s">
        <v>43</v>
      </c>
      <c r="C53" s="1" t="s">
        <v>1612</v>
      </c>
      <c r="D53" s="1" t="s">
        <v>1573</v>
      </c>
      <c r="E53" s="1" t="s">
        <v>1980</v>
      </c>
      <c r="F53" s="4" t="s">
        <v>1630</v>
      </c>
      <c r="G53" s="1" t="s">
        <v>1588</v>
      </c>
      <c r="H53" s="1">
        <v>0.0</v>
      </c>
      <c r="I53" s="1">
        <v>0.0</v>
      </c>
      <c r="J53" s="1">
        <v>2.0</v>
      </c>
      <c r="K53" s="1">
        <v>1.0</v>
      </c>
      <c r="L53" s="25"/>
      <c r="M53" s="121" t="str">
        <f>IFNA(VLOOKUP(L53,'Faculty Details'!$B:$H,4,0),"")</f>
        <v/>
      </c>
      <c r="N53" s="121" t="str">
        <f>IFNA(VLOOKUP(L53,'Faculty Details'!$B:$H,7,0),"")</f>
        <v/>
      </c>
    </row>
    <row r="54" ht="48.0" customHeight="1">
      <c r="A54" s="14">
        <v>53.0</v>
      </c>
      <c r="B54" s="14" t="s">
        <v>43</v>
      </c>
      <c r="C54" s="1" t="s">
        <v>1631</v>
      </c>
      <c r="D54" s="1" t="s">
        <v>1573</v>
      </c>
      <c r="E54" s="1" t="s">
        <v>1981</v>
      </c>
      <c r="F54" s="4" t="s">
        <v>1634</v>
      </c>
      <c r="G54" s="1" t="s">
        <v>1588</v>
      </c>
      <c r="H54" s="1">
        <v>0.0</v>
      </c>
      <c r="I54" s="1">
        <v>0.0</v>
      </c>
      <c r="J54" s="1">
        <v>18.0</v>
      </c>
      <c r="K54" s="1">
        <v>9.0</v>
      </c>
      <c r="L54" s="25"/>
      <c r="M54" s="121" t="str">
        <f>IFNA(VLOOKUP(L54,'Faculty Details'!$B:$H,4,0),"")</f>
        <v/>
      </c>
      <c r="N54" s="121" t="str">
        <f>IFNA(VLOOKUP(L54,'Faculty Details'!$B:$H,7,0),"")</f>
        <v/>
      </c>
    </row>
  </sheetData>
  <conditionalFormatting sqref="L2:L19 L21:L44 L46:L54">
    <cfRule type="containsBlanks" dxfId="1" priority="1">
      <formula>LEN(TRIM(L2))=0</formula>
    </cfRule>
  </conditionalFormatting>
  <dataValidations>
    <dataValidation type="list" allowBlank="1" showErrorMessage="1" sqref="C2:C54">
      <formula1>"S2,S4,S6,S8,S4-PG"</formula1>
    </dataValidation>
    <dataValidation type="list" allowBlank="1" showErrorMessage="1" sqref="D8:D9">
      <formula1>"CORE,ELECTIVE 1,OPEN ELECTIVE,ELECTIVE 6,ELECTIVE 7,ELECTIVE 8,ELECTIVE 9,HONOURS,MINOR"</formula1>
    </dataValidation>
    <dataValidation type="list" allowBlank="1" showErrorMessage="1" sqref="D11:D21">
      <formula1>"CORE,ELECTIVE 1,OPEN ELECTIVE,ELECTIVE 6,ELECTIVE 7,ELECTIVE 8,ELECTIVE 9,HONOURS,MINOR,LAB,PROJECT,MINI PROJECT"</formula1>
    </dataValidation>
    <dataValidation type="list" allowBlank="1" showErrorMessage="1" sqref="G2:G54">
      <formula1>"THEORY,THEORY WITH LAB,LAB"</formula1>
    </dataValidation>
    <dataValidation type="list" allowBlank="1" showErrorMessage="1" sqref="D2:D7 D34:D54">
      <formula1>"CORE,ELECTIVE 1,OPEN ELECTIVE,ELECTIVE 3,ELECTIVE 4,ELECTIVE 5,ADD COURSE,HONOURS,MINOR"</formula1>
    </dataValidation>
    <dataValidation type="list" allowBlank="1" showErrorMessage="1" sqref="D22:D33">
      <formula1>"CORE,ELECTIVE 1,OPEN ELECTIVE,ADD COURSE,HONOURS,MINOR,MINI PROJECT,ELECTIVE 3,ELECTIVE 4,ELECTIVE 5,ELECTIVE 2,AUDIT COURSE 2,DISSERTATION PHASE 2"</formula1>
    </dataValidation>
    <dataValidation type="list" allowBlank="1" showErrorMessage="1" sqref="D10">
      <formula1>"CORE,ELECTIVE 1,OPEN ELECTIVE,ELECTIVE 6,ELECTIVE 7,ELECTIVE 8,ELECTIVE 9,HONOURS,MINOR,LANGUAGE ELECTIVE"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9.75"/>
    <col customWidth="1" min="3" max="3" width="8.0"/>
    <col customWidth="1" min="4" max="4" width="15.63"/>
    <col customWidth="1" min="5" max="5" width="10.38"/>
    <col customWidth="1" min="6" max="6" width="32.88"/>
    <col customWidth="1" min="7" max="7" width="14.13"/>
    <col customWidth="1" min="8" max="9" width="5.0"/>
    <col customWidth="1" min="10" max="10" width="5.5"/>
    <col customWidth="1" min="11" max="11" width="5.0"/>
    <col customWidth="1" min="13" max="13" width="20.75"/>
    <col customWidth="1" min="14" max="14" width="13.25"/>
  </cols>
  <sheetData>
    <row r="1">
      <c r="A1" s="38" t="s">
        <v>1635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8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8" t="s">
        <v>257</v>
      </c>
      <c r="N1" s="38" t="s">
        <v>1571</v>
      </c>
    </row>
    <row r="2" ht="39.75" customHeight="1">
      <c r="A2" s="25">
        <f t="array" ref="A2:A11">SEQUENCE(COUNTA(B2:B11),1)</f>
        <v>1</v>
      </c>
      <c r="B2" s="25" t="s">
        <v>193</v>
      </c>
      <c r="C2" s="25" t="s">
        <v>1612</v>
      </c>
      <c r="D2" s="25" t="s">
        <v>1573</v>
      </c>
      <c r="E2" s="25" t="s">
        <v>1982</v>
      </c>
      <c r="F2" s="26" t="s">
        <v>1983</v>
      </c>
      <c r="G2" s="25" t="s">
        <v>1576</v>
      </c>
      <c r="H2" s="25">
        <v>3.0</v>
      </c>
      <c r="I2" s="25">
        <v>0.0</v>
      </c>
      <c r="J2" s="25">
        <v>0.0</v>
      </c>
      <c r="K2" s="25">
        <v>3.0</v>
      </c>
      <c r="L2" s="25" t="s">
        <v>1098</v>
      </c>
      <c r="M2" s="28" t="str">
        <f>IFNA(VLOOKUP(L2,'Faculty Details'!$B:$H,4,0),"")</f>
        <v>Mrs.SARANYA D V</v>
      </c>
      <c r="N2" s="28" t="str">
        <f>IFNA(VLOOKUP(L2,'Faculty Details'!$B:$H,7,0),"")</f>
        <v>saranyadv@bitsathy.ac.in</v>
      </c>
    </row>
    <row r="3" ht="39.75" customHeight="1">
      <c r="A3" s="25">
        <v>2.0</v>
      </c>
      <c r="B3" s="25" t="s">
        <v>193</v>
      </c>
      <c r="C3" s="25" t="s">
        <v>1612</v>
      </c>
      <c r="D3" s="25" t="s">
        <v>1573</v>
      </c>
      <c r="E3" s="25" t="s">
        <v>1984</v>
      </c>
      <c r="F3" s="26" t="s">
        <v>1985</v>
      </c>
      <c r="G3" s="25" t="s">
        <v>1576</v>
      </c>
      <c r="H3" s="25">
        <v>3.0</v>
      </c>
      <c r="I3" s="25">
        <v>0.0</v>
      </c>
      <c r="J3" s="25">
        <v>0.0</v>
      </c>
      <c r="K3" s="25">
        <v>3.0</v>
      </c>
      <c r="L3" s="25" t="s">
        <v>1550</v>
      </c>
      <c r="M3" s="28" t="str">
        <f>IFNA(VLOOKUP(L3,'Faculty Details'!$B:$H,4,0),"")</f>
        <v>Dr.JANARTHANAN M</v>
      </c>
      <c r="N3" s="28" t="str">
        <f>IFNA(VLOOKUP(L3,'Faculty Details'!$B:$H,7,0),"")</f>
        <v>janarthanan@bitsathy.ac.in</v>
      </c>
    </row>
    <row r="4" ht="39.75" customHeight="1">
      <c r="A4" s="25">
        <v>3.0</v>
      </c>
      <c r="B4" s="25" t="s">
        <v>193</v>
      </c>
      <c r="C4" s="25" t="s">
        <v>1612</v>
      </c>
      <c r="D4" s="25" t="s">
        <v>1573</v>
      </c>
      <c r="E4" s="25" t="s">
        <v>1986</v>
      </c>
      <c r="F4" s="124" t="s">
        <v>1987</v>
      </c>
      <c r="G4" s="25" t="s">
        <v>1576</v>
      </c>
      <c r="H4" s="25">
        <v>3.0</v>
      </c>
      <c r="I4" s="25">
        <v>1.0</v>
      </c>
      <c r="J4" s="25">
        <v>0.0</v>
      </c>
      <c r="K4" s="25">
        <v>4.0</v>
      </c>
      <c r="L4" s="25" t="s">
        <v>1557</v>
      </c>
      <c r="M4" s="28" t="str">
        <f>IFNA(VLOOKUP(L4,'Faculty Details'!$B:$H,4,0),"")</f>
        <v>Mrs.GAYATHRI R</v>
      </c>
      <c r="N4" s="28" t="str">
        <f>IFNA(VLOOKUP(L4,'Faculty Details'!$B:$H,7,0),"")</f>
        <v>gayathrirtxt@bitsathy.ac.in</v>
      </c>
    </row>
    <row r="5" ht="39.75" customHeight="1">
      <c r="A5" s="25">
        <v>4.0</v>
      </c>
      <c r="B5" s="25" t="s">
        <v>193</v>
      </c>
      <c r="C5" s="25" t="s">
        <v>1612</v>
      </c>
      <c r="D5" s="25" t="s">
        <v>1619</v>
      </c>
      <c r="E5" s="25" t="s">
        <v>194</v>
      </c>
      <c r="F5" s="26" t="s">
        <v>195</v>
      </c>
      <c r="G5" s="25" t="s">
        <v>1576</v>
      </c>
      <c r="H5" s="25">
        <v>3.0</v>
      </c>
      <c r="I5" s="25">
        <v>0.0</v>
      </c>
      <c r="J5" s="25">
        <v>0.0</v>
      </c>
      <c r="K5" s="25">
        <v>3.0</v>
      </c>
      <c r="L5" s="25" t="s">
        <v>1554</v>
      </c>
      <c r="M5" s="28" t="str">
        <f>IFNA(VLOOKUP(L5,'Faculty Details'!$B:$H,4,0),"")</f>
        <v>Mrs.MOUNIKA S</v>
      </c>
      <c r="N5" s="28" t="str">
        <f>IFNA(VLOOKUP(L5,'Faculty Details'!$B:$H,7,0),"")</f>
        <v>mounikas@bitsathy.ac.in</v>
      </c>
    </row>
    <row r="6" ht="39.75" customHeight="1">
      <c r="A6" s="25">
        <v>5.0</v>
      </c>
      <c r="B6" s="25" t="s">
        <v>193</v>
      </c>
      <c r="C6" s="25" t="s">
        <v>1612</v>
      </c>
      <c r="D6" s="25" t="s">
        <v>1620</v>
      </c>
      <c r="E6" s="25" t="s">
        <v>196</v>
      </c>
      <c r="F6" s="26" t="s">
        <v>197</v>
      </c>
      <c r="G6" s="25" t="s">
        <v>1576</v>
      </c>
      <c r="H6" s="25">
        <v>3.0</v>
      </c>
      <c r="I6" s="25">
        <v>0.0</v>
      </c>
      <c r="J6" s="25">
        <v>0.0</v>
      </c>
      <c r="K6" s="25">
        <v>3.0</v>
      </c>
      <c r="L6" s="25" t="s">
        <v>1105</v>
      </c>
      <c r="M6" s="28" t="str">
        <f>IFNA(VLOOKUP(L6,'Faculty Details'!$B:$H,4,0),"")</f>
        <v>Dr.MOHAN BHARATHI C</v>
      </c>
      <c r="N6" s="28" t="str">
        <f>IFNA(VLOOKUP(L6,'Faculty Details'!$B:$H,7,0),"")</f>
        <v>mohanbharathic@bitsathy.ac.in</v>
      </c>
    </row>
    <row r="7" ht="39.75" customHeight="1">
      <c r="A7" s="25">
        <v>6.0</v>
      </c>
      <c r="B7" s="25" t="s">
        <v>193</v>
      </c>
      <c r="C7" s="25" t="s">
        <v>1612</v>
      </c>
      <c r="D7" s="25" t="s">
        <v>1621</v>
      </c>
      <c r="E7" s="25" t="s">
        <v>198</v>
      </c>
      <c r="F7" s="26" t="s">
        <v>199</v>
      </c>
      <c r="G7" s="25" t="s">
        <v>1576</v>
      </c>
      <c r="H7" s="25">
        <v>3.0</v>
      </c>
      <c r="I7" s="25">
        <v>0.0</v>
      </c>
      <c r="J7" s="25">
        <v>0.0</v>
      </c>
      <c r="K7" s="25">
        <v>3.0</v>
      </c>
      <c r="L7" s="25" t="s">
        <v>1102</v>
      </c>
      <c r="M7" s="28" t="str">
        <f>IFNA(VLOOKUP(L7,'Faculty Details'!$B:$H,4,0),"")</f>
        <v>Mrs.MEKALA N</v>
      </c>
      <c r="N7" s="28" t="str">
        <f>IFNA(VLOOKUP(L7,'Faculty Details'!$B:$H,7,0),"")</f>
        <v>mekalan@bitsathy.ac.in</v>
      </c>
    </row>
    <row r="8" ht="39.75" customHeight="1">
      <c r="A8" s="25">
        <v>7.0</v>
      </c>
      <c r="B8" s="25" t="s">
        <v>193</v>
      </c>
      <c r="C8" s="25" t="s">
        <v>1612</v>
      </c>
      <c r="D8" s="25" t="s">
        <v>1623</v>
      </c>
      <c r="E8" s="25" t="s">
        <v>1988</v>
      </c>
      <c r="F8" s="26" t="s">
        <v>245</v>
      </c>
      <c r="G8" s="25" t="s">
        <v>1576</v>
      </c>
      <c r="H8" s="25">
        <v>3.0</v>
      </c>
      <c r="I8" s="25">
        <v>0.0</v>
      </c>
      <c r="J8" s="25">
        <v>0.0</v>
      </c>
      <c r="K8" s="25">
        <v>3.0</v>
      </c>
      <c r="L8" s="25" t="s">
        <v>1102</v>
      </c>
      <c r="M8" s="28" t="str">
        <f>IFNA(VLOOKUP(L8,'Faculty Details'!$B:$H,4,0),"")</f>
        <v>Mrs.MEKALA N</v>
      </c>
      <c r="N8" s="28" t="str">
        <f>IFNA(VLOOKUP(L8,'Faculty Details'!$B:$H,7,0),"")</f>
        <v>mekalan@bitsathy.ac.in</v>
      </c>
    </row>
    <row r="9" ht="39.75" customHeight="1">
      <c r="A9" s="25">
        <v>8.0</v>
      </c>
      <c r="B9" s="25" t="s">
        <v>193</v>
      </c>
      <c r="C9" s="25" t="s">
        <v>1612</v>
      </c>
      <c r="D9" s="25" t="s">
        <v>1623</v>
      </c>
      <c r="E9" s="25" t="s">
        <v>1989</v>
      </c>
      <c r="F9" s="26" t="s">
        <v>1990</v>
      </c>
      <c r="G9" s="25" t="s">
        <v>1576</v>
      </c>
      <c r="H9" s="25">
        <v>3.0</v>
      </c>
      <c r="I9" s="25">
        <v>0.0</v>
      </c>
      <c r="J9" s="25">
        <v>0.0</v>
      </c>
      <c r="K9" s="25">
        <v>3.0</v>
      </c>
      <c r="L9" s="25" t="s">
        <v>1105</v>
      </c>
      <c r="M9" s="28" t="str">
        <f>IFNA(VLOOKUP(L9,'Faculty Details'!$B:$H,4,0),"")</f>
        <v>Dr.MOHAN BHARATHI C</v>
      </c>
      <c r="N9" s="28" t="str">
        <f>IFNA(VLOOKUP(L9,'Faculty Details'!$B:$H,7,0),"")</f>
        <v>mohanbharathic@bitsathy.ac.in</v>
      </c>
    </row>
    <row r="10" ht="39.75" customHeight="1">
      <c r="A10" s="25">
        <v>9.0</v>
      </c>
      <c r="B10" s="25" t="s">
        <v>193</v>
      </c>
      <c r="C10" s="25" t="s">
        <v>1612</v>
      </c>
      <c r="D10" s="25" t="s">
        <v>1628</v>
      </c>
      <c r="E10" s="25" t="s">
        <v>1991</v>
      </c>
      <c r="F10" s="124" t="s">
        <v>1630</v>
      </c>
      <c r="G10" s="25" t="s">
        <v>1588</v>
      </c>
      <c r="H10" s="25">
        <v>0.0</v>
      </c>
      <c r="I10" s="25">
        <v>0.0</v>
      </c>
      <c r="J10" s="25">
        <v>2.0</v>
      </c>
      <c r="K10" s="25">
        <v>1.0</v>
      </c>
      <c r="L10" s="25"/>
      <c r="M10" s="28" t="str">
        <f>IFNA(VLOOKUP(L10,'Faculty Details'!$B:$H,4,0),"")</f>
        <v/>
      </c>
      <c r="N10" s="28" t="str">
        <f>IFNA(VLOOKUP(L10,'Faculty Details'!$B:$H,7,0),"")</f>
        <v/>
      </c>
    </row>
    <row r="11" ht="39.75" customHeight="1">
      <c r="A11" s="25">
        <v>10.0</v>
      </c>
      <c r="B11" s="25" t="s">
        <v>193</v>
      </c>
      <c r="C11" s="25" t="s">
        <v>1631</v>
      </c>
      <c r="D11" s="25" t="s">
        <v>1573</v>
      </c>
      <c r="E11" s="25" t="s">
        <v>1992</v>
      </c>
      <c r="F11" s="26" t="s">
        <v>1634</v>
      </c>
      <c r="G11" s="25" t="s">
        <v>1588</v>
      </c>
      <c r="H11" s="25">
        <v>0.0</v>
      </c>
      <c r="I11" s="25">
        <v>0.0</v>
      </c>
      <c r="J11" s="25">
        <v>18.0</v>
      </c>
      <c r="K11" s="25">
        <v>9.0</v>
      </c>
      <c r="L11" s="25"/>
      <c r="M11" s="28" t="str">
        <f>IFNA(VLOOKUP(L11,'Faculty Details'!$B:$H,4,0),"")</f>
        <v/>
      </c>
      <c r="N11" s="28" t="str">
        <f>IFNA(VLOOKUP(L11,'Faculty Details'!$B:$H,7,0),"")</f>
        <v/>
      </c>
    </row>
  </sheetData>
  <conditionalFormatting sqref="L2:L11">
    <cfRule type="containsBlanks" dxfId="1" priority="1">
      <formula>LEN(TRIM(L2))=0</formula>
    </cfRule>
  </conditionalFormatting>
  <dataValidations>
    <dataValidation type="list" allowBlank="1" showErrorMessage="1" sqref="D2:D6 D11">
      <formula1>"CORE,ELECTIVE 1,OPEN ELECTIVE,ELECTIVE 6,ELECTIVE 7,ELECTIVE 8,ELECTIVE 9,HONOURS,MINOR,ELECTIVE 4,ELECTIVE 3"</formula1>
    </dataValidation>
    <dataValidation type="list" allowBlank="1" showErrorMessage="1" sqref="C2:C11">
      <formula1>"S2,S4,S6,S8"</formula1>
    </dataValidation>
    <dataValidation type="list" allowBlank="1" showErrorMessage="1" sqref="G2:G11">
      <formula1>"THEORY,THEORY WITH LAB,LAB"</formula1>
    </dataValidation>
    <dataValidation type="list" allowBlank="1" showErrorMessage="1" sqref="D7:D10">
      <formula1>"CORE,ELECTIVE 2,OPEN ELECTIVE,ELECTIVE 6,ELECTIVE 7,ELECTIVE 8,ELECTIVE 9,HONOURS,MINOR,LAB,PROJECT,MINI PROJECT,ELECTIVE 3,ELECTIVE 4,ELECTIVE 5"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9.5"/>
    <col customWidth="1" min="3" max="3" width="8.0"/>
    <col customWidth="1" min="4" max="4" width="17.25"/>
    <col customWidth="1" min="5" max="5" width="10.38"/>
    <col customWidth="1" min="6" max="6" width="22.0"/>
    <col customWidth="1" min="7" max="7" width="13.75"/>
    <col customWidth="1" min="8" max="9" width="5.0"/>
    <col customWidth="1" min="10" max="10" width="5.5"/>
    <col customWidth="1" min="11" max="11" width="5.0"/>
    <col customWidth="1" min="13" max="13" width="18.63"/>
    <col customWidth="1" min="14" max="14" width="13.25"/>
  </cols>
  <sheetData>
    <row r="1">
      <c r="A1" s="38" t="s">
        <v>1635</v>
      </c>
      <c r="B1" s="38" t="s">
        <v>1560</v>
      </c>
      <c r="C1" s="38" t="s">
        <v>1561</v>
      </c>
      <c r="D1" s="38" t="s">
        <v>1562</v>
      </c>
      <c r="E1" s="38" t="s">
        <v>1563</v>
      </c>
      <c r="F1" s="39" t="s">
        <v>1564</v>
      </c>
      <c r="G1" s="38" t="s">
        <v>1565</v>
      </c>
      <c r="H1" s="38" t="s">
        <v>1566</v>
      </c>
      <c r="I1" s="38" t="s">
        <v>1567</v>
      </c>
      <c r="J1" s="38" t="s">
        <v>1568</v>
      </c>
      <c r="K1" s="38" t="s">
        <v>1569</v>
      </c>
      <c r="L1" s="38" t="s">
        <v>1570</v>
      </c>
      <c r="M1" s="39" t="s">
        <v>257</v>
      </c>
      <c r="N1" s="38" t="s">
        <v>1571</v>
      </c>
    </row>
    <row r="2" ht="30.75" customHeight="1">
      <c r="A2" s="25">
        <v>1.0</v>
      </c>
      <c r="B2" s="25" t="s">
        <v>1993</v>
      </c>
      <c r="C2" s="1" t="s">
        <v>1631</v>
      </c>
      <c r="D2" s="1" t="s">
        <v>1573</v>
      </c>
      <c r="E2" s="1" t="s">
        <v>1994</v>
      </c>
      <c r="F2" s="4" t="s">
        <v>1634</v>
      </c>
      <c r="G2" s="1" t="s">
        <v>1588</v>
      </c>
      <c r="H2" s="1">
        <v>0.0</v>
      </c>
      <c r="I2" s="1">
        <v>0.0</v>
      </c>
      <c r="J2" s="1">
        <v>18.0</v>
      </c>
      <c r="K2" s="1">
        <v>9.0</v>
      </c>
      <c r="L2" s="1"/>
      <c r="M2" s="121" t="str">
        <f>IFNA(VLOOKUP(L2,'Faculty Details'!$B:$H,4,0),"")</f>
        <v/>
      </c>
      <c r="N2" s="121" t="str">
        <f>IFNA(VLOOKUP(L2,'Faculty Details'!$B:$H,7,0),"")</f>
        <v/>
      </c>
    </row>
  </sheetData>
  <conditionalFormatting sqref="L2">
    <cfRule type="containsBlanks" dxfId="1" priority="1">
      <formula>LEN(TRIM(L2))=0</formula>
    </cfRule>
  </conditionalFormatting>
  <dataValidations>
    <dataValidation type="list" allowBlank="1" showErrorMessage="1" sqref="C2">
      <formula1>"S2,S4,S6,S8"</formula1>
    </dataValidation>
    <dataValidation type="list" allowBlank="1" showErrorMessage="1" sqref="G2">
      <formula1>"THEORY,THEORY WITH LAB,LAB"</formula1>
    </dataValidation>
    <dataValidation type="list" allowBlank="1" showErrorMessage="1" sqref="D2">
      <formula1>"CORE,ELECTIVE 1,OPEN ELECTIVE,ELECTIVE 3,ELECTIVE 4,ELECTIVE 5,ADD COURSE,HONOURS,MINOR"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3" max="3" width="8.0"/>
    <col customWidth="1" min="4" max="4" width="21.13"/>
    <col customWidth="1" min="6" max="6" width="25.63"/>
    <col customWidth="1" min="7" max="7" width="17.0"/>
    <col customWidth="1" min="8" max="9" width="5.0"/>
    <col customWidth="1" min="10" max="10" width="5.5"/>
    <col customWidth="1" min="11" max="11" width="5.0"/>
    <col customWidth="1" min="13" max="13" width="13.88"/>
    <col customWidth="1" min="14" max="14" width="13.5"/>
  </cols>
  <sheetData>
    <row r="1">
      <c r="A1" s="23" t="s">
        <v>1688</v>
      </c>
      <c r="B1" s="23" t="s">
        <v>1560</v>
      </c>
      <c r="C1" s="23" t="s">
        <v>1561</v>
      </c>
      <c r="D1" s="23" t="s">
        <v>1562</v>
      </c>
      <c r="E1" s="23" t="s">
        <v>1563</v>
      </c>
      <c r="F1" s="62" t="s">
        <v>1564</v>
      </c>
      <c r="G1" s="23" t="s">
        <v>1565</v>
      </c>
      <c r="H1" s="23" t="s">
        <v>1566</v>
      </c>
      <c r="I1" s="23" t="s">
        <v>1567</v>
      </c>
      <c r="J1" s="23" t="s">
        <v>1568</v>
      </c>
      <c r="K1" s="23" t="s">
        <v>1569</v>
      </c>
      <c r="L1" s="23" t="s">
        <v>1570</v>
      </c>
      <c r="M1" s="23" t="s">
        <v>257</v>
      </c>
      <c r="N1" s="23" t="s">
        <v>1571</v>
      </c>
    </row>
    <row r="2" ht="37.5" customHeight="1">
      <c r="A2" s="14">
        <v>1.0</v>
      </c>
      <c r="B2" s="14" t="s">
        <v>1995</v>
      </c>
      <c r="C2" s="1" t="s">
        <v>1572</v>
      </c>
      <c r="D2" s="1" t="s">
        <v>1573</v>
      </c>
      <c r="E2" s="1" t="s">
        <v>1996</v>
      </c>
      <c r="F2" s="4" t="s">
        <v>1997</v>
      </c>
      <c r="G2" s="1" t="s">
        <v>1576</v>
      </c>
      <c r="H2" s="1">
        <v>3.0</v>
      </c>
      <c r="I2" s="1">
        <v>0.0</v>
      </c>
      <c r="J2" s="1">
        <v>0.0</v>
      </c>
      <c r="K2" s="1">
        <v>3.0</v>
      </c>
      <c r="L2" s="125" t="s">
        <v>1527</v>
      </c>
      <c r="M2" s="121" t="str">
        <f>IFNA(VLOOKUP(L2,'Faculty Details'!$B:$H,4,0),"")</f>
        <v>Mr.MAGESWARAN J</v>
      </c>
      <c r="N2" s="121" t="str">
        <f>IFNA(VLOOKUP(L2,'Faculty Details'!$B:$H,7,0),"")</f>
        <v>mageswaran@bitsathy.ac.in</v>
      </c>
    </row>
    <row r="3" ht="37.5" customHeight="1">
      <c r="A3" s="14">
        <v>2.0</v>
      </c>
      <c r="B3" s="14" t="s">
        <v>1995</v>
      </c>
      <c r="C3" s="1" t="s">
        <v>1572</v>
      </c>
      <c r="D3" s="1" t="s">
        <v>1573</v>
      </c>
      <c r="E3" s="1" t="s">
        <v>1998</v>
      </c>
      <c r="F3" s="4" t="s">
        <v>1999</v>
      </c>
      <c r="G3" s="1" t="s">
        <v>1576</v>
      </c>
      <c r="H3" s="1">
        <v>3.0</v>
      </c>
      <c r="I3" s="1">
        <v>0.0</v>
      </c>
      <c r="J3" s="1">
        <v>0.0</v>
      </c>
      <c r="K3" s="1">
        <v>3.0</v>
      </c>
      <c r="L3" s="1" t="s">
        <v>1536</v>
      </c>
      <c r="M3" s="121" t="str">
        <f>IFNA(VLOOKUP(L3,'Faculty Details'!$B:$H,4,0),"")</f>
        <v>Dr.ADHINARAYANAN B</v>
      </c>
      <c r="N3" s="121" t="str">
        <f>IFNA(VLOOKUP(L3,'Faculty Details'!$B:$H,7,0),"")</f>
        <v>adhinarayananb@bitsathy.ac.in</v>
      </c>
    </row>
    <row r="4" ht="37.5" customHeight="1">
      <c r="A4" s="14">
        <v>3.0</v>
      </c>
      <c r="B4" s="14" t="s">
        <v>1995</v>
      </c>
      <c r="C4" s="1" t="s">
        <v>1572</v>
      </c>
      <c r="D4" s="1" t="s">
        <v>1573</v>
      </c>
      <c r="E4" s="1" t="s">
        <v>2000</v>
      </c>
      <c r="F4" s="4" t="s">
        <v>2001</v>
      </c>
      <c r="G4" s="1" t="s">
        <v>1576</v>
      </c>
      <c r="H4" s="1">
        <v>3.0</v>
      </c>
      <c r="I4" s="1">
        <v>1.0</v>
      </c>
      <c r="J4" s="1">
        <v>0.0</v>
      </c>
      <c r="K4" s="1">
        <v>4.0</v>
      </c>
      <c r="L4" s="126" t="s">
        <v>1530</v>
      </c>
      <c r="M4" s="121" t="str">
        <f>IFNA(VLOOKUP(L4,'Faculty Details'!$B:$H,4,0),"")</f>
        <v>Mr.SUGANESH S</v>
      </c>
      <c r="N4" s="121" t="str">
        <f>IFNA(VLOOKUP(L4,'Faculty Details'!$B:$H,7,0),"")</f>
        <v>suganeshs@bitsathy.ac.in</v>
      </c>
    </row>
    <row r="5" ht="37.5" customHeight="1">
      <c r="A5" s="14">
        <v>4.0</v>
      </c>
      <c r="B5" s="14" t="s">
        <v>1995</v>
      </c>
      <c r="C5" s="1" t="s">
        <v>1572</v>
      </c>
      <c r="D5" s="1" t="s">
        <v>1573</v>
      </c>
      <c r="E5" s="1" t="s">
        <v>2002</v>
      </c>
      <c r="F5" s="4" t="s">
        <v>142</v>
      </c>
      <c r="G5" s="1" t="s">
        <v>1579</v>
      </c>
      <c r="H5" s="1">
        <v>3.0</v>
      </c>
      <c r="I5" s="1">
        <v>0.0</v>
      </c>
      <c r="J5" s="1">
        <v>2.0</v>
      </c>
      <c r="K5" s="1">
        <v>4.0</v>
      </c>
      <c r="L5" s="126" t="s">
        <v>1518</v>
      </c>
      <c r="M5" s="121" t="str">
        <f>IFNA(VLOOKUP(L5,'Faculty Details'!$B:$H,4,0),"")</f>
        <v>Mr.SENTHIL KUMAR N</v>
      </c>
      <c r="N5" s="121" t="str">
        <f>IFNA(VLOOKUP(L5,'Faculty Details'!$B:$H,7,0),"")</f>
        <v>senthilkumar@bitsathy.ac.in</v>
      </c>
    </row>
    <row r="6" ht="37.5" customHeight="1">
      <c r="A6" s="14">
        <v>5.0</v>
      </c>
      <c r="B6" s="14" t="s">
        <v>1995</v>
      </c>
      <c r="C6" s="1" t="s">
        <v>1572</v>
      </c>
      <c r="D6" s="1" t="s">
        <v>1573</v>
      </c>
      <c r="E6" s="1" t="s">
        <v>2003</v>
      </c>
      <c r="F6" s="4" t="s">
        <v>1710</v>
      </c>
      <c r="G6" s="1" t="s">
        <v>1579</v>
      </c>
      <c r="H6" s="1">
        <v>3.0</v>
      </c>
      <c r="I6" s="1">
        <v>0.0</v>
      </c>
      <c r="J6" s="1">
        <v>2.0</v>
      </c>
      <c r="K6" s="1">
        <v>4.0</v>
      </c>
      <c r="L6" s="1" t="s">
        <v>1544</v>
      </c>
      <c r="M6" s="121" t="str">
        <f>IFNA(VLOOKUP(L6,'Faculty Details'!$B:$H,4,0),"")</f>
        <v>Dr.MURUGAPPAN S</v>
      </c>
      <c r="N6" s="121" t="str">
        <f>IFNA(VLOOKUP(L6,'Faculty Details'!$B:$H,7,0),"")</f>
        <v>murugappans@bitsathy.ac.in</v>
      </c>
    </row>
    <row r="7" ht="37.5" customHeight="1">
      <c r="A7" s="14">
        <v>6.0</v>
      </c>
      <c r="B7" s="14" t="s">
        <v>1995</v>
      </c>
      <c r="C7" s="1" t="s">
        <v>1572</v>
      </c>
      <c r="D7" s="1" t="s">
        <v>1573</v>
      </c>
      <c r="E7" s="1" t="s">
        <v>2004</v>
      </c>
      <c r="F7" s="4" t="s">
        <v>2005</v>
      </c>
      <c r="G7" s="1" t="s">
        <v>1579</v>
      </c>
      <c r="H7" s="1">
        <v>3.0</v>
      </c>
      <c r="I7" s="1">
        <v>0.0</v>
      </c>
      <c r="J7" s="1">
        <v>2.0</v>
      </c>
      <c r="K7" s="1">
        <v>4.0</v>
      </c>
      <c r="L7" s="1" t="s">
        <v>1511</v>
      </c>
      <c r="M7" s="121" t="str">
        <f>IFNA(VLOOKUP(L7,'Faculty Details'!$B:$H,4,0),"")</f>
        <v>Mrs.NANDHINI B</v>
      </c>
      <c r="N7" s="121" t="str">
        <f>IFNA(VLOOKUP(L7,'Faculty Details'!$B:$H,7,0),"")</f>
        <v>nandhinib@bitsathy.ac.in</v>
      </c>
    </row>
    <row r="8" ht="37.5" customHeight="1">
      <c r="A8" s="14">
        <v>7.0</v>
      </c>
      <c r="B8" s="14" t="s">
        <v>1995</v>
      </c>
      <c r="C8" s="1" t="s">
        <v>1572</v>
      </c>
      <c r="D8" s="1" t="s">
        <v>1573</v>
      </c>
      <c r="E8" s="1" t="s">
        <v>2006</v>
      </c>
      <c r="F8" s="4" t="s">
        <v>2007</v>
      </c>
      <c r="G8" s="1" t="s">
        <v>1588</v>
      </c>
      <c r="H8" s="1">
        <v>0.0</v>
      </c>
      <c r="I8" s="1">
        <v>0.0</v>
      </c>
      <c r="J8" s="1">
        <v>4.0</v>
      </c>
      <c r="K8" s="1">
        <v>2.0</v>
      </c>
      <c r="L8" s="1" t="s">
        <v>1521</v>
      </c>
      <c r="M8" s="121" t="str">
        <f>IFNA(VLOOKUP(L8,'Faculty Details'!$B:$H,4,0),"")</f>
        <v>Mrs.AISHWARIYA M R</v>
      </c>
      <c r="N8" s="121" t="str">
        <f>IFNA(VLOOKUP(L8,'Faculty Details'!$B:$H,7,0),"")</f>
        <v>aishwariya@bitsathy.ac.in</v>
      </c>
    </row>
    <row r="9" ht="37.5" customHeight="1">
      <c r="A9" s="14">
        <v>8.0</v>
      </c>
      <c r="B9" s="14" t="s">
        <v>1995</v>
      </c>
      <c r="C9" s="1" t="s">
        <v>1572</v>
      </c>
      <c r="D9" s="1" t="s">
        <v>1632</v>
      </c>
      <c r="E9" s="1" t="s">
        <v>2008</v>
      </c>
      <c r="F9" s="4" t="s">
        <v>2009</v>
      </c>
      <c r="G9" s="1" t="s">
        <v>1588</v>
      </c>
      <c r="H9" s="1">
        <v>0.0</v>
      </c>
      <c r="I9" s="1">
        <v>0.0</v>
      </c>
      <c r="J9" s="1">
        <v>2.0</v>
      </c>
      <c r="K9" s="1">
        <v>1.0</v>
      </c>
      <c r="L9" s="1" t="s">
        <v>1521</v>
      </c>
      <c r="M9" s="121" t="str">
        <f>IFNA(VLOOKUP(L9,'Faculty Details'!$B:$H,4,0),"")</f>
        <v>Mrs.AISHWARIYA M R</v>
      </c>
      <c r="N9" s="121" t="str">
        <f>IFNA(VLOOKUP(L9,'Faculty Details'!$B:$H,7,0),"")</f>
        <v>aishwariya@bitsathy.ac.in</v>
      </c>
    </row>
    <row r="10" ht="37.5" customHeight="1">
      <c r="A10" s="14">
        <v>9.0</v>
      </c>
      <c r="B10" s="14" t="s">
        <v>1995</v>
      </c>
      <c r="C10" s="1" t="s">
        <v>1572</v>
      </c>
      <c r="D10" s="1" t="s">
        <v>2010</v>
      </c>
      <c r="E10" s="1" t="s">
        <v>2011</v>
      </c>
      <c r="F10" s="4" t="s">
        <v>2012</v>
      </c>
      <c r="G10" s="1" t="s">
        <v>1588</v>
      </c>
      <c r="H10" s="1">
        <v>0.0</v>
      </c>
      <c r="I10" s="1">
        <v>0.0</v>
      </c>
      <c r="J10" s="1">
        <v>2.0</v>
      </c>
      <c r="K10" s="1">
        <v>1.0</v>
      </c>
      <c r="L10" s="1" t="s">
        <v>1544</v>
      </c>
      <c r="M10" s="121" t="str">
        <f>IFNA(VLOOKUP(L10,'Faculty Details'!$B:$H,4,0),"")</f>
        <v>Dr.MURUGAPPAN S</v>
      </c>
      <c r="N10" s="121" t="str">
        <f>IFNA(VLOOKUP(L10,'Faculty Details'!$B:$H,7,0),"")</f>
        <v>murugappans@bitsathy.ac.in</v>
      </c>
    </row>
    <row r="11" ht="37.5" customHeight="1">
      <c r="A11" s="14">
        <v>10.0</v>
      </c>
      <c r="B11" s="14" t="s">
        <v>1995</v>
      </c>
      <c r="C11" s="1" t="s">
        <v>1572</v>
      </c>
      <c r="D11" s="1" t="s">
        <v>2013</v>
      </c>
      <c r="E11" s="1" t="s">
        <v>2014</v>
      </c>
      <c r="F11" s="4" t="s">
        <v>2015</v>
      </c>
      <c r="G11" s="1"/>
      <c r="H11" s="1" t="s">
        <v>2016</v>
      </c>
      <c r="I11" s="1" t="s">
        <v>2016</v>
      </c>
      <c r="J11" s="1" t="s">
        <v>2016</v>
      </c>
      <c r="K11" s="1">
        <v>1.0</v>
      </c>
      <c r="L11" s="1" t="s">
        <v>1533</v>
      </c>
      <c r="M11" s="121" t="str">
        <f>IFNA(VLOOKUP(L11,'Faculty Details'!$B:$H,4,0),"")</f>
        <v>Mr.DHANABALU S N</v>
      </c>
      <c r="N11" s="121" t="str">
        <f>IFNA(VLOOKUP(L11,'Faculty Details'!$B:$H,7,0),"")</f>
        <v>dhanabalusn@bitsathy.ac.in</v>
      </c>
    </row>
    <row r="12" ht="37.5" customHeight="1">
      <c r="A12" s="14">
        <v>11.0</v>
      </c>
      <c r="B12" s="14" t="s">
        <v>1995</v>
      </c>
      <c r="C12" s="1" t="s">
        <v>1596</v>
      </c>
      <c r="D12" s="1" t="s">
        <v>1573</v>
      </c>
      <c r="E12" s="1" t="s">
        <v>2017</v>
      </c>
      <c r="F12" s="4" t="s">
        <v>2018</v>
      </c>
      <c r="G12" s="1" t="s">
        <v>1576</v>
      </c>
      <c r="H12" s="1">
        <v>4.0</v>
      </c>
      <c r="I12" s="1">
        <v>0.0</v>
      </c>
      <c r="J12" s="1">
        <v>0.0</v>
      </c>
      <c r="K12" s="1">
        <v>4.0</v>
      </c>
      <c r="L12" s="1" t="s">
        <v>1536</v>
      </c>
      <c r="M12" s="121" t="str">
        <f>IFNA(VLOOKUP(L12,'Faculty Details'!$B:$H,4,0),"")</f>
        <v>Dr.ADHINARAYANAN B</v>
      </c>
      <c r="N12" s="121" t="str">
        <f>IFNA(VLOOKUP(L12,'Faculty Details'!$B:$H,7,0),"")</f>
        <v>adhinarayananb@bitsathy.ac.in</v>
      </c>
    </row>
    <row r="13" ht="37.5" customHeight="1">
      <c r="A13" s="14"/>
      <c r="B13" s="14" t="s">
        <v>1995</v>
      </c>
      <c r="C13" s="1" t="s">
        <v>1596</v>
      </c>
      <c r="D13" s="1" t="s">
        <v>1621</v>
      </c>
      <c r="E13" s="1" t="s">
        <v>2019</v>
      </c>
      <c r="F13" s="4" t="s">
        <v>2020</v>
      </c>
      <c r="G13" s="1" t="s">
        <v>1576</v>
      </c>
      <c r="H13" s="1">
        <v>4.0</v>
      </c>
      <c r="I13" s="1">
        <v>0.0</v>
      </c>
      <c r="J13" s="1">
        <v>0.0</v>
      </c>
      <c r="K13" s="1">
        <v>4.0</v>
      </c>
      <c r="L13" s="1" t="s">
        <v>1511</v>
      </c>
      <c r="M13" s="121" t="str">
        <f>IFNA(VLOOKUP(L13,'Faculty Details'!$B:$H,4,0),"")</f>
        <v>Mrs.NANDHINI B</v>
      </c>
      <c r="N13" s="121" t="str">
        <f>IFNA(VLOOKUP(L13,'Faculty Details'!$B:$H,7,0),"")</f>
        <v>nandhinib@bitsathy.ac.in</v>
      </c>
    </row>
    <row r="14" ht="37.5" customHeight="1">
      <c r="A14" s="14">
        <v>12.0</v>
      </c>
      <c r="B14" s="14" t="s">
        <v>1995</v>
      </c>
      <c r="C14" s="1" t="s">
        <v>1596</v>
      </c>
      <c r="D14" s="1" t="s">
        <v>2021</v>
      </c>
      <c r="E14" s="1" t="s">
        <v>2022</v>
      </c>
      <c r="F14" s="4" t="s">
        <v>2023</v>
      </c>
      <c r="G14" s="1" t="s">
        <v>1576</v>
      </c>
      <c r="H14" s="1">
        <v>4.0</v>
      </c>
      <c r="I14" s="1">
        <v>0.0</v>
      </c>
      <c r="J14" s="1">
        <v>0.0</v>
      </c>
      <c r="K14" s="1">
        <v>4.0</v>
      </c>
      <c r="L14" s="1" t="s">
        <v>1533</v>
      </c>
      <c r="M14" s="121" t="str">
        <f>IFNA(VLOOKUP(L14,'Faculty Details'!$B:$H,4,0),"")</f>
        <v>Mr.DHANABALU S N</v>
      </c>
      <c r="N14" s="121" t="str">
        <f>IFNA(VLOOKUP(L14,'Faculty Details'!$B:$H,7,0),"")</f>
        <v>dhanabalusn@bitsathy.ac.in</v>
      </c>
    </row>
    <row r="15" ht="37.5" customHeight="1">
      <c r="A15" s="14">
        <v>13.0</v>
      </c>
      <c r="B15" s="14" t="s">
        <v>1995</v>
      </c>
      <c r="C15" s="1" t="s">
        <v>1596</v>
      </c>
      <c r="D15" s="1" t="s">
        <v>2024</v>
      </c>
      <c r="E15" s="1" t="s">
        <v>2025</v>
      </c>
      <c r="F15" s="4" t="s">
        <v>2026</v>
      </c>
      <c r="G15" s="1" t="s">
        <v>1576</v>
      </c>
      <c r="H15" s="1">
        <v>4.0</v>
      </c>
      <c r="I15" s="1">
        <v>0.0</v>
      </c>
      <c r="J15" s="1">
        <v>0.0</v>
      </c>
      <c r="K15" s="1">
        <v>4.0</v>
      </c>
      <c r="L15" s="1" t="s">
        <v>1533</v>
      </c>
      <c r="M15" s="121" t="str">
        <f>IFNA(VLOOKUP(L15,'Faculty Details'!$B:$H,4,0),"")</f>
        <v>Mr.DHANABALU S N</v>
      </c>
      <c r="N15" s="121" t="str">
        <f>IFNA(VLOOKUP(L15,'Faculty Details'!$B:$H,7,0),"")</f>
        <v>dhanabalusn@bitsathy.ac.in</v>
      </c>
    </row>
    <row r="16" ht="37.5" customHeight="1">
      <c r="A16" s="14">
        <v>14.0</v>
      </c>
      <c r="B16" s="14" t="s">
        <v>1995</v>
      </c>
      <c r="C16" s="1" t="s">
        <v>1596</v>
      </c>
      <c r="D16" s="1" t="s">
        <v>2027</v>
      </c>
      <c r="E16" s="1" t="s">
        <v>2028</v>
      </c>
      <c r="F16" s="4" t="s">
        <v>2029</v>
      </c>
      <c r="G16" s="1" t="s">
        <v>1576</v>
      </c>
      <c r="H16" s="1">
        <v>4.0</v>
      </c>
      <c r="I16" s="1">
        <v>0.0</v>
      </c>
      <c r="J16" s="1">
        <v>0.0</v>
      </c>
      <c r="K16" s="1">
        <v>4.0</v>
      </c>
      <c r="L16" s="1" t="s">
        <v>1518</v>
      </c>
      <c r="M16" s="121" t="str">
        <f>IFNA(VLOOKUP(L16,'Faculty Details'!$B:$H,4,0),"")</f>
        <v>Mr.SENTHIL KUMAR N</v>
      </c>
      <c r="N16" s="121" t="str">
        <f>IFNA(VLOOKUP(L16,'Faculty Details'!$B:$H,7,0),"")</f>
        <v>senthilkumar@bitsathy.ac.in</v>
      </c>
    </row>
    <row r="17" ht="37.5" customHeight="1">
      <c r="A17" s="14">
        <v>15.0</v>
      </c>
      <c r="B17" s="14" t="s">
        <v>1995</v>
      </c>
      <c r="C17" s="1" t="s">
        <v>1596</v>
      </c>
      <c r="D17" s="1" t="s">
        <v>2024</v>
      </c>
      <c r="E17" s="1" t="s">
        <v>2030</v>
      </c>
      <c r="F17" s="4" t="s">
        <v>2031</v>
      </c>
      <c r="G17" s="1" t="s">
        <v>1576</v>
      </c>
      <c r="H17" s="1">
        <v>4.0</v>
      </c>
      <c r="I17" s="1">
        <v>0.0</v>
      </c>
      <c r="J17" s="1">
        <v>0.0</v>
      </c>
      <c r="K17" s="1">
        <v>4.0</v>
      </c>
      <c r="L17" s="1" t="s">
        <v>1527</v>
      </c>
      <c r="M17" s="121" t="str">
        <f>IFNA(VLOOKUP(L17,'Faculty Details'!$B:$H,4,0),"")</f>
        <v>Mr.MAGESWARAN J</v>
      </c>
      <c r="N17" s="121" t="str">
        <f>IFNA(VLOOKUP(L17,'Faculty Details'!$B:$H,7,0),"")</f>
        <v>mageswaran@bitsathy.ac.in</v>
      </c>
    </row>
    <row r="18" ht="37.5" customHeight="1">
      <c r="A18" s="14">
        <v>16.0</v>
      </c>
      <c r="B18" s="14" t="s">
        <v>1995</v>
      </c>
      <c r="C18" s="1" t="s">
        <v>1596</v>
      </c>
      <c r="D18" s="1" t="s">
        <v>2027</v>
      </c>
      <c r="E18" s="1" t="s">
        <v>2032</v>
      </c>
      <c r="F18" s="4" t="s">
        <v>2033</v>
      </c>
      <c r="G18" s="1" t="s">
        <v>1576</v>
      </c>
      <c r="H18" s="1">
        <v>4.0</v>
      </c>
      <c r="I18" s="1">
        <v>0.0</v>
      </c>
      <c r="J18" s="1">
        <v>0.0</v>
      </c>
      <c r="K18" s="1">
        <v>4.0</v>
      </c>
      <c r="L18" s="1" t="s">
        <v>1530</v>
      </c>
      <c r="M18" s="121" t="str">
        <f>IFNA(VLOOKUP(L18,'Faculty Details'!$B:$H,4,0),"")</f>
        <v>Mr.SUGANESH S</v>
      </c>
      <c r="N18" s="121" t="str">
        <f>IFNA(VLOOKUP(L18,'Faculty Details'!$B:$H,7,0),"")</f>
        <v>suganeshs@bitsathy.ac.in</v>
      </c>
    </row>
    <row r="19" ht="37.5" customHeight="1">
      <c r="A19" s="14">
        <v>17.0</v>
      </c>
      <c r="B19" s="14" t="s">
        <v>1995</v>
      </c>
      <c r="C19" s="1" t="s">
        <v>1596</v>
      </c>
      <c r="D19" s="1" t="s">
        <v>1632</v>
      </c>
      <c r="E19" s="1" t="s">
        <v>2034</v>
      </c>
      <c r="F19" s="4" t="s">
        <v>1632</v>
      </c>
      <c r="G19" s="1"/>
      <c r="H19" s="1" t="s">
        <v>2016</v>
      </c>
      <c r="I19" s="1" t="s">
        <v>2016</v>
      </c>
      <c r="J19" s="1" t="s">
        <v>2016</v>
      </c>
      <c r="K19" s="1">
        <v>6.0</v>
      </c>
      <c r="L19" s="1" t="s">
        <v>1530</v>
      </c>
      <c r="M19" s="121" t="str">
        <f>IFNA(VLOOKUP(L19,'Faculty Details'!$B:$H,4,0),"")</f>
        <v>Mr.SUGANESH S</v>
      </c>
      <c r="N19" s="121" t="str">
        <f>IFNA(VLOOKUP(L19,'Faculty Details'!$B:$H,7,0),"")</f>
        <v>suganeshs@bitsathy.ac.in</v>
      </c>
    </row>
    <row r="20" ht="37.5" customHeight="1">
      <c r="A20" s="14">
        <v>18.0</v>
      </c>
      <c r="B20" s="14" t="s">
        <v>1995</v>
      </c>
      <c r="C20" s="1" t="s">
        <v>1596</v>
      </c>
      <c r="D20" s="1" t="s">
        <v>2013</v>
      </c>
      <c r="E20" s="1" t="s">
        <v>2035</v>
      </c>
      <c r="F20" s="4" t="s">
        <v>2036</v>
      </c>
      <c r="G20" s="1"/>
      <c r="H20" s="1" t="s">
        <v>2016</v>
      </c>
      <c r="I20" s="1" t="s">
        <v>2016</v>
      </c>
      <c r="J20" s="1" t="s">
        <v>2016</v>
      </c>
      <c r="K20" s="1">
        <v>1.0</v>
      </c>
      <c r="L20" s="1" t="s">
        <v>1536</v>
      </c>
      <c r="M20" s="121" t="str">
        <f>IFNA(VLOOKUP(L20,'Faculty Details'!$B:$H,4,0),"")</f>
        <v>Dr.ADHINARAYANAN B</v>
      </c>
      <c r="N20" s="121" t="str">
        <f>IFNA(VLOOKUP(L20,'Faculty Details'!$B:$H,7,0),"")</f>
        <v>adhinarayananb@bitsathy.ac.in</v>
      </c>
    </row>
  </sheetData>
  <conditionalFormatting sqref="L2:L20">
    <cfRule type="containsBlanks" dxfId="1" priority="1">
      <formula>LEN(TRIM(L2))=0</formula>
    </cfRule>
  </conditionalFormatting>
  <dataValidations>
    <dataValidation type="list" allowBlank="1" showErrorMessage="1" sqref="D2:D12 D14:D20">
      <formula1>"CORE,ELECTIVE 1,OPEN ELECTIVE,ELECTIVE 6,ELECTIVE 7,ELECTIVE 8,ELECTIVE 9,HONOURS,MINOR,PROJECT,COMPETITVE EDGE COURSE II,VIVA"</formula1>
    </dataValidation>
    <dataValidation type="list" allowBlank="1" showErrorMessage="1" sqref="C2:C20">
      <formula1>"S2,S4,S6,S8"</formula1>
    </dataValidation>
    <dataValidation type="list" allowBlank="1" showErrorMessage="1" sqref="G2:G20">
      <formula1>"THEORY,THEORY WITH LAB,LAB"</formula1>
    </dataValidation>
    <dataValidation type="list" allowBlank="1" showErrorMessage="1" sqref="D13">
      <formula1>"CORE,ELECTIVE 1,OPEN ELECTIVE,ELECTIVE 6,ELECTIVE 7,ELECTIVE 8,ELECTIVE 9,HONOURS,MINOR,PROJECT,COMPETITVE EDGE COURSE II,VIVA,ELECTIVE 5"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1.13"/>
    <col customWidth="1" min="6" max="6" width="20.25"/>
    <col customWidth="1" min="13" max="13" width="24.25"/>
  </cols>
  <sheetData>
    <row r="1">
      <c r="A1" s="127" t="str">
        <f>IFERROR(__xludf.DUMMYFUNCTION("QUERY({AGRI!B1:N1339;AIDS!B2:N1339;AIML!B2:N1339;BME!B2:N1339;BT!B2:N1339;CIVIL!B2:N1339;CSE!B2:N1339;CSBS!B2:N1339;CSD!B2:N1339;CT!B2:N1339;EEE!B2:N1339;ECE!B2:N1339;EIE!B2:N1339;FT!B2:N1339;FD!B2:N1339;ISE!B2:N1339;IT!B2:N1339;MECH!B2:N1339;MTRS!B2:N133"&amp;"9;TXT!B2:N1339;SMS!B2:N1339}, ""SELECT *"")"),"Dept.")</f>
        <v>Dept.</v>
      </c>
      <c r="B1" s="127" t="str">
        <f>IFERROR(__xludf.DUMMYFUNCTION("""COMPUTED_VALUE"""),"Semester")</f>
        <v>Semester</v>
      </c>
      <c r="C1" s="127" t="str">
        <f>IFERROR(__xludf.DUMMYFUNCTION("""COMPUTED_VALUE"""),"Course Type")</f>
        <v>Course Type</v>
      </c>
      <c r="D1" s="127" t="str">
        <f>IFERROR(__xludf.DUMMYFUNCTION("""COMPUTED_VALUE"""),"Course Code")</f>
        <v>Course Code</v>
      </c>
      <c r="E1" s="128" t="str">
        <f>IFERROR(__xludf.DUMMYFUNCTION("""COMPUTED_VALUE"""),"Course Name")</f>
        <v>Course Name</v>
      </c>
      <c r="F1" s="127" t="str">
        <f>IFERROR(__xludf.DUMMYFUNCTION("""COMPUTED_VALUE"""),"Course Nature")</f>
        <v>Course Nature</v>
      </c>
      <c r="G1" s="127" t="str">
        <f>IFERROR(__xludf.DUMMYFUNCTION("""COMPUTED_VALUE"""),"L")</f>
        <v>L</v>
      </c>
      <c r="H1" s="127" t="str">
        <f>IFERROR(__xludf.DUMMYFUNCTION("""COMPUTED_VALUE"""),"T")</f>
        <v>T</v>
      </c>
      <c r="I1" s="127" t="str">
        <f>IFERROR(__xludf.DUMMYFUNCTION("""COMPUTED_VALUE"""),"P")</f>
        <v>P</v>
      </c>
      <c r="J1" s="127" t="str">
        <f>IFERROR(__xludf.DUMMYFUNCTION("""COMPUTED_VALUE"""),"C")</f>
        <v>C</v>
      </c>
      <c r="K1" s="129" t="str">
        <f>IFERROR(__xludf.DUMMYFUNCTION("""COMPUTED_VALUE"""),"Faculty ID
(ME1880)")</f>
        <v>Faculty ID
(ME1880)</v>
      </c>
      <c r="L1" s="127" t="str">
        <f>IFERROR(__xludf.DUMMYFUNCTION("""COMPUTED_VALUE"""),"Faculty Name")</f>
        <v>Faculty Name</v>
      </c>
      <c r="M1" s="130" t="str">
        <f>IFERROR(__xludf.DUMMYFUNCTION("""COMPUTED_VALUE"""),"Mail ID")</f>
        <v>Mail ID</v>
      </c>
    </row>
    <row r="2" ht="49.5" customHeight="1">
      <c r="A2" s="121" t="str">
        <f>IFERROR(__xludf.DUMMYFUNCTION("""COMPUTED_VALUE"""),"AGRI")</f>
        <v>AGRI</v>
      </c>
      <c r="B2" s="121" t="str">
        <f>IFERROR(__xludf.DUMMYFUNCTION("""COMPUTED_VALUE"""),"S2")</f>
        <v>S2</v>
      </c>
      <c r="C2" s="121" t="str">
        <f>IFERROR(__xludf.DUMMYFUNCTION("""COMPUTED_VALUE"""),"CORE")</f>
        <v>CORE</v>
      </c>
      <c r="D2" s="121" t="str">
        <f>IFERROR(__xludf.DUMMYFUNCTION("""COMPUTED_VALUE"""),"22MA201")</f>
        <v>22MA201</v>
      </c>
      <c r="E2" s="131" t="str">
        <f>IFERROR(__xludf.DUMMYFUNCTION("""COMPUTED_VALUE"""),"ENGINEERING MATHEMATICS II")</f>
        <v>ENGINEERING MATHEMATICS II</v>
      </c>
      <c r="F2" s="121" t="str">
        <f>IFERROR(__xludf.DUMMYFUNCTION("""COMPUTED_VALUE"""),"THEORY")</f>
        <v>THEORY</v>
      </c>
      <c r="G2" s="121">
        <f>IFERROR(__xludf.DUMMYFUNCTION("""COMPUTED_VALUE"""),3.0)</f>
        <v>3</v>
      </c>
      <c r="H2" s="121">
        <f>IFERROR(__xludf.DUMMYFUNCTION("""COMPUTED_VALUE"""),1.0)</f>
        <v>1</v>
      </c>
      <c r="I2" s="121">
        <f>IFERROR(__xludf.DUMMYFUNCTION("""COMPUTED_VALUE"""),0.0)</f>
        <v>0</v>
      </c>
      <c r="J2" s="121">
        <f>IFERROR(__xludf.DUMMYFUNCTION("""COMPUTED_VALUE"""),4.0)</f>
        <v>4</v>
      </c>
      <c r="K2" s="132" t="str">
        <f>IFERROR(__xludf.DUMMYFUNCTION("""COMPUTED_VALUE"""),"MA10071")</f>
        <v>MA10071</v>
      </c>
      <c r="L2" s="121" t="str">
        <f>IFERROR(__xludf.DUMMYFUNCTION("""COMPUTED_VALUE"""),"Mrs.PREETHA R")</f>
        <v>Mrs.PREETHA R</v>
      </c>
      <c r="M2" s="133" t="str">
        <f>IFERROR(__xludf.DUMMYFUNCTION("""COMPUTED_VALUE"""),"preetha@bitsathy.ac.in")</f>
        <v>preetha@bitsathy.ac.in</v>
      </c>
    </row>
    <row r="3" ht="49.5" customHeight="1">
      <c r="A3" s="121" t="str">
        <f>IFERROR(__xludf.DUMMYFUNCTION("""COMPUTED_VALUE"""),"AGRI")</f>
        <v>AGRI</v>
      </c>
      <c r="B3" s="121" t="str">
        <f>IFERROR(__xludf.DUMMYFUNCTION("""COMPUTED_VALUE"""),"S2")</f>
        <v>S2</v>
      </c>
      <c r="C3" s="121" t="str">
        <f>IFERROR(__xludf.DUMMYFUNCTION("""COMPUTED_VALUE"""),"CORE")</f>
        <v>CORE</v>
      </c>
      <c r="D3" s="121" t="str">
        <f>IFERROR(__xludf.DUMMYFUNCTION("""COMPUTED_VALUE"""),"22PH202")</f>
        <v>22PH202</v>
      </c>
      <c r="E3" s="131" t="str">
        <f>IFERROR(__xludf.DUMMYFUNCTION("""COMPUTED_VALUE"""),"ELECTROMAGNETISM AND MODERN PHYSICS")</f>
        <v>ELECTROMAGNETISM AND MODERN PHYSICS</v>
      </c>
      <c r="F3" s="121" t="str">
        <f>IFERROR(__xludf.DUMMYFUNCTION("""COMPUTED_VALUE"""),"THEORY WITH LAB")</f>
        <v>THEORY WITH LAB</v>
      </c>
      <c r="G3" s="121">
        <f>IFERROR(__xludf.DUMMYFUNCTION("""COMPUTED_VALUE"""),2.0)</f>
        <v>2</v>
      </c>
      <c r="H3" s="121">
        <f>IFERROR(__xludf.DUMMYFUNCTION("""COMPUTED_VALUE"""),0.0)</f>
        <v>0</v>
      </c>
      <c r="I3" s="121">
        <f>IFERROR(__xludf.DUMMYFUNCTION("""COMPUTED_VALUE"""),2.0)</f>
        <v>2</v>
      </c>
      <c r="J3" s="121">
        <f>IFERROR(__xludf.DUMMYFUNCTION("""COMPUTED_VALUE"""),3.0)</f>
        <v>3</v>
      </c>
      <c r="K3" s="132" t="str">
        <f>IFERROR(__xludf.DUMMYFUNCTION("""COMPUTED_VALUE"""),"PH11015")</f>
        <v>PH11015</v>
      </c>
      <c r="L3" s="121" t="str">
        <f>IFERROR(__xludf.DUMMYFUNCTION("""COMPUTED_VALUE"""),"Dr.GOPI G")</f>
        <v>Dr.GOPI G</v>
      </c>
      <c r="M3" s="121" t="str">
        <f>IFERROR(__xludf.DUMMYFUNCTION("""COMPUTED_VALUE"""),"gopi@bitsathy.ac.in")</f>
        <v>gopi@bitsathy.ac.in</v>
      </c>
    </row>
    <row r="4" ht="49.5" customHeight="1">
      <c r="A4" s="121" t="str">
        <f>IFERROR(__xludf.DUMMYFUNCTION("""COMPUTED_VALUE"""),"AGRI")</f>
        <v>AGRI</v>
      </c>
      <c r="B4" s="121" t="str">
        <f>IFERROR(__xludf.DUMMYFUNCTION("""COMPUTED_VALUE"""),"S2")</f>
        <v>S2</v>
      </c>
      <c r="C4" s="121" t="str">
        <f>IFERROR(__xludf.DUMMYFUNCTION("""COMPUTED_VALUE"""),"CORE")</f>
        <v>CORE</v>
      </c>
      <c r="D4" s="121" t="str">
        <f>IFERROR(__xludf.DUMMYFUNCTION("""COMPUTED_VALUE"""),"22CH203")</f>
        <v>22CH203</v>
      </c>
      <c r="E4" s="131" t="str">
        <f>IFERROR(__xludf.DUMMYFUNCTION("""COMPUTED_VALUE"""),"ENGINEERING CHEMISTRY II")</f>
        <v>ENGINEERING CHEMISTRY II</v>
      </c>
      <c r="F4" s="121" t="str">
        <f>IFERROR(__xludf.DUMMYFUNCTION("""COMPUTED_VALUE"""),"THEORY WITH LAB")</f>
        <v>THEORY WITH LAB</v>
      </c>
      <c r="G4" s="121">
        <f>IFERROR(__xludf.DUMMYFUNCTION("""COMPUTED_VALUE"""),2.0)</f>
        <v>2</v>
      </c>
      <c r="H4" s="121">
        <f>IFERROR(__xludf.DUMMYFUNCTION("""COMPUTED_VALUE"""),0.0)</f>
        <v>0</v>
      </c>
      <c r="I4" s="121">
        <f>IFERROR(__xludf.DUMMYFUNCTION("""COMPUTED_VALUE"""),2.0)</f>
        <v>2</v>
      </c>
      <c r="J4" s="121">
        <f>IFERROR(__xludf.DUMMYFUNCTION("""COMPUTED_VALUE"""),3.0)</f>
        <v>3</v>
      </c>
      <c r="K4" s="132" t="str">
        <f>IFERROR(__xludf.DUMMYFUNCTION("""COMPUTED_VALUE"""),"CH11057")</f>
        <v>CH11057</v>
      </c>
      <c r="L4" s="121" t="str">
        <f>IFERROR(__xludf.DUMMYFUNCTION("""COMPUTED_VALUE"""),"Dr.KARUPPUSAMY S")</f>
        <v>Dr.KARUPPUSAMY S</v>
      </c>
      <c r="M4" s="121" t="str">
        <f>IFERROR(__xludf.DUMMYFUNCTION("""COMPUTED_VALUE"""),"karuppusamys@bitsathy.ac.in")</f>
        <v>karuppusamys@bitsathy.ac.in</v>
      </c>
    </row>
    <row r="5" ht="49.5" customHeight="1">
      <c r="A5" s="121" t="str">
        <f>IFERROR(__xludf.DUMMYFUNCTION("""COMPUTED_VALUE"""),"AGRI")</f>
        <v>AGRI</v>
      </c>
      <c r="B5" s="121" t="str">
        <f>IFERROR(__xludf.DUMMYFUNCTION("""COMPUTED_VALUE"""),"S2")</f>
        <v>S2</v>
      </c>
      <c r="C5" s="121" t="str">
        <f>IFERROR(__xludf.DUMMYFUNCTION("""COMPUTED_VALUE"""),"CORE")</f>
        <v>CORE</v>
      </c>
      <c r="D5" s="121" t="str">
        <f>IFERROR(__xludf.DUMMYFUNCTION("""COMPUTED_VALUE"""),"22GE002")</f>
        <v>22GE002</v>
      </c>
      <c r="E5" s="131" t="str">
        <f>IFERROR(__xludf.DUMMYFUNCTION("""COMPUTED_VALUE"""),"COMPUTATIONAL PROBLEM SOLVING")</f>
        <v>COMPUTATIONAL PROBLEM SOLVING</v>
      </c>
      <c r="F5" s="121" t="str">
        <f>IFERROR(__xludf.DUMMYFUNCTION("""COMPUTED_VALUE"""),"THEORY")</f>
        <v>THEORY</v>
      </c>
      <c r="G5" s="121">
        <f>IFERROR(__xludf.DUMMYFUNCTION("""COMPUTED_VALUE"""),3.0)</f>
        <v>3</v>
      </c>
      <c r="H5" s="121">
        <f>IFERROR(__xludf.DUMMYFUNCTION("""COMPUTED_VALUE"""),0.0)</f>
        <v>0</v>
      </c>
      <c r="I5" s="121">
        <f>IFERROR(__xludf.DUMMYFUNCTION("""COMPUTED_VALUE"""),0.0)</f>
        <v>0</v>
      </c>
      <c r="J5" s="121">
        <f>IFERROR(__xludf.DUMMYFUNCTION("""COMPUTED_VALUE"""),3.0)</f>
        <v>3</v>
      </c>
      <c r="K5" s="132" t="str">
        <f>IFERROR(__xludf.DUMMYFUNCTION("""COMPUTED_VALUE"""),"CS11119")</f>
        <v>CS11119</v>
      </c>
      <c r="L5" s="121" t="str">
        <f>IFERROR(__xludf.DUMMYFUNCTION("""COMPUTED_VALUE"""),"Ms.PARKAVI S")</f>
        <v>Ms.PARKAVI S</v>
      </c>
      <c r="M5" s="121" t="str">
        <f>IFERROR(__xludf.DUMMYFUNCTION("""COMPUTED_VALUE"""),"parkavi@bitsathy.ac.in")</f>
        <v>parkavi@bitsathy.ac.in</v>
      </c>
    </row>
    <row r="6" ht="49.5" customHeight="1">
      <c r="A6" s="121" t="str">
        <f>IFERROR(__xludf.DUMMYFUNCTION("""COMPUTED_VALUE"""),"AGRI")</f>
        <v>AGRI</v>
      </c>
      <c r="B6" s="121" t="str">
        <f>IFERROR(__xludf.DUMMYFUNCTION("""COMPUTED_VALUE"""),"S2")</f>
        <v>S2</v>
      </c>
      <c r="C6" s="121" t="str">
        <f>IFERROR(__xludf.DUMMYFUNCTION("""COMPUTED_VALUE"""),"CORE")</f>
        <v>CORE</v>
      </c>
      <c r="D6" s="121" t="str">
        <f>IFERROR(__xludf.DUMMYFUNCTION("""COMPUTED_VALUE"""),"22GE004")</f>
        <v>22GE004</v>
      </c>
      <c r="E6" s="131" t="str">
        <f>IFERROR(__xludf.DUMMYFUNCTION("""COMPUTED_VALUE"""),"BASICS OF ELECTRONICS ENGINEERING")</f>
        <v>BASICS OF ELECTRONICS ENGINEERING</v>
      </c>
      <c r="F6" s="121" t="str">
        <f>IFERROR(__xludf.DUMMYFUNCTION("""COMPUTED_VALUE"""),"THEORY WITH LAB")</f>
        <v>THEORY WITH LAB</v>
      </c>
      <c r="G6" s="121">
        <f>IFERROR(__xludf.DUMMYFUNCTION("""COMPUTED_VALUE"""),2.0)</f>
        <v>2</v>
      </c>
      <c r="H6" s="121">
        <f>IFERROR(__xludf.DUMMYFUNCTION("""COMPUTED_VALUE"""),0.0)</f>
        <v>0</v>
      </c>
      <c r="I6" s="121">
        <f>IFERROR(__xludf.DUMMYFUNCTION("""COMPUTED_VALUE"""),2.0)</f>
        <v>2</v>
      </c>
      <c r="J6" s="121">
        <f>IFERROR(__xludf.DUMMYFUNCTION("""COMPUTED_VALUE"""),3.0)</f>
        <v>3</v>
      </c>
      <c r="K6" s="132" t="str">
        <f>IFERROR(__xludf.DUMMYFUNCTION("""COMPUTED_VALUE"""),"EC11131")</f>
        <v>EC11131</v>
      </c>
      <c r="L6" s="121" t="str">
        <f>IFERROR(__xludf.DUMMYFUNCTION("""COMPUTED_VALUE"""),"Dr.SANKARANANTH S")</f>
        <v>Dr.SANKARANANTH S</v>
      </c>
      <c r="M6" s="133" t="str">
        <f>IFERROR(__xludf.DUMMYFUNCTION("""COMPUTED_VALUE"""),"sankarananth@bitsathy.ac.in")</f>
        <v>sankarananth@bitsathy.ac.in</v>
      </c>
    </row>
    <row r="7" ht="49.5" customHeight="1">
      <c r="A7" s="121" t="str">
        <f>IFERROR(__xludf.DUMMYFUNCTION("""COMPUTED_VALUE"""),"AGRI")</f>
        <v>AGRI</v>
      </c>
      <c r="B7" s="121" t="str">
        <f>IFERROR(__xludf.DUMMYFUNCTION("""COMPUTED_VALUE"""),"S2")</f>
        <v>S2</v>
      </c>
      <c r="C7" s="121" t="str">
        <f>IFERROR(__xludf.DUMMYFUNCTION("""COMPUTED_VALUE"""),"CORE")</f>
        <v>CORE</v>
      </c>
      <c r="D7" s="121" t="str">
        <f>IFERROR(__xludf.DUMMYFUNCTION("""COMPUTED_VALUE"""),"22HS002")</f>
        <v>22HS002</v>
      </c>
      <c r="E7" s="131" t="str">
        <f>IFERROR(__xludf.DUMMYFUNCTION("""COMPUTED_VALUE"""),"STARTUP MANAGEMENT")</f>
        <v>STARTUP MANAGEMENT</v>
      </c>
      <c r="F7" s="121" t="str">
        <f>IFERROR(__xludf.DUMMYFUNCTION("""COMPUTED_VALUE"""),"LAB")</f>
        <v>LAB</v>
      </c>
      <c r="G7" s="121">
        <f>IFERROR(__xludf.DUMMYFUNCTION("""COMPUTED_VALUE"""),1.0)</f>
        <v>1</v>
      </c>
      <c r="H7" s="121">
        <f>IFERROR(__xludf.DUMMYFUNCTION("""COMPUTED_VALUE"""),0.0)</f>
        <v>0</v>
      </c>
      <c r="I7" s="121">
        <f>IFERROR(__xludf.DUMMYFUNCTION("""COMPUTED_VALUE"""),2.0)</f>
        <v>2</v>
      </c>
      <c r="J7" s="121">
        <f>IFERROR(__xludf.DUMMYFUNCTION("""COMPUTED_VALUE"""),2.0)</f>
        <v>2</v>
      </c>
      <c r="K7" s="132" t="str">
        <f>IFERROR(__xludf.DUMMYFUNCTION("""COMPUTED_VALUE"""),"AG11083")</f>
        <v>AG11083</v>
      </c>
      <c r="L7" s="121" t="str">
        <f>IFERROR(__xludf.DUMMYFUNCTION("""COMPUTED_VALUE"""),"Dr.RAGHUL S")</f>
        <v>Dr.RAGHUL S</v>
      </c>
      <c r="M7" s="121" t="str">
        <f>IFERROR(__xludf.DUMMYFUNCTION("""COMPUTED_VALUE"""),"raghul@bitsathy.ac.in")</f>
        <v>raghul@bitsathy.ac.in</v>
      </c>
    </row>
    <row r="8" ht="49.5" customHeight="1">
      <c r="A8" s="121" t="str">
        <f>IFERROR(__xludf.DUMMYFUNCTION("""COMPUTED_VALUE"""),"AGRI")</f>
        <v>AGRI</v>
      </c>
      <c r="B8" s="121" t="str">
        <f>IFERROR(__xludf.DUMMYFUNCTION("""COMPUTED_VALUE"""),"S2")</f>
        <v>S2</v>
      </c>
      <c r="C8" s="121" t="str">
        <f>IFERROR(__xludf.DUMMYFUNCTION("""COMPUTED_VALUE"""),"CORE")</f>
        <v>CORE</v>
      </c>
      <c r="D8" s="121" t="str">
        <f>IFERROR(__xludf.DUMMYFUNCTION("""COMPUTED_VALUE"""),"22HS006")</f>
        <v>22HS006</v>
      </c>
      <c r="E8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8" s="121" t="str">
        <f>IFERROR(__xludf.DUMMYFUNCTION("""COMPUTED_VALUE"""),"LAB")</f>
        <v>LAB</v>
      </c>
      <c r="G8" s="121">
        <f>IFERROR(__xludf.DUMMYFUNCTION("""COMPUTED_VALUE"""),1.0)</f>
        <v>1</v>
      </c>
      <c r="H8" s="121">
        <f>IFERROR(__xludf.DUMMYFUNCTION("""COMPUTED_VALUE"""),0.0)</f>
        <v>0</v>
      </c>
      <c r="I8" s="121">
        <f>IFERROR(__xludf.DUMMYFUNCTION("""COMPUTED_VALUE"""),0.0)</f>
        <v>0</v>
      </c>
      <c r="J8" s="121">
        <f>IFERROR(__xludf.DUMMYFUNCTION("""COMPUTED_VALUE"""),1.0)</f>
        <v>1</v>
      </c>
      <c r="K8" s="132" t="str">
        <f>IFERROR(__xludf.DUMMYFUNCTION("""COMPUTED_VALUE"""),"HU11085")</f>
        <v>HU11085</v>
      </c>
      <c r="L8" s="121" t="str">
        <f>IFERROR(__xludf.DUMMYFUNCTION("""COMPUTED_VALUE"""),"Dr.SAGUNTHALA DEVI P")</f>
        <v>Dr.SAGUNTHALA DEVI P</v>
      </c>
      <c r="M8" s="121" t="str">
        <f>IFERROR(__xludf.DUMMYFUNCTION("""COMPUTED_VALUE"""),"sagunthaladevi@bitsathy.ac.in")</f>
        <v>sagunthaladevi@bitsathy.ac.in</v>
      </c>
    </row>
    <row r="9" ht="49.5" customHeight="1">
      <c r="A9" s="121" t="str">
        <f>IFERROR(__xludf.DUMMYFUNCTION("""COMPUTED_VALUE"""),"AGRI")</f>
        <v>AGRI</v>
      </c>
      <c r="B9" s="121" t="str">
        <f>IFERROR(__xludf.DUMMYFUNCTION("""COMPUTED_VALUE"""),"S2")</f>
        <v>S2</v>
      </c>
      <c r="C9" s="121" t="str">
        <f>IFERROR(__xludf.DUMMYFUNCTION("""COMPUTED_VALUE"""),"CORE")</f>
        <v>CORE</v>
      </c>
      <c r="D9" s="121" t="str">
        <f>IFERROR(__xludf.DUMMYFUNCTION("""COMPUTED_VALUE"""),"22HS009")</f>
        <v>22HS009</v>
      </c>
      <c r="E9" s="131" t="str">
        <f>IFERROR(__xludf.DUMMYFUNCTION("""COMPUTED_VALUE"""),"COCURRICULAR AND EXTRACURRICULAR ACTIVITIES")</f>
        <v>COCURRICULAR AND EXTRACURRICULAR ACTIVITIES</v>
      </c>
      <c r="F9" s="121"/>
      <c r="G9" s="121"/>
      <c r="H9" s="121"/>
      <c r="I9" s="121"/>
      <c r="J9" s="121"/>
      <c r="K9" s="132"/>
      <c r="L9" s="121"/>
      <c r="M9" s="121"/>
    </row>
    <row r="10" ht="49.5" customHeight="1">
      <c r="A10" s="121" t="str">
        <f>IFERROR(__xludf.DUMMYFUNCTION("""COMPUTED_VALUE"""),"AGRI")</f>
        <v>AGRI</v>
      </c>
      <c r="B10" s="121" t="str">
        <f>IFERROR(__xludf.DUMMYFUNCTION("""COMPUTED_VALUE"""),"S2")</f>
        <v>S2</v>
      </c>
      <c r="C10" s="121" t="str">
        <f>IFERROR(__xludf.DUMMYFUNCTION("""COMPUTED_VALUE"""),"LANGUAGE ELECTIVE")</f>
        <v>LANGUAGE ELECTIVE</v>
      </c>
      <c r="D10" s="121" t="str">
        <f>IFERROR(__xludf.DUMMYFUNCTION("""COMPUTED_VALUE"""),"22HS201")</f>
        <v>22HS201</v>
      </c>
      <c r="E10" s="131" t="str">
        <f>IFERROR(__xludf.DUMMYFUNCTION("""COMPUTED_VALUE"""),"COMMUNICATIVE ENGLISH II")</f>
        <v>COMMUNICATIVE ENGLISH II</v>
      </c>
      <c r="F10" s="121" t="str">
        <f>IFERROR(__xludf.DUMMYFUNCTION("""COMPUTED_VALUE"""),"LAB")</f>
        <v>LAB</v>
      </c>
      <c r="G10" s="121">
        <f>IFERROR(__xludf.DUMMYFUNCTION("""COMPUTED_VALUE"""),1.0)</f>
        <v>1</v>
      </c>
      <c r="H10" s="121">
        <f>IFERROR(__xludf.DUMMYFUNCTION("""COMPUTED_VALUE"""),0.0)</f>
        <v>0</v>
      </c>
      <c r="I10" s="121">
        <f>IFERROR(__xludf.DUMMYFUNCTION("""COMPUTED_VALUE"""),2.0)</f>
        <v>2</v>
      </c>
      <c r="J10" s="121">
        <f>IFERROR(__xludf.DUMMYFUNCTION("""COMPUTED_VALUE"""),2.0)</f>
        <v>2</v>
      </c>
      <c r="K10" s="132" t="str">
        <f>IFERROR(__xludf.DUMMYFUNCTION("""COMPUTED_VALUE"""),"HU11011")</f>
        <v>HU11011</v>
      </c>
      <c r="L10" s="121" t="str">
        <f>IFERROR(__xludf.DUMMYFUNCTION("""COMPUTED_VALUE"""),"Dr.AJAI A")</f>
        <v>Dr.AJAI A</v>
      </c>
      <c r="M10" s="121" t="str">
        <f>IFERROR(__xludf.DUMMYFUNCTION("""COMPUTED_VALUE"""),"ajai@bitsathy.ac.in")</f>
        <v>ajai@bitsathy.ac.in</v>
      </c>
    </row>
    <row r="11" ht="49.5" customHeight="1">
      <c r="A11" s="121" t="str">
        <f>IFERROR(__xludf.DUMMYFUNCTION("""COMPUTED_VALUE"""),"AGRI")</f>
        <v>AGRI</v>
      </c>
      <c r="B11" s="121" t="str">
        <f>IFERROR(__xludf.DUMMYFUNCTION("""COMPUTED_VALUE"""),"S4")</f>
        <v>S4</v>
      </c>
      <c r="C11" s="121" t="str">
        <f>IFERROR(__xludf.DUMMYFUNCTION("""COMPUTED_VALUE"""),"CORE")</f>
        <v>CORE</v>
      </c>
      <c r="D11" s="121" t="str">
        <f>IFERROR(__xludf.DUMMYFUNCTION("""COMPUTED_VALUE"""),"22AG401")</f>
        <v>22AG401</v>
      </c>
      <c r="E11" s="131" t="str">
        <f>IFERROR(__xludf.DUMMYFUNCTION("""COMPUTED_VALUE"""),"CROP PRODUCTION TECHNOLOGY")</f>
        <v>CROP PRODUCTION TECHNOLOGY</v>
      </c>
      <c r="F11" s="121" t="str">
        <f>IFERROR(__xludf.DUMMYFUNCTION("""COMPUTED_VALUE"""),"THEORY WITH LAB")</f>
        <v>THEORY WITH LAB</v>
      </c>
      <c r="G11" s="121">
        <f>IFERROR(__xludf.DUMMYFUNCTION("""COMPUTED_VALUE"""),3.0)</f>
        <v>3</v>
      </c>
      <c r="H11" s="121">
        <f>IFERROR(__xludf.DUMMYFUNCTION("""COMPUTED_VALUE"""),0.0)</f>
        <v>0</v>
      </c>
      <c r="I11" s="121">
        <f>IFERROR(__xludf.DUMMYFUNCTION("""COMPUTED_VALUE"""),2.0)</f>
        <v>2</v>
      </c>
      <c r="J11" s="121">
        <f>IFERROR(__xludf.DUMMYFUNCTION("""COMPUTED_VALUE"""),4.0)</f>
        <v>4</v>
      </c>
      <c r="K11" s="132" t="str">
        <f>IFERROR(__xludf.DUMMYFUNCTION("""COMPUTED_VALUE"""),"AG11083")</f>
        <v>AG11083</v>
      </c>
      <c r="L11" s="121" t="str">
        <f>IFERROR(__xludf.DUMMYFUNCTION("""COMPUTED_VALUE"""),"Dr.RAGHUL S")</f>
        <v>Dr.RAGHUL S</v>
      </c>
      <c r="M11" s="121" t="str">
        <f>IFERROR(__xludf.DUMMYFUNCTION("""COMPUTED_VALUE"""),"raghul@bitsathy.ac.in")</f>
        <v>raghul@bitsathy.ac.in</v>
      </c>
    </row>
    <row r="12" ht="49.5" customHeight="1">
      <c r="A12" s="121" t="str">
        <f>IFERROR(__xludf.DUMMYFUNCTION("""COMPUTED_VALUE"""),"AGRI")</f>
        <v>AGRI</v>
      </c>
      <c r="B12" s="121" t="str">
        <f>IFERROR(__xludf.DUMMYFUNCTION("""COMPUTED_VALUE"""),"S4")</f>
        <v>S4</v>
      </c>
      <c r="C12" s="121" t="str">
        <f>IFERROR(__xludf.DUMMYFUNCTION("""COMPUTED_VALUE"""),"CORE")</f>
        <v>CORE</v>
      </c>
      <c r="D12" s="121" t="str">
        <f>IFERROR(__xludf.DUMMYFUNCTION("""COMPUTED_VALUE"""),"22AG402")</f>
        <v>22AG402</v>
      </c>
      <c r="E12" s="131" t="str">
        <f>IFERROR(__xludf.DUMMYFUNCTION("""COMPUTED_VALUE"""),"HEAT AND MASS TRANSFER")</f>
        <v>HEAT AND MASS TRANSFER</v>
      </c>
      <c r="F12" s="121" t="str">
        <f>IFERROR(__xludf.DUMMYFUNCTION("""COMPUTED_VALUE"""),"THEORY WITH LAB")</f>
        <v>THEORY WITH LAB</v>
      </c>
      <c r="G12" s="121">
        <f>IFERROR(__xludf.DUMMYFUNCTION("""COMPUTED_VALUE"""),3.0)</f>
        <v>3</v>
      </c>
      <c r="H12" s="121">
        <f>IFERROR(__xludf.DUMMYFUNCTION("""COMPUTED_VALUE"""),0.0)</f>
        <v>0</v>
      </c>
      <c r="I12" s="121">
        <f>IFERROR(__xludf.DUMMYFUNCTION("""COMPUTED_VALUE"""),2.0)</f>
        <v>2</v>
      </c>
      <c r="J12" s="121">
        <f>IFERROR(__xludf.DUMMYFUNCTION("""COMPUTED_VALUE"""),4.0)</f>
        <v>4</v>
      </c>
      <c r="K12" s="132" t="str">
        <f>IFERROR(__xludf.DUMMYFUNCTION("""COMPUTED_VALUE"""),"AG10172")</f>
        <v>AG10172</v>
      </c>
      <c r="L12" s="121" t="str">
        <f>IFERROR(__xludf.DUMMYFUNCTION("""COMPUTED_VALUE"""),"Dr.VINOTH KUMAR J")</f>
        <v>Dr.VINOTH KUMAR J</v>
      </c>
      <c r="M12" s="121" t="str">
        <f>IFERROR(__xludf.DUMMYFUNCTION("""COMPUTED_VALUE"""),"vinothkumar@bitsathy.ac.in")</f>
        <v>vinothkumar@bitsathy.ac.in</v>
      </c>
    </row>
    <row r="13" ht="49.5" customHeight="1">
      <c r="A13" s="121" t="str">
        <f>IFERROR(__xludf.DUMMYFUNCTION("""COMPUTED_VALUE"""),"AGRI")</f>
        <v>AGRI</v>
      </c>
      <c r="B13" s="121" t="str">
        <f>IFERROR(__xludf.DUMMYFUNCTION("""COMPUTED_VALUE"""),"S4")</f>
        <v>S4</v>
      </c>
      <c r="C13" s="121" t="str">
        <f>IFERROR(__xludf.DUMMYFUNCTION("""COMPUTED_VALUE"""),"CORE")</f>
        <v>CORE</v>
      </c>
      <c r="D13" s="121" t="str">
        <f>IFERROR(__xludf.DUMMYFUNCTION("""COMPUTED_VALUE"""),"22AG403")</f>
        <v>22AG403</v>
      </c>
      <c r="E13" s="131" t="str">
        <f>IFERROR(__xludf.DUMMYFUNCTION("""COMPUTED_VALUE"""),"STRENGTH OF MATERIALS")</f>
        <v>STRENGTH OF MATERIALS</v>
      </c>
      <c r="F13" s="121" t="str">
        <f>IFERROR(__xludf.DUMMYFUNCTION("""COMPUTED_VALUE"""),"THEORY")</f>
        <v>THEORY</v>
      </c>
      <c r="G13" s="121">
        <f>IFERROR(__xludf.DUMMYFUNCTION("""COMPUTED_VALUE"""),2.0)</f>
        <v>2</v>
      </c>
      <c r="H13" s="121">
        <f>IFERROR(__xludf.DUMMYFUNCTION("""COMPUTED_VALUE"""),1.0)</f>
        <v>1</v>
      </c>
      <c r="I13" s="121">
        <f>IFERROR(__xludf.DUMMYFUNCTION("""COMPUTED_VALUE"""),2.0)</f>
        <v>2</v>
      </c>
      <c r="J13" s="121">
        <f>IFERROR(__xludf.DUMMYFUNCTION("""COMPUTED_VALUE"""),4.0)</f>
        <v>4</v>
      </c>
      <c r="K13" s="132" t="str">
        <f>IFERROR(__xludf.DUMMYFUNCTION("""COMPUTED_VALUE"""),"MC10299")</f>
        <v>MC10299</v>
      </c>
      <c r="L13" s="121" t="str">
        <f>IFERROR(__xludf.DUMMYFUNCTION("""COMPUTED_VALUE"""),"Mr.VIGNESH S")</f>
        <v>Mr.VIGNESH S</v>
      </c>
      <c r="M13" s="121" t="str">
        <f>IFERROR(__xludf.DUMMYFUNCTION("""COMPUTED_VALUE"""),"vignesh@bitsathy.ac.in")</f>
        <v>vignesh@bitsathy.ac.in</v>
      </c>
    </row>
    <row r="14" ht="49.5" customHeight="1">
      <c r="A14" s="121" t="str">
        <f>IFERROR(__xludf.DUMMYFUNCTION("""COMPUTED_VALUE"""),"AGRI")</f>
        <v>AGRI</v>
      </c>
      <c r="B14" s="121" t="str">
        <f>IFERROR(__xludf.DUMMYFUNCTION("""COMPUTED_VALUE"""),"S4")</f>
        <v>S4</v>
      </c>
      <c r="C14" s="121" t="str">
        <f>IFERROR(__xludf.DUMMYFUNCTION("""COMPUTED_VALUE"""),"CORE")</f>
        <v>CORE</v>
      </c>
      <c r="D14" s="121" t="str">
        <f>IFERROR(__xludf.DUMMYFUNCTION("""COMPUTED_VALUE"""),"22AG403")</f>
        <v>22AG403</v>
      </c>
      <c r="E14" s="131" t="str">
        <f>IFERROR(__xludf.DUMMYFUNCTION("""COMPUTED_VALUE"""),"STRENGTH OF MATERIALS")</f>
        <v>STRENGTH OF MATERIALS</v>
      </c>
      <c r="F14" s="121" t="str">
        <f>IFERROR(__xludf.DUMMYFUNCTION("""COMPUTED_VALUE"""),"LAB")</f>
        <v>LAB</v>
      </c>
      <c r="G14" s="121">
        <f>IFERROR(__xludf.DUMMYFUNCTION("""COMPUTED_VALUE"""),2.0)</f>
        <v>2</v>
      </c>
      <c r="H14" s="121">
        <f>IFERROR(__xludf.DUMMYFUNCTION("""COMPUTED_VALUE"""),1.0)</f>
        <v>1</v>
      </c>
      <c r="I14" s="121">
        <f>IFERROR(__xludf.DUMMYFUNCTION("""COMPUTED_VALUE"""),2.0)</f>
        <v>2</v>
      </c>
      <c r="J14" s="121">
        <f>IFERROR(__xludf.DUMMYFUNCTION("""COMPUTED_VALUE"""),4.0)</f>
        <v>4</v>
      </c>
      <c r="K14" s="132" t="str">
        <f>IFERROR(__xludf.DUMMYFUNCTION("""COMPUTED_VALUE"""),"MC10299")</f>
        <v>MC10299</v>
      </c>
      <c r="L14" s="121" t="str">
        <f>IFERROR(__xludf.DUMMYFUNCTION("""COMPUTED_VALUE"""),"Mr.VIGNESH S")</f>
        <v>Mr.VIGNESH S</v>
      </c>
      <c r="M14" s="121" t="str">
        <f>IFERROR(__xludf.DUMMYFUNCTION("""COMPUTED_VALUE"""),"vignesh@bitsathy.ac.in")</f>
        <v>vignesh@bitsathy.ac.in</v>
      </c>
    </row>
    <row r="15" ht="49.5" customHeight="1">
      <c r="A15" s="121" t="str">
        <f>IFERROR(__xludf.DUMMYFUNCTION("""COMPUTED_VALUE"""),"AGRI")</f>
        <v>AGRI</v>
      </c>
      <c r="B15" s="121" t="str">
        <f>IFERROR(__xludf.DUMMYFUNCTION("""COMPUTED_VALUE"""),"S4")</f>
        <v>S4</v>
      </c>
      <c r="C15" s="121" t="str">
        <f>IFERROR(__xludf.DUMMYFUNCTION("""COMPUTED_VALUE"""),"CORE")</f>
        <v>CORE</v>
      </c>
      <c r="D15" s="121" t="str">
        <f>IFERROR(__xludf.DUMMYFUNCTION("""COMPUTED_VALUE"""),"22AG404")</f>
        <v>22AG404</v>
      </c>
      <c r="E15" s="131" t="str">
        <f>IFERROR(__xludf.DUMMYFUNCTION("""COMPUTED_VALUE"""),"THEORY OF MACHINES")</f>
        <v>THEORY OF MACHINES</v>
      </c>
      <c r="F15" s="121" t="str">
        <f>IFERROR(__xludf.DUMMYFUNCTION("""COMPUTED_VALUE"""),"THEORY WITH LAB")</f>
        <v>THEORY WITH LAB</v>
      </c>
      <c r="G15" s="121">
        <f>IFERROR(__xludf.DUMMYFUNCTION("""COMPUTED_VALUE"""),3.0)</f>
        <v>3</v>
      </c>
      <c r="H15" s="121">
        <f>IFERROR(__xludf.DUMMYFUNCTION("""COMPUTED_VALUE"""),0.0)</f>
        <v>0</v>
      </c>
      <c r="I15" s="121">
        <f>IFERROR(__xludf.DUMMYFUNCTION("""COMPUTED_VALUE"""),2.0)</f>
        <v>2</v>
      </c>
      <c r="J15" s="121">
        <f>IFERROR(__xludf.DUMMYFUNCTION("""COMPUTED_VALUE"""),4.0)</f>
        <v>4</v>
      </c>
      <c r="K15" s="132" t="str">
        <f>IFERROR(__xludf.DUMMYFUNCTION("""COMPUTED_VALUE"""),"AG1312")</f>
        <v>AG1312</v>
      </c>
      <c r="L15" s="121" t="str">
        <f>IFERROR(__xludf.DUMMYFUNCTION("""COMPUTED_VALUE"""),"Dr.UVARAJA V C")</f>
        <v>Dr.UVARAJA V C</v>
      </c>
      <c r="M15" s="121" t="str">
        <f>IFERROR(__xludf.DUMMYFUNCTION("""COMPUTED_VALUE"""),"uvarajavc@bitsathy.ac.in")</f>
        <v>uvarajavc@bitsathy.ac.in</v>
      </c>
    </row>
    <row r="16" ht="49.5" customHeight="1">
      <c r="A16" s="121" t="str">
        <f>IFERROR(__xludf.DUMMYFUNCTION("""COMPUTED_VALUE"""),"AGRI")</f>
        <v>AGRI</v>
      </c>
      <c r="B16" s="121" t="str">
        <f>IFERROR(__xludf.DUMMYFUNCTION("""COMPUTED_VALUE"""),"S4")</f>
        <v>S4</v>
      </c>
      <c r="C16" s="121" t="str">
        <f>IFERROR(__xludf.DUMMYFUNCTION("""COMPUTED_VALUE"""),"CORE")</f>
        <v>CORE</v>
      </c>
      <c r="D16" s="121" t="str">
        <f>IFERROR(__xludf.DUMMYFUNCTION("""COMPUTED_VALUE"""),"22AG405")</f>
        <v>22AG405</v>
      </c>
      <c r="E16" s="131" t="str">
        <f>IFERROR(__xludf.DUMMYFUNCTION("""COMPUTED_VALUE"""),"HYDROLOGY")</f>
        <v>HYDROLOGY</v>
      </c>
      <c r="F16" s="121" t="str">
        <f>IFERROR(__xludf.DUMMYFUNCTION("""COMPUTED_VALUE"""),"THEORY")</f>
        <v>THEORY</v>
      </c>
      <c r="G16" s="121">
        <f>IFERROR(__xludf.DUMMYFUNCTION("""COMPUTED_VALUE"""),3.0)</f>
        <v>3</v>
      </c>
      <c r="H16" s="121">
        <f>IFERROR(__xludf.DUMMYFUNCTION("""COMPUTED_VALUE"""),1.0)</f>
        <v>1</v>
      </c>
      <c r="I16" s="121">
        <f>IFERROR(__xludf.DUMMYFUNCTION("""COMPUTED_VALUE"""),0.0)</f>
        <v>0</v>
      </c>
      <c r="J16" s="121">
        <f>IFERROR(__xludf.DUMMYFUNCTION("""COMPUTED_VALUE"""),4.0)</f>
        <v>4</v>
      </c>
      <c r="K16" s="132" t="str">
        <f>IFERROR(__xludf.DUMMYFUNCTION("""COMPUTED_VALUE"""),"AG10092")</f>
        <v>AG10092</v>
      </c>
      <c r="L16" s="121" t="str">
        <f>IFERROR(__xludf.DUMMYFUNCTION("""COMPUTED_VALUE"""),"Dr.VASUDEVAN M")</f>
        <v>Dr.VASUDEVAN M</v>
      </c>
      <c r="M16" s="121" t="str">
        <f>IFERROR(__xludf.DUMMYFUNCTION("""COMPUTED_VALUE"""),"vasudevan@bitsathy.ac.in")</f>
        <v>vasudevan@bitsathy.ac.in</v>
      </c>
    </row>
    <row r="17" ht="49.5" customHeight="1">
      <c r="A17" s="121" t="str">
        <f>IFERROR(__xludf.DUMMYFUNCTION("""COMPUTED_VALUE"""),"AGRI")</f>
        <v>AGRI</v>
      </c>
      <c r="B17" s="121" t="str">
        <f>IFERROR(__xludf.DUMMYFUNCTION("""COMPUTED_VALUE"""),"S4")</f>
        <v>S4</v>
      </c>
      <c r="C17" s="121" t="str">
        <f>IFERROR(__xludf.DUMMYFUNCTION("""COMPUTED_VALUE"""),"ELECTIVE 1")</f>
        <v>ELECTIVE 1</v>
      </c>
      <c r="D17" s="121" t="str">
        <f>IFERROR(__xludf.DUMMYFUNCTION("""COMPUTED_VALUE"""),"22AG040")</f>
        <v>22AG040</v>
      </c>
      <c r="E17" s="131" t="str">
        <f>IFERROR(__xludf.DUMMYFUNCTION("""COMPUTED_VALUE"""),"TECHNOLOGY OF SEED PROCESSING")</f>
        <v>TECHNOLOGY OF SEED PROCESSING</v>
      </c>
      <c r="F17" s="121" t="str">
        <f>IFERROR(__xludf.DUMMYFUNCTION("""COMPUTED_VALUE"""),"THEORY")</f>
        <v>THEORY</v>
      </c>
      <c r="G17" s="121">
        <f>IFERROR(__xludf.DUMMYFUNCTION("""COMPUTED_VALUE"""),3.0)</f>
        <v>3</v>
      </c>
      <c r="H17" s="121">
        <f>IFERROR(__xludf.DUMMYFUNCTION("""COMPUTED_VALUE"""),0.0)</f>
        <v>0</v>
      </c>
      <c r="I17" s="121">
        <f>IFERROR(__xludf.DUMMYFUNCTION("""COMPUTED_VALUE"""),0.0)</f>
        <v>0</v>
      </c>
      <c r="J17" s="121">
        <f>IFERROR(__xludf.DUMMYFUNCTION("""COMPUTED_VALUE"""),3.0)</f>
        <v>3</v>
      </c>
      <c r="K17" s="132" t="str">
        <f>IFERROR(__xludf.DUMMYFUNCTION("""COMPUTED_VALUE"""),"AG10895")</f>
        <v>AG10895</v>
      </c>
      <c r="L17" s="121" t="str">
        <f>IFERROR(__xludf.DUMMYFUNCTION("""COMPUTED_VALUE"""),"Ms.ANANTHI D")</f>
        <v>Ms.ANANTHI D</v>
      </c>
      <c r="M17" s="121" t="str">
        <f>IFERROR(__xludf.DUMMYFUNCTION("""COMPUTED_VALUE"""),"ananthid@bitsathy.ac.in")</f>
        <v>ananthid@bitsathy.ac.in</v>
      </c>
    </row>
    <row r="18" ht="49.5" customHeight="1">
      <c r="A18" s="121" t="str">
        <f>IFERROR(__xludf.DUMMYFUNCTION("""COMPUTED_VALUE"""),"AGRI")</f>
        <v>AGRI</v>
      </c>
      <c r="B18" s="121" t="str">
        <f>IFERROR(__xludf.DUMMYFUNCTION("""COMPUTED_VALUE"""),"S4")</f>
        <v>S4</v>
      </c>
      <c r="C18" s="121" t="str">
        <f>IFERROR(__xludf.DUMMYFUNCTION("""COMPUTED_VALUE"""),"CORE")</f>
        <v>CORE</v>
      </c>
      <c r="D18" s="121" t="str">
        <f>IFERROR(__xludf.DUMMYFUNCTION("""COMPUTED_VALUE"""),"22HS007")</f>
        <v>22HS007</v>
      </c>
      <c r="E18" s="131" t="str">
        <f>IFERROR(__xludf.DUMMYFUNCTION("""COMPUTED_VALUE"""),"ENVIRONMENTAL SCIENCE")</f>
        <v>ENVIRONMENTAL SCIENCE</v>
      </c>
      <c r="F18" s="121" t="str">
        <f>IFERROR(__xludf.DUMMYFUNCTION("""COMPUTED_VALUE"""),"LAB")</f>
        <v>LAB</v>
      </c>
      <c r="G18" s="121">
        <f>IFERROR(__xludf.DUMMYFUNCTION("""COMPUTED_VALUE"""),2.0)</f>
        <v>2</v>
      </c>
      <c r="H18" s="121">
        <f>IFERROR(__xludf.DUMMYFUNCTION("""COMPUTED_VALUE"""),0.0)</f>
        <v>0</v>
      </c>
      <c r="I18" s="121">
        <f>IFERROR(__xludf.DUMMYFUNCTION("""COMPUTED_VALUE"""),0.0)</f>
        <v>0</v>
      </c>
      <c r="J18" s="121">
        <f>IFERROR(__xludf.DUMMYFUNCTION("""COMPUTED_VALUE"""),2.0)</f>
        <v>2</v>
      </c>
      <c r="K18" s="132" t="str">
        <f>IFERROR(__xludf.DUMMYFUNCTION("""COMPUTED_VALUE"""),"CH1558")</f>
        <v>CH1558</v>
      </c>
      <c r="L18" s="121" t="str">
        <f>IFERROR(__xludf.DUMMYFUNCTION("""COMPUTED_VALUE"""),"Dr.PRAVEENA R")</f>
        <v>Dr.PRAVEENA R</v>
      </c>
      <c r="M18" s="133" t="str">
        <f>IFERROR(__xludf.DUMMYFUNCTION("""COMPUTED_VALUE"""),"praveenar@bitsathy.ac.in")</f>
        <v>praveenar@bitsathy.ac.in</v>
      </c>
    </row>
    <row r="19" ht="49.5" customHeight="1">
      <c r="A19" s="121" t="str">
        <f>IFERROR(__xludf.DUMMYFUNCTION("""COMPUTED_VALUE"""),"AGRI")</f>
        <v>AGRI</v>
      </c>
      <c r="B19" s="121" t="str">
        <f>IFERROR(__xludf.DUMMYFUNCTION("""COMPUTED_VALUE"""),"S4")</f>
        <v>S4</v>
      </c>
      <c r="C19" s="121" t="str">
        <f>IFERROR(__xludf.DUMMYFUNCTION("""COMPUTED_VALUE"""),"CORE")</f>
        <v>CORE</v>
      </c>
      <c r="D19" s="121" t="str">
        <f>IFERROR(__xludf.DUMMYFUNCTION("""COMPUTED_VALUE"""),"22HS008")</f>
        <v>22HS008</v>
      </c>
      <c r="E19" s="131" t="str">
        <f>IFERROR(__xludf.DUMMYFUNCTION("""COMPUTED_VALUE"""),"ADVANCED ENGLISH AND TECHNICAL EXPRESSION ")</f>
        <v>ADVANCED ENGLISH AND TECHNICAL EXPRESSION </v>
      </c>
      <c r="F19" s="121" t="str">
        <f>IFERROR(__xludf.DUMMYFUNCTION("""COMPUTED_VALUE"""),"LAB")</f>
        <v>LAB</v>
      </c>
      <c r="G19" s="121">
        <f>IFERROR(__xludf.DUMMYFUNCTION("""COMPUTED_VALUE"""),0.0)</f>
        <v>0</v>
      </c>
      <c r="H19" s="121">
        <f>IFERROR(__xludf.DUMMYFUNCTION("""COMPUTED_VALUE"""),0.0)</f>
        <v>0</v>
      </c>
      <c r="I19" s="121">
        <f>IFERROR(__xludf.DUMMYFUNCTION("""COMPUTED_VALUE"""),2.0)</f>
        <v>2</v>
      </c>
      <c r="J19" s="121">
        <f>IFERROR(__xludf.DUMMYFUNCTION("""COMPUTED_VALUE"""),1.0)</f>
        <v>1</v>
      </c>
      <c r="K19" s="132" t="str">
        <f>IFERROR(__xludf.DUMMYFUNCTION("""COMPUTED_VALUE"""),"HU11011")</f>
        <v>HU11011</v>
      </c>
      <c r="L19" s="121" t="str">
        <f>IFERROR(__xludf.DUMMYFUNCTION("""COMPUTED_VALUE"""),"Dr.AJAI A")</f>
        <v>Dr.AJAI A</v>
      </c>
      <c r="M19" s="121" t="str">
        <f>IFERROR(__xludf.DUMMYFUNCTION("""COMPUTED_VALUE"""),"ajai@bitsathy.ac.in")</f>
        <v>ajai@bitsathy.ac.in</v>
      </c>
    </row>
    <row r="20" ht="49.5" customHeight="1">
      <c r="A20" s="121" t="str">
        <f>IFERROR(__xludf.DUMMYFUNCTION("""COMPUTED_VALUE"""),"AGRI")</f>
        <v>AGRI</v>
      </c>
      <c r="B20" s="121" t="str">
        <f>IFERROR(__xludf.DUMMYFUNCTION("""COMPUTED_VALUE"""),"S6")</f>
        <v>S6</v>
      </c>
      <c r="C20" s="121" t="str">
        <f>IFERROR(__xludf.DUMMYFUNCTION("""COMPUTED_VALUE"""),"CORE")</f>
        <v>CORE</v>
      </c>
      <c r="D20" s="121" t="str">
        <f>IFERROR(__xludf.DUMMYFUNCTION("""COMPUTED_VALUE"""),"22AG601")</f>
        <v>22AG601</v>
      </c>
      <c r="E20" s="131" t="str">
        <f>IFERROR(__xludf.DUMMYFUNCTION("""COMPUTED_VALUE"""),"FARM IMPLEMENTS")</f>
        <v>FARM IMPLEMENTS</v>
      </c>
      <c r="F20" s="121" t="str">
        <f>IFERROR(__xludf.DUMMYFUNCTION("""COMPUTED_VALUE"""),"THEORY WITH LAB")</f>
        <v>THEORY WITH LAB</v>
      </c>
      <c r="G20" s="121">
        <f>IFERROR(__xludf.DUMMYFUNCTION("""COMPUTED_VALUE"""),3.0)</f>
        <v>3</v>
      </c>
      <c r="H20" s="121">
        <f>IFERROR(__xludf.DUMMYFUNCTION("""COMPUTED_VALUE"""),0.0)</f>
        <v>0</v>
      </c>
      <c r="I20" s="121">
        <f>IFERROR(__xludf.DUMMYFUNCTION("""COMPUTED_VALUE"""),2.0)</f>
        <v>2</v>
      </c>
      <c r="J20" s="121">
        <f>IFERROR(__xludf.DUMMYFUNCTION("""COMPUTED_VALUE"""),4.0)</f>
        <v>4</v>
      </c>
      <c r="K20" s="132" t="str">
        <f>IFERROR(__xludf.DUMMYFUNCTION("""COMPUTED_VALUE"""),"AG11049")</f>
        <v>AG11049</v>
      </c>
      <c r="L20" s="121" t="str">
        <f>IFERROR(__xludf.DUMMYFUNCTION("""COMPUTED_VALUE"""),"Dr.PRAVEEN KUMAR D")</f>
        <v>Dr.PRAVEEN KUMAR D</v>
      </c>
      <c r="M20" s="121" t="str">
        <f>IFERROR(__xludf.DUMMYFUNCTION("""COMPUTED_VALUE"""),"praveenkumard@bitsathy.ac.in")</f>
        <v>praveenkumard@bitsathy.ac.in</v>
      </c>
    </row>
    <row r="21" ht="49.5" customHeight="1">
      <c r="A21" s="121" t="str">
        <f>IFERROR(__xludf.DUMMYFUNCTION("""COMPUTED_VALUE"""),"AGRI")</f>
        <v>AGRI</v>
      </c>
      <c r="B21" s="121" t="str">
        <f>IFERROR(__xludf.DUMMYFUNCTION("""COMPUTED_VALUE"""),"S6")</f>
        <v>S6</v>
      </c>
      <c r="C21" s="121" t="str">
        <f>IFERROR(__xludf.DUMMYFUNCTION("""COMPUTED_VALUE"""),"CORE")</f>
        <v>CORE</v>
      </c>
      <c r="D21" s="121" t="str">
        <f>IFERROR(__xludf.DUMMYFUNCTION("""COMPUTED_VALUE"""),"22AG602")</f>
        <v>22AG602</v>
      </c>
      <c r="E21" s="131" t="str">
        <f>IFERROR(__xludf.DUMMYFUNCTION("""COMPUTED_VALUE"""),"POST HARVEST TECHNOLOGY")</f>
        <v>POST HARVEST TECHNOLOGY</v>
      </c>
      <c r="F21" s="121" t="str">
        <f>IFERROR(__xludf.DUMMYFUNCTION("""COMPUTED_VALUE"""),"THEORY")</f>
        <v>THEORY</v>
      </c>
      <c r="G21" s="121">
        <f>IFERROR(__xludf.DUMMYFUNCTION("""COMPUTED_VALUE"""),3.0)</f>
        <v>3</v>
      </c>
      <c r="H21" s="121">
        <f>IFERROR(__xludf.DUMMYFUNCTION("""COMPUTED_VALUE"""),0.0)</f>
        <v>0</v>
      </c>
      <c r="I21" s="121">
        <f>IFERROR(__xludf.DUMMYFUNCTION("""COMPUTED_VALUE"""),2.0)</f>
        <v>2</v>
      </c>
      <c r="J21" s="121">
        <f>IFERROR(__xludf.DUMMYFUNCTION("""COMPUTED_VALUE"""),4.0)</f>
        <v>4</v>
      </c>
      <c r="K21" s="132" t="str">
        <f>IFERROR(__xludf.DUMMYFUNCTION("""COMPUTED_VALUE"""),"AG10503")</f>
        <v>AG10503</v>
      </c>
      <c r="L21" s="121" t="str">
        <f>IFERROR(__xludf.DUMMYFUNCTION("""COMPUTED_VALUE"""),"Dr.CHELLADURAI V")</f>
        <v>Dr.CHELLADURAI V</v>
      </c>
      <c r="M21" s="121" t="str">
        <f>IFERROR(__xludf.DUMMYFUNCTION("""COMPUTED_VALUE"""),"chelladurai@bitsathy.ac.in")</f>
        <v>chelladurai@bitsathy.ac.in</v>
      </c>
    </row>
    <row r="22" ht="49.5" customHeight="1">
      <c r="A22" s="121" t="str">
        <f>IFERROR(__xludf.DUMMYFUNCTION("""COMPUTED_VALUE"""),"AGRI")</f>
        <v>AGRI</v>
      </c>
      <c r="B22" s="121" t="str">
        <f>IFERROR(__xludf.DUMMYFUNCTION("""COMPUTED_VALUE"""),"S6")</f>
        <v>S6</v>
      </c>
      <c r="C22" s="121" t="str">
        <f>IFERROR(__xludf.DUMMYFUNCTION("""COMPUTED_VALUE"""),"CORE")</f>
        <v>CORE</v>
      </c>
      <c r="D22" s="121" t="str">
        <f>IFERROR(__xludf.DUMMYFUNCTION("""COMPUTED_VALUE"""),"22AG602")</f>
        <v>22AG602</v>
      </c>
      <c r="E22" s="131" t="str">
        <f>IFERROR(__xludf.DUMMYFUNCTION("""COMPUTED_VALUE"""),"POST HARVEST TECHNOLOGY")</f>
        <v>POST HARVEST TECHNOLOGY</v>
      </c>
      <c r="F22" s="121" t="str">
        <f>IFERROR(__xludf.DUMMYFUNCTION("""COMPUTED_VALUE"""),"LAB")</f>
        <v>LAB</v>
      </c>
      <c r="G22" s="121">
        <f>IFERROR(__xludf.DUMMYFUNCTION("""COMPUTED_VALUE"""),3.0)</f>
        <v>3</v>
      </c>
      <c r="H22" s="121">
        <f>IFERROR(__xludf.DUMMYFUNCTION("""COMPUTED_VALUE"""),0.0)</f>
        <v>0</v>
      </c>
      <c r="I22" s="121">
        <f>IFERROR(__xludf.DUMMYFUNCTION("""COMPUTED_VALUE"""),2.0)</f>
        <v>2</v>
      </c>
      <c r="J22" s="121">
        <f>IFERROR(__xludf.DUMMYFUNCTION("""COMPUTED_VALUE"""),4.0)</f>
        <v>4</v>
      </c>
      <c r="K22" s="132" t="str">
        <f>IFERROR(__xludf.DUMMYFUNCTION("""COMPUTED_VALUE"""),"AG10895")</f>
        <v>AG10895</v>
      </c>
      <c r="L22" s="121" t="str">
        <f>IFERROR(__xludf.DUMMYFUNCTION("""COMPUTED_VALUE"""),"Ms.ANANTHI D")</f>
        <v>Ms.ANANTHI D</v>
      </c>
      <c r="M22" s="121" t="str">
        <f>IFERROR(__xludf.DUMMYFUNCTION("""COMPUTED_VALUE"""),"ananthid@bitsathy.ac.in")</f>
        <v>ananthid@bitsathy.ac.in</v>
      </c>
    </row>
    <row r="23" ht="49.5" customHeight="1">
      <c r="A23" s="121" t="str">
        <f>IFERROR(__xludf.DUMMYFUNCTION("""COMPUTED_VALUE"""),"AGRI")</f>
        <v>AGRI</v>
      </c>
      <c r="B23" s="121" t="str">
        <f>IFERROR(__xludf.DUMMYFUNCTION("""COMPUTED_VALUE"""),"S6")</f>
        <v>S6</v>
      </c>
      <c r="C23" s="121" t="str">
        <f>IFERROR(__xludf.DUMMYFUNCTION("""COMPUTED_VALUE"""),"CORE")</f>
        <v>CORE</v>
      </c>
      <c r="D23" s="121" t="str">
        <f>IFERROR(__xludf.DUMMYFUNCTION("""COMPUTED_VALUE"""),"22AG603")</f>
        <v>22AG603</v>
      </c>
      <c r="E23" s="131" t="str">
        <f>IFERROR(__xludf.DUMMYFUNCTION("""COMPUTED_VALUE"""),"IRRIGATION AND DRAINAGE ENGINEERING")</f>
        <v>IRRIGATION AND DRAINAGE ENGINEERING</v>
      </c>
      <c r="F23" s="121" t="str">
        <f>IFERROR(__xludf.DUMMYFUNCTION("""COMPUTED_VALUE"""),"THEORY WITH LAB")</f>
        <v>THEORY WITH LAB</v>
      </c>
      <c r="G23" s="121">
        <f>IFERROR(__xludf.DUMMYFUNCTION("""COMPUTED_VALUE"""),3.0)</f>
        <v>3</v>
      </c>
      <c r="H23" s="121">
        <f>IFERROR(__xludf.DUMMYFUNCTION("""COMPUTED_VALUE"""),0.0)</f>
        <v>0</v>
      </c>
      <c r="I23" s="121">
        <f>IFERROR(__xludf.DUMMYFUNCTION("""COMPUTED_VALUE"""),2.0)</f>
        <v>2</v>
      </c>
      <c r="J23" s="121">
        <f>IFERROR(__xludf.DUMMYFUNCTION("""COMPUTED_VALUE"""),4.0)</f>
        <v>4</v>
      </c>
      <c r="K23" s="132" t="str">
        <f>IFERROR(__xludf.DUMMYFUNCTION("""COMPUTED_VALUE"""),"AG10092")</f>
        <v>AG10092</v>
      </c>
      <c r="L23" s="121" t="str">
        <f>IFERROR(__xludf.DUMMYFUNCTION("""COMPUTED_VALUE"""),"Dr.VASUDEVAN M")</f>
        <v>Dr.VASUDEVAN M</v>
      </c>
      <c r="M23" s="121" t="str">
        <f>IFERROR(__xludf.DUMMYFUNCTION("""COMPUTED_VALUE"""),"vasudevan@bitsathy.ac.in")</f>
        <v>vasudevan@bitsathy.ac.in</v>
      </c>
    </row>
    <row r="24" ht="49.5" customHeight="1">
      <c r="A24" s="121" t="str">
        <f>IFERROR(__xludf.DUMMYFUNCTION("""COMPUTED_VALUE"""),"AGRI")</f>
        <v>AGRI</v>
      </c>
      <c r="B24" s="121" t="str">
        <f>IFERROR(__xludf.DUMMYFUNCTION("""COMPUTED_VALUE"""),"S6")</f>
        <v>S6</v>
      </c>
      <c r="C24" s="121" t="str">
        <f>IFERROR(__xludf.DUMMYFUNCTION("""COMPUTED_VALUE"""),"ELECTIVE 3")</f>
        <v>ELECTIVE 3</v>
      </c>
      <c r="D24" s="121" t="str">
        <f>IFERROR(__xludf.DUMMYFUNCTION("""COMPUTED_VALUE"""),"22AG008")</f>
        <v>22AG008</v>
      </c>
      <c r="E24" s="131" t="str">
        <f>IFERROR(__xludf.DUMMYFUNCTION("""COMPUTED_VALUE"""),"GROUNDWATER, WELLS AND PUMPS")</f>
        <v>GROUNDWATER, WELLS AND PUMPS</v>
      </c>
      <c r="F24" s="121" t="str">
        <f>IFERROR(__xludf.DUMMYFUNCTION("""COMPUTED_VALUE"""),"THEORY")</f>
        <v>THEORY</v>
      </c>
      <c r="G24" s="121">
        <f>IFERROR(__xludf.DUMMYFUNCTION("""COMPUTED_VALUE"""),3.0)</f>
        <v>3</v>
      </c>
      <c r="H24" s="121">
        <f>IFERROR(__xludf.DUMMYFUNCTION("""COMPUTED_VALUE"""),0.0)</f>
        <v>0</v>
      </c>
      <c r="I24" s="121">
        <f>IFERROR(__xludf.DUMMYFUNCTION("""COMPUTED_VALUE"""),0.0)</f>
        <v>0</v>
      </c>
      <c r="J24" s="121">
        <f>IFERROR(__xludf.DUMMYFUNCTION("""COMPUTED_VALUE"""),3.0)</f>
        <v>3</v>
      </c>
      <c r="K24" s="132" t="str">
        <f>IFERROR(__xludf.DUMMYFUNCTION("""COMPUTED_VALUE"""),"AG10994")</f>
        <v>AG10994</v>
      </c>
      <c r="L24" s="121" t="str">
        <f>IFERROR(__xludf.DUMMYFUNCTION("""COMPUTED_VALUE"""),"Mr.MUTHUKUMARAVEL K")</f>
        <v>Mr.MUTHUKUMARAVEL K</v>
      </c>
      <c r="M24" s="121" t="str">
        <f>IFERROR(__xludf.DUMMYFUNCTION("""COMPUTED_VALUE"""),"muthukumaravelk@bitsathy.ac.in")</f>
        <v>muthukumaravelk@bitsathy.ac.in</v>
      </c>
    </row>
    <row r="25" ht="49.5" customHeight="1">
      <c r="A25" s="121" t="str">
        <f>IFERROR(__xludf.DUMMYFUNCTION("""COMPUTED_VALUE"""),"AGRI")</f>
        <v>AGRI</v>
      </c>
      <c r="B25" s="121" t="str">
        <f>IFERROR(__xludf.DUMMYFUNCTION("""COMPUTED_VALUE"""),"S6")</f>
        <v>S6</v>
      </c>
      <c r="C25" s="121" t="str">
        <f>IFERROR(__xludf.DUMMYFUNCTION("""COMPUTED_VALUE"""),"ELECTIVE 4")</f>
        <v>ELECTIVE 4</v>
      </c>
      <c r="D25" s="121" t="str">
        <f>IFERROR(__xludf.DUMMYFUNCTION("""COMPUTED_VALUE"""),"22AG001")</f>
        <v>22AG001</v>
      </c>
      <c r="E25" s="131" t="str">
        <f>IFERROR(__xludf.DUMMYFUNCTION("""COMPUTED_VALUE"""),"HUMAN ENGINEERING AND SAFETY")</f>
        <v>HUMAN ENGINEERING AND SAFETY</v>
      </c>
      <c r="F25" s="121" t="str">
        <f>IFERROR(__xludf.DUMMYFUNCTION("""COMPUTED_VALUE"""),"THEORY")</f>
        <v>THEORY</v>
      </c>
      <c r="G25" s="121">
        <f>IFERROR(__xludf.DUMMYFUNCTION("""COMPUTED_VALUE"""),3.0)</f>
        <v>3</v>
      </c>
      <c r="H25" s="121">
        <f>IFERROR(__xludf.DUMMYFUNCTION("""COMPUTED_VALUE"""),0.0)</f>
        <v>0</v>
      </c>
      <c r="I25" s="121">
        <f>IFERROR(__xludf.DUMMYFUNCTION("""COMPUTED_VALUE"""),0.0)</f>
        <v>0</v>
      </c>
      <c r="J25" s="121">
        <f>IFERROR(__xludf.DUMMYFUNCTION("""COMPUTED_VALUE"""),3.0)</f>
        <v>3</v>
      </c>
      <c r="K25" s="132" t="str">
        <f>IFERROR(__xludf.DUMMYFUNCTION("""COMPUTED_VALUE"""),"AG1312")</f>
        <v>AG1312</v>
      </c>
      <c r="L25" s="121" t="str">
        <f>IFERROR(__xludf.DUMMYFUNCTION("""COMPUTED_VALUE"""),"Dr.UVARAJA V C")</f>
        <v>Dr.UVARAJA V C</v>
      </c>
      <c r="M25" s="121" t="str">
        <f>IFERROR(__xludf.DUMMYFUNCTION("""COMPUTED_VALUE"""),"uvarajavc@bitsathy.ac.in")</f>
        <v>uvarajavc@bitsathy.ac.in</v>
      </c>
    </row>
    <row r="26" ht="49.5" customHeight="1">
      <c r="A26" s="121" t="str">
        <f>IFERROR(__xludf.DUMMYFUNCTION("""COMPUTED_VALUE"""),"AGRI")</f>
        <v>AGRI</v>
      </c>
      <c r="B26" s="121" t="str">
        <f>IFERROR(__xludf.DUMMYFUNCTION("""COMPUTED_VALUE"""),"S6")</f>
        <v>S6</v>
      </c>
      <c r="C26" s="121" t="str">
        <f>IFERROR(__xludf.DUMMYFUNCTION("""COMPUTED_VALUE"""),"ELECTIVE 5")</f>
        <v>ELECTIVE 5</v>
      </c>
      <c r="D26" s="121" t="str">
        <f>IFERROR(__xludf.DUMMYFUNCTION("""COMPUTED_VALUE"""),"22AG017")</f>
        <v>22AG017</v>
      </c>
      <c r="E26" s="131" t="str">
        <f>IFERROR(__xludf.DUMMYFUNCTION("""COMPUTED_VALUE"""),"EMERGING TECHNOLOGIES IN FOOD PROCESS ENGINEERING")</f>
        <v>EMERGING TECHNOLOGIES IN FOOD PROCESS ENGINEERING</v>
      </c>
      <c r="F26" s="121" t="str">
        <f>IFERROR(__xludf.DUMMYFUNCTION("""COMPUTED_VALUE"""),"THEORY")</f>
        <v>THEORY</v>
      </c>
      <c r="G26" s="121">
        <f>IFERROR(__xludf.DUMMYFUNCTION("""COMPUTED_VALUE"""),3.0)</f>
        <v>3</v>
      </c>
      <c r="H26" s="121">
        <f>IFERROR(__xludf.DUMMYFUNCTION("""COMPUTED_VALUE"""),0.0)</f>
        <v>0</v>
      </c>
      <c r="I26" s="121">
        <f>IFERROR(__xludf.DUMMYFUNCTION("""COMPUTED_VALUE"""),0.0)</f>
        <v>0</v>
      </c>
      <c r="J26" s="121">
        <f>IFERROR(__xludf.DUMMYFUNCTION("""COMPUTED_VALUE"""),3.0)</f>
        <v>3</v>
      </c>
      <c r="K26" s="132" t="str">
        <f>IFERROR(__xludf.DUMMYFUNCTION("""COMPUTED_VALUE"""),"AG10895")</f>
        <v>AG10895</v>
      </c>
      <c r="L26" s="121" t="str">
        <f>IFERROR(__xludf.DUMMYFUNCTION("""COMPUTED_VALUE"""),"Ms.ANANTHI D")</f>
        <v>Ms.ANANTHI D</v>
      </c>
      <c r="M26" s="121" t="str">
        <f>IFERROR(__xludf.DUMMYFUNCTION("""COMPUTED_VALUE"""),"ananthid@bitsathy.ac.in")</f>
        <v>ananthid@bitsathy.ac.in</v>
      </c>
    </row>
    <row r="27" ht="49.5" customHeight="1">
      <c r="A27" s="121" t="str">
        <f>IFERROR(__xludf.DUMMYFUNCTION("""COMPUTED_VALUE"""),"AGRI")</f>
        <v>AGRI</v>
      </c>
      <c r="B27" s="121" t="str">
        <f>IFERROR(__xludf.DUMMYFUNCTION("""COMPUTED_VALUE"""),"S6")</f>
        <v>S6</v>
      </c>
      <c r="C27" s="121" t="str">
        <f>IFERROR(__xludf.DUMMYFUNCTION("""COMPUTED_VALUE"""),"ADD COURSE")</f>
        <v>ADD COURSE</v>
      </c>
      <c r="D27" s="121" t="str">
        <f>IFERROR(__xludf.DUMMYFUNCTION("""COMPUTED_VALUE"""),"22AG016")</f>
        <v>22AG016</v>
      </c>
      <c r="E27" s="131" t="str">
        <f>IFERROR(__xludf.DUMMYFUNCTION("""COMPUTED_VALUE"""),"FOOD SAFETY MANAGEMENT SYSTEMS")</f>
        <v>FOOD SAFETY MANAGEMENT SYSTEMS</v>
      </c>
      <c r="F27" s="121" t="str">
        <f>IFERROR(__xludf.DUMMYFUNCTION("""COMPUTED_VALUE"""),"THEORY")</f>
        <v>THEORY</v>
      </c>
      <c r="G27" s="121">
        <f>IFERROR(__xludf.DUMMYFUNCTION("""COMPUTED_VALUE"""),3.0)</f>
        <v>3</v>
      </c>
      <c r="H27" s="121">
        <f>IFERROR(__xludf.DUMMYFUNCTION("""COMPUTED_VALUE"""),0.0)</f>
        <v>0</v>
      </c>
      <c r="I27" s="121">
        <f>IFERROR(__xludf.DUMMYFUNCTION("""COMPUTED_VALUE"""),0.0)</f>
        <v>0</v>
      </c>
      <c r="J27" s="121">
        <f>IFERROR(__xludf.DUMMYFUNCTION("""COMPUTED_VALUE"""),3.0)</f>
        <v>3</v>
      </c>
      <c r="K27" s="132" t="str">
        <f>IFERROR(__xludf.DUMMYFUNCTION("""COMPUTED_VALUE"""),"AG11178")</f>
        <v>AG11178</v>
      </c>
      <c r="L27" s="121" t="str">
        <f>IFERROR(__xludf.DUMMYFUNCTION("""COMPUTED_VALUE"""),"Ms.SNEKHA A R")</f>
        <v>Ms.SNEKHA A R</v>
      </c>
      <c r="M27" s="121" t="str">
        <f>IFERROR(__xludf.DUMMYFUNCTION("""COMPUTED_VALUE"""),"snekhaar@bitsathy.ac.in")</f>
        <v>snekhaar@bitsathy.ac.in</v>
      </c>
    </row>
    <row r="28" ht="49.5" customHeight="1">
      <c r="A28" s="121" t="str">
        <f>IFERROR(__xludf.DUMMYFUNCTION("""COMPUTED_VALUE"""),"AGRI")</f>
        <v>AGRI</v>
      </c>
      <c r="B28" s="121" t="str">
        <f>IFERROR(__xludf.DUMMYFUNCTION("""COMPUTED_VALUE"""),"S6")</f>
        <v>S6</v>
      </c>
      <c r="C28" s="121" t="str">
        <f>IFERROR(__xludf.DUMMYFUNCTION("""COMPUTED_VALUE"""),"HONOURS")</f>
        <v>HONOURS</v>
      </c>
      <c r="D28" s="121" t="str">
        <f>IFERROR(__xludf.DUMMYFUNCTION("""COMPUTED_VALUE"""),"22AGH21")</f>
        <v>22AGH21</v>
      </c>
      <c r="E28" s="131" t="str">
        <f>IFERROR(__xludf.DUMMYFUNCTION("""COMPUTED_VALUE"""),"ENERGY CONSERVATION IN AGRO-BASED INDUSTRY")</f>
        <v>ENERGY CONSERVATION IN AGRO-BASED INDUSTRY</v>
      </c>
      <c r="F28" s="121" t="str">
        <f>IFERROR(__xludf.DUMMYFUNCTION("""COMPUTED_VALUE"""),"THEORY")</f>
        <v>THEORY</v>
      </c>
      <c r="G28" s="121">
        <f>IFERROR(__xludf.DUMMYFUNCTION("""COMPUTED_VALUE"""),3.0)</f>
        <v>3</v>
      </c>
      <c r="H28" s="121">
        <f>IFERROR(__xludf.DUMMYFUNCTION("""COMPUTED_VALUE"""),0.0)</f>
        <v>0</v>
      </c>
      <c r="I28" s="121">
        <f>IFERROR(__xludf.DUMMYFUNCTION("""COMPUTED_VALUE"""),0.0)</f>
        <v>0</v>
      </c>
      <c r="J28" s="121">
        <f>IFERROR(__xludf.DUMMYFUNCTION("""COMPUTED_VALUE"""),3.0)</f>
        <v>3</v>
      </c>
      <c r="K28" s="132" t="str">
        <f>IFERROR(__xludf.DUMMYFUNCTION("""COMPUTED_VALUE"""),"AG11049")</f>
        <v>AG11049</v>
      </c>
      <c r="L28" s="121" t="str">
        <f>IFERROR(__xludf.DUMMYFUNCTION("""COMPUTED_VALUE"""),"Dr.PRAVEEN KUMAR D")</f>
        <v>Dr.PRAVEEN KUMAR D</v>
      </c>
      <c r="M28" s="121" t="str">
        <f>IFERROR(__xludf.DUMMYFUNCTION("""COMPUTED_VALUE"""),"praveenkumard@bitsathy.ac.in")</f>
        <v>praveenkumard@bitsathy.ac.in</v>
      </c>
    </row>
    <row r="29" ht="49.5" customHeight="1">
      <c r="A29" s="121" t="str">
        <f>IFERROR(__xludf.DUMMYFUNCTION("""COMPUTED_VALUE"""),"AGRI")</f>
        <v>AGRI</v>
      </c>
      <c r="B29" s="121" t="str">
        <f>IFERROR(__xludf.DUMMYFUNCTION("""COMPUTED_VALUE"""),"S6")</f>
        <v>S6</v>
      </c>
      <c r="C29" s="121" t="str">
        <f>IFERROR(__xludf.DUMMYFUNCTION("""COMPUTED_VALUE"""),"HONOURS")</f>
        <v>HONOURS</v>
      </c>
      <c r="D29" s="121" t="str">
        <f>IFERROR(__xludf.DUMMYFUNCTION("""COMPUTED_VALUE"""),"22AGH22")</f>
        <v>22AGH22</v>
      </c>
      <c r="E29" s="131" t="str">
        <f>IFERROR(__xludf.DUMMYFUNCTION("""COMPUTED_VALUE"""),"COGENERATION AND WASTE HEAT RECOVERY SYSTEMS")</f>
        <v>COGENERATION AND WASTE HEAT RECOVERY SYSTEMS</v>
      </c>
      <c r="F29" s="121" t="str">
        <f>IFERROR(__xludf.DUMMYFUNCTION("""COMPUTED_VALUE"""),"THEORY")</f>
        <v>THEORY</v>
      </c>
      <c r="G29" s="121">
        <f>IFERROR(__xludf.DUMMYFUNCTION("""COMPUTED_VALUE"""),3.0)</f>
        <v>3</v>
      </c>
      <c r="H29" s="121">
        <f>IFERROR(__xludf.DUMMYFUNCTION("""COMPUTED_VALUE"""),0.0)</f>
        <v>0</v>
      </c>
      <c r="I29" s="121">
        <f>IFERROR(__xludf.DUMMYFUNCTION("""COMPUTED_VALUE"""),0.0)</f>
        <v>0</v>
      </c>
      <c r="J29" s="121">
        <f>IFERROR(__xludf.DUMMYFUNCTION("""COMPUTED_VALUE"""),3.0)</f>
        <v>3</v>
      </c>
      <c r="K29" s="132" t="str">
        <f>IFERROR(__xludf.DUMMYFUNCTION("""COMPUTED_VALUE"""),"AG11178")</f>
        <v>AG11178</v>
      </c>
      <c r="L29" s="121" t="str">
        <f>IFERROR(__xludf.DUMMYFUNCTION("""COMPUTED_VALUE"""),"Ms.SNEKHA A R")</f>
        <v>Ms.SNEKHA A R</v>
      </c>
      <c r="M29" s="121" t="str">
        <f>IFERROR(__xludf.DUMMYFUNCTION("""COMPUTED_VALUE"""),"snekhaar@bitsathy.ac.in")</f>
        <v>snekhaar@bitsathy.ac.in</v>
      </c>
    </row>
    <row r="30" ht="49.5" customHeight="1">
      <c r="A30" s="121" t="str">
        <f>IFERROR(__xludf.DUMMYFUNCTION("""COMPUTED_VALUE"""),"AGRI")</f>
        <v>AGRI</v>
      </c>
      <c r="B30" s="121" t="str">
        <f>IFERROR(__xludf.DUMMYFUNCTION("""COMPUTED_VALUE"""),"S6")</f>
        <v>S6</v>
      </c>
      <c r="C30" s="121" t="str">
        <f>IFERROR(__xludf.DUMMYFUNCTION("""COMPUTED_VALUE"""),"MINI PROJECT")</f>
        <v>MINI PROJECT</v>
      </c>
      <c r="D30" s="121" t="str">
        <f>IFERROR(__xludf.DUMMYFUNCTION("""COMPUTED_VALUE"""),"22AG607")</f>
        <v>22AG607</v>
      </c>
      <c r="E30" s="131" t="str">
        <f>IFERROR(__xludf.DUMMYFUNCTION("""COMPUTED_VALUE"""),"MINI PROJECT II")</f>
        <v>MINI PROJECT II</v>
      </c>
      <c r="F30" s="121" t="str">
        <f>IFERROR(__xludf.DUMMYFUNCTION("""COMPUTED_VALUE"""),"LAB")</f>
        <v>LAB</v>
      </c>
      <c r="G30" s="121">
        <f>IFERROR(__xludf.DUMMYFUNCTION("""COMPUTED_VALUE"""),0.0)</f>
        <v>0</v>
      </c>
      <c r="H30" s="121">
        <f>IFERROR(__xludf.DUMMYFUNCTION("""COMPUTED_VALUE"""),0.0)</f>
        <v>0</v>
      </c>
      <c r="I30" s="121">
        <f>IFERROR(__xludf.DUMMYFUNCTION("""COMPUTED_VALUE"""),2.0)</f>
        <v>2</v>
      </c>
      <c r="J30" s="121">
        <f>IFERROR(__xludf.DUMMYFUNCTION("""COMPUTED_VALUE"""),1.0)</f>
        <v>1</v>
      </c>
      <c r="K30" s="132"/>
      <c r="L30" s="121"/>
      <c r="M30" s="121"/>
    </row>
    <row r="31" ht="49.5" customHeight="1">
      <c r="A31" s="121" t="str">
        <f>IFERROR(__xludf.DUMMYFUNCTION("""COMPUTED_VALUE"""),"AGRI")</f>
        <v>AGRI</v>
      </c>
      <c r="B31" s="121" t="str">
        <f>IFERROR(__xludf.DUMMYFUNCTION("""COMPUTED_VALUE"""),"S8")</f>
        <v>S8</v>
      </c>
      <c r="C31" s="121" t="str">
        <f>IFERROR(__xludf.DUMMYFUNCTION("""COMPUTED_VALUE"""),"PROJECT")</f>
        <v>PROJECT</v>
      </c>
      <c r="D31" s="121" t="str">
        <f>IFERROR(__xludf.DUMMYFUNCTION("""COMPUTED_VALUE"""),"22AG801")</f>
        <v>22AG801</v>
      </c>
      <c r="E31" s="131" t="str">
        <f>IFERROR(__xludf.DUMMYFUNCTION("""COMPUTED_VALUE"""),"PROJECT WORK II")</f>
        <v>PROJECT WORK II</v>
      </c>
      <c r="F31" s="121" t="str">
        <f>IFERROR(__xludf.DUMMYFUNCTION("""COMPUTED_VALUE"""),"LAB")</f>
        <v>LAB</v>
      </c>
      <c r="G31" s="121">
        <f>IFERROR(__xludf.DUMMYFUNCTION("""COMPUTED_VALUE"""),0.0)</f>
        <v>0</v>
      </c>
      <c r="H31" s="121">
        <f>IFERROR(__xludf.DUMMYFUNCTION("""COMPUTED_VALUE"""),0.0)</f>
        <v>0</v>
      </c>
      <c r="I31" s="121">
        <f>IFERROR(__xludf.DUMMYFUNCTION("""COMPUTED_VALUE"""),18.0)</f>
        <v>18</v>
      </c>
      <c r="J31" s="121">
        <f>IFERROR(__xludf.DUMMYFUNCTION("""COMPUTED_VALUE"""),9.0)</f>
        <v>9</v>
      </c>
      <c r="K31" s="132"/>
      <c r="L31" s="121"/>
      <c r="M31" s="133"/>
    </row>
    <row r="32" ht="49.5" customHeight="1">
      <c r="A32" s="121" t="str">
        <f>IFERROR(__xludf.DUMMYFUNCTION("""COMPUTED_VALUE"""),"AIDS")</f>
        <v>AIDS</v>
      </c>
      <c r="B32" s="121" t="str">
        <f>IFERROR(__xludf.DUMMYFUNCTION("""COMPUTED_VALUE"""),"S2")</f>
        <v>S2</v>
      </c>
      <c r="C32" s="121" t="str">
        <f>IFERROR(__xludf.DUMMYFUNCTION("""COMPUTED_VALUE"""),"CORE")</f>
        <v>CORE</v>
      </c>
      <c r="D32" s="121" t="str">
        <f>IFERROR(__xludf.DUMMYFUNCTION("""COMPUTED_VALUE"""),"22MA201")</f>
        <v>22MA201</v>
      </c>
      <c r="E32" s="131" t="str">
        <f>IFERROR(__xludf.DUMMYFUNCTION("""COMPUTED_VALUE"""),"ENGINEERING MATHEMATICS II")</f>
        <v>ENGINEERING MATHEMATICS II</v>
      </c>
      <c r="F32" s="121" t="str">
        <f>IFERROR(__xludf.DUMMYFUNCTION("""COMPUTED_VALUE"""),"THEORY")</f>
        <v>THEORY</v>
      </c>
      <c r="G32" s="121">
        <f>IFERROR(__xludf.DUMMYFUNCTION("""COMPUTED_VALUE"""),3.0)</f>
        <v>3</v>
      </c>
      <c r="H32" s="121">
        <f>IFERROR(__xludf.DUMMYFUNCTION("""COMPUTED_VALUE"""),1.0)</f>
        <v>1</v>
      </c>
      <c r="I32" s="121">
        <f>IFERROR(__xludf.DUMMYFUNCTION("""COMPUTED_VALUE"""),0.0)</f>
        <v>0</v>
      </c>
      <c r="J32" s="121">
        <f>IFERROR(__xludf.DUMMYFUNCTION("""COMPUTED_VALUE"""),4.0)</f>
        <v>4</v>
      </c>
      <c r="K32" s="132" t="str">
        <f>IFERROR(__xludf.DUMMYFUNCTION("""COMPUTED_VALUE"""),"MA1702")</f>
        <v>MA1702</v>
      </c>
      <c r="L32" s="121" t="str">
        <f>IFERROR(__xludf.DUMMYFUNCTION("""COMPUTED_VALUE"""),"Dr.UMAMAGESWARI D")</f>
        <v>Dr.UMAMAGESWARI D</v>
      </c>
      <c r="M32" s="121" t="str">
        <f>IFERROR(__xludf.DUMMYFUNCTION("""COMPUTED_VALUE"""),"umamageswarid@bitsathy.ac.in")</f>
        <v>umamageswarid@bitsathy.ac.in</v>
      </c>
    </row>
    <row r="33" ht="49.5" customHeight="1">
      <c r="A33" s="121" t="str">
        <f>IFERROR(__xludf.DUMMYFUNCTION("""COMPUTED_VALUE"""),"AIDS")</f>
        <v>AIDS</v>
      </c>
      <c r="B33" s="121" t="str">
        <f>IFERROR(__xludf.DUMMYFUNCTION("""COMPUTED_VALUE"""),"S2")</f>
        <v>S2</v>
      </c>
      <c r="C33" s="121" t="str">
        <f>IFERROR(__xludf.DUMMYFUNCTION("""COMPUTED_VALUE"""),"CORE")</f>
        <v>CORE</v>
      </c>
      <c r="D33" s="121" t="str">
        <f>IFERROR(__xludf.DUMMYFUNCTION("""COMPUTED_VALUE"""),"22MA201")</f>
        <v>22MA201</v>
      </c>
      <c r="E33" s="131" t="str">
        <f>IFERROR(__xludf.DUMMYFUNCTION("""COMPUTED_VALUE"""),"ENGINEERING MATHEMATICS II")</f>
        <v>ENGINEERING MATHEMATICS II</v>
      </c>
      <c r="F33" s="121" t="str">
        <f>IFERROR(__xludf.DUMMYFUNCTION("""COMPUTED_VALUE"""),"THEORY")</f>
        <v>THEORY</v>
      </c>
      <c r="G33" s="121">
        <f>IFERROR(__xludf.DUMMYFUNCTION("""COMPUTED_VALUE"""),3.0)</f>
        <v>3</v>
      </c>
      <c r="H33" s="121">
        <f>IFERROR(__xludf.DUMMYFUNCTION("""COMPUTED_VALUE"""),1.0)</f>
        <v>1</v>
      </c>
      <c r="I33" s="121">
        <f>IFERROR(__xludf.DUMMYFUNCTION("""COMPUTED_VALUE"""),0.0)</f>
        <v>0</v>
      </c>
      <c r="J33" s="121">
        <f>IFERROR(__xludf.DUMMYFUNCTION("""COMPUTED_VALUE"""),4.0)</f>
        <v>4</v>
      </c>
      <c r="K33" s="132" t="str">
        <f>IFERROR(__xludf.DUMMYFUNCTION("""COMPUTED_VALUE"""),"MA10119")</f>
        <v>MA10119</v>
      </c>
      <c r="L33" s="121" t="str">
        <f>IFERROR(__xludf.DUMMYFUNCTION("""COMPUTED_VALUE"""),"Dr.SARANYA D")</f>
        <v>Dr.SARANYA D</v>
      </c>
      <c r="M33" s="121" t="str">
        <f>IFERROR(__xludf.DUMMYFUNCTION("""COMPUTED_VALUE"""),"saranyad@bitsathy.ac.in")</f>
        <v>saranyad@bitsathy.ac.in</v>
      </c>
    </row>
    <row r="34" ht="49.5" customHeight="1">
      <c r="A34" s="121" t="str">
        <f>IFERROR(__xludf.DUMMYFUNCTION("""COMPUTED_VALUE"""),"AIDS")</f>
        <v>AIDS</v>
      </c>
      <c r="B34" s="121" t="str">
        <f>IFERROR(__xludf.DUMMYFUNCTION("""COMPUTED_VALUE"""),"S2")</f>
        <v>S2</v>
      </c>
      <c r="C34" s="121" t="str">
        <f>IFERROR(__xludf.DUMMYFUNCTION("""COMPUTED_VALUE"""),"CORE")</f>
        <v>CORE</v>
      </c>
      <c r="D34" s="121" t="str">
        <f>IFERROR(__xludf.DUMMYFUNCTION("""COMPUTED_VALUE"""),"22MA201")</f>
        <v>22MA201</v>
      </c>
      <c r="E34" s="131" t="str">
        <f>IFERROR(__xludf.DUMMYFUNCTION("""COMPUTED_VALUE"""),"ENGINEERING MATHEMATICS II")</f>
        <v>ENGINEERING MATHEMATICS II</v>
      </c>
      <c r="F34" s="121" t="str">
        <f>IFERROR(__xludf.DUMMYFUNCTION("""COMPUTED_VALUE"""),"THEORY")</f>
        <v>THEORY</v>
      </c>
      <c r="G34" s="121">
        <f>IFERROR(__xludf.DUMMYFUNCTION("""COMPUTED_VALUE"""),3.0)</f>
        <v>3</v>
      </c>
      <c r="H34" s="121">
        <f>IFERROR(__xludf.DUMMYFUNCTION("""COMPUTED_VALUE"""),1.0)</f>
        <v>1</v>
      </c>
      <c r="I34" s="121">
        <f>IFERROR(__xludf.DUMMYFUNCTION("""COMPUTED_VALUE"""),0.0)</f>
        <v>0</v>
      </c>
      <c r="J34" s="121">
        <f>IFERROR(__xludf.DUMMYFUNCTION("""COMPUTED_VALUE"""),4.0)</f>
        <v>4</v>
      </c>
      <c r="K34" s="132" t="str">
        <f>IFERROR(__xludf.DUMMYFUNCTION("""COMPUTED_VALUE"""),"MA10763")</f>
        <v>MA10763</v>
      </c>
      <c r="L34" s="121" t="str">
        <f>IFERROR(__xludf.DUMMYFUNCTION("""COMPUTED_VALUE"""),"Dr.REVATHI V M")</f>
        <v>Dr.REVATHI V M</v>
      </c>
      <c r="M34" s="121" t="str">
        <f>IFERROR(__xludf.DUMMYFUNCTION("""COMPUTED_VALUE"""),"revathivm@bitsathy.ac.in")</f>
        <v>revathivm@bitsathy.ac.in</v>
      </c>
    </row>
    <row r="35" ht="49.5" customHeight="1">
      <c r="A35" s="121" t="str">
        <f>IFERROR(__xludf.DUMMYFUNCTION("""COMPUTED_VALUE"""),"AIDS")</f>
        <v>AIDS</v>
      </c>
      <c r="B35" s="121" t="str">
        <f>IFERROR(__xludf.DUMMYFUNCTION("""COMPUTED_VALUE"""),"S2")</f>
        <v>S2</v>
      </c>
      <c r="C35" s="121" t="str">
        <f>IFERROR(__xludf.DUMMYFUNCTION("""COMPUTED_VALUE"""),"CORE")</f>
        <v>CORE</v>
      </c>
      <c r="D35" s="121" t="str">
        <f>IFERROR(__xludf.DUMMYFUNCTION("""COMPUTED_VALUE"""),"22MA201")</f>
        <v>22MA201</v>
      </c>
      <c r="E35" s="131" t="str">
        <f>IFERROR(__xludf.DUMMYFUNCTION("""COMPUTED_VALUE"""),"ENGINEERING MATHEMATICS II")</f>
        <v>ENGINEERING MATHEMATICS II</v>
      </c>
      <c r="F35" s="121" t="str">
        <f>IFERROR(__xludf.DUMMYFUNCTION("""COMPUTED_VALUE"""),"THEORY")</f>
        <v>THEORY</v>
      </c>
      <c r="G35" s="121">
        <f>IFERROR(__xludf.DUMMYFUNCTION("""COMPUTED_VALUE"""),3.0)</f>
        <v>3</v>
      </c>
      <c r="H35" s="121">
        <f>IFERROR(__xludf.DUMMYFUNCTION("""COMPUTED_VALUE"""),1.0)</f>
        <v>1</v>
      </c>
      <c r="I35" s="121">
        <f>IFERROR(__xludf.DUMMYFUNCTION("""COMPUTED_VALUE"""),0.0)</f>
        <v>0</v>
      </c>
      <c r="J35" s="121">
        <f>IFERROR(__xludf.DUMMYFUNCTION("""COMPUTED_VALUE"""),4.0)</f>
        <v>4</v>
      </c>
      <c r="K35" s="132" t="str">
        <f>IFERROR(__xludf.DUMMYFUNCTION("""COMPUTED_VALUE"""),"MA10986")</f>
        <v>MA10986</v>
      </c>
      <c r="L35" s="121" t="str">
        <f>IFERROR(__xludf.DUMMYFUNCTION("""COMPUTED_VALUE"""),"Dr.GOMATHI M")</f>
        <v>Dr.GOMATHI M</v>
      </c>
      <c r="M35" s="121" t="str">
        <f>IFERROR(__xludf.DUMMYFUNCTION("""COMPUTED_VALUE"""),"gomathim@bitsathy.ac.in")</f>
        <v>gomathim@bitsathy.ac.in</v>
      </c>
    </row>
    <row r="36" ht="49.5" customHeight="1">
      <c r="A36" s="121" t="str">
        <f>IFERROR(__xludf.DUMMYFUNCTION("""COMPUTED_VALUE"""),"AIDS")</f>
        <v>AIDS</v>
      </c>
      <c r="B36" s="121" t="str">
        <f>IFERROR(__xludf.DUMMYFUNCTION("""COMPUTED_VALUE"""),"S2")</f>
        <v>S2</v>
      </c>
      <c r="C36" s="121" t="str">
        <f>IFERROR(__xludf.DUMMYFUNCTION("""COMPUTED_VALUE"""),"CORE")</f>
        <v>CORE</v>
      </c>
      <c r="D36" s="121" t="str">
        <f>IFERROR(__xludf.DUMMYFUNCTION("""COMPUTED_VALUE"""),"22MA201")</f>
        <v>22MA201</v>
      </c>
      <c r="E36" s="131" t="str">
        <f>IFERROR(__xludf.DUMMYFUNCTION("""COMPUTED_VALUE"""),"ENGINEERING MATHEMATICS II")</f>
        <v>ENGINEERING MATHEMATICS II</v>
      </c>
      <c r="F36" s="121" t="str">
        <f>IFERROR(__xludf.DUMMYFUNCTION("""COMPUTED_VALUE"""),"THEORY")</f>
        <v>THEORY</v>
      </c>
      <c r="G36" s="121">
        <f>IFERROR(__xludf.DUMMYFUNCTION("""COMPUTED_VALUE"""),3.0)</f>
        <v>3</v>
      </c>
      <c r="H36" s="121">
        <f>IFERROR(__xludf.DUMMYFUNCTION("""COMPUTED_VALUE"""),1.0)</f>
        <v>1</v>
      </c>
      <c r="I36" s="121">
        <f>IFERROR(__xludf.DUMMYFUNCTION("""COMPUTED_VALUE"""),0.0)</f>
        <v>0</v>
      </c>
      <c r="J36" s="121">
        <f>IFERROR(__xludf.DUMMYFUNCTION("""COMPUTED_VALUE"""),4.0)</f>
        <v>4</v>
      </c>
      <c r="K36" s="132" t="str">
        <f>IFERROR(__xludf.DUMMYFUNCTION("""COMPUTED_VALUE"""),"MA11181")</f>
        <v>MA11181</v>
      </c>
      <c r="L36" s="121" t="str">
        <f>IFERROR(__xludf.DUMMYFUNCTION("""COMPUTED_VALUE"""),"Dr.HEMALATHA B")</f>
        <v>Dr.HEMALATHA B</v>
      </c>
      <c r="M36" s="121" t="str">
        <f>IFERROR(__xludf.DUMMYFUNCTION("""COMPUTED_VALUE"""),"hemalathab@bitsathy.ac.in")</f>
        <v>hemalathab@bitsathy.ac.in</v>
      </c>
    </row>
    <row r="37" ht="49.5" customHeight="1">
      <c r="A37" s="121" t="str">
        <f>IFERROR(__xludf.DUMMYFUNCTION("""COMPUTED_VALUE"""),"AIDS")</f>
        <v>AIDS</v>
      </c>
      <c r="B37" s="121" t="str">
        <f>IFERROR(__xludf.DUMMYFUNCTION("""COMPUTED_VALUE"""),"S2")</f>
        <v>S2</v>
      </c>
      <c r="C37" s="121" t="str">
        <f>IFERROR(__xludf.DUMMYFUNCTION("""COMPUTED_VALUE"""),"CORE")</f>
        <v>CORE</v>
      </c>
      <c r="D37" s="121" t="str">
        <f>IFERROR(__xludf.DUMMYFUNCTION("""COMPUTED_VALUE"""),"22PH202")</f>
        <v>22PH202</v>
      </c>
      <c r="E37" s="131" t="str">
        <f>IFERROR(__xludf.DUMMYFUNCTION("""COMPUTED_VALUE"""),"ELECTROMAGNETISM AND MODERN PHYSICS")</f>
        <v>ELECTROMAGNETISM AND MODERN PHYSICS</v>
      </c>
      <c r="F37" s="121" t="str">
        <f>IFERROR(__xludf.DUMMYFUNCTION("""COMPUTED_VALUE"""),"THEORY WITH LAB")</f>
        <v>THEORY WITH LAB</v>
      </c>
      <c r="G37" s="121">
        <f>IFERROR(__xludf.DUMMYFUNCTION("""COMPUTED_VALUE"""),2.0)</f>
        <v>2</v>
      </c>
      <c r="H37" s="121">
        <f>IFERROR(__xludf.DUMMYFUNCTION("""COMPUTED_VALUE"""),0.0)</f>
        <v>0</v>
      </c>
      <c r="I37" s="121">
        <f>IFERROR(__xludf.DUMMYFUNCTION("""COMPUTED_VALUE"""),2.0)</f>
        <v>2</v>
      </c>
      <c r="J37" s="121">
        <f>IFERROR(__xludf.DUMMYFUNCTION("""COMPUTED_VALUE"""),3.0)</f>
        <v>3</v>
      </c>
      <c r="K37" s="132" t="str">
        <f>IFERROR(__xludf.DUMMYFUNCTION("""COMPUTED_VALUE"""),"PH1653")</f>
        <v>PH1653</v>
      </c>
      <c r="L37" s="121" t="str">
        <f>IFERROR(__xludf.DUMMYFUNCTION("""COMPUTED_VALUE"""),"Dr.PONGALI SATHYA PRABU N")</f>
        <v>Dr.PONGALI SATHYA PRABU N</v>
      </c>
      <c r="M37" s="121" t="str">
        <f>IFERROR(__xludf.DUMMYFUNCTION("""COMPUTED_VALUE"""),"pongalispn@bitsathy.ac.in")</f>
        <v>pongalispn@bitsathy.ac.in</v>
      </c>
    </row>
    <row r="38" ht="49.5" customHeight="1">
      <c r="A38" s="121" t="str">
        <f>IFERROR(__xludf.DUMMYFUNCTION("""COMPUTED_VALUE"""),"AIDS")</f>
        <v>AIDS</v>
      </c>
      <c r="B38" s="121" t="str">
        <f>IFERROR(__xludf.DUMMYFUNCTION("""COMPUTED_VALUE"""),"S2")</f>
        <v>S2</v>
      </c>
      <c r="C38" s="121" t="str">
        <f>IFERROR(__xludf.DUMMYFUNCTION("""COMPUTED_VALUE"""),"CORE")</f>
        <v>CORE</v>
      </c>
      <c r="D38" s="121" t="str">
        <f>IFERROR(__xludf.DUMMYFUNCTION("""COMPUTED_VALUE"""),"22PH202")</f>
        <v>22PH202</v>
      </c>
      <c r="E38" s="131" t="str">
        <f>IFERROR(__xludf.DUMMYFUNCTION("""COMPUTED_VALUE"""),"ELECTROMAGNETISM AND MODERN PHYSICS")</f>
        <v>ELECTROMAGNETISM AND MODERN PHYSICS</v>
      </c>
      <c r="F38" s="121" t="str">
        <f>IFERROR(__xludf.DUMMYFUNCTION("""COMPUTED_VALUE"""),"THEORY WITH LAB")</f>
        <v>THEORY WITH LAB</v>
      </c>
      <c r="G38" s="121">
        <f>IFERROR(__xludf.DUMMYFUNCTION("""COMPUTED_VALUE"""),2.0)</f>
        <v>2</v>
      </c>
      <c r="H38" s="121">
        <f>IFERROR(__xludf.DUMMYFUNCTION("""COMPUTED_VALUE"""),0.0)</f>
        <v>0</v>
      </c>
      <c r="I38" s="121">
        <f>IFERROR(__xludf.DUMMYFUNCTION("""COMPUTED_VALUE"""),2.0)</f>
        <v>2</v>
      </c>
      <c r="J38" s="121">
        <f>IFERROR(__xludf.DUMMYFUNCTION("""COMPUTED_VALUE"""),3.0)</f>
        <v>3</v>
      </c>
      <c r="K38" s="132" t="str">
        <f>IFERROR(__xludf.DUMMYFUNCTION("""COMPUTED_VALUE"""),"PH10870")</f>
        <v>PH10870</v>
      </c>
      <c r="L38" s="121" t="str">
        <f>IFERROR(__xludf.DUMMYFUNCTION("""COMPUTED_VALUE"""),"Dr.VANITHA K")</f>
        <v>Dr.VANITHA K</v>
      </c>
      <c r="M38" s="121" t="str">
        <f>IFERROR(__xludf.DUMMYFUNCTION("""COMPUTED_VALUE"""),"vanithak@bitsathy.ac.in")</f>
        <v>vanithak@bitsathy.ac.in</v>
      </c>
    </row>
    <row r="39" ht="49.5" customHeight="1">
      <c r="A39" s="121" t="str">
        <f>IFERROR(__xludf.DUMMYFUNCTION("""COMPUTED_VALUE"""),"AIDS")</f>
        <v>AIDS</v>
      </c>
      <c r="B39" s="121" t="str">
        <f>IFERROR(__xludf.DUMMYFUNCTION("""COMPUTED_VALUE"""),"S2")</f>
        <v>S2</v>
      </c>
      <c r="C39" s="121" t="str">
        <f>IFERROR(__xludf.DUMMYFUNCTION("""COMPUTED_VALUE"""),"CORE")</f>
        <v>CORE</v>
      </c>
      <c r="D39" s="121" t="str">
        <f>IFERROR(__xludf.DUMMYFUNCTION("""COMPUTED_VALUE"""),"22PH202")</f>
        <v>22PH202</v>
      </c>
      <c r="E39" s="131" t="str">
        <f>IFERROR(__xludf.DUMMYFUNCTION("""COMPUTED_VALUE"""),"ELECTROMAGNETISM AND MODERN PHYSICS")</f>
        <v>ELECTROMAGNETISM AND MODERN PHYSICS</v>
      </c>
      <c r="F39" s="121" t="str">
        <f>IFERROR(__xludf.DUMMYFUNCTION("""COMPUTED_VALUE"""),"THEORY WITH LAB")</f>
        <v>THEORY WITH LAB</v>
      </c>
      <c r="G39" s="121">
        <f>IFERROR(__xludf.DUMMYFUNCTION("""COMPUTED_VALUE"""),2.0)</f>
        <v>2</v>
      </c>
      <c r="H39" s="121">
        <f>IFERROR(__xludf.DUMMYFUNCTION("""COMPUTED_VALUE"""),0.0)</f>
        <v>0</v>
      </c>
      <c r="I39" s="121">
        <f>IFERROR(__xludf.DUMMYFUNCTION("""COMPUTED_VALUE"""),2.0)</f>
        <v>2</v>
      </c>
      <c r="J39" s="121">
        <f>IFERROR(__xludf.DUMMYFUNCTION("""COMPUTED_VALUE"""),3.0)</f>
        <v>3</v>
      </c>
      <c r="K39" s="132" t="str">
        <f>IFERROR(__xludf.DUMMYFUNCTION("""COMPUTED_VALUE"""),"PH11153")</f>
        <v>PH11153</v>
      </c>
      <c r="L39" s="121" t="str">
        <f>IFERROR(__xludf.DUMMYFUNCTION("""COMPUTED_VALUE"""),"Dr.SANGEETHA K")</f>
        <v>Dr.SANGEETHA K</v>
      </c>
      <c r="M39" s="121" t="str">
        <f>IFERROR(__xludf.DUMMYFUNCTION("""COMPUTED_VALUE"""),"sangeethak@bitsathy.ac.in")</f>
        <v>sangeethak@bitsathy.ac.in</v>
      </c>
    </row>
    <row r="40" ht="49.5" customHeight="1">
      <c r="A40" s="121" t="str">
        <f>IFERROR(__xludf.DUMMYFUNCTION("""COMPUTED_VALUE"""),"AIDS")</f>
        <v>AIDS</v>
      </c>
      <c r="B40" s="121" t="str">
        <f>IFERROR(__xludf.DUMMYFUNCTION("""COMPUTED_VALUE"""),"S2")</f>
        <v>S2</v>
      </c>
      <c r="C40" s="121" t="str">
        <f>IFERROR(__xludf.DUMMYFUNCTION("""COMPUTED_VALUE"""),"CORE")</f>
        <v>CORE</v>
      </c>
      <c r="D40" s="121" t="str">
        <f>IFERROR(__xludf.DUMMYFUNCTION("""COMPUTED_VALUE"""),"22PH202")</f>
        <v>22PH202</v>
      </c>
      <c r="E40" s="131" t="str">
        <f>IFERROR(__xludf.DUMMYFUNCTION("""COMPUTED_VALUE"""),"ELECTROMAGNETISM AND MODERN PHYSICS")</f>
        <v>ELECTROMAGNETISM AND MODERN PHYSICS</v>
      </c>
      <c r="F40" s="121" t="str">
        <f>IFERROR(__xludf.DUMMYFUNCTION("""COMPUTED_VALUE"""),"THEORY WITH LAB")</f>
        <v>THEORY WITH LAB</v>
      </c>
      <c r="G40" s="121">
        <f>IFERROR(__xludf.DUMMYFUNCTION("""COMPUTED_VALUE"""),2.0)</f>
        <v>2</v>
      </c>
      <c r="H40" s="121">
        <f>IFERROR(__xludf.DUMMYFUNCTION("""COMPUTED_VALUE"""),0.0)</f>
        <v>0</v>
      </c>
      <c r="I40" s="121">
        <f>IFERROR(__xludf.DUMMYFUNCTION("""COMPUTED_VALUE"""),2.0)</f>
        <v>2</v>
      </c>
      <c r="J40" s="121">
        <f>IFERROR(__xludf.DUMMYFUNCTION("""COMPUTED_VALUE"""),3.0)</f>
        <v>3</v>
      </c>
      <c r="K40" s="132" t="str">
        <f>IFERROR(__xludf.DUMMYFUNCTION("""COMPUTED_VALUE"""),"PH11152")</f>
        <v>PH11152</v>
      </c>
      <c r="L40" s="121" t="str">
        <f>IFERROR(__xludf.DUMMYFUNCTION("""COMPUTED_VALUE"""),"Dr.PRIYADHARSINI A")</f>
        <v>Dr.PRIYADHARSINI A</v>
      </c>
      <c r="M40" s="121" t="str">
        <f>IFERROR(__xludf.DUMMYFUNCTION("""COMPUTED_VALUE"""),"Priyadharsinia@bitsathy.ac.in")</f>
        <v>Priyadharsinia@bitsathy.ac.in</v>
      </c>
    </row>
    <row r="41" ht="49.5" customHeight="1">
      <c r="A41" s="121" t="str">
        <f>IFERROR(__xludf.DUMMYFUNCTION("""COMPUTED_VALUE"""),"AIDS")</f>
        <v>AIDS</v>
      </c>
      <c r="B41" s="121" t="str">
        <f>IFERROR(__xludf.DUMMYFUNCTION("""COMPUTED_VALUE"""),"S2")</f>
        <v>S2</v>
      </c>
      <c r="C41" s="121" t="str">
        <f>IFERROR(__xludf.DUMMYFUNCTION("""COMPUTED_VALUE"""),"CORE")</f>
        <v>CORE</v>
      </c>
      <c r="D41" s="121" t="str">
        <f>IFERROR(__xludf.DUMMYFUNCTION("""COMPUTED_VALUE"""),"22PH202")</f>
        <v>22PH202</v>
      </c>
      <c r="E41" s="131" t="str">
        <f>IFERROR(__xludf.DUMMYFUNCTION("""COMPUTED_VALUE"""),"ELECTROMAGNETISM AND MODERN PHYSICS")</f>
        <v>ELECTROMAGNETISM AND MODERN PHYSICS</v>
      </c>
      <c r="F41" s="121" t="str">
        <f>IFERROR(__xludf.DUMMYFUNCTION("""COMPUTED_VALUE"""),"THEORY WITH LAB")</f>
        <v>THEORY WITH LAB</v>
      </c>
      <c r="G41" s="121">
        <f>IFERROR(__xludf.DUMMYFUNCTION("""COMPUTED_VALUE"""),2.0)</f>
        <v>2</v>
      </c>
      <c r="H41" s="121">
        <f>IFERROR(__xludf.DUMMYFUNCTION("""COMPUTED_VALUE"""),0.0)</f>
        <v>0</v>
      </c>
      <c r="I41" s="121">
        <f>IFERROR(__xludf.DUMMYFUNCTION("""COMPUTED_VALUE"""),2.0)</f>
        <v>2</v>
      </c>
      <c r="J41" s="121">
        <f>IFERROR(__xludf.DUMMYFUNCTION("""COMPUTED_VALUE"""),3.0)</f>
        <v>3</v>
      </c>
      <c r="K41" s="132" t="str">
        <f>IFERROR(__xludf.DUMMYFUNCTION("""COMPUTED_VALUE"""),"PH11015")</f>
        <v>PH11015</v>
      </c>
      <c r="L41" s="121" t="str">
        <f>IFERROR(__xludf.DUMMYFUNCTION("""COMPUTED_VALUE"""),"Dr.GOPI G")</f>
        <v>Dr.GOPI G</v>
      </c>
      <c r="M41" s="121" t="str">
        <f>IFERROR(__xludf.DUMMYFUNCTION("""COMPUTED_VALUE"""),"gopi@bitsathy.ac.in")</f>
        <v>gopi@bitsathy.ac.in</v>
      </c>
    </row>
    <row r="42" ht="49.5" customHeight="1">
      <c r="A42" s="121" t="str">
        <f>IFERROR(__xludf.DUMMYFUNCTION("""COMPUTED_VALUE"""),"AIDS")</f>
        <v>AIDS</v>
      </c>
      <c r="B42" s="121" t="str">
        <f>IFERROR(__xludf.DUMMYFUNCTION("""COMPUTED_VALUE"""),"S2")</f>
        <v>S2</v>
      </c>
      <c r="C42" s="121" t="str">
        <f>IFERROR(__xludf.DUMMYFUNCTION("""COMPUTED_VALUE"""),"CORE")</f>
        <v>CORE</v>
      </c>
      <c r="D42" s="121" t="str">
        <f>IFERROR(__xludf.DUMMYFUNCTION("""COMPUTED_VALUE"""),"22CH203")</f>
        <v>22CH203</v>
      </c>
      <c r="E42" s="131" t="str">
        <f>IFERROR(__xludf.DUMMYFUNCTION("""COMPUTED_VALUE"""),"ENGINEERING CHEMISTRY II")</f>
        <v>ENGINEERING CHEMISTRY II</v>
      </c>
      <c r="F42" s="121" t="str">
        <f>IFERROR(__xludf.DUMMYFUNCTION("""COMPUTED_VALUE"""),"THEORY WITH LAB")</f>
        <v>THEORY WITH LAB</v>
      </c>
      <c r="G42" s="121">
        <f>IFERROR(__xludf.DUMMYFUNCTION("""COMPUTED_VALUE"""),2.0)</f>
        <v>2</v>
      </c>
      <c r="H42" s="121">
        <f>IFERROR(__xludf.DUMMYFUNCTION("""COMPUTED_VALUE"""),0.0)</f>
        <v>0</v>
      </c>
      <c r="I42" s="121">
        <f>IFERROR(__xludf.DUMMYFUNCTION("""COMPUTED_VALUE"""),2.0)</f>
        <v>2</v>
      </c>
      <c r="J42" s="121">
        <f>IFERROR(__xludf.DUMMYFUNCTION("""COMPUTED_VALUE"""),3.0)</f>
        <v>3</v>
      </c>
      <c r="K42" s="132" t="str">
        <f>IFERROR(__xludf.DUMMYFUNCTION("""COMPUTED_VALUE"""),"CH1493")</f>
        <v>CH1493</v>
      </c>
      <c r="L42" s="121" t="str">
        <f>IFERROR(__xludf.DUMMYFUNCTION("""COMPUTED_VALUE"""),"Dr.SUBHAPRIYA P")</f>
        <v>Dr.SUBHAPRIYA P</v>
      </c>
      <c r="M42" s="121" t="str">
        <f>IFERROR(__xludf.DUMMYFUNCTION("""COMPUTED_VALUE"""),"subhapriyap@bitsathy.ac.in")</f>
        <v>subhapriyap@bitsathy.ac.in</v>
      </c>
    </row>
    <row r="43" ht="49.5" customHeight="1">
      <c r="A43" s="121" t="str">
        <f>IFERROR(__xludf.DUMMYFUNCTION("""COMPUTED_VALUE"""),"AIDS")</f>
        <v>AIDS</v>
      </c>
      <c r="B43" s="121" t="str">
        <f>IFERROR(__xludf.DUMMYFUNCTION("""COMPUTED_VALUE"""),"S2")</f>
        <v>S2</v>
      </c>
      <c r="C43" s="121" t="str">
        <f>IFERROR(__xludf.DUMMYFUNCTION("""COMPUTED_VALUE"""),"CORE")</f>
        <v>CORE</v>
      </c>
      <c r="D43" s="121" t="str">
        <f>IFERROR(__xludf.DUMMYFUNCTION("""COMPUTED_VALUE"""),"22CH203")</f>
        <v>22CH203</v>
      </c>
      <c r="E43" s="131" t="str">
        <f>IFERROR(__xludf.DUMMYFUNCTION("""COMPUTED_VALUE"""),"ENGINEERING CHEMISTRY II")</f>
        <v>ENGINEERING CHEMISTRY II</v>
      </c>
      <c r="F43" s="121" t="str">
        <f>IFERROR(__xludf.DUMMYFUNCTION("""COMPUTED_VALUE"""),"THEORY WITH LAB")</f>
        <v>THEORY WITH LAB</v>
      </c>
      <c r="G43" s="121">
        <f>IFERROR(__xludf.DUMMYFUNCTION("""COMPUTED_VALUE"""),2.0)</f>
        <v>2</v>
      </c>
      <c r="H43" s="121">
        <f>IFERROR(__xludf.DUMMYFUNCTION("""COMPUTED_VALUE"""),0.0)</f>
        <v>0</v>
      </c>
      <c r="I43" s="121">
        <f>IFERROR(__xludf.DUMMYFUNCTION("""COMPUTED_VALUE"""),2.0)</f>
        <v>2</v>
      </c>
      <c r="J43" s="121">
        <f>IFERROR(__xludf.DUMMYFUNCTION("""COMPUTED_VALUE"""),3.0)</f>
        <v>3</v>
      </c>
      <c r="K43" s="132" t="str">
        <f>IFERROR(__xludf.DUMMYFUNCTION("""COMPUTED_VALUE"""),"CH10314")</f>
        <v>CH10314</v>
      </c>
      <c r="L43" s="121" t="str">
        <f>IFERROR(__xludf.DUMMYFUNCTION("""COMPUTED_VALUE"""),"Dr.VISWANATHAN G")</f>
        <v>Dr.VISWANATHAN G</v>
      </c>
      <c r="M43" s="121" t="str">
        <f>IFERROR(__xludf.DUMMYFUNCTION("""COMPUTED_VALUE"""),"viswanathan@bitsathy.ac.in")</f>
        <v>viswanathan@bitsathy.ac.in</v>
      </c>
    </row>
    <row r="44" ht="49.5" customHeight="1">
      <c r="A44" s="121" t="str">
        <f>IFERROR(__xludf.DUMMYFUNCTION("""COMPUTED_VALUE"""),"AIDS")</f>
        <v>AIDS</v>
      </c>
      <c r="B44" s="121" t="str">
        <f>IFERROR(__xludf.DUMMYFUNCTION("""COMPUTED_VALUE"""),"S2")</f>
        <v>S2</v>
      </c>
      <c r="C44" s="121" t="str">
        <f>IFERROR(__xludf.DUMMYFUNCTION("""COMPUTED_VALUE"""),"CORE")</f>
        <v>CORE</v>
      </c>
      <c r="D44" s="121" t="str">
        <f>IFERROR(__xludf.DUMMYFUNCTION("""COMPUTED_VALUE"""),"22CH203")</f>
        <v>22CH203</v>
      </c>
      <c r="E44" s="131" t="str">
        <f>IFERROR(__xludf.DUMMYFUNCTION("""COMPUTED_VALUE"""),"ENGINEERING CHEMISTRY II")</f>
        <v>ENGINEERING CHEMISTRY II</v>
      </c>
      <c r="F44" s="121" t="str">
        <f>IFERROR(__xludf.DUMMYFUNCTION("""COMPUTED_VALUE"""),"THEORY WITH LAB")</f>
        <v>THEORY WITH LAB</v>
      </c>
      <c r="G44" s="121">
        <f>IFERROR(__xludf.DUMMYFUNCTION("""COMPUTED_VALUE"""),2.0)</f>
        <v>2</v>
      </c>
      <c r="H44" s="121">
        <f>IFERROR(__xludf.DUMMYFUNCTION("""COMPUTED_VALUE"""),0.0)</f>
        <v>0</v>
      </c>
      <c r="I44" s="121">
        <f>IFERROR(__xludf.DUMMYFUNCTION("""COMPUTED_VALUE"""),2.0)</f>
        <v>2</v>
      </c>
      <c r="J44" s="121">
        <f>IFERROR(__xludf.DUMMYFUNCTION("""COMPUTED_VALUE"""),3.0)</f>
        <v>3</v>
      </c>
      <c r="K44" s="132" t="str">
        <f>IFERROR(__xludf.DUMMYFUNCTION("""COMPUTED_VALUE"""),"CH11057")</f>
        <v>CH11057</v>
      </c>
      <c r="L44" s="121" t="str">
        <f>IFERROR(__xludf.DUMMYFUNCTION("""COMPUTED_VALUE"""),"Dr.KARUPPUSAMY S")</f>
        <v>Dr.KARUPPUSAMY S</v>
      </c>
      <c r="M44" s="133" t="str">
        <f>IFERROR(__xludf.DUMMYFUNCTION("""COMPUTED_VALUE"""),"karuppusamys@bitsathy.ac.in")</f>
        <v>karuppusamys@bitsathy.ac.in</v>
      </c>
    </row>
    <row r="45" ht="49.5" customHeight="1">
      <c r="A45" s="121" t="str">
        <f>IFERROR(__xludf.DUMMYFUNCTION("""COMPUTED_VALUE"""),"AIDS")</f>
        <v>AIDS</v>
      </c>
      <c r="B45" s="121" t="str">
        <f>IFERROR(__xludf.DUMMYFUNCTION("""COMPUTED_VALUE"""),"S2")</f>
        <v>S2</v>
      </c>
      <c r="C45" s="121" t="str">
        <f>IFERROR(__xludf.DUMMYFUNCTION("""COMPUTED_VALUE"""),"CORE")</f>
        <v>CORE</v>
      </c>
      <c r="D45" s="121" t="str">
        <f>IFERROR(__xludf.DUMMYFUNCTION("""COMPUTED_VALUE"""),"22CH203")</f>
        <v>22CH203</v>
      </c>
      <c r="E45" s="131" t="str">
        <f>IFERROR(__xludf.DUMMYFUNCTION("""COMPUTED_VALUE"""),"ENGINEERING CHEMISTRY II")</f>
        <v>ENGINEERING CHEMISTRY II</v>
      </c>
      <c r="F45" s="121" t="str">
        <f>IFERROR(__xludf.DUMMYFUNCTION("""COMPUTED_VALUE"""),"THEORY WITH LAB")</f>
        <v>THEORY WITH LAB</v>
      </c>
      <c r="G45" s="121">
        <f>IFERROR(__xludf.DUMMYFUNCTION("""COMPUTED_VALUE"""),2.0)</f>
        <v>2</v>
      </c>
      <c r="H45" s="121">
        <f>IFERROR(__xludf.DUMMYFUNCTION("""COMPUTED_VALUE"""),0.0)</f>
        <v>0</v>
      </c>
      <c r="I45" s="121">
        <f>IFERROR(__xludf.DUMMYFUNCTION("""COMPUTED_VALUE"""),2.0)</f>
        <v>2</v>
      </c>
      <c r="J45" s="121">
        <f>IFERROR(__xludf.DUMMYFUNCTION("""COMPUTED_VALUE"""),3.0)</f>
        <v>3</v>
      </c>
      <c r="K45" s="132" t="str">
        <f>IFERROR(__xludf.DUMMYFUNCTION("""COMPUTED_VALUE"""),"CH1557")</f>
        <v>CH1557</v>
      </c>
      <c r="L45" s="121" t="str">
        <f>IFERROR(__xludf.DUMMYFUNCTION("""COMPUTED_VALUE"""),"Dr.VIJAYANAND P S")</f>
        <v>Dr.VIJAYANAND P S</v>
      </c>
      <c r="M45" s="133" t="str">
        <f>IFERROR(__xludf.DUMMYFUNCTION("""COMPUTED_VALUE"""),"vijayanandps@bitsathy.ac.in")</f>
        <v>vijayanandps@bitsathy.ac.in</v>
      </c>
    </row>
    <row r="46" ht="49.5" customHeight="1">
      <c r="A46" s="121" t="str">
        <f>IFERROR(__xludf.DUMMYFUNCTION("""COMPUTED_VALUE"""),"AIDS")</f>
        <v>AIDS</v>
      </c>
      <c r="B46" s="121" t="str">
        <f>IFERROR(__xludf.DUMMYFUNCTION("""COMPUTED_VALUE"""),"S2")</f>
        <v>S2</v>
      </c>
      <c r="C46" s="121" t="str">
        <f>IFERROR(__xludf.DUMMYFUNCTION("""COMPUTED_VALUE"""),"CORE")</f>
        <v>CORE</v>
      </c>
      <c r="D46" s="121" t="str">
        <f>IFERROR(__xludf.DUMMYFUNCTION("""COMPUTED_VALUE"""),"22CH203")</f>
        <v>22CH203</v>
      </c>
      <c r="E46" s="131" t="str">
        <f>IFERROR(__xludf.DUMMYFUNCTION("""COMPUTED_VALUE"""),"ENGINEERING CHEMISTRY II")</f>
        <v>ENGINEERING CHEMISTRY II</v>
      </c>
      <c r="F46" s="121" t="str">
        <f>IFERROR(__xludf.DUMMYFUNCTION("""COMPUTED_VALUE"""),"THEORY WITH LAB")</f>
        <v>THEORY WITH LAB</v>
      </c>
      <c r="G46" s="121">
        <f>IFERROR(__xludf.DUMMYFUNCTION("""COMPUTED_VALUE"""),2.0)</f>
        <v>2</v>
      </c>
      <c r="H46" s="121">
        <f>IFERROR(__xludf.DUMMYFUNCTION("""COMPUTED_VALUE"""),0.0)</f>
        <v>0</v>
      </c>
      <c r="I46" s="121">
        <f>IFERROR(__xludf.DUMMYFUNCTION("""COMPUTED_VALUE"""),2.0)</f>
        <v>2</v>
      </c>
      <c r="J46" s="121">
        <f>IFERROR(__xludf.DUMMYFUNCTION("""COMPUTED_VALUE"""),3.0)</f>
        <v>3</v>
      </c>
      <c r="K46" s="132" t="str">
        <f>IFERROR(__xludf.DUMMYFUNCTION("""COMPUTED_VALUE"""),"CH11127")</f>
        <v>CH11127</v>
      </c>
      <c r="L46" s="121" t="str">
        <f>IFERROR(__xludf.DUMMYFUNCTION("""COMPUTED_VALUE"""),"Dr.MANIGANDAN S")</f>
        <v>Dr.MANIGANDAN S</v>
      </c>
      <c r="M46" s="133" t="str">
        <f>IFERROR(__xludf.DUMMYFUNCTION("""COMPUTED_VALUE"""),"manigandan@bitsathy.ac.in")</f>
        <v>manigandan@bitsathy.ac.in</v>
      </c>
    </row>
    <row r="47" ht="49.5" customHeight="1">
      <c r="A47" s="121" t="str">
        <f>IFERROR(__xludf.DUMMYFUNCTION("""COMPUTED_VALUE"""),"AIDS")</f>
        <v>AIDS</v>
      </c>
      <c r="B47" s="121" t="str">
        <f>IFERROR(__xludf.DUMMYFUNCTION("""COMPUTED_VALUE"""),"S2")</f>
        <v>S2</v>
      </c>
      <c r="C47" s="121" t="str">
        <f>IFERROR(__xludf.DUMMYFUNCTION("""COMPUTED_VALUE"""),"CORE")</f>
        <v>CORE</v>
      </c>
      <c r="D47" s="121" t="str">
        <f>IFERROR(__xludf.DUMMYFUNCTION("""COMPUTED_VALUE"""),"22GE002")</f>
        <v>22GE002</v>
      </c>
      <c r="E47" s="131" t="str">
        <f>IFERROR(__xludf.DUMMYFUNCTION("""COMPUTED_VALUE"""),"COMPUTATIONAL PROBLEM SOLVING")</f>
        <v>COMPUTATIONAL PROBLEM SOLVING</v>
      </c>
      <c r="F47" s="121" t="str">
        <f>IFERROR(__xludf.DUMMYFUNCTION("""COMPUTED_VALUE"""),"THEORY")</f>
        <v>THEORY</v>
      </c>
      <c r="G47" s="121">
        <f>IFERROR(__xludf.DUMMYFUNCTION("""COMPUTED_VALUE"""),3.0)</f>
        <v>3</v>
      </c>
      <c r="H47" s="121">
        <f>IFERROR(__xludf.DUMMYFUNCTION("""COMPUTED_VALUE"""),0.0)</f>
        <v>0</v>
      </c>
      <c r="I47" s="121">
        <f>IFERROR(__xludf.DUMMYFUNCTION("""COMPUTED_VALUE"""),0.0)</f>
        <v>0</v>
      </c>
      <c r="J47" s="121">
        <f>IFERROR(__xludf.DUMMYFUNCTION("""COMPUTED_VALUE"""),3.0)</f>
        <v>3</v>
      </c>
      <c r="K47" s="132" t="str">
        <f>IFERROR(__xludf.DUMMYFUNCTION("""COMPUTED_VALUE"""),"AD10931")</f>
        <v>AD10931</v>
      </c>
      <c r="L47" s="121" t="str">
        <f>IFERROR(__xludf.DUMMYFUNCTION("""COMPUTED_VALUE"""),"Mr.BALASAMY K")</f>
        <v>Mr.BALASAMY K</v>
      </c>
      <c r="M47" s="133" t="str">
        <f>IFERROR(__xludf.DUMMYFUNCTION("""COMPUTED_VALUE"""),"balasamyk@bitsathy.ac.in")</f>
        <v>balasamyk@bitsathy.ac.in</v>
      </c>
    </row>
    <row r="48" ht="49.5" customHeight="1">
      <c r="A48" s="121" t="str">
        <f>IFERROR(__xludf.DUMMYFUNCTION("""COMPUTED_VALUE"""),"AIDS")</f>
        <v>AIDS</v>
      </c>
      <c r="B48" s="121" t="str">
        <f>IFERROR(__xludf.DUMMYFUNCTION("""COMPUTED_VALUE"""),"S2")</f>
        <v>S2</v>
      </c>
      <c r="C48" s="121" t="str">
        <f>IFERROR(__xludf.DUMMYFUNCTION("""COMPUTED_VALUE"""),"CORE")</f>
        <v>CORE</v>
      </c>
      <c r="D48" s="121" t="str">
        <f>IFERROR(__xludf.DUMMYFUNCTION("""COMPUTED_VALUE"""),"22GE002")</f>
        <v>22GE002</v>
      </c>
      <c r="E48" s="131" t="str">
        <f>IFERROR(__xludf.DUMMYFUNCTION("""COMPUTED_VALUE"""),"COMPUTATIONAL PROBLEM SOLVING")</f>
        <v>COMPUTATIONAL PROBLEM SOLVING</v>
      </c>
      <c r="F48" s="121" t="str">
        <f>IFERROR(__xludf.DUMMYFUNCTION("""COMPUTED_VALUE"""),"THEORY")</f>
        <v>THEORY</v>
      </c>
      <c r="G48" s="121">
        <f>IFERROR(__xludf.DUMMYFUNCTION("""COMPUTED_VALUE"""),3.0)</f>
        <v>3</v>
      </c>
      <c r="H48" s="121">
        <f>IFERROR(__xludf.DUMMYFUNCTION("""COMPUTED_VALUE"""),0.0)</f>
        <v>0</v>
      </c>
      <c r="I48" s="121">
        <f>IFERROR(__xludf.DUMMYFUNCTION("""COMPUTED_VALUE"""),0.0)</f>
        <v>0</v>
      </c>
      <c r="J48" s="121">
        <f>IFERROR(__xludf.DUMMYFUNCTION("""COMPUTED_VALUE"""),3.0)</f>
        <v>3</v>
      </c>
      <c r="K48" s="132" t="str">
        <f>IFERROR(__xludf.DUMMYFUNCTION("""COMPUTED_VALUE"""),"AD10945")</f>
        <v>AD10945</v>
      </c>
      <c r="L48" s="121" t="str">
        <f>IFERROR(__xludf.DUMMYFUNCTION("""COMPUTED_VALUE"""),"Mr.SATHEESH N P")</f>
        <v>Mr.SATHEESH N P</v>
      </c>
      <c r="M48" s="121" t="str">
        <f>IFERROR(__xludf.DUMMYFUNCTION("""COMPUTED_VALUE"""),"satheeshnp@bitsathy.ac.in")</f>
        <v>satheeshnp@bitsathy.ac.in</v>
      </c>
    </row>
    <row r="49" ht="49.5" customHeight="1">
      <c r="A49" s="121" t="str">
        <f>IFERROR(__xludf.DUMMYFUNCTION("""COMPUTED_VALUE"""),"AIDS")</f>
        <v>AIDS</v>
      </c>
      <c r="B49" s="121" t="str">
        <f>IFERROR(__xludf.DUMMYFUNCTION("""COMPUTED_VALUE"""),"S2")</f>
        <v>S2</v>
      </c>
      <c r="C49" s="121" t="str">
        <f>IFERROR(__xludf.DUMMYFUNCTION("""COMPUTED_VALUE"""),"CORE")</f>
        <v>CORE</v>
      </c>
      <c r="D49" s="121" t="str">
        <f>IFERROR(__xludf.DUMMYFUNCTION("""COMPUTED_VALUE"""),"22GE002")</f>
        <v>22GE002</v>
      </c>
      <c r="E49" s="131" t="str">
        <f>IFERROR(__xludf.DUMMYFUNCTION("""COMPUTED_VALUE"""),"COMPUTATIONAL PROBLEM SOLVING")</f>
        <v>COMPUTATIONAL PROBLEM SOLVING</v>
      </c>
      <c r="F49" s="121" t="str">
        <f>IFERROR(__xludf.DUMMYFUNCTION("""COMPUTED_VALUE"""),"THEORY")</f>
        <v>THEORY</v>
      </c>
      <c r="G49" s="121">
        <f>IFERROR(__xludf.DUMMYFUNCTION("""COMPUTED_VALUE"""),3.0)</f>
        <v>3</v>
      </c>
      <c r="H49" s="121">
        <f>IFERROR(__xludf.DUMMYFUNCTION("""COMPUTED_VALUE"""),0.0)</f>
        <v>0</v>
      </c>
      <c r="I49" s="121">
        <f>IFERROR(__xludf.DUMMYFUNCTION("""COMPUTED_VALUE"""),0.0)</f>
        <v>0</v>
      </c>
      <c r="J49" s="121">
        <f>IFERROR(__xludf.DUMMYFUNCTION("""COMPUTED_VALUE"""),3.0)</f>
        <v>3</v>
      </c>
      <c r="K49" s="132" t="str">
        <f>IFERROR(__xludf.DUMMYFUNCTION("""COMPUTED_VALUE"""),"AD11069")</f>
        <v>AD11069</v>
      </c>
      <c r="L49" s="121" t="str">
        <f>IFERROR(__xludf.DUMMYFUNCTION("""COMPUTED_VALUE"""),"Mr.PREMKUMAR C")</f>
        <v>Mr.PREMKUMAR C</v>
      </c>
      <c r="M49" s="121" t="str">
        <f>IFERROR(__xludf.DUMMYFUNCTION("""COMPUTED_VALUE"""),"premkumar@bitsathy.ac.in")</f>
        <v>premkumar@bitsathy.ac.in</v>
      </c>
    </row>
    <row r="50" ht="49.5" customHeight="1">
      <c r="A50" s="121" t="str">
        <f>IFERROR(__xludf.DUMMYFUNCTION("""COMPUTED_VALUE"""),"AIDS")</f>
        <v>AIDS</v>
      </c>
      <c r="B50" s="121" t="str">
        <f>IFERROR(__xludf.DUMMYFUNCTION("""COMPUTED_VALUE"""),"S2")</f>
        <v>S2</v>
      </c>
      <c r="C50" s="121" t="str">
        <f>IFERROR(__xludf.DUMMYFUNCTION("""COMPUTED_VALUE"""),"CORE")</f>
        <v>CORE</v>
      </c>
      <c r="D50" s="121" t="str">
        <f>IFERROR(__xludf.DUMMYFUNCTION("""COMPUTED_VALUE"""),"22GE002")</f>
        <v>22GE002</v>
      </c>
      <c r="E50" s="131" t="str">
        <f>IFERROR(__xludf.DUMMYFUNCTION("""COMPUTED_VALUE"""),"COMPUTATIONAL PROBLEM SOLVING")</f>
        <v>COMPUTATIONAL PROBLEM SOLVING</v>
      </c>
      <c r="F50" s="121" t="str">
        <f>IFERROR(__xludf.DUMMYFUNCTION("""COMPUTED_VALUE"""),"THEORY")</f>
        <v>THEORY</v>
      </c>
      <c r="G50" s="121">
        <f>IFERROR(__xludf.DUMMYFUNCTION("""COMPUTED_VALUE"""),3.0)</f>
        <v>3</v>
      </c>
      <c r="H50" s="121">
        <f>IFERROR(__xludf.DUMMYFUNCTION("""COMPUTED_VALUE"""),0.0)</f>
        <v>0</v>
      </c>
      <c r="I50" s="121">
        <f>IFERROR(__xludf.DUMMYFUNCTION("""COMPUTED_VALUE"""),0.0)</f>
        <v>0</v>
      </c>
      <c r="J50" s="121">
        <f>IFERROR(__xludf.DUMMYFUNCTION("""COMPUTED_VALUE"""),3.0)</f>
        <v>3</v>
      </c>
      <c r="K50" s="132" t="str">
        <f>IFERROR(__xludf.DUMMYFUNCTION("""COMPUTED_VALUE"""),"AD11089")</f>
        <v>AD11089</v>
      </c>
      <c r="L50" s="121" t="str">
        <f>IFERROR(__xludf.DUMMYFUNCTION("""COMPUTED_VALUE"""),"Mrs.RESHMI T S")</f>
        <v>Mrs.RESHMI T S</v>
      </c>
      <c r="M50" s="121" t="str">
        <f>IFERROR(__xludf.DUMMYFUNCTION("""COMPUTED_VALUE"""),"reshmits@bitsathy.ac.in")</f>
        <v>reshmits@bitsathy.ac.in</v>
      </c>
    </row>
    <row r="51" ht="49.5" customHeight="1">
      <c r="A51" s="121" t="str">
        <f>IFERROR(__xludf.DUMMYFUNCTION("""COMPUTED_VALUE"""),"AIDS")</f>
        <v>AIDS</v>
      </c>
      <c r="B51" s="121" t="str">
        <f>IFERROR(__xludf.DUMMYFUNCTION("""COMPUTED_VALUE"""),"S2")</f>
        <v>S2</v>
      </c>
      <c r="C51" s="121" t="str">
        <f>IFERROR(__xludf.DUMMYFUNCTION("""COMPUTED_VALUE"""),"CORE")</f>
        <v>CORE</v>
      </c>
      <c r="D51" s="121" t="str">
        <f>IFERROR(__xludf.DUMMYFUNCTION("""COMPUTED_VALUE"""),"22GE002")</f>
        <v>22GE002</v>
      </c>
      <c r="E51" s="131" t="str">
        <f>IFERROR(__xludf.DUMMYFUNCTION("""COMPUTED_VALUE"""),"COMPUTATIONAL PROBLEM SOLVING")</f>
        <v>COMPUTATIONAL PROBLEM SOLVING</v>
      </c>
      <c r="F51" s="121" t="str">
        <f>IFERROR(__xludf.DUMMYFUNCTION("""COMPUTED_VALUE"""),"THEORY")</f>
        <v>THEORY</v>
      </c>
      <c r="G51" s="121">
        <f>IFERROR(__xludf.DUMMYFUNCTION("""COMPUTED_VALUE"""),3.0)</f>
        <v>3</v>
      </c>
      <c r="H51" s="121">
        <f>IFERROR(__xludf.DUMMYFUNCTION("""COMPUTED_VALUE"""),0.0)</f>
        <v>0</v>
      </c>
      <c r="I51" s="121">
        <f>IFERROR(__xludf.DUMMYFUNCTION("""COMPUTED_VALUE"""),0.0)</f>
        <v>0</v>
      </c>
      <c r="J51" s="121">
        <f>IFERROR(__xludf.DUMMYFUNCTION("""COMPUTED_VALUE"""),3.0)</f>
        <v>3</v>
      </c>
      <c r="K51" s="132" t="str">
        <f>IFERROR(__xludf.DUMMYFUNCTION("""COMPUTED_VALUE"""),"AD11114")</f>
        <v>AD11114</v>
      </c>
      <c r="L51" s="121" t="str">
        <f>IFERROR(__xludf.DUMMYFUNCTION("""COMPUTED_VALUE"""),"Mrs.MANJU M")</f>
        <v>Mrs.MANJU M</v>
      </c>
      <c r="M51" s="121" t="str">
        <f>IFERROR(__xludf.DUMMYFUNCTION("""COMPUTED_VALUE"""),"manju@bitsathy.ac.in")</f>
        <v>manju@bitsathy.ac.in</v>
      </c>
    </row>
    <row r="52" ht="49.5" customHeight="1">
      <c r="A52" s="121" t="str">
        <f>IFERROR(__xludf.DUMMYFUNCTION("""COMPUTED_VALUE"""),"AIDS")</f>
        <v>AIDS</v>
      </c>
      <c r="B52" s="121" t="str">
        <f>IFERROR(__xludf.DUMMYFUNCTION("""COMPUTED_VALUE"""),"S2")</f>
        <v>S2</v>
      </c>
      <c r="C52" s="121" t="str">
        <f>IFERROR(__xludf.DUMMYFUNCTION("""COMPUTED_VALUE"""),"CORE")</f>
        <v>CORE</v>
      </c>
      <c r="D52" s="121" t="str">
        <f>IFERROR(__xludf.DUMMYFUNCTION("""COMPUTED_VALUE"""),"22GE003")</f>
        <v>22GE003</v>
      </c>
      <c r="E52" s="131" t="str">
        <f>IFERROR(__xludf.DUMMYFUNCTION("""COMPUTED_VALUE"""),"BASICS OF ELECTRICAL ENGINEERING")</f>
        <v>BASICS OF ELECTRICAL ENGINEERING</v>
      </c>
      <c r="F52" s="121" t="str">
        <f>IFERROR(__xludf.DUMMYFUNCTION("""COMPUTED_VALUE"""),"THEORY WITH LAB")</f>
        <v>THEORY WITH LAB</v>
      </c>
      <c r="G52" s="121">
        <f>IFERROR(__xludf.DUMMYFUNCTION("""COMPUTED_VALUE"""),2.0)</f>
        <v>2</v>
      </c>
      <c r="H52" s="121">
        <f>IFERROR(__xludf.DUMMYFUNCTION("""COMPUTED_VALUE"""),0.0)</f>
        <v>0</v>
      </c>
      <c r="I52" s="121">
        <f>IFERROR(__xludf.DUMMYFUNCTION("""COMPUTED_VALUE"""),2.0)</f>
        <v>2</v>
      </c>
      <c r="J52" s="121">
        <f>IFERROR(__xludf.DUMMYFUNCTION("""COMPUTED_VALUE"""),3.0)</f>
        <v>3</v>
      </c>
      <c r="K52" s="132" t="str">
        <f>IFERROR(__xludf.DUMMYFUNCTION("""COMPUTED_VALUE"""),"EE10721")</f>
        <v>EE10721</v>
      </c>
      <c r="L52" s="121" t="str">
        <f>IFERROR(__xludf.DUMMYFUNCTION("""COMPUTED_VALUE"""),"Mrs.GOPIKA N P")</f>
        <v>Mrs.GOPIKA N P</v>
      </c>
      <c r="M52" s="121" t="str">
        <f>IFERROR(__xludf.DUMMYFUNCTION("""COMPUTED_VALUE"""),"gopika@bitsathy.ac.in")</f>
        <v>gopika@bitsathy.ac.in</v>
      </c>
    </row>
    <row r="53" ht="49.5" customHeight="1">
      <c r="A53" s="121" t="str">
        <f>IFERROR(__xludf.DUMMYFUNCTION("""COMPUTED_VALUE"""),"AIDS")</f>
        <v>AIDS</v>
      </c>
      <c r="B53" s="121" t="str">
        <f>IFERROR(__xludf.DUMMYFUNCTION("""COMPUTED_VALUE"""),"S2")</f>
        <v>S2</v>
      </c>
      <c r="C53" s="121" t="str">
        <f>IFERROR(__xludf.DUMMYFUNCTION("""COMPUTED_VALUE"""),"CORE")</f>
        <v>CORE</v>
      </c>
      <c r="D53" s="121" t="str">
        <f>IFERROR(__xludf.DUMMYFUNCTION("""COMPUTED_VALUE"""),"22GE003")</f>
        <v>22GE003</v>
      </c>
      <c r="E53" s="131" t="str">
        <f>IFERROR(__xludf.DUMMYFUNCTION("""COMPUTED_VALUE"""),"BASICS OF ELECTRICAL ENGINEERING")</f>
        <v>BASICS OF ELECTRICAL ENGINEERING</v>
      </c>
      <c r="F53" s="121" t="str">
        <f>IFERROR(__xludf.DUMMYFUNCTION("""COMPUTED_VALUE"""),"THEORY WITH LAB")</f>
        <v>THEORY WITH LAB</v>
      </c>
      <c r="G53" s="121">
        <f>IFERROR(__xludf.DUMMYFUNCTION("""COMPUTED_VALUE"""),2.0)</f>
        <v>2</v>
      </c>
      <c r="H53" s="121">
        <f>IFERROR(__xludf.DUMMYFUNCTION("""COMPUTED_VALUE"""),0.0)</f>
        <v>0</v>
      </c>
      <c r="I53" s="121">
        <f>IFERROR(__xludf.DUMMYFUNCTION("""COMPUTED_VALUE"""),2.0)</f>
        <v>2</v>
      </c>
      <c r="J53" s="121">
        <f>IFERROR(__xludf.DUMMYFUNCTION("""COMPUTED_VALUE"""),3.0)</f>
        <v>3</v>
      </c>
      <c r="K53" s="132" t="str">
        <f>IFERROR(__xludf.DUMMYFUNCTION("""COMPUTED_VALUE"""),"EE1747")</f>
        <v>EE1747</v>
      </c>
      <c r="L53" s="121" t="str">
        <f>IFERROR(__xludf.DUMMYFUNCTION("""COMPUTED_VALUE"""),"Dr.SRITHA P")</f>
        <v>Dr.SRITHA P</v>
      </c>
      <c r="M53" s="121" t="str">
        <f>IFERROR(__xludf.DUMMYFUNCTION("""COMPUTED_VALUE"""),"srithap@bitsathy.ac.in")</f>
        <v>srithap@bitsathy.ac.in</v>
      </c>
    </row>
    <row r="54" ht="49.5" customHeight="1">
      <c r="A54" s="121" t="str">
        <f>IFERROR(__xludf.DUMMYFUNCTION("""COMPUTED_VALUE"""),"AIDS")</f>
        <v>AIDS</v>
      </c>
      <c r="B54" s="121" t="str">
        <f>IFERROR(__xludf.DUMMYFUNCTION("""COMPUTED_VALUE"""),"S2")</f>
        <v>S2</v>
      </c>
      <c r="C54" s="121" t="str">
        <f>IFERROR(__xludf.DUMMYFUNCTION("""COMPUTED_VALUE"""),"CORE")</f>
        <v>CORE</v>
      </c>
      <c r="D54" s="121" t="str">
        <f>IFERROR(__xludf.DUMMYFUNCTION("""COMPUTED_VALUE"""),"22GE003")</f>
        <v>22GE003</v>
      </c>
      <c r="E54" s="131" t="str">
        <f>IFERROR(__xludf.DUMMYFUNCTION("""COMPUTED_VALUE"""),"BASICS OF ELECTRICAL ENGINEERING")</f>
        <v>BASICS OF ELECTRICAL ENGINEERING</v>
      </c>
      <c r="F54" s="121" t="str">
        <f>IFERROR(__xludf.DUMMYFUNCTION("""COMPUTED_VALUE"""),"THEORY WITH LAB")</f>
        <v>THEORY WITH LAB</v>
      </c>
      <c r="G54" s="121">
        <f>IFERROR(__xludf.DUMMYFUNCTION("""COMPUTED_VALUE"""),2.0)</f>
        <v>2</v>
      </c>
      <c r="H54" s="121">
        <f>IFERROR(__xludf.DUMMYFUNCTION("""COMPUTED_VALUE"""),0.0)</f>
        <v>0</v>
      </c>
      <c r="I54" s="121">
        <f>IFERROR(__xludf.DUMMYFUNCTION("""COMPUTED_VALUE"""),2.0)</f>
        <v>2</v>
      </c>
      <c r="J54" s="121">
        <f>IFERROR(__xludf.DUMMYFUNCTION("""COMPUTED_VALUE"""),3.0)</f>
        <v>3</v>
      </c>
      <c r="K54" s="132" t="str">
        <f>IFERROR(__xludf.DUMMYFUNCTION("""COMPUTED_VALUE"""),"EE10619")</f>
        <v>EE10619</v>
      </c>
      <c r="L54" s="121" t="str">
        <f>IFERROR(__xludf.DUMMYFUNCTION("""COMPUTED_VALUE"""),"Mrs.MADHUMITHA J")</f>
        <v>Mrs.MADHUMITHA J</v>
      </c>
      <c r="M54" s="121" t="str">
        <f>IFERROR(__xludf.DUMMYFUNCTION("""COMPUTED_VALUE"""),"madhumithaj@bitsathy.ac.in")</f>
        <v>madhumithaj@bitsathy.ac.in</v>
      </c>
    </row>
    <row r="55" ht="49.5" customHeight="1">
      <c r="A55" s="121" t="str">
        <f>IFERROR(__xludf.DUMMYFUNCTION("""COMPUTED_VALUE"""),"AIDS")</f>
        <v>AIDS</v>
      </c>
      <c r="B55" s="121" t="str">
        <f>IFERROR(__xludf.DUMMYFUNCTION("""COMPUTED_VALUE"""),"S2")</f>
        <v>S2</v>
      </c>
      <c r="C55" s="121" t="str">
        <f>IFERROR(__xludf.DUMMYFUNCTION("""COMPUTED_VALUE"""),"CORE")</f>
        <v>CORE</v>
      </c>
      <c r="D55" s="121" t="str">
        <f>IFERROR(__xludf.DUMMYFUNCTION("""COMPUTED_VALUE"""),"22GE003")</f>
        <v>22GE003</v>
      </c>
      <c r="E55" s="131" t="str">
        <f>IFERROR(__xludf.DUMMYFUNCTION("""COMPUTED_VALUE"""),"BASICS OF ELECTRICAL ENGINEERING")</f>
        <v>BASICS OF ELECTRICAL ENGINEERING</v>
      </c>
      <c r="F55" s="121" t="str">
        <f>IFERROR(__xludf.DUMMYFUNCTION("""COMPUTED_VALUE"""),"THEORY WITH LAB")</f>
        <v>THEORY WITH LAB</v>
      </c>
      <c r="G55" s="121">
        <f>IFERROR(__xludf.DUMMYFUNCTION("""COMPUTED_VALUE"""),2.0)</f>
        <v>2</v>
      </c>
      <c r="H55" s="121">
        <f>IFERROR(__xludf.DUMMYFUNCTION("""COMPUTED_VALUE"""),0.0)</f>
        <v>0</v>
      </c>
      <c r="I55" s="121">
        <f>IFERROR(__xludf.DUMMYFUNCTION("""COMPUTED_VALUE"""),2.0)</f>
        <v>2</v>
      </c>
      <c r="J55" s="121">
        <f>IFERROR(__xludf.DUMMYFUNCTION("""COMPUTED_VALUE"""),3.0)</f>
        <v>3</v>
      </c>
      <c r="K55" s="132" t="str">
        <f>IFERROR(__xludf.DUMMYFUNCTION("""COMPUTED_VALUE"""),"EE10616")</f>
        <v>EE10616</v>
      </c>
      <c r="L55" s="121" t="str">
        <f>IFERROR(__xludf.DUMMYFUNCTION("""COMPUTED_VALUE"""),"Mrs.NITHYA G")</f>
        <v>Mrs.NITHYA G</v>
      </c>
      <c r="M55" s="121" t="str">
        <f>IFERROR(__xludf.DUMMYFUNCTION("""COMPUTED_VALUE"""),"nithyag@bitsathy.ac.in")</f>
        <v>nithyag@bitsathy.ac.in</v>
      </c>
    </row>
    <row r="56" ht="49.5" customHeight="1">
      <c r="A56" s="121" t="str">
        <f>IFERROR(__xludf.DUMMYFUNCTION("""COMPUTED_VALUE"""),"AIDS")</f>
        <v>AIDS</v>
      </c>
      <c r="B56" s="121" t="str">
        <f>IFERROR(__xludf.DUMMYFUNCTION("""COMPUTED_VALUE"""),"S2")</f>
        <v>S2</v>
      </c>
      <c r="C56" s="121" t="str">
        <f>IFERROR(__xludf.DUMMYFUNCTION("""COMPUTED_VALUE"""),"CORE")</f>
        <v>CORE</v>
      </c>
      <c r="D56" s="121" t="str">
        <f>IFERROR(__xludf.DUMMYFUNCTION("""COMPUTED_VALUE"""),"22GE003")</f>
        <v>22GE003</v>
      </c>
      <c r="E56" s="131" t="str">
        <f>IFERROR(__xludf.DUMMYFUNCTION("""COMPUTED_VALUE"""),"BASICS OF ELECTRICAL ENGINEERING")</f>
        <v>BASICS OF ELECTRICAL ENGINEERING</v>
      </c>
      <c r="F56" s="121" t="str">
        <f>IFERROR(__xludf.DUMMYFUNCTION("""COMPUTED_VALUE"""),"THEORY WITH LAB")</f>
        <v>THEORY WITH LAB</v>
      </c>
      <c r="G56" s="121">
        <f>IFERROR(__xludf.DUMMYFUNCTION("""COMPUTED_VALUE"""),2.0)</f>
        <v>2</v>
      </c>
      <c r="H56" s="121">
        <f>IFERROR(__xludf.DUMMYFUNCTION("""COMPUTED_VALUE"""),0.0)</f>
        <v>0</v>
      </c>
      <c r="I56" s="121">
        <f>IFERROR(__xludf.DUMMYFUNCTION("""COMPUTED_VALUE"""),2.0)</f>
        <v>2</v>
      </c>
      <c r="J56" s="121">
        <f>IFERROR(__xludf.DUMMYFUNCTION("""COMPUTED_VALUE"""),3.0)</f>
        <v>3</v>
      </c>
      <c r="K56" s="132" t="str">
        <f>IFERROR(__xludf.DUMMYFUNCTION("""COMPUTED_VALUE"""),"EE1437")</f>
        <v>EE1437</v>
      </c>
      <c r="L56" s="121" t="str">
        <f>IFERROR(__xludf.DUMMYFUNCTION("""COMPUTED_VALUE"""),"Dr.VEERAKUMAR S")</f>
        <v>Dr.VEERAKUMAR S</v>
      </c>
      <c r="M56" s="121" t="str">
        <f>IFERROR(__xludf.DUMMYFUNCTION("""COMPUTED_VALUE"""),"veerakumars@bitsathy.ac.in")</f>
        <v>veerakumars@bitsathy.ac.in</v>
      </c>
    </row>
    <row r="57" ht="49.5" customHeight="1">
      <c r="A57" s="121" t="str">
        <f>IFERROR(__xludf.DUMMYFUNCTION("""COMPUTED_VALUE"""),"AIDS")</f>
        <v>AIDS</v>
      </c>
      <c r="B57" s="121" t="str">
        <f>IFERROR(__xludf.DUMMYFUNCTION("""COMPUTED_VALUE"""),"S2")</f>
        <v>S2</v>
      </c>
      <c r="C57" s="121" t="str">
        <f>IFERROR(__xludf.DUMMYFUNCTION("""COMPUTED_VALUE"""),"CORE")</f>
        <v>CORE</v>
      </c>
      <c r="D57" s="121" t="str">
        <f>IFERROR(__xludf.DUMMYFUNCTION("""COMPUTED_VALUE"""),"22AI206")</f>
        <v>22AI206</v>
      </c>
      <c r="E57" s="131" t="str">
        <f>IFERROR(__xludf.DUMMYFUNCTION("""COMPUTED_VALUE"""),"DIGITAL COMPUTER ELECTRONICS ")</f>
        <v>DIGITAL COMPUTER ELECTRONICS </v>
      </c>
      <c r="F57" s="121" t="str">
        <f>IFERROR(__xludf.DUMMYFUNCTION("""COMPUTED_VALUE"""),"THEORY")</f>
        <v>THEORY</v>
      </c>
      <c r="G57" s="121">
        <f>IFERROR(__xludf.DUMMYFUNCTION("""COMPUTED_VALUE"""),3.0)</f>
        <v>3</v>
      </c>
      <c r="H57" s="121">
        <f>IFERROR(__xludf.DUMMYFUNCTION("""COMPUTED_VALUE"""),0.0)</f>
        <v>0</v>
      </c>
      <c r="I57" s="121">
        <f>IFERROR(__xludf.DUMMYFUNCTION("""COMPUTED_VALUE"""),2.0)</f>
        <v>2</v>
      </c>
      <c r="J57" s="121">
        <f>IFERROR(__xludf.DUMMYFUNCTION("""COMPUTED_VALUE"""),4.0)</f>
        <v>4</v>
      </c>
      <c r="K57" s="132" t="str">
        <f>IFERROR(__xludf.DUMMYFUNCTION("""COMPUTED_VALUE"""),"EC10827")</f>
        <v>EC10827</v>
      </c>
      <c r="L57" s="121" t="str">
        <f>IFERROR(__xludf.DUMMYFUNCTION("""COMPUTED_VALUE"""),"Dr.MURUGAN K")</f>
        <v>Dr.MURUGAN K</v>
      </c>
      <c r="M57" s="121" t="str">
        <f>IFERROR(__xludf.DUMMYFUNCTION("""COMPUTED_VALUE"""),"murugank@bitsathy.ac.in")</f>
        <v>murugank@bitsathy.ac.in</v>
      </c>
    </row>
    <row r="58" ht="49.5" customHeight="1">
      <c r="A58" s="121" t="str">
        <f>IFERROR(__xludf.DUMMYFUNCTION("""COMPUTED_VALUE"""),"AIDS")</f>
        <v>AIDS</v>
      </c>
      <c r="B58" s="121" t="str">
        <f>IFERROR(__xludf.DUMMYFUNCTION("""COMPUTED_VALUE"""),"S2")</f>
        <v>S2</v>
      </c>
      <c r="C58" s="121" t="str">
        <f>IFERROR(__xludf.DUMMYFUNCTION("""COMPUTED_VALUE"""),"CORE")</f>
        <v>CORE</v>
      </c>
      <c r="D58" s="121" t="str">
        <f>IFERROR(__xludf.DUMMYFUNCTION("""COMPUTED_VALUE"""),"22AI206")</f>
        <v>22AI206</v>
      </c>
      <c r="E58" s="131" t="str">
        <f>IFERROR(__xludf.DUMMYFUNCTION("""COMPUTED_VALUE"""),"DIGITAL COMPUTER ELECTRONICS ")</f>
        <v>DIGITAL COMPUTER ELECTRONICS </v>
      </c>
      <c r="F58" s="121" t="str">
        <f>IFERROR(__xludf.DUMMYFUNCTION("""COMPUTED_VALUE"""),"LAB")</f>
        <v>LAB</v>
      </c>
      <c r="G58" s="121">
        <f>IFERROR(__xludf.DUMMYFUNCTION("""COMPUTED_VALUE"""),3.0)</f>
        <v>3</v>
      </c>
      <c r="H58" s="121">
        <f>IFERROR(__xludf.DUMMYFUNCTION("""COMPUTED_VALUE"""),0.0)</f>
        <v>0</v>
      </c>
      <c r="I58" s="121">
        <f>IFERROR(__xludf.DUMMYFUNCTION("""COMPUTED_VALUE"""),2.0)</f>
        <v>2</v>
      </c>
      <c r="J58" s="121">
        <f>IFERROR(__xludf.DUMMYFUNCTION("""COMPUTED_VALUE"""),4.0)</f>
        <v>4</v>
      </c>
      <c r="K58" s="132" t="str">
        <f>IFERROR(__xludf.DUMMYFUNCTION("""COMPUTED_VALUE"""),"EC10813")</f>
        <v>EC10813</v>
      </c>
      <c r="L58" s="121" t="str">
        <f>IFERROR(__xludf.DUMMYFUNCTION("""COMPUTED_VALUE"""),"Ms.SHARMILA A")</f>
        <v>Ms.SHARMILA A</v>
      </c>
      <c r="M58" s="121" t="str">
        <f>IFERROR(__xludf.DUMMYFUNCTION("""COMPUTED_VALUE"""),"sharmilaa@bitsathy.ac.in")</f>
        <v>sharmilaa@bitsathy.ac.in</v>
      </c>
    </row>
    <row r="59" ht="49.5" customHeight="1">
      <c r="A59" s="121" t="str">
        <f>IFERROR(__xludf.DUMMYFUNCTION("""COMPUTED_VALUE"""),"AIDS")</f>
        <v>AIDS</v>
      </c>
      <c r="B59" s="121" t="str">
        <f>IFERROR(__xludf.DUMMYFUNCTION("""COMPUTED_VALUE"""),"S2")</f>
        <v>S2</v>
      </c>
      <c r="C59" s="121" t="str">
        <f>IFERROR(__xludf.DUMMYFUNCTION("""COMPUTED_VALUE"""),"CORE")</f>
        <v>CORE</v>
      </c>
      <c r="D59" s="121" t="str">
        <f>IFERROR(__xludf.DUMMYFUNCTION("""COMPUTED_VALUE"""),"22AI206")</f>
        <v>22AI206</v>
      </c>
      <c r="E59" s="131" t="str">
        <f>IFERROR(__xludf.DUMMYFUNCTION("""COMPUTED_VALUE"""),"DIGITAL COMPUTER ELECTRONICS ")</f>
        <v>DIGITAL COMPUTER ELECTRONICS </v>
      </c>
      <c r="F59" s="121" t="str">
        <f>IFERROR(__xludf.DUMMYFUNCTION("""COMPUTED_VALUE"""),"THEORY")</f>
        <v>THEORY</v>
      </c>
      <c r="G59" s="121">
        <f>IFERROR(__xludf.DUMMYFUNCTION("""COMPUTED_VALUE"""),3.0)</f>
        <v>3</v>
      </c>
      <c r="H59" s="121">
        <f>IFERROR(__xludf.DUMMYFUNCTION("""COMPUTED_VALUE"""),0.0)</f>
        <v>0</v>
      </c>
      <c r="I59" s="121">
        <f>IFERROR(__xludf.DUMMYFUNCTION("""COMPUTED_VALUE"""),2.0)</f>
        <v>2</v>
      </c>
      <c r="J59" s="121">
        <f>IFERROR(__xludf.DUMMYFUNCTION("""COMPUTED_VALUE"""),4.0)</f>
        <v>4</v>
      </c>
      <c r="K59" s="132" t="str">
        <f>IFERROR(__xludf.DUMMYFUNCTION("""COMPUTED_VALUE"""),"EC10739")</f>
        <v>EC10739</v>
      </c>
      <c r="L59" s="121" t="str">
        <f>IFERROR(__xludf.DUMMYFUNCTION("""COMPUTED_VALUE"""),"Dr.ARULMURUGAN L")</f>
        <v>Dr.ARULMURUGAN L</v>
      </c>
      <c r="M59" s="121" t="str">
        <f>IFERROR(__xludf.DUMMYFUNCTION("""COMPUTED_VALUE"""),"arulmurugan@bitsathy.ac.in")</f>
        <v>arulmurugan@bitsathy.ac.in</v>
      </c>
    </row>
    <row r="60" ht="49.5" customHeight="1">
      <c r="A60" s="121" t="str">
        <f>IFERROR(__xludf.DUMMYFUNCTION("""COMPUTED_VALUE"""),"AIDS")</f>
        <v>AIDS</v>
      </c>
      <c r="B60" s="121" t="str">
        <f>IFERROR(__xludf.DUMMYFUNCTION("""COMPUTED_VALUE"""),"S2")</f>
        <v>S2</v>
      </c>
      <c r="C60" s="121" t="str">
        <f>IFERROR(__xludf.DUMMYFUNCTION("""COMPUTED_VALUE"""),"CORE")</f>
        <v>CORE</v>
      </c>
      <c r="D60" s="121" t="str">
        <f>IFERROR(__xludf.DUMMYFUNCTION("""COMPUTED_VALUE"""),"22AI206")</f>
        <v>22AI206</v>
      </c>
      <c r="E60" s="131" t="str">
        <f>IFERROR(__xludf.DUMMYFUNCTION("""COMPUTED_VALUE"""),"DIGITAL COMPUTER ELECTRONICS ")</f>
        <v>DIGITAL COMPUTER ELECTRONICS </v>
      </c>
      <c r="F60" s="121" t="str">
        <f>IFERROR(__xludf.DUMMYFUNCTION("""COMPUTED_VALUE"""),"LAB")</f>
        <v>LAB</v>
      </c>
      <c r="G60" s="121">
        <f>IFERROR(__xludf.DUMMYFUNCTION("""COMPUTED_VALUE"""),3.0)</f>
        <v>3</v>
      </c>
      <c r="H60" s="121">
        <f>IFERROR(__xludf.DUMMYFUNCTION("""COMPUTED_VALUE"""),0.0)</f>
        <v>0</v>
      </c>
      <c r="I60" s="121">
        <f>IFERROR(__xludf.DUMMYFUNCTION("""COMPUTED_VALUE"""),2.0)</f>
        <v>2</v>
      </c>
      <c r="J60" s="121">
        <f>IFERROR(__xludf.DUMMYFUNCTION("""COMPUTED_VALUE"""),4.0)</f>
        <v>4</v>
      </c>
      <c r="K60" s="132" t="str">
        <f>IFERROR(__xludf.DUMMYFUNCTION("""COMPUTED_VALUE"""),"EC11010")</f>
        <v>EC11010</v>
      </c>
      <c r="L60" s="121" t="str">
        <f>IFERROR(__xludf.DUMMYFUNCTION("""COMPUTED_VALUE"""),"Mrs.MARIAAMUTHA R")</f>
        <v>Mrs.MARIAAMUTHA R</v>
      </c>
      <c r="M60" s="121" t="str">
        <f>IFERROR(__xludf.DUMMYFUNCTION("""COMPUTED_VALUE"""),"mariaamuthar@bitsathy.ac.in")</f>
        <v>mariaamuthar@bitsathy.ac.in</v>
      </c>
    </row>
    <row r="61" ht="49.5" customHeight="1">
      <c r="A61" s="121" t="str">
        <f>IFERROR(__xludf.DUMMYFUNCTION("""COMPUTED_VALUE"""),"AIDS")</f>
        <v>AIDS</v>
      </c>
      <c r="B61" s="121" t="str">
        <f>IFERROR(__xludf.DUMMYFUNCTION("""COMPUTED_VALUE"""),"S2")</f>
        <v>S2</v>
      </c>
      <c r="C61" s="121" t="str">
        <f>IFERROR(__xludf.DUMMYFUNCTION("""COMPUTED_VALUE"""),"CORE")</f>
        <v>CORE</v>
      </c>
      <c r="D61" s="121" t="str">
        <f>IFERROR(__xludf.DUMMYFUNCTION("""COMPUTED_VALUE"""),"22AI206")</f>
        <v>22AI206</v>
      </c>
      <c r="E61" s="131" t="str">
        <f>IFERROR(__xludf.DUMMYFUNCTION("""COMPUTED_VALUE"""),"DIGITAL COMPUTER ELECTRONICS ")</f>
        <v>DIGITAL COMPUTER ELECTRONICS </v>
      </c>
      <c r="F61" s="121" t="str">
        <f>IFERROR(__xludf.DUMMYFUNCTION("""COMPUTED_VALUE"""),"THEORY WITH LAB")</f>
        <v>THEORY WITH LAB</v>
      </c>
      <c r="G61" s="121">
        <f>IFERROR(__xludf.DUMMYFUNCTION("""COMPUTED_VALUE"""),3.0)</f>
        <v>3</v>
      </c>
      <c r="H61" s="121">
        <f>IFERROR(__xludf.DUMMYFUNCTION("""COMPUTED_VALUE"""),0.0)</f>
        <v>0</v>
      </c>
      <c r="I61" s="121">
        <f>IFERROR(__xludf.DUMMYFUNCTION("""COMPUTED_VALUE"""),2.0)</f>
        <v>2</v>
      </c>
      <c r="J61" s="121">
        <f>IFERROR(__xludf.DUMMYFUNCTION("""COMPUTED_VALUE"""),4.0)</f>
        <v>4</v>
      </c>
      <c r="K61" s="132" t="str">
        <f>IFERROR(__xludf.DUMMYFUNCTION("""COMPUTED_VALUE"""),"CD11061")</f>
        <v>CD11061</v>
      </c>
      <c r="L61" s="121" t="str">
        <f>IFERROR(__xludf.DUMMYFUNCTION("""COMPUTED_VALUE"""),"Mrs.PREETHIMATHI L")</f>
        <v>Mrs.PREETHIMATHI L</v>
      </c>
      <c r="M61" s="121" t="str">
        <f>IFERROR(__xludf.DUMMYFUNCTION("""COMPUTED_VALUE"""),"preethimathi@bitsathy.ac.in")</f>
        <v>preethimathi@bitsathy.ac.in</v>
      </c>
    </row>
    <row r="62" ht="49.5" customHeight="1">
      <c r="A62" s="121" t="str">
        <f>IFERROR(__xludf.DUMMYFUNCTION("""COMPUTED_VALUE"""),"AIDS")</f>
        <v>AIDS</v>
      </c>
      <c r="B62" s="121" t="str">
        <f>IFERROR(__xludf.DUMMYFUNCTION("""COMPUTED_VALUE"""),"S2")</f>
        <v>S2</v>
      </c>
      <c r="C62" s="121" t="str">
        <f>IFERROR(__xludf.DUMMYFUNCTION("""COMPUTED_VALUE"""),"CORE")</f>
        <v>CORE</v>
      </c>
      <c r="D62" s="121" t="str">
        <f>IFERROR(__xludf.DUMMYFUNCTION("""COMPUTED_VALUE"""),"22AI206")</f>
        <v>22AI206</v>
      </c>
      <c r="E62" s="131" t="str">
        <f>IFERROR(__xludf.DUMMYFUNCTION("""COMPUTED_VALUE"""),"DIGITAL COMPUTER ELECTRONICS ")</f>
        <v>DIGITAL COMPUTER ELECTRONICS </v>
      </c>
      <c r="F62" s="121" t="str">
        <f>IFERROR(__xludf.DUMMYFUNCTION("""COMPUTED_VALUE"""),"THEORY WITH LAB")</f>
        <v>THEORY WITH LAB</v>
      </c>
      <c r="G62" s="121">
        <f>IFERROR(__xludf.DUMMYFUNCTION("""COMPUTED_VALUE"""),3.0)</f>
        <v>3</v>
      </c>
      <c r="H62" s="121">
        <f>IFERROR(__xludf.DUMMYFUNCTION("""COMPUTED_VALUE"""),0.0)</f>
        <v>0</v>
      </c>
      <c r="I62" s="121">
        <f>IFERROR(__xludf.DUMMYFUNCTION("""COMPUTED_VALUE"""),2.0)</f>
        <v>2</v>
      </c>
      <c r="J62" s="121">
        <f>IFERROR(__xludf.DUMMYFUNCTION("""COMPUTED_VALUE"""),4.0)</f>
        <v>4</v>
      </c>
      <c r="K62" s="132" t="str">
        <f>IFERROR(__xludf.DUMMYFUNCTION("""COMPUTED_VALUE"""),"EC10972")</f>
        <v>EC10972</v>
      </c>
      <c r="L62" s="121" t="str">
        <f>IFERROR(__xludf.DUMMYFUNCTION("""COMPUTED_VALUE"""),"Mr.VELLINGIRI A")</f>
        <v>Mr.VELLINGIRI A</v>
      </c>
      <c r="M62" s="121" t="str">
        <f>IFERROR(__xludf.DUMMYFUNCTION("""COMPUTED_VALUE"""),"vellingiria@bitsathy.ac.in")</f>
        <v>vellingiria@bitsathy.ac.in</v>
      </c>
    </row>
    <row r="63" ht="49.5" customHeight="1">
      <c r="A63" s="121" t="str">
        <f>IFERROR(__xludf.DUMMYFUNCTION("""COMPUTED_VALUE"""),"AIDS")</f>
        <v>AIDS</v>
      </c>
      <c r="B63" s="121" t="str">
        <f>IFERROR(__xludf.DUMMYFUNCTION("""COMPUTED_VALUE"""),"S2")</f>
        <v>S2</v>
      </c>
      <c r="C63" s="121" t="str">
        <f>IFERROR(__xludf.DUMMYFUNCTION("""COMPUTED_VALUE"""),"CORE")</f>
        <v>CORE</v>
      </c>
      <c r="D63" s="121" t="str">
        <f>IFERROR(__xludf.DUMMYFUNCTION("""COMPUTED_VALUE"""),"22AI206")</f>
        <v>22AI206</v>
      </c>
      <c r="E63" s="131" t="str">
        <f>IFERROR(__xludf.DUMMYFUNCTION("""COMPUTED_VALUE"""),"DIGITAL COMPUTER ELECTRONICS ")</f>
        <v>DIGITAL COMPUTER ELECTRONICS </v>
      </c>
      <c r="F63" s="121" t="str">
        <f>IFERROR(__xludf.DUMMYFUNCTION("""COMPUTED_VALUE"""),"THEORY WITH LAB")</f>
        <v>THEORY WITH LAB</v>
      </c>
      <c r="G63" s="121">
        <f>IFERROR(__xludf.DUMMYFUNCTION("""COMPUTED_VALUE"""),3.0)</f>
        <v>3</v>
      </c>
      <c r="H63" s="121">
        <f>IFERROR(__xludf.DUMMYFUNCTION("""COMPUTED_VALUE"""),0.0)</f>
        <v>0</v>
      </c>
      <c r="I63" s="121">
        <f>IFERROR(__xludf.DUMMYFUNCTION("""COMPUTED_VALUE"""),2.0)</f>
        <v>2</v>
      </c>
      <c r="J63" s="121">
        <f>IFERROR(__xludf.DUMMYFUNCTION("""COMPUTED_VALUE"""),4.0)</f>
        <v>4</v>
      </c>
      <c r="K63" s="132" t="str">
        <f>IFERROR(__xludf.DUMMYFUNCTION("""COMPUTED_VALUE"""),"CB10949")</f>
        <v>CB10949</v>
      </c>
      <c r="L63" s="121" t="str">
        <f>IFERROR(__xludf.DUMMYFUNCTION("""COMPUTED_VALUE"""),"Mrs.MADHUMITHA A")</f>
        <v>Mrs.MADHUMITHA A</v>
      </c>
      <c r="M63" s="121" t="str">
        <f>IFERROR(__xludf.DUMMYFUNCTION("""COMPUTED_VALUE"""),"madhumithaa@bitsathy.ac.in")</f>
        <v>madhumithaa@bitsathy.ac.in</v>
      </c>
    </row>
    <row r="64" ht="49.5" customHeight="1">
      <c r="A64" s="121" t="str">
        <f>IFERROR(__xludf.DUMMYFUNCTION("""COMPUTED_VALUE"""),"AIDS")</f>
        <v>AIDS</v>
      </c>
      <c r="B64" s="121" t="str">
        <f>IFERROR(__xludf.DUMMYFUNCTION("""COMPUTED_VALUE"""),"S2")</f>
        <v>S2</v>
      </c>
      <c r="C64" s="121" t="str">
        <f>IFERROR(__xludf.DUMMYFUNCTION("""COMPUTED_VALUE"""),"CORE")</f>
        <v>CORE</v>
      </c>
      <c r="D64" s="121" t="str">
        <f>IFERROR(__xludf.DUMMYFUNCTION("""COMPUTED_VALUE"""),"22HS006")</f>
        <v>22HS006</v>
      </c>
      <c r="E64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4" s="121" t="str">
        <f>IFERROR(__xludf.DUMMYFUNCTION("""COMPUTED_VALUE"""),"LAB")</f>
        <v>LAB</v>
      </c>
      <c r="G64" s="121">
        <f>IFERROR(__xludf.DUMMYFUNCTION("""COMPUTED_VALUE"""),1.0)</f>
        <v>1</v>
      </c>
      <c r="H64" s="121">
        <f>IFERROR(__xludf.DUMMYFUNCTION("""COMPUTED_VALUE"""),0.0)</f>
        <v>0</v>
      </c>
      <c r="I64" s="121">
        <f>IFERROR(__xludf.DUMMYFUNCTION("""COMPUTED_VALUE"""),0.0)</f>
        <v>0</v>
      </c>
      <c r="J64" s="121">
        <f>IFERROR(__xludf.DUMMYFUNCTION("""COMPUTED_VALUE"""),1.0)</f>
        <v>1</v>
      </c>
      <c r="K64" s="132" t="str">
        <f>IFERROR(__xludf.DUMMYFUNCTION("""COMPUTED_VALUE"""),"HU11085")</f>
        <v>HU11085</v>
      </c>
      <c r="L64" s="121" t="str">
        <f>IFERROR(__xludf.DUMMYFUNCTION("""COMPUTED_VALUE"""),"Dr.SAGUNTHALA DEVI P")</f>
        <v>Dr.SAGUNTHALA DEVI P</v>
      </c>
      <c r="M64" s="121" t="str">
        <f>IFERROR(__xludf.DUMMYFUNCTION("""COMPUTED_VALUE"""),"sagunthaladevi@bitsathy.ac.in")</f>
        <v>sagunthaladevi@bitsathy.ac.in</v>
      </c>
    </row>
    <row r="65" ht="49.5" customHeight="1">
      <c r="A65" s="121" t="str">
        <f>IFERROR(__xludf.DUMMYFUNCTION("""COMPUTED_VALUE"""),"AIDS")</f>
        <v>AIDS</v>
      </c>
      <c r="B65" s="121" t="str">
        <f>IFERROR(__xludf.DUMMYFUNCTION("""COMPUTED_VALUE"""),"S2")</f>
        <v>S2</v>
      </c>
      <c r="C65" s="121" t="str">
        <f>IFERROR(__xludf.DUMMYFUNCTION("""COMPUTED_VALUE"""),"CORE")</f>
        <v>CORE</v>
      </c>
      <c r="D65" s="121" t="str">
        <f>IFERROR(__xludf.DUMMYFUNCTION("""COMPUTED_VALUE"""),"22HS006")</f>
        <v>22HS006</v>
      </c>
      <c r="E65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5" s="121" t="str">
        <f>IFERROR(__xludf.DUMMYFUNCTION("""COMPUTED_VALUE"""),"LAB")</f>
        <v>LAB</v>
      </c>
      <c r="G65" s="121">
        <f>IFERROR(__xludf.DUMMYFUNCTION("""COMPUTED_VALUE"""),1.0)</f>
        <v>1</v>
      </c>
      <c r="H65" s="121">
        <f>IFERROR(__xludf.DUMMYFUNCTION("""COMPUTED_VALUE"""),0.0)</f>
        <v>0</v>
      </c>
      <c r="I65" s="121">
        <f>IFERROR(__xludf.DUMMYFUNCTION("""COMPUTED_VALUE"""),0.0)</f>
        <v>0</v>
      </c>
      <c r="J65" s="121">
        <f>IFERROR(__xludf.DUMMYFUNCTION("""COMPUTED_VALUE"""),1.0)</f>
        <v>1</v>
      </c>
      <c r="K65" s="132" t="str">
        <f>IFERROR(__xludf.DUMMYFUNCTION("""COMPUTED_VALUE"""),"HU11115")</f>
        <v>HU11115</v>
      </c>
      <c r="L65" s="121" t="str">
        <f>IFERROR(__xludf.DUMMYFUNCTION("""COMPUTED_VALUE"""),"Ms.KAMALI D")</f>
        <v>Ms.KAMALI D</v>
      </c>
      <c r="M65" s="121" t="str">
        <f>IFERROR(__xludf.DUMMYFUNCTION("""COMPUTED_VALUE"""),"kamali@bitsathy.ac.in")</f>
        <v>kamali@bitsathy.ac.in</v>
      </c>
    </row>
    <row r="66" ht="49.5" customHeight="1">
      <c r="A66" s="121" t="str">
        <f>IFERROR(__xludf.DUMMYFUNCTION("""COMPUTED_VALUE"""),"AIDS")</f>
        <v>AIDS</v>
      </c>
      <c r="B66" s="121" t="str">
        <f>IFERROR(__xludf.DUMMYFUNCTION("""COMPUTED_VALUE"""),"S2")</f>
        <v>S2</v>
      </c>
      <c r="C66" s="121" t="str">
        <f>IFERROR(__xludf.DUMMYFUNCTION("""COMPUTED_VALUE"""),"CORE")</f>
        <v>CORE</v>
      </c>
      <c r="D66" s="121" t="str">
        <f>IFERROR(__xludf.DUMMYFUNCTION("""COMPUTED_VALUE"""),"22HS006")</f>
        <v>22HS006</v>
      </c>
      <c r="E66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6" s="121" t="str">
        <f>IFERROR(__xludf.DUMMYFUNCTION("""COMPUTED_VALUE"""),"LAB")</f>
        <v>LAB</v>
      </c>
      <c r="G66" s="121">
        <f>IFERROR(__xludf.DUMMYFUNCTION("""COMPUTED_VALUE"""),1.0)</f>
        <v>1</v>
      </c>
      <c r="H66" s="121">
        <f>IFERROR(__xludf.DUMMYFUNCTION("""COMPUTED_VALUE"""),0.0)</f>
        <v>0</v>
      </c>
      <c r="I66" s="121">
        <f>IFERROR(__xludf.DUMMYFUNCTION("""COMPUTED_VALUE"""),0.0)</f>
        <v>0</v>
      </c>
      <c r="J66" s="121">
        <f>IFERROR(__xludf.DUMMYFUNCTION("""COMPUTED_VALUE"""),1.0)</f>
        <v>1</v>
      </c>
      <c r="K66" s="132" t="str">
        <f>IFERROR(__xludf.DUMMYFUNCTION("""COMPUTED_VALUE"""),"HU11154")</f>
        <v>HU11154</v>
      </c>
      <c r="L66" s="121" t="str">
        <f>IFERROR(__xludf.DUMMYFUNCTION("""COMPUTED_VALUE"""),"Mr.SHYAMSUNDAR S")</f>
        <v>Mr.SHYAMSUNDAR S</v>
      </c>
      <c r="M66" s="121" t="str">
        <f>IFERROR(__xludf.DUMMYFUNCTION("""COMPUTED_VALUE"""),"shyamsundar@bitsathy.ac.in")</f>
        <v>shyamsundar@bitsathy.ac.in</v>
      </c>
    </row>
    <row r="67" ht="49.5" customHeight="1">
      <c r="A67" s="121" t="str">
        <f>IFERROR(__xludf.DUMMYFUNCTION("""COMPUTED_VALUE"""),"AIDS")</f>
        <v>AIDS</v>
      </c>
      <c r="B67" s="121" t="str">
        <f>IFERROR(__xludf.DUMMYFUNCTION("""COMPUTED_VALUE"""),"S2")</f>
        <v>S2</v>
      </c>
      <c r="C67" s="121" t="str">
        <f>IFERROR(__xludf.DUMMYFUNCTION("""COMPUTED_VALUE"""),"CORE")</f>
        <v>CORE</v>
      </c>
      <c r="D67" s="121" t="str">
        <f>IFERROR(__xludf.DUMMYFUNCTION("""COMPUTED_VALUE"""),"22HS006")</f>
        <v>22HS006</v>
      </c>
      <c r="E67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7" s="121" t="str">
        <f>IFERROR(__xludf.DUMMYFUNCTION("""COMPUTED_VALUE"""),"LAB")</f>
        <v>LAB</v>
      </c>
      <c r="G67" s="121">
        <f>IFERROR(__xludf.DUMMYFUNCTION("""COMPUTED_VALUE"""),1.0)</f>
        <v>1</v>
      </c>
      <c r="H67" s="121">
        <f>IFERROR(__xludf.DUMMYFUNCTION("""COMPUTED_VALUE"""),0.0)</f>
        <v>0</v>
      </c>
      <c r="I67" s="121">
        <f>IFERROR(__xludf.DUMMYFUNCTION("""COMPUTED_VALUE"""),0.0)</f>
        <v>0</v>
      </c>
      <c r="J67" s="121">
        <f>IFERROR(__xludf.DUMMYFUNCTION("""COMPUTED_VALUE"""),1.0)</f>
        <v>1</v>
      </c>
      <c r="K67" s="132" t="str">
        <f>IFERROR(__xludf.DUMMYFUNCTION("""COMPUTED_VALUE"""),"HU11085")</f>
        <v>HU11085</v>
      </c>
      <c r="L67" s="121" t="str">
        <f>IFERROR(__xludf.DUMMYFUNCTION("""COMPUTED_VALUE"""),"Dr.SAGUNTHALA DEVI P")</f>
        <v>Dr.SAGUNTHALA DEVI P</v>
      </c>
      <c r="M67" s="121" t="str">
        <f>IFERROR(__xludf.DUMMYFUNCTION("""COMPUTED_VALUE"""),"sagunthaladevi@bitsathy.ac.in")</f>
        <v>sagunthaladevi@bitsathy.ac.in</v>
      </c>
    </row>
    <row r="68" ht="49.5" customHeight="1">
      <c r="A68" s="121" t="str">
        <f>IFERROR(__xludf.DUMMYFUNCTION("""COMPUTED_VALUE"""),"AIDS")</f>
        <v>AIDS</v>
      </c>
      <c r="B68" s="121" t="str">
        <f>IFERROR(__xludf.DUMMYFUNCTION("""COMPUTED_VALUE"""),"S2")</f>
        <v>S2</v>
      </c>
      <c r="C68" s="121" t="str">
        <f>IFERROR(__xludf.DUMMYFUNCTION("""COMPUTED_VALUE"""),"CORE")</f>
        <v>CORE</v>
      </c>
      <c r="D68" s="121" t="str">
        <f>IFERROR(__xludf.DUMMYFUNCTION("""COMPUTED_VALUE"""),"22HS006")</f>
        <v>22HS006</v>
      </c>
      <c r="E68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8" s="121" t="str">
        <f>IFERROR(__xludf.DUMMYFUNCTION("""COMPUTED_VALUE"""),"LAB")</f>
        <v>LAB</v>
      </c>
      <c r="G68" s="121">
        <f>IFERROR(__xludf.DUMMYFUNCTION("""COMPUTED_VALUE"""),1.0)</f>
        <v>1</v>
      </c>
      <c r="H68" s="121">
        <f>IFERROR(__xludf.DUMMYFUNCTION("""COMPUTED_VALUE"""),0.0)</f>
        <v>0</v>
      </c>
      <c r="I68" s="121">
        <f>IFERROR(__xludf.DUMMYFUNCTION("""COMPUTED_VALUE"""),0.0)</f>
        <v>0</v>
      </c>
      <c r="J68" s="121">
        <f>IFERROR(__xludf.DUMMYFUNCTION("""COMPUTED_VALUE"""),1.0)</f>
        <v>1</v>
      </c>
      <c r="K68" s="132" t="str">
        <f>IFERROR(__xludf.DUMMYFUNCTION("""COMPUTED_VALUE"""),"HU11115")</f>
        <v>HU11115</v>
      </c>
      <c r="L68" s="121" t="str">
        <f>IFERROR(__xludf.DUMMYFUNCTION("""COMPUTED_VALUE"""),"Ms.KAMALI D")</f>
        <v>Ms.KAMALI D</v>
      </c>
      <c r="M68" s="121" t="str">
        <f>IFERROR(__xludf.DUMMYFUNCTION("""COMPUTED_VALUE"""),"kamali@bitsathy.ac.in")</f>
        <v>kamali@bitsathy.ac.in</v>
      </c>
    </row>
    <row r="69" ht="49.5" customHeight="1">
      <c r="A69" s="121" t="str">
        <f>IFERROR(__xludf.DUMMYFUNCTION("""COMPUTED_VALUE"""),"AIDS")</f>
        <v>AIDS</v>
      </c>
      <c r="B69" s="121" t="str">
        <f>IFERROR(__xludf.DUMMYFUNCTION("""COMPUTED_VALUE"""),"S2")</f>
        <v>S2</v>
      </c>
      <c r="C69" s="121" t="str">
        <f>IFERROR(__xludf.DUMMYFUNCTION("""COMPUTED_VALUE"""),"CORE")</f>
        <v>CORE</v>
      </c>
      <c r="D69" s="121" t="str">
        <f>IFERROR(__xludf.DUMMYFUNCTION("""COMPUTED_VALUE"""),"22HS006")</f>
        <v>22HS006</v>
      </c>
      <c r="E69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9" s="121" t="str">
        <f>IFERROR(__xludf.DUMMYFUNCTION("""COMPUTED_VALUE"""),"LAB")</f>
        <v>LAB</v>
      </c>
      <c r="G69" s="121">
        <f>IFERROR(__xludf.DUMMYFUNCTION("""COMPUTED_VALUE"""),1.0)</f>
        <v>1</v>
      </c>
      <c r="H69" s="121">
        <f>IFERROR(__xludf.DUMMYFUNCTION("""COMPUTED_VALUE"""),0.0)</f>
        <v>0</v>
      </c>
      <c r="I69" s="121">
        <f>IFERROR(__xludf.DUMMYFUNCTION("""COMPUTED_VALUE"""),0.0)</f>
        <v>0</v>
      </c>
      <c r="J69" s="121">
        <f>IFERROR(__xludf.DUMMYFUNCTION("""COMPUTED_VALUE"""),1.0)</f>
        <v>1</v>
      </c>
      <c r="K69" s="132" t="str">
        <f>IFERROR(__xludf.DUMMYFUNCTION("""COMPUTED_VALUE"""),"HU11154")</f>
        <v>HU11154</v>
      </c>
      <c r="L69" s="121" t="str">
        <f>IFERROR(__xludf.DUMMYFUNCTION("""COMPUTED_VALUE"""),"Mr.SHYAMSUNDAR S")</f>
        <v>Mr.SHYAMSUNDAR S</v>
      </c>
      <c r="M69" s="121" t="str">
        <f>IFERROR(__xludf.DUMMYFUNCTION("""COMPUTED_VALUE"""),"shyamsundar@bitsathy.ac.in")</f>
        <v>shyamsundar@bitsathy.ac.in</v>
      </c>
    </row>
    <row r="70" ht="49.5" customHeight="1">
      <c r="A70" s="121" t="str">
        <f>IFERROR(__xludf.DUMMYFUNCTION("""COMPUTED_VALUE"""),"AIDS")</f>
        <v>AIDS</v>
      </c>
      <c r="B70" s="121" t="str">
        <f>IFERROR(__xludf.DUMMYFUNCTION("""COMPUTED_VALUE"""),"S2")</f>
        <v>S2</v>
      </c>
      <c r="C70" s="121" t="str">
        <f>IFERROR(__xludf.DUMMYFUNCTION("""COMPUTED_VALUE"""),"LANGUAGE ELECTIVE")</f>
        <v>LANGUAGE ELECTIVE</v>
      </c>
      <c r="D70" s="121" t="str">
        <f>IFERROR(__xludf.DUMMYFUNCTION("""COMPUTED_VALUE"""),"22HS201")</f>
        <v>22HS201</v>
      </c>
      <c r="E70" s="131" t="str">
        <f>IFERROR(__xludf.DUMMYFUNCTION("""COMPUTED_VALUE""")," COMMUNICATIVE ENGLISH II")</f>
        <v> COMMUNICATIVE ENGLISH II</v>
      </c>
      <c r="F70" s="121" t="str">
        <f>IFERROR(__xludf.DUMMYFUNCTION("""COMPUTED_VALUE"""),"LAB")</f>
        <v>LAB</v>
      </c>
      <c r="G70" s="121">
        <f>IFERROR(__xludf.DUMMYFUNCTION("""COMPUTED_VALUE"""),1.0)</f>
        <v>1</v>
      </c>
      <c r="H70" s="121">
        <f>IFERROR(__xludf.DUMMYFUNCTION("""COMPUTED_VALUE"""),0.0)</f>
        <v>0</v>
      </c>
      <c r="I70" s="121">
        <f>IFERROR(__xludf.DUMMYFUNCTION("""COMPUTED_VALUE"""),2.0)</f>
        <v>2</v>
      </c>
      <c r="J70" s="121">
        <f>IFERROR(__xludf.DUMMYFUNCTION("""COMPUTED_VALUE"""),2.0)</f>
        <v>2</v>
      </c>
      <c r="K70" s="132" t="str">
        <f>IFERROR(__xludf.DUMMYFUNCTION("""COMPUTED_VALUE"""),"HU11125")</f>
        <v>HU11125</v>
      </c>
      <c r="L70" s="121" t="str">
        <f>IFERROR(__xludf.DUMMYFUNCTION("""COMPUTED_VALUE"""),"Dr.GAYATHRI G M")</f>
        <v>Dr.GAYATHRI G M</v>
      </c>
      <c r="M70" s="121" t="str">
        <f>IFERROR(__xludf.DUMMYFUNCTION("""COMPUTED_VALUE"""),"gayathri@bitsathy.ac.in")</f>
        <v>gayathri@bitsathy.ac.in</v>
      </c>
    </row>
    <row r="71" ht="49.5" customHeight="1">
      <c r="A71" s="121" t="str">
        <f>IFERROR(__xludf.DUMMYFUNCTION("""COMPUTED_VALUE"""),"AIDS")</f>
        <v>AIDS</v>
      </c>
      <c r="B71" s="121" t="str">
        <f>IFERROR(__xludf.DUMMYFUNCTION("""COMPUTED_VALUE"""),"S2")</f>
        <v>S2</v>
      </c>
      <c r="C71" s="121" t="str">
        <f>IFERROR(__xludf.DUMMYFUNCTION("""COMPUTED_VALUE"""),"LANGUAGE ELECTIVE")</f>
        <v>LANGUAGE ELECTIVE</v>
      </c>
      <c r="D71" s="121" t="str">
        <f>IFERROR(__xludf.DUMMYFUNCTION("""COMPUTED_VALUE"""),"22HS201")</f>
        <v>22HS201</v>
      </c>
      <c r="E71" s="131" t="str">
        <f>IFERROR(__xludf.DUMMYFUNCTION("""COMPUTED_VALUE""")," COMMUNICATIVE ENGLISH II")</f>
        <v> COMMUNICATIVE ENGLISH II</v>
      </c>
      <c r="F71" s="121" t="str">
        <f>IFERROR(__xludf.DUMMYFUNCTION("""COMPUTED_VALUE"""),"LAB")</f>
        <v>LAB</v>
      </c>
      <c r="G71" s="121">
        <f>IFERROR(__xludf.DUMMYFUNCTION("""COMPUTED_VALUE"""),1.0)</f>
        <v>1</v>
      </c>
      <c r="H71" s="121">
        <f>IFERROR(__xludf.DUMMYFUNCTION("""COMPUTED_VALUE"""),0.0)</f>
        <v>0</v>
      </c>
      <c r="I71" s="121">
        <f>IFERROR(__xludf.DUMMYFUNCTION("""COMPUTED_VALUE"""),2.0)</f>
        <v>2</v>
      </c>
      <c r="J71" s="121">
        <f>IFERROR(__xludf.DUMMYFUNCTION("""COMPUTED_VALUE"""),2.0)</f>
        <v>2</v>
      </c>
      <c r="K71" s="132" t="str">
        <f>IFERROR(__xludf.DUMMYFUNCTION("""COMPUTED_VALUE"""),"HU11139")</f>
        <v>HU11139</v>
      </c>
      <c r="L71" s="121" t="str">
        <f>IFERROR(__xludf.DUMMYFUNCTION("""COMPUTED_VALUE"""),"Dr.ASLIN JERUSHA D")</f>
        <v>Dr.ASLIN JERUSHA D</v>
      </c>
      <c r="M71" s="121" t="str">
        <f>IFERROR(__xludf.DUMMYFUNCTION("""COMPUTED_VALUE"""),"aslinjerusha@bitsathy.ac.in")</f>
        <v>aslinjerusha@bitsathy.ac.in</v>
      </c>
    </row>
    <row r="72" ht="49.5" customHeight="1">
      <c r="A72" s="121" t="str">
        <f>IFERROR(__xludf.DUMMYFUNCTION("""COMPUTED_VALUE"""),"AIDS")</f>
        <v>AIDS</v>
      </c>
      <c r="B72" s="121" t="str">
        <f>IFERROR(__xludf.DUMMYFUNCTION("""COMPUTED_VALUE"""),"S2")</f>
        <v>S2</v>
      </c>
      <c r="C72" s="121" t="str">
        <f>IFERROR(__xludf.DUMMYFUNCTION("""COMPUTED_VALUE"""),"LANGUAGE ELECTIVE")</f>
        <v>LANGUAGE ELECTIVE</v>
      </c>
      <c r="D72" s="121" t="str">
        <f>IFERROR(__xludf.DUMMYFUNCTION("""COMPUTED_VALUE"""),"22HS201")</f>
        <v>22HS201</v>
      </c>
      <c r="E72" s="131" t="str">
        <f>IFERROR(__xludf.DUMMYFUNCTION("""COMPUTED_VALUE""")," COMMUNICATIVE ENGLISH II")</f>
        <v> COMMUNICATIVE ENGLISH II</v>
      </c>
      <c r="F72" s="121" t="str">
        <f>IFERROR(__xludf.DUMMYFUNCTION("""COMPUTED_VALUE"""),"LAB")</f>
        <v>LAB</v>
      </c>
      <c r="G72" s="121">
        <f>IFERROR(__xludf.DUMMYFUNCTION("""COMPUTED_VALUE"""),1.0)</f>
        <v>1</v>
      </c>
      <c r="H72" s="121">
        <f>IFERROR(__xludf.DUMMYFUNCTION("""COMPUTED_VALUE"""),0.0)</f>
        <v>0</v>
      </c>
      <c r="I72" s="121">
        <f>IFERROR(__xludf.DUMMYFUNCTION("""COMPUTED_VALUE"""),2.0)</f>
        <v>2</v>
      </c>
      <c r="J72" s="121">
        <f>IFERROR(__xludf.DUMMYFUNCTION("""COMPUTED_VALUE"""),2.0)</f>
        <v>2</v>
      </c>
      <c r="K72" s="132" t="str">
        <f>IFERROR(__xludf.DUMMYFUNCTION("""COMPUTED_VALUE"""),"HU11141")</f>
        <v>HU11141</v>
      </c>
      <c r="L72" s="121" t="str">
        <f>IFERROR(__xludf.DUMMYFUNCTION("""COMPUTED_VALUE"""),"Dr.EZHIL G")</f>
        <v>Dr.EZHIL G</v>
      </c>
      <c r="M72" s="121" t="str">
        <f>IFERROR(__xludf.DUMMYFUNCTION("""COMPUTED_VALUE"""),"ezhil@bitsathy.ac.in")</f>
        <v>ezhil@bitsathy.ac.in</v>
      </c>
    </row>
    <row r="73" ht="49.5" customHeight="1">
      <c r="A73" s="121" t="str">
        <f>IFERROR(__xludf.DUMMYFUNCTION("""COMPUTED_VALUE"""),"AIDS")</f>
        <v>AIDS</v>
      </c>
      <c r="B73" s="121" t="str">
        <f>IFERROR(__xludf.DUMMYFUNCTION("""COMPUTED_VALUE"""),"S2")</f>
        <v>S2</v>
      </c>
      <c r="C73" s="121" t="str">
        <f>IFERROR(__xludf.DUMMYFUNCTION("""COMPUTED_VALUE"""),"LANGUAGE ELECTIVE")</f>
        <v>LANGUAGE ELECTIVE</v>
      </c>
      <c r="D73" s="121" t="str">
        <f>IFERROR(__xludf.DUMMYFUNCTION("""COMPUTED_VALUE"""),"22HSH01")</f>
        <v>22HSH01</v>
      </c>
      <c r="E73" s="131" t="str">
        <f>IFERROR(__xludf.DUMMYFUNCTION("""COMPUTED_VALUE"""),"HINDI")</f>
        <v>HINDI</v>
      </c>
      <c r="F73" s="121" t="str">
        <f>IFERROR(__xludf.DUMMYFUNCTION("""COMPUTED_VALUE"""),"LAB")</f>
        <v>LAB</v>
      </c>
      <c r="G73" s="121">
        <f>IFERROR(__xludf.DUMMYFUNCTION("""COMPUTED_VALUE"""),1.0)</f>
        <v>1</v>
      </c>
      <c r="H73" s="121">
        <f>IFERROR(__xludf.DUMMYFUNCTION("""COMPUTED_VALUE"""),0.0)</f>
        <v>0</v>
      </c>
      <c r="I73" s="121">
        <f>IFERROR(__xludf.DUMMYFUNCTION("""COMPUTED_VALUE"""),2.0)</f>
        <v>2</v>
      </c>
      <c r="J73" s="121">
        <f>IFERROR(__xludf.DUMMYFUNCTION("""COMPUTED_VALUE"""),2.0)</f>
        <v>2</v>
      </c>
      <c r="K73" s="132"/>
      <c r="L73" s="121"/>
      <c r="M73" s="121"/>
    </row>
    <row r="74" ht="49.5" customHeight="1">
      <c r="A74" s="121" t="str">
        <f>IFERROR(__xludf.DUMMYFUNCTION("""COMPUTED_VALUE"""),"AIDS")</f>
        <v>AIDS</v>
      </c>
      <c r="B74" s="121" t="str">
        <f>IFERROR(__xludf.DUMMYFUNCTION("""COMPUTED_VALUE"""),"S2")</f>
        <v>S2</v>
      </c>
      <c r="C74" s="121" t="str">
        <f>IFERROR(__xludf.DUMMYFUNCTION("""COMPUTED_VALUE"""),"LANGUAGE ELECTIVE")</f>
        <v>LANGUAGE ELECTIVE</v>
      </c>
      <c r="D74" s="121" t="str">
        <f>IFERROR(__xludf.DUMMYFUNCTION("""COMPUTED_VALUE"""),"22HSG01")</f>
        <v>22HSG01</v>
      </c>
      <c r="E74" s="131" t="str">
        <f>IFERROR(__xludf.DUMMYFUNCTION("""COMPUTED_VALUE"""),"GERMAN")</f>
        <v>GERMAN</v>
      </c>
      <c r="F74" s="121" t="str">
        <f>IFERROR(__xludf.DUMMYFUNCTION("""COMPUTED_VALUE"""),"LAB")</f>
        <v>LAB</v>
      </c>
      <c r="G74" s="121">
        <f>IFERROR(__xludf.DUMMYFUNCTION("""COMPUTED_VALUE"""),1.0)</f>
        <v>1</v>
      </c>
      <c r="H74" s="121">
        <f>IFERROR(__xludf.DUMMYFUNCTION("""COMPUTED_VALUE"""),0.0)</f>
        <v>0</v>
      </c>
      <c r="I74" s="121">
        <f>IFERROR(__xludf.DUMMYFUNCTION("""COMPUTED_VALUE"""),2.0)</f>
        <v>2</v>
      </c>
      <c r="J74" s="121">
        <f>IFERROR(__xludf.DUMMYFUNCTION("""COMPUTED_VALUE"""),2.0)</f>
        <v>2</v>
      </c>
      <c r="K74" s="132"/>
      <c r="L74" s="121"/>
      <c r="M74" s="121"/>
    </row>
    <row r="75" ht="49.5" customHeight="1">
      <c r="A75" s="121" t="str">
        <f>IFERROR(__xludf.DUMMYFUNCTION("""COMPUTED_VALUE"""),"AIDS")</f>
        <v>AIDS</v>
      </c>
      <c r="B75" s="121" t="str">
        <f>IFERROR(__xludf.DUMMYFUNCTION("""COMPUTED_VALUE"""),"S2")</f>
        <v>S2</v>
      </c>
      <c r="C75" s="121" t="str">
        <f>IFERROR(__xludf.DUMMYFUNCTION("""COMPUTED_VALUE"""),"CORE")</f>
        <v>CORE</v>
      </c>
      <c r="D75" s="121" t="str">
        <f>IFERROR(__xludf.DUMMYFUNCTION("""COMPUTED_VALUE"""),"22HS009")</f>
        <v>22HS009</v>
      </c>
      <c r="E75" s="131" t="str">
        <f>IFERROR(__xludf.DUMMYFUNCTION("""COMPUTED_VALUE"""),"COCURRICULAR AND
EXTRACURRICULAR
ACTIVITIES")</f>
        <v>COCURRICULAR AND
EXTRACURRICULAR
ACTIVITIES</v>
      </c>
      <c r="F75" s="121"/>
      <c r="G75" s="121"/>
      <c r="H75" s="121"/>
      <c r="I75" s="121"/>
      <c r="J75" s="121"/>
      <c r="K75" s="132"/>
      <c r="L75" s="121"/>
      <c r="M75" s="121"/>
    </row>
    <row r="76" ht="49.5" customHeight="1">
      <c r="A76" s="121" t="str">
        <f>IFERROR(__xludf.DUMMYFUNCTION("""COMPUTED_VALUE"""),"AIDS")</f>
        <v>AIDS</v>
      </c>
      <c r="B76" s="121" t="str">
        <f>IFERROR(__xludf.DUMMYFUNCTION("""COMPUTED_VALUE"""),"S4")</f>
        <v>S4</v>
      </c>
      <c r="C76" s="121" t="str">
        <f>IFERROR(__xludf.DUMMYFUNCTION("""COMPUTED_VALUE"""),"CORE")</f>
        <v>CORE</v>
      </c>
      <c r="D76" s="121" t="str">
        <f>IFERROR(__xludf.DUMMYFUNCTION("""COMPUTED_VALUE"""),"22AI401")</f>
        <v>22AI401</v>
      </c>
      <c r="E76" s="131" t="str">
        <f>IFERROR(__xludf.DUMMYFUNCTION("""COMPUTED_VALUE"""),"APPLIED LINEAR ALGEBRA")</f>
        <v>APPLIED LINEAR ALGEBRA</v>
      </c>
      <c r="F76" s="121" t="str">
        <f>IFERROR(__xludf.DUMMYFUNCTION("""COMPUTED_VALUE"""),"THEORY")</f>
        <v>THEORY</v>
      </c>
      <c r="G76" s="121">
        <f>IFERROR(__xludf.DUMMYFUNCTION("""COMPUTED_VALUE"""),3.0)</f>
        <v>3</v>
      </c>
      <c r="H76" s="121">
        <f>IFERROR(__xludf.DUMMYFUNCTION("""COMPUTED_VALUE"""),1.0)</f>
        <v>1</v>
      </c>
      <c r="I76" s="121">
        <f>IFERROR(__xludf.DUMMYFUNCTION("""COMPUTED_VALUE"""),0.0)</f>
        <v>0</v>
      </c>
      <c r="J76" s="121">
        <f>IFERROR(__xludf.DUMMYFUNCTION("""COMPUTED_VALUE"""),4.0)</f>
        <v>4</v>
      </c>
      <c r="K76" s="132" t="str">
        <f>IFERROR(__xludf.DUMMYFUNCTION("""COMPUTED_VALUE"""),"MA1327")</f>
        <v>MA1327</v>
      </c>
      <c r="L76" s="121" t="str">
        <f>IFERROR(__xludf.DUMMYFUNCTION("""COMPUTED_VALUE"""),"Dr.THULASIMANI T")</f>
        <v>Dr.THULASIMANI T</v>
      </c>
      <c r="M76" s="121" t="str">
        <f>IFERROR(__xludf.DUMMYFUNCTION("""COMPUTED_VALUE"""),"thulasimanit@bitsathy.ac.in")</f>
        <v>thulasimanit@bitsathy.ac.in</v>
      </c>
    </row>
    <row r="77" ht="49.5" customHeight="1">
      <c r="A77" s="121" t="str">
        <f>IFERROR(__xludf.DUMMYFUNCTION("""COMPUTED_VALUE"""),"AIDS")</f>
        <v>AIDS</v>
      </c>
      <c r="B77" s="121" t="str">
        <f>IFERROR(__xludf.DUMMYFUNCTION("""COMPUTED_VALUE"""),"S4")</f>
        <v>S4</v>
      </c>
      <c r="C77" s="121" t="str">
        <f>IFERROR(__xludf.DUMMYFUNCTION("""COMPUTED_VALUE"""),"CORE")</f>
        <v>CORE</v>
      </c>
      <c r="D77" s="121" t="str">
        <f>IFERROR(__xludf.DUMMYFUNCTION("""COMPUTED_VALUE"""),"22AI401")</f>
        <v>22AI401</v>
      </c>
      <c r="E77" s="131" t="str">
        <f>IFERROR(__xludf.DUMMYFUNCTION("""COMPUTED_VALUE"""),"APPLIED LINEAR ALGEBRA")</f>
        <v>APPLIED LINEAR ALGEBRA</v>
      </c>
      <c r="F77" s="121" t="str">
        <f>IFERROR(__xludf.DUMMYFUNCTION("""COMPUTED_VALUE"""),"THEORY")</f>
        <v>THEORY</v>
      </c>
      <c r="G77" s="121">
        <f>IFERROR(__xludf.DUMMYFUNCTION("""COMPUTED_VALUE"""),3.0)</f>
        <v>3</v>
      </c>
      <c r="H77" s="121">
        <f>IFERROR(__xludf.DUMMYFUNCTION("""COMPUTED_VALUE"""),1.0)</f>
        <v>1</v>
      </c>
      <c r="I77" s="121">
        <f>IFERROR(__xludf.DUMMYFUNCTION("""COMPUTED_VALUE"""),0.0)</f>
        <v>0</v>
      </c>
      <c r="J77" s="121">
        <f>IFERROR(__xludf.DUMMYFUNCTION("""COMPUTED_VALUE"""),4.0)</f>
        <v>4</v>
      </c>
      <c r="K77" s="132" t="str">
        <f>IFERROR(__xludf.DUMMYFUNCTION("""COMPUTED_VALUE"""),"MA11028")</f>
        <v>MA11028</v>
      </c>
      <c r="L77" s="121" t="str">
        <f>IFERROR(__xludf.DUMMYFUNCTION("""COMPUTED_VALUE"""),"Mr.SURESH R")</f>
        <v>Mr.SURESH R</v>
      </c>
      <c r="M77" s="121" t="str">
        <f>IFERROR(__xludf.DUMMYFUNCTION("""COMPUTED_VALUE"""),"sureshr@bitsathy.ac.in")</f>
        <v>sureshr@bitsathy.ac.in</v>
      </c>
    </row>
    <row r="78" ht="49.5" customHeight="1">
      <c r="A78" s="121" t="str">
        <f>IFERROR(__xludf.DUMMYFUNCTION("""COMPUTED_VALUE"""),"AIDS")</f>
        <v>AIDS</v>
      </c>
      <c r="B78" s="121" t="str">
        <f>IFERROR(__xludf.DUMMYFUNCTION("""COMPUTED_VALUE"""),"S4")</f>
        <v>S4</v>
      </c>
      <c r="C78" s="121" t="str">
        <f>IFERROR(__xludf.DUMMYFUNCTION("""COMPUTED_VALUE"""),"CORE")</f>
        <v>CORE</v>
      </c>
      <c r="D78" s="121" t="str">
        <f>IFERROR(__xludf.DUMMYFUNCTION("""COMPUTED_VALUE"""),"22AI401")</f>
        <v>22AI401</v>
      </c>
      <c r="E78" s="131" t="str">
        <f>IFERROR(__xludf.DUMMYFUNCTION("""COMPUTED_VALUE"""),"APPLIED LINEAR ALGEBRA")</f>
        <v>APPLIED LINEAR ALGEBRA</v>
      </c>
      <c r="F78" s="121" t="str">
        <f>IFERROR(__xludf.DUMMYFUNCTION("""COMPUTED_VALUE"""),"THEORY")</f>
        <v>THEORY</v>
      </c>
      <c r="G78" s="121">
        <f>IFERROR(__xludf.DUMMYFUNCTION("""COMPUTED_VALUE"""),3.0)</f>
        <v>3</v>
      </c>
      <c r="H78" s="121">
        <f>IFERROR(__xludf.DUMMYFUNCTION("""COMPUTED_VALUE"""),1.0)</f>
        <v>1</v>
      </c>
      <c r="I78" s="121">
        <f>IFERROR(__xludf.DUMMYFUNCTION("""COMPUTED_VALUE"""),0.0)</f>
        <v>0</v>
      </c>
      <c r="J78" s="121">
        <f>IFERROR(__xludf.DUMMYFUNCTION("""COMPUTED_VALUE"""),4.0)</f>
        <v>4</v>
      </c>
      <c r="K78" s="132" t="str">
        <f>IFERROR(__xludf.DUMMYFUNCTION("""COMPUTED_VALUE"""),"MA10763")</f>
        <v>MA10763</v>
      </c>
      <c r="L78" s="121" t="str">
        <f>IFERROR(__xludf.DUMMYFUNCTION("""COMPUTED_VALUE"""),"Dr.REVATHI V M")</f>
        <v>Dr.REVATHI V M</v>
      </c>
      <c r="M78" s="121" t="str">
        <f>IFERROR(__xludf.DUMMYFUNCTION("""COMPUTED_VALUE"""),"revathivm@bitsathy.ac.in")</f>
        <v>revathivm@bitsathy.ac.in</v>
      </c>
    </row>
    <row r="79" ht="49.5" customHeight="1">
      <c r="A79" s="121" t="str">
        <f>IFERROR(__xludf.DUMMYFUNCTION("""COMPUTED_VALUE"""),"AIDS")</f>
        <v>AIDS</v>
      </c>
      <c r="B79" s="121" t="str">
        <f>IFERROR(__xludf.DUMMYFUNCTION("""COMPUTED_VALUE"""),"S4")</f>
        <v>S4</v>
      </c>
      <c r="C79" s="121" t="str">
        <f>IFERROR(__xludf.DUMMYFUNCTION("""COMPUTED_VALUE"""),"CORE")</f>
        <v>CORE</v>
      </c>
      <c r="D79" s="121" t="str">
        <f>IFERROR(__xludf.DUMMYFUNCTION("""COMPUTED_VALUE"""),"22AI401")</f>
        <v>22AI401</v>
      </c>
      <c r="E79" s="131" t="str">
        <f>IFERROR(__xludf.DUMMYFUNCTION("""COMPUTED_VALUE"""),"APPLIED LINEAR ALGEBRA")</f>
        <v>APPLIED LINEAR ALGEBRA</v>
      </c>
      <c r="F79" s="121" t="str">
        <f>IFERROR(__xludf.DUMMYFUNCTION("""COMPUTED_VALUE"""),"THEORY")</f>
        <v>THEORY</v>
      </c>
      <c r="G79" s="121">
        <f>IFERROR(__xludf.DUMMYFUNCTION("""COMPUTED_VALUE"""),3.0)</f>
        <v>3</v>
      </c>
      <c r="H79" s="121">
        <f>IFERROR(__xludf.DUMMYFUNCTION("""COMPUTED_VALUE"""),1.0)</f>
        <v>1</v>
      </c>
      <c r="I79" s="121">
        <f>IFERROR(__xludf.DUMMYFUNCTION("""COMPUTED_VALUE"""),0.0)</f>
        <v>0</v>
      </c>
      <c r="J79" s="121">
        <f>IFERROR(__xludf.DUMMYFUNCTION("""COMPUTED_VALUE"""),4.0)</f>
        <v>4</v>
      </c>
      <c r="K79" s="132" t="str">
        <f>IFERROR(__xludf.DUMMYFUNCTION("""COMPUTED_VALUE"""),"MA11122")</f>
        <v>MA11122</v>
      </c>
      <c r="L79" s="121" t="str">
        <f>IFERROR(__xludf.DUMMYFUNCTION("""COMPUTED_VALUE"""),"Dr.AKALYADEVI K")</f>
        <v>Dr.AKALYADEVI K</v>
      </c>
      <c r="M79" s="121" t="str">
        <f>IFERROR(__xludf.DUMMYFUNCTION("""COMPUTED_VALUE"""),"akalyadevi@bitsathy.ac.in")</f>
        <v>akalyadevi@bitsathy.ac.in</v>
      </c>
    </row>
    <row r="80" ht="49.5" customHeight="1">
      <c r="A80" s="121" t="str">
        <f>IFERROR(__xludf.DUMMYFUNCTION("""COMPUTED_VALUE"""),"AIDS")</f>
        <v>AIDS</v>
      </c>
      <c r="B80" s="121" t="str">
        <f>IFERROR(__xludf.DUMMYFUNCTION("""COMPUTED_VALUE"""),"S4")</f>
        <v>S4</v>
      </c>
      <c r="C80" s="121" t="str">
        <f>IFERROR(__xludf.DUMMYFUNCTION("""COMPUTED_VALUE"""),"CORE")</f>
        <v>CORE</v>
      </c>
      <c r="D80" s="121" t="str">
        <f>IFERROR(__xludf.DUMMYFUNCTION("""COMPUTED_VALUE"""),"22AI402")</f>
        <v>22AI402</v>
      </c>
      <c r="E80" s="131" t="str">
        <f>IFERROR(__xludf.DUMMYFUNCTION("""COMPUTED_VALUE"""),"DATA STRUCTURES II")</f>
        <v>DATA STRUCTURES II</v>
      </c>
      <c r="F80" s="121" t="str">
        <f>IFERROR(__xludf.DUMMYFUNCTION("""COMPUTED_VALUE"""),"THEORY")</f>
        <v>THEORY</v>
      </c>
      <c r="G80" s="121">
        <f>IFERROR(__xludf.DUMMYFUNCTION("""COMPUTED_VALUE"""),3.0)</f>
        <v>3</v>
      </c>
      <c r="H80" s="121">
        <f>IFERROR(__xludf.DUMMYFUNCTION("""COMPUTED_VALUE"""),0.0)</f>
        <v>0</v>
      </c>
      <c r="I80" s="121">
        <f>IFERROR(__xludf.DUMMYFUNCTION("""COMPUTED_VALUE"""),2.0)</f>
        <v>2</v>
      </c>
      <c r="J80" s="121">
        <f>IFERROR(__xludf.DUMMYFUNCTION("""COMPUTED_VALUE"""),4.0)</f>
        <v>4</v>
      </c>
      <c r="K80" s="132" t="str">
        <f>IFERROR(__xludf.DUMMYFUNCTION("""COMPUTED_VALUE"""),"AD10953")</f>
        <v>AD10953</v>
      </c>
      <c r="L80" s="121" t="str">
        <f>IFERROR(__xludf.DUMMYFUNCTION("""COMPUTED_VALUE"""),"Mr.RAJ KUMAR V S")</f>
        <v>Mr.RAJ KUMAR V S</v>
      </c>
      <c r="M80" s="121" t="str">
        <f>IFERROR(__xludf.DUMMYFUNCTION("""COMPUTED_VALUE"""),"rajkumarvs@bitsathy.ac.in")</f>
        <v>rajkumarvs@bitsathy.ac.in</v>
      </c>
    </row>
    <row r="81" ht="49.5" customHeight="1">
      <c r="A81" s="121" t="str">
        <f>IFERROR(__xludf.DUMMYFUNCTION("""COMPUTED_VALUE"""),"AIDS")</f>
        <v>AIDS</v>
      </c>
      <c r="B81" s="121" t="str">
        <f>IFERROR(__xludf.DUMMYFUNCTION("""COMPUTED_VALUE"""),"S4")</f>
        <v>S4</v>
      </c>
      <c r="C81" s="121" t="str">
        <f>IFERROR(__xludf.DUMMYFUNCTION("""COMPUTED_VALUE"""),"CORE")</f>
        <v>CORE</v>
      </c>
      <c r="D81" s="121" t="str">
        <f>IFERROR(__xludf.DUMMYFUNCTION("""COMPUTED_VALUE"""),"22AI402")</f>
        <v>22AI402</v>
      </c>
      <c r="E81" s="131" t="str">
        <f>IFERROR(__xludf.DUMMYFUNCTION("""COMPUTED_VALUE"""),"DATA STRUCTURES II")</f>
        <v>DATA STRUCTURES II</v>
      </c>
      <c r="F81" s="121" t="str">
        <f>IFERROR(__xludf.DUMMYFUNCTION("""COMPUTED_VALUE"""),"LAB")</f>
        <v>LAB</v>
      </c>
      <c r="G81" s="121">
        <f>IFERROR(__xludf.DUMMYFUNCTION("""COMPUTED_VALUE"""),3.0)</f>
        <v>3</v>
      </c>
      <c r="H81" s="121">
        <f>IFERROR(__xludf.DUMMYFUNCTION("""COMPUTED_VALUE"""),0.0)</f>
        <v>0</v>
      </c>
      <c r="I81" s="121">
        <f>IFERROR(__xludf.DUMMYFUNCTION("""COMPUTED_VALUE"""),2.0)</f>
        <v>2</v>
      </c>
      <c r="J81" s="121">
        <f>IFERROR(__xludf.DUMMYFUNCTION("""COMPUTED_VALUE"""),4.0)</f>
        <v>4</v>
      </c>
      <c r="K81" s="132" t="str">
        <f>IFERROR(__xludf.DUMMYFUNCTION("""COMPUTED_VALUE"""),"AD10955")</f>
        <v>AD10955</v>
      </c>
      <c r="L81" s="121" t="str">
        <f>IFERROR(__xludf.DUMMYFUNCTION("""COMPUTED_VALUE"""),"Ms.ESAKKI MADURA E")</f>
        <v>Ms.ESAKKI MADURA E</v>
      </c>
      <c r="M81" s="121" t="str">
        <f>IFERROR(__xludf.DUMMYFUNCTION("""COMPUTED_VALUE"""),"esakkimadurae@bitsathy.ac.in")</f>
        <v>esakkimadurae@bitsathy.ac.in</v>
      </c>
    </row>
    <row r="82" ht="49.5" customHeight="1">
      <c r="A82" s="121" t="str">
        <f>IFERROR(__xludf.DUMMYFUNCTION("""COMPUTED_VALUE"""),"AIDS")</f>
        <v>AIDS</v>
      </c>
      <c r="B82" s="121" t="str">
        <f>IFERROR(__xludf.DUMMYFUNCTION("""COMPUTED_VALUE"""),"S4")</f>
        <v>S4</v>
      </c>
      <c r="C82" s="121" t="str">
        <f>IFERROR(__xludf.DUMMYFUNCTION("""COMPUTED_VALUE"""),"CORE")</f>
        <v>CORE</v>
      </c>
      <c r="D82" s="121" t="str">
        <f>IFERROR(__xludf.DUMMYFUNCTION("""COMPUTED_VALUE"""),"22AI402")</f>
        <v>22AI402</v>
      </c>
      <c r="E82" s="131" t="str">
        <f>IFERROR(__xludf.DUMMYFUNCTION("""COMPUTED_VALUE"""),"DATA STRUCTURES II")</f>
        <v>DATA STRUCTURES II</v>
      </c>
      <c r="F82" s="121" t="str">
        <f>IFERROR(__xludf.DUMMYFUNCTION("""COMPUTED_VALUE"""),"THEORY WITH LAB")</f>
        <v>THEORY WITH LAB</v>
      </c>
      <c r="G82" s="121">
        <f>IFERROR(__xludf.DUMMYFUNCTION("""COMPUTED_VALUE"""),3.0)</f>
        <v>3</v>
      </c>
      <c r="H82" s="121">
        <f>IFERROR(__xludf.DUMMYFUNCTION("""COMPUTED_VALUE"""),0.0)</f>
        <v>0</v>
      </c>
      <c r="I82" s="121">
        <f>IFERROR(__xludf.DUMMYFUNCTION("""COMPUTED_VALUE"""),2.0)</f>
        <v>2</v>
      </c>
      <c r="J82" s="121">
        <f>IFERROR(__xludf.DUMMYFUNCTION("""COMPUTED_VALUE"""),4.0)</f>
        <v>4</v>
      </c>
      <c r="K82" s="132" t="str">
        <f>IFERROR(__xludf.DUMMYFUNCTION("""COMPUTED_VALUE"""),"AD11089")</f>
        <v>AD11089</v>
      </c>
      <c r="L82" s="121" t="str">
        <f>IFERROR(__xludf.DUMMYFUNCTION("""COMPUTED_VALUE"""),"Mrs.RESHMI T S")</f>
        <v>Mrs.RESHMI T S</v>
      </c>
      <c r="M82" s="121" t="str">
        <f>IFERROR(__xludf.DUMMYFUNCTION("""COMPUTED_VALUE"""),"reshmits@bitsathy.ac.in")</f>
        <v>reshmits@bitsathy.ac.in</v>
      </c>
    </row>
    <row r="83" ht="49.5" customHeight="1">
      <c r="A83" s="121" t="str">
        <f>IFERROR(__xludf.DUMMYFUNCTION("""COMPUTED_VALUE"""),"AIDS")</f>
        <v>AIDS</v>
      </c>
      <c r="B83" s="121" t="str">
        <f>IFERROR(__xludf.DUMMYFUNCTION("""COMPUTED_VALUE"""),"S4")</f>
        <v>S4</v>
      </c>
      <c r="C83" s="121" t="str">
        <f>IFERROR(__xludf.DUMMYFUNCTION("""COMPUTED_VALUE"""),"CORE")</f>
        <v>CORE</v>
      </c>
      <c r="D83" s="121" t="str">
        <f>IFERROR(__xludf.DUMMYFUNCTION("""COMPUTED_VALUE"""),"22AI402")</f>
        <v>22AI402</v>
      </c>
      <c r="E83" s="131" t="str">
        <f>IFERROR(__xludf.DUMMYFUNCTION("""COMPUTED_VALUE"""),"DATA STRUCTURES II")</f>
        <v>DATA STRUCTURES II</v>
      </c>
      <c r="F83" s="121" t="str">
        <f>IFERROR(__xludf.DUMMYFUNCTION("""COMPUTED_VALUE"""),"THEORY")</f>
        <v>THEORY</v>
      </c>
      <c r="G83" s="121">
        <f>IFERROR(__xludf.DUMMYFUNCTION("""COMPUTED_VALUE"""),3.0)</f>
        <v>3</v>
      </c>
      <c r="H83" s="121">
        <f>IFERROR(__xludf.DUMMYFUNCTION("""COMPUTED_VALUE"""),0.0)</f>
        <v>0</v>
      </c>
      <c r="I83" s="121">
        <f>IFERROR(__xludf.DUMMYFUNCTION("""COMPUTED_VALUE"""),2.0)</f>
        <v>2</v>
      </c>
      <c r="J83" s="121">
        <f>IFERROR(__xludf.DUMMYFUNCTION("""COMPUTED_VALUE"""),4.0)</f>
        <v>4</v>
      </c>
      <c r="K83" s="132" t="str">
        <f>IFERROR(__xludf.DUMMYFUNCTION("""COMPUTED_VALUE"""),"AD10928")</f>
        <v>AD10928</v>
      </c>
      <c r="L83" s="121" t="str">
        <f>IFERROR(__xludf.DUMMYFUNCTION("""COMPUTED_VALUE"""),"Mrs.NISHA DEVI K")</f>
        <v>Mrs.NISHA DEVI K</v>
      </c>
      <c r="M83" s="121" t="str">
        <f>IFERROR(__xludf.DUMMYFUNCTION("""COMPUTED_VALUE"""),"nishadevik@bitsathy.ac.in")</f>
        <v>nishadevik@bitsathy.ac.in</v>
      </c>
    </row>
    <row r="84" ht="49.5" customHeight="1">
      <c r="A84" s="121" t="str">
        <f>IFERROR(__xludf.DUMMYFUNCTION("""COMPUTED_VALUE"""),"AIDS")</f>
        <v>AIDS</v>
      </c>
      <c r="B84" s="121" t="str">
        <f>IFERROR(__xludf.DUMMYFUNCTION("""COMPUTED_VALUE"""),"S4")</f>
        <v>S4</v>
      </c>
      <c r="C84" s="121" t="str">
        <f>IFERROR(__xludf.DUMMYFUNCTION("""COMPUTED_VALUE"""),"CORE")</f>
        <v>CORE</v>
      </c>
      <c r="D84" s="121" t="str">
        <f>IFERROR(__xludf.DUMMYFUNCTION("""COMPUTED_VALUE"""),"22AI402")</f>
        <v>22AI402</v>
      </c>
      <c r="E84" s="131" t="str">
        <f>IFERROR(__xludf.DUMMYFUNCTION("""COMPUTED_VALUE"""),"DATA STRUCTURES II")</f>
        <v>DATA STRUCTURES II</v>
      </c>
      <c r="F84" s="121" t="str">
        <f>IFERROR(__xludf.DUMMYFUNCTION("""COMPUTED_VALUE"""),"LAB")</f>
        <v>LAB</v>
      </c>
      <c r="G84" s="121">
        <f>IFERROR(__xludf.DUMMYFUNCTION("""COMPUTED_VALUE"""),3.0)</f>
        <v>3</v>
      </c>
      <c r="H84" s="121">
        <f>IFERROR(__xludf.DUMMYFUNCTION("""COMPUTED_VALUE"""),0.0)</f>
        <v>0</v>
      </c>
      <c r="I84" s="121">
        <f>IFERROR(__xludf.DUMMYFUNCTION("""COMPUTED_VALUE"""),2.0)</f>
        <v>2</v>
      </c>
      <c r="J84" s="121">
        <f>IFERROR(__xludf.DUMMYFUNCTION("""COMPUTED_VALUE"""),4.0)</f>
        <v>4</v>
      </c>
      <c r="K84" s="132" t="str">
        <f>IFERROR(__xludf.DUMMYFUNCTION("""COMPUTED_VALUE"""),"AD11041")</f>
        <v>AD11041</v>
      </c>
      <c r="L84" s="121" t="str">
        <f>IFERROR(__xludf.DUMMYFUNCTION("""COMPUTED_VALUE"""),"Mrs.ASHFORN HERMINA J M")</f>
        <v>Mrs.ASHFORN HERMINA J M</v>
      </c>
      <c r="M84" s="133" t="str">
        <f>IFERROR(__xludf.DUMMYFUNCTION("""COMPUTED_VALUE"""),"ashfornherminajm@bitsathy.ac.in")</f>
        <v>ashfornherminajm@bitsathy.ac.in</v>
      </c>
    </row>
    <row r="85" ht="49.5" customHeight="1">
      <c r="A85" s="121" t="str">
        <f>IFERROR(__xludf.DUMMYFUNCTION("""COMPUTED_VALUE"""),"AIDS")</f>
        <v>AIDS</v>
      </c>
      <c r="B85" s="121" t="str">
        <f>IFERROR(__xludf.DUMMYFUNCTION("""COMPUTED_VALUE"""),"S4")</f>
        <v>S4</v>
      </c>
      <c r="C85" s="121" t="str">
        <f>IFERROR(__xludf.DUMMYFUNCTION("""COMPUTED_VALUE"""),"CORE")</f>
        <v>CORE</v>
      </c>
      <c r="D85" s="121" t="str">
        <f>IFERROR(__xludf.DUMMYFUNCTION("""COMPUTED_VALUE"""),"22AI402")</f>
        <v>22AI402</v>
      </c>
      <c r="E85" s="131" t="str">
        <f>IFERROR(__xludf.DUMMYFUNCTION("""COMPUTED_VALUE"""),"DATA STRUCTURES II")</f>
        <v>DATA STRUCTURES II</v>
      </c>
      <c r="F85" s="121" t="str">
        <f>IFERROR(__xludf.DUMMYFUNCTION("""COMPUTED_VALUE"""),"THEORY WITH LAB")</f>
        <v>THEORY WITH LAB</v>
      </c>
      <c r="G85" s="121">
        <f>IFERROR(__xludf.DUMMYFUNCTION("""COMPUTED_VALUE"""),3.0)</f>
        <v>3</v>
      </c>
      <c r="H85" s="121">
        <f>IFERROR(__xludf.DUMMYFUNCTION("""COMPUTED_VALUE"""),0.0)</f>
        <v>0</v>
      </c>
      <c r="I85" s="121">
        <f>IFERROR(__xludf.DUMMYFUNCTION("""COMPUTED_VALUE"""),2.0)</f>
        <v>2</v>
      </c>
      <c r="J85" s="121">
        <f>IFERROR(__xludf.DUMMYFUNCTION("""COMPUTED_VALUE"""),4.0)</f>
        <v>4</v>
      </c>
      <c r="K85" s="132" t="str">
        <f>IFERROR(__xludf.DUMMYFUNCTION("""COMPUTED_VALUE"""),"AD11114")</f>
        <v>AD11114</v>
      </c>
      <c r="L85" s="121" t="str">
        <f>IFERROR(__xludf.DUMMYFUNCTION("""COMPUTED_VALUE"""),"Mrs.MANJU M")</f>
        <v>Mrs.MANJU M</v>
      </c>
      <c r="M85" s="133" t="str">
        <f>IFERROR(__xludf.DUMMYFUNCTION("""COMPUTED_VALUE"""),"manju@bitsathy.ac.in")</f>
        <v>manju@bitsathy.ac.in</v>
      </c>
    </row>
    <row r="86" ht="49.5" customHeight="1">
      <c r="A86" s="121" t="str">
        <f>IFERROR(__xludf.DUMMYFUNCTION("""COMPUTED_VALUE"""),"AIDS")</f>
        <v>AIDS</v>
      </c>
      <c r="B86" s="121" t="str">
        <f>IFERROR(__xludf.DUMMYFUNCTION("""COMPUTED_VALUE"""),"S4")</f>
        <v>S4</v>
      </c>
      <c r="C86" s="121" t="str">
        <f>IFERROR(__xludf.DUMMYFUNCTION("""COMPUTED_VALUE"""),"CORE")</f>
        <v>CORE</v>
      </c>
      <c r="D86" s="121" t="str">
        <f>IFERROR(__xludf.DUMMYFUNCTION("""COMPUTED_VALUE"""),"22AI403")</f>
        <v>22AI403</v>
      </c>
      <c r="E86" s="131" t="str">
        <f>IFERROR(__xludf.DUMMYFUNCTION("""COMPUTED_VALUE"""),"OPERATING SYSTEMS")</f>
        <v>OPERATING SYSTEMS</v>
      </c>
      <c r="F86" s="121" t="str">
        <f>IFERROR(__xludf.DUMMYFUNCTION("""COMPUTED_VALUE"""),"THEORY")</f>
        <v>THEORY</v>
      </c>
      <c r="G86" s="121">
        <f>IFERROR(__xludf.DUMMYFUNCTION("""COMPUTED_VALUE"""),3.0)</f>
        <v>3</v>
      </c>
      <c r="H86" s="121">
        <f>IFERROR(__xludf.DUMMYFUNCTION("""COMPUTED_VALUE"""),1.0)</f>
        <v>1</v>
      </c>
      <c r="I86" s="121">
        <f>IFERROR(__xludf.DUMMYFUNCTION("""COMPUTED_VALUE"""),0.0)</f>
        <v>0</v>
      </c>
      <c r="J86" s="121">
        <f>IFERROR(__xludf.DUMMYFUNCTION("""COMPUTED_VALUE"""),4.0)</f>
        <v>4</v>
      </c>
      <c r="K86" s="132" t="str">
        <f>IFERROR(__xludf.DUMMYFUNCTION("""COMPUTED_VALUE"""),"AD10628")</f>
        <v>AD10628</v>
      </c>
      <c r="L86" s="121" t="str">
        <f>IFERROR(__xludf.DUMMYFUNCTION("""COMPUTED_VALUE"""),"Dr.ARUN KUMAR R")</f>
        <v>Dr.ARUN KUMAR R</v>
      </c>
      <c r="M86" s="133" t="str">
        <f>IFERROR(__xludf.DUMMYFUNCTION("""COMPUTED_VALUE"""),"arunkumarr@bitsathy.ac.in")</f>
        <v>arunkumarr@bitsathy.ac.in</v>
      </c>
    </row>
    <row r="87" ht="49.5" customHeight="1">
      <c r="A87" s="121" t="str">
        <f>IFERROR(__xludf.DUMMYFUNCTION("""COMPUTED_VALUE"""),"AIDS")</f>
        <v>AIDS</v>
      </c>
      <c r="B87" s="121" t="str">
        <f>IFERROR(__xludf.DUMMYFUNCTION("""COMPUTED_VALUE"""),"S4")</f>
        <v>S4</v>
      </c>
      <c r="C87" s="121" t="str">
        <f>IFERROR(__xludf.DUMMYFUNCTION("""COMPUTED_VALUE"""),"CORE")</f>
        <v>CORE</v>
      </c>
      <c r="D87" s="121" t="str">
        <f>IFERROR(__xludf.DUMMYFUNCTION("""COMPUTED_VALUE"""),"22AI403")</f>
        <v>22AI403</v>
      </c>
      <c r="E87" s="131" t="str">
        <f>IFERROR(__xludf.DUMMYFUNCTION("""COMPUTED_VALUE"""),"OPERATING SYSTEMS")</f>
        <v>OPERATING SYSTEMS</v>
      </c>
      <c r="F87" s="121" t="str">
        <f>IFERROR(__xludf.DUMMYFUNCTION("""COMPUTED_VALUE"""),"THEORY")</f>
        <v>THEORY</v>
      </c>
      <c r="G87" s="121">
        <f>IFERROR(__xludf.DUMMYFUNCTION("""COMPUTED_VALUE"""),3.0)</f>
        <v>3</v>
      </c>
      <c r="H87" s="121">
        <f>IFERROR(__xludf.DUMMYFUNCTION("""COMPUTED_VALUE"""),1.0)</f>
        <v>1</v>
      </c>
      <c r="I87" s="121">
        <f>IFERROR(__xludf.DUMMYFUNCTION("""COMPUTED_VALUE"""),0.0)</f>
        <v>0</v>
      </c>
      <c r="J87" s="121">
        <f>IFERROR(__xludf.DUMMYFUNCTION("""COMPUTED_VALUE"""),4.0)</f>
        <v>4</v>
      </c>
      <c r="K87" s="132" t="str">
        <f>IFERROR(__xludf.DUMMYFUNCTION("""COMPUTED_VALUE"""),"AD10818")</f>
        <v>AD10818</v>
      </c>
      <c r="L87" s="121" t="str">
        <f>IFERROR(__xludf.DUMMYFUNCTION("""COMPUTED_VALUE"""),"Dr.ESWARAMOORTHY V")</f>
        <v>Dr.ESWARAMOORTHY V</v>
      </c>
      <c r="M87" s="121" t="str">
        <f>IFERROR(__xludf.DUMMYFUNCTION("""COMPUTED_VALUE"""),"eswaramoorthyv@bitsathy.ac.in")</f>
        <v>eswaramoorthyv@bitsathy.ac.in</v>
      </c>
    </row>
    <row r="88" ht="49.5" customHeight="1">
      <c r="A88" s="121" t="str">
        <f>IFERROR(__xludf.DUMMYFUNCTION("""COMPUTED_VALUE"""),"AIDS")</f>
        <v>AIDS</v>
      </c>
      <c r="B88" s="121" t="str">
        <f>IFERROR(__xludf.DUMMYFUNCTION("""COMPUTED_VALUE"""),"S4")</f>
        <v>S4</v>
      </c>
      <c r="C88" s="121" t="str">
        <f>IFERROR(__xludf.DUMMYFUNCTION("""COMPUTED_VALUE"""),"CORE")</f>
        <v>CORE</v>
      </c>
      <c r="D88" s="121" t="str">
        <f>IFERROR(__xludf.DUMMYFUNCTION("""COMPUTED_VALUE"""),"22AI403")</f>
        <v>22AI403</v>
      </c>
      <c r="E88" s="131" t="str">
        <f>IFERROR(__xludf.DUMMYFUNCTION("""COMPUTED_VALUE"""),"OPERATING SYSTEMS")</f>
        <v>OPERATING SYSTEMS</v>
      </c>
      <c r="F88" s="121" t="str">
        <f>IFERROR(__xludf.DUMMYFUNCTION("""COMPUTED_VALUE"""),"THEORY")</f>
        <v>THEORY</v>
      </c>
      <c r="G88" s="121">
        <f>IFERROR(__xludf.DUMMYFUNCTION("""COMPUTED_VALUE"""),3.0)</f>
        <v>3</v>
      </c>
      <c r="H88" s="121">
        <f>IFERROR(__xludf.DUMMYFUNCTION("""COMPUTED_VALUE"""),1.0)</f>
        <v>1</v>
      </c>
      <c r="I88" s="121">
        <f>IFERROR(__xludf.DUMMYFUNCTION("""COMPUTED_VALUE"""),0.0)</f>
        <v>0</v>
      </c>
      <c r="J88" s="121">
        <f>IFERROR(__xludf.DUMMYFUNCTION("""COMPUTED_VALUE"""),4.0)</f>
        <v>4</v>
      </c>
      <c r="K88" s="132" t="str">
        <f>IFERROR(__xludf.DUMMYFUNCTION("""COMPUTED_VALUE"""),"AD11068")</f>
        <v>AD11068</v>
      </c>
      <c r="L88" s="121" t="str">
        <f>IFERROR(__xludf.DUMMYFUNCTION("""COMPUTED_VALUE"""),"Ms.BENITA GRACIA THANGAM J")</f>
        <v>Ms.BENITA GRACIA THANGAM J</v>
      </c>
      <c r="M88" s="121" t="str">
        <f>IFERROR(__xludf.DUMMYFUNCTION("""COMPUTED_VALUE"""),"benitagraciathangam@bitsathy.ac.in")</f>
        <v>benitagraciathangam@bitsathy.ac.in</v>
      </c>
    </row>
    <row r="89" ht="49.5" customHeight="1">
      <c r="A89" s="121" t="str">
        <f>IFERROR(__xludf.DUMMYFUNCTION("""COMPUTED_VALUE"""),"AIDS")</f>
        <v>AIDS</v>
      </c>
      <c r="B89" s="121" t="str">
        <f>IFERROR(__xludf.DUMMYFUNCTION("""COMPUTED_VALUE"""),"S4")</f>
        <v>S4</v>
      </c>
      <c r="C89" s="121" t="str">
        <f>IFERROR(__xludf.DUMMYFUNCTION("""COMPUTED_VALUE"""),"CORE")</f>
        <v>CORE</v>
      </c>
      <c r="D89" s="121" t="str">
        <f>IFERROR(__xludf.DUMMYFUNCTION("""COMPUTED_VALUE"""),"22AI403")</f>
        <v>22AI403</v>
      </c>
      <c r="E89" s="131" t="str">
        <f>IFERROR(__xludf.DUMMYFUNCTION("""COMPUTED_VALUE"""),"OPERATING SYSTEMS")</f>
        <v>OPERATING SYSTEMS</v>
      </c>
      <c r="F89" s="121" t="str">
        <f>IFERROR(__xludf.DUMMYFUNCTION("""COMPUTED_VALUE"""),"THEORY")</f>
        <v>THEORY</v>
      </c>
      <c r="G89" s="121">
        <f>IFERROR(__xludf.DUMMYFUNCTION("""COMPUTED_VALUE"""),3.0)</f>
        <v>3</v>
      </c>
      <c r="H89" s="121">
        <f>IFERROR(__xludf.DUMMYFUNCTION("""COMPUTED_VALUE"""),1.0)</f>
        <v>1</v>
      </c>
      <c r="I89" s="121">
        <f>IFERROR(__xludf.DUMMYFUNCTION("""COMPUTED_VALUE"""),0.0)</f>
        <v>0</v>
      </c>
      <c r="J89" s="121">
        <f>IFERROR(__xludf.DUMMYFUNCTION("""COMPUTED_VALUE"""),4.0)</f>
        <v>4</v>
      </c>
      <c r="K89" s="132" t="str">
        <f>IFERROR(__xludf.DUMMYFUNCTION("""COMPUTED_VALUE"""),"AD11164")</f>
        <v>AD11164</v>
      </c>
      <c r="L89" s="121" t="str">
        <f>IFERROR(__xludf.DUMMYFUNCTION("""COMPUTED_VALUE"""),"Mr.SASSON TAFFWIN MOSES S")</f>
        <v>Mr.SASSON TAFFWIN MOSES S</v>
      </c>
      <c r="M89" s="121" t="str">
        <f>IFERROR(__xludf.DUMMYFUNCTION("""COMPUTED_VALUE"""),"sassontaffwinmosess@bitsathy.ac.in")</f>
        <v>sassontaffwinmosess@bitsathy.ac.in</v>
      </c>
    </row>
    <row r="90" ht="49.5" customHeight="1">
      <c r="A90" s="121" t="str">
        <f>IFERROR(__xludf.DUMMYFUNCTION("""COMPUTED_VALUE"""),"AIDS")</f>
        <v>AIDS</v>
      </c>
      <c r="B90" s="121" t="str">
        <f>IFERROR(__xludf.DUMMYFUNCTION("""COMPUTED_VALUE"""),"S4")</f>
        <v>S4</v>
      </c>
      <c r="C90" s="121" t="str">
        <f>IFERROR(__xludf.DUMMYFUNCTION("""COMPUTED_VALUE"""),"CORE")</f>
        <v>CORE</v>
      </c>
      <c r="D90" s="121" t="str">
        <f>IFERROR(__xludf.DUMMYFUNCTION("""COMPUTED_VALUE"""),"22AI404")</f>
        <v>22AI404</v>
      </c>
      <c r="E90" s="131" t="str">
        <f>IFERROR(__xludf.DUMMYFUNCTION("""COMPUTED_VALUE"""),"WEB TECHNOLOGY AND FRAMEWORKS")</f>
        <v>WEB TECHNOLOGY AND FRAMEWORKS</v>
      </c>
      <c r="F90" s="121" t="str">
        <f>IFERROR(__xludf.DUMMYFUNCTION("""COMPUTED_VALUE"""),"LAB")</f>
        <v>LAB</v>
      </c>
      <c r="G90" s="121">
        <f>IFERROR(__xludf.DUMMYFUNCTION("""COMPUTED_VALUE"""),3.0)</f>
        <v>3</v>
      </c>
      <c r="H90" s="121">
        <f>IFERROR(__xludf.DUMMYFUNCTION("""COMPUTED_VALUE"""),0.0)</f>
        <v>0</v>
      </c>
      <c r="I90" s="121">
        <f>IFERROR(__xludf.DUMMYFUNCTION("""COMPUTED_VALUE"""),2.0)</f>
        <v>2</v>
      </c>
      <c r="J90" s="121">
        <f>IFERROR(__xludf.DUMMYFUNCTION("""COMPUTED_VALUE"""),4.0)</f>
        <v>4</v>
      </c>
      <c r="K90" s="132" t="str">
        <f>IFERROR(__xludf.DUMMYFUNCTION("""COMPUTED_VALUE"""),"AD11019")</f>
        <v>AD11019</v>
      </c>
      <c r="L90" s="121" t="str">
        <f>IFERROR(__xludf.DUMMYFUNCTION("""COMPUTED_VALUE"""),"Mrs.KIRUTHIGA R")</f>
        <v>Mrs.KIRUTHIGA R</v>
      </c>
      <c r="M90" s="121" t="str">
        <f>IFERROR(__xludf.DUMMYFUNCTION("""COMPUTED_VALUE"""),"kiruthigar@bitsathy.ac.in")</f>
        <v>kiruthigar@bitsathy.ac.in</v>
      </c>
    </row>
    <row r="91" ht="49.5" customHeight="1">
      <c r="A91" s="121" t="str">
        <f>IFERROR(__xludf.DUMMYFUNCTION("""COMPUTED_VALUE"""),"AIDS")</f>
        <v>AIDS</v>
      </c>
      <c r="B91" s="121" t="str">
        <f>IFERROR(__xludf.DUMMYFUNCTION("""COMPUTED_VALUE"""),"S4")</f>
        <v>S4</v>
      </c>
      <c r="C91" s="121" t="str">
        <f>IFERROR(__xludf.DUMMYFUNCTION("""COMPUTED_VALUE"""),"CORE")</f>
        <v>CORE</v>
      </c>
      <c r="D91" s="121" t="str">
        <f>IFERROR(__xludf.DUMMYFUNCTION("""COMPUTED_VALUE"""),"22AI404")</f>
        <v>22AI404</v>
      </c>
      <c r="E91" s="131" t="str">
        <f>IFERROR(__xludf.DUMMYFUNCTION("""COMPUTED_VALUE"""),"WEB TECHNOLOGY AND FRAMEWORKS")</f>
        <v>WEB TECHNOLOGY AND FRAMEWORKS</v>
      </c>
      <c r="F91" s="121" t="str">
        <f>IFERROR(__xludf.DUMMYFUNCTION("""COMPUTED_VALUE"""),"THEORY")</f>
        <v>THEORY</v>
      </c>
      <c r="G91" s="121">
        <f>IFERROR(__xludf.DUMMYFUNCTION("""COMPUTED_VALUE"""),3.0)</f>
        <v>3</v>
      </c>
      <c r="H91" s="121">
        <f>IFERROR(__xludf.DUMMYFUNCTION("""COMPUTED_VALUE"""),0.0)</f>
        <v>0</v>
      </c>
      <c r="I91" s="121">
        <f>IFERROR(__xludf.DUMMYFUNCTION("""COMPUTED_VALUE"""),2.0)</f>
        <v>2</v>
      </c>
      <c r="J91" s="121">
        <f>IFERROR(__xludf.DUMMYFUNCTION("""COMPUTED_VALUE"""),4.0)</f>
        <v>4</v>
      </c>
      <c r="K91" s="132" t="str">
        <f>IFERROR(__xludf.DUMMYFUNCTION("""COMPUTED_VALUE"""),"AD11193")</f>
        <v>AD11193</v>
      </c>
      <c r="L91" s="121" t="str">
        <f>IFERROR(__xludf.DUMMYFUNCTION("""COMPUTED_VALUE"""),"Mr.NAVANEETH KUMAR K")</f>
        <v>Mr.NAVANEETH KUMAR K</v>
      </c>
      <c r="M91" s="121" t="str">
        <f>IFERROR(__xludf.DUMMYFUNCTION("""COMPUTED_VALUE"""),"navaneethkumark@bitsathy.ac.in")</f>
        <v>navaneethkumark@bitsathy.ac.in</v>
      </c>
    </row>
    <row r="92" ht="49.5" customHeight="1">
      <c r="A92" s="121" t="str">
        <f>IFERROR(__xludf.DUMMYFUNCTION("""COMPUTED_VALUE"""),"AIDS")</f>
        <v>AIDS</v>
      </c>
      <c r="B92" s="121" t="str">
        <f>IFERROR(__xludf.DUMMYFUNCTION("""COMPUTED_VALUE"""),"S4")</f>
        <v>S4</v>
      </c>
      <c r="C92" s="121" t="str">
        <f>IFERROR(__xludf.DUMMYFUNCTION("""COMPUTED_VALUE"""),"CORE")</f>
        <v>CORE</v>
      </c>
      <c r="D92" s="121" t="str">
        <f>IFERROR(__xludf.DUMMYFUNCTION("""COMPUTED_VALUE"""),"22AI404")</f>
        <v>22AI404</v>
      </c>
      <c r="E92" s="131" t="str">
        <f>IFERROR(__xludf.DUMMYFUNCTION("""COMPUTED_VALUE"""),"WEB TECHNOLOGY AND FRAMEWORKS")</f>
        <v>WEB TECHNOLOGY AND FRAMEWORKS</v>
      </c>
      <c r="F92" s="121" t="str">
        <f>IFERROR(__xludf.DUMMYFUNCTION("""COMPUTED_VALUE"""),"THEORY WITH LAB")</f>
        <v>THEORY WITH LAB</v>
      </c>
      <c r="G92" s="121">
        <f>IFERROR(__xludf.DUMMYFUNCTION("""COMPUTED_VALUE"""),3.0)</f>
        <v>3</v>
      </c>
      <c r="H92" s="121">
        <f>IFERROR(__xludf.DUMMYFUNCTION("""COMPUTED_VALUE"""),0.0)</f>
        <v>0</v>
      </c>
      <c r="I92" s="121">
        <f>IFERROR(__xludf.DUMMYFUNCTION("""COMPUTED_VALUE"""),2.0)</f>
        <v>2</v>
      </c>
      <c r="J92" s="121">
        <f>IFERROR(__xludf.DUMMYFUNCTION("""COMPUTED_VALUE"""),4.0)</f>
        <v>4</v>
      </c>
      <c r="K92" s="132" t="str">
        <f>IFERROR(__xludf.DUMMYFUNCTION("""COMPUTED_VALUE"""),"AD11026")</f>
        <v>AD11026</v>
      </c>
      <c r="L92" s="121" t="str">
        <f>IFERROR(__xludf.DUMMYFUNCTION("""COMPUTED_VALUE"""),"Mr.CHOZHARAJAN P")</f>
        <v>Mr.CHOZHARAJAN P</v>
      </c>
      <c r="M92" s="121" t="str">
        <f>IFERROR(__xludf.DUMMYFUNCTION("""COMPUTED_VALUE"""),"chozharajanp@bitsathy.ac.in")</f>
        <v>chozharajanp@bitsathy.ac.in</v>
      </c>
    </row>
    <row r="93" ht="49.5" customHeight="1">
      <c r="A93" s="121" t="str">
        <f>IFERROR(__xludf.DUMMYFUNCTION("""COMPUTED_VALUE"""),"AIDS")</f>
        <v>AIDS</v>
      </c>
      <c r="B93" s="121" t="str">
        <f>IFERROR(__xludf.DUMMYFUNCTION("""COMPUTED_VALUE"""),"S4")</f>
        <v>S4</v>
      </c>
      <c r="C93" s="121" t="str">
        <f>IFERROR(__xludf.DUMMYFUNCTION("""COMPUTED_VALUE"""),"CORE")</f>
        <v>CORE</v>
      </c>
      <c r="D93" s="121" t="str">
        <f>IFERROR(__xludf.DUMMYFUNCTION("""COMPUTED_VALUE"""),"22AI404")</f>
        <v>22AI404</v>
      </c>
      <c r="E93" s="131" t="str">
        <f>IFERROR(__xludf.DUMMYFUNCTION("""COMPUTED_VALUE"""),"WEB TECHNOLOGY AND FRAMEWORKS")</f>
        <v>WEB TECHNOLOGY AND FRAMEWORKS</v>
      </c>
      <c r="F93" s="121" t="str">
        <f>IFERROR(__xludf.DUMMYFUNCTION("""COMPUTED_VALUE"""),"THEORY WITH LAB")</f>
        <v>THEORY WITH LAB</v>
      </c>
      <c r="G93" s="121">
        <f>IFERROR(__xludf.DUMMYFUNCTION("""COMPUTED_VALUE"""),3.0)</f>
        <v>3</v>
      </c>
      <c r="H93" s="121">
        <f>IFERROR(__xludf.DUMMYFUNCTION("""COMPUTED_VALUE"""),0.0)</f>
        <v>0</v>
      </c>
      <c r="I93" s="121">
        <f>IFERROR(__xludf.DUMMYFUNCTION("""COMPUTED_VALUE"""),2.0)</f>
        <v>2</v>
      </c>
      <c r="J93" s="121">
        <f>IFERROR(__xludf.DUMMYFUNCTION("""COMPUTED_VALUE"""),4.0)</f>
        <v>4</v>
      </c>
      <c r="K93" s="132" t="str">
        <f>IFERROR(__xludf.DUMMYFUNCTION("""COMPUTED_VALUE"""),"AD11023")</f>
        <v>AD11023</v>
      </c>
      <c r="L93" s="121" t="str">
        <f>IFERROR(__xludf.DUMMYFUNCTION("""COMPUTED_VALUE"""),"Mrs.VAANATHI S")</f>
        <v>Mrs.VAANATHI S</v>
      </c>
      <c r="M93" s="121" t="str">
        <f>IFERROR(__xludf.DUMMYFUNCTION("""COMPUTED_VALUE"""),"vaanathi@bitsathy.ac.in")</f>
        <v>vaanathi@bitsathy.ac.in</v>
      </c>
    </row>
    <row r="94" ht="49.5" customHeight="1">
      <c r="A94" s="121" t="str">
        <f>IFERROR(__xludf.DUMMYFUNCTION("""COMPUTED_VALUE"""),"AIDS")</f>
        <v>AIDS</v>
      </c>
      <c r="B94" s="121" t="str">
        <f>IFERROR(__xludf.DUMMYFUNCTION("""COMPUTED_VALUE"""),"S4")</f>
        <v>S4</v>
      </c>
      <c r="C94" s="121" t="str">
        <f>IFERROR(__xludf.DUMMYFUNCTION("""COMPUTED_VALUE"""),"CORE")</f>
        <v>CORE</v>
      </c>
      <c r="D94" s="121" t="str">
        <f>IFERROR(__xludf.DUMMYFUNCTION("""COMPUTED_VALUE"""),"22AI404")</f>
        <v>22AI404</v>
      </c>
      <c r="E94" s="131" t="str">
        <f>IFERROR(__xludf.DUMMYFUNCTION("""COMPUTED_VALUE"""),"WEB TECHNOLOGY AND FRAMEWORKS")</f>
        <v>WEB TECHNOLOGY AND FRAMEWORKS</v>
      </c>
      <c r="F94" s="121" t="str">
        <f>IFERROR(__xludf.DUMMYFUNCTION("""COMPUTED_VALUE"""),"THEORY WITH LAB")</f>
        <v>THEORY WITH LAB</v>
      </c>
      <c r="G94" s="121">
        <f>IFERROR(__xludf.DUMMYFUNCTION("""COMPUTED_VALUE"""),3.0)</f>
        <v>3</v>
      </c>
      <c r="H94" s="121">
        <f>IFERROR(__xludf.DUMMYFUNCTION("""COMPUTED_VALUE"""),0.0)</f>
        <v>0</v>
      </c>
      <c r="I94" s="121">
        <f>IFERROR(__xludf.DUMMYFUNCTION("""COMPUTED_VALUE"""),2.0)</f>
        <v>2</v>
      </c>
      <c r="J94" s="121">
        <f>IFERROR(__xludf.DUMMYFUNCTION("""COMPUTED_VALUE"""),4.0)</f>
        <v>4</v>
      </c>
      <c r="K94" s="132" t="str">
        <f>IFERROR(__xludf.DUMMYFUNCTION("""COMPUTED_VALUE"""),"AD11104")</f>
        <v>AD11104</v>
      </c>
      <c r="L94" s="121" t="str">
        <f>IFERROR(__xludf.DUMMYFUNCTION("""COMPUTED_VALUE"""),"Mrs.KALPANA R")</f>
        <v>Mrs.KALPANA R</v>
      </c>
      <c r="M94" s="121" t="str">
        <f>IFERROR(__xludf.DUMMYFUNCTION("""COMPUTED_VALUE"""),"kalpana@bitsathy.ac.in")</f>
        <v>kalpana@bitsathy.ac.in</v>
      </c>
    </row>
    <row r="95" ht="49.5" customHeight="1">
      <c r="A95" s="121" t="str">
        <f>IFERROR(__xludf.DUMMYFUNCTION("""COMPUTED_VALUE"""),"AIDS")</f>
        <v>AIDS</v>
      </c>
      <c r="B95" s="121" t="str">
        <f>IFERROR(__xludf.DUMMYFUNCTION("""COMPUTED_VALUE"""),"S4")</f>
        <v>S4</v>
      </c>
      <c r="C95" s="121" t="str">
        <f>IFERROR(__xludf.DUMMYFUNCTION("""COMPUTED_VALUE"""),"CORE")</f>
        <v>CORE</v>
      </c>
      <c r="D95" s="121" t="str">
        <f>IFERROR(__xludf.DUMMYFUNCTION("""COMPUTED_VALUE"""),"22AI405")</f>
        <v>22AI405</v>
      </c>
      <c r="E95" s="131" t="str">
        <f>IFERROR(__xludf.DUMMYFUNCTION("""COMPUTED_VALUE"""),"DATABASE MANAGEMENT SYSTEM")</f>
        <v>DATABASE MANAGEMENT SYSTEM</v>
      </c>
      <c r="F95" s="121" t="str">
        <f>IFERROR(__xludf.DUMMYFUNCTION("""COMPUTED_VALUE"""),"THEORY WITH LAB")</f>
        <v>THEORY WITH LAB</v>
      </c>
      <c r="G95" s="121">
        <f>IFERROR(__xludf.DUMMYFUNCTION("""COMPUTED_VALUE"""),3.0)</f>
        <v>3</v>
      </c>
      <c r="H95" s="121">
        <f>IFERROR(__xludf.DUMMYFUNCTION("""COMPUTED_VALUE"""),0.0)</f>
        <v>0</v>
      </c>
      <c r="I95" s="121">
        <f>IFERROR(__xludf.DUMMYFUNCTION("""COMPUTED_VALUE"""),2.0)</f>
        <v>2</v>
      </c>
      <c r="J95" s="121">
        <f>IFERROR(__xludf.DUMMYFUNCTION("""COMPUTED_VALUE"""),4.0)</f>
        <v>4</v>
      </c>
      <c r="K95" s="132" t="str">
        <f>IFERROR(__xludf.DUMMYFUNCTION("""COMPUTED_VALUE"""),"AD10838")</f>
        <v>AD10838</v>
      </c>
      <c r="L95" s="121" t="str">
        <f>IFERROR(__xludf.DUMMYFUNCTION("""COMPUTED_VALUE"""),"Mrs.NITHYAPRIYA S")</f>
        <v>Mrs.NITHYAPRIYA S</v>
      </c>
      <c r="M95" s="121" t="str">
        <f>IFERROR(__xludf.DUMMYFUNCTION("""COMPUTED_VALUE"""),"nithyapriyas@bitsathy.ac.in")</f>
        <v>nithyapriyas@bitsathy.ac.in</v>
      </c>
    </row>
    <row r="96" ht="49.5" customHeight="1">
      <c r="A96" s="121" t="str">
        <f>IFERROR(__xludf.DUMMYFUNCTION("""COMPUTED_VALUE"""),"AIDS")</f>
        <v>AIDS</v>
      </c>
      <c r="B96" s="121" t="str">
        <f>IFERROR(__xludf.DUMMYFUNCTION("""COMPUTED_VALUE"""),"S4")</f>
        <v>S4</v>
      </c>
      <c r="C96" s="121" t="str">
        <f>IFERROR(__xludf.DUMMYFUNCTION("""COMPUTED_VALUE"""),"CORE")</f>
        <v>CORE</v>
      </c>
      <c r="D96" s="121" t="str">
        <f>IFERROR(__xludf.DUMMYFUNCTION("""COMPUTED_VALUE"""),"22AI405")</f>
        <v>22AI405</v>
      </c>
      <c r="E96" s="131" t="str">
        <f>IFERROR(__xludf.DUMMYFUNCTION("""COMPUTED_VALUE"""),"DATABASE MANAGEMENT SYSTEM")</f>
        <v>DATABASE MANAGEMENT SYSTEM</v>
      </c>
      <c r="F96" s="121" t="str">
        <f>IFERROR(__xludf.DUMMYFUNCTION("""COMPUTED_VALUE"""),"THEORY WITH LAB")</f>
        <v>THEORY WITH LAB</v>
      </c>
      <c r="G96" s="121">
        <f>IFERROR(__xludf.DUMMYFUNCTION("""COMPUTED_VALUE"""),3.0)</f>
        <v>3</v>
      </c>
      <c r="H96" s="121">
        <f>IFERROR(__xludf.DUMMYFUNCTION("""COMPUTED_VALUE"""),0.0)</f>
        <v>0</v>
      </c>
      <c r="I96" s="121">
        <f>IFERROR(__xludf.DUMMYFUNCTION("""COMPUTED_VALUE"""),2.0)</f>
        <v>2</v>
      </c>
      <c r="J96" s="121">
        <f>IFERROR(__xludf.DUMMYFUNCTION("""COMPUTED_VALUE"""),4.0)</f>
        <v>4</v>
      </c>
      <c r="K96" s="132" t="str">
        <f>IFERROR(__xludf.DUMMYFUNCTION("""COMPUTED_VALUE"""),"AD11096")</f>
        <v>AD11096</v>
      </c>
      <c r="L96" s="121" t="str">
        <f>IFERROR(__xludf.DUMMYFUNCTION("""COMPUTED_VALUE"""),"Dr.SUBBULAKSHMI M")</f>
        <v>Dr.SUBBULAKSHMI M</v>
      </c>
      <c r="M96" s="121" t="str">
        <f>IFERROR(__xludf.DUMMYFUNCTION("""COMPUTED_VALUE"""),"subbulakshmi@bitsathy.ac.in")</f>
        <v>subbulakshmi@bitsathy.ac.in</v>
      </c>
    </row>
    <row r="97" ht="49.5" customHeight="1">
      <c r="A97" s="121" t="str">
        <f>IFERROR(__xludf.DUMMYFUNCTION("""COMPUTED_VALUE"""),"AIDS")</f>
        <v>AIDS</v>
      </c>
      <c r="B97" s="121" t="str">
        <f>IFERROR(__xludf.DUMMYFUNCTION("""COMPUTED_VALUE"""),"S4")</f>
        <v>S4</v>
      </c>
      <c r="C97" s="121" t="str">
        <f>IFERROR(__xludf.DUMMYFUNCTION("""COMPUTED_VALUE"""),"CORE")</f>
        <v>CORE</v>
      </c>
      <c r="D97" s="121" t="str">
        <f>IFERROR(__xludf.DUMMYFUNCTION("""COMPUTED_VALUE"""),"22AI405")</f>
        <v>22AI405</v>
      </c>
      <c r="E97" s="131" t="str">
        <f>IFERROR(__xludf.DUMMYFUNCTION("""COMPUTED_VALUE"""),"DATABASE MANAGEMENT SYSTEM")</f>
        <v>DATABASE MANAGEMENT SYSTEM</v>
      </c>
      <c r="F97" s="121" t="str">
        <f>IFERROR(__xludf.DUMMYFUNCTION("""COMPUTED_VALUE"""),"THEORY WITH LAB")</f>
        <v>THEORY WITH LAB</v>
      </c>
      <c r="G97" s="121">
        <f>IFERROR(__xludf.DUMMYFUNCTION("""COMPUTED_VALUE"""),3.0)</f>
        <v>3</v>
      </c>
      <c r="H97" s="121">
        <f>IFERROR(__xludf.DUMMYFUNCTION("""COMPUTED_VALUE"""),0.0)</f>
        <v>0</v>
      </c>
      <c r="I97" s="121">
        <f>IFERROR(__xludf.DUMMYFUNCTION("""COMPUTED_VALUE"""),2.0)</f>
        <v>2</v>
      </c>
      <c r="J97" s="121">
        <f>IFERROR(__xludf.DUMMYFUNCTION("""COMPUTED_VALUE"""),4.0)</f>
        <v>4</v>
      </c>
      <c r="K97" s="132" t="str">
        <f>IFERROR(__xludf.DUMMYFUNCTION("""COMPUTED_VALUE"""),"AD11016")</f>
        <v>AD11016</v>
      </c>
      <c r="L97" s="121" t="str">
        <f>IFERROR(__xludf.DUMMYFUNCTION("""COMPUTED_VALUE"""),"Mr.SATHEESHKUMAR S")</f>
        <v>Mr.SATHEESHKUMAR S</v>
      </c>
      <c r="M97" s="121" t="str">
        <f>IFERROR(__xludf.DUMMYFUNCTION("""COMPUTED_VALUE"""),"satheeshkumars@bitsathy.ac.in")</f>
        <v>satheeshkumars@bitsathy.ac.in</v>
      </c>
    </row>
    <row r="98" ht="49.5" customHeight="1">
      <c r="A98" s="121" t="str">
        <f>IFERROR(__xludf.DUMMYFUNCTION("""COMPUTED_VALUE"""),"AIDS")</f>
        <v>AIDS</v>
      </c>
      <c r="B98" s="121" t="str">
        <f>IFERROR(__xludf.DUMMYFUNCTION("""COMPUTED_VALUE"""),"S4")</f>
        <v>S4</v>
      </c>
      <c r="C98" s="121" t="str">
        <f>IFERROR(__xludf.DUMMYFUNCTION("""COMPUTED_VALUE"""),"CORE")</f>
        <v>CORE</v>
      </c>
      <c r="D98" s="121" t="str">
        <f>IFERROR(__xludf.DUMMYFUNCTION("""COMPUTED_VALUE"""),"22AI405")</f>
        <v>22AI405</v>
      </c>
      <c r="E98" s="131" t="str">
        <f>IFERROR(__xludf.DUMMYFUNCTION("""COMPUTED_VALUE"""),"DATABASE MANAGEMENT SYSTEM")</f>
        <v>DATABASE MANAGEMENT SYSTEM</v>
      </c>
      <c r="F98" s="121" t="str">
        <f>IFERROR(__xludf.DUMMYFUNCTION("""COMPUTED_VALUE"""),"THEORY WITH LAB")</f>
        <v>THEORY WITH LAB</v>
      </c>
      <c r="G98" s="121">
        <f>IFERROR(__xludf.DUMMYFUNCTION("""COMPUTED_VALUE"""),3.0)</f>
        <v>3</v>
      </c>
      <c r="H98" s="121">
        <f>IFERROR(__xludf.DUMMYFUNCTION("""COMPUTED_VALUE"""),0.0)</f>
        <v>0</v>
      </c>
      <c r="I98" s="121">
        <f>IFERROR(__xludf.DUMMYFUNCTION("""COMPUTED_VALUE"""),2.0)</f>
        <v>2</v>
      </c>
      <c r="J98" s="121">
        <f>IFERROR(__xludf.DUMMYFUNCTION("""COMPUTED_VALUE"""),4.0)</f>
        <v>4</v>
      </c>
      <c r="K98" s="132" t="str">
        <f>IFERROR(__xludf.DUMMYFUNCTION("""COMPUTED_VALUE"""),"AD10931")</f>
        <v>AD10931</v>
      </c>
      <c r="L98" s="121" t="str">
        <f>IFERROR(__xludf.DUMMYFUNCTION("""COMPUTED_VALUE"""),"Mr.BALASAMY K")</f>
        <v>Mr.BALASAMY K</v>
      </c>
      <c r="M98" s="121" t="str">
        <f>IFERROR(__xludf.DUMMYFUNCTION("""COMPUTED_VALUE"""),"balasamyk@bitsathy.ac.in")</f>
        <v>balasamyk@bitsathy.ac.in</v>
      </c>
    </row>
    <row r="99" ht="49.5" customHeight="1">
      <c r="A99" s="121" t="str">
        <f>IFERROR(__xludf.DUMMYFUNCTION("""COMPUTED_VALUE"""),"AIDS")</f>
        <v>AIDS</v>
      </c>
      <c r="B99" s="121" t="str">
        <f>IFERROR(__xludf.DUMMYFUNCTION("""COMPUTED_VALUE"""),"S4")</f>
        <v>S4</v>
      </c>
      <c r="C99" s="121" t="str">
        <f>IFERROR(__xludf.DUMMYFUNCTION("""COMPUTED_VALUE"""),"ELECTIVE 1")</f>
        <v>ELECTIVE 1</v>
      </c>
      <c r="D99" s="121" t="str">
        <f>IFERROR(__xludf.DUMMYFUNCTION("""COMPUTED_VALUE"""),"22AI043")</f>
        <v>22AI043</v>
      </c>
      <c r="E99" s="131" t="str">
        <f>IFERROR(__xludf.DUMMYFUNCTION("""COMPUTED_VALUE"""),"PYTHON FOR DATA SCIENCE")</f>
        <v>PYTHON FOR DATA SCIENCE</v>
      </c>
      <c r="F99" s="121" t="str">
        <f>IFERROR(__xludf.DUMMYFUNCTION("""COMPUTED_VALUE"""),"THEORY")</f>
        <v>THEORY</v>
      </c>
      <c r="G99" s="121">
        <f>IFERROR(__xludf.DUMMYFUNCTION("""COMPUTED_VALUE"""),3.0)</f>
        <v>3</v>
      </c>
      <c r="H99" s="121">
        <f>IFERROR(__xludf.DUMMYFUNCTION("""COMPUTED_VALUE"""),0.0)</f>
        <v>0</v>
      </c>
      <c r="I99" s="121">
        <f>IFERROR(__xludf.DUMMYFUNCTION("""COMPUTED_VALUE"""),0.0)</f>
        <v>0</v>
      </c>
      <c r="J99" s="121">
        <f>IFERROR(__xludf.DUMMYFUNCTION("""COMPUTED_VALUE"""),3.0)</f>
        <v>3</v>
      </c>
      <c r="K99" s="132" t="str">
        <f>IFERROR(__xludf.DUMMYFUNCTION("""COMPUTED_VALUE"""),"AD1444")</f>
        <v>AD1444</v>
      </c>
      <c r="L99" s="121" t="str">
        <f>IFERROR(__xludf.DUMMYFUNCTION("""COMPUTED_VALUE"""),"Dr.GOMATHI R")</f>
        <v>Dr.GOMATHI R</v>
      </c>
      <c r="M99" s="121" t="str">
        <f>IFERROR(__xludf.DUMMYFUNCTION("""COMPUTED_VALUE"""),"gomathir@bitsathy.ac.in")</f>
        <v>gomathir@bitsathy.ac.in</v>
      </c>
    </row>
    <row r="100" ht="49.5" customHeight="1">
      <c r="A100" s="121" t="str">
        <f>IFERROR(__xludf.DUMMYFUNCTION("""COMPUTED_VALUE"""),"AIDS")</f>
        <v>AIDS</v>
      </c>
      <c r="B100" s="121" t="str">
        <f>IFERROR(__xludf.DUMMYFUNCTION("""COMPUTED_VALUE"""),"S4")</f>
        <v>S4</v>
      </c>
      <c r="C100" s="121" t="str">
        <f>IFERROR(__xludf.DUMMYFUNCTION("""COMPUTED_VALUE"""),"ELECTIVE 1")</f>
        <v>ELECTIVE 1</v>
      </c>
      <c r="D100" s="121" t="str">
        <f>IFERROR(__xludf.DUMMYFUNCTION("""COMPUTED_VALUE"""),"22AI043")</f>
        <v>22AI043</v>
      </c>
      <c r="E100" s="131" t="str">
        <f>IFERROR(__xludf.DUMMYFUNCTION("""COMPUTED_VALUE"""),"PYTHON FOR DATA SCIENCE")</f>
        <v>PYTHON FOR DATA SCIENCE</v>
      </c>
      <c r="F100" s="121" t="str">
        <f>IFERROR(__xludf.DUMMYFUNCTION("""COMPUTED_VALUE"""),"THEORY")</f>
        <v>THEORY</v>
      </c>
      <c r="G100" s="121">
        <f>IFERROR(__xludf.DUMMYFUNCTION("""COMPUTED_VALUE"""),3.0)</f>
        <v>3</v>
      </c>
      <c r="H100" s="121">
        <f>IFERROR(__xludf.DUMMYFUNCTION("""COMPUTED_VALUE"""),0.0)</f>
        <v>0</v>
      </c>
      <c r="I100" s="121">
        <f>IFERROR(__xludf.DUMMYFUNCTION("""COMPUTED_VALUE"""),0.0)</f>
        <v>0</v>
      </c>
      <c r="J100" s="121">
        <f>IFERROR(__xludf.DUMMYFUNCTION("""COMPUTED_VALUE"""),3.0)</f>
        <v>3</v>
      </c>
      <c r="K100" s="132" t="str">
        <f>IFERROR(__xludf.DUMMYFUNCTION("""COMPUTED_VALUE"""),"AD11111")</f>
        <v>AD11111</v>
      </c>
      <c r="L100" s="121" t="str">
        <f>IFERROR(__xludf.DUMMYFUNCTION("""COMPUTED_VALUE"""),"Ms.SURIYA V")</f>
        <v>Ms.SURIYA V</v>
      </c>
      <c r="M100" s="121" t="str">
        <f>IFERROR(__xludf.DUMMYFUNCTION("""COMPUTED_VALUE"""),"suriya@bitsathy.ac.in")</f>
        <v>suriya@bitsathy.ac.in</v>
      </c>
    </row>
    <row r="101" ht="49.5" customHeight="1">
      <c r="A101" s="121" t="str">
        <f>IFERROR(__xludf.DUMMYFUNCTION("""COMPUTED_VALUE"""),"AIDS")</f>
        <v>AIDS</v>
      </c>
      <c r="B101" s="121" t="str">
        <f>IFERROR(__xludf.DUMMYFUNCTION("""COMPUTED_VALUE"""),"S4")</f>
        <v>S4</v>
      </c>
      <c r="C101" s="121" t="str">
        <f>IFERROR(__xludf.DUMMYFUNCTION("""COMPUTED_VALUE"""),"ELECTIVE 1")</f>
        <v>ELECTIVE 1</v>
      </c>
      <c r="D101" s="121" t="str">
        <f>IFERROR(__xludf.DUMMYFUNCTION("""COMPUTED_VALUE"""),"22AI002")</f>
        <v>22AI002</v>
      </c>
      <c r="E101" s="131" t="str">
        <f>IFERROR(__xludf.DUMMYFUNCTION("""COMPUTED_VALUE"""),"UI AND UX DESIGN")</f>
        <v>UI AND UX DESIGN</v>
      </c>
      <c r="F101" s="121" t="str">
        <f>IFERROR(__xludf.DUMMYFUNCTION("""COMPUTED_VALUE"""),"THEORY")</f>
        <v>THEORY</v>
      </c>
      <c r="G101" s="121">
        <f>IFERROR(__xludf.DUMMYFUNCTION("""COMPUTED_VALUE"""),3.0)</f>
        <v>3</v>
      </c>
      <c r="H101" s="121">
        <f>IFERROR(__xludf.DUMMYFUNCTION("""COMPUTED_VALUE"""),0.0)</f>
        <v>0</v>
      </c>
      <c r="I101" s="121">
        <f>IFERROR(__xludf.DUMMYFUNCTION("""COMPUTED_VALUE"""),0.0)</f>
        <v>0</v>
      </c>
      <c r="J101" s="121">
        <f>IFERROR(__xludf.DUMMYFUNCTION("""COMPUTED_VALUE"""),3.0)</f>
        <v>3</v>
      </c>
      <c r="K101" s="132" t="str">
        <f>IFERROR(__xludf.DUMMYFUNCTION("""COMPUTED_VALUE"""),"AD1108")</f>
        <v>AD1108</v>
      </c>
      <c r="L101" s="121" t="str">
        <f>IFERROR(__xludf.DUMMYFUNCTION("""COMPUTED_VALUE"""),"Dr.SUNDARA MURTHY S")</f>
        <v>Dr.SUNDARA MURTHY S</v>
      </c>
      <c r="M101" s="121" t="str">
        <f>IFERROR(__xludf.DUMMYFUNCTION("""COMPUTED_VALUE"""),"sundaramurthys@bitsathy.ac.in")</f>
        <v>sundaramurthys@bitsathy.ac.in</v>
      </c>
    </row>
    <row r="102" ht="49.5" customHeight="1">
      <c r="A102" s="121" t="str">
        <f>IFERROR(__xludf.DUMMYFUNCTION("""COMPUTED_VALUE"""),"AIDS")</f>
        <v>AIDS</v>
      </c>
      <c r="B102" s="121" t="str">
        <f>IFERROR(__xludf.DUMMYFUNCTION("""COMPUTED_VALUE"""),"S4")</f>
        <v>S4</v>
      </c>
      <c r="C102" s="121" t="str">
        <f>IFERROR(__xludf.DUMMYFUNCTION("""COMPUTED_VALUE"""),"ELECTIVE 1")</f>
        <v>ELECTIVE 1</v>
      </c>
      <c r="D102" s="121" t="str">
        <f>IFERROR(__xludf.DUMMYFUNCTION("""COMPUTED_VALUE"""),"22AI002")</f>
        <v>22AI002</v>
      </c>
      <c r="E102" s="131" t="str">
        <f>IFERROR(__xludf.DUMMYFUNCTION("""COMPUTED_VALUE"""),"UI AND UX DESIGN")</f>
        <v>UI AND UX DESIGN</v>
      </c>
      <c r="F102" s="121" t="str">
        <f>IFERROR(__xludf.DUMMYFUNCTION("""COMPUTED_VALUE"""),"THEORY")</f>
        <v>THEORY</v>
      </c>
      <c r="G102" s="121">
        <f>IFERROR(__xludf.DUMMYFUNCTION("""COMPUTED_VALUE"""),3.0)</f>
        <v>3</v>
      </c>
      <c r="H102" s="121">
        <f>IFERROR(__xludf.DUMMYFUNCTION("""COMPUTED_VALUE"""),0.0)</f>
        <v>0</v>
      </c>
      <c r="I102" s="121">
        <f>IFERROR(__xludf.DUMMYFUNCTION("""COMPUTED_VALUE"""),0.0)</f>
        <v>0</v>
      </c>
      <c r="J102" s="121">
        <f>IFERROR(__xludf.DUMMYFUNCTION("""COMPUTED_VALUE"""),3.0)</f>
        <v>3</v>
      </c>
      <c r="K102" s="132" t="str">
        <f>IFERROR(__xludf.DUMMYFUNCTION("""COMPUTED_VALUE"""),"AD11009")</f>
        <v>AD11009</v>
      </c>
      <c r="L102" s="121" t="str">
        <f>IFERROR(__xludf.DUMMYFUNCTION("""COMPUTED_VALUE"""),"Mrs.DIVYABARATHI P")</f>
        <v>Mrs.DIVYABARATHI P</v>
      </c>
      <c r="M102" s="121" t="str">
        <f>IFERROR(__xludf.DUMMYFUNCTION("""COMPUTED_VALUE"""),"divyabarathip@bitsathy.ac.in")</f>
        <v>divyabarathip@bitsathy.ac.in</v>
      </c>
    </row>
    <row r="103" ht="49.5" customHeight="1">
      <c r="A103" s="121" t="str">
        <f>IFERROR(__xludf.DUMMYFUNCTION("""COMPUTED_VALUE"""),"AIDS")</f>
        <v>AIDS</v>
      </c>
      <c r="B103" s="121" t="str">
        <f>IFERROR(__xludf.DUMMYFUNCTION("""COMPUTED_VALUE"""),"S4")</f>
        <v>S4</v>
      </c>
      <c r="C103" s="121" t="str">
        <f>IFERROR(__xludf.DUMMYFUNCTION("""COMPUTED_VALUE"""),"CORE")</f>
        <v>CORE</v>
      </c>
      <c r="D103" s="121" t="str">
        <f>IFERROR(__xludf.DUMMYFUNCTION("""COMPUTED_VALUE"""),"22HS007")</f>
        <v>22HS007</v>
      </c>
      <c r="E103" s="131" t="str">
        <f>IFERROR(__xludf.DUMMYFUNCTION("""COMPUTED_VALUE"""),"ENVIRONMENTAL SCIENCE")</f>
        <v>ENVIRONMENTAL SCIENCE</v>
      </c>
      <c r="F103" s="121" t="str">
        <f>IFERROR(__xludf.DUMMYFUNCTION("""COMPUTED_VALUE"""),"LAB")</f>
        <v>LAB</v>
      </c>
      <c r="G103" s="121">
        <f>IFERROR(__xludf.DUMMYFUNCTION("""COMPUTED_VALUE"""),2.0)</f>
        <v>2</v>
      </c>
      <c r="H103" s="121">
        <f>IFERROR(__xludf.DUMMYFUNCTION("""COMPUTED_VALUE"""),0.0)</f>
        <v>0</v>
      </c>
      <c r="I103" s="121">
        <f>IFERROR(__xludf.DUMMYFUNCTION("""COMPUTED_VALUE"""),0.0)</f>
        <v>0</v>
      </c>
      <c r="J103" s="121">
        <f>IFERROR(__xludf.DUMMYFUNCTION("""COMPUTED_VALUE"""),2.0)</f>
        <v>2</v>
      </c>
      <c r="K103" s="132" t="str">
        <f>IFERROR(__xludf.DUMMYFUNCTION("""COMPUTED_VALUE"""),"CH1894")</f>
        <v>CH1894</v>
      </c>
      <c r="L103" s="121" t="str">
        <f>IFERROR(__xludf.DUMMYFUNCTION("""COMPUTED_VALUE"""),"Dr.MALATHI MAHALINGAM")</f>
        <v>Dr.MALATHI MAHALINGAM</v>
      </c>
      <c r="M103" s="121" t="str">
        <f>IFERROR(__xludf.DUMMYFUNCTION("""COMPUTED_VALUE"""),"malathimahalingamm@bitsathy.ac.in")</f>
        <v>malathimahalingamm@bitsathy.ac.in</v>
      </c>
    </row>
    <row r="104" ht="49.5" customHeight="1">
      <c r="A104" s="121" t="str">
        <f>IFERROR(__xludf.DUMMYFUNCTION("""COMPUTED_VALUE"""),"AIDS")</f>
        <v>AIDS</v>
      </c>
      <c r="B104" s="121" t="str">
        <f>IFERROR(__xludf.DUMMYFUNCTION("""COMPUTED_VALUE"""),"S4")</f>
        <v>S4</v>
      </c>
      <c r="C104" s="121" t="str">
        <f>IFERROR(__xludf.DUMMYFUNCTION("""COMPUTED_VALUE"""),"CORE")</f>
        <v>CORE</v>
      </c>
      <c r="D104" s="121" t="str">
        <f>IFERROR(__xludf.DUMMYFUNCTION("""COMPUTED_VALUE"""),"22HS007")</f>
        <v>22HS007</v>
      </c>
      <c r="E104" s="131" t="str">
        <f>IFERROR(__xludf.DUMMYFUNCTION("""COMPUTED_VALUE"""),"ENVIRONMENTAL SCIENCE")</f>
        <v>ENVIRONMENTAL SCIENCE</v>
      </c>
      <c r="F104" s="121" t="str">
        <f>IFERROR(__xludf.DUMMYFUNCTION("""COMPUTED_VALUE"""),"LAB")</f>
        <v>LAB</v>
      </c>
      <c r="G104" s="121">
        <f>IFERROR(__xludf.DUMMYFUNCTION("""COMPUTED_VALUE"""),2.0)</f>
        <v>2</v>
      </c>
      <c r="H104" s="121">
        <f>IFERROR(__xludf.DUMMYFUNCTION("""COMPUTED_VALUE"""),0.0)</f>
        <v>0</v>
      </c>
      <c r="I104" s="121">
        <f>IFERROR(__xludf.DUMMYFUNCTION("""COMPUTED_VALUE"""),0.0)</f>
        <v>0</v>
      </c>
      <c r="J104" s="121">
        <f>IFERROR(__xludf.DUMMYFUNCTION("""COMPUTED_VALUE"""),2.0)</f>
        <v>2</v>
      </c>
      <c r="K104" s="132" t="str">
        <f>IFERROR(__xludf.DUMMYFUNCTION("""COMPUTED_VALUE"""),"CH1557")</f>
        <v>CH1557</v>
      </c>
      <c r="L104" s="121" t="str">
        <f>IFERROR(__xludf.DUMMYFUNCTION("""COMPUTED_VALUE"""),"Dr.VIJAYANAND P S")</f>
        <v>Dr.VIJAYANAND P S</v>
      </c>
      <c r="M104" s="121" t="str">
        <f>IFERROR(__xludf.DUMMYFUNCTION("""COMPUTED_VALUE"""),"vijayanandps@bitsathy.ac.in")</f>
        <v>vijayanandps@bitsathy.ac.in</v>
      </c>
    </row>
    <row r="105" ht="49.5" customHeight="1">
      <c r="A105" s="121" t="str">
        <f>IFERROR(__xludf.DUMMYFUNCTION("""COMPUTED_VALUE"""),"AIDS")</f>
        <v>AIDS</v>
      </c>
      <c r="B105" s="121" t="str">
        <f>IFERROR(__xludf.DUMMYFUNCTION("""COMPUTED_VALUE"""),"S4")</f>
        <v>S4</v>
      </c>
      <c r="C105" s="121" t="str">
        <f>IFERROR(__xludf.DUMMYFUNCTION("""COMPUTED_VALUE"""),"CORE")</f>
        <v>CORE</v>
      </c>
      <c r="D105" s="121" t="str">
        <f>IFERROR(__xludf.DUMMYFUNCTION("""COMPUTED_VALUE"""),"22HS007")</f>
        <v>22HS007</v>
      </c>
      <c r="E105" s="131" t="str">
        <f>IFERROR(__xludf.DUMMYFUNCTION("""COMPUTED_VALUE"""),"ENVIRONMENTAL SCIENCE")</f>
        <v>ENVIRONMENTAL SCIENCE</v>
      </c>
      <c r="F105" s="121" t="str">
        <f>IFERROR(__xludf.DUMMYFUNCTION("""COMPUTED_VALUE"""),"LAB")</f>
        <v>LAB</v>
      </c>
      <c r="G105" s="121">
        <f>IFERROR(__xludf.DUMMYFUNCTION("""COMPUTED_VALUE"""),2.0)</f>
        <v>2</v>
      </c>
      <c r="H105" s="121">
        <f>IFERROR(__xludf.DUMMYFUNCTION("""COMPUTED_VALUE"""),0.0)</f>
        <v>0</v>
      </c>
      <c r="I105" s="121">
        <f>IFERROR(__xludf.DUMMYFUNCTION("""COMPUTED_VALUE"""),0.0)</f>
        <v>0</v>
      </c>
      <c r="J105" s="121">
        <f>IFERROR(__xludf.DUMMYFUNCTION("""COMPUTED_VALUE"""),2.0)</f>
        <v>2</v>
      </c>
      <c r="K105" s="132" t="str">
        <f>IFERROR(__xludf.DUMMYFUNCTION("""COMPUTED_VALUE"""),"CH10957")</f>
        <v>CH10957</v>
      </c>
      <c r="L105" s="121" t="str">
        <f>IFERROR(__xludf.DUMMYFUNCTION("""COMPUTED_VALUE"""),"Dr.DEEPHA V")</f>
        <v>Dr.DEEPHA V</v>
      </c>
      <c r="M105" s="121" t="str">
        <f>IFERROR(__xludf.DUMMYFUNCTION("""COMPUTED_VALUE"""),"deephav@bitsathy.ac.in")</f>
        <v>deephav@bitsathy.ac.in</v>
      </c>
    </row>
    <row r="106" ht="49.5" customHeight="1">
      <c r="A106" s="121" t="str">
        <f>IFERROR(__xludf.DUMMYFUNCTION("""COMPUTED_VALUE"""),"AIDS")</f>
        <v>AIDS</v>
      </c>
      <c r="B106" s="121" t="str">
        <f>IFERROR(__xludf.DUMMYFUNCTION("""COMPUTED_VALUE"""),"S4")</f>
        <v>S4</v>
      </c>
      <c r="C106" s="121" t="str">
        <f>IFERROR(__xludf.DUMMYFUNCTION("""COMPUTED_VALUE"""),"CORE")</f>
        <v>CORE</v>
      </c>
      <c r="D106" s="121" t="str">
        <f>IFERROR(__xludf.DUMMYFUNCTION("""COMPUTED_VALUE"""),"22HS007")</f>
        <v>22HS007</v>
      </c>
      <c r="E106" s="131" t="str">
        <f>IFERROR(__xludf.DUMMYFUNCTION("""COMPUTED_VALUE"""),"ENVIRONMENTAL SCIENCE")</f>
        <v>ENVIRONMENTAL SCIENCE</v>
      </c>
      <c r="F106" s="121" t="str">
        <f>IFERROR(__xludf.DUMMYFUNCTION("""COMPUTED_VALUE"""),"LAB")</f>
        <v>LAB</v>
      </c>
      <c r="G106" s="121">
        <f>IFERROR(__xludf.DUMMYFUNCTION("""COMPUTED_VALUE"""),2.0)</f>
        <v>2</v>
      </c>
      <c r="H106" s="121">
        <f>IFERROR(__xludf.DUMMYFUNCTION("""COMPUTED_VALUE"""),0.0)</f>
        <v>0</v>
      </c>
      <c r="I106" s="121">
        <f>IFERROR(__xludf.DUMMYFUNCTION("""COMPUTED_VALUE"""),0.0)</f>
        <v>0</v>
      </c>
      <c r="J106" s="121">
        <f>IFERROR(__xludf.DUMMYFUNCTION("""COMPUTED_VALUE"""),2.0)</f>
        <v>2</v>
      </c>
      <c r="K106" s="132" t="str">
        <f>IFERROR(__xludf.DUMMYFUNCTION("""COMPUTED_VALUE"""),"CH11127")</f>
        <v>CH11127</v>
      </c>
      <c r="L106" s="121" t="str">
        <f>IFERROR(__xludf.DUMMYFUNCTION("""COMPUTED_VALUE"""),"Dr.MANIGANDAN S")</f>
        <v>Dr.MANIGANDAN S</v>
      </c>
      <c r="M106" s="121" t="str">
        <f>IFERROR(__xludf.DUMMYFUNCTION("""COMPUTED_VALUE"""),"manigandan@bitsathy.ac.in")</f>
        <v>manigandan@bitsathy.ac.in</v>
      </c>
    </row>
    <row r="107" ht="49.5" customHeight="1">
      <c r="A107" s="121" t="str">
        <f>IFERROR(__xludf.DUMMYFUNCTION("""COMPUTED_VALUE"""),"AIDS")</f>
        <v>AIDS</v>
      </c>
      <c r="B107" s="121" t="str">
        <f>IFERROR(__xludf.DUMMYFUNCTION("""COMPUTED_VALUE"""),"S4")</f>
        <v>S4</v>
      </c>
      <c r="C107" s="121" t="str">
        <f>IFERROR(__xludf.DUMMYFUNCTION("""COMPUTED_VALUE"""),"CORE")</f>
        <v>CORE</v>
      </c>
      <c r="D107" s="121" t="str">
        <f>IFERROR(__xludf.DUMMYFUNCTION("""COMPUTED_VALUE"""),"22HS008")</f>
        <v>22HS008</v>
      </c>
      <c r="E107" s="131" t="str">
        <f>IFERROR(__xludf.DUMMYFUNCTION("""COMPUTED_VALUE"""),"ADVANCED ENGLISH AND TECHNICAL EXPRESSION ")</f>
        <v>ADVANCED ENGLISH AND TECHNICAL EXPRESSION </v>
      </c>
      <c r="F107" s="121" t="str">
        <f>IFERROR(__xludf.DUMMYFUNCTION("""COMPUTED_VALUE"""),"LAB")</f>
        <v>LAB</v>
      </c>
      <c r="G107" s="121">
        <f>IFERROR(__xludf.DUMMYFUNCTION("""COMPUTED_VALUE"""),0.0)</f>
        <v>0</v>
      </c>
      <c r="H107" s="121">
        <f>IFERROR(__xludf.DUMMYFUNCTION("""COMPUTED_VALUE"""),0.0)</f>
        <v>0</v>
      </c>
      <c r="I107" s="121">
        <f>IFERROR(__xludf.DUMMYFUNCTION("""COMPUTED_VALUE"""),2.0)</f>
        <v>2</v>
      </c>
      <c r="J107" s="121">
        <f>IFERROR(__xludf.DUMMYFUNCTION("""COMPUTED_VALUE"""),1.0)</f>
        <v>1</v>
      </c>
      <c r="K107" s="132" t="str">
        <f>IFERROR(__xludf.DUMMYFUNCTION("""COMPUTED_VALUE"""),"HU11125")</f>
        <v>HU11125</v>
      </c>
      <c r="L107" s="121" t="str">
        <f>IFERROR(__xludf.DUMMYFUNCTION("""COMPUTED_VALUE"""),"Dr.GAYATHRI G M")</f>
        <v>Dr.GAYATHRI G M</v>
      </c>
      <c r="M107" s="121" t="str">
        <f>IFERROR(__xludf.DUMMYFUNCTION("""COMPUTED_VALUE"""),"gayathri@bitsathy.ac.in")</f>
        <v>gayathri@bitsathy.ac.in</v>
      </c>
    </row>
    <row r="108" ht="49.5" customHeight="1">
      <c r="A108" s="121" t="str">
        <f>IFERROR(__xludf.DUMMYFUNCTION("""COMPUTED_VALUE"""),"AIDS")</f>
        <v>AIDS</v>
      </c>
      <c r="B108" s="121" t="str">
        <f>IFERROR(__xludf.DUMMYFUNCTION("""COMPUTED_VALUE"""),"S4")</f>
        <v>S4</v>
      </c>
      <c r="C108" s="121" t="str">
        <f>IFERROR(__xludf.DUMMYFUNCTION("""COMPUTED_VALUE"""),"CORE")</f>
        <v>CORE</v>
      </c>
      <c r="D108" s="121" t="str">
        <f>IFERROR(__xludf.DUMMYFUNCTION("""COMPUTED_VALUE"""),"22HS008")</f>
        <v>22HS008</v>
      </c>
      <c r="E108" s="131" t="str">
        <f>IFERROR(__xludf.DUMMYFUNCTION("""COMPUTED_VALUE"""),"ADVANCED ENGLISH AND TECHNICAL EXPRESSION ")</f>
        <v>ADVANCED ENGLISH AND TECHNICAL EXPRESSION </v>
      </c>
      <c r="F108" s="121" t="str">
        <f>IFERROR(__xludf.DUMMYFUNCTION("""COMPUTED_VALUE"""),"LAB")</f>
        <v>LAB</v>
      </c>
      <c r="G108" s="121">
        <f>IFERROR(__xludf.DUMMYFUNCTION("""COMPUTED_VALUE"""),0.0)</f>
        <v>0</v>
      </c>
      <c r="H108" s="121">
        <f>IFERROR(__xludf.DUMMYFUNCTION("""COMPUTED_VALUE"""),0.0)</f>
        <v>0</v>
      </c>
      <c r="I108" s="121">
        <f>IFERROR(__xludf.DUMMYFUNCTION("""COMPUTED_VALUE"""),2.0)</f>
        <v>2</v>
      </c>
      <c r="J108" s="121">
        <f>IFERROR(__xludf.DUMMYFUNCTION("""COMPUTED_VALUE"""),1.0)</f>
        <v>1</v>
      </c>
      <c r="K108" s="132" t="str">
        <f>IFERROR(__xludf.DUMMYFUNCTION("""COMPUTED_VALUE"""),"HU11139")</f>
        <v>HU11139</v>
      </c>
      <c r="L108" s="121" t="str">
        <f>IFERROR(__xludf.DUMMYFUNCTION("""COMPUTED_VALUE"""),"Dr.ASLIN JERUSHA D")</f>
        <v>Dr.ASLIN JERUSHA D</v>
      </c>
      <c r="M108" s="121" t="str">
        <f>IFERROR(__xludf.DUMMYFUNCTION("""COMPUTED_VALUE"""),"aslinjerusha@bitsathy.ac.in")</f>
        <v>aslinjerusha@bitsathy.ac.in</v>
      </c>
    </row>
    <row r="109" ht="49.5" customHeight="1">
      <c r="A109" s="121" t="str">
        <f>IFERROR(__xludf.DUMMYFUNCTION("""COMPUTED_VALUE"""),"AIDS")</f>
        <v>AIDS</v>
      </c>
      <c r="B109" s="121" t="str">
        <f>IFERROR(__xludf.DUMMYFUNCTION("""COMPUTED_VALUE"""),"S4")</f>
        <v>S4</v>
      </c>
      <c r="C109" s="121" t="str">
        <f>IFERROR(__xludf.DUMMYFUNCTION("""COMPUTED_VALUE"""),"CORE")</f>
        <v>CORE</v>
      </c>
      <c r="D109" s="121" t="str">
        <f>IFERROR(__xludf.DUMMYFUNCTION("""COMPUTED_VALUE"""),"22HS008")</f>
        <v>22HS008</v>
      </c>
      <c r="E109" s="131" t="str">
        <f>IFERROR(__xludf.DUMMYFUNCTION("""COMPUTED_VALUE"""),"ADVANCED ENGLISH AND TECHNICAL EXPRESSION ")</f>
        <v>ADVANCED ENGLISH AND TECHNICAL EXPRESSION </v>
      </c>
      <c r="F109" s="121" t="str">
        <f>IFERROR(__xludf.DUMMYFUNCTION("""COMPUTED_VALUE"""),"LAB")</f>
        <v>LAB</v>
      </c>
      <c r="G109" s="121">
        <f>IFERROR(__xludf.DUMMYFUNCTION("""COMPUTED_VALUE"""),0.0)</f>
        <v>0</v>
      </c>
      <c r="H109" s="121">
        <f>IFERROR(__xludf.DUMMYFUNCTION("""COMPUTED_VALUE"""),0.0)</f>
        <v>0</v>
      </c>
      <c r="I109" s="121">
        <f>IFERROR(__xludf.DUMMYFUNCTION("""COMPUTED_VALUE"""),2.0)</f>
        <v>2</v>
      </c>
      <c r="J109" s="121">
        <f>IFERROR(__xludf.DUMMYFUNCTION("""COMPUTED_VALUE"""),1.0)</f>
        <v>1</v>
      </c>
      <c r="K109" s="132" t="str">
        <f>IFERROR(__xludf.DUMMYFUNCTION("""COMPUTED_VALUE"""),"HU11141")</f>
        <v>HU11141</v>
      </c>
      <c r="L109" s="121" t="str">
        <f>IFERROR(__xludf.DUMMYFUNCTION("""COMPUTED_VALUE"""),"Dr.EZHIL G")</f>
        <v>Dr.EZHIL G</v>
      </c>
      <c r="M109" s="121" t="str">
        <f>IFERROR(__xludf.DUMMYFUNCTION("""COMPUTED_VALUE"""),"ezhil@bitsathy.ac.in")</f>
        <v>ezhil@bitsathy.ac.in</v>
      </c>
    </row>
    <row r="110" ht="49.5" customHeight="1">
      <c r="A110" s="121" t="str">
        <f>IFERROR(__xludf.DUMMYFUNCTION("""COMPUTED_VALUE"""),"AIDS")</f>
        <v>AIDS</v>
      </c>
      <c r="B110" s="121" t="str">
        <f>IFERROR(__xludf.DUMMYFUNCTION("""COMPUTED_VALUE"""),"S4")</f>
        <v>S4</v>
      </c>
      <c r="C110" s="121" t="str">
        <f>IFERROR(__xludf.DUMMYFUNCTION("""COMPUTED_VALUE"""),"CORE")</f>
        <v>CORE</v>
      </c>
      <c r="D110" s="121" t="str">
        <f>IFERROR(__xludf.DUMMYFUNCTION("""COMPUTED_VALUE"""),"22HS008")</f>
        <v>22HS008</v>
      </c>
      <c r="E110" s="131" t="str">
        <f>IFERROR(__xludf.DUMMYFUNCTION("""COMPUTED_VALUE"""),"ADVANCED ENGLISH AND TECHNICAL EXPRESSION ")</f>
        <v>ADVANCED ENGLISH AND TECHNICAL EXPRESSION </v>
      </c>
      <c r="F110" s="121" t="str">
        <f>IFERROR(__xludf.DUMMYFUNCTION("""COMPUTED_VALUE"""),"LAB")</f>
        <v>LAB</v>
      </c>
      <c r="G110" s="121">
        <f>IFERROR(__xludf.DUMMYFUNCTION("""COMPUTED_VALUE"""),0.0)</f>
        <v>0</v>
      </c>
      <c r="H110" s="121">
        <f>IFERROR(__xludf.DUMMYFUNCTION("""COMPUTED_VALUE"""),0.0)</f>
        <v>0</v>
      </c>
      <c r="I110" s="121">
        <f>IFERROR(__xludf.DUMMYFUNCTION("""COMPUTED_VALUE"""),2.0)</f>
        <v>2</v>
      </c>
      <c r="J110" s="121">
        <f>IFERROR(__xludf.DUMMYFUNCTION("""COMPUTED_VALUE"""),1.0)</f>
        <v>1</v>
      </c>
      <c r="K110" s="132" t="str">
        <f>IFERROR(__xludf.DUMMYFUNCTION("""COMPUTED_VALUE"""),"HU11151")</f>
        <v>HU11151</v>
      </c>
      <c r="L110" s="121" t="str">
        <f>IFERROR(__xludf.DUMMYFUNCTION("""COMPUTED_VALUE"""),"Dr.NITHYA S")</f>
        <v>Dr.NITHYA S</v>
      </c>
      <c r="M110" s="121" t="str">
        <f>IFERROR(__xludf.DUMMYFUNCTION("""COMPUTED_VALUE"""),"nithyas@bitsathy.ac.in")</f>
        <v>nithyas@bitsathy.ac.in</v>
      </c>
    </row>
    <row r="111" ht="49.5" customHeight="1">
      <c r="A111" s="121" t="str">
        <f>IFERROR(__xludf.DUMMYFUNCTION("""COMPUTED_VALUE"""),"AIDS")</f>
        <v>AIDS</v>
      </c>
      <c r="B111" s="121" t="str">
        <f>IFERROR(__xludf.DUMMYFUNCTION("""COMPUTED_VALUE"""),"S6")</f>
        <v>S6</v>
      </c>
      <c r="C111" s="121" t="str">
        <f>IFERROR(__xludf.DUMMYFUNCTION("""COMPUTED_VALUE"""),"CORE")</f>
        <v>CORE</v>
      </c>
      <c r="D111" s="121" t="str">
        <f>IFERROR(__xludf.DUMMYFUNCTION("""COMPUTED_VALUE"""),"22AI601")</f>
        <v>22AI601</v>
      </c>
      <c r="E111" s="131" t="str">
        <f>IFERROR(__xludf.DUMMYFUNCTION("""COMPUTED_VALUE"""),"NATURAL LANGUAGE PROCESSING")</f>
        <v>NATURAL LANGUAGE PROCESSING</v>
      </c>
      <c r="F111" s="121" t="str">
        <f>IFERROR(__xludf.DUMMYFUNCTION("""COMPUTED_VALUE"""),"THEORY WITH LAB")</f>
        <v>THEORY WITH LAB</v>
      </c>
      <c r="G111" s="121">
        <f>IFERROR(__xludf.DUMMYFUNCTION("""COMPUTED_VALUE"""),3.0)</f>
        <v>3</v>
      </c>
      <c r="H111" s="121">
        <f>IFERROR(__xludf.DUMMYFUNCTION("""COMPUTED_VALUE"""),0.0)</f>
        <v>0</v>
      </c>
      <c r="I111" s="121">
        <f>IFERROR(__xludf.DUMMYFUNCTION("""COMPUTED_VALUE"""),2.0)</f>
        <v>2</v>
      </c>
      <c r="J111" s="121">
        <f>IFERROR(__xludf.DUMMYFUNCTION("""COMPUTED_VALUE"""),4.0)</f>
        <v>4</v>
      </c>
      <c r="K111" s="132" t="str">
        <f>IFERROR(__xludf.DUMMYFUNCTION("""COMPUTED_VALUE"""),"AD11042")</f>
        <v>AD11042</v>
      </c>
      <c r="L111" s="121" t="str">
        <f>IFERROR(__xludf.DUMMYFUNCTION("""COMPUTED_VALUE"""),"Mrs.JEEVITHA S V")</f>
        <v>Mrs.JEEVITHA S V</v>
      </c>
      <c r="M111" s="121" t="str">
        <f>IFERROR(__xludf.DUMMYFUNCTION("""COMPUTED_VALUE"""),"jeevithasv@bitsathy.ac.in")</f>
        <v>jeevithasv@bitsathy.ac.in</v>
      </c>
    </row>
    <row r="112" ht="49.5" customHeight="1">
      <c r="A112" s="121" t="str">
        <f>IFERROR(__xludf.DUMMYFUNCTION("""COMPUTED_VALUE"""),"AIDS")</f>
        <v>AIDS</v>
      </c>
      <c r="B112" s="121" t="str">
        <f>IFERROR(__xludf.DUMMYFUNCTION("""COMPUTED_VALUE"""),"S6")</f>
        <v>S6</v>
      </c>
      <c r="C112" s="121" t="str">
        <f>IFERROR(__xludf.DUMMYFUNCTION("""COMPUTED_VALUE"""),"CORE")</f>
        <v>CORE</v>
      </c>
      <c r="D112" s="121" t="str">
        <f>IFERROR(__xludf.DUMMYFUNCTION("""COMPUTED_VALUE"""),"22AI601")</f>
        <v>22AI601</v>
      </c>
      <c r="E112" s="131" t="str">
        <f>IFERROR(__xludf.DUMMYFUNCTION("""COMPUTED_VALUE"""),"NATURAL LANGUAGE PROCESSING")</f>
        <v>NATURAL LANGUAGE PROCESSING</v>
      </c>
      <c r="F112" s="121" t="str">
        <f>IFERROR(__xludf.DUMMYFUNCTION("""COMPUTED_VALUE"""),"THEORY WITH LAB")</f>
        <v>THEORY WITH LAB</v>
      </c>
      <c r="G112" s="121">
        <f>IFERROR(__xludf.DUMMYFUNCTION("""COMPUTED_VALUE"""),3.0)</f>
        <v>3</v>
      </c>
      <c r="H112" s="121">
        <f>IFERROR(__xludf.DUMMYFUNCTION("""COMPUTED_VALUE"""),0.0)</f>
        <v>0</v>
      </c>
      <c r="I112" s="121">
        <f>IFERROR(__xludf.DUMMYFUNCTION("""COMPUTED_VALUE"""),2.0)</f>
        <v>2</v>
      </c>
      <c r="J112" s="121">
        <f>IFERROR(__xludf.DUMMYFUNCTION("""COMPUTED_VALUE"""),4.0)</f>
        <v>4</v>
      </c>
      <c r="K112" s="132" t="str">
        <f>IFERROR(__xludf.DUMMYFUNCTION("""COMPUTED_VALUE"""),"AD11164")</f>
        <v>AD11164</v>
      </c>
      <c r="L112" s="121" t="str">
        <f>IFERROR(__xludf.DUMMYFUNCTION("""COMPUTED_VALUE"""),"Mr.SASSON TAFFWIN MOSES S")</f>
        <v>Mr.SASSON TAFFWIN MOSES S</v>
      </c>
      <c r="M112" s="121" t="str">
        <f>IFERROR(__xludf.DUMMYFUNCTION("""COMPUTED_VALUE"""),"sassontaffwinmosess@bitsathy.ac.in")</f>
        <v>sassontaffwinmosess@bitsathy.ac.in</v>
      </c>
    </row>
    <row r="113" ht="49.5" customHeight="1">
      <c r="A113" s="121" t="str">
        <f>IFERROR(__xludf.DUMMYFUNCTION("""COMPUTED_VALUE"""),"AIDS")</f>
        <v>AIDS</v>
      </c>
      <c r="B113" s="121" t="str">
        <f>IFERROR(__xludf.DUMMYFUNCTION("""COMPUTED_VALUE"""),"S6")</f>
        <v>S6</v>
      </c>
      <c r="C113" s="121" t="str">
        <f>IFERROR(__xludf.DUMMYFUNCTION("""COMPUTED_VALUE"""),"CORE")</f>
        <v>CORE</v>
      </c>
      <c r="D113" s="121" t="str">
        <f>IFERROR(__xludf.DUMMYFUNCTION("""COMPUTED_VALUE"""),"22AI601")</f>
        <v>22AI601</v>
      </c>
      <c r="E113" s="131" t="str">
        <f>IFERROR(__xludf.DUMMYFUNCTION("""COMPUTED_VALUE"""),"NATURAL LANGUAGE PROCESSING")</f>
        <v>NATURAL LANGUAGE PROCESSING</v>
      </c>
      <c r="F113" s="121" t="str">
        <f>IFERROR(__xludf.DUMMYFUNCTION("""COMPUTED_VALUE"""),"THEORY WITH LAB")</f>
        <v>THEORY WITH LAB</v>
      </c>
      <c r="G113" s="121">
        <f>IFERROR(__xludf.DUMMYFUNCTION("""COMPUTED_VALUE"""),3.0)</f>
        <v>3</v>
      </c>
      <c r="H113" s="121">
        <f>IFERROR(__xludf.DUMMYFUNCTION("""COMPUTED_VALUE"""),0.0)</f>
        <v>0</v>
      </c>
      <c r="I113" s="121">
        <f>IFERROR(__xludf.DUMMYFUNCTION("""COMPUTED_VALUE"""),2.0)</f>
        <v>2</v>
      </c>
      <c r="J113" s="121">
        <f>IFERROR(__xludf.DUMMYFUNCTION("""COMPUTED_VALUE"""),4.0)</f>
        <v>4</v>
      </c>
      <c r="K113" s="132" t="str">
        <f>IFERROR(__xludf.DUMMYFUNCTION("""COMPUTED_VALUE"""),"AD11069")</f>
        <v>AD11069</v>
      </c>
      <c r="L113" s="121" t="str">
        <f>IFERROR(__xludf.DUMMYFUNCTION("""COMPUTED_VALUE"""),"Mr.PREMKUMAR C")</f>
        <v>Mr.PREMKUMAR C</v>
      </c>
      <c r="M113" s="121" t="str">
        <f>IFERROR(__xludf.DUMMYFUNCTION("""COMPUTED_VALUE"""),"premkumar@bitsathy.ac.in")</f>
        <v>premkumar@bitsathy.ac.in</v>
      </c>
    </row>
    <row r="114" ht="49.5" customHeight="1">
      <c r="A114" s="121" t="str">
        <f>IFERROR(__xludf.DUMMYFUNCTION("""COMPUTED_VALUE"""),"AIDS")</f>
        <v>AIDS</v>
      </c>
      <c r="B114" s="121" t="str">
        <f>IFERROR(__xludf.DUMMYFUNCTION("""COMPUTED_VALUE"""),"S6")</f>
        <v>S6</v>
      </c>
      <c r="C114" s="121" t="str">
        <f>IFERROR(__xludf.DUMMYFUNCTION("""COMPUTED_VALUE"""),"CORE")</f>
        <v>CORE</v>
      </c>
      <c r="D114" s="121" t="str">
        <f>IFERROR(__xludf.DUMMYFUNCTION("""COMPUTED_VALUE"""),"22AI602")</f>
        <v>22AI602</v>
      </c>
      <c r="E114" s="131" t="str">
        <f>IFERROR(__xludf.DUMMYFUNCTION("""COMPUTED_VALUE"""),"COMPUTER VISION AND DIGITAL IMAGING")</f>
        <v>COMPUTER VISION AND DIGITAL IMAGING</v>
      </c>
      <c r="F114" s="121" t="str">
        <f>IFERROR(__xludf.DUMMYFUNCTION("""COMPUTED_VALUE"""),"THEORY WITH LAB")</f>
        <v>THEORY WITH LAB</v>
      </c>
      <c r="G114" s="121">
        <f>IFERROR(__xludf.DUMMYFUNCTION("""COMPUTED_VALUE"""),3.0)</f>
        <v>3</v>
      </c>
      <c r="H114" s="121">
        <f>IFERROR(__xludf.DUMMYFUNCTION("""COMPUTED_VALUE"""),0.0)</f>
        <v>0</v>
      </c>
      <c r="I114" s="121">
        <f>IFERROR(__xludf.DUMMYFUNCTION("""COMPUTED_VALUE"""),2.0)</f>
        <v>2</v>
      </c>
      <c r="J114" s="121">
        <f>IFERROR(__xludf.DUMMYFUNCTION("""COMPUTED_VALUE"""),4.0)</f>
        <v>4</v>
      </c>
      <c r="K114" s="132" t="str">
        <f>IFERROR(__xludf.DUMMYFUNCTION("""COMPUTED_VALUE"""),"AD11009")</f>
        <v>AD11009</v>
      </c>
      <c r="L114" s="121" t="str">
        <f>IFERROR(__xludf.DUMMYFUNCTION("""COMPUTED_VALUE"""),"Mrs.DIVYABARATHI P")</f>
        <v>Mrs.DIVYABARATHI P</v>
      </c>
      <c r="M114" s="121" t="str">
        <f>IFERROR(__xludf.DUMMYFUNCTION("""COMPUTED_VALUE"""),"divyabarathip@bitsathy.ac.in")</f>
        <v>divyabarathip@bitsathy.ac.in</v>
      </c>
    </row>
    <row r="115" ht="49.5" customHeight="1">
      <c r="A115" s="121" t="str">
        <f>IFERROR(__xludf.DUMMYFUNCTION("""COMPUTED_VALUE"""),"AIDS")</f>
        <v>AIDS</v>
      </c>
      <c r="B115" s="121" t="str">
        <f>IFERROR(__xludf.DUMMYFUNCTION("""COMPUTED_VALUE"""),"S6")</f>
        <v>S6</v>
      </c>
      <c r="C115" s="121" t="str">
        <f>IFERROR(__xludf.DUMMYFUNCTION("""COMPUTED_VALUE"""),"CORE")</f>
        <v>CORE</v>
      </c>
      <c r="D115" s="121" t="str">
        <f>IFERROR(__xludf.DUMMYFUNCTION("""COMPUTED_VALUE"""),"22AI602")</f>
        <v>22AI602</v>
      </c>
      <c r="E115" s="131" t="str">
        <f>IFERROR(__xludf.DUMMYFUNCTION("""COMPUTED_VALUE"""),"COMPUTER VISION AND DIGITAL IMAGING")</f>
        <v>COMPUTER VISION AND DIGITAL IMAGING</v>
      </c>
      <c r="F115" s="121" t="str">
        <f>IFERROR(__xludf.DUMMYFUNCTION("""COMPUTED_VALUE"""),"THEORY WITH LAB")</f>
        <v>THEORY WITH LAB</v>
      </c>
      <c r="G115" s="121">
        <f>IFERROR(__xludf.DUMMYFUNCTION("""COMPUTED_VALUE"""),3.0)</f>
        <v>3</v>
      </c>
      <c r="H115" s="121">
        <f>IFERROR(__xludf.DUMMYFUNCTION("""COMPUTED_VALUE"""),0.0)</f>
        <v>0</v>
      </c>
      <c r="I115" s="121">
        <f>IFERROR(__xludf.DUMMYFUNCTION("""COMPUTED_VALUE"""),2.0)</f>
        <v>2</v>
      </c>
      <c r="J115" s="121">
        <f>IFERROR(__xludf.DUMMYFUNCTION("""COMPUTED_VALUE"""),4.0)</f>
        <v>4</v>
      </c>
      <c r="K115" s="132" t="str">
        <f>IFERROR(__xludf.DUMMYFUNCTION("""COMPUTED_VALUE"""),"AD10928")</f>
        <v>AD10928</v>
      </c>
      <c r="L115" s="121" t="str">
        <f>IFERROR(__xludf.DUMMYFUNCTION("""COMPUTED_VALUE"""),"Mrs.NISHA DEVI K")</f>
        <v>Mrs.NISHA DEVI K</v>
      </c>
      <c r="M115" s="121" t="str">
        <f>IFERROR(__xludf.DUMMYFUNCTION("""COMPUTED_VALUE"""),"nishadevik@bitsathy.ac.in")</f>
        <v>nishadevik@bitsathy.ac.in</v>
      </c>
    </row>
    <row r="116" ht="49.5" customHeight="1">
      <c r="A116" s="121" t="str">
        <f>IFERROR(__xludf.DUMMYFUNCTION("""COMPUTED_VALUE"""),"AIDS")</f>
        <v>AIDS</v>
      </c>
      <c r="B116" s="121" t="str">
        <f>IFERROR(__xludf.DUMMYFUNCTION("""COMPUTED_VALUE"""),"S6")</f>
        <v>S6</v>
      </c>
      <c r="C116" s="121" t="str">
        <f>IFERROR(__xludf.DUMMYFUNCTION("""COMPUTED_VALUE"""),"CORE")</f>
        <v>CORE</v>
      </c>
      <c r="D116" s="121" t="str">
        <f>IFERROR(__xludf.DUMMYFUNCTION("""COMPUTED_VALUE"""),"22AI602")</f>
        <v>22AI602</v>
      </c>
      <c r="E116" s="131" t="str">
        <f>IFERROR(__xludf.DUMMYFUNCTION("""COMPUTED_VALUE"""),"COMPUTER VISION AND DIGITAL IMAGING")</f>
        <v>COMPUTER VISION AND DIGITAL IMAGING</v>
      </c>
      <c r="F116" s="121" t="str">
        <f>IFERROR(__xludf.DUMMYFUNCTION("""COMPUTED_VALUE"""),"THEORY")</f>
        <v>THEORY</v>
      </c>
      <c r="G116" s="121">
        <f>IFERROR(__xludf.DUMMYFUNCTION("""COMPUTED_VALUE"""),3.0)</f>
        <v>3</v>
      </c>
      <c r="H116" s="121">
        <f>IFERROR(__xludf.DUMMYFUNCTION("""COMPUTED_VALUE"""),0.0)</f>
        <v>0</v>
      </c>
      <c r="I116" s="121">
        <f>IFERROR(__xludf.DUMMYFUNCTION("""COMPUTED_VALUE"""),2.0)</f>
        <v>2</v>
      </c>
      <c r="J116" s="121">
        <f>IFERROR(__xludf.DUMMYFUNCTION("""COMPUTED_VALUE"""),4.0)</f>
        <v>4</v>
      </c>
      <c r="K116" s="132" t="str">
        <f>IFERROR(__xludf.DUMMYFUNCTION("""COMPUTED_VALUE"""),"AD11026")</f>
        <v>AD11026</v>
      </c>
      <c r="L116" s="121" t="str">
        <f>IFERROR(__xludf.DUMMYFUNCTION("""COMPUTED_VALUE"""),"Mr.CHOZHARAJAN P")</f>
        <v>Mr.CHOZHARAJAN P</v>
      </c>
      <c r="M116" s="121" t="str">
        <f>IFERROR(__xludf.DUMMYFUNCTION("""COMPUTED_VALUE"""),"chozharajanp@bitsathy.ac.in")</f>
        <v>chozharajanp@bitsathy.ac.in</v>
      </c>
    </row>
    <row r="117" ht="49.5" customHeight="1">
      <c r="A117" s="121" t="str">
        <f>IFERROR(__xludf.DUMMYFUNCTION("""COMPUTED_VALUE"""),"AIDS")</f>
        <v>AIDS</v>
      </c>
      <c r="B117" s="121" t="str">
        <f>IFERROR(__xludf.DUMMYFUNCTION("""COMPUTED_VALUE"""),"S6")</f>
        <v>S6</v>
      </c>
      <c r="C117" s="121" t="str">
        <f>IFERROR(__xludf.DUMMYFUNCTION("""COMPUTED_VALUE"""),"CORE")</f>
        <v>CORE</v>
      </c>
      <c r="D117" s="121" t="str">
        <f>IFERROR(__xludf.DUMMYFUNCTION("""COMPUTED_VALUE"""),"22AI602")</f>
        <v>22AI602</v>
      </c>
      <c r="E117" s="131" t="str">
        <f>IFERROR(__xludf.DUMMYFUNCTION("""COMPUTED_VALUE"""),"COMPUTER VISION AND DIGITAL IMAGING")</f>
        <v>COMPUTER VISION AND DIGITAL IMAGING</v>
      </c>
      <c r="F117" s="121" t="str">
        <f>IFERROR(__xludf.DUMMYFUNCTION("""COMPUTED_VALUE"""),"LAB")</f>
        <v>LAB</v>
      </c>
      <c r="G117" s="121">
        <f>IFERROR(__xludf.DUMMYFUNCTION("""COMPUTED_VALUE"""),3.0)</f>
        <v>3</v>
      </c>
      <c r="H117" s="121">
        <f>IFERROR(__xludf.DUMMYFUNCTION("""COMPUTED_VALUE"""),0.0)</f>
        <v>0</v>
      </c>
      <c r="I117" s="121">
        <f>IFERROR(__xludf.DUMMYFUNCTION("""COMPUTED_VALUE"""),2.0)</f>
        <v>2</v>
      </c>
      <c r="J117" s="121">
        <f>IFERROR(__xludf.DUMMYFUNCTION("""COMPUTED_VALUE"""),4.0)</f>
        <v>4</v>
      </c>
      <c r="K117" s="132" t="str">
        <f>IFERROR(__xludf.DUMMYFUNCTION("""COMPUTED_VALUE"""),"AD11116")</f>
        <v>AD11116</v>
      </c>
      <c r="L117" s="121" t="str">
        <f>IFERROR(__xludf.DUMMYFUNCTION("""COMPUTED_VALUE"""),"Ms.PRIYADHARSHNI S")</f>
        <v>Ms.PRIYADHARSHNI S</v>
      </c>
      <c r="M117" s="121" t="str">
        <f>IFERROR(__xludf.DUMMYFUNCTION("""COMPUTED_VALUE"""),"priyadharshni@bitsathy.ac.in")</f>
        <v>priyadharshni@bitsathy.ac.in</v>
      </c>
    </row>
    <row r="118" ht="49.5" customHeight="1">
      <c r="A118" s="121" t="str">
        <f>IFERROR(__xludf.DUMMYFUNCTION("""COMPUTED_VALUE"""),"AIDS")</f>
        <v>AIDS</v>
      </c>
      <c r="B118" s="121" t="str">
        <f>IFERROR(__xludf.DUMMYFUNCTION("""COMPUTED_VALUE"""),"S6")</f>
        <v>S6</v>
      </c>
      <c r="C118" s="121" t="str">
        <f>IFERROR(__xludf.DUMMYFUNCTION("""COMPUTED_VALUE"""),"CORE")</f>
        <v>CORE</v>
      </c>
      <c r="D118" s="121" t="str">
        <f>IFERROR(__xludf.DUMMYFUNCTION("""COMPUTED_VALUE"""),"22AI603")</f>
        <v>22AI603</v>
      </c>
      <c r="E118" s="131" t="str">
        <f>IFERROR(__xludf.DUMMYFUNCTION("""COMPUTED_VALUE"""),"DEEP LEARNING")</f>
        <v>DEEP LEARNING</v>
      </c>
      <c r="F118" s="121" t="str">
        <f>IFERROR(__xludf.DUMMYFUNCTION("""COMPUTED_VALUE"""),"THEORY WITH LAB")</f>
        <v>THEORY WITH LAB</v>
      </c>
      <c r="G118" s="121">
        <f>IFERROR(__xludf.DUMMYFUNCTION("""COMPUTED_VALUE"""),3.0)</f>
        <v>3</v>
      </c>
      <c r="H118" s="121">
        <f>IFERROR(__xludf.DUMMYFUNCTION("""COMPUTED_VALUE"""),0.0)</f>
        <v>0</v>
      </c>
      <c r="I118" s="121">
        <f>IFERROR(__xludf.DUMMYFUNCTION("""COMPUTED_VALUE"""),2.0)</f>
        <v>2</v>
      </c>
      <c r="J118" s="121">
        <f>IFERROR(__xludf.DUMMYFUNCTION("""COMPUTED_VALUE"""),4.0)</f>
        <v>4</v>
      </c>
      <c r="K118" s="132" t="str">
        <f>IFERROR(__xludf.DUMMYFUNCTION("""COMPUTED_VALUE"""),"AD11068")</f>
        <v>AD11068</v>
      </c>
      <c r="L118" s="121" t="str">
        <f>IFERROR(__xludf.DUMMYFUNCTION("""COMPUTED_VALUE"""),"Ms.BENITA GRACIA THANGAM J")</f>
        <v>Ms.BENITA GRACIA THANGAM J</v>
      </c>
      <c r="M118" s="121" t="str">
        <f>IFERROR(__xludf.DUMMYFUNCTION("""COMPUTED_VALUE"""),"benitagraciathangam@bitsathy.ac.in")</f>
        <v>benitagraciathangam@bitsathy.ac.in</v>
      </c>
    </row>
    <row r="119" ht="49.5" customHeight="1">
      <c r="A119" s="121" t="str">
        <f>IFERROR(__xludf.DUMMYFUNCTION("""COMPUTED_VALUE"""),"AIDS")</f>
        <v>AIDS</v>
      </c>
      <c r="B119" s="121" t="str">
        <f>IFERROR(__xludf.DUMMYFUNCTION("""COMPUTED_VALUE"""),"S6")</f>
        <v>S6</v>
      </c>
      <c r="C119" s="121" t="str">
        <f>IFERROR(__xludf.DUMMYFUNCTION("""COMPUTED_VALUE"""),"CORE")</f>
        <v>CORE</v>
      </c>
      <c r="D119" s="121" t="str">
        <f>IFERROR(__xludf.DUMMYFUNCTION("""COMPUTED_VALUE"""),"22AI603")</f>
        <v>22AI603</v>
      </c>
      <c r="E119" s="131" t="str">
        <f>IFERROR(__xludf.DUMMYFUNCTION("""COMPUTED_VALUE"""),"DEEP LEARNING")</f>
        <v>DEEP LEARNING</v>
      </c>
      <c r="F119" s="121" t="str">
        <f>IFERROR(__xludf.DUMMYFUNCTION("""COMPUTED_VALUE"""),"THEORY WITH LAB")</f>
        <v>THEORY WITH LAB</v>
      </c>
      <c r="G119" s="121">
        <f>IFERROR(__xludf.DUMMYFUNCTION("""COMPUTED_VALUE"""),3.0)</f>
        <v>3</v>
      </c>
      <c r="H119" s="121">
        <f>IFERROR(__xludf.DUMMYFUNCTION("""COMPUTED_VALUE"""),0.0)</f>
        <v>0</v>
      </c>
      <c r="I119" s="121">
        <f>IFERROR(__xludf.DUMMYFUNCTION("""COMPUTED_VALUE"""),2.0)</f>
        <v>2</v>
      </c>
      <c r="J119" s="121">
        <f>IFERROR(__xludf.DUMMYFUNCTION("""COMPUTED_VALUE"""),4.0)</f>
        <v>4</v>
      </c>
      <c r="K119" s="132" t="str">
        <f>IFERROR(__xludf.DUMMYFUNCTION("""COMPUTED_VALUE"""),"AD10945")</f>
        <v>AD10945</v>
      </c>
      <c r="L119" s="121" t="str">
        <f>IFERROR(__xludf.DUMMYFUNCTION("""COMPUTED_VALUE"""),"Mr.SATHEESH N P")</f>
        <v>Mr.SATHEESH N P</v>
      </c>
      <c r="M119" s="121" t="str">
        <f>IFERROR(__xludf.DUMMYFUNCTION("""COMPUTED_VALUE"""),"satheeshnp@bitsathy.ac.in")</f>
        <v>satheeshnp@bitsathy.ac.in</v>
      </c>
    </row>
    <row r="120" ht="49.5" customHeight="1">
      <c r="A120" s="121" t="str">
        <f>IFERROR(__xludf.DUMMYFUNCTION("""COMPUTED_VALUE"""),"AIDS")</f>
        <v>AIDS</v>
      </c>
      <c r="B120" s="121" t="str">
        <f>IFERROR(__xludf.DUMMYFUNCTION("""COMPUTED_VALUE"""),"S6")</f>
        <v>S6</v>
      </c>
      <c r="C120" s="121" t="str">
        <f>IFERROR(__xludf.DUMMYFUNCTION("""COMPUTED_VALUE"""),"CORE")</f>
        <v>CORE</v>
      </c>
      <c r="D120" s="121" t="str">
        <f>IFERROR(__xludf.DUMMYFUNCTION("""COMPUTED_VALUE"""),"22AI603")</f>
        <v>22AI603</v>
      </c>
      <c r="E120" s="131" t="str">
        <f>IFERROR(__xludf.DUMMYFUNCTION("""COMPUTED_VALUE"""),"DEEP LEARNING")</f>
        <v>DEEP LEARNING</v>
      </c>
      <c r="F120" s="121" t="str">
        <f>IFERROR(__xludf.DUMMYFUNCTION("""COMPUTED_VALUE"""),"THEORY WITH LAB")</f>
        <v>THEORY WITH LAB</v>
      </c>
      <c r="G120" s="121">
        <f>IFERROR(__xludf.DUMMYFUNCTION("""COMPUTED_VALUE"""),3.0)</f>
        <v>3</v>
      </c>
      <c r="H120" s="134">
        <f>IFERROR(__xludf.DUMMYFUNCTION("""COMPUTED_VALUE"""),0.0)</f>
        <v>0</v>
      </c>
      <c r="I120" s="121">
        <f>IFERROR(__xludf.DUMMYFUNCTION("""COMPUTED_VALUE"""),2.0)</f>
        <v>2</v>
      </c>
      <c r="J120" s="121">
        <f>IFERROR(__xludf.DUMMYFUNCTION("""COMPUTED_VALUE"""),4.0)</f>
        <v>4</v>
      </c>
      <c r="K120" s="132" t="str">
        <f>IFERROR(__xludf.DUMMYFUNCTION("""COMPUTED_VALUE"""),"AD11112")</f>
        <v>AD11112</v>
      </c>
      <c r="L120" s="121" t="str">
        <f>IFERROR(__xludf.DUMMYFUNCTION("""COMPUTED_VALUE"""),"Mrs.HEMA PRIYA D")</f>
        <v>Mrs.HEMA PRIYA D</v>
      </c>
      <c r="M120" s="133" t="str">
        <f>IFERROR(__xludf.DUMMYFUNCTION("""COMPUTED_VALUE"""),"hemapriyad@bitsathy.ac.in")</f>
        <v>hemapriyad@bitsathy.ac.in</v>
      </c>
    </row>
    <row r="121" ht="49.5" customHeight="1">
      <c r="A121" s="121" t="str">
        <f>IFERROR(__xludf.DUMMYFUNCTION("""COMPUTED_VALUE"""),"AIDS")</f>
        <v>AIDS</v>
      </c>
      <c r="B121" s="121" t="str">
        <f>IFERROR(__xludf.DUMMYFUNCTION("""COMPUTED_VALUE"""),"S6")</f>
        <v>S6</v>
      </c>
      <c r="C121" s="121" t="str">
        <f>IFERROR(__xludf.DUMMYFUNCTION("""COMPUTED_VALUE"""),"ELECTIVE 3")</f>
        <v>ELECTIVE 3</v>
      </c>
      <c r="D121" s="121" t="str">
        <f>IFERROR(__xludf.DUMMYFUNCTION("""COMPUTED_VALUE"""),"22AI020")</f>
        <v>22AI020</v>
      </c>
      <c r="E121" s="131" t="str">
        <f>IFERROR(__xludf.DUMMYFUNCTION("""COMPUTED_VALUE"""),"REINFORCEMENT LEARNING")</f>
        <v>REINFORCEMENT LEARNING</v>
      </c>
      <c r="F121" s="121" t="str">
        <f>IFERROR(__xludf.DUMMYFUNCTION("""COMPUTED_VALUE"""),"THEORY")</f>
        <v>THEORY</v>
      </c>
      <c r="G121" s="121">
        <f>IFERROR(__xludf.DUMMYFUNCTION("""COMPUTED_VALUE"""),3.0)</f>
        <v>3</v>
      </c>
      <c r="H121" s="121">
        <f>IFERROR(__xludf.DUMMYFUNCTION("""COMPUTED_VALUE"""),0.0)</f>
        <v>0</v>
      </c>
      <c r="I121" s="121">
        <f>IFERROR(__xludf.DUMMYFUNCTION("""COMPUTED_VALUE"""),0.0)</f>
        <v>0</v>
      </c>
      <c r="J121" s="121">
        <f>IFERROR(__xludf.DUMMYFUNCTION("""COMPUTED_VALUE"""),3.0)</f>
        <v>3</v>
      </c>
      <c r="K121" s="132" t="str">
        <f>IFERROR(__xludf.DUMMYFUNCTION("""COMPUTED_VALUE"""),"AD11041")</f>
        <v>AD11041</v>
      </c>
      <c r="L121" s="121" t="str">
        <f>IFERROR(__xludf.DUMMYFUNCTION("""COMPUTED_VALUE"""),"Mrs.ASHFORN HERMINA J M")</f>
        <v>Mrs.ASHFORN HERMINA J M</v>
      </c>
      <c r="M121" s="133" t="str">
        <f>IFERROR(__xludf.DUMMYFUNCTION("""COMPUTED_VALUE"""),"ashfornherminajm@bitsathy.ac.in")</f>
        <v>ashfornherminajm@bitsathy.ac.in</v>
      </c>
    </row>
    <row r="122" ht="49.5" customHeight="1">
      <c r="A122" s="121" t="str">
        <f>IFERROR(__xludf.DUMMYFUNCTION("""COMPUTED_VALUE"""),"AIDS")</f>
        <v>AIDS</v>
      </c>
      <c r="B122" s="121" t="str">
        <f>IFERROR(__xludf.DUMMYFUNCTION("""COMPUTED_VALUE"""),"S6")</f>
        <v>S6</v>
      </c>
      <c r="C122" s="121" t="str">
        <f>IFERROR(__xludf.DUMMYFUNCTION("""COMPUTED_VALUE"""),"ELECTIVE 3")</f>
        <v>ELECTIVE 3</v>
      </c>
      <c r="D122" s="121" t="str">
        <f>IFERROR(__xludf.DUMMYFUNCTION("""COMPUTED_VALUE"""),"22AI049")</f>
        <v>22AI049</v>
      </c>
      <c r="E122" s="131" t="str">
        <f>IFERROR(__xludf.DUMMYFUNCTION("""COMPUTED_VALUE"""),"ETHICS IN DATA SCIENCE")</f>
        <v>ETHICS IN DATA SCIENCE</v>
      </c>
      <c r="F122" s="121" t="str">
        <f>IFERROR(__xludf.DUMMYFUNCTION("""COMPUTED_VALUE"""),"THEORY")</f>
        <v>THEORY</v>
      </c>
      <c r="G122" s="121">
        <f>IFERROR(__xludf.DUMMYFUNCTION("""COMPUTED_VALUE"""),3.0)</f>
        <v>3</v>
      </c>
      <c r="H122" s="121">
        <f>IFERROR(__xludf.DUMMYFUNCTION("""COMPUTED_VALUE"""),0.0)</f>
        <v>0</v>
      </c>
      <c r="I122" s="121">
        <f>IFERROR(__xludf.DUMMYFUNCTION("""COMPUTED_VALUE"""),0.0)</f>
        <v>0</v>
      </c>
      <c r="J122" s="121">
        <f>IFERROR(__xludf.DUMMYFUNCTION("""COMPUTED_VALUE"""),3.0)</f>
        <v>3</v>
      </c>
      <c r="K122" s="132" t="str">
        <f>IFERROR(__xludf.DUMMYFUNCTION("""COMPUTED_VALUE"""),"CB11145")</f>
        <v>CB11145</v>
      </c>
      <c r="L122" s="121" t="str">
        <f>IFERROR(__xludf.DUMMYFUNCTION("""COMPUTED_VALUE"""),"Mrs.DIVYA S")</f>
        <v>Mrs.DIVYA S</v>
      </c>
      <c r="M122" s="133" t="str">
        <f>IFERROR(__xludf.DUMMYFUNCTION("""COMPUTED_VALUE"""),"divyaks@bitsathy.ac.in")</f>
        <v>divyaks@bitsathy.ac.in</v>
      </c>
    </row>
    <row r="123" ht="49.5" customHeight="1">
      <c r="A123" s="121" t="str">
        <f>IFERROR(__xludf.DUMMYFUNCTION("""COMPUTED_VALUE"""),"AIDS")</f>
        <v>AIDS</v>
      </c>
      <c r="B123" s="121" t="str">
        <f>IFERROR(__xludf.DUMMYFUNCTION("""COMPUTED_VALUE"""),"S6")</f>
        <v>S6</v>
      </c>
      <c r="C123" s="121" t="str">
        <f>IFERROR(__xludf.DUMMYFUNCTION("""COMPUTED_VALUE"""),"ELECTIVE 3")</f>
        <v>ELECTIVE 3</v>
      </c>
      <c r="D123" s="121" t="str">
        <f>IFERROR(__xludf.DUMMYFUNCTION("""COMPUTED_VALUE"""),"22AI049")</f>
        <v>22AI049</v>
      </c>
      <c r="E123" s="131" t="str">
        <f>IFERROR(__xludf.DUMMYFUNCTION("""COMPUTED_VALUE"""),"ETHICS IN DATA SCIENCE")</f>
        <v>ETHICS IN DATA SCIENCE</v>
      </c>
      <c r="F123" s="121" t="str">
        <f>IFERROR(__xludf.DUMMYFUNCTION("""COMPUTED_VALUE"""),"THEORY")</f>
        <v>THEORY</v>
      </c>
      <c r="G123" s="121">
        <f>IFERROR(__xludf.DUMMYFUNCTION("""COMPUTED_VALUE"""),3.0)</f>
        <v>3</v>
      </c>
      <c r="H123" s="121">
        <f>IFERROR(__xludf.DUMMYFUNCTION("""COMPUTED_VALUE"""),0.0)</f>
        <v>0</v>
      </c>
      <c r="I123" s="121">
        <f>IFERROR(__xludf.DUMMYFUNCTION("""COMPUTED_VALUE"""),0.0)</f>
        <v>0</v>
      </c>
      <c r="J123" s="121">
        <f>IFERROR(__xludf.DUMMYFUNCTION("""COMPUTED_VALUE"""),3.0)</f>
        <v>3</v>
      </c>
      <c r="K123" s="132" t="str">
        <f>IFERROR(__xludf.DUMMYFUNCTION("""COMPUTED_VALUE"""),"AD11169")</f>
        <v>AD11169</v>
      </c>
      <c r="L123" s="121" t="str">
        <f>IFERROR(__xludf.DUMMYFUNCTION("""COMPUTED_VALUE"""),"Mrs.MANOCHITRA A S")</f>
        <v>Mrs.MANOCHITRA A S</v>
      </c>
      <c r="M123" s="121" t="str">
        <f>IFERROR(__xludf.DUMMYFUNCTION("""COMPUTED_VALUE"""),"manochitra@bitsathy.ac.in")</f>
        <v>manochitra@bitsathy.ac.in</v>
      </c>
    </row>
    <row r="124" ht="49.5" customHeight="1">
      <c r="A124" s="121" t="str">
        <f>IFERROR(__xludf.DUMMYFUNCTION("""COMPUTED_VALUE"""),"AIDS")</f>
        <v>AIDS</v>
      </c>
      <c r="B124" s="121" t="str">
        <f>IFERROR(__xludf.DUMMYFUNCTION("""COMPUTED_VALUE"""),"S6")</f>
        <v>S6</v>
      </c>
      <c r="C124" s="121" t="str">
        <f>IFERROR(__xludf.DUMMYFUNCTION("""COMPUTED_VALUE"""),"ELECTIVE 4")</f>
        <v>ELECTIVE 4</v>
      </c>
      <c r="D124" s="121" t="str">
        <f>IFERROR(__xludf.DUMMYFUNCTION("""COMPUTED_VALUE"""),"22AI025")</f>
        <v>22AI025</v>
      </c>
      <c r="E124" s="131" t="str">
        <f>IFERROR(__xludf.DUMMYFUNCTION("""COMPUTED_VALUE"""),"KNOWLEDGE ENGINEERING")</f>
        <v>KNOWLEDGE ENGINEERING</v>
      </c>
      <c r="F124" s="121" t="str">
        <f>IFERROR(__xludf.DUMMYFUNCTION("""COMPUTED_VALUE"""),"THEORY")</f>
        <v>THEORY</v>
      </c>
      <c r="G124" s="121">
        <f>IFERROR(__xludf.DUMMYFUNCTION("""COMPUTED_VALUE"""),3.0)</f>
        <v>3</v>
      </c>
      <c r="H124" s="121">
        <f>IFERROR(__xludf.DUMMYFUNCTION("""COMPUTED_VALUE"""),0.0)</f>
        <v>0</v>
      </c>
      <c r="I124" s="121">
        <f>IFERROR(__xludf.DUMMYFUNCTION("""COMPUTED_VALUE"""),0.0)</f>
        <v>0</v>
      </c>
      <c r="J124" s="121">
        <f>IFERROR(__xludf.DUMMYFUNCTION("""COMPUTED_VALUE"""),3.0)</f>
        <v>3</v>
      </c>
      <c r="K124" s="132" t="str">
        <f>IFERROR(__xludf.DUMMYFUNCTION("""COMPUTED_VALUE"""),"AD11019")</f>
        <v>AD11019</v>
      </c>
      <c r="L124" s="121" t="str">
        <f>IFERROR(__xludf.DUMMYFUNCTION("""COMPUTED_VALUE"""),"Mrs.KIRUTHIGA R")</f>
        <v>Mrs.KIRUTHIGA R</v>
      </c>
      <c r="M124" s="121" t="str">
        <f>IFERROR(__xludf.DUMMYFUNCTION("""COMPUTED_VALUE"""),"kiruthigar@bitsathy.ac.in")</f>
        <v>kiruthigar@bitsathy.ac.in</v>
      </c>
    </row>
    <row r="125" ht="49.5" customHeight="1">
      <c r="A125" s="121" t="str">
        <f>IFERROR(__xludf.DUMMYFUNCTION("""COMPUTED_VALUE"""),"AIDS")</f>
        <v>AIDS</v>
      </c>
      <c r="B125" s="121" t="str">
        <f>IFERROR(__xludf.DUMMYFUNCTION("""COMPUTED_VALUE"""),"S6")</f>
        <v>S6</v>
      </c>
      <c r="C125" s="121" t="str">
        <f>IFERROR(__xludf.DUMMYFUNCTION("""COMPUTED_VALUE"""),"ELECTIVE 4")</f>
        <v>ELECTIVE 4</v>
      </c>
      <c r="D125" s="121" t="str">
        <f>IFERROR(__xludf.DUMMYFUNCTION("""COMPUTED_VALUE"""),"22AI025")</f>
        <v>22AI025</v>
      </c>
      <c r="E125" s="131" t="str">
        <f>IFERROR(__xludf.DUMMYFUNCTION("""COMPUTED_VALUE"""),"KNOWLEDGE ENGINEERING")</f>
        <v>KNOWLEDGE ENGINEERING</v>
      </c>
      <c r="F125" s="121" t="str">
        <f>IFERROR(__xludf.DUMMYFUNCTION("""COMPUTED_VALUE"""),"THEORY")</f>
        <v>THEORY</v>
      </c>
      <c r="G125" s="121">
        <f>IFERROR(__xludf.DUMMYFUNCTION("""COMPUTED_VALUE"""),3.0)</f>
        <v>3</v>
      </c>
      <c r="H125" s="121">
        <f>IFERROR(__xludf.DUMMYFUNCTION("""COMPUTED_VALUE"""),0.0)</f>
        <v>0</v>
      </c>
      <c r="I125" s="121">
        <f>IFERROR(__xludf.DUMMYFUNCTION("""COMPUTED_VALUE"""),0.0)</f>
        <v>0</v>
      </c>
      <c r="J125" s="121">
        <f>IFERROR(__xludf.DUMMYFUNCTION("""COMPUTED_VALUE"""),3.0)</f>
        <v>3</v>
      </c>
      <c r="K125" s="132" t="str">
        <f>IFERROR(__xludf.DUMMYFUNCTION("""COMPUTED_VALUE"""),"AM10971")</f>
        <v>AM10971</v>
      </c>
      <c r="L125" s="121" t="str">
        <f>IFERROR(__xludf.DUMMYFUNCTION("""COMPUTED_VALUE"""),"Mr.NITHIN P")</f>
        <v>Mr.NITHIN P</v>
      </c>
      <c r="M125" s="121" t="str">
        <f>IFERROR(__xludf.DUMMYFUNCTION("""COMPUTED_VALUE"""),"nithinp@bitsathy.ac.in")</f>
        <v>nithinp@bitsathy.ac.in</v>
      </c>
    </row>
    <row r="126" ht="49.5" customHeight="1">
      <c r="A126" s="121" t="str">
        <f>IFERROR(__xludf.DUMMYFUNCTION("""COMPUTED_VALUE"""),"AIDS")</f>
        <v>AIDS</v>
      </c>
      <c r="B126" s="121" t="str">
        <f>IFERROR(__xludf.DUMMYFUNCTION("""COMPUTED_VALUE"""),"S6")</f>
        <v>S6</v>
      </c>
      <c r="C126" s="121" t="str">
        <f>IFERROR(__xludf.DUMMYFUNCTION("""COMPUTED_VALUE"""),"ELECTIVE 4")</f>
        <v>ELECTIVE 4</v>
      </c>
      <c r="D126" s="121" t="str">
        <f>IFERROR(__xludf.DUMMYFUNCTION("""COMPUTED_VALUE"""),"22AI032")</f>
        <v>22AI032</v>
      </c>
      <c r="E126" s="131" t="str">
        <f>IFERROR(__xludf.DUMMYFUNCTION("""COMPUTED_VALUE"""),"RECOMMENDER SYSTEMS")</f>
        <v>RECOMMENDER SYSTEMS</v>
      </c>
      <c r="F126" s="121" t="str">
        <f>IFERROR(__xludf.DUMMYFUNCTION("""COMPUTED_VALUE"""),"THEORY")</f>
        <v>THEORY</v>
      </c>
      <c r="G126" s="121">
        <f>IFERROR(__xludf.DUMMYFUNCTION("""COMPUTED_VALUE"""),3.0)</f>
        <v>3</v>
      </c>
      <c r="H126" s="121">
        <f>IFERROR(__xludf.DUMMYFUNCTION("""COMPUTED_VALUE"""),0.0)</f>
        <v>0</v>
      </c>
      <c r="I126" s="121">
        <f>IFERROR(__xludf.DUMMYFUNCTION("""COMPUTED_VALUE"""),0.0)</f>
        <v>0</v>
      </c>
      <c r="J126" s="121">
        <f>IFERROR(__xludf.DUMMYFUNCTION("""COMPUTED_VALUE"""),3.0)</f>
        <v>3</v>
      </c>
      <c r="K126" s="132" t="str">
        <f>IFERROR(__xludf.DUMMYFUNCTION("""COMPUTED_VALUE"""),"AD11096")</f>
        <v>AD11096</v>
      </c>
      <c r="L126" s="121" t="str">
        <f>IFERROR(__xludf.DUMMYFUNCTION("""COMPUTED_VALUE"""),"Dr.SUBBULAKSHMI M")</f>
        <v>Dr.SUBBULAKSHMI M</v>
      </c>
      <c r="M126" s="121" t="str">
        <f>IFERROR(__xludf.DUMMYFUNCTION("""COMPUTED_VALUE"""),"subbulakshmi@bitsathy.ac.in")</f>
        <v>subbulakshmi@bitsathy.ac.in</v>
      </c>
    </row>
    <row r="127" ht="49.5" customHeight="1">
      <c r="A127" s="121" t="str">
        <f>IFERROR(__xludf.DUMMYFUNCTION("""COMPUTED_VALUE"""),"AIDS")</f>
        <v>AIDS</v>
      </c>
      <c r="B127" s="121" t="str">
        <f>IFERROR(__xludf.DUMMYFUNCTION("""COMPUTED_VALUE"""),"S6")</f>
        <v>S6</v>
      </c>
      <c r="C127" s="121" t="str">
        <f>IFERROR(__xludf.DUMMYFUNCTION("""COMPUTED_VALUE"""),"ELECTIVE 4")</f>
        <v>ELECTIVE 4</v>
      </c>
      <c r="D127" s="121" t="str">
        <f>IFERROR(__xludf.DUMMYFUNCTION("""COMPUTED_VALUE"""),"22AI032")</f>
        <v>22AI032</v>
      </c>
      <c r="E127" s="131" t="str">
        <f>IFERROR(__xludf.DUMMYFUNCTION("""COMPUTED_VALUE"""),"RECOMMENDER SYSTEMS")</f>
        <v>RECOMMENDER SYSTEMS</v>
      </c>
      <c r="F127" s="121" t="str">
        <f>IFERROR(__xludf.DUMMYFUNCTION("""COMPUTED_VALUE"""),"THEORY")</f>
        <v>THEORY</v>
      </c>
      <c r="G127" s="121">
        <f>IFERROR(__xludf.DUMMYFUNCTION("""COMPUTED_VALUE"""),3.0)</f>
        <v>3</v>
      </c>
      <c r="H127" s="121">
        <f>IFERROR(__xludf.DUMMYFUNCTION("""COMPUTED_VALUE"""),0.0)</f>
        <v>0</v>
      </c>
      <c r="I127" s="121">
        <f>IFERROR(__xludf.DUMMYFUNCTION("""COMPUTED_VALUE"""),0.0)</f>
        <v>0</v>
      </c>
      <c r="J127" s="121">
        <f>IFERROR(__xludf.DUMMYFUNCTION("""COMPUTED_VALUE"""),3.0)</f>
        <v>3</v>
      </c>
      <c r="K127" s="132" t="str">
        <f>IFERROR(__xludf.DUMMYFUNCTION("""COMPUTED_VALUE"""),"AD11023")</f>
        <v>AD11023</v>
      </c>
      <c r="L127" s="121" t="str">
        <f>IFERROR(__xludf.DUMMYFUNCTION("""COMPUTED_VALUE"""),"Mrs.VAANATHI S")</f>
        <v>Mrs.VAANATHI S</v>
      </c>
      <c r="M127" s="121" t="str">
        <f>IFERROR(__xludf.DUMMYFUNCTION("""COMPUTED_VALUE"""),"vaanathi@bitsathy.ac.in")</f>
        <v>vaanathi@bitsathy.ac.in</v>
      </c>
    </row>
    <row r="128" ht="49.5" customHeight="1">
      <c r="A128" s="121" t="str">
        <f>IFERROR(__xludf.DUMMYFUNCTION("""COMPUTED_VALUE"""),"AIDS")</f>
        <v>AIDS</v>
      </c>
      <c r="B128" s="121" t="str">
        <f>IFERROR(__xludf.DUMMYFUNCTION("""COMPUTED_VALUE"""),"S6")</f>
        <v>S6</v>
      </c>
      <c r="C128" s="121" t="str">
        <f>IFERROR(__xludf.DUMMYFUNCTION("""COMPUTED_VALUE"""),"ELECTIVE 5")</f>
        <v>ELECTIVE 5</v>
      </c>
      <c r="D128" s="121" t="str">
        <f>IFERROR(__xludf.DUMMYFUNCTION("""COMPUTED_VALUE"""),"22AI035")</f>
        <v>22AI035</v>
      </c>
      <c r="E128" s="131" t="str">
        <f>IFERROR(__xludf.DUMMYFUNCTION("""COMPUTED_VALUE"""),"BUSINESS ANALYTICS")</f>
        <v>BUSINESS ANALYTICS</v>
      </c>
      <c r="F128" s="121" t="str">
        <f>IFERROR(__xludf.DUMMYFUNCTION("""COMPUTED_VALUE"""),"THEORY")</f>
        <v>THEORY</v>
      </c>
      <c r="G128" s="121">
        <f>IFERROR(__xludf.DUMMYFUNCTION("""COMPUTED_VALUE"""),3.0)</f>
        <v>3</v>
      </c>
      <c r="H128" s="121">
        <f>IFERROR(__xludf.DUMMYFUNCTION("""COMPUTED_VALUE"""),0.0)</f>
        <v>0</v>
      </c>
      <c r="I128" s="121">
        <f>IFERROR(__xludf.DUMMYFUNCTION("""COMPUTED_VALUE"""),0.0)</f>
        <v>0</v>
      </c>
      <c r="J128" s="121">
        <f>IFERROR(__xludf.DUMMYFUNCTION("""COMPUTED_VALUE"""),3.0)</f>
        <v>3</v>
      </c>
      <c r="K128" s="132" t="str">
        <f>IFERROR(__xludf.DUMMYFUNCTION("""COMPUTED_VALUE"""),"AD10955")</f>
        <v>AD10955</v>
      </c>
      <c r="L128" s="121" t="str">
        <f>IFERROR(__xludf.DUMMYFUNCTION("""COMPUTED_VALUE"""),"Ms.ESAKKI MADURA E")</f>
        <v>Ms.ESAKKI MADURA E</v>
      </c>
      <c r="M128" s="121" t="str">
        <f>IFERROR(__xludf.DUMMYFUNCTION("""COMPUTED_VALUE"""),"esakkimadurae@bitsathy.ac.in")</f>
        <v>esakkimadurae@bitsathy.ac.in</v>
      </c>
    </row>
    <row r="129" ht="49.5" customHeight="1">
      <c r="A129" s="121" t="str">
        <f>IFERROR(__xludf.DUMMYFUNCTION("""COMPUTED_VALUE"""),"AIDS")</f>
        <v>AIDS</v>
      </c>
      <c r="B129" s="121" t="str">
        <f>IFERROR(__xludf.DUMMYFUNCTION("""COMPUTED_VALUE"""),"S6")</f>
        <v>S6</v>
      </c>
      <c r="C129" s="121" t="str">
        <f>IFERROR(__xludf.DUMMYFUNCTION("""COMPUTED_VALUE"""),"ELECTIVE 5")</f>
        <v>ELECTIVE 5</v>
      </c>
      <c r="D129" s="121" t="str">
        <f>IFERROR(__xludf.DUMMYFUNCTION("""COMPUTED_VALUE"""),"22AI036")</f>
        <v>22AI036</v>
      </c>
      <c r="E129" s="131" t="str">
        <f>IFERROR(__xludf.DUMMYFUNCTION("""COMPUTED_VALUE"""),"DIGITAL MARKETING AND MANAGEMENT")</f>
        <v>DIGITAL MARKETING AND MANAGEMENT</v>
      </c>
      <c r="F129" s="121" t="str">
        <f>IFERROR(__xludf.DUMMYFUNCTION("""COMPUTED_VALUE"""),"THEORY")</f>
        <v>THEORY</v>
      </c>
      <c r="G129" s="121">
        <f>IFERROR(__xludf.DUMMYFUNCTION("""COMPUTED_VALUE"""),3.0)</f>
        <v>3</v>
      </c>
      <c r="H129" s="121">
        <f>IFERROR(__xludf.DUMMYFUNCTION("""COMPUTED_VALUE"""),0.0)</f>
        <v>0</v>
      </c>
      <c r="I129" s="121">
        <f>IFERROR(__xludf.DUMMYFUNCTION("""COMPUTED_VALUE"""),0.0)</f>
        <v>0</v>
      </c>
      <c r="J129" s="121">
        <f>IFERROR(__xludf.DUMMYFUNCTION("""COMPUTED_VALUE"""),3.0)</f>
        <v>3</v>
      </c>
      <c r="K129" s="132" t="str">
        <f>IFERROR(__xludf.DUMMYFUNCTION("""COMPUTED_VALUE"""),"AD11042")</f>
        <v>AD11042</v>
      </c>
      <c r="L129" s="121" t="str">
        <f>IFERROR(__xludf.DUMMYFUNCTION("""COMPUTED_VALUE"""),"Mrs.JEEVITHA S V")</f>
        <v>Mrs.JEEVITHA S V</v>
      </c>
      <c r="M129" s="121" t="str">
        <f>IFERROR(__xludf.DUMMYFUNCTION("""COMPUTED_VALUE"""),"jeevithasv@bitsathy.ac.in")</f>
        <v>jeevithasv@bitsathy.ac.in</v>
      </c>
    </row>
    <row r="130" ht="49.5" customHeight="1">
      <c r="A130" s="121" t="str">
        <f>IFERROR(__xludf.DUMMYFUNCTION("""COMPUTED_VALUE"""),"AIDS")</f>
        <v>AIDS</v>
      </c>
      <c r="B130" s="121" t="str">
        <f>IFERROR(__xludf.DUMMYFUNCTION("""COMPUTED_VALUE"""),"S6")</f>
        <v>S6</v>
      </c>
      <c r="C130" s="121" t="str">
        <f>IFERROR(__xludf.DUMMYFUNCTION("""COMPUTED_VALUE"""),"ADD COURSE")</f>
        <v>ADD COURSE</v>
      </c>
      <c r="D130" s="121" t="str">
        <f>IFERROR(__xludf.DUMMYFUNCTION("""COMPUTED_VALUE"""),"22AI029")</f>
        <v>22AI029</v>
      </c>
      <c r="E130" s="131" t="str">
        <f>IFERROR(__xludf.DUMMYFUNCTION("""COMPUTED_VALUE"""),"QUANTUM COMPUTING")</f>
        <v>QUANTUM COMPUTING</v>
      </c>
      <c r="F130" s="121" t="str">
        <f>IFERROR(__xludf.DUMMYFUNCTION("""COMPUTED_VALUE"""),"THEORY")</f>
        <v>THEORY</v>
      </c>
      <c r="G130" s="121">
        <f>IFERROR(__xludf.DUMMYFUNCTION("""COMPUTED_VALUE"""),3.0)</f>
        <v>3</v>
      </c>
      <c r="H130" s="121">
        <f>IFERROR(__xludf.DUMMYFUNCTION("""COMPUTED_VALUE"""),0.0)</f>
        <v>0</v>
      </c>
      <c r="I130" s="121">
        <f>IFERROR(__xludf.DUMMYFUNCTION("""COMPUTED_VALUE"""),0.0)</f>
        <v>0</v>
      </c>
      <c r="J130" s="121">
        <f>IFERROR(__xludf.DUMMYFUNCTION("""COMPUTED_VALUE"""),3.0)</f>
        <v>3</v>
      </c>
      <c r="K130" s="132" t="str">
        <f>IFERROR(__xludf.DUMMYFUNCTION("""COMPUTED_VALUE"""),"AD10955")</f>
        <v>AD10955</v>
      </c>
      <c r="L130" s="121" t="str">
        <f>IFERROR(__xludf.DUMMYFUNCTION("""COMPUTED_VALUE"""),"Ms.ESAKKI MADURA E")</f>
        <v>Ms.ESAKKI MADURA E</v>
      </c>
      <c r="M130" s="121" t="str">
        <f>IFERROR(__xludf.DUMMYFUNCTION("""COMPUTED_VALUE"""),"esakkimadurae@bitsathy.ac.in")</f>
        <v>esakkimadurae@bitsathy.ac.in</v>
      </c>
    </row>
    <row r="131" ht="49.5" customHeight="1">
      <c r="A131" s="121" t="str">
        <f>IFERROR(__xludf.DUMMYFUNCTION("""COMPUTED_VALUE"""),"AIDS")</f>
        <v>AIDS</v>
      </c>
      <c r="B131" s="121" t="str">
        <f>IFERROR(__xludf.DUMMYFUNCTION("""COMPUTED_VALUE"""),"S6")</f>
        <v>S6</v>
      </c>
      <c r="C131" s="121" t="str">
        <f>IFERROR(__xludf.DUMMYFUNCTION("""COMPUTED_VALUE"""),"ADD COURSE")</f>
        <v>ADD COURSE</v>
      </c>
      <c r="D131" s="121" t="str">
        <f>IFERROR(__xludf.DUMMYFUNCTION("""COMPUTED_VALUE"""),"22AI029")</f>
        <v>22AI029</v>
      </c>
      <c r="E131" s="131" t="str">
        <f>IFERROR(__xludf.DUMMYFUNCTION("""COMPUTED_VALUE"""),"QUANTUM COMPUTING")</f>
        <v>QUANTUM COMPUTING</v>
      </c>
      <c r="F131" s="121" t="str">
        <f>IFERROR(__xludf.DUMMYFUNCTION("""COMPUTED_VALUE"""),"THEORY")</f>
        <v>THEORY</v>
      </c>
      <c r="G131" s="121">
        <f>IFERROR(__xludf.DUMMYFUNCTION("""COMPUTED_VALUE"""),3.0)</f>
        <v>3</v>
      </c>
      <c r="H131" s="121">
        <f>IFERROR(__xludf.DUMMYFUNCTION("""COMPUTED_VALUE"""),0.0)</f>
        <v>0</v>
      </c>
      <c r="I131" s="121">
        <f>IFERROR(__xludf.DUMMYFUNCTION("""COMPUTED_VALUE"""),0.0)</f>
        <v>0</v>
      </c>
      <c r="J131" s="121">
        <f>IFERROR(__xludf.DUMMYFUNCTION("""COMPUTED_VALUE"""),3.0)</f>
        <v>3</v>
      </c>
      <c r="K131" s="132" t="str">
        <f>IFERROR(__xludf.DUMMYFUNCTION("""COMPUTED_VALUE"""),"AD11019")</f>
        <v>AD11019</v>
      </c>
      <c r="L131" s="121" t="str">
        <f>IFERROR(__xludf.DUMMYFUNCTION("""COMPUTED_VALUE"""),"Mrs.KIRUTHIGA R")</f>
        <v>Mrs.KIRUTHIGA R</v>
      </c>
      <c r="M131" s="121" t="str">
        <f>IFERROR(__xludf.DUMMYFUNCTION("""COMPUTED_VALUE"""),"kiruthigar@bitsathy.ac.in")</f>
        <v>kiruthigar@bitsathy.ac.in</v>
      </c>
    </row>
    <row r="132" ht="49.5" customHeight="1">
      <c r="A132" s="121" t="str">
        <f>IFERROR(__xludf.DUMMYFUNCTION("""COMPUTED_VALUE"""),"AIDS")</f>
        <v>AIDS</v>
      </c>
      <c r="B132" s="121" t="str">
        <f>IFERROR(__xludf.DUMMYFUNCTION("""COMPUTED_VALUE"""),"S6")</f>
        <v>S6</v>
      </c>
      <c r="C132" s="121" t="str">
        <f>IFERROR(__xludf.DUMMYFUNCTION("""COMPUTED_VALUE"""),"HONOURS")</f>
        <v>HONOURS</v>
      </c>
      <c r="D132" s="121" t="str">
        <f>IFERROR(__xludf.DUMMYFUNCTION("""COMPUTED_VALUE"""),"22AIH09")</f>
        <v>22AIH09</v>
      </c>
      <c r="E132" s="131" t="str">
        <f>IFERROR(__xludf.DUMMYFUNCTION("""COMPUTED_VALUE"""),"CLOUD STORAGE TECHNOLOGIES")</f>
        <v>CLOUD STORAGE TECHNOLOGIES</v>
      </c>
      <c r="F132" s="121" t="str">
        <f>IFERROR(__xludf.DUMMYFUNCTION("""COMPUTED_VALUE"""),"THEORY")</f>
        <v>THEORY</v>
      </c>
      <c r="G132" s="121">
        <f>IFERROR(__xludf.DUMMYFUNCTION("""COMPUTED_VALUE"""),3.0)</f>
        <v>3</v>
      </c>
      <c r="H132" s="121">
        <f>IFERROR(__xludf.DUMMYFUNCTION("""COMPUTED_VALUE"""),0.0)</f>
        <v>0</v>
      </c>
      <c r="I132" s="121">
        <f>IFERROR(__xludf.DUMMYFUNCTION("""COMPUTED_VALUE"""),0.0)</f>
        <v>0</v>
      </c>
      <c r="J132" s="121">
        <f>IFERROR(__xludf.DUMMYFUNCTION("""COMPUTED_VALUE"""),3.0)</f>
        <v>3</v>
      </c>
      <c r="K132" s="132" t="str">
        <f>IFERROR(__xludf.DUMMYFUNCTION("""COMPUTED_VALUE"""),"AD11016")</f>
        <v>AD11016</v>
      </c>
      <c r="L132" s="121" t="str">
        <f>IFERROR(__xludf.DUMMYFUNCTION("""COMPUTED_VALUE"""),"Mr.SATHEESHKUMAR S")</f>
        <v>Mr.SATHEESHKUMAR S</v>
      </c>
      <c r="M132" s="121" t="str">
        <f>IFERROR(__xludf.DUMMYFUNCTION("""COMPUTED_VALUE"""),"satheeshkumars@bitsathy.ac.in")</f>
        <v>satheeshkumars@bitsathy.ac.in</v>
      </c>
    </row>
    <row r="133" ht="49.5" customHeight="1">
      <c r="A133" s="121" t="str">
        <f>IFERROR(__xludf.DUMMYFUNCTION("""COMPUTED_VALUE"""),"AIDS")</f>
        <v>AIDS</v>
      </c>
      <c r="B133" s="121" t="str">
        <f>IFERROR(__xludf.DUMMYFUNCTION("""COMPUTED_VALUE"""),"S6")</f>
        <v>S6</v>
      </c>
      <c r="C133" s="121" t="str">
        <f>IFERROR(__xludf.DUMMYFUNCTION("""COMPUTED_VALUE"""),"HONOURS")</f>
        <v>HONOURS</v>
      </c>
      <c r="D133" s="121" t="str">
        <f>IFERROR(__xludf.DUMMYFUNCTION("""COMPUTED_VALUE"""),"22AIH10")</f>
        <v>22AIH10</v>
      </c>
      <c r="E133" s="131" t="str">
        <f>IFERROR(__xludf.DUMMYFUNCTION("""COMPUTED_VALUE"""),"CLOUD AUTOMATION TOOLS AND APPLICATIONS")</f>
        <v>CLOUD AUTOMATION TOOLS AND APPLICATIONS</v>
      </c>
      <c r="F133" s="121" t="str">
        <f>IFERROR(__xludf.DUMMYFUNCTION("""COMPUTED_VALUE"""),"THEORY")</f>
        <v>THEORY</v>
      </c>
      <c r="G133" s="121">
        <f>IFERROR(__xludf.DUMMYFUNCTION("""COMPUTED_VALUE"""),3.0)</f>
        <v>3</v>
      </c>
      <c r="H133" s="121">
        <f>IFERROR(__xludf.DUMMYFUNCTION("""COMPUTED_VALUE"""),0.0)</f>
        <v>0</v>
      </c>
      <c r="I133" s="121">
        <f>IFERROR(__xludf.DUMMYFUNCTION("""COMPUTED_VALUE"""),0.0)</f>
        <v>0</v>
      </c>
      <c r="J133" s="121">
        <f>IFERROR(__xludf.DUMMYFUNCTION("""COMPUTED_VALUE"""),3.0)</f>
        <v>3</v>
      </c>
      <c r="K133" s="132" t="str">
        <f>IFERROR(__xludf.DUMMYFUNCTION("""COMPUTED_VALUE"""),"AD11116")</f>
        <v>AD11116</v>
      </c>
      <c r="L133" s="121" t="str">
        <f>IFERROR(__xludf.DUMMYFUNCTION("""COMPUTED_VALUE"""),"Ms.PRIYADHARSHNI S")</f>
        <v>Ms.PRIYADHARSHNI S</v>
      </c>
      <c r="M133" s="121" t="str">
        <f>IFERROR(__xludf.DUMMYFUNCTION("""COMPUTED_VALUE"""),"priyadharshni@bitsathy.ac.in")</f>
        <v>priyadharshni@bitsathy.ac.in</v>
      </c>
    </row>
    <row r="134" ht="49.5" customHeight="1">
      <c r="A134" s="121" t="str">
        <f>IFERROR(__xludf.DUMMYFUNCTION("""COMPUTED_VALUE"""),"AIDS")</f>
        <v>AIDS</v>
      </c>
      <c r="B134" s="121" t="str">
        <f>IFERROR(__xludf.DUMMYFUNCTION("""COMPUTED_VALUE"""),"S6")</f>
        <v>S6</v>
      </c>
      <c r="C134" s="121" t="str">
        <f>IFERROR(__xludf.DUMMYFUNCTION("""COMPUTED_VALUE"""),"PROJECT")</f>
        <v>PROJECT</v>
      </c>
      <c r="D134" s="121" t="str">
        <f>IFERROR(__xludf.DUMMYFUNCTION("""COMPUTED_VALUE"""),"22AI607")</f>
        <v>22AI607</v>
      </c>
      <c r="E134" s="131" t="str">
        <f>IFERROR(__xludf.DUMMYFUNCTION("""COMPUTED_VALUE"""),"MINI PROJECT II")</f>
        <v>MINI PROJECT II</v>
      </c>
      <c r="F134" s="121" t="str">
        <f>IFERROR(__xludf.DUMMYFUNCTION("""COMPUTED_VALUE"""),"LAB")</f>
        <v>LAB</v>
      </c>
      <c r="G134" s="121">
        <f>IFERROR(__xludf.DUMMYFUNCTION("""COMPUTED_VALUE"""),0.0)</f>
        <v>0</v>
      </c>
      <c r="H134" s="121">
        <f>IFERROR(__xludf.DUMMYFUNCTION("""COMPUTED_VALUE"""),0.0)</f>
        <v>0</v>
      </c>
      <c r="I134" s="121">
        <f>IFERROR(__xludf.DUMMYFUNCTION("""COMPUTED_VALUE"""),2.0)</f>
        <v>2</v>
      </c>
      <c r="J134" s="121">
        <f>IFERROR(__xludf.DUMMYFUNCTION("""COMPUTED_VALUE"""),1.0)</f>
        <v>1</v>
      </c>
      <c r="K134" s="132"/>
      <c r="L134" s="121"/>
      <c r="M134" s="121"/>
    </row>
    <row r="135" ht="49.5" customHeight="1">
      <c r="A135" s="121" t="str">
        <f>IFERROR(__xludf.DUMMYFUNCTION("""COMPUTED_VALUE"""),"AIDS")</f>
        <v>AIDS</v>
      </c>
      <c r="B135" s="121" t="str">
        <f>IFERROR(__xludf.DUMMYFUNCTION("""COMPUTED_VALUE"""),"S8")</f>
        <v>S8</v>
      </c>
      <c r="C135" s="121" t="str">
        <f>IFERROR(__xludf.DUMMYFUNCTION("""COMPUTED_VALUE"""),"PROJECT")</f>
        <v>PROJECT</v>
      </c>
      <c r="D135" s="121" t="str">
        <f>IFERROR(__xludf.DUMMYFUNCTION("""COMPUTED_VALUE"""),"22AI801")</f>
        <v>22AI801</v>
      </c>
      <c r="E135" s="131" t="str">
        <f>IFERROR(__xludf.DUMMYFUNCTION("""COMPUTED_VALUE"""),"PROJECT WORK II")</f>
        <v>PROJECT WORK II</v>
      </c>
      <c r="F135" s="121" t="str">
        <f>IFERROR(__xludf.DUMMYFUNCTION("""COMPUTED_VALUE"""),"LAB")</f>
        <v>LAB</v>
      </c>
      <c r="G135" s="121">
        <f>IFERROR(__xludf.DUMMYFUNCTION("""COMPUTED_VALUE"""),0.0)</f>
        <v>0</v>
      </c>
      <c r="H135" s="121">
        <f>IFERROR(__xludf.DUMMYFUNCTION("""COMPUTED_VALUE"""),0.0)</f>
        <v>0</v>
      </c>
      <c r="I135" s="121">
        <f>IFERROR(__xludf.DUMMYFUNCTION("""COMPUTED_VALUE"""),18.0)</f>
        <v>18</v>
      </c>
      <c r="J135" s="121">
        <f>IFERROR(__xludf.DUMMYFUNCTION("""COMPUTED_VALUE"""),9.0)</f>
        <v>9</v>
      </c>
      <c r="K135" s="132"/>
      <c r="L135" s="121"/>
      <c r="M135" s="121"/>
    </row>
    <row r="136" ht="49.5" customHeight="1">
      <c r="A136" s="121" t="str">
        <f>IFERROR(__xludf.DUMMYFUNCTION("""COMPUTED_VALUE"""),"AIML")</f>
        <v>AIML</v>
      </c>
      <c r="B136" s="121" t="str">
        <f>IFERROR(__xludf.DUMMYFUNCTION("""COMPUTED_VALUE"""),"S2")</f>
        <v>S2</v>
      </c>
      <c r="C136" s="121" t="str">
        <f>IFERROR(__xludf.DUMMYFUNCTION("""COMPUTED_VALUE"""),"CORE")</f>
        <v>CORE</v>
      </c>
      <c r="D136" s="121" t="str">
        <f>IFERROR(__xludf.DUMMYFUNCTION("""COMPUTED_VALUE"""),"22MA201")</f>
        <v>22MA201</v>
      </c>
      <c r="E136" s="131" t="str">
        <f>IFERROR(__xludf.DUMMYFUNCTION("""COMPUTED_VALUE"""),"ENGINEERING MATHEMATICS II")</f>
        <v>ENGINEERING MATHEMATICS II</v>
      </c>
      <c r="F136" s="121" t="str">
        <f>IFERROR(__xludf.DUMMYFUNCTION("""COMPUTED_VALUE"""),"THEORY")</f>
        <v>THEORY</v>
      </c>
      <c r="G136" s="121">
        <f>IFERROR(__xludf.DUMMYFUNCTION("""COMPUTED_VALUE"""),3.0)</f>
        <v>3</v>
      </c>
      <c r="H136" s="121">
        <f>IFERROR(__xludf.DUMMYFUNCTION("""COMPUTED_VALUE"""),1.0)</f>
        <v>1</v>
      </c>
      <c r="I136" s="121">
        <f>IFERROR(__xludf.DUMMYFUNCTION("""COMPUTED_VALUE"""),0.0)</f>
        <v>0</v>
      </c>
      <c r="J136" s="121">
        <f>IFERROR(__xludf.DUMMYFUNCTION("""COMPUTED_VALUE"""),4.0)</f>
        <v>4</v>
      </c>
      <c r="K136" s="132" t="str">
        <f>IFERROR(__xludf.DUMMYFUNCTION("""COMPUTED_VALUE"""),"MA1373")</f>
        <v>MA1373</v>
      </c>
      <c r="L136" s="121" t="str">
        <f>IFERROR(__xludf.DUMMYFUNCTION("""COMPUTED_VALUE"""),"Dr.SARAVANA MOORTHI P")</f>
        <v>Dr.SARAVANA MOORTHI P</v>
      </c>
      <c r="M136" s="121" t="str">
        <f>IFERROR(__xludf.DUMMYFUNCTION("""COMPUTED_VALUE"""),"saravanamoorthip@bitsathy.ac.in")</f>
        <v>saravanamoorthip@bitsathy.ac.in</v>
      </c>
    </row>
    <row r="137" ht="49.5" customHeight="1">
      <c r="A137" s="121" t="str">
        <f>IFERROR(__xludf.DUMMYFUNCTION("""COMPUTED_VALUE"""),"AIML")</f>
        <v>AIML</v>
      </c>
      <c r="B137" s="121" t="str">
        <f>IFERROR(__xludf.DUMMYFUNCTION("""COMPUTED_VALUE"""),"S2")</f>
        <v>S2</v>
      </c>
      <c r="C137" s="121" t="str">
        <f>IFERROR(__xludf.DUMMYFUNCTION("""COMPUTED_VALUE"""),"CORE")</f>
        <v>CORE</v>
      </c>
      <c r="D137" s="121" t="str">
        <f>IFERROR(__xludf.DUMMYFUNCTION("""COMPUTED_VALUE"""),"22MA201")</f>
        <v>22MA201</v>
      </c>
      <c r="E137" s="131" t="str">
        <f>IFERROR(__xludf.DUMMYFUNCTION("""COMPUTED_VALUE"""),"ENGINEERING MATHEMATICS II")</f>
        <v>ENGINEERING MATHEMATICS II</v>
      </c>
      <c r="F137" s="121" t="str">
        <f>IFERROR(__xludf.DUMMYFUNCTION("""COMPUTED_VALUE"""),"THEORY")</f>
        <v>THEORY</v>
      </c>
      <c r="G137" s="121">
        <f>IFERROR(__xludf.DUMMYFUNCTION("""COMPUTED_VALUE"""),3.0)</f>
        <v>3</v>
      </c>
      <c r="H137" s="121">
        <f>IFERROR(__xludf.DUMMYFUNCTION("""COMPUTED_VALUE"""),1.0)</f>
        <v>1</v>
      </c>
      <c r="I137" s="121">
        <f>IFERROR(__xludf.DUMMYFUNCTION("""COMPUTED_VALUE"""),0.0)</f>
        <v>0</v>
      </c>
      <c r="J137" s="121">
        <f>IFERROR(__xludf.DUMMYFUNCTION("""COMPUTED_VALUE"""),4.0)</f>
        <v>4</v>
      </c>
      <c r="K137" s="132" t="str">
        <f>IFERROR(__xludf.DUMMYFUNCTION("""COMPUTED_VALUE"""),"MA11017")</f>
        <v>MA11017</v>
      </c>
      <c r="L137" s="121" t="str">
        <f>IFERROR(__xludf.DUMMYFUNCTION("""COMPUTED_VALUE"""),"Dr.GAYATHIRI B")</f>
        <v>Dr.GAYATHIRI B</v>
      </c>
      <c r="M137" s="121" t="str">
        <f>IFERROR(__xludf.DUMMYFUNCTION("""COMPUTED_VALUE"""),"gayathirib@bitsathy.ac.in")</f>
        <v>gayathirib@bitsathy.ac.in</v>
      </c>
    </row>
    <row r="138" ht="49.5" customHeight="1">
      <c r="A138" s="121" t="str">
        <f>IFERROR(__xludf.DUMMYFUNCTION("""COMPUTED_VALUE"""),"AIML")</f>
        <v>AIML</v>
      </c>
      <c r="B138" s="121" t="str">
        <f>IFERROR(__xludf.DUMMYFUNCTION("""COMPUTED_VALUE"""),"S2")</f>
        <v>S2</v>
      </c>
      <c r="C138" s="121" t="str">
        <f>IFERROR(__xludf.DUMMYFUNCTION("""COMPUTED_VALUE"""),"CORE")</f>
        <v>CORE</v>
      </c>
      <c r="D138" s="121" t="str">
        <f>IFERROR(__xludf.DUMMYFUNCTION("""COMPUTED_VALUE"""),"22MA201")</f>
        <v>22MA201</v>
      </c>
      <c r="E138" s="131" t="str">
        <f>IFERROR(__xludf.DUMMYFUNCTION("""COMPUTED_VALUE"""),"ENGINEERING MATHEMATICS II")</f>
        <v>ENGINEERING MATHEMATICS II</v>
      </c>
      <c r="F138" s="121" t="str">
        <f>IFERROR(__xludf.DUMMYFUNCTION("""COMPUTED_VALUE"""),"THEORY")</f>
        <v>THEORY</v>
      </c>
      <c r="G138" s="121">
        <f>IFERROR(__xludf.DUMMYFUNCTION("""COMPUTED_VALUE"""),3.0)</f>
        <v>3</v>
      </c>
      <c r="H138" s="121">
        <f>IFERROR(__xludf.DUMMYFUNCTION("""COMPUTED_VALUE"""),1.0)</f>
        <v>1</v>
      </c>
      <c r="I138" s="121">
        <f>IFERROR(__xludf.DUMMYFUNCTION("""COMPUTED_VALUE"""),0.0)</f>
        <v>0</v>
      </c>
      <c r="J138" s="121">
        <f>IFERROR(__xludf.DUMMYFUNCTION("""COMPUTED_VALUE"""),4.0)</f>
        <v>4</v>
      </c>
      <c r="K138" s="132" t="str">
        <f>IFERROR(__xludf.DUMMYFUNCTION("""COMPUTED_VALUE"""),"MA11028")</f>
        <v>MA11028</v>
      </c>
      <c r="L138" s="121" t="str">
        <f>IFERROR(__xludf.DUMMYFUNCTION("""COMPUTED_VALUE"""),"Mr.SURESH R")</f>
        <v>Mr.SURESH R</v>
      </c>
      <c r="M138" s="121" t="str">
        <f>IFERROR(__xludf.DUMMYFUNCTION("""COMPUTED_VALUE"""),"sureshr@bitsathy.ac.in")</f>
        <v>sureshr@bitsathy.ac.in</v>
      </c>
    </row>
    <row r="139" ht="49.5" customHeight="1">
      <c r="A139" s="121" t="str">
        <f>IFERROR(__xludf.DUMMYFUNCTION("""COMPUTED_VALUE"""),"AIML")</f>
        <v>AIML</v>
      </c>
      <c r="B139" s="121" t="str">
        <f>IFERROR(__xludf.DUMMYFUNCTION("""COMPUTED_VALUE"""),"S2")</f>
        <v>S2</v>
      </c>
      <c r="C139" s="121" t="str">
        <f>IFERROR(__xludf.DUMMYFUNCTION("""COMPUTED_VALUE"""),"CORE")</f>
        <v>CORE</v>
      </c>
      <c r="D139" s="121" t="str">
        <f>IFERROR(__xludf.DUMMYFUNCTION("""COMPUTED_VALUE"""),"22PH202")</f>
        <v>22PH202</v>
      </c>
      <c r="E139" s="131" t="str">
        <f>IFERROR(__xludf.DUMMYFUNCTION("""COMPUTED_VALUE"""),"ELECTROMAGNETISM AND MODERN PHYSICS")</f>
        <v>ELECTROMAGNETISM AND MODERN PHYSICS</v>
      </c>
      <c r="F139" s="121" t="str">
        <f>IFERROR(__xludf.DUMMYFUNCTION("""COMPUTED_VALUE"""),"THEORY WITH LAB")</f>
        <v>THEORY WITH LAB</v>
      </c>
      <c r="G139" s="121">
        <f>IFERROR(__xludf.DUMMYFUNCTION("""COMPUTED_VALUE"""),2.0)</f>
        <v>2</v>
      </c>
      <c r="H139" s="121">
        <f>IFERROR(__xludf.DUMMYFUNCTION("""COMPUTED_VALUE"""),0.0)</f>
        <v>0</v>
      </c>
      <c r="I139" s="121">
        <f>IFERROR(__xludf.DUMMYFUNCTION("""COMPUTED_VALUE"""),2.0)</f>
        <v>2</v>
      </c>
      <c r="J139" s="121">
        <f>IFERROR(__xludf.DUMMYFUNCTION("""COMPUTED_VALUE"""),3.0)</f>
        <v>3</v>
      </c>
      <c r="K139" s="132" t="str">
        <f>IFERROR(__xludf.DUMMYFUNCTION("""COMPUTED_VALUE"""),"PH1407")</f>
        <v>PH1407</v>
      </c>
      <c r="L139" s="121" t="str">
        <f>IFERROR(__xludf.DUMMYFUNCTION("""COMPUTED_VALUE"""),"Dr.VIJAYAKUMAR V N")</f>
        <v>Dr.VIJAYAKUMAR V N</v>
      </c>
      <c r="M139" s="133" t="str">
        <f>IFERROR(__xludf.DUMMYFUNCTION("""COMPUTED_VALUE"""),"vijayakumarvn@bitsathy.ac.in")</f>
        <v>vijayakumarvn@bitsathy.ac.in</v>
      </c>
    </row>
    <row r="140" ht="49.5" customHeight="1">
      <c r="A140" s="121" t="str">
        <f>IFERROR(__xludf.DUMMYFUNCTION("""COMPUTED_VALUE"""),"AIML")</f>
        <v>AIML</v>
      </c>
      <c r="B140" s="121" t="str">
        <f>IFERROR(__xludf.DUMMYFUNCTION("""COMPUTED_VALUE"""),"S2")</f>
        <v>S2</v>
      </c>
      <c r="C140" s="121" t="str">
        <f>IFERROR(__xludf.DUMMYFUNCTION("""COMPUTED_VALUE"""),"CORE")</f>
        <v>CORE</v>
      </c>
      <c r="D140" s="121" t="str">
        <f>IFERROR(__xludf.DUMMYFUNCTION("""COMPUTED_VALUE"""),"22PH202")</f>
        <v>22PH202</v>
      </c>
      <c r="E140" s="131" t="str">
        <f>IFERROR(__xludf.DUMMYFUNCTION("""COMPUTED_VALUE"""),"ELECTROMAGNETISM AND MODERN PHYSICS")</f>
        <v>ELECTROMAGNETISM AND MODERN PHYSICS</v>
      </c>
      <c r="F140" s="121" t="str">
        <f>IFERROR(__xludf.DUMMYFUNCTION("""COMPUTED_VALUE"""),"THEORY WITH LAB")</f>
        <v>THEORY WITH LAB</v>
      </c>
      <c r="G140" s="121">
        <f>IFERROR(__xludf.DUMMYFUNCTION("""COMPUTED_VALUE"""),2.0)</f>
        <v>2</v>
      </c>
      <c r="H140" s="121">
        <f>IFERROR(__xludf.DUMMYFUNCTION("""COMPUTED_VALUE"""),0.0)</f>
        <v>0</v>
      </c>
      <c r="I140" s="121">
        <f>IFERROR(__xludf.DUMMYFUNCTION("""COMPUTED_VALUE"""),2.0)</f>
        <v>2</v>
      </c>
      <c r="J140" s="121">
        <f>IFERROR(__xludf.DUMMYFUNCTION("""COMPUTED_VALUE"""),3.0)</f>
        <v>3</v>
      </c>
      <c r="K140" s="132" t="str">
        <f>IFERROR(__xludf.DUMMYFUNCTION("""COMPUTED_VALUE"""),"PH10457")</f>
        <v>PH10457</v>
      </c>
      <c r="L140" s="121" t="str">
        <f>IFERROR(__xludf.DUMMYFUNCTION("""COMPUTED_VALUE"""),"Dr.THIRUMOORTHY M")</f>
        <v>Dr.THIRUMOORTHY M</v>
      </c>
      <c r="M140" s="121" t="str">
        <f>IFERROR(__xludf.DUMMYFUNCTION("""COMPUTED_VALUE"""),"thirumoorthy@bitsathy.ac.in")</f>
        <v>thirumoorthy@bitsathy.ac.in</v>
      </c>
    </row>
    <row r="141" ht="49.5" customHeight="1">
      <c r="A141" s="121" t="str">
        <f>IFERROR(__xludf.DUMMYFUNCTION("""COMPUTED_VALUE"""),"AIML")</f>
        <v>AIML</v>
      </c>
      <c r="B141" s="121" t="str">
        <f>IFERROR(__xludf.DUMMYFUNCTION("""COMPUTED_VALUE"""),"S2")</f>
        <v>S2</v>
      </c>
      <c r="C141" s="121" t="str">
        <f>IFERROR(__xludf.DUMMYFUNCTION("""COMPUTED_VALUE"""),"CORE")</f>
        <v>CORE</v>
      </c>
      <c r="D141" s="121" t="str">
        <f>IFERROR(__xludf.DUMMYFUNCTION("""COMPUTED_VALUE"""),"22PH202")</f>
        <v>22PH202</v>
      </c>
      <c r="E141" s="131" t="str">
        <f>IFERROR(__xludf.DUMMYFUNCTION("""COMPUTED_VALUE"""),"ELECTROMAGNETISM AND MODERN PHYSICS")</f>
        <v>ELECTROMAGNETISM AND MODERN PHYSICS</v>
      </c>
      <c r="F141" s="121" t="str">
        <f>IFERROR(__xludf.DUMMYFUNCTION("""COMPUTED_VALUE"""),"THEORY WITH LAB")</f>
        <v>THEORY WITH LAB</v>
      </c>
      <c r="G141" s="121">
        <f>IFERROR(__xludf.DUMMYFUNCTION("""COMPUTED_VALUE"""),2.0)</f>
        <v>2</v>
      </c>
      <c r="H141" s="121">
        <f>IFERROR(__xludf.DUMMYFUNCTION("""COMPUTED_VALUE"""),0.0)</f>
        <v>0</v>
      </c>
      <c r="I141" s="121">
        <f>IFERROR(__xludf.DUMMYFUNCTION("""COMPUTED_VALUE"""),2.0)</f>
        <v>2</v>
      </c>
      <c r="J141" s="121">
        <f>IFERROR(__xludf.DUMMYFUNCTION("""COMPUTED_VALUE"""),3.0)</f>
        <v>3</v>
      </c>
      <c r="K141" s="132" t="str">
        <f>IFERROR(__xludf.DUMMYFUNCTION("""COMPUTED_VALUE"""),"PH1889")</f>
        <v>PH1889</v>
      </c>
      <c r="L141" s="121" t="str">
        <f>IFERROR(__xludf.DUMMYFUNCTION("""COMPUTED_VALUE"""),"Dr.ROHINI P")</f>
        <v>Dr.ROHINI P</v>
      </c>
      <c r="M141" s="121" t="str">
        <f>IFERROR(__xludf.DUMMYFUNCTION("""COMPUTED_VALUE"""),"rohinip@bitsathy.ac.in")</f>
        <v>rohinip@bitsathy.ac.in</v>
      </c>
    </row>
    <row r="142" ht="49.5" customHeight="1">
      <c r="A142" s="121" t="str">
        <f>IFERROR(__xludf.DUMMYFUNCTION("""COMPUTED_VALUE"""),"AIML")</f>
        <v>AIML</v>
      </c>
      <c r="B142" s="121" t="str">
        <f>IFERROR(__xludf.DUMMYFUNCTION("""COMPUTED_VALUE"""),"S2")</f>
        <v>S2</v>
      </c>
      <c r="C142" s="121" t="str">
        <f>IFERROR(__xludf.DUMMYFUNCTION("""COMPUTED_VALUE"""),"CORE")</f>
        <v>CORE</v>
      </c>
      <c r="D142" s="121" t="str">
        <f>IFERROR(__xludf.DUMMYFUNCTION("""COMPUTED_VALUE"""),"22CH203")</f>
        <v>22CH203</v>
      </c>
      <c r="E142" s="131" t="str">
        <f>IFERROR(__xludf.DUMMYFUNCTION("""COMPUTED_VALUE"""),"ENGINEERING CHEMISTRY II")</f>
        <v>ENGINEERING CHEMISTRY II</v>
      </c>
      <c r="F142" s="121" t="str">
        <f>IFERROR(__xludf.DUMMYFUNCTION("""COMPUTED_VALUE"""),"THEORY WITH LAB")</f>
        <v>THEORY WITH LAB</v>
      </c>
      <c r="G142" s="121">
        <f>IFERROR(__xludf.DUMMYFUNCTION("""COMPUTED_VALUE"""),2.0)</f>
        <v>2</v>
      </c>
      <c r="H142" s="121">
        <f>IFERROR(__xludf.DUMMYFUNCTION("""COMPUTED_VALUE"""),0.0)</f>
        <v>0</v>
      </c>
      <c r="I142" s="121">
        <f>IFERROR(__xludf.DUMMYFUNCTION("""COMPUTED_VALUE"""),2.0)</f>
        <v>2</v>
      </c>
      <c r="J142" s="121">
        <f>IFERROR(__xludf.DUMMYFUNCTION("""COMPUTED_VALUE"""),3.0)</f>
        <v>3</v>
      </c>
      <c r="K142" s="132" t="str">
        <f>IFERROR(__xludf.DUMMYFUNCTION("""COMPUTED_VALUE"""),"CH10225")</f>
        <v>CH10225</v>
      </c>
      <c r="L142" s="121" t="str">
        <f>IFERROR(__xludf.DUMMYFUNCTION("""COMPUTED_VALUE"""),"Dr.MUTHUKUMAR P")</f>
        <v>Dr.MUTHUKUMAR P</v>
      </c>
      <c r="M142" s="121" t="str">
        <f>IFERROR(__xludf.DUMMYFUNCTION("""COMPUTED_VALUE"""),"muthukumar@bitsathy.ac.in")</f>
        <v>muthukumar@bitsathy.ac.in</v>
      </c>
    </row>
    <row r="143" ht="49.5" customHeight="1">
      <c r="A143" s="121" t="str">
        <f>IFERROR(__xludf.DUMMYFUNCTION("""COMPUTED_VALUE"""),"AIML")</f>
        <v>AIML</v>
      </c>
      <c r="B143" s="121" t="str">
        <f>IFERROR(__xludf.DUMMYFUNCTION("""COMPUTED_VALUE"""),"S2")</f>
        <v>S2</v>
      </c>
      <c r="C143" s="121" t="str">
        <f>IFERROR(__xludf.DUMMYFUNCTION("""COMPUTED_VALUE"""),"CORE")</f>
        <v>CORE</v>
      </c>
      <c r="D143" s="121" t="str">
        <f>IFERROR(__xludf.DUMMYFUNCTION("""COMPUTED_VALUE"""),"22CH203")</f>
        <v>22CH203</v>
      </c>
      <c r="E143" s="131" t="str">
        <f>IFERROR(__xludf.DUMMYFUNCTION("""COMPUTED_VALUE"""),"ENGINEERING CHEMISTRY II")</f>
        <v>ENGINEERING CHEMISTRY II</v>
      </c>
      <c r="F143" s="121" t="str">
        <f>IFERROR(__xludf.DUMMYFUNCTION("""COMPUTED_VALUE"""),"THEORY WITH LAB")</f>
        <v>THEORY WITH LAB</v>
      </c>
      <c r="G143" s="121">
        <f>IFERROR(__xludf.DUMMYFUNCTION("""COMPUTED_VALUE"""),2.0)</f>
        <v>2</v>
      </c>
      <c r="H143" s="121">
        <f>IFERROR(__xludf.DUMMYFUNCTION("""COMPUTED_VALUE"""),0.0)</f>
        <v>0</v>
      </c>
      <c r="I143" s="121">
        <f>IFERROR(__xludf.DUMMYFUNCTION("""COMPUTED_VALUE"""),2.0)</f>
        <v>2</v>
      </c>
      <c r="J143" s="121">
        <f>IFERROR(__xludf.DUMMYFUNCTION("""COMPUTED_VALUE"""),3.0)</f>
        <v>3</v>
      </c>
      <c r="K143" s="132" t="str">
        <f>IFERROR(__xludf.DUMMYFUNCTION("""COMPUTED_VALUE"""),"CH11126")</f>
        <v>CH11126</v>
      </c>
      <c r="L143" s="121" t="str">
        <f>IFERROR(__xludf.DUMMYFUNCTION("""COMPUTED_VALUE"""),"Dr.JESIN BENETO A")</f>
        <v>Dr.JESIN BENETO A</v>
      </c>
      <c r="M143" s="133" t="str">
        <f>IFERROR(__xludf.DUMMYFUNCTION("""COMPUTED_VALUE"""),"jesinbeneto@bitsathy.ac.in")</f>
        <v>jesinbeneto@bitsathy.ac.in</v>
      </c>
    </row>
    <row r="144" ht="49.5" customHeight="1">
      <c r="A144" s="121" t="str">
        <f>IFERROR(__xludf.DUMMYFUNCTION("""COMPUTED_VALUE"""),"AIML")</f>
        <v>AIML</v>
      </c>
      <c r="B144" s="121" t="str">
        <f>IFERROR(__xludf.DUMMYFUNCTION("""COMPUTED_VALUE"""),"S2")</f>
        <v>S2</v>
      </c>
      <c r="C144" s="121" t="str">
        <f>IFERROR(__xludf.DUMMYFUNCTION("""COMPUTED_VALUE"""),"CORE")</f>
        <v>CORE</v>
      </c>
      <c r="D144" s="121" t="str">
        <f>IFERROR(__xludf.DUMMYFUNCTION("""COMPUTED_VALUE"""),"22CH203")</f>
        <v>22CH203</v>
      </c>
      <c r="E144" s="131" t="str">
        <f>IFERROR(__xludf.DUMMYFUNCTION("""COMPUTED_VALUE"""),"ENGINEERING CHEMISTRY II")</f>
        <v>ENGINEERING CHEMISTRY II</v>
      </c>
      <c r="F144" s="121" t="str">
        <f>IFERROR(__xludf.DUMMYFUNCTION("""COMPUTED_VALUE"""),"THEORY WITH LAB")</f>
        <v>THEORY WITH LAB</v>
      </c>
      <c r="G144" s="121">
        <f>IFERROR(__xludf.DUMMYFUNCTION("""COMPUTED_VALUE"""),2.0)</f>
        <v>2</v>
      </c>
      <c r="H144" s="121">
        <f>IFERROR(__xludf.DUMMYFUNCTION("""COMPUTED_VALUE"""),0.0)</f>
        <v>0</v>
      </c>
      <c r="I144" s="121">
        <f>IFERROR(__xludf.DUMMYFUNCTION("""COMPUTED_VALUE"""),2.0)</f>
        <v>2</v>
      </c>
      <c r="J144" s="121">
        <f>IFERROR(__xludf.DUMMYFUNCTION("""COMPUTED_VALUE"""),3.0)</f>
        <v>3</v>
      </c>
      <c r="K144" s="132" t="str">
        <f>IFERROR(__xludf.DUMMYFUNCTION("""COMPUTED_VALUE"""),"CH11156")</f>
        <v>CH11156</v>
      </c>
      <c r="L144" s="121" t="str">
        <f>IFERROR(__xludf.DUMMYFUNCTION("""COMPUTED_VALUE"""),"Dr.KASTHURI S")</f>
        <v>Dr.KASTHURI S</v>
      </c>
      <c r="M144" s="133" t="str">
        <f>IFERROR(__xludf.DUMMYFUNCTION("""COMPUTED_VALUE"""),"kasthuris@bitsathy.ac.in")</f>
        <v>kasthuris@bitsathy.ac.in</v>
      </c>
    </row>
    <row r="145" ht="49.5" customHeight="1">
      <c r="A145" s="121" t="str">
        <f>IFERROR(__xludf.DUMMYFUNCTION("""COMPUTED_VALUE"""),"AIML")</f>
        <v>AIML</v>
      </c>
      <c r="B145" s="121" t="str">
        <f>IFERROR(__xludf.DUMMYFUNCTION("""COMPUTED_VALUE"""),"S2")</f>
        <v>S2</v>
      </c>
      <c r="C145" s="121" t="str">
        <f>IFERROR(__xludf.DUMMYFUNCTION("""COMPUTED_VALUE"""),"CORE")</f>
        <v>CORE</v>
      </c>
      <c r="D145" s="121" t="str">
        <f>IFERROR(__xludf.DUMMYFUNCTION("""COMPUTED_VALUE"""),"22GE002")</f>
        <v>22GE002</v>
      </c>
      <c r="E145" s="131" t="str">
        <f>IFERROR(__xludf.DUMMYFUNCTION("""COMPUTED_VALUE"""),"COMPUTATIONAL PROBLEM SOLVING")</f>
        <v>COMPUTATIONAL PROBLEM SOLVING</v>
      </c>
      <c r="F145" s="121" t="str">
        <f>IFERROR(__xludf.DUMMYFUNCTION("""COMPUTED_VALUE"""),"THEORY")</f>
        <v>THEORY</v>
      </c>
      <c r="G145" s="121">
        <f>IFERROR(__xludf.DUMMYFUNCTION("""COMPUTED_VALUE"""),3.0)</f>
        <v>3</v>
      </c>
      <c r="H145" s="121">
        <f>IFERROR(__xludf.DUMMYFUNCTION("""COMPUTED_VALUE"""),0.0)</f>
        <v>0</v>
      </c>
      <c r="I145" s="121">
        <f>IFERROR(__xludf.DUMMYFUNCTION("""COMPUTED_VALUE"""),0.0)</f>
        <v>0</v>
      </c>
      <c r="J145" s="121">
        <f>IFERROR(__xludf.DUMMYFUNCTION("""COMPUTED_VALUE"""),3.0)</f>
        <v>3</v>
      </c>
      <c r="K145" s="132" t="str">
        <f>IFERROR(__xludf.DUMMYFUNCTION("""COMPUTED_VALUE"""),"AM1025")</f>
        <v>AM1025</v>
      </c>
      <c r="L145" s="121" t="str">
        <f>IFERROR(__xludf.DUMMYFUNCTION("""COMPUTED_VALUE"""),"Dr.BHARATHI A")</f>
        <v>Dr.BHARATHI A</v>
      </c>
      <c r="M145" s="121" t="str">
        <f>IFERROR(__xludf.DUMMYFUNCTION("""COMPUTED_VALUE"""),"bharathia@bitsathy.ac.in")</f>
        <v>bharathia@bitsathy.ac.in</v>
      </c>
    </row>
    <row r="146" ht="49.5" customHeight="1">
      <c r="A146" s="121" t="str">
        <f>IFERROR(__xludf.DUMMYFUNCTION("""COMPUTED_VALUE"""),"AIML")</f>
        <v>AIML</v>
      </c>
      <c r="B146" s="121" t="str">
        <f>IFERROR(__xludf.DUMMYFUNCTION("""COMPUTED_VALUE"""),"S2")</f>
        <v>S2</v>
      </c>
      <c r="C146" s="121" t="str">
        <f>IFERROR(__xludf.DUMMYFUNCTION("""COMPUTED_VALUE"""),"CORE")</f>
        <v>CORE</v>
      </c>
      <c r="D146" s="121" t="str">
        <f>IFERROR(__xludf.DUMMYFUNCTION("""COMPUTED_VALUE"""),"22GE002")</f>
        <v>22GE002</v>
      </c>
      <c r="E146" s="131" t="str">
        <f>IFERROR(__xludf.DUMMYFUNCTION("""COMPUTED_VALUE"""),"COMPUTATIONAL PROBLEM SOLVING")</f>
        <v>COMPUTATIONAL PROBLEM SOLVING</v>
      </c>
      <c r="F146" s="121" t="str">
        <f>IFERROR(__xludf.DUMMYFUNCTION("""COMPUTED_VALUE"""),"THEORY")</f>
        <v>THEORY</v>
      </c>
      <c r="G146" s="121">
        <f>IFERROR(__xludf.DUMMYFUNCTION("""COMPUTED_VALUE"""),3.0)</f>
        <v>3</v>
      </c>
      <c r="H146" s="121">
        <f>IFERROR(__xludf.DUMMYFUNCTION("""COMPUTED_VALUE"""),0.0)</f>
        <v>0</v>
      </c>
      <c r="I146" s="121">
        <f>IFERROR(__xludf.DUMMYFUNCTION("""COMPUTED_VALUE"""),0.0)</f>
        <v>0</v>
      </c>
      <c r="J146" s="121">
        <f>IFERROR(__xludf.DUMMYFUNCTION("""COMPUTED_VALUE"""),3.0)</f>
        <v>3</v>
      </c>
      <c r="K146" s="132" t="str">
        <f>IFERROR(__xludf.DUMMYFUNCTION("""COMPUTED_VALUE"""),"AM1131")</f>
        <v>AM1131</v>
      </c>
      <c r="L146" s="121" t="str">
        <f>IFERROR(__xludf.DUMMYFUNCTION("""COMPUTED_VALUE"""),"Dr.GOPALAKRISHNAN B")</f>
        <v>Dr.GOPALAKRISHNAN B</v>
      </c>
      <c r="M146" s="121" t="str">
        <f>IFERROR(__xludf.DUMMYFUNCTION("""COMPUTED_VALUE"""),"gopalakrishnanb@bitsathy.ac.in")</f>
        <v>gopalakrishnanb@bitsathy.ac.in</v>
      </c>
    </row>
    <row r="147" ht="49.5" customHeight="1">
      <c r="A147" s="121" t="str">
        <f>IFERROR(__xludf.DUMMYFUNCTION("""COMPUTED_VALUE"""),"AIML")</f>
        <v>AIML</v>
      </c>
      <c r="B147" s="121" t="str">
        <f>IFERROR(__xludf.DUMMYFUNCTION("""COMPUTED_VALUE"""),"S2")</f>
        <v>S2</v>
      </c>
      <c r="C147" s="121" t="str">
        <f>IFERROR(__xludf.DUMMYFUNCTION("""COMPUTED_VALUE"""),"CORE")</f>
        <v>CORE</v>
      </c>
      <c r="D147" s="121" t="str">
        <f>IFERROR(__xludf.DUMMYFUNCTION("""COMPUTED_VALUE"""),"22GE002")</f>
        <v>22GE002</v>
      </c>
      <c r="E147" s="131" t="str">
        <f>IFERROR(__xludf.DUMMYFUNCTION("""COMPUTED_VALUE"""),"COMPUTATIONAL PROBLEM SOLVING")</f>
        <v>COMPUTATIONAL PROBLEM SOLVING</v>
      </c>
      <c r="F147" s="121" t="str">
        <f>IFERROR(__xludf.DUMMYFUNCTION("""COMPUTED_VALUE"""),"THEORY")</f>
        <v>THEORY</v>
      </c>
      <c r="G147" s="121">
        <f>IFERROR(__xludf.DUMMYFUNCTION("""COMPUTED_VALUE"""),3.0)</f>
        <v>3</v>
      </c>
      <c r="H147" s="121">
        <f>IFERROR(__xludf.DUMMYFUNCTION("""COMPUTED_VALUE"""),0.0)</f>
        <v>0</v>
      </c>
      <c r="I147" s="121">
        <f>IFERROR(__xludf.DUMMYFUNCTION("""COMPUTED_VALUE"""),0.0)</f>
        <v>0</v>
      </c>
      <c r="J147" s="121">
        <f>IFERROR(__xludf.DUMMYFUNCTION("""COMPUTED_VALUE"""),3.0)</f>
        <v>3</v>
      </c>
      <c r="K147" s="132" t="str">
        <f>IFERROR(__xludf.DUMMYFUNCTION("""COMPUTED_VALUE"""),"AM10795")</f>
        <v>AM10795</v>
      </c>
      <c r="L147" s="121" t="str">
        <f>IFERROR(__xludf.DUMMYFUNCTION("""COMPUTED_VALUE"""),"Dr.PADMASHREE A")</f>
        <v>Dr.PADMASHREE A</v>
      </c>
      <c r="M147" s="121" t="str">
        <f>IFERROR(__xludf.DUMMYFUNCTION("""COMPUTED_VALUE"""),"padmashreea@bitsathy.ac.in")</f>
        <v>padmashreea@bitsathy.ac.in</v>
      </c>
    </row>
    <row r="148" ht="49.5" customHeight="1">
      <c r="A148" s="121" t="str">
        <f>IFERROR(__xludf.DUMMYFUNCTION("""COMPUTED_VALUE"""),"AIML")</f>
        <v>AIML</v>
      </c>
      <c r="B148" s="121" t="str">
        <f>IFERROR(__xludf.DUMMYFUNCTION("""COMPUTED_VALUE"""),"S2")</f>
        <v>S2</v>
      </c>
      <c r="C148" s="121" t="str">
        <f>IFERROR(__xludf.DUMMYFUNCTION("""COMPUTED_VALUE"""),"CORE")</f>
        <v>CORE</v>
      </c>
      <c r="D148" s="121" t="str">
        <f>IFERROR(__xludf.DUMMYFUNCTION("""COMPUTED_VALUE"""),"22GE003")</f>
        <v>22GE003</v>
      </c>
      <c r="E148" s="131" t="str">
        <f>IFERROR(__xludf.DUMMYFUNCTION("""COMPUTED_VALUE"""),"BASICS OF ELECTRICAL ENGINEERING")</f>
        <v>BASICS OF ELECTRICAL ENGINEERING</v>
      </c>
      <c r="F148" s="121" t="str">
        <f>IFERROR(__xludf.DUMMYFUNCTION("""COMPUTED_VALUE"""),"THEORY WITH LAB")</f>
        <v>THEORY WITH LAB</v>
      </c>
      <c r="G148" s="121">
        <f>IFERROR(__xludf.DUMMYFUNCTION("""COMPUTED_VALUE"""),2.0)</f>
        <v>2</v>
      </c>
      <c r="H148" s="121">
        <f>IFERROR(__xludf.DUMMYFUNCTION("""COMPUTED_VALUE"""),0.0)</f>
        <v>0</v>
      </c>
      <c r="I148" s="121">
        <f>IFERROR(__xludf.DUMMYFUNCTION("""COMPUTED_VALUE"""),2.0)</f>
        <v>2</v>
      </c>
      <c r="J148" s="121">
        <f>IFERROR(__xludf.DUMMYFUNCTION("""COMPUTED_VALUE"""),3.0)</f>
        <v>3</v>
      </c>
      <c r="K148" s="132" t="str">
        <f>IFERROR(__xludf.DUMMYFUNCTION("""COMPUTED_VALUE"""),"EE10652")</f>
        <v>EE10652</v>
      </c>
      <c r="L148" s="121" t="str">
        <f>IFERROR(__xludf.DUMMYFUNCTION("""COMPUTED_VALUE"""),"Mr.RISHIKESH N")</f>
        <v>Mr.RISHIKESH N</v>
      </c>
      <c r="M148" s="121" t="str">
        <f>IFERROR(__xludf.DUMMYFUNCTION("""COMPUTED_VALUE"""),"rishikesh@bitsathy.ac.in")</f>
        <v>rishikesh@bitsathy.ac.in</v>
      </c>
    </row>
    <row r="149" ht="49.5" customHeight="1">
      <c r="A149" s="121" t="str">
        <f>IFERROR(__xludf.DUMMYFUNCTION("""COMPUTED_VALUE"""),"AIML")</f>
        <v>AIML</v>
      </c>
      <c r="B149" s="121" t="str">
        <f>IFERROR(__xludf.DUMMYFUNCTION("""COMPUTED_VALUE"""),"S2")</f>
        <v>S2</v>
      </c>
      <c r="C149" s="121" t="str">
        <f>IFERROR(__xludf.DUMMYFUNCTION("""COMPUTED_VALUE"""),"CORE")</f>
        <v>CORE</v>
      </c>
      <c r="D149" s="121" t="str">
        <f>IFERROR(__xludf.DUMMYFUNCTION("""COMPUTED_VALUE"""),"22GE003")</f>
        <v>22GE003</v>
      </c>
      <c r="E149" s="131" t="str">
        <f>IFERROR(__xludf.DUMMYFUNCTION("""COMPUTED_VALUE"""),"BASICS OF ELECTRICAL ENGINEERING")</f>
        <v>BASICS OF ELECTRICAL ENGINEERING</v>
      </c>
      <c r="F149" s="121" t="str">
        <f>IFERROR(__xludf.DUMMYFUNCTION("""COMPUTED_VALUE"""),"THEORY WITH LAB")</f>
        <v>THEORY WITH LAB</v>
      </c>
      <c r="G149" s="121">
        <f>IFERROR(__xludf.DUMMYFUNCTION("""COMPUTED_VALUE"""),2.0)</f>
        <v>2</v>
      </c>
      <c r="H149" s="121">
        <f>IFERROR(__xludf.DUMMYFUNCTION("""COMPUTED_VALUE"""),0.0)</f>
        <v>0</v>
      </c>
      <c r="I149" s="121">
        <f>IFERROR(__xludf.DUMMYFUNCTION("""COMPUTED_VALUE"""),2.0)</f>
        <v>2</v>
      </c>
      <c r="J149" s="121">
        <f>IFERROR(__xludf.DUMMYFUNCTION("""COMPUTED_VALUE"""),3.0)</f>
        <v>3</v>
      </c>
      <c r="K149" s="132" t="str">
        <f>IFERROR(__xludf.DUMMYFUNCTION("""COMPUTED_VALUE"""),"EE10883")</f>
        <v>EE10883</v>
      </c>
      <c r="L149" s="121" t="str">
        <f>IFERROR(__xludf.DUMMYFUNCTION("""COMPUTED_VALUE"""),"Dr.GOLDVIN SUGIRTHA DHAS B")</f>
        <v>Dr.GOLDVIN SUGIRTHA DHAS B</v>
      </c>
      <c r="M149" s="121" t="str">
        <f>IFERROR(__xludf.DUMMYFUNCTION("""COMPUTED_VALUE"""),"goldvinsugirthadhasb@bitsathy.ac.in")</f>
        <v>goldvinsugirthadhasb@bitsathy.ac.in</v>
      </c>
    </row>
    <row r="150" ht="49.5" customHeight="1">
      <c r="A150" s="121" t="str">
        <f>IFERROR(__xludf.DUMMYFUNCTION("""COMPUTED_VALUE"""),"AIML")</f>
        <v>AIML</v>
      </c>
      <c r="B150" s="121" t="str">
        <f>IFERROR(__xludf.DUMMYFUNCTION("""COMPUTED_VALUE"""),"S2")</f>
        <v>S2</v>
      </c>
      <c r="C150" s="121" t="str">
        <f>IFERROR(__xludf.DUMMYFUNCTION("""COMPUTED_VALUE"""),"CORE")</f>
        <v>CORE</v>
      </c>
      <c r="D150" s="121" t="str">
        <f>IFERROR(__xludf.DUMMYFUNCTION("""COMPUTED_VALUE"""),"22GE003")</f>
        <v>22GE003</v>
      </c>
      <c r="E150" s="131" t="str">
        <f>IFERROR(__xludf.DUMMYFUNCTION("""COMPUTED_VALUE"""),"BASICS OF ELECTRICAL ENGINEERING")</f>
        <v>BASICS OF ELECTRICAL ENGINEERING</v>
      </c>
      <c r="F150" s="121" t="str">
        <f>IFERROR(__xludf.DUMMYFUNCTION("""COMPUTED_VALUE"""),"THEORY WITH LAB")</f>
        <v>THEORY WITH LAB</v>
      </c>
      <c r="G150" s="121">
        <f>IFERROR(__xludf.DUMMYFUNCTION("""COMPUTED_VALUE"""),2.0)</f>
        <v>2</v>
      </c>
      <c r="H150" s="121">
        <f>IFERROR(__xludf.DUMMYFUNCTION("""COMPUTED_VALUE"""),0.0)</f>
        <v>0</v>
      </c>
      <c r="I150" s="121">
        <f>IFERROR(__xludf.DUMMYFUNCTION("""COMPUTED_VALUE"""),2.0)</f>
        <v>2</v>
      </c>
      <c r="J150" s="121">
        <f>IFERROR(__xludf.DUMMYFUNCTION("""COMPUTED_VALUE"""),3.0)</f>
        <v>3</v>
      </c>
      <c r="K150" s="132" t="str">
        <f>IFERROR(__xludf.DUMMYFUNCTION("""COMPUTED_VALUE"""),"EE10155")</f>
        <v>EE10155</v>
      </c>
      <c r="L150" s="121" t="str">
        <f>IFERROR(__xludf.DUMMYFUNCTION("""COMPUTED_VALUE"""),"Dr.ALEX STANLEY RAJA T")</f>
        <v>Dr.ALEX STANLEY RAJA T</v>
      </c>
      <c r="M150" s="121" t="str">
        <f>IFERROR(__xludf.DUMMYFUNCTION("""COMPUTED_VALUE"""),"alexstanleyraja@bitsathy.ac.in")</f>
        <v>alexstanleyraja@bitsathy.ac.in</v>
      </c>
    </row>
    <row r="151" ht="49.5" customHeight="1">
      <c r="A151" s="121" t="str">
        <f>IFERROR(__xludf.DUMMYFUNCTION("""COMPUTED_VALUE"""),"AIML")</f>
        <v>AIML</v>
      </c>
      <c r="B151" s="121" t="str">
        <f>IFERROR(__xludf.DUMMYFUNCTION("""COMPUTED_VALUE"""),"S2")</f>
        <v>S2</v>
      </c>
      <c r="C151" s="121" t="str">
        <f>IFERROR(__xludf.DUMMYFUNCTION("""COMPUTED_VALUE"""),"CORE")</f>
        <v>CORE</v>
      </c>
      <c r="D151" s="121" t="str">
        <f>IFERROR(__xludf.DUMMYFUNCTION("""COMPUTED_VALUE"""),"22AM206")</f>
        <v>22AM206</v>
      </c>
      <c r="E151" s="131" t="str">
        <f>IFERROR(__xludf.DUMMYFUNCTION("""COMPUTED_VALUE"""),"DIGITAL COMPUTER ELECTRONICS ")</f>
        <v>DIGITAL COMPUTER ELECTRONICS </v>
      </c>
      <c r="F151" s="121" t="str">
        <f>IFERROR(__xludf.DUMMYFUNCTION("""COMPUTED_VALUE"""),"THEORY WITH LAB")</f>
        <v>THEORY WITH LAB</v>
      </c>
      <c r="G151" s="121">
        <f>IFERROR(__xludf.DUMMYFUNCTION("""COMPUTED_VALUE"""),3.0)</f>
        <v>3</v>
      </c>
      <c r="H151" s="121">
        <f>IFERROR(__xludf.DUMMYFUNCTION("""COMPUTED_VALUE"""),0.0)</f>
        <v>0</v>
      </c>
      <c r="I151" s="121">
        <f>IFERROR(__xludf.DUMMYFUNCTION("""COMPUTED_VALUE"""),2.0)</f>
        <v>2</v>
      </c>
      <c r="J151" s="121">
        <f>IFERROR(__xludf.DUMMYFUNCTION("""COMPUTED_VALUE"""),4.0)</f>
        <v>4</v>
      </c>
      <c r="K151" s="132" t="str">
        <f>IFERROR(__xludf.DUMMYFUNCTION("""COMPUTED_VALUE"""),"AM11100")</f>
        <v>AM11100</v>
      </c>
      <c r="L151" s="121" t="str">
        <f>IFERROR(__xludf.DUMMYFUNCTION("""COMPUTED_VALUE"""),"Ms.NISHANTHINI S")</f>
        <v>Ms.NISHANTHINI S</v>
      </c>
      <c r="M151" s="121" t="str">
        <f>IFERROR(__xludf.DUMMYFUNCTION("""COMPUTED_VALUE"""),"nishanthinis@bitsathy.ac.in")</f>
        <v>nishanthinis@bitsathy.ac.in</v>
      </c>
    </row>
    <row r="152" ht="49.5" customHeight="1">
      <c r="A152" s="121" t="str">
        <f>IFERROR(__xludf.DUMMYFUNCTION("""COMPUTED_VALUE"""),"AIML")</f>
        <v>AIML</v>
      </c>
      <c r="B152" s="121" t="str">
        <f>IFERROR(__xludf.DUMMYFUNCTION("""COMPUTED_VALUE"""),"S2")</f>
        <v>S2</v>
      </c>
      <c r="C152" s="121" t="str">
        <f>IFERROR(__xludf.DUMMYFUNCTION("""COMPUTED_VALUE"""),"CORE")</f>
        <v>CORE</v>
      </c>
      <c r="D152" s="121" t="str">
        <f>IFERROR(__xludf.DUMMYFUNCTION("""COMPUTED_VALUE"""),"22AM206")</f>
        <v>22AM206</v>
      </c>
      <c r="E152" s="131" t="str">
        <f>IFERROR(__xludf.DUMMYFUNCTION("""COMPUTED_VALUE"""),"DIGITAL COMPUTER ELECTRONICS ")</f>
        <v>DIGITAL COMPUTER ELECTRONICS </v>
      </c>
      <c r="F152" s="121" t="str">
        <f>IFERROR(__xludf.DUMMYFUNCTION("""COMPUTED_VALUE"""),"THEORY WITH LAB")</f>
        <v>THEORY WITH LAB</v>
      </c>
      <c r="G152" s="121">
        <f>IFERROR(__xludf.DUMMYFUNCTION("""COMPUTED_VALUE"""),3.0)</f>
        <v>3</v>
      </c>
      <c r="H152" s="121">
        <f>IFERROR(__xludf.DUMMYFUNCTION("""COMPUTED_VALUE"""),0.0)</f>
        <v>0</v>
      </c>
      <c r="I152" s="121">
        <f>IFERROR(__xludf.DUMMYFUNCTION("""COMPUTED_VALUE"""),2.0)</f>
        <v>2</v>
      </c>
      <c r="J152" s="121">
        <f>IFERROR(__xludf.DUMMYFUNCTION("""COMPUTED_VALUE"""),4.0)</f>
        <v>4</v>
      </c>
      <c r="K152" s="132" t="str">
        <f>IFERROR(__xludf.DUMMYFUNCTION("""COMPUTED_VALUE"""),"CD11177")</f>
        <v>CD11177</v>
      </c>
      <c r="L152" s="121" t="str">
        <f>IFERROR(__xludf.DUMMYFUNCTION("""COMPUTED_VALUE"""),"Ms.MADHUMATHI S")</f>
        <v>Ms.MADHUMATHI S</v>
      </c>
      <c r="M152" s="121" t="str">
        <f>IFERROR(__xludf.DUMMYFUNCTION("""COMPUTED_VALUE"""),"madhumathis@bitsathy.ac.in")</f>
        <v>madhumathis@bitsathy.ac.in</v>
      </c>
    </row>
    <row r="153" ht="49.5" customHeight="1">
      <c r="A153" s="121" t="str">
        <f>IFERROR(__xludf.DUMMYFUNCTION("""COMPUTED_VALUE"""),"AIML")</f>
        <v>AIML</v>
      </c>
      <c r="B153" s="121" t="str">
        <f>IFERROR(__xludf.DUMMYFUNCTION("""COMPUTED_VALUE"""),"S2")</f>
        <v>S2</v>
      </c>
      <c r="C153" s="121" t="str">
        <f>IFERROR(__xludf.DUMMYFUNCTION("""COMPUTED_VALUE"""),"CORE")</f>
        <v>CORE</v>
      </c>
      <c r="D153" s="121" t="str">
        <f>IFERROR(__xludf.DUMMYFUNCTION("""COMPUTED_VALUE"""),"22AM206")</f>
        <v>22AM206</v>
      </c>
      <c r="E153" s="131" t="str">
        <f>IFERROR(__xludf.DUMMYFUNCTION("""COMPUTED_VALUE"""),"DIGITAL COMPUTER ELECTRONICS ")</f>
        <v>DIGITAL COMPUTER ELECTRONICS </v>
      </c>
      <c r="F153" s="121" t="str">
        <f>IFERROR(__xludf.DUMMYFUNCTION("""COMPUTED_VALUE"""),"THEORY WITH LAB")</f>
        <v>THEORY WITH LAB</v>
      </c>
      <c r="G153" s="121">
        <f>IFERROR(__xludf.DUMMYFUNCTION("""COMPUTED_VALUE"""),3.0)</f>
        <v>3</v>
      </c>
      <c r="H153" s="121">
        <f>IFERROR(__xludf.DUMMYFUNCTION("""COMPUTED_VALUE"""),0.0)</f>
        <v>0</v>
      </c>
      <c r="I153" s="121">
        <f>IFERROR(__xludf.DUMMYFUNCTION("""COMPUTED_VALUE"""),2.0)</f>
        <v>2</v>
      </c>
      <c r="J153" s="121">
        <f>IFERROR(__xludf.DUMMYFUNCTION("""COMPUTED_VALUE"""),4.0)</f>
        <v>4</v>
      </c>
      <c r="K153" s="132" t="str">
        <f>IFERROR(__xludf.DUMMYFUNCTION("""COMPUTED_VALUE"""),"EC10774")</f>
        <v>EC10774</v>
      </c>
      <c r="L153" s="121" t="str">
        <f>IFERROR(__xludf.DUMMYFUNCTION("""COMPUTED_VALUE"""),"Mr.KRISHNARAJ R")</f>
        <v>Mr.KRISHNARAJ R</v>
      </c>
      <c r="M153" s="121" t="str">
        <f>IFERROR(__xludf.DUMMYFUNCTION("""COMPUTED_VALUE"""),"krishnarajr@bitsathy.ac.in")</f>
        <v>krishnarajr@bitsathy.ac.in</v>
      </c>
    </row>
    <row r="154" ht="49.5" customHeight="1">
      <c r="A154" s="121" t="str">
        <f>IFERROR(__xludf.DUMMYFUNCTION("""COMPUTED_VALUE"""),"AIML")</f>
        <v>AIML</v>
      </c>
      <c r="B154" s="121" t="str">
        <f>IFERROR(__xludf.DUMMYFUNCTION("""COMPUTED_VALUE"""),"S2")</f>
        <v>S2</v>
      </c>
      <c r="C154" s="121" t="str">
        <f>IFERROR(__xludf.DUMMYFUNCTION("""COMPUTED_VALUE"""),"CORE")</f>
        <v>CORE</v>
      </c>
      <c r="D154" s="121" t="str">
        <f>IFERROR(__xludf.DUMMYFUNCTION("""COMPUTED_VALUE"""),"22HS006")</f>
        <v>22HS006</v>
      </c>
      <c r="E154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154" s="121" t="str">
        <f>IFERROR(__xludf.DUMMYFUNCTION("""COMPUTED_VALUE"""),"LAB")</f>
        <v>LAB</v>
      </c>
      <c r="G154" s="121">
        <f>IFERROR(__xludf.DUMMYFUNCTION("""COMPUTED_VALUE"""),1.0)</f>
        <v>1</v>
      </c>
      <c r="H154" s="121">
        <f>IFERROR(__xludf.DUMMYFUNCTION("""COMPUTED_VALUE"""),0.0)</f>
        <v>0</v>
      </c>
      <c r="I154" s="121">
        <f>IFERROR(__xludf.DUMMYFUNCTION("""COMPUTED_VALUE"""),0.0)</f>
        <v>0</v>
      </c>
      <c r="J154" s="121">
        <f>IFERROR(__xludf.DUMMYFUNCTION("""COMPUTED_VALUE"""),1.0)</f>
        <v>1</v>
      </c>
      <c r="K154" s="132" t="str">
        <f>IFERROR(__xludf.DUMMYFUNCTION("""COMPUTED_VALUE"""),"HU11085")</f>
        <v>HU11085</v>
      </c>
      <c r="L154" s="121" t="str">
        <f>IFERROR(__xludf.DUMMYFUNCTION("""COMPUTED_VALUE"""),"Dr.SAGUNTHALA DEVI P")</f>
        <v>Dr.SAGUNTHALA DEVI P</v>
      </c>
      <c r="M154" s="121" t="str">
        <f>IFERROR(__xludf.DUMMYFUNCTION("""COMPUTED_VALUE"""),"sagunthaladevi@bitsathy.ac.in")</f>
        <v>sagunthaladevi@bitsathy.ac.in</v>
      </c>
    </row>
    <row r="155" ht="49.5" customHeight="1">
      <c r="A155" s="121" t="str">
        <f>IFERROR(__xludf.DUMMYFUNCTION("""COMPUTED_VALUE"""),"AIML")</f>
        <v>AIML</v>
      </c>
      <c r="B155" s="121" t="str">
        <f>IFERROR(__xludf.DUMMYFUNCTION("""COMPUTED_VALUE"""),"S2")</f>
        <v>S2</v>
      </c>
      <c r="C155" s="121" t="str">
        <f>IFERROR(__xludf.DUMMYFUNCTION("""COMPUTED_VALUE"""),"CORE")</f>
        <v>CORE</v>
      </c>
      <c r="D155" s="121" t="str">
        <f>IFERROR(__xludf.DUMMYFUNCTION("""COMPUTED_VALUE"""),"22HS006")</f>
        <v>22HS006</v>
      </c>
      <c r="E155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155" s="121" t="str">
        <f>IFERROR(__xludf.DUMMYFUNCTION("""COMPUTED_VALUE"""),"LAB")</f>
        <v>LAB</v>
      </c>
      <c r="G155" s="121">
        <f>IFERROR(__xludf.DUMMYFUNCTION("""COMPUTED_VALUE"""),1.0)</f>
        <v>1</v>
      </c>
      <c r="H155" s="121">
        <f>IFERROR(__xludf.DUMMYFUNCTION("""COMPUTED_VALUE"""),0.0)</f>
        <v>0</v>
      </c>
      <c r="I155" s="121">
        <f>IFERROR(__xludf.DUMMYFUNCTION("""COMPUTED_VALUE"""),0.0)</f>
        <v>0</v>
      </c>
      <c r="J155" s="121">
        <f>IFERROR(__xludf.DUMMYFUNCTION("""COMPUTED_VALUE"""),1.0)</f>
        <v>1</v>
      </c>
      <c r="K155" s="132" t="str">
        <f>IFERROR(__xludf.DUMMYFUNCTION("""COMPUTED_VALUE"""),"HU11115")</f>
        <v>HU11115</v>
      </c>
      <c r="L155" s="121" t="str">
        <f>IFERROR(__xludf.DUMMYFUNCTION("""COMPUTED_VALUE"""),"Ms.KAMALI D")</f>
        <v>Ms.KAMALI D</v>
      </c>
      <c r="M155" s="121" t="str">
        <f>IFERROR(__xludf.DUMMYFUNCTION("""COMPUTED_VALUE"""),"kamali@bitsathy.ac.in")</f>
        <v>kamali@bitsathy.ac.in</v>
      </c>
    </row>
    <row r="156" ht="49.5" customHeight="1">
      <c r="A156" s="121" t="str">
        <f>IFERROR(__xludf.DUMMYFUNCTION("""COMPUTED_VALUE"""),"AIML")</f>
        <v>AIML</v>
      </c>
      <c r="B156" s="121" t="str">
        <f>IFERROR(__xludf.DUMMYFUNCTION("""COMPUTED_VALUE"""),"S2")</f>
        <v>S2</v>
      </c>
      <c r="C156" s="121" t="str">
        <f>IFERROR(__xludf.DUMMYFUNCTION("""COMPUTED_VALUE"""),"CORE")</f>
        <v>CORE</v>
      </c>
      <c r="D156" s="121" t="str">
        <f>IFERROR(__xludf.DUMMYFUNCTION("""COMPUTED_VALUE"""),"22HS006")</f>
        <v>22HS006</v>
      </c>
      <c r="E156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156" s="121" t="str">
        <f>IFERROR(__xludf.DUMMYFUNCTION("""COMPUTED_VALUE"""),"LAB")</f>
        <v>LAB</v>
      </c>
      <c r="G156" s="121">
        <f>IFERROR(__xludf.DUMMYFUNCTION("""COMPUTED_VALUE"""),1.0)</f>
        <v>1</v>
      </c>
      <c r="H156" s="121">
        <f>IFERROR(__xludf.DUMMYFUNCTION("""COMPUTED_VALUE"""),0.0)</f>
        <v>0</v>
      </c>
      <c r="I156" s="121">
        <f>IFERROR(__xludf.DUMMYFUNCTION("""COMPUTED_VALUE"""),0.0)</f>
        <v>0</v>
      </c>
      <c r="J156" s="121">
        <f>IFERROR(__xludf.DUMMYFUNCTION("""COMPUTED_VALUE"""),1.0)</f>
        <v>1</v>
      </c>
      <c r="K156" s="132" t="str">
        <f>IFERROR(__xludf.DUMMYFUNCTION("""COMPUTED_VALUE"""),"HU11154")</f>
        <v>HU11154</v>
      </c>
      <c r="L156" s="121" t="str">
        <f>IFERROR(__xludf.DUMMYFUNCTION("""COMPUTED_VALUE"""),"Mr.SHYAMSUNDAR S")</f>
        <v>Mr.SHYAMSUNDAR S</v>
      </c>
      <c r="M156" s="121" t="str">
        <f>IFERROR(__xludf.DUMMYFUNCTION("""COMPUTED_VALUE"""),"shyamsundar@bitsathy.ac.in")</f>
        <v>shyamsundar@bitsathy.ac.in</v>
      </c>
    </row>
    <row r="157" ht="49.5" customHeight="1">
      <c r="A157" s="121" t="str">
        <f>IFERROR(__xludf.DUMMYFUNCTION("""COMPUTED_VALUE"""),"AIML")</f>
        <v>AIML</v>
      </c>
      <c r="B157" s="121" t="str">
        <f>IFERROR(__xludf.DUMMYFUNCTION("""COMPUTED_VALUE"""),"S2")</f>
        <v>S2</v>
      </c>
      <c r="C157" s="121" t="str">
        <f>IFERROR(__xludf.DUMMYFUNCTION("""COMPUTED_VALUE"""),"LANGUAGE ELECTIVE")</f>
        <v>LANGUAGE ELECTIVE</v>
      </c>
      <c r="D157" s="121" t="str">
        <f>IFERROR(__xludf.DUMMYFUNCTION("""COMPUTED_VALUE"""),"22HS201")</f>
        <v>22HS201</v>
      </c>
      <c r="E157" s="131" t="str">
        <f>IFERROR(__xludf.DUMMYFUNCTION("""COMPUTED_VALUE""")," COMMUNICATIVE ENGLISH II")</f>
        <v> COMMUNICATIVE ENGLISH II</v>
      </c>
      <c r="F157" s="121" t="str">
        <f>IFERROR(__xludf.DUMMYFUNCTION("""COMPUTED_VALUE"""),"LAB")</f>
        <v>LAB</v>
      </c>
      <c r="G157" s="121">
        <f>IFERROR(__xludf.DUMMYFUNCTION("""COMPUTED_VALUE"""),1.0)</f>
        <v>1</v>
      </c>
      <c r="H157" s="121">
        <f>IFERROR(__xludf.DUMMYFUNCTION("""COMPUTED_VALUE"""),0.0)</f>
        <v>0</v>
      </c>
      <c r="I157" s="121">
        <f>IFERROR(__xludf.DUMMYFUNCTION("""COMPUTED_VALUE"""),2.0)</f>
        <v>2</v>
      </c>
      <c r="J157" s="121">
        <f>IFERROR(__xludf.DUMMYFUNCTION("""COMPUTED_VALUE"""),2.0)</f>
        <v>2</v>
      </c>
      <c r="K157" s="132" t="str">
        <f>IFERROR(__xludf.DUMMYFUNCTION("""COMPUTED_VALUE"""),"HU11159")</f>
        <v>HU11159</v>
      </c>
      <c r="L157" s="121" t="str">
        <f>IFERROR(__xludf.DUMMYFUNCTION("""COMPUTED_VALUE"""),"Dr.JAYA K")</f>
        <v>Dr.JAYA K</v>
      </c>
      <c r="M157" s="121" t="str">
        <f>IFERROR(__xludf.DUMMYFUNCTION("""COMPUTED_VALUE"""),"jayak@bitsathy.ac.in")</f>
        <v>jayak@bitsathy.ac.in</v>
      </c>
    </row>
    <row r="158" ht="49.5" customHeight="1">
      <c r="A158" s="121" t="str">
        <f>IFERROR(__xludf.DUMMYFUNCTION("""COMPUTED_VALUE"""),"AIML")</f>
        <v>AIML</v>
      </c>
      <c r="B158" s="121" t="str">
        <f>IFERROR(__xludf.DUMMYFUNCTION("""COMPUTED_VALUE"""),"S2")</f>
        <v>S2</v>
      </c>
      <c r="C158" s="121" t="str">
        <f>IFERROR(__xludf.DUMMYFUNCTION("""COMPUTED_VALUE"""),"LANGUAGE ELECTIVE")</f>
        <v>LANGUAGE ELECTIVE</v>
      </c>
      <c r="D158" s="121" t="str">
        <f>IFERROR(__xludf.DUMMYFUNCTION("""COMPUTED_VALUE"""),"22HSH01")</f>
        <v>22HSH01</v>
      </c>
      <c r="E158" s="131" t="str">
        <f>IFERROR(__xludf.DUMMYFUNCTION("""COMPUTED_VALUE"""),"HINDI")</f>
        <v>HINDI</v>
      </c>
      <c r="F158" s="121" t="str">
        <f>IFERROR(__xludf.DUMMYFUNCTION("""COMPUTED_VALUE"""),"LAB")</f>
        <v>LAB</v>
      </c>
      <c r="G158" s="121">
        <f>IFERROR(__xludf.DUMMYFUNCTION("""COMPUTED_VALUE"""),1.0)</f>
        <v>1</v>
      </c>
      <c r="H158" s="121">
        <f>IFERROR(__xludf.DUMMYFUNCTION("""COMPUTED_VALUE"""),0.0)</f>
        <v>0</v>
      </c>
      <c r="I158" s="121">
        <f>IFERROR(__xludf.DUMMYFUNCTION("""COMPUTED_VALUE"""),2.0)</f>
        <v>2</v>
      </c>
      <c r="J158" s="121">
        <f>IFERROR(__xludf.DUMMYFUNCTION("""COMPUTED_VALUE"""),2.0)</f>
        <v>2</v>
      </c>
      <c r="K158" s="132"/>
      <c r="L158" s="121"/>
      <c r="M158" s="121"/>
    </row>
    <row r="159" ht="49.5" customHeight="1">
      <c r="A159" s="121" t="str">
        <f>IFERROR(__xludf.DUMMYFUNCTION("""COMPUTED_VALUE"""),"AIML")</f>
        <v>AIML</v>
      </c>
      <c r="B159" s="121" t="str">
        <f>IFERROR(__xludf.DUMMYFUNCTION("""COMPUTED_VALUE"""),"S2")</f>
        <v>S2</v>
      </c>
      <c r="C159" s="121" t="str">
        <f>IFERROR(__xludf.DUMMYFUNCTION("""COMPUTED_VALUE"""),"LANGUAGE ELECTIVE")</f>
        <v>LANGUAGE ELECTIVE</v>
      </c>
      <c r="D159" s="121" t="str">
        <f>IFERROR(__xludf.DUMMYFUNCTION("""COMPUTED_VALUE"""),"22HSG01")</f>
        <v>22HSG01</v>
      </c>
      <c r="E159" s="131" t="str">
        <f>IFERROR(__xludf.DUMMYFUNCTION("""COMPUTED_VALUE"""),"GERMAN")</f>
        <v>GERMAN</v>
      </c>
      <c r="F159" s="121" t="str">
        <f>IFERROR(__xludf.DUMMYFUNCTION("""COMPUTED_VALUE"""),"LAB")</f>
        <v>LAB</v>
      </c>
      <c r="G159" s="121">
        <f>IFERROR(__xludf.DUMMYFUNCTION("""COMPUTED_VALUE"""),1.0)</f>
        <v>1</v>
      </c>
      <c r="H159" s="121">
        <f>IFERROR(__xludf.DUMMYFUNCTION("""COMPUTED_VALUE"""),0.0)</f>
        <v>0</v>
      </c>
      <c r="I159" s="121">
        <f>IFERROR(__xludf.DUMMYFUNCTION("""COMPUTED_VALUE"""),2.0)</f>
        <v>2</v>
      </c>
      <c r="J159" s="121">
        <f>IFERROR(__xludf.DUMMYFUNCTION("""COMPUTED_VALUE"""),2.0)</f>
        <v>2</v>
      </c>
      <c r="K159" s="132"/>
      <c r="L159" s="121"/>
      <c r="M159" s="121"/>
    </row>
    <row r="160" ht="49.5" customHeight="1">
      <c r="A160" s="121" t="str">
        <f>IFERROR(__xludf.DUMMYFUNCTION("""COMPUTED_VALUE"""),"AIML")</f>
        <v>AIML</v>
      </c>
      <c r="B160" s="121" t="str">
        <f>IFERROR(__xludf.DUMMYFUNCTION("""COMPUTED_VALUE"""),"S2")</f>
        <v>S2</v>
      </c>
      <c r="C160" s="121" t="str">
        <f>IFERROR(__xludf.DUMMYFUNCTION("""COMPUTED_VALUE"""),"CORE")</f>
        <v>CORE</v>
      </c>
      <c r="D160" s="121" t="str">
        <f>IFERROR(__xludf.DUMMYFUNCTION("""COMPUTED_VALUE"""),"22HS009")</f>
        <v>22HS009</v>
      </c>
      <c r="E160" s="131" t="str">
        <f>IFERROR(__xludf.DUMMYFUNCTION("""COMPUTED_VALUE"""),"COCURRICULAR AND
EXTRACURRICULAR
ACTIVITIES")</f>
        <v>COCURRICULAR AND
EXTRACURRICULAR
ACTIVITIES</v>
      </c>
      <c r="F160" s="121"/>
      <c r="G160" s="121"/>
      <c r="H160" s="121"/>
      <c r="I160" s="121"/>
      <c r="J160" s="121"/>
      <c r="K160" s="132"/>
      <c r="L160" s="121"/>
      <c r="M160" s="121"/>
    </row>
    <row r="161" ht="49.5" customHeight="1">
      <c r="A161" s="121" t="str">
        <f>IFERROR(__xludf.DUMMYFUNCTION("""COMPUTED_VALUE"""),"AIML")</f>
        <v>AIML</v>
      </c>
      <c r="B161" s="121" t="str">
        <f>IFERROR(__xludf.DUMMYFUNCTION("""COMPUTED_VALUE"""),"S4")</f>
        <v>S4</v>
      </c>
      <c r="C161" s="121" t="str">
        <f>IFERROR(__xludf.DUMMYFUNCTION("""COMPUTED_VALUE"""),"CORE")</f>
        <v>CORE</v>
      </c>
      <c r="D161" s="121" t="str">
        <f>IFERROR(__xludf.DUMMYFUNCTION("""COMPUTED_VALUE"""),"22AM401")</f>
        <v>22AM401</v>
      </c>
      <c r="E161" s="131" t="str">
        <f>IFERROR(__xludf.DUMMYFUNCTION("""COMPUTED_VALUE"""),"APPLIED LINEAR ALGEBRA")</f>
        <v>APPLIED LINEAR ALGEBRA</v>
      </c>
      <c r="F161" s="121" t="str">
        <f>IFERROR(__xludf.DUMMYFUNCTION("""COMPUTED_VALUE"""),"THEORY")</f>
        <v>THEORY</v>
      </c>
      <c r="G161" s="121">
        <f>IFERROR(__xludf.DUMMYFUNCTION("""COMPUTED_VALUE"""),3.0)</f>
        <v>3</v>
      </c>
      <c r="H161" s="121">
        <f>IFERROR(__xludf.DUMMYFUNCTION("""COMPUTED_VALUE"""),1.0)</f>
        <v>1</v>
      </c>
      <c r="I161" s="121">
        <f>IFERROR(__xludf.DUMMYFUNCTION("""COMPUTED_VALUE"""),0.0)</f>
        <v>0</v>
      </c>
      <c r="J161" s="121">
        <f>IFERROR(__xludf.DUMMYFUNCTION("""COMPUTED_VALUE"""),4.0)</f>
        <v>4</v>
      </c>
      <c r="K161" s="132" t="str">
        <f>IFERROR(__xludf.DUMMYFUNCTION("""COMPUTED_VALUE"""),"MA10763")</f>
        <v>MA10763</v>
      </c>
      <c r="L161" s="121" t="str">
        <f>IFERROR(__xludf.DUMMYFUNCTION("""COMPUTED_VALUE"""),"Dr.REVATHI V M")</f>
        <v>Dr.REVATHI V M</v>
      </c>
      <c r="M161" s="121" t="str">
        <f>IFERROR(__xludf.DUMMYFUNCTION("""COMPUTED_VALUE"""),"revathivm@bitsathy.ac.in")</f>
        <v>revathivm@bitsathy.ac.in</v>
      </c>
    </row>
    <row r="162" ht="49.5" customHeight="1">
      <c r="A162" s="121" t="str">
        <f>IFERROR(__xludf.DUMMYFUNCTION("""COMPUTED_VALUE"""),"AIML")</f>
        <v>AIML</v>
      </c>
      <c r="B162" s="121" t="str">
        <f>IFERROR(__xludf.DUMMYFUNCTION("""COMPUTED_VALUE"""),"S4")</f>
        <v>S4</v>
      </c>
      <c r="C162" s="121" t="str">
        <f>IFERROR(__xludf.DUMMYFUNCTION("""COMPUTED_VALUE"""),"CORE")</f>
        <v>CORE</v>
      </c>
      <c r="D162" s="121" t="str">
        <f>IFERROR(__xludf.DUMMYFUNCTION("""COMPUTED_VALUE"""),"22AM401")</f>
        <v>22AM401</v>
      </c>
      <c r="E162" s="131" t="str">
        <f>IFERROR(__xludf.DUMMYFUNCTION("""COMPUTED_VALUE"""),"APPLIED LINEAR ALGEBRA")</f>
        <v>APPLIED LINEAR ALGEBRA</v>
      </c>
      <c r="F162" s="121" t="str">
        <f>IFERROR(__xludf.DUMMYFUNCTION("""COMPUTED_VALUE"""),"THEORY")</f>
        <v>THEORY</v>
      </c>
      <c r="G162" s="121">
        <f>IFERROR(__xludf.DUMMYFUNCTION("""COMPUTED_VALUE"""),3.0)</f>
        <v>3</v>
      </c>
      <c r="H162" s="121">
        <f>IFERROR(__xludf.DUMMYFUNCTION("""COMPUTED_VALUE"""),1.0)</f>
        <v>1</v>
      </c>
      <c r="I162" s="121">
        <f>IFERROR(__xludf.DUMMYFUNCTION("""COMPUTED_VALUE"""),0.0)</f>
        <v>0</v>
      </c>
      <c r="J162" s="121">
        <f>IFERROR(__xludf.DUMMYFUNCTION("""COMPUTED_VALUE"""),4.0)</f>
        <v>4</v>
      </c>
      <c r="K162" s="132" t="str">
        <f>IFERROR(__xludf.DUMMYFUNCTION("""COMPUTED_VALUE"""),"MA10986")</f>
        <v>MA10986</v>
      </c>
      <c r="L162" s="121" t="str">
        <f>IFERROR(__xludf.DUMMYFUNCTION("""COMPUTED_VALUE"""),"Dr.GOMATHI M")</f>
        <v>Dr.GOMATHI M</v>
      </c>
      <c r="M162" s="121" t="str">
        <f>IFERROR(__xludf.DUMMYFUNCTION("""COMPUTED_VALUE"""),"gomathim@bitsathy.ac.in")</f>
        <v>gomathim@bitsathy.ac.in</v>
      </c>
    </row>
    <row r="163" ht="49.5" customHeight="1">
      <c r="A163" s="121" t="str">
        <f>IFERROR(__xludf.DUMMYFUNCTION("""COMPUTED_VALUE"""),"AIML")</f>
        <v>AIML</v>
      </c>
      <c r="B163" s="121" t="str">
        <f>IFERROR(__xludf.DUMMYFUNCTION("""COMPUTED_VALUE"""),"S4")</f>
        <v>S4</v>
      </c>
      <c r="C163" s="121" t="str">
        <f>IFERROR(__xludf.DUMMYFUNCTION("""COMPUTED_VALUE"""),"CORE")</f>
        <v>CORE</v>
      </c>
      <c r="D163" s="121" t="str">
        <f>IFERROR(__xludf.DUMMYFUNCTION("""COMPUTED_VALUE"""),"22AM402")</f>
        <v>22AM402</v>
      </c>
      <c r="E163" s="131" t="str">
        <f>IFERROR(__xludf.DUMMYFUNCTION("""COMPUTED_VALUE"""),"DATA STRUCTURES II")</f>
        <v>DATA STRUCTURES II</v>
      </c>
      <c r="F163" s="121" t="str">
        <f>IFERROR(__xludf.DUMMYFUNCTION("""COMPUTED_VALUE"""),"THEORY WITH LAB")</f>
        <v>THEORY WITH LAB</v>
      </c>
      <c r="G163" s="121">
        <f>IFERROR(__xludf.DUMMYFUNCTION("""COMPUTED_VALUE"""),3.0)</f>
        <v>3</v>
      </c>
      <c r="H163" s="121">
        <f>IFERROR(__xludf.DUMMYFUNCTION("""COMPUTED_VALUE"""),0.0)</f>
        <v>0</v>
      </c>
      <c r="I163" s="121">
        <f>IFERROR(__xludf.DUMMYFUNCTION("""COMPUTED_VALUE"""),2.0)</f>
        <v>2</v>
      </c>
      <c r="J163" s="121">
        <f>IFERROR(__xludf.DUMMYFUNCTION("""COMPUTED_VALUE"""),4.0)</f>
        <v>4</v>
      </c>
      <c r="K163" s="132" t="str">
        <f>IFERROR(__xludf.DUMMYFUNCTION("""COMPUTED_VALUE"""),"AM11095")</f>
        <v>AM11095</v>
      </c>
      <c r="L163" s="121" t="str">
        <f>IFERROR(__xludf.DUMMYFUNCTION("""COMPUTED_VALUE"""),"Mrs.GAYATHRIDEVI M")</f>
        <v>Mrs.GAYATHRIDEVI M</v>
      </c>
      <c r="M163" s="121" t="str">
        <f>IFERROR(__xludf.DUMMYFUNCTION("""COMPUTED_VALUE"""),"gayathridevi@bitsathy.ac.in")</f>
        <v>gayathridevi@bitsathy.ac.in</v>
      </c>
    </row>
    <row r="164" ht="49.5" customHeight="1">
      <c r="A164" s="121" t="str">
        <f>IFERROR(__xludf.DUMMYFUNCTION("""COMPUTED_VALUE"""),"AIML")</f>
        <v>AIML</v>
      </c>
      <c r="B164" s="121" t="str">
        <f>IFERROR(__xludf.DUMMYFUNCTION("""COMPUTED_VALUE"""),"S4")</f>
        <v>S4</v>
      </c>
      <c r="C164" s="121" t="str">
        <f>IFERROR(__xludf.DUMMYFUNCTION("""COMPUTED_VALUE"""),"CORE")</f>
        <v>CORE</v>
      </c>
      <c r="D164" s="121" t="str">
        <f>IFERROR(__xludf.DUMMYFUNCTION("""COMPUTED_VALUE"""),"22AM402")</f>
        <v>22AM402</v>
      </c>
      <c r="E164" s="131" t="str">
        <f>IFERROR(__xludf.DUMMYFUNCTION("""COMPUTED_VALUE"""),"DATA STRUCTURES II")</f>
        <v>DATA STRUCTURES II</v>
      </c>
      <c r="F164" s="121" t="str">
        <f>IFERROR(__xludf.DUMMYFUNCTION("""COMPUTED_VALUE"""),"THEORY WITH LAB")</f>
        <v>THEORY WITH LAB</v>
      </c>
      <c r="G164" s="121">
        <f>IFERROR(__xludf.DUMMYFUNCTION("""COMPUTED_VALUE"""),3.0)</f>
        <v>3</v>
      </c>
      <c r="H164" s="121">
        <f>IFERROR(__xludf.DUMMYFUNCTION("""COMPUTED_VALUE"""),0.0)</f>
        <v>0</v>
      </c>
      <c r="I164" s="121">
        <f>IFERROR(__xludf.DUMMYFUNCTION("""COMPUTED_VALUE"""),2.0)</f>
        <v>2</v>
      </c>
      <c r="J164" s="121">
        <f>IFERROR(__xludf.DUMMYFUNCTION("""COMPUTED_VALUE"""),4.0)</f>
        <v>4</v>
      </c>
      <c r="K164" s="132" t="str">
        <f>IFERROR(__xludf.DUMMYFUNCTION("""COMPUTED_VALUE"""),"AM11100")</f>
        <v>AM11100</v>
      </c>
      <c r="L164" s="121" t="str">
        <f>IFERROR(__xludf.DUMMYFUNCTION("""COMPUTED_VALUE"""),"Ms.NISHANTHINI S")</f>
        <v>Ms.NISHANTHINI S</v>
      </c>
      <c r="M164" s="121" t="str">
        <f>IFERROR(__xludf.DUMMYFUNCTION("""COMPUTED_VALUE"""),"nishanthinis@bitsathy.ac.in")</f>
        <v>nishanthinis@bitsathy.ac.in</v>
      </c>
    </row>
    <row r="165" ht="49.5" customHeight="1">
      <c r="A165" s="121" t="str">
        <f>IFERROR(__xludf.DUMMYFUNCTION("""COMPUTED_VALUE"""),"AIML")</f>
        <v>AIML</v>
      </c>
      <c r="B165" s="121" t="str">
        <f>IFERROR(__xludf.DUMMYFUNCTION("""COMPUTED_VALUE"""),"S4")</f>
        <v>S4</v>
      </c>
      <c r="C165" s="121" t="str">
        <f>IFERROR(__xludf.DUMMYFUNCTION("""COMPUTED_VALUE"""),"CORE")</f>
        <v>CORE</v>
      </c>
      <c r="D165" s="121" t="str">
        <f>IFERROR(__xludf.DUMMYFUNCTION("""COMPUTED_VALUE"""),"22AM403")</f>
        <v>22AM403</v>
      </c>
      <c r="E165" s="131" t="str">
        <f>IFERROR(__xludf.DUMMYFUNCTION("""COMPUTED_VALUE"""),"OPERATING SYSTEMS")</f>
        <v>OPERATING SYSTEMS</v>
      </c>
      <c r="F165" s="121" t="str">
        <f>IFERROR(__xludf.DUMMYFUNCTION("""COMPUTED_VALUE"""),"THEORY")</f>
        <v>THEORY</v>
      </c>
      <c r="G165" s="121">
        <f>IFERROR(__xludf.DUMMYFUNCTION("""COMPUTED_VALUE"""),3.0)</f>
        <v>3</v>
      </c>
      <c r="H165" s="121">
        <f>IFERROR(__xludf.DUMMYFUNCTION("""COMPUTED_VALUE"""),1.0)</f>
        <v>1</v>
      </c>
      <c r="I165" s="121">
        <f>IFERROR(__xludf.DUMMYFUNCTION("""COMPUTED_VALUE"""),0.0)</f>
        <v>0</v>
      </c>
      <c r="J165" s="121">
        <f>IFERROR(__xludf.DUMMYFUNCTION("""COMPUTED_VALUE"""),4.0)</f>
        <v>4</v>
      </c>
      <c r="K165" s="132" t="str">
        <f>IFERROR(__xludf.DUMMYFUNCTION("""COMPUTED_VALUE"""),"AM10956")</f>
        <v>AM10956</v>
      </c>
      <c r="L165" s="121" t="str">
        <f>IFERROR(__xludf.DUMMYFUNCTION("""COMPUTED_VALUE"""),"Ms.KARTHIKA S")</f>
        <v>Ms.KARTHIKA S</v>
      </c>
      <c r="M165" s="121" t="str">
        <f>IFERROR(__xludf.DUMMYFUNCTION("""COMPUTED_VALUE"""),"karthikas@bitsathy.ac.in")</f>
        <v>karthikas@bitsathy.ac.in</v>
      </c>
    </row>
    <row r="166" ht="49.5" customHeight="1">
      <c r="A166" s="121" t="str">
        <f>IFERROR(__xludf.DUMMYFUNCTION("""COMPUTED_VALUE"""),"AIML")</f>
        <v>AIML</v>
      </c>
      <c r="B166" s="121" t="str">
        <f>IFERROR(__xludf.DUMMYFUNCTION("""COMPUTED_VALUE"""),"S4")</f>
        <v>S4</v>
      </c>
      <c r="C166" s="121" t="str">
        <f>IFERROR(__xludf.DUMMYFUNCTION("""COMPUTED_VALUE"""),"CORE")</f>
        <v>CORE</v>
      </c>
      <c r="D166" s="121" t="str">
        <f>IFERROR(__xludf.DUMMYFUNCTION("""COMPUTED_VALUE"""),"22AM403")</f>
        <v>22AM403</v>
      </c>
      <c r="E166" s="131" t="str">
        <f>IFERROR(__xludf.DUMMYFUNCTION("""COMPUTED_VALUE"""),"OPERATING SYSTEMS")</f>
        <v>OPERATING SYSTEMS</v>
      </c>
      <c r="F166" s="121" t="str">
        <f>IFERROR(__xludf.DUMMYFUNCTION("""COMPUTED_VALUE"""),"THEORY")</f>
        <v>THEORY</v>
      </c>
      <c r="G166" s="121">
        <f>IFERROR(__xludf.DUMMYFUNCTION("""COMPUTED_VALUE"""),3.0)</f>
        <v>3</v>
      </c>
      <c r="H166" s="121">
        <f>IFERROR(__xludf.DUMMYFUNCTION("""COMPUTED_VALUE"""),1.0)</f>
        <v>1</v>
      </c>
      <c r="I166" s="121">
        <f>IFERROR(__xludf.DUMMYFUNCTION("""COMPUTED_VALUE"""),0.0)</f>
        <v>0</v>
      </c>
      <c r="J166" s="121">
        <f>IFERROR(__xludf.DUMMYFUNCTION("""COMPUTED_VALUE"""),4.0)</f>
        <v>4</v>
      </c>
      <c r="K166" s="132" t="str">
        <f>IFERROR(__xludf.DUMMYFUNCTION("""COMPUTED_VALUE"""),"AM11058")</f>
        <v>AM11058</v>
      </c>
      <c r="L166" s="121" t="str">
        <f>IFERROR(__xludf.DUMMYFUNCTION("""COMPUTED_VALUE"""),"Mr.BALAMURUGAN E")</f>
        <v>Mr.BALAMURUGAN E</v>
      </c>
      <c r="M166" s="121" t="str">
        <f>IFERROR(__xludf.DUMMYFUNCTION("""COMPUTED_VALUE"""),"balamurugane@bitsathy.ac.in")</f>
        <v>balamurugane@bitsathy.ac.in</v>
      </c>
    </row>
    <row r="167" ht="49.5" customHeight="1">
      <c r="A167" s="121" t="str">
        <f>IFERROR(__xludf.DUMMYFUNCTION("""COMPUTED_VALUE"""),"AIML")</f>
        <v>AIML</v>
      </c>
      <c r="B167" s="121" t="str">
        <f>IFERROR(__xludf.DUMMYFUNCTION("""COMPUTED_VALUE"""),"S4")</f>
        <v>S4</v>
      </c>
      <c r="C167" s="121" t="str">
        <f>IFERROR(__xludf.DUMMYFUNCTION("""COMPUTED_VALUE"""),"CORE")</f>
        <v>CORE</v>
      </c>
      <c r="D167" s="121" t="str">
        <f>IFERROR(__xludf.DUMMYFUNCTION("""COMPUTED_VALUE"""),"22AM404")</f>
        <v>22AM404</v>
      </c>
      <c r="E167" s="131" t="str">
        <f>IFERROR(__xludf.DUMMYFUNCTION("""COMPUTED_VALUE"""),"WEB TECHNOLOGY AND FRAMEWORKS")</f>
        <v>WEB TECHNOLOGY AND FRAMEWORKS</v>
      </c>
      <c r="F167" s="121" t="str">
        <f>IFERROR(__xludf.DUMMYFUNCTION("""COMPUTED_VALUE"""),"THEORY WITH LAB")</f>
        <v>THEORY WITH LAB</v>
      </c>
      <c r="G167" s="121">
        <f>IFERROR(__xludf.DUMMYFUNCTION("""COMPUTED_VALUE"""),2.0)</f>
        <v>2</v>
      </c>
      <c r="H167" s="121">
        <f>IFERROR(__xludf.DUMMYFUNCTION("""COMPUTED_VALUE"""),0.0)</f>
        <v>0</v>
      </c>
      <c r="I167" s="121">
        <f>IFERROR(__xludf.DUMMYFUNCTION("""COMPUTED_VALUE"""),2.0)</f>
        <v>2</v>
      </c>
      <c r="J167" s="121">
        <f>IFERROR(__xludf.DUMMYFUNCTION("""COMPUTED_VALUE"""),4.0)</f>
        <v>4</v>
      </c>
      <c r="K167" s="132" t="str">
        <f>IFERROR(__xludf.DUMMYFUNCTION("""COMPUTED_VALUE"""),"IT11142")</f>
        <v>IT11142</v>
      </c>
      <c r="L167" s="121" t="str">
        <f>IFERROR(__xludf.DUMMYFUNCTION("""COMPUTED_VALUE"""),"Mrs.KEERTHANA K")</f>
        <v>Mrs.KEERTHANA K</v>
      </c>
      <c r="M167" s="121" t="str">
        <f>IFERROR(__xludf.DUMMYFUNCTION("""COMPUTED_VALUE"""),"keerthana@bitsathy.ac.in")</f>
        <v>keerthana@bitsathy.ac.in</v>
      </c>
    </row>
    <row r="168" ht="49.5" customHeight="1">
      <c r="A168" s="121" t="str">
        <f>IFERROR(__xludf.DUMMYFUNCTION("""COMPUTED_VALUE"""),"AIML")</f>
        <v>AIML</v>
      </c>
      <c r="B168" s="121" t="str">
        <f>IFERROR(__xludf.DUMMYFUNCTION("""COMPUTED_VALUE"""),"S4")</f>
        <v>S4</v>
      </c>
      <c r="C168" s="121" t="str">
        <f>IFERROR(__xludf.DUMMYFUNCTION("""COMPUTED_VALUE"""),"CORE")</f>
        <v>CORE</v>
      </c>
      <c r="D168" s="121" t="str">
        <f>IFERROR(__xludf.DUMMYFUNCTION("""COMPUTED_VALUE"""),"22AM404")</f>
        <v>22AM404</v>
      </c>
      <c r="E168" s="131" t="str">
        <f>IFERROR(__xludf.DUMMYFUNCTION("""COMPUTED_VALUE"""),"WEB TECHNOLOGY AND FRAMEWORKS")</f>
        <v>WEB TECHNOLOGY AND FRAMEWORKS</v>
      </c>
      <c r="F168" s="121" t="str">
        <f>IFERROR(__xludf.DUMMYFUNCTION("""COMPUTED_VALUE"""),"THEORY WITH LAB")</f>
        <v>THEORY WITH LAB</v>
      </c>
      <c r="G168" s="121">
        <f>IFERROR(__xludf.DUMMYFUNCTION("""COMPUTED_VALUE"""),2.0)</f>
        <v>2</v>
      </c>
      <c r="H168" s="121">
        <f>IFERROR(__xludf.DUMMYFUNCTION("""COMPUTED_VALUE"""),0.0)</f>
        <v>0</v>
      </c>
      <c r="I168" s="121">
        <f>IFERROR(__xludf.DUMMYFUNCTION("""COMPUTED_VALUE"""),2.0)</f>
        <v>2</v>
      </c>
      <c r="J168" s="121">
        <f>IFERROR(__xludf.DUMMYFUNCTION("""COMPUTED_VALUE"""),4.0)</f>
        <v>4</v>
      </c>
      <c r="K168" s="132" t="str">
        <f>IFERROR(__xludf.DUMMYFUNCTION("""COMPUTED_VALUE"""),"AM11166")</f>
        <v>AM11166</v>
      </c>
      <c r="L168" s="121" t="str">
        <f>IFERROR(__xludf.DUMMYFUNCTION("""COMPUTED_VALUE"""),"Mrs.SARANYA M K")</f>
        <v>Mrs.SARANYA M K</v>
      </c>
      <c r="M168" s="121" t="str">
        <f>IFERROR(__xludf.DUMMYFUNCTION("""COMPUTED_VALUE"""),"saranyamk@bitsathy.ac.in")</f>
        <v>saranyamk@bitsathy.ac.in</v>
      </c>
    </row>
    <row r="169" ht="49.5" customHeight="1">
      <c r="A169" s="121" t="str">
        <f>IFERROR(__xludf.DUMMYFUNCTION("""COMPUTED_VALUE"""),"AIML")</f>
        <v>AIML</v>
      </c>
      <c r="B169" s="121" t="str">
        <f>IFERROR(__xludf.DUMMYFUNCTION("""COMPUTED_VALUE"""),"S4")</f>
        <v>S4</v>
      </c>
      <c r="C169" s="121" t="str">
        <f>IFERROR(__xludf.DUMMYFUNCTION("""COMPUTED_VALUE"""),"CORE")</f>
        <v>CORE</v>
      </c>
      <c r="D169" s="121" t="str">
        <f>IFERROR(__xludf.DUMMYFUNCTION("""COMPUTED_VALUE"""),"22AM405")</f>
        <v>22AM405</v>
      </c>
      <c r="E169" s="131" t="str">
        <f>IFERROR(__xludf.DUMMYFUNCTION("""COMPUTED_VALUE"""),"DATABASE MANAGEMENT SYSTEM")</f>
        <v>DATABASE MANAGEMENT SYSTEM</v>
      </c>
      <c r="F169" s="121" t="str">
        <f>IFERROR(__xludf.DUMMYFUNCTION("""COMPUTED_VALUE"""),"THEORY WITH LAB")</f>
        <v>THEORY WITH LAB</v>
      </c>
      <c r="G169" s="121">
        <f>IFERROR(__xludf.DUMMYFUNCTION("""COMPUTED_VALUE"""),3.0)</f>
        <v>3</v>
      </c>
      <c r="H169" s="121">
        <f>IFERROR(__xludf.DUMMYFUNCTION("""COMPUTED_VALUE"""),0.0)</f>
        <v>0</v>
      </c>
      <c r="I169" s="121">
        <f>IFERROR(__xludf.DUMMYFUNCTION("""COMPUTED_VALUE"""),2.0)</f>
        <v>2</v>
      </c>
      <c r="J169" s="121">
        <f>IFERROR(__xludf.DUMMYFUNCTION("""COMPUTED_VALUE"""),4.0)</f>
        <v>4</v>
      </c>
      <c r="K169" s="132" t="str">
        <f>IFERROR(__xludf.DUMMYFUNCTION("""COMPUTED_VALUE"""),"AM11092")</f>
        <v>AM11092</v>
      </c>
      <c r="L169" s="121" t="str">
        <f>IFERROR(__xludf.DUMMYFUNCTION("""COMPUTED_VALUE"""),"Ms.KANIMOZHI A")</f>
        <v>Ms.KANIMOZHI A</v>
      </c>
      <c r="M169" s="121" t="str">
        <f>IFERROR(__xludf.DUMMYFUNCTION("""COMPUTED_VALUE"""),"kanimozhi@bitsathy.ac.in")</f>
        <v>kanimozhi@bitsathy.ac.in</v>
      </c>
    </row>
    <row r="170" ht="49.5" customHeight="1">
      <c r="A170" s="121" t="str">
        <f>IFERROR(__xludf.DUMMYFUNCTION("""COMPUTED_VALUE"""),"AIML")</f>
        <v>AIML</v>
      </c>
      <c r="B170" s="121" t="str">
        <f>IFERROR(__xludf.DUMMYFUNCTION("""COMPUTED_VALUE"""),"S4")</f>
        <v>S4</v>
      </c>
      <c r="C170" s="121" t="str">
        <f>IFERROR(__xludf.DUMMYFUNCTION("""COMPUTED_VALUE"""),"CORE")</f>
        <v>CORE</v>
      </c>
      <c r="D170" s="121" t="str">
        <f>IFERROR(__xludf.DUMMYFUNCTION("""COMPUTED_VALUE"""),"22AM405")</f>
        <v>22AM405</v>
      </c>
      <c r="E170" s="131" t="str">
        <f>IFERROR(__xludf.DUMMYFUNCTION("""COMPUTED_VALUE"""),"DATABASE MANAGEMENT SYSTEM")</f>
        <v>DATABASE MANAGEMENT SYSTEM</v>
      </c>
      <c r="F170" s="121" t="str">
        <f>IFERROR(__xludf.DUMMYFUNCTION("""COMPUTED_VALUE"""),"THEORY WITH LAB")</f>
        <v>THEORY WITH LAB</v>
      </c>
      <c r="G170" s="121">
        <f>IFERROR(__xludf.DUMMYFUNCTION("""COMPUTED_VALUE"""),3.0)</f>
        <v>3</v>
      </c>
      <c r="H170" s="121">
        <f>IFERROR(__xludf.DUMMYFUNCTION("""COMPUTED_VALUE"""),0.0)</f>
        <v>0</v>
      </c>
      <c r="I170" s="121">
        <f>IFERROR(__xludf.DUMMYFUNCTION("""COMPUTED_VALUE"""),2.0)</f>
        <v>2</v>
      </c>
      <c r="J170" s="121">
        <f>IFERROR(__xludf.DUMMYFUNCTION("""COMPUTED_VALUE"""),4.0)</f>
        <v>4</v>
      </c>
      <c r="K170" s="132" t="str">
        <f>IFERROR(__xludf.DUMMYFUNCTION("""COMPUTED_VALUE"""),"AM11052")</f>
        <v>AM11052</v>
      </c>
      <c r="L170" s="121" t="str">
        <f>IFERROR(__xludf.DUMMYFUNCTION("""COMPUTED_VALUE"""),"Ms.MOHANAPRIYA K")</f>
        <v>Ms.MOHANAPRIYA K</v>
      </c>
      <c r="M170" s="121" t="str">
        <f>IFERROR(__xludf.DUMMYFUNCTION("""COMPUTED_VALUE"""),"mohanapriyak@bitsathy.ac.in")</f>
        <v>mohanapriyak@bitsathy.ac.in</v>
      </c>
    </row>
    <row r="171" ht="49.5" customHeight="1">
      <c r="A171" s="121" t="str">
        <f>IFERROR(__xludf.DUMMYFUNCTION("""COMPUTED_VALUE"""),"AIML")</f>
        <v>AIML</v>
      </c>
      <c r="B171" s="121" t="str">
        <f>IFERROR(__xludf.DUMMYFUNCTION("""COMPUTED_VALUE"""),"S4")</f>
        <v>S4</v>
      </c>
      <c r="C171" s="121" t="str">
        <f>IFERROR(__xludf.DUMMYFUNCTION("""COMPUTED_VALUE"""),"ELECTIVE 1")</f>
        <v>ELECTIVE 1</v>
      </c>
      <c r="D171" s="121" t="str">
        <f>IFERROR(__xludf.DUMMYFUNCTION("""COMPUTED_VALUE"""),"22AM027")</f>
        <v>22AM027</v>
      </c>
      <c r="E171" s="131" t="str">
        <f>IFERROR(__xludf.DUMMYFUNCTION("""COMPUTED_VALUE"""),"MOBILE AND WEB APPLICATION")</f>
        <v>MOBILE AND WEB APPLICATION</v>
      </c>
      <c r="F171" s="121" t="str">
        <f>IFERROR(__xludf.DUMMYFUNCTION("""COMPUTED_VALUE"""),"THEORY")</f>
        <v>THEORY</v>
      </c>
      <c r="G171" s="121">
        <f>IFERROR(__xludf.DUMMYFUNCTION("""COMPUTED_VALUE"""),3.0)</f>
        <v>3</v>
      </c>
      <c r="H171" s="121">
        <f>IFERROR(__xludf.DUMMYFUNCTION("""COMPUTED_VALUE"""),1.0)</f>
        <v>1</v>
      </c>
      <c r="I171" s="121">
        <f>IFERROR(__xludf.DUMMYFUNCTION("""COMPUTED_VALUE"""),0.0)</f>
        <v>0</v>
      </c>
      <c r="J171" s="121">
        <f>IFERROR(__xludf.DUMMYFUNCTION("""COMPUTED_VALUE"""),4.0)</f>
        <v>4</v>
      </c>
      <c r="K171" s="132" t="str">
        <f>IFERROR(__xludf.DUMMYFUNCTION("""COMPUTED_VALUE"""),"AD11169")</f>
        <v>AD11169</v>
      </c>
      <c r="L171" s="121" t="str">
        <f>IFERROR(__xludf.DUMMYFUNCTION("""COMPUTED_VALUE"""),"Mrs.MANOCHITRA A S")</f>
        <v>Mrs.MANOCHITRA A S</v>
      </c>
      <c r="M171" s="121" t="str">
        <f>IFERROR(__xludf.DUMMYFUNCTION("""COMPUTED_VALUE"""),"manochitra@bitsathy.ac.in")</f>
        <v>manochitra@bitsathy.ac.in</v>
      </c>
    </row>
    <row r="172" ht="49.5" customHeight="1">
      <c r="A172" s="121" t="str">
        <f>IFERROR(__xludf.DUMMYFUNCTION("""COMPUTED_VALUE"""),"AIML")</f>
        <v>AIML</v>
      </c>
      <c r="B172" s="121" t="str">
        <f>IFERROR(__xludf.DUMMYFUNCTION("""COMPUTED_VALUE"""),"S4")</f>
        <v>S4</v>
      </c>
      <c r="C172" s="121" t="str">
        <f>IFERROR(__xludf.DUMMYFUNCTION("""COMPUTED_VALUE"""),"ELECTIVE 1")</f>
        <v>ELECTIVE 1</v>
      </c>
      <c r="D172" s="121" t="str">
        <f>IFERROR(__xludf.DUMMYFUNCTION("""COMPUTED_VALUE"""),"22AM027")</f>
        <v>22AM027</v>
      </c>
      <c r="E172" s="131" t="str">
        <f>IFERROR(__xludf.DUMMYFUNCTION("""COMPUTED_VALUE"""),"MOBILE AND WEB APPLICATION")</f>
        <v>MOBILE AND WEB APPLICATION</v>
      </c>
      <c r="F172" s="121" t="str">
        <f>IFERROR(__xludf.DUMMYFUNCTION("""COMPUTED_VALUE"""),"THEORY")</f>
        <v>THEORY</v>
      </c>
      <c r="G172" s="121">
        <f>IFERROR(__xludf.DUMMYFUNCTION("""COMPUTED_VALUE"""),3.0)</f>
        <v>3</v>
      </c>
      <c r="H172" s="121">
        <f>IFERROR(__xludf.DUMMYFUNCTION("""COMPUTED_VALUE"""),1.0)</f>
        <v>1</v>
      </c>
      <c r="I172" s="121">
        <f>IFERROR(__xludf.DUMMYFUNCTION("""COMPUTED_VALUE"""),0.0)</f>
        <v>0</v>
      </c>
      <c r="J172" s="121">
        <f>IFERROR(__xludf.DUMMYFUNCTION("""COMPUTED_VALUE"""),4.0)</f>
        <v>4</v>
      </c>
      <c r="K172" s="132" t="str">
        <f>IFERROR(__xludf.DUMMYFUNCTION("""COMPUTED_VALUE"""),"AM11161")</f>
        <v>AM11161</v>
      </c>
      <c r="L172" s="121" t="str">
        <f>IFERROR(__xludf.DUMMYFUNCTION("""COMPUTED_VALUE"""),"Dr.KARTHIKEYAN G")</f>
        <v>Dr.KARTHIKEYAN G</v>
      </c>
      <c r="M172" s="121" t="str">
        <f>IFERROR(__xludf.DUMMYFUNCTION("""COMPUTED_VALUE"""),"karthikeyang@bitsathy.ac.in")</f>
        <v>karthikeyang@bitsathy.ac.in</v>
      </c>
    </row>
    <row r="173" ht="49.5" customHeight="1">
      <c r="A173" s="121" t="str">
        <f>IFERROR(__xludf.DUMMYFUNCTION("""COMPUTED_VALUE"""),"AIML")</f>
        <v>AIML</v>
      </c>
      <c r="B173" s="121" t="str">
        <f>IFERROR(__xludf.DUMMYFUNCTION("""COMPUTED_VALUE"""),"S4")</f>
        <v>S4</v>
      </c>
      <c r="C173" s="121" t="str">
        <f>IFERROR(__xludf.DUMMYFUNCTION("""COMPUTED_VALUE"""),"ELECTIVE 1")</f>
        <v>ELECTIVE 1</v>
      </c>
      <c r="D173" s="121" t="str">
        <f>IFERROR(__xludf.DUMMYFUNCTION("""COMPUTED_VALUE"""),"22AM002")</f>
        <v>22AM002</v>
      </c>
      <c r="E173" s="131" t="str">
        <f>IFERROR(__xludf.DUMMYFUNCTION("""COMPUTED_VALUE"""),"UI AND UX DESIGN")</f>
        <v>UI AND UX DESIGN</v>
      </c>
      <c r="F173" s="121" t="str">
        <f>IFERROR(__xludf.DUMMYFUNCTION("""COMPUTED_VALUE"""),"THEORY")</f>
        <v>THEORY</v>
      </c>
      <c r="G173" s="121">
        <f>IFERROR(__xludf.DUMMYFUNCTION("""COMPUTED_VALUE"""),3.0)</f>
        <v>3</v>
      </c>
      <c r="H173" s="121">
        <f>IFERROR(__xludf.DUMMYFUNCTION("""COMPUTED_VALUE"""),1.0)</f>
        <v>1</v>
      </c>
      <c r="I173" s="121">
        <f>IFERROR(__xludf.DUMMYFUNCTION("""COMPUTED_VALUE"""),0.0)</f>
        <v>0</v>
      </c>
      <c r="J173" s="121">
        <f>IFERROR(__xludf.DUMMYFUNCTION("""COMPUTED_VALUE"""),4.0)</f>
        <v>4</v>
      </c>
      <c r="K173" s="132" t="str">
        <f>IFERROR(__xludf.DUMMYFUNCTION("""COMPUTED_VALUE"""),"AM2241")</f>
        <v>AM2241</v>
      </c>
      <c r="L173" s="121" t="str">
        <f>IFERROR(__xludf.DUMMYFUNCTION("""COMPUTED_VALUE"""),"Dr.KODIESWARI A")</f>
        <v>Dr.KODIESWARI A</v>
      </c>
      <c r="M173" s="121" t="str">
        <f>IFERROR(__xludf.DUMMYFUNCTION("""COMPUTED_VALUE"""),"kodieswaria@bitsathy.ac.in")</f>
        <v>kodieswaria@bitsathy.ac.in</v>
      </c>
    </row>
    <row r="174" ht="49.5" customHeight="1">
      <c r="A174" s="121" t="str">
        <f>IFERROR(__xludf.DUMMYFUNCTION("""COMPUTED_VALUE"""),"AIML")</f>
        <v>AIML</v>
      </c>
      <c r="B174" s="121" t="str">
        <f>IFERROR(__xludf.DUMMYFUNCTION("""COMPUTED_VALUE"""),"S4")</f>
        <v>S4</v>
      </c>
      <c r="C174" s="121" t="str">
        <f>IFERROR(__xludf.DUMMYFUNCTION("""COMPUTED_VALUE"""),"CORE")</f>
        <v>CORE</v>
      </c>
      <c r="D174" s="121" t="str">
        <f>IFERROR(__xludf.DUMMYFUNCTION("""COMPUTED_VALUE"""),"22HS007")</f>
        <v>22HS007</v>
      </c>
      <c r="E174" s="131" t="str">
        <f>IFERROR(__xludf.DUMMYFUNCTION("""COMPUTED_VALUE"""),"ENVIRONMENTAL SCIENCE")</f>
        <v>ENVIRONMENTAL SCIENCE</v>
      </c>
      <c r="F174" s="121" t="str">
        <f>IFERROR(__xludf.DUMMYFUNCTION("""COMPUTED_VALUE"""),"LAB")</f>
        <v>LAB</v>
      </c>
      <c r="G174" s="121">
        <f>IFERROR(__xludf.DUMMYFUNCTION("""COMPUTED_VALUE"""),2.0)</f>
        <v>2</v>
      </c>
      <c r="H174" s="121">
        <f>IFERROR(__xludf.DUMMYFUNCTION("""COMPUTED_VALUE"""),0.0)</f>
        <v>0</v>
      </c>
      <c r="I174" s="121">
        <f>IFERROR(__xludf.DUMMYFUNCTION("""COMPUTED_VALUE"""),0.0)</f>
        <v>0</v>
      </c>
      <c r="J174" s="121">
        <f>IFERROR(__xludf.DUMMYFUNCTION("""COMPUTED_VALUE"""),2.0)</f>
        <v>2</v>
      </c>
      <c r="K174" s="132" t="str">
        <f>IFERROR(__xludf.DUMMYFUNCTION("""COMPUTED_VALUE"""),"CH10957")</f>
        <v>CH10957</v>
      </c>
      <c r="L174" s="121" t="str">
        <f>IFERROR(__xludf.DUMMYFUNCTION("""COMPUTED_VALUE"""),"Dr.DEEPHA V")</f>
        <v>Dr.DEEPHA V</v>
      </c>
      <c r="M174" s="121" t="str">
        <f>IFERROR(__xludf.DUMMYFUNCTION("""COMPUTED_VALUE"""),"deephav@bitsathy.ac.in")</f>
        <v>deephav@bitsathy.ac.in</v>
      </c>
    </row>
    <row r="175" ht="49.5" customHeight="1">
      <c r="A175" s="121" t="str">
        <f>IFERROR(__xludf.DUMMYFUNCTION("""COMPUTED_VALUE"""),"AIML")</f>
        <v>AIML</v>
      </c>
      <c r="B175" s="121" t="str">
        <f>IFERROR(__xludf.DUMMYFUNCTION("""COMPUTED_VALUE"""),"S4")</f>
        <v>S4</v>
      </c>
      <c r="C175" s="121" t="str">
        <f>IFERROR(__xludf.DUMMYFUNCTION("""COMPUTED_VALUE"""),"CORE")</f>
        <v>CORE</v>
      </c>
      <c r="D175" s="121" t="str">
        <f>IFERROR(__xludf.DUMMYFUNCTION("""COMPUTED_VALUE"""),"22HS007")</f>
        <v>22HS007</v>
      </c>
      <c r="E175" s="131" t="str">
        <f>IFERROR(__xludf.DUMMYFUNCTION("""COMPUTED_VALUE"""),"ENVIRONMENTAL SCIENCE")</f>
        <v>ENVIRONMENTAL SCIENCE</v>
      </c>
      <c r="F175" s="121" t="str">
        <f>IFERROR(__xludf.DUMMYFUNCTION("""COMPUTED_VALUE"""),"LAB")</f>
        <v>LAB</v>
      </c>
      <c r="G175" s="121">
        <f>IFERROR(__xludf.DUMMYFUNCTION("""COMPUTED_VALUE"""),2.0)</f>
        <v>2</v>
      </c>
      <c r="H175" s="121">
        <f>IFERROR(__xludf.DUMMYFUNCTION("""COMPUTED_VALUE"""),0.0)</f>
        <v>0</v>
      </c>
      <c r="I175" s="121">
        <f>IFERROR(__xludf.DUMMYFUNCTION("""COMPUTED_VALUE"""),0.0)</f>
        <v>0</v>
      </c>
      <c r="J175" s="121">
        <f>IFERROR(__xludf.DUMMYFUNCTION("""COMPUTED_VALUE"""),2.0)</f>
        <v>2</v>
      </c>
      <c r="K175" s="132" t="str">
        <f>IFERROR(__xludf.DUMMYFUNCTION("""COMPUTED_VALUE"""),"CH1558")</f>
        <v>CH1558</v>
      </c>
      <c r="L175" s="121" t="str">
        <f>IFERROR(__xludf.DUMMYFUNCTION("""COMPUTED_VALUE"""),"Dr.PRAVEENA R")</f>
        <v>Dr.PRAVEENA R</v>
      </c>
      <c r="M175" s="133" t="str">
        <f>IFERROR(__xludf.DUMMYFUNCTION("""COMPUTED_VALUE"""),"praveenar@bitsathy.ac.in")</f>
        <v>praveenar@bitsathy.ac.in</v>
      </c>
    </row>
    <row r="176" ht="49.5" customHeight="1">
      <c r="A176" s="121" t="str">
        <f>IFERROR(__xludf.DUMMYFUNCTION("""COMPUTED_VALUE"""),"AIML")</f>
        <v>AIML</v>
      </c>
      <c r="B176" s="121" t="str">
        <f>IFERROR(__xludf.DUMMYFUNCTION("""COMPUTED_VALUE"""),"S4")</f>
        <v>S4</v>
      </c>
      <c r="C176" s="121" t="str">
        <f>IFERROR(__xludf.DUMMYFUNCTION("""COMPUTED_VALUE"""),"CORE")</f>
        <v>CORE</v>
      </c>
      <c r="D176" s="121" t="str">
        <f>IFERROR(__xludf.DUMMYFUNCTION("""COMPUTED_VALUE"""),"22HS008")</f>
        <v>22HS008</v>
      </c>
      <c r="E176" s="131" t="str">
        <f>IFERROR(__xludf.DUMMYFUNCTION("""COMPUTED_VALUE"""),"ADVANCED ENGLISH AND TECHNICAL EXPRESSION ")</f>
        <v>ADVANCED ENGLISH AND TECHNICAL EXPRESSION </v>
      </c>
      <c r="F176" s="121" t="str">
        <f>IFERROR(__xludf.DUMMYFUNCTION("""COMPUTED_VALUE"""),"LAB")</f>
        <v>LAB</v>
      </c>
      <c r="G176" s="121">
        <f>IFERROR(__xludf.DUMMYFUNCTION("""COMPUTED_VALUE"""),0.0)</f>
        <v>0</v>
      </c>
      <c r="H176" s="121">
        <f>IFERROR(__xludf.DUMMYFUNCTION("""COMPUTED_VALUE"""),0.0)</f>
        <v>0</v>
      </c>
      <c r="I176" s="121">
        <f>IFERROR(__xludf.DUMMYFUNCTION("""COMPUTED_VALUE"""),2.0)</f>
        <v>2</v>
      </c>
      <c r="J176" s="121">
        <f>IFERROR(__xludf.DUMMYFUNCTION("""COMPUTED_VALUE"""),1.0)</f>
        <v>1</v>
      </c>
      <c r="K176" s="132" t="str">
        <f>IFERROR(__xludf.DUMMYFUNCTION("""COMPUTED_VALUE"""),"HU11151")</f>
        <v>HU11151</v>
      </c>
      <c r="L176" s="121" t="str">
        <f>IFERROR(__xludf.DUMMYFUNCTION("""COMPUTED_VALUE"""),"Dr.NITHYA S")</f>
        <v>Dr.NITHYA S</v>
      </c>
      <c r="M176" s="121" t="str">
        <f>IFERROR(__xludf.DUMMYFUNCTION("""COMPUTED_VALUE"""),"nithyas@bitsathy.ac.in")</f>
        <v>nithyas@bitsathy.ac.in</v>
      </c>
    </row>
    <row r="177" ht="49.5" customHeight="1">
      <c r="A177" s="121" t="str">
        <f>IFERROR(__xludf.DUMMYFUNCTION("""COMPUTED_VALUE"""),"AIML")</f>
        <v>AIML</v>
      </c>
      <c r="B177" s="121" t="str">
        <f>IFERROR(__xludf.DUMMYFUNCTION("""COMPUTED_VALUE"""),"S4")</f>
        <v>S4</v>
      </c>
      <c r="C177" s="121" t="str">
        <f>IFERROR(__xludf.DUMMYFUNCTION("""COMPUTED_VALUE"""),"CORE")</f>
        <v>CORE</v>
      </c>
      <c r="D177" s="121" t="str">
        <f>IFERROR(__xludf.DUMMYFUNCTION("""COMPUTED_VALUE"""),"22HS008")</f>
        <v>22HS008</v>
      </c>
      <c r="E177" s="131" t="str">
        <f>IFERROR(__xludf.DUMMYFUNCTION("""COMPUTED_VALUE"""),"ADVANCED ENGLISH AND TECHNICAL EXPRESSION ")</f>
        <v>ADVANCED ENGLISH AND TECHNICAL EXPRESSION </v>
      </c>
      <c r="F177" s="121" t="str">
        <f>IFERROR(__xludf.DUMMYFUNCTION("""COMPUTED_VALUE"""),"LAB")</f>
        <v>LAB</v>
      </c>
      <c r="G177" s="121">
        <f>IFERROR(__xludf.DUMMYFUNCTION("""COMPUTED_VALUE"""),0.0)</f>
        <v>0</v>
      </c>
      <c r="H177" s="121">
        <f>IFERROR(__xludf.DUMMYFUNCTION("""COMPUTED_VALUE"""),0.0)</f>
        <v>0</v>
      </c>
      <c r="I177" s="121">
        <f>IFERROR(__xludf.DUMMYFUNCTION("""COMPUTED_VALUE"""),2.0)</f>
        <v>2</v>
      </c>
      <c r="J177" s="121">
        <f>IFERROR(__xludf.DUMMYFUNCTION("""COMPUTED_VALUE"""),1.0)</f>
        <v>1</v>
      </c>
      <c r="K177" s="132" t="str">
        <f>IFERROR(__xludf.DUMMYFUNCTION("""COMPUTED_VALUE"""),"HU11159")</f>
        <v>HU11159</v>
      </c>
      <c r="L177" s="121" t="str">
        <f>IFERROR(__xludf.DUMMYFUNCTION("""COMPUTED_VALUE"""),"Dr.JAYA K")</f>
        <v>Dr.JAYA K</v>
      </c>
      <c r="M177" s="121" t="str">
        <f>IFERROR(__xludf.DUMMYFUNCTION("""COMPUTED_VALUE"""),"jayak@bitsathy.ac.in")</f>
        <v>jayak@bitsathy.ac.in</v>
      </c>
    </row>
    <row r="178" ht="49.5" customHeight="1">
      <c r="A178" s="121" t="str">
        <f>IFERROR(__xludf.DUMMYFUNCTION("""COMPUTED_VALUE"""),"AIML")</f>
        <v>AIML</v>
      </c>
      <c r="B178" s="121" t="str">
        <f>IFERROR(__xludf.DUMMYFUNCTION("""COMPUTED_VALUE"""),"S6")</f>
        <v>S6</v>
      </c>
      <c r="C178" s="121" t="str">
        <f>IFERROR(__xludf.DUMMYFUNCTION("""COMPUTED_VALUE"""),"CORE")</f>
        <v>CORE</v>
      </c>
      <c r="D178" s="121" t="str">
        <f>IFERROR(__xludf.DUMMYFUNCTION("""COMPUTED_VALUE"""),"22AM601")</f>
        <v>22AM601</v>
      </c>
      <c r="E178" s="131" t="str">
        <f>IFERROR(__xludf.DUMMYFUNCTION("""COMPUTED_VALUE"""),"NATURAL LANGUAGE PROCESSING")</f>
        <v>NATURAL LANGUAGE PROCESSING</v>
      </c>
      <c r="F178" s="121" t="str">
        <f>IFERROR(__xludf.DUMMYFUNCTION("""COMPUTED_VALUE"""),"THEORY WITH LAB")</f>
        <v>THEORY WITH LAB</v>
      </c>
      <c r="G178" s="121">
        <f>IFERROR(__xludf.DUMMYFUNCTION("""COMPUTED_VALUE"""),2.0)</f>
        <v>2</v>
      </c>
      <c r="H178" s="121">
        <f>IFERROR(__xludf.DUMMYFUNCTION("""COMPUTED_VALUE"""),0.0)</f>
        <v>0</v>
      </c>
      <c r="I178" s="121">
        <f>IFERROR(__xludf.DUMMYFUNCTION("""COMPUTED_VALUE"""),2.0)</f>
        <v>2</v>
      </c>
      <c r="J178" s="121">
        <f>IFERROR(__xludf.DUMMYFUNCTION("""COMPUTED_VALUE"""),3.0)</f>
        <v>3</v>
      </c>
      <c r="K178" s="132" t="str">
        <f>IFERROR(__xludf.DUMMYFUNCTION("""COMPUTED_VALUE"""),"AM2241")</f>
        <v>AM2241</v>
      </c>
      <c r="L178" s="121" t="str">
        <f>IFERROR(__xludf.DUMMYFUNCTION("""COMPUTED_VALUE"""),"Dr.KODIESWARI A")</f>
        <v>Dr.KODIESWARI A</v>
      </c>
      <c r="M178" s="121" t="str">
        <f>IFERROR(__xludf.DUMMYFUNCTION("""COMPUTED_VALUE"""),"kodieswaria@bitsathy.ac.in")</f>
        <v>kodieswaria@bitsathy.ac.in</v>
      </c>
    </row>
    <row r="179" ht="49.5" customHeight="1">
      <c r="A179" s="121" t="str">
        <f>IFERROR(__xludf.DUMMYFUNCTION("""COMPUTED_VALUE"""),"AIML")</f>
        <v>AIML</v>
      </c>
      <c r="B179" s="121" t="str">
        <f>IFERROR(__xludf.DUMMYFUNCTION("""COMPUTED_VALUE"""),"S6")</f>
        <v>S6</v>
      </c>
      <c r="C179" s="121" t="str">
        <f>IFERROR(__xludf.DUMMYFUNCTION("""COMPUTED_VALUE"""),"CORE")</f>
        <v>CORE</v>
      </c>
      <c r="D179" s="121" t="str">
        <f>IFERROR(__xludf.DUMMYFUNCTION("""COMPUTED_VALUE"""),"22AM601")</f>
        <v>22AM601</v>
      </c>
      <c r="E179" s="131" t="str">
        <f>IFERROR(__xludf.DUMMYFUNCTION("""COMPUTED_VALUE"""),"NATURAL LANGUAGE PROCESSING")</f>
        <v>NATURAL LANGUAGE PROCESSING</v>
      </c>
      <c r="F179" s="121" t="str">
        <f>IFERROR(__xludf.DUMMYFUNCTION("""COMPUTED_VALUE"""),"THEORY")</f>
        <v>THEORY</v>
      </c>
      <c r="G179" s="121">
        <f>IFERROR(__xludf.DUMMYFUNCTION("""COMPUTED_VALUE"""),2.0)</f>
        <v>2</v>
      </c>
      <c r="H179" s="121">
        <f>IFERROR(__xludf.DUMMYFUNCTION("""COMPUTED_VALUE"""),0.0)</f>
        <v>0</v>
      </c>
      <c r="I179" s="121">
        <f>IFERROR(__xludf.DUMMYFUNCTION("""COMPUTED_VALUE"""),2.0)</f>
        <v>2</v>
      </c>
      <c r="J179" s="121">
        <f>IFERROR(__xludf.DUMMYFUNCTION("""COMPUTED_VALUE"""),3.0)</f>
        <v>3</v>
      </c>
      <c r="K179" s="132" t="str">
        <f>IFERROR(__xludf.DUMMYFUNCTION("""COMPUTED_VALUE"""),"AM11039")</f>
        <v>AM11039</v>
      </c>
      <c r="L179" s="121" t="str">
        <f>IFERROR(__xludf.DUMMYFUNCTION("""COMPUTED_VALUE"""),"Mrs.EUGENE BERNA I")</f>
        <v>Mrs.EUGENE BERNA I</v>
      </c>
      <c r="M179" s="121" t="str">
        <f>IFERROR(__xludf.DUMMYFUNCTION("""COMPUTED_VALUE"""),"eugenebernai@bitsathy.ac.in")</f>
        <v>eugenebernai@bitsathy.ac.in</v>
      </c>
    </row>
    <row r="180" ht="49.5" customHeight="1">
      <c r="A180" s="121" t="str">
        <f>IFERROR(__xludf.DUMMYFUNCTION("""COMPUTED_VALUE"""),"AIML")</f>
        <v>AIML</v>
      </c>
      <c r="B180" s="121" t="str">
        <f>IFERROR(__xludf.DUMMYFUNCTION("""COMPUTED_VALUE"""),"S6")</f>
        <v>S6</v>
      </c>
      <c r="C180" s="121" t="str">
        <f>IFERROR(__xludf.DUMMYFUNCTION("""COMPUTED_VALUE"""),"CORE")</f>
        <v>CORE</v>
      </c>
      <c r="D180" s="121" t="str">
        <f>IFERROR(__xludf.DUMMYFUNCTION("""COMPUTED_VALUE"""),"22AM601")</f>
        <v>22AM601</v>
      </c>
      <c r="E180" s="131" t="str">
        <f>IFERROR(__xludf.DUMMYFUNCTION("""COMPUTED_VALUE"""),"NATURAL LANGUAGE PROCESSING")</f>
        <v>NATURAL LANGUAGE PROCESSING</v>
      </c>
      <c r="F180" s="121" t="str">
        <f>IFERROR(__xludf.DUMMYFUNCTION("""COMPUTED_VALUE"""),"LAB")</f>
        <v>LAB</v>
      </c>
      <c r="G180" s="121">
        <f>IFERROR(__xludf.DUMMYFUNCTION("""COMPUTED_VALUE"""),2.0)</f>
        <v>2</v>
      </c>
      <c r="H180" s="121">
        <f>IFERROR(__xludf.DUMMYFUNCTION("""COMPUTED_VALUE"""),0.0)</f>
        <v>0</v>
      </c>
      <c r="I180" s="121">
        <f>IFERROR(__xludf.DUMMYFUNCTION("""COMPUTED_VALUE"""),2.0)</f>
        <v>2</v>
      </c>
      <c r="J180" s="121">
        <f>IFERROR(__xludf.DUMMYFUNCTION("""COMPUTED_VALUE"""),3.0)</f>
        <v>3</v>
      </c>
      <c r="K180" s="132" t="str">
        <f>IFERROR(__xludf.DUMMYFUNCTION("""COMPUTED_VALUE"""),"IS1899")</f>
        <v>IS1899</v>
      </c>
      <c r="L180" s="121" t="str">
        <f>IFERROR(__xludf.DUMMYFUNCTION("""COMPUTED_VALUE"""),"Dr.ANANDAKUMAR K")</f>
        <v>Dr.ANANDAKUMAR K</v>
      </c>
      <c r="M180" s="121" t="str">
        <f>IFERROR(__xludf.DUMMYFUNCTION("""COMPUTED_VALUE"""),"anandakumark@bitsathy.ac.in")</f>
        <v>anandakumark@bitsathy.ac.in</v>
      </c>
    </row>
    <row r="181" ht="49.5" customHeight="1">
      <c r="A181" s="121" t="str">
        <f>IFERROR(__xludf.DUMMYFUNCTION("""COMPUTED_VALUE"""),"AIML")</f>
        <v>AIML</v>
      </c>
      <c r="B181" s="121" t="str">
        <f>IFERROR(__xludf.DUMMYFUNCTION("""COMPUTED_VALUE"""),"S6")</f>
        <v>S6</v>
      </c>
      <c r="C181" s="121" t="str">
        <f>IFERROR(__xludf.DUMMYFUNCTION("""COMPUTED_VALUE"""),"CORE")</f>
        <v>CORE</v>
      </c>
      <c r="D181" s="121" t="str">
        <f>IFERROR(__xludf.DUMMYFUNCTION("""COMPUTED_VALUE"""),"22AM602")</f>
        <v>22AM602</v>
      </c>
      <c r="E181" s="131" t="str">
        <f>IFERROR(__xludf.DUMMYFUNCTION("""COMPUTED_VALUE"""),"COMPUTER VISION AND DIGITAL IMAGING")</f>
        <v>COMPUTER VISION AND DIGITAL IMAGING</v>
      </c>
      <c r="F181" s="121" t="str">
        <f>IFERROR(__xludf.DUMMYFUNCTION("""COMPUTED_VALUE"""),"THEORY WITH LAB")</f>
        <v>THEORY WITH LAB</v>
      </c>
      <c r="G181" s="121">
        <f>IFERROR(__xludf.DUMMYFUNCTION("""COMPUTED_VALUE"""),3.0)</f>
        <v>3</v>
      </c>
      <c r="H181" s="121">
        <f>IFERROR(__xludf.DUMMYFUNCTION("""COMPUTED_VALUE"""),0.0)</f>
        <v>0</v>
      </c>
      <c r="I181" s="121">
        <f>IFERROR(__xludf.DUMMYFUNCTION("""COMPUTED_VALUE"""),2.0)</f>
        <v>2</v>
      </c>
      <c r="J181" s="121">
        <f>IFERROR(__xludf.DUMMYFUNCTION("""COMPUTED_VALUE"""),4.0)</f>
        <v>4</v>
      </c>
      <c r="K181" s="132" t="str">
        <f>IFERROR(__xludf.DUMMYFUNCTION("""COMPUTED_VALUE"""),"AM10907")</f>
        <v>AM10907</v>
      </c>
      <c r="L181" s="121" t="str">
        <f>IFERROR(__xludf.DUMMYFUNCTION("""COMPUTED_VALUE"""),"Dr.RAJASEKAR S S")</f>
        <v>Dr.RAJASEKAR S S</v>
      </c>
      <c r="M181" s="121" t="str">
        <f>IFERROR(__xludf.DUMMYFUNCTION("""COMPUTED_VALUE"""),"rajasekarss@bitsathy.ac.in")</f>
        <v>rajasekarss@bitsathy.ac.in</v>
      </c>
    </row>
    <row r="182" ht="49.5" customHeight="1">
      <c r="A182" s="121" t="str">
        <f>IFERROR(__xludf.DUMMYFUNCTION("""COMPUTED_VALUE"""),"AIML")</f>
        <v>AIML</v>
      </c>
      <c r="B182" s="121" t="str">
        <f>IFERROR(__xludf.DUMMYFUNCTION("""COMPUTED_VALUE"""),"S6")</f>
        <v>S6</v>
      </c>
      <c r="C182" s="121" t="str">
        <f>IFERROR(__xludf.DUMMYFUNCTION("""COMPUTED_VALUE"""),"CORE")</f>
        <v>CORE</v>
      </c>
      <c r="D182" s="121" t="str">
        <f>IFERROR(__xludf.DUMMYFUNCTION("""COMPUTED_VALUE"""),"22AM602")</f>
        <v>22AM602</v>
      </c>
      <c r="E182" s="131" t="str">
        <f>IFERROR(__xludf.DUMMYFUNCTION("""COMPUTED_VALUE"""),"COMPUTER VISION AND DIGITAL IMAGING")</f>
        <v>COMPUTER VISION AND DIGITAL IMAGING</v>
      </c>
      <c r="F182" s="121" t="str">
        <f>IFERROR(__xludf.DUMMYFUNCTION("""COMPUTED_VALUE"""),"THEORY WITH LAB")</f>
        <v>THEORY WITH LAB</v>
      </c>
      <c r="G182" s="121">
        <f>IFERROR(__xludf.DUMMYFUNCTION("""COMPUTED_VALUE"""),3.0)</f>
        <v>3</v>
      </c>
      <c r="H182" s="121">
        <f>IFERROR(__xludf.DUMMYFUNCTION("""COMPUTED_VALUE"""),0.0)</f>
        <v>0</v>
      </c>
      <c r="I182" s="121">
        <f>IFERROR(__xludf.DUMMYFUNCTION("""COMPUTED_VALUE"""),2.0)</f>
        <v>2</v>
      </c>
      <c r="J182" s="121">
        <f>IFERROR(__xludf.DUMMYFUNCTION("""COMPUTED_VALUE"""),4.0)</f>
        <v>4</v>
      </c>
      <c r="K182" s="132" t="str">
        <f>IFERROR(__xludf.DUMMYFUNCTION("""COMPUTED_VALUE"""),"AM10956")</f>
        <v>AM10956</v>
      </c>
      <c r="L182" s="121" t="str">
        <f>IFERROR(__xludf.DUMMYFUNCTION("""COMPUTED_VALUE"""),"Ms.KARTHIKA S")</f>
        <v>Ms.KARTHIKA S</v>
      </c>
      <c r="M182" s="121" t="str">
        <f>IFERROR(__xludf.DUMMYFUNCTION("""COMPUTED_VALUE"""),"karthikas@bitsathy.ac.in")</f>
        <v>karthikas@bitsathy.ac.in</v>
      </c>
    </row>
    <row r="183" ht="49.5" customHeight="1">
      <c r="A183" s="121" t="str">
        <f>IFERROR(__xludf.DUMMYFUNCTION("""COMPUTED_VALUE"""),"AIML")</f>
        <v>AIML</v>
      </c>
      <c r="B183" s="121" t="str">
        <f>IFERROR(__xludf.DUMMYFUNCTION("""COMPUTED_VALUE"""),"S6")</f>
        <v>S6</v>
      </c>
      <c r="C183" s="121" t="str">
        <f>IFERROR(__xludf.DUMMYFUNCTION("""COMPUTED_VALUE"""),"CORE")</f>
        <v>CORE</v>
      </c>
      <c r="D183" s="121" t="str">
        <f>IFERROR(__xludf.DUMMYFUNCTION("""COMPUTED_VALUE"""),"22AM603")</f>
        <v>22AM603</v>
      </c>
      <c r="E183" s="131" t="str">
        <f>IFERROR(__xludf.DUMMYFUNCTION("""COMPUTED_VALUE"""),"DEEP LEARNING")</f>
        <v>DEEP LEARNING</v>
      </c>
      <c r="F183" s="121" t="str">
        <f>IFERROR(__xludf.DUMMYFUNCTION("""COMPUTED_VALUE"""),"THEORY WITH LAB")</f>
        <v>THEORY WITH LAB</v>
      </c>
      <c r="G183" s="121">
        <f>IFERROR(__xludf.DUMMYFUNCTION("""COMPUTED_VALUE"""),2.0)</f>
        <v>2</v>
      </c>
      <c r="H183" s="121">
        <f>IFERROR(__xludf.DUMMYFUNCTION("""COMPUTED_VALUE"""),0.0)</f>
        <v>0</v>
      </c>
      <c r="I183" s="121">
        <f>IFERROR(__xludf.DUMMYFUNCTION("""COMPUTED_VALUE"""),2.0)</f>
        <v>2</v>
      </c>
      <c r="J183" s="121">
        <f>IFERROR(__xludf.DUMMYFUNCTION("""COMPUTED_VALUE"""),3.0)</f>
        <v>3</v>
      </c>
      <c r="K183" s="132" t="str">
        <f>IFERROR(__xludf.DUMMYFUNCTION("""COMPUTED_VALUE"""),"AM10971")</f>
        <v>AM10971</v>
      </c>
      <c r="L183" s="121" t="str">
        <f>IFERROR(__xludf.DUMMYFUNCTION("""COMPUTED_VALUE"""),"Mr.NITHIN P")</f>
        <v>Mr.NITHIN P</v>
      </c>
      <c r="M183" s="121" t="str">
        <f>IFERROR(__xludf.DUMMYFUNCTION("""COMPUTED_VALUE"""),"nithinp@bitsathy.ac.in")</f>
        <v>nithinp@bitsathy.ac.in</v>
      </c>
    </row>
    <row r="184" ht="49.5" customHeight="1">
      <c r="A184" s="121" t="str">
        <f>IFERROR(__xludf.DUMMYFUNCTION("""COMPUTED_VALUE"""),"AIML")</f>
        <v>AIML</v>
      </c>
      <c r="B184" s="121" t="str">
        <f>IFERROR(__xludf.DUMMYFUNCTION("""COMPUTED_VALUE"""),"S6")</f>
        <v>S6</v>
      </c>
      <c r="C184" s="121" t="str">
        <f>IFERROR(__xludf.DUMMYFUNCTION("""COMPUTED_VALUE"""),"CORE")</f>
        <v>CORE</v>
      </c>
      <c r="D184" s="121" t="str">
        <f>IFERROR(__xludf.DUMMYFUNCTION("""COMPUTED_VALUE"""),"22AM603")</f>
        <v>22AM603</v>
      </c>
      <c r="E184" s="131" t="str">
        <f>IFERROR(__xludf.DUMMYFUNCTION("""COMPUTED_VALUE"""),"DEEP LEARNING")</f>
        <v>DEEP LEARNING</v>
      </c>
      <c r="F184" s="121" t="str">
        <f>IFERROR(__xludf.DUMMYFUNCTION("""COMPUTED_VALUE"""),"THEORY")</f>
        <v>THEORY</v>
      </c>
      <c r="G184" s="121">
        <f>IFERROR(__xludf.DUMMYFUNCTION("""COMPUTED_VALUE"""),2.0)</f>
        <v>2</v>
      </c>
      <c r="H184" s="121">
        <f>IFERROR(__xludf.DUMMYFUNCTION("""COMPUTED_VALUE"""),0.0)</f>
        <v>0</v>
      </c>
      <c r="I184" s="121">
        <f>IFERROR(__xludf.DUMMYFUNCTION("""COMPUTED_VALUE"""),2.0)</f>
        <v>2</v>
      </c>
      <c r="J184" s="121">
        <f>IFERROR(__xludf.DUMMYFUNCTION("""COMPUTED_VALUE"""),3.0)</f>
        <v>3</v>
      </c>
      <c r="K184" s="132" t="str">
        <f>IFERROR(__xludf.DUMMYFUNCTION("""COMPUTED_VALUE"""),"AM11161")</f>
        <v>AM11161</v>
      </c>
      <c r="L184" s="121" t="str">
        <f>IFERROR(__xludf.DUMMYFUNCTION("""COMPUTED_VALUE"""),"Dr.KARTHIKEYAN G")</f>
        <v>Dr.KARTHIKEYAN G</v>
      </c>
      <c r="M184" s="121" t="str">
        <f>IFERROR(__xludf.DUMMYFUNCTION("""COMPUTED_VALUE"""),"karthikeyang@bitsathy.ac.in")</f>
        <v>karthikeyang@bitsathy.ac.in</v>
      </c>
    </row>
    <row r="185" ht="49.5" customHeight="1">
      <c r="A185" s="121" t="str">
        <f>IFERROR(__xludf.DUMMYFUNCTION("""COMPUTED_VALUE"""),"AIML")</f>
        <v>AIML</v>
      </c>
      <c r="B185" s="121" t="str">
        <f>IFERROR(__xludf.DUMMYFUNCTION("""COMPUTED_VALUE"""),"S6")</f>
        <v>S6</v>
      </c>
      <c r="C185" s="121" t="str">
        <f>IFERROR(__xludf.DUMMYFUNCTION("""COMPUTED_VALUE"""),"CORE")</f>
        <v>CORE</v>
      </c>
      <c r="D185" s="121" t="str">
        <f>IFERROR(__xludf.DUMMYFUNCTION("""COMPUTED_VALUE"""),"22AM603")</f>
        <v>22AM603</v>
      </c>
      <c r="E185" s="131" t="str">
        <f>IFERROR(__xludf.DUMMYFUNCTION("""COMPUTED_VALUE"""),"DEEP LEARNING")</f>
        <v>DEEP LEARNING</v>
      </c>
      <c r="F185" s="121" t="str">
        <f>IFERROR(__xludf.DUMMYFUNCTION("""COMPUTED_VALUE"""),"LAB")</f>
        <v>LAB</v>
      </c>
      <c r="G185" s="121">
        <f>IFERROR(__xludf.DUMMYFUNCTION("""COMPUTED_VALUE"""),2.0)</f>
        <v>2</v>
      </c>
      <c r="H185" s="121">
        <f>IFERROR(__xludf.DUMMYFUNCTION("""COMPUTED_VALUE"""),0.0)</f>
        <v>0</v>
      </c>
      <c r="I185" s="121">
        <f>IFERROR(__xludf.DUMMYFUNCTION("""COMPUTED_VALUE"""),2.0)</f>
        <v>2</v>
      </c>
      <c r="J185" s="121">
        <f>IFERROR(__xludf.DUMMYFUNCTION("""COMPUTED_VALUE"""),3.0)</f>
        <v>3</v>
      </c>
      <c r="K185" s="132" t="str">
        <f>IFERROR(__xludf.DUMMYFUNCTION("""COMPUTED_VALUE"""),"AM11161")</f>
        <v>AM11161</v>
      </c>
      <c r="L185" s="121" t="str">
        <f>IFERROR(__xludf.DUMMYFUNCTION("""COMPUTED_VALUE"""),"Dr.KARTHIKEYAN G")</f>
        <v>Dr.KARTHIKEYAN G</v>
      </c>
      <c r="M185" s="121" t="str">
        <f>IFERROR(__xludf.DUMMYFUNCTION("""COMPUTED_VALUE"""),"karthikeyang@bitsathy.ac.in")</f>
        <v>karthikeyang@bitsathy.ac.in</v>
      </c>
    </row>
    <row r="186" ht="49.5" customHeight="1">
      <c r="A186" s="121" t="str">
        <f>IFERROR(__xludf.DUMMYFUNCTION("""COMPUTED_VALUE"""),"AIML")</f>
        <v>AIML</v>
      </c>
      <c r="B186" s="121" t="str">
        <f>IFERROR(__xludf.DUMMYFUNCTION("""COMPUTED_VALUE"""),"S6")</f>
        <v>S6</v>
      </c>
      <c r="C186" s="121" t="str">
        <f>IFERROR(__xludf.DUMMYFUNCTION("""COMPUTED_VALUE"""),"ELECTIVE 3")</f>
        <v>ELECTIVE 3</v>
      </c>
      <c r="D186" s="121" t="str">
        <f>IFERROR(__xludf.DUMMYFUNCTION("""COMPUTED_VALUE"""),"22AM005")</f>
        <v>22AM005</v>
      </c>
      <c r="E186" s="131" t="str">
        <f>IFERROR(__xludf.DUMMYFUNCTION("""COMPUTED_VALUE"""),"SOFTWARE TESTING AND AUTOMATION")</f>
        <v>SOFTWARE TESTING AND AUTOMATION</v>
      </c>
      <c r="F186" s="121" t="str">
        <f>IFERROR(__xludf.DUMMYFUNCTION("""COMPUTED_VALUE"""),"THEORY")</f>
        <v>THEORY</v>
      </c>
      <c r="G186" s="121">
        <f>IFERROR(__xludf.DUMMYFUNCTION("""COMPUTED_VALUE"""),3.0)</f>
        <v>3</v>
      </c>
      <c r="H186" s="121">
        <f>IFERROR(__xludf.DUMMYFUNCTION("""COMPUTED_VALUE"""),0.0)</f>
        <v>0</v>
      </c>
      <c r="I186" s="121">
        <f>IFERROR(__xludf.DUMMYFUNCTION("""COMPUTED_VALUE"""),0.0)</f>
        <v>0</v>
      </c>
      <c r="J186" s="121">
        <f>IFERROR(__xludf.DUMMYFUNCTION("""COMPUTED_VALUE"""),3.0)</f>
        <v>3</v>
      </c>
      <c r="K186" s="132" t="str">
        <f>IFERROR(__xludf.DUMMYFUNCTION("""COMPUTED_VALUE"""),"CD11183")</f>
        <v>CD11183</v>
      </c>
      <c r="L186" s="121" t="str">
        <f>IFERROR(__xludf.DUMMYFUNCTION("""COMPUTED_VALUE"""),"Mrs.INDHUMATHI K")</f>
        <v>Mrs.INDHUMATHI K</v>
      </c>
      <c r="M186" s="121" t="str">
        <f>IFERROR(__xludf.DUMMYFUNCTION("""COMPUTED_VALUE"""),"indhumathik@bitsathy.ac.in")</f>
        <v>indhumathik@bitsathy.ac.in</v>
      </c>
    </row>
    <row r="187" ht="49.5" customHeight="1">
      <c r="A187" s="121" t="str">
        <f>IFERROR(__xludf.DUMMYFUNCTION("""COMPUTED_VALUE"""),"AIML")</f>
        <v>AIML</v>
      </c>
      <c r="B187" s="121" t="str">
        <f>IFERROR(__xludf.DUMMYFUNCTION("""COMPUTED_VALUE"""),"S6")</f>
        <v>S6</v>
      </c>
      <c r="C187" s="121" t="str">
        <f>IFERROR(__xludf.DUMMYFUNCTION("""COMPUTED_VALUE"""),"ELECTIVE 3")</f>
        <v>ELECTIVE 3</v>
      </c>
      <c r="D187" s="121" t="str">
        <f>IFERROR(__xludf.DUMMYFUNCTION("""COMPUTED_VALUE"""),"22AM005")</f>
        <v>22AM005</v>
      </c>
      <c r="E187" s="131" t="str">
        <f>IFERROR(__xludf.DUMMYFUNCTION("""COMPUTED_VALUE"""),"SOFTWARE TESTING AND AUTOMATION")</f>
        <v>SOFTWARE TESTING AND AUTOMATION</v>
      </c>
      <c r="F187" s="121" t="str">
        <f>IFERROR(__xludf.DUMMYFUNCTION("""COMPUTED_VALUE"""),"THEORY")</f>
        <v>THEORY</v>
      </c>
      <c r="G187" s="121">
        <f>IFERROR(__xludf.DUMMYFUNCTION("""COMPUTED_VALUE"""),3.0)</f>
        <v>3</v>
      </c>
      <c r="H187" s="121">
        <f>IFERROR(__xludf.DUMMYFUNCTION("""COMPUTED_VALUE"""),0.0)</f>
        <v>0</v>
      </c>
      <c r="I187" s="121">
        <f>IFERROR(__xludf.DUMMYFUNCTION("""COMPUTED_VALUE"""),0.0)</f>
        <v>0</v>
      </c>
      <c r="J187" s="121">
        <f>IFERROR(__xludf.DUMMYFUNCTION("""COMPUTED_VALUE"""),3.0)</f>
        <v>3</v>
      </c>
      <c r="K187" s="132" t="str">
        <f>IFERROR(__xludf.DUMMYFUNCTION("""COMPUTED_VALUE"""),"AM11092")</f>
        <v>AM11092</v>
      </c>
      <c r="L187" s="121" t="str">
        <f>IFERROR(__xludf.DUMMYFUNCTION("""COMPUTED_VALUE"""),"Ms.KANIMOZHI A")</f>
        <v>Ms.KANIMOZHI A</v>
      </c>
      <c r="M187" s="121" t="str">
        <f>IFERROR(__xludf.DUMMYFUNCTION("""COMPUTED_VALUE"""),"kanimozhi@bitsathy.ac.in")</f>
        <v>kanimozhi@bitsathy.ac.in</v>
      </c>
    </row>
    <row r="188" ht="49.5" customHeight="1">
      <c r="A188" s="121" t="str">
        <f>IFERROR(__xludf.DUMMYFUNCTION("""COMPUTED_VALUE"""),"AIML")</f>
        <v>AIML</v>
      </c>
      <c r="B188" s="121" t="str">
        <f>IFERROR(__xludf.DUMMYFUNCTION("""COMPUTED_VALUE"""),"S6")</f>
        <v>S6</v>
      </c>
      <c r="C188" s="121" t="str">
        <f>IFERROR(__xludf.DUMMYFUNCTION("""COMPUTED_VALUE"""),"ELECTIVE 4")</f>
        <v>ELECTIVE 4</v>
      </c>
      <c r="D188" s="121" t="str">
        <f>IFERROR(__xludf.DUMMYFUNCTION("""COMPUTED_VALUE"""),"22AM014")</f>
        <v>22AM014</v>
      </c>
      <c r="E188" s="131" t="str">
        <f>IFERROR(__xludf.DUMMYFUNCTION("""COMPUTED_VALUE"""),"MODERN CRYPTOGRAPHY")</f>
        <v>MODERN CRYPTOGRAPHY</v>
      </c>
      <c r="F188" s="121" t="str">
        <f>IFERROR(__xludf.DUMMYFUNCTION("""COMPUTED_VALUE"""),"THEORY")</f>
        <v>THEORY</v>
      </c>
      <c r="G188" s="121">
        <f>IFERROR(__xludf.DUMMYFUNCTION("""COMPUTED_VALUE"""),3.0)</f>
        <v>3</v>
      </c>
      <c r="H188" s="121">
        <f>IFERROR(__xludf.DUMMYFUNCTION("""COMPUTED_VALUE"""),0.0)</f>
        <v>0</v>
      </c>
      <c r="I188" s="121">
        <f>IFERROR(__xludf.DUMMYFUNCTION("""COMPUTED_VALUE"""),0.0)</f>
        <v>0</v>
      </c>
      <c r="J188" s="121">
        <f>IFERROR(__xludf.DUMMYFUNCTION("""COMPUTED_VALUE"""),3.0)</f>
        <v>3</v>
      </c>
      <c r="K188" s="132" t="str">
        <f>IFERROR(__xludf.DUMMYFUNCTION("""COMPUTED_VALUE"""),"IT11142")</f>
        <v>IT11142</v>
      </c>
      <c r="L188" s="121" t="str">
        <f>IFERROR(__xludf.DUMMYFUNCTION("""COMPUTED_VALUE"""),"Mrs.KEERTHANA K")</f>
        <v>Mrs.KEERTHANA K</v>
      </c>
      <c r="M188" s="121" t="str">
        <f>IFERROR(__xludf.DUMMYFUNCTION("""COMPUTED_VALUE"""),"keerthana@bitsathy.ac.in")</f>
        <v>keerthana@bitsathy.ac.in</v>
      </c>
    </row>
    <row r="189" ht="49.5" customHeight="1">
      <c r="A189" s="121" t="str">
        <f>IFERROR(__xludf.DUMMYFUNCTION("""COMPUTED_VALUE"""),"AIML")</f>
        <v>AIML</v>
      </c>
      <c r="B189" s="121" t="str">
        <f>IFERROR(__xludf.DUMMYFUNCTION("""COMPUTED_VALUE"""),"S6")</f>
        <v>S6</v>
      </c>
      <c r="C189" s="121" t="str">
        <f>IFERROR(__xludf.DUMMYFUNCTION("""COMPUTED_VALUE"""),"ELECTIVE 4")</f>
        <v>ELECTIVE 4</v>
      </c>
      <c r="D189" s="121" t="str">
        <f>IFERROR(__xludf.DUMMYFUNCTION("""COMPUTED_VALUE"""),"22AM014")</f>
        <v>22AM014</v>
      </c>
      <c r="E189" s="131" t="str">
        <f>IFERROR(__xludf.DUMMYFUNCTION("""COMPUTED_VALUE"""),"MODERN CRYPTOGRAPHY")</f>
        <v>MODERN CRYPTOGRAPHY</v>
      </c>
      <c r="F189" s="121" t="str">
        <f>IFERROR(__xludf.DUMMYFUNCTION("""COMPUTED_VALUE"""),"THEORY")</f>
        <v>THEORY</v>
      </c>
      <c r="G189" s="121">
        <f>IFERROR(__xludf.DUMMYFUNCTION("""COMPUTED_VALUE"""),3.0)</f>
        <v>3</v>
      </c>
      <c r="H189" s="121">
        <f>IFERROR(__xludf.DUMMYFUNCTION("""COMPUTED_VALUE"""),0.0)</f>
        <v>0</v>
      </c>
      <c r="I189" s="121">
        <f>IFERROR(__xludf.DUMMYFUNCTION("""COMPUTED_VALUE"""),0.0)</f>
        <v>0</v>
      </c>
      <c r="J189" s="121">
        <f>IFERROR(__xludf.DUMMYFUNCTION("""COMPUTED_VALUE"""),3.0)</f>
        <v>3</v>
      </c>
      <c r="K189" s="132" t="str">
        <f>IFERROR(__xludf.DUMMYFUNCTION("""COMPUTED_VALUE"""),"IS10944")</f>
        <v>IS10944</v>
      </c>
      <c r="L189" s="121" t="str">
        <f>IFERROR(__xludf.DUMMYFUNCTION("""COMPUTED_VALUE"""),"Mr.SOMASUNDARAM K")</f>
        <v>Mr.SOMASUNDARAM K</v>
      </c>
      <c r="M189" s="121" t="str">
        <f>IFERROR(__xludf.DUMMYFUNCTION("""COMPUTED_VALUE"""),"somasundaramk@bitsathy.ac.in")</f>
        <v>somasundaramk@bitsathy.ac.in</v>
      </c>
    </row>
    <row r="190" ht="49.5" customHeight="1">
      <c r="A190" s="121" t="str">
        <f>IFERROR(__xludf.DUMMYFUNCTION("""COMPUTED_VALUE"""),"AIML")</f>
        <v>AIML</v>
      </c>
      <c r="B190" s="121" t="str">
        <f>IFERROR(__xludf.DUMMYFUNCTION("""COMPUTED_VALUE"""),"S6")</f>
        <v>S6</v>
      </c>
      <c r="C190" s="121" t="str">
        <f>IFERROR(__xludf.DUMMYFUNCTION("""COMPUTED_VALUE"""),"ELECTIVE 5")</f>
        <v>ELECTIVE 5</v>
      </c>
      <c r="D190" s="121" t="str">
        <f>IFERROR(__xludf.DUMMYFUNCTION("""COMPUTED_VALUE"""),"22AM034")</f>
        <v>22AM034</v>
      </c>
      <c r="E190" s="131" t="str">
        <f>IFERROR(__xludf.DUMMYFUNCTION("""COMPUTED_VALUE"""),"BUSINESS INTELLIGENCE")</f>
        <v>BUSINESS INTELLIGENCE</v>
      </c>
      <c r="F190" s="121" t="str">
        <f>IFERROR(__xludf.DUMMYFUNCTION("""COMPUTED_VALUE"""),"THEORY")</f>
        <v>THEORY</v>
      </c>
      <c r="G190" s="121">
        <f>IFERROR(__xludf.DUMMYFUNCTION("""COMPUTED_VALUE"""),3.0)</f>
        <v>3</v>
      </c>
      <c r="H190" s="121">
        <f>IFERROR(__xludf.DUMMYFUNCTION("""COMPUTED_VALUE"""),0.0)</f>
        <v>0</v>
      </c>
      <c r="I190" s="121">
        <f>IFERROR(__xludf.DUMMYFUNCTION("""COMPUTED_VALUE"""),0.0)</f>
        <v>0</v>
      </c>
      <c r="J190" s="121">
        <f>IFERROR(__xludf.DUMMYFUNCTION("""COMPUTED_VALUE"""),3.0)</f>
        <v>3</v>
      </c>
      <c r="K190" s="132" t="str">
        <f>IFERROR(__xludf.DUMMYFUNCTION("""COMPUTED_VALUE"""),"AM11052")</f>
        <v>AM11052</v>
      </c>
      <c r="L190" s="121" t="str">
        <f>IFERROR(__xludf.DUMMYFUNCTION("""COMPUTED_VALUE"""),"Ms.MOHANAPRIYA K")</f>
        <v>Ms.MOHANAPRIYA K</v>
      </c>
      <c r="M190" s="121" t="str">
        <f>IFERROR(__xludf.DUMMYFUNCTION("""COMPUTED_VALUE"""),"mohanapriyak@bitsathy.ac.in")</f>
        <v>mohanapriyak@bitsathy.ac.in</v>
      </c>
    </row>
    <row r="191" ht="49.5" customHeight="1">
      <c r="A191" s="121" t="str">
        <f>IFERROR(__xludf.DUMMYFUNCTION("""COMPUTED_VALUE"""),"AIML")</f>
        <v>AIML</v>
      </c>
      <c r="B191" s="121" t="str">
        <f>IFERROR(__xludf.DUMMYFUNCTION("""COMPUTED_VALUE"""),"S6")</f>
        <v>S6</v>
      </c>
      <c r="C191" s="121" t="str">
        <f>IFERROR(__xludf.DUMMYFUNCTION("""COMPUTED_VALUE"""),"ELECTIVE 5")</f>
        <v>ELECTIVE 5</v>
      </c>
      <c r="D191" s="121" t="str">
        <f>IFERROR(__xludf.DUMMYFUNCTION("""COMPUTED_VALUE"""),"22AM034")</f>
        <v>22AM034</v>
      </c>
      <c r="E191" s="131" t="str">
        <f>IFERROR(__xludf.DUMMYFUNCTION("""COMPUTED_VALUE"""),"BUSINESS INTELLIGENCE")</f>
        <v>BUSINESS INTELLIGENCE</v>
      </c>
      <c r="F191" s="121" t="str">
        <f>IFERROR(__xludf.DUMMYFUNCTION("""COMPUTED_VALUE"""),"THEORY")</f>
        <v>THEORY</v>
      </c>
      <c r="G191" s="121">
        <f>IFERROR(__xludf.DUMMYFUNCTION("""COMPUTED_VALUE"""),3.0)</f>
        <v>3</v>
      </c>
      <c r="H191" s="121">
        <f>IFERROR(__xludf.DUMMYFUNCTION("""COMPUTED_VALUE"""),0.0)</f>
        <v>0</v>
      </c>
      <c r="I191" s="121">
        <f>IFERROR(__xludf.DUMMYFUNCTION("""COMPUTED_VALUE"""),0.0)</f>
        <v>0</v>
      </c>
      <c r="J191" s="121">
        <f>IFERROR(__xludf.DUMMYFUNCTION("""COMPUTED_VALUE"""),3.0)</f>
        <v>3</v>
      </c>
      <c r="K191" s="132" t="str">
        <f>IFERROR(__xludf.DUMMYFUNCTION("""COMPUTED_VALUE"""),"AM11095")</f>
        <v>AM11095</v>
      </c>
      <c r="L191" s="121" t="str">
        <f>IFERROR(__xludf.DUMMYFUNCTION("""COMPUTED_VALUE"""),"Mrs.GAYATHRIDEVI M")</f>
        <v>Mrs.GAYATHRIDEVI M</v>
      </c>
      <c r="M191" s="121" t="str">
        <f>IFERROR(__xludf.DUMMYFUNCTION("""COMPUTED_VALUE"""),"gayathridevi@bitsathy.ac.in")</f>
        <v>gayathridevi@bitsathy.ac.in</v>
      </c>
    </row>
    <row r="192" ht="49.5" customHeight="1">
      <c r="A192" s="121" t="str">
        <f>IFERROR(__xludf.DUMMYFUNCTION("""COMPUTED_VALUE"""),"AIML")</f>
        <v>AIML</v>
      </c>
      <c r="B192" s="121" t="str">
        <f>IFERROR(__xludf.DUMMYFUNCTION("""COMPUTED_VALUE"""),"S6")</f>
        <v>S6</v>
      </c>
      <c r="C192" s="121" t="str">
        <f>IFERROR(__xludf.DUMMYFUNCTION("""COMPUTED_VALUE"""),"ADD COURSE")</f>
        <v>ADD COURSE</v>
      </c>
      <c r="D192" s="121" t="str">
        <f>IFERROR(__xludf.DUMMYFUNCTION("""COMPUTED_VALUE"""),"22AM006")</f>
        <v>22AM006</v>
      </c>
      <c r="E192" s="131" t="str">
        <f>IFERROR(__xludf.DUMMYFUNCTION("""COMPUTED_VALUE"""),"DEVOPS")</f>
        <v>DEVOPS</v>
      </c>
      <c r="F192" s="121" t="str">
        <f>IFERROR(__xludf.DUMMYFUNCTION("""COMPUTED_VALUE"""),"THEORY")</f>
        <v>THEORY</v>
      </c>
      <c r="G192" s="121">
        <f>IFERROR(__xludf.DUMMYFUNCTION("""COMPUTED_VALUE"""),3.0)</f>
        <v>3</v>
      </c>
      <c r="H192" s="121">
        <f>IFERROR(__xludf.DUMMYFUNCTION("""COMPUTED_VALUE"""),0.0)</f>
        <v>0</v>
      </c>
      <c r="I192" s="121">
        <f>IFERROR(__xludf.DUMMYFUNCTION("""COMPUTED_VALUE"""),0.0)</f>
        <v>0</v>
      </c>
      <c r="J192" s="121">
        <f>IFERROR(__xludf.DUMMYFUNCTION("""COMPUTED_VALUE"""),3.0)</f>
        <v>3</v>
      </c>
      <c r="K192" s="132" t="str">
        <f>IFERROR(__xludf.DUMMYFUNCTION("""COMPUTED_VALUE"""),"IT2771")</f>
        <v>IT2771</v>
      </c>
      <c r="L192" s="121" t="str">
        <f>IFERROR(__xludf.DUMMYFUNCTION("""COMPUTED_VALUE"""),"Dr.NATARAJ N")</f>
        <v>Dr.NATARAJ N</v>
      </c>
      <c r="M192" s="121" t="str">
        <f>IFERROR(__xludf.DUMMYFUNCTION("""COMPUTED_VALUE"""),"nataraj@bitsathy.ac.in")</f>
        <v>nataraj@bitsathy.ac.in</v>
      </c>
    </row>
    <row r="193" ht="49.5" customHeight="1">
      <c r="A193" s="121" t="str">
        <f>IFERROR(__xludf.DUMMYFUNCTION("""COMPUTED_VALUE"""),"AIML")</f>
        <v>AIML</v>
      </c>
      <c r="B193" s="121" t="str">
        <f>IFERROR(__xludf.DUMMYFUNCTION("""COMPUTED_VALUE"""),"S6")</f>
        <v>S6</v>
      </c>
      <c r="C193" s="121" t="str">
        <f>IFERROR(__xludf.DUMMYFUNCTION("""COMPUTED_VALUE"""),"HONOURS")</f>
        <v>HONOURS</v>
      </c>
      <c r="D193" s="121" t="str">
        <f>IFERROR(__xludf.DUMMYFUNCTION("""COMPUTED_VALUE"""),"22AMH32")</f>
        <v>22AMH32</v>
      </c>
      <c r="E193" s="131" t="str">
        <f>IFERROR(__xludf.DUMMYFUNCTION("""COMPUTED_VALUE"""),"VIDEO ANALYTICS ")</f>
        <v>VIDEO ANALYTICS </v>
      </c>
      <c r="F193" s="121" t="str">
        <f>IFERROR(__xludf.DUMMYFUNCTION("""COMPUTED_VALUE"""),"THEORY")</f>
        <v>THEORY</v>
      </c>
      <c r="G193" s="121">
        <f>IFERROR(__xludf.DUMMYFUNCTION("""COMPUTED_VALUE"""),3.0)</f>
        <v>3</v>
      </c>
      <c r="H193" s="121">
        <f>IFERROR(__xludf.DUMMYFUNCTION("""COMPUTED_VALUE"""),0.0)</f>
        <v>0</v>
      </c>
      <c r="I193" s="121">
        <f>IFERROR(__xludf.DUMMYFUNCTION("""COMPUTED_VALUE"""),0.0)</f>
        <v>0</v>
      </c>
      <c r="J193" s="121">
        <f>IFERROR(__xludf.DUMMYFUNCTION("""COMPUTED_VALUE"""),3.0)</f>
        <v>3</v>
      </c>
      <c r="K193" s="132" t="str">
        <f>IFERROR(__xludf.DUMMYFUNCTION("""COMPUTED_VALUE"""),"IS10850")</f>
        <v>IS10850</v>
      </c>
      <c r="L193" s="121" t="str">
        <f>IFERROR(__xludf.DUMMYFUNCTION("""COMPUTED_VALUE"""),"Ms.POORNIMA A")</f>
        <v>Ms.POORNIMA A</v>
      </c>
      <c r="M193" s="121" t="str">
        <f>IFERROR(__xludf.DUMMYFUNCTION("""COMPUTED_VALUE"""),"poornimaa@bitsathy.ac.in")</f>
        <v>poornimaa@bitsathy.ac.in</v>
      </c>
    </row>
    <row r="194" ht="49.5" customHeight="1">
      <c r="A194" s="121" t="str">
        <f>IFERROR(__xludf.DUMMYFUNCTION("""COMPUTED_VALUE"""),"AIML")</f>
        <v>AIML</v>
      </c>
      <c r="B194" s="121" t="str">
        <f>IFERROR(__xludf.DUMMYFUNCTION("""COMPUTED_VALUE"""),"S6")</f>
        <v>S6</v>
      </c>
      <c r="C194" s="121" t="str">
        <f>IFERROR(__xludf.DUMMYFUNCTION("""COMPUTED_VALUE"""),"HONOURS")</f>
        <v>HONOURS</v>
      </c>
      <c r="D194" s="121" t="str">
        <f>IFERROR(__xludf.DUMMYFUNCTION("""COMPUTED_VALUE"""),"22AMH33")</f>
        <v>22AMH33</v>
      </c>
      <c r="E194" s="131" t="str">
        <f>IFERROR(__xludf.DUMMYFUNCTION("""COMPUTED_VALUE"""),"CYBER THREAT ANALYTICS")</f>
        <v>CYBER THREAT ANALYTICS</v>
      </c>
      <c r="F194" s="121" t="str">
        <f>IFERROR(__xludf.DUMMYFUNCTION("""COMPUTED_VALUE"""),"THEORY")</f>
        <v>THEORY</v>
      </c>
      <c r="G194" s="121">
        <f>IFERROR(__xludf.DUMMYFUNCTION("""COMPUTED_VALUE"""),3.0)</f>
        <v>3</v>
      </c>
      <c r="H194" s="121">
        <f>IFERROR(__xludf.DUMMYFUNCTION("""COMPUTED_VALUE"""),0.0)</f>
        <v>0</v>
      </c>
      <c r="I194" s="121">
        <f>IFERROR(__xludf.DUMMYFUNCTION("""COMPUTED_VALUE"""),0.0)</f>
        <v>0</v>
      </c>
      <c r="J194" s="121">
        <f>IFERROR(__xludf.DUMMYFUNCTION("""COMPUTED_VALUE"""),3.0)</f>
        <v>3</v>
      </c>
      <c r="K194" s="132" t="str">
        <f>IFERROR(__xludf.DUMMYFUNCTION("""COMPUTED_VALUE"""),"CD11183")</f>
        <v>CD11183</v>
      </c>
      <c r="L194" s="121" t="str">
        <f>IFERROR(__xludf.DUMMYFUNCTION("""COMPUTED_VALUE"""),"Mrs.INDHUMATHI K")</f>
        <v>Mrs.INDHUMATHI K</v>
      </c>
      <c r="M194" s="133" t="str">
        <f>IFERROR(__xludf.DUMMYFUNCTION("""COMPUTED_VALUE"""),"indhumathik@bitsathy.ac.in")</f>
        <v>indhumathik@bitsathy.ac.in</v>
      </c>
    </row>
    <row r="195" ht="49.5" customHeight="1">
      <c r="A195" s="121" t="str">
        <f>IFERROR(__xludf.DUMMYFUNCTION("""COMPUTED_VALUE"""),"AIML")</f>
        <v>AIML</v>
      </c>
      <c r="B195" s="121" t="str">
        <f>IFERROR(__xludf.DUMMYFUNCTION("""COMPUTED_VALUE"""),"S6")</f>
        <v>S6</v>
      </c>
      <c r="C195" s="121" t="str">
        <f>IFERROR(__xludf.DUMMYFUNCTION("""COMPUTED_VALUE"""),"MINOR")</f>
        <v>MINOR</v>
      </c>
      <c r="D195" s="121" t="str">
        <f>IFERROR(__xludf.DUMMYFUNCTION("""COMPUTED_VALUE"""),"22AMM44")</f>
        <v>22AMM44</v>
      </c>
      <c r="E195" s="131" t="str">
        <f>IFERROR(__xludf.DUMMYFUNCTION("""COMPUTED_VALUE"""),"BUSINESS INTELLIGENCE AND ANALYTICS")</f>
        <v>BUSINESS INTELLIGENCE AND ANALYTICS</v>
      </c>
      <c r="F195" s="121" t="str">
        <f>IFERROR(__xludf.DUMMYFUNCTION("""COMPUTED_VALUE"""),"THEORY")</f>
        <v>THEORY</v>
      </c>
      <c r="G195" s="121">
        <f>IFERROR(__xludf.DUMMYFUNCTION("""COMPUTED_VALUE"""),3.0)</f>
        <v>3</v>
      </c>
      <c r="H195" s="121">
        <f>IFERROR(__xludf.DUMMYFUNCTION("""COMPUTED_VALUE"""),0.0)</f>
        <v>0</v>
      </c>
      <c r="I195" s="121">
        <f>IFERROR(__xludf.DUMMYFUNCTION("""COMPUTED_VALUE"""),0.0)</f>
        <v>0</v>
      </c>
      <c r="J195" s="121">
        <f>IFERROR(__xludf.DUMMYFUNCTION("""COMPUTED_VALUE"""),3.0)</f>
        <v>3</v>
      </c>
      <c r="K195" s="132" t="str">
        <f>IFERROR(__xludf.DUMMYFUNCTION("""COMPUTED_VALUE"""),"CS11185")</f>
        <v>CS11185</v>
      </c>
      <c r="L195" s="121" t="str">
        <f>IFERROR(__xludf.DUMMYFUNCTION("""COMPUTED_VALUE"""),"Mr.ASWIN JAYA SURYA M J")</f>
        <v>Mr.ASWIN JAYA SURYA M J</v>
      </c>
      <c r="M195" s="133" t="str">
        <f>IFERROR(__xludf.DUMMYFUNCTION("""COMPUTED_VALUE"""),"aswinjayasuryamj@bitsathy.ac.in")</f>
        <v>aswinjayasuryamj@bitsathy.ac.in</v>
      </c>
    </row>
    <row r="196" ht="49.5" customHeight="1">
      <c r="A196" s="121" t="str">
        <f>IFERROR(__xludf.DUMMYFUNCTION("""COMPUTED_VALUE"""),"AIML")</f>
        <v>AIML</v>
      </c>
      <c r="B196" s="121" t="str">
        <f>IFERROR(__xludf.DUMMYFUNCTION("""COMPUTED_VALUE"""),"S6")</f>
        <v>S6</v>
      </c>
      <c r="C196" s="121" t="str">
        <f>IFERROR(__xludf.DUMMYFUNCTION("""COMPUTED_VALUE"""),"MINOR")</f>
        <v>MINOR</v>
      </c>
      <c r="D196" s="121" t="str">
        <f>IFERROR(__xludf.DUMMYFUNCTION("""COMPUTED_VALUE"""),"22AMM45")</f>
        <v>22AMM45</v>
      </c>
      <c r="E196" s="131" t="str">
        <f>IFERROR(__xludf.DUMMYFUNCTION("""COMPUTED_VALUE"""),"FUNDAMENTALS OF CLOUD COMPUTING")</f>
        <v>FUNDAMENTALS OF CLOUD COMPUTING</v>
      </c>
      <c r="F196" s="121" t="str">
        <f>IFERROR(__xludf.DUMMYFUNCTION("""COMPUTED_VALUE"""),"THEORY")</f>
        <v>THEORY</v>
      </c>
      <c r="G196" s="121">
        <f>IFERROR(__xludf.DUMMYFUNCTION("""COMPUTED_VALUE"""),3.0)</f>
        <v>3</v>
      </c>
      <c r="H196" s="121">
        <f>IFERROR(__xludf.DUMMYFUNCTION("""COMPUTED_VALUE"""),0.0)</f>
        <v>0</v>
      </c>
      <c r="I196" s="121">
        <f>IFERROR(__xludf.DUMMYFUNCTION("""COMPUTED_VALUE"""),0.0)</f>
        <v>0</v>
      </c>
      <c r="J196" s="121">
        <f>IFERROR(__xludf.DUMMYFUNCTION("""COMPUTED_VALUE"""),3.0)</f>
        <v>3</v>
      </c>
      <c r="K196" s="132" t="str">
        <f>IFERROR(__xludf.DUMMYFUNCTION("""COMPUTED_VALUE"""),"AM11166")</f>
        <v>AM11166</v>
      </c>
      <c r="L196" s="121" t="str">
        <f>IFERROR(__xludf.DUMMYFUNCTION("""COMPUTED_VALUE"""),"Mrs.SARANYA M K")</f>
        <v>Mrs.SARANYA M K</v>
      </c>
      <c r="M196" s="133" t="str">
        <f>IFERROR(__xludf.DUMMYFUNCTION("""COMPUTED_VALUE"""),"saranyamk@bitsathy.ac.in")</f>
        <v>saranyamk@bitsathy.ac.in</v>
      </c>
    </row>
    <row r="197" ht="49.5" customHeight="1">
      <c r="A197" s="121" t="str">
        <f>IFERROR(__xludf.DUMMYFUNCTION("""COMPUTED_VALUE"""),"AIML")</f>
        <v>AIML</v>
      </c>
      <c r="B197" s="121" t="str">
        <f>IFERROR(__xludf.DUMMYFUNCTION("""COMPUTED_VALUE"""),"S6")</f>
        <v>S6</v>
      </c>
      <c r="C197" s="121" t="str">
        <f>IFERROR(__xludf.DUMMYFUNCTION("""COMPUTED_VALUE"""),"MINI PROJECT")</f>
        <v>MINI PROJECT</v>
      </c>
      <c r="D197" s="121" t="str">
        <f>IFERROR(__xludf.DUMMYFUNCTION("""COMPUTED_VALUE"""),"22AM607")</f>
        <v>22AM607</v>
      </c>
      <c r="E197" s="131" t="str">
        <f>IFERROR(__xludf.DUMMYFUNCTION("""COMPUTED_VALUE"""),"MINI PROJECT II")</f>
        <v>MINI PROJECT II</v>
      </c>
      <c r="F197" s="121" t="str">
        <f>IFERROR(__xludf.DUMMYFUNCTION("""COMPUTED_VALUE"""),"LAB")</f>
        <v>LAB</v>
      </c>
      <c r="G197" s="121">
        <f>IFERROR(__xludf.DUMMYFUNCTION("""COMPUTED_VALUE"""),0.0)</f>
        <v>0</v>
      </c>
      <c r="H197" s="121">
        <f>IFERROR(__xludf.DUMMYFUNCTION("""COMPUTED_VALUE"""),0.0)</f>
        <v>0</v>
      </c>
      <c r="I197" s="121">
        <f>IFERROR(__xludf.DUMMYFUNCTION("""COMPUTED_VALUE"""),2.0)</f>
        <v>2</v>
      </c>
      <c r="J197" s="121">
        <f>IFERROR(__xludf.DUMMYFUNCTION("""COMPUTED_VALUE"""),1.0)</f>
        <v>1</v>
      </c>
      <c r="K197" s="132"/>
      <c r="L197" s="121"/>
      <c r="M197" s="121"/>
    </row>
    <row r="198" ht="49.5" customHeight="1">
      <c r="A198" s="121" t="str">
        <f>IFERROR(__xludf.DUMMYFUNCTION("""COMPUTED_VALUE"""),"AIML")</f>
        <v>AIML</v>
      </c>
      <c r="B198" s="121" t="str">
        <f>IFERROR(__xludf.DUMMYFUNCTION("""COMPUTED_VALUE"""),"S8")</f>
        <v>S8</v>
      </c>
      <c r="C198" s="121" t="str">
        <f>IFERROR(__xludf.DUMMYFUNCTION("""COMPUTED_VALUE"""),"PROJECT")</f>
        <v>PROJECT</v>
      </c>
      <c r="D198" s="121" t="str">
        <f>IFERROR(__xludf.DUMMYFUNCTION("""COMPUTED_VALUE"""),"22AM801")</f>
        <v>22AM801</v>
      </c>
      <c r="E198" s="131" t="str">
        <f>IFERROR(__xludf.DUMMYFUNCTION("""COMPUTED_VALUE"""),"PROJECT WORK II")</f>
        <v>PROJECT WORK II</v>
      </c>
      <c r="F198" s="121" t="str">
        <f>IFERROR(__xludf.DUMMYFUNCTION("""COMPUTED_VALUE"""),"LAB")</f>
        <v>LAB</v>
      </c>
      <c r="G198" s="121">
        <f>IFERROR(__xludf.DUMMYFUNCTION("""COMPUTED_VALUE"""),0.0)</f>
        <v>0</v>
      </c>
      <c r="H198" s="121">
        <f>IFERROR(__xludf.DUMMYFUNCTION("""COMPUTED_VALUE"""),0.0)</f>
        <v>0</v>
      </c>
      <c r="I198" s="121">
        <f>IFERROR(__xludf.DUMMYFUNCTION("""COMPUTED_VALUE"""),18.0)</f>
        <v>18</v>
      </c>
      <c r="J198" s="121">
        <f>IFERROR(__xludf.DUMMYFUNCTION("""COMPUTED_VALUE"""),9.0)</f>
        <v>9</v>
      </c>
      <c r="K198" s="132"/>
      <c r="L198" s="121"/>
      <c r="M198" s="121"/>
    </row>
    <row r="199" ht="49.5" customHeight="1">
      <c r="A199" s="121" t="str">
        <f>IFERROR(__xludf.DUMMYFUNCTION("""COMPUTED_VALUE"""),"BME")</f>
        <v>BME</v>
      </c>
      <c r="B199" s="121" t="str">
        <f>IFERROR(__xludf.DUMMYFUNCTION("""COMPUTED_VALUE"""),"S6")</f>
        <v>S6</v>
      </c>
      <c r="C199" s="121" t="str">
        <f>IFERROR(__xludf.DUMMYFUNCTION("""COMPUTED_VALUE"""),"CORE")</f>
        <v>CORE</v>
      </c>
      <c r="D199" s="121" t="str">
        <f>IFERROR(__xludf.DUMMYFUNCTION("""COMPUTED_VALUE"""),"22BM601")</f>
        <v>22BM601</v>
      </c>
      <c r="E199" s="131" t="str">
        <f>IFERROR(__xludf.DUMMYFUNCTION("""COMPUTED_VALUE"""),"DIAGNOSTIC AND THERAPEUTIC EQUIPMENT")</f>
        <v>DIAGNOSTIC AND THERAPEUTIC EQUIPMENT</v>
      </c>
      <c r="F199" s="121" t="str">
        <f>IFERROR(__xludf.DUMMYFUNCTION("""COMPUTED_VALUE"""),"THEORY WITH LAB")</f>
        <v>THEORY WITH LAB</v>
      </c>
      <c r="G199" s="121">
        <f>IFERROR(__xludf.DUMMYFUNCTION("""COMPUTED_VALUE"""),3.0)</f>
        <v>3</v>
      </c>
      <c r="H199" s="121">
        <f>IFERROR(__xludf.DUMMYFUNCTION("""COMPUTED_VALUE"""),0.0)</f>
        <v>0</v>
      </c>
      <c r="I199" s="121">
        <f>IFERROR(__xludf.DUMMYFUNCTION("""COMPUTED_VALUE"""),2.0)</f>
        <v>2</v>
      </c>
      <c r="J199" s="121">
        <f>IFERROR(__xludf.DUMMYFUNCTION("""COMPUTED_VALUE"""),4.0)</f>
        <v>4</v>
      </c>
      <c r="K199" s="132" t="str">
        <f>IFERROR(__xludf.DUMMYFUNCTION("""COMPUTED_VALUE"""),"BM11066")</f>
        <v>BM11066</v>
      </c>
      <c r="L199" s="121" t="str">
        <f>IFERROR(__xludf.DUMMYFUNCTION("""COMPUTED_VALUE"""),"Ms.SAAHINA S")</f>
        <v>Ms.SAAHINA S</v>
      </c>
      <c r="M199" s="121" t="str">
        <f>IFERROR(__xludf.DUMMYFUNCTION("""COMPUTED_VALUE"""),"saahina@bitsathy.ac.in")</f>
        <v>saahina@bitsathy.ac.in</v>
      </c>
    </row>
    <row r="200" ht="49.5" customHeight="1">
      <c r="A200" s="121" t="str">
        <f>IFERROR(__xludf.DUMMYFUNCTION("""COMPUTED_VALUE"""),"BME")</f>
        <v>BME</v>
      </c>
      <c r="B200" s="121" t="str">
        <f>IFERROR(__xludf.DUMMYFUNCTION("""COMPUTED_VALUE"""),"S6")</f>
        <v>S6</v>
      </c>
      <c r="C200" s="121" t="str">
        <f>IFERROR(__xludf.DUMMYFUNCTION("""COMPUTED_VALUE"""),"CORE")</f>
        <v>CORE</v>
      </c>
      <c r="D200" s="121" t="str">
        <f>IFERROR(__xludf.DUMMYFUNCTION("""COMPUTED_VALUE"""),"22BM602")</f>
        <v>22BM602</v>
      </c>
      <c r="E200" s="131" t="str">
        <f>IFERROR(__xludf.DUMMYFUNCTION("""COMPUTED_VALUE"""),"BIOMECHANICS")</f>
        <v>BIOMECHANICS</v>
      </c>
      <c r="F200" s="121" t="str">
        <f>IFERROR(__xludf.DUMMYFUNCTION("""COMPUTED_VALUE"""),"THEORY WITH LAB")</f>
        <v>THEORY WITH LAB</v>
      </c>
      <c r="G200" s="121">
        <f>IFERROR(__xludf.DUMMYFUNCTION("""COMPUTED_VALUE"""),3.0)</f>
        <v>3</v>
      </c>
      <c r="H200" s="121">
        <f>IFERROR(__xludf.DUMMYFUNCTION("""COMPUTED_VALUE"""),0.0)</f>
        <v>0</v>
      </c>
      <c r="I200" s="121">
        <f>IFERROR(__xludf.DUMMYFUNCTION("""COMPUTED_VALUE"""),2.0)</f>
        <v>2</v>
      </c>
      <c r="J200" s="121">
        <f>IFERROR(__xludf.DUMMYFUNCTION("""COMPUTED_VALUE"""),4.0)</f>
        <v>4</v>
      </c>
      <c r="K200" s="132" t="str">
        <f>IFERROR(__xludf.DUMMYFUNCTION("""COMPUTED_VALUE"""),"BM11071")</f>
        <v>BM11071</v>
      </c>
      <c r="L200" s="121" t="str">
        <f>IFERROR(__xludf.DUMMYFUNCTION("""COMPUTED_VALUE"""),"Mr.SYED ALTHAF S")</f>
        <v>Mr.SYED ALTHAF S</v>
      </c>
      <c r="M200" s="121" t="str">
        <f>IFERROR(__xludf.DUMMYFUNCTION("""COMPUTED_VALUE"""),"syedalthaf@bitsathy.ac.in")</f>
        <v>syedalthaf@bitsathy.ac.in</v>
      </c>
    </row>
    <row r="201" ht="49.5" customHeight="1">
      <c r="A201" s="121" t="str">
        <f>IFERROR(__xludf.DUMMYFUNCTION("""COMPUTED_VALUE"""),"BME")</f>
        <v>BME</v>
      </c>
      <c r="B201" s="121" t="str">
        <f>IFERROR(__xludf.DUMMYFUNCTION("""COMPUTED_VALUE"""),"S6")</f>
        <v>S6</v>
      </c>
      <c r="C201" s="121" t="str">
        <f>IFERROR(__xludf.DUMMYFUNCTION("""COMPUTED_VALUE"""),"CORE")</f>
        <v>CORE</v>
      </c>
      <c r="D201" s="121" t="str">
        <f>IFERROR(__xludf.DUMMYFUNCTION("""COMPUTED_VALUE"""),"22BM603")</f>
        <v>22BM603</v>
      </c>
      <c r="E201" s="131" t="str">
        <f>IFERROR(__xludf.DUMMYFUNCTION("""COMPUTED_VALUE"""),"ARTIFICIAL INTELLIGENCE AND MACHINE LEARNING")</f>
        <v>ARTIFICIAL INTELLIGENCE AND MACHINE LEARNING</v>
      </c>
      <c r="F201" s="121" t="str">
        <f>IFERROR(__xludf.DUMMYFUNCTION("""COMPUTED_VALUE"""),"THEORY WITH LAB")</f>
        <v>THEORY WITH LAB</v>
      </c>
      <c r="G201" s="121">
        <f>IFERROR(__xludf.DUMMYFUNCTION("""COMPUTED_VALUE"""),3.0)</f>
        <v>3</v>
      </c>
      <c r="H201" s="121">
        <f>IFERROR(__xludf.DUMMYFUNCTION("""COMPUTED_VALUE"""),0.0)</f>
        <v>0</v>
      </c>
      <c r="I201" s="121">
        <f>IFERROR(__xludf.DUMMYFUNCTION("""COMPUTED_VALUE"""),2.0)</f>
        <v>2</v>
      </c>
      <c r="J201" s="121">
        <f>IFERROR(__xludf.DUMMYFUNCTION("""COMPUTED_VALUE"""),4.0)</f>
        <v>4</v>
      </c>
      <c r="K201" s="132" t="str">
        <f>IFERROR(__xludf.DUMMYFUNCTION("""COMPUTED_VALUE"""),"CB11145")</f>
        <v>CB11145</v>
      </c>
      <c r="L201" s="121" t="str">
        <f>IFERROR(__xludf.DUMMYFUNCTION("""COMPUTED_VALUE"""),"Mrs.DIVYA S")</f>
        <v>Mrs.DIVYA S</v>
      </c>
      <c r="M201" s="133" t="str">
        <f>IFERROR(__xludf.DUMMYFUNCTION("""COMPUTED_VALUE"""),"divyaks@bitsathy.ac.in")</f>
        <v>divyaks@bitsathy.ac.in</v>
      </c>
    </row>
    <row r="202" ht="49.5" customHeight="1">
      <c r="A202" s="121" t="str">
        <f>IFERROR(__xludf.DUMMYFUNCTION("""COMPUTED_VALUE"""),"BME")</f>
        <v>BME</v>
      </c>
      <c r="B202" s="121" t="str">
        <f>IFERROR(__xludf.DUMMYFUNCTION("""COMPUTED_VALUE"""),"S6")</f>
        <v>S6</v>
      </c>
      <c r="C202" s="121" t="str">
        <f>IFERROR(__xludf.DUMMYFUNCTION("""COMPUTED_VALUE"""),"ELECTIVE 3")</f>
        <v>ELECTIVE 3</v>
      </c>
      <c r="D202" s="121" t="str">
        <f>IFERROR(__xludf.DUMMYFUNCTION("""COMPUTED_VALUE"""),"22BM005")</f>
        <v>22BM005</v>
      </c>
      <c r="E202" s="131" t="str">
        <f>IFERROR(__xludf.DUMMYFUNCTION("""COMPUTED_VALUE"""),"ADVANCED MEDICAL IMAGE ANALYSIS")</f>
        <v>ADVANCED MEDICAL IMAGE ANALYSIS</v>
      </c>
      <c r="F202" s="121" t="str">
        <f>IFERROR(__xludf.DUMMYFUNCTION("""COMPUTED_VALUE"""),"THEORY")</f>
        <v>THEORY</v>
      </c>
      <c r="G202" s="121">
        <f>IFERROR(__xludf.DUMMYFUNCTION("""COMPUTED_VALUE"""),3.0)</f>
        <v>3</v>
      </c>
      <c r="H202" s="121">
        <f>IFERROR(__xludf.DUMMYFUNCTION("""COMPUTED_VALUE"""),0.0)</f>
        <v>0</v>
      </c>
      <c r="I202" s="121">
        <f>IFERROR(__xludf.DUMMYFUNCTION("""COMPUTED_VALUE"""),0.0)</f>
        <v>0</v>
      </c>
      <c r="J202" s="121">
        <f>IFERROR(__xludf.DUMMYFUNCTION("""COMPUTED_VALUE"""),3.0)</f>
        <v>3</v>
      </c>
      <c r="K202" s="132" t="str">
        <f>IFERROR(__xludf.DUMMYFUNCTION("""COMPUTED_VALUE"""),"BM11176")</f>
        <v>BM11176</v>
      </c>
      <c r="L202" s="121" t="str">
        <f>IFERROR(__xludf.DUMMYFUNCTION("""COMPUTED_VALUE"""),"Ms.PRATHEEBHA G")</f>
        <v>Ms.PRATHEEBHA G</v>
      </c>
      <c r="M202" s="121" t="str">
        <f>IFERROR(__xludf.DUMMYFUNCTION("""COMPUTED_VALUE"""),"pratheebhag@bitsathy.ac.in")</f>
        <v>pratheebhag@bitsathy.ac.in</v>
      </c>
    </row>
    <row r="203" ht="49.5" customHeight="1">
      <c r="A203" s="121" t="str">
        <f>IFERROR(__xludf.DUMMYFUNCTION("""COMPUTED_VALUE"""),"BME")</f>
        <v>BME</v>
      </c>
      <c r="B203" s="121" t="str">
        <f>IFERROR(__xludf.DUMMYFUNCTION("""COMPUTED_VALUE"""),"S6")</f>
        <v>S6</v>
      </c>
      <c r="C203" s="121" t="str">
        <f>IFERROR(__xludf.DUMMYFUNCTION("""COMPUTED_VALUE"""),"ELECTIVE 4")</f>
        <v>ELECTIVE 4</v>
      </c>
      <c r="D203" s="121" t="str">
        <f>IFERROR(__xludf.DUMMYFUNCTION("""COMPUTED_VALUE"""),"22BM031")</f>
        <v>22BM031</v>
      </c>
      <c r="E203" s="131" t="str">
        <f>IFERROR(__xludf.DUMMYFUNCTION("""COMPUTED_VALUE"""),"MEDICAL OPTICS")</f>
        <v>MEDICAL OPTICS</v>
      </c>
      <c r="F203" s="121" t="str">
        <f>IFERROR(__xludf.DUMMYFUNCTION("""COMPUTED_VALUE"""),"THEORY")</f>
        <v>THEORY</v>
      </c>
      <c r="G203" s="121">
        <f>IFERROR(__xludf.DUMMYFUNCTION("""COMPUTED_VALUE"""),3.0)</f>
        <v>3</v>
      </c>
      <c r="H203" s="121">
        <f>IFERROR(__xludf.DUMMYFUNCTION("""COMPUTED_VALUE"""),0.0)</f>
        <v>0</v>
      </c>
      <c r="I203" s="121">
        <f>IFERROR(__xludf.DUMMYFUNCTION("""COMPUTED_VALUE"""),0.0)</f>
        <v>0</v>
      </c>
      <c r="J203" s="121">
        <f>IFERROR(__xludf.DUMMYFUNCTION("""COMPUTED_VALUE"""),3.0)</f>
        <v>3</v>
      </c>
      <c r="K203" s="132" t="str">
        <f>IFERROR(__xludf.DUMMYFUNCTION("""COMPUTED_VALUE"""),"BM10939")</f>
        <v>BM10939</v>
      </c>
      <c r="L203" s="121" t="str">
        <f>IFERROR(__xludf.DUMMYFUNCTION("""COMPUTED_VALUE"""),"Ms.CAROLINE VINNETIA S")</f>
        <v>Ms.CAROLINE VINNETIA S</v>
      </c>
      <c r="M203" s="121" t="str">
        <f>IFERROR(__xludf.DUMMYFUNCTION("""COMPUTED_VALUE"""),"carolinevinnetias@bitsathy.ac.in")</f>
        <v>carolinevinnetias@bitsathy.ac.in</v>
      </c>
    </row>
    <row r="204" ht="49.5" customHeight="1">
      <c r="A204" s="121" t="str">
        <f>IFERROR(__xludf.DUMMYFUNCTION("""COMPUTED_VALUE"""),"BME")</f>
        <v>BME</v>
      </c>
      <c r="B204" s="121" t="str">
        <f>IFERROR(__xludf.DUMMYFUNCTION("""COMPUTED_VALUE"""),"S6")</f>
        <v>S6</v>
      </c>
      <c r="C204" s="121" t="str">
        <f>IFERROR(__xludf.DUMMYFUNCTION("""COMPUTED_VALUE"""),"ELECTIVE 5")</f>
        <v>ELECTIVE 5</v>
      </c>
      <c r="D204" s="121" t="str">
        <f>IFERROR(__xludf.DUMMYFUNCTION("""COMPUTED_VALUE"""),"22BM011")</f>
        <v>22BM011</v>
      </c>
      <c r="E204" s="131" t="str">
        <f>IFERROR(__xludf.DUMMYFUNCTION("""COMPUTED_VALUE"""),"REHABILITATION AND ROBOTICS ENGINEERING")</f>
        <v>REHABILITATION AND ROBOTICS ENGINEERING</v>
      </c>
      <c r="F204" s="121" t="str">
        <f>IFERROR(__xludf.DUMMYFUNCTION("""COMPUTED_VALUE"""),"THEORY")</f>
        <v>THEORY</v>
      </c>
      <c r="G204" s="121">
        <f>IFERROR(__xludf.DUMMYFUNCTION("""COMPUTED_VALUE"""),3.0)</f>
        <v>3</v>
      </c>
      <c r="H204" s="121">
        <f>IFERROR(__xludf.DUMMYFUNCTION("""COMPUTED_VALUE"""),0.0)</f>
        <v>0</v>
      </c>
      <c r="I204" s="121">
        <f>IFERROR(__xludf.DUMMYFUNCTION("""COMPUTED_VALUE"""),0.0)</f>
        <v>0</v>
      </c>
      <c r="J204" s="121">
        <f>IFERROR(__xludf.DUMMYFUNCTION("""COMPUTED_VALUE"""),3.0)</f>
        <v>3</v>
      </c>
      <c r="K204" s="132" t="str">
        <f>IFERROR(__xludf.DUMMYFUNCTION("""COMPUTED_VALUE"""),"BM11175")</f>
        <v>BM11175</v>
      </c>
      <c r="L204" s="121" t="str">
        <f>IFERROR(__xludf.DUMMYFUNCTION("""COMPUTED_VALUE"""),"Ms.SREENIVEATHA P")</f>
        <v>Ms.SREENIVEATHA P</v>
      </c>
      <c r="M204" s="121" t="str">
        <f>IFERROR(__xludf.DUMMYFUNCTION("""COMPUTED_VALUE"""),"sreeniveathap@bitsathy.ac.in")</f>
        <v>sreeniveathap@bitsathy.ac.in</v>
      </c>
    </row>
    <row r="205" ht="49.5" customHeight="1">
      <c r="A205" s="121" t="str">
        <f>IFERROR(__xludf.DUMMYFUNCTION("""COMPUTED_VALUE"""),"BME")</f>
        <v>BME</v>
      </c>
      <c r="B205" s="121" t="str">
        <f>IFERROR(__xludf.DUMMYFUNCTION("""COMPUTED_VALUE"""),"S6")</f>
        <v>S6</v>
      </c>
      <c r="C205" s="121" t="str">
        <f>IFERROR(__xludf.DUMMYFUNCTION("""COMPUTED_VALUE"""),"ADD COURSE")</f>
        <v>ADD COURSE</v>
      </c>
      <c r="D205" s="121" t="str">
        <f>IFERROR(__xludf.DUMMYFUNCTION("""COMPUTED_VALUE"""),"22BM022")</f>
        <v>22BM022</v>
      </c>
      <c r="E205" s="131" t="str">
        <f>IFERROR(__xludf.DUMMYFUNCTION("""COMPUTED_VALUE"""),"PROSTHETIC AND ORTHOTIC DEVICES")</f>
        <v>PROSTHETIC AND ORTHOTIC DEVICES</v>
      </c>
      <c r="F205" s="121" t="str">
        <f>IFERROR(__xludf.DUMMYFUNCTION("""COMPUTED_VALUE"""),"THEORY")</f>
        <v>THEORY</v>
      </c>
      <c r="G205" s="121">
        <f>IFERROR(__xludf.DUMMYFUNCTION("""COMPUTED_VALUE"""),3.0)</f>
        <v>3</v>
      </c>
      <c r="H205" s="121">
        <f>IFERROR(__xludf.DUMMYFUNCTION("""COMPUTED_VALUE"""),0.0)</f>
        <v>0</v>
      </c>
      <c r="I205" s="121">
        <f>IFERROR(__xludf.DUMMYFUNCTION("""COMPUTED_VALUE"""),0.0)</f>
        <v>0</v>
      </c>
      <c r="J205" s="121">
        <f>IFERROR(__xludf.DUMMYFUNCTION("""COMPUTED_VALUE"""),3.0)</f>
        <v>3</v>
      </c>
      <c r="K205" s="132" t="str">
        <f>IFERROR(__xludf.DUMMYFUNCTION("""COMPUTED_VALUE"""),"BM11066")</f>
        <v>BM11066</v>
      </c>
      <c r="L205" s="121" t="str">
        <f>IFERROR(__xludf.DUMMYFUNCTION("""COMPUTED_VALUE"""),"Ms.SAAHINA S")</f>
        <v>Ms.SAAHINA S</v>
      </c>
      <c r="M205" s="121" t="str">
        <f>IFERROR(__xludf.DUMMYFUNCTION("""COMPUTED_VALUE"""),"saahina@bitsathy.ac.in")</f>
        <v>saahina@bitsathy.ac.in</v>
      </c>
    </row>
    <row r="206" ht="49.5" customHeight="1">
      <c r="A206" s="121" t="str">
        <f>IFERROR(__xludf.DUMMYFUNCTION("""COMPUTED_VALUE"""),"BME")</f>
        <v>BME</v>
      </c>
      <c r="B206" s="121" t="str">
        <f>IFERROR(__xludf.DUMMYFUNCTION("""COMPUTED_VALUE"""),"S6")</f>
        <v>S6</v>
      </c>
      <c r="C206" s="121" t="str">
        <f>IFERROR(__xludf.DUMMYFUNCTION("""COMPUTED_VALUE"""),"OPEN ELECTIVE")</f>
        <v>OPEN ELECTIVE</v>
      </c>
      <c r="D206" s="121" t="str">
        <f>IFERROR(__xludf.DUMMYFUNCTION("""COMPUTED_VALUE"""),"22OBM01")</f>
        <v>22OBM01</v>
      </c>
      <c r="E206" s="131" t="str">
        <f>IFERROR(__xludf.DUMMYFUNCTION("""COMPUTED_VALUE"""),"OCCUPATIONAL SAFETY AND HEALTH IN PUBLIC HEALTH")</f>
        <v>OCCUPATIONAL SAFETY AND HEALTH IN PUBLIC HEALTH</v>
      </c>
      <c r="F206" s="121" t="str">
        <f>IFERROR(__xludf.DUMMYFUNCTION("""COMPUTED_VALUE"""),"THEORY")</f>
        <v>THEORY</v>
      </c>
      <c r="G206" s="121">
        <f>IFERROR(__xludf.DUMMYFUNCTION("""COMPUTED_VALUE"""),3.0)</f>
        <v>3</v>
      </c>
      <c r="H206" s="121">
        <f>IFERROR(__xludf.DUMMYFUNCTION("""COMPUTED_VALUE"""),0.0)</f>
        <v>0</v>
      </c>
      <c r="I206" s="121">
        <f>IFERROR(__xludf.DUMMYFUNCTION("""COMPUTED_VALUE"""),0.0)</f>
        <v>0</v>
      </c>
      <c r="J206" s="121">
        <f>IFERROR(__xludf.DUMMYFUNCTION("""COMPUTED_VALUE"""),3.0)</f>
        <v>3</v>
      </c>
      <c r="K206" s="132" t="str">
        <f>IFERROR(__xludf.DUMMYFUNCTION("""COMPUTED_VALUE"""),"BM11175")</f>
        <v>BM11175</v>
      </c>
      <c r="L206" s="121" t="str">
        <f>IFERROR(__xludf.DUMMYFUNCTION("""COMPUTED_VALUE"""),"Ms.SREENIVEATHA P")</f>
        <v>Ms.SREENIVEATHA P</v>
      </c>
      <c r="M206" s="121" t="str">
        <f>IFERROR(__xludf.DUMMYFUNCTION("""COMPUTED_VALUE"""),"sreeniveathap@bitsathy.ac.in")</f>
        <v>sreeniveathap@bitsathy.ac.in</v>
      </c>
    </row>
    <row r="207" ht="49.5" customHeight="1">
      <c r="A207" s="121" t="str">
        <f>IFERROR(__xludf.DUMMYFUNCTION("""COMPUTED_VALUE"""),"BME")</f>
        <v>BME</v>
      </c>
      <c r="B207" s="121" t="str">
        <f>IFERROR(__xludf.DUMMYFUNCTION("""COMPUTED_VALUE"""),"S6")</f>
        <v>S6</v>
      </c>
      <c r="C207" s="121" t="str">
        <f>IFERROR(__xludf.DUMMYFUNCTION("""COMPUTED_VALUE"""),"OPEN ELECTIVE")</f>
        <v>OPEN ELECTIVE</v>
      </c>
      <c r="D207" s="121" t="str">
        <f>IFERROR(__xludf.DUMMYFUNCTION("""COMPUTED_VALUE"""),"22OBM01")</f>
        <v>22OBM01</v>
      </c>
      <c r="E207" s="131" t="str">
        <f>IFERROR(__xludf.DUMMYFUNCTION("""COMPUTED_VALUE"""),"OCCUPATIONAL SAFETY AND HEALTH IN PUBLIC HEALTH")</f>
        <v>OCCUPATIONAL SAFETY AND HEALTH IN PUBLIC HEALTH</v>
      </c>
      <c r="F207" s="121" t="str">
        <f>IFERROR(__xludf.DUMMYFUNCTION("""COMPUTED_VALUE"""),"THEORY")</f>
        <v>THEORY</v>
      </c>
      <c r="G207" s="121">
        <f>IFERROR(__xludf.DUMMYFUNCTION("""COMPUTED_VALUE"""),3.0)</f>
        <v>3</v>
      </c>
      <c r="H207" s="121">
        <f>IFERROR(__xludf.DUMMYFUNCTION("""COMPUTED_VALUE"""),0.0)</f>
        <v>0</v>
      </c>
      <c r="I207" s="121">
        <f>IFERROR(__xludf.DUMMYFUNCTION("""COMPUTED_VALUE"""),0.0)</f>
        <v>0</v>
      </c>
      <c r="J207" s="121">
        <f>IFERROR(__xludf.DUMMYFUNCTION("""COMPUTED_VALUE"""),3.0)</f>
        <v>3</v>
      </c>
      <c r="K207" s="132" t="str">
        <f>IFERROR(__xludf.DUMMYFUNCTION("""COMPUTED_VALUE"""),"BM11176")</f>
        <v>BM11176</v>
      </c>
      <c r="L207" s="121" t="str">
        <f>IFERROR(__xludf.DUMMYFUNCTION("""COMPUTED_VALUE"""),"Ms.PRATHEEBHA G")</f>
        <v>Ms.PRATHEEBHA G</v>
      </c>
      <c r="M207" s="121" t="str">
        <f>IFERROR(__xludf.DUMMYFUNCTION("""COMPUTED_VALUE"""),"pratheebhag@bitsathy.ac.in")</f>
        <v>pratheebhag@bitsathy.ac.in</v>
      </c>
    </row>
    <row r="208" ht="49.5" customHeight="1">
      <c r="A208" s="121" t="str">
        <f>IFERROR(__xludf.DUMMYFUNCTION("""COMPUTED_VALUE"""),"BME")</f>
        <v>BME</v>
      </c>
      <c r="B208" s="121" t="str">
        <f>IFERROR(__xludf.DUMMYFUNCTION("""COMPUTED_VALUE"""),"S6")</f>
        <v>S6</v>
      </c>
      <c r="C208" s="121" t="str">
        <f>IFERROR(__xludf.DUMMYFUNCTION("""COMPUTED_VALUE"""),"OPEN ELECTIVE")</f>
        <v>OPEN ELECTIVE</v>
      </c>
      <c r="D208" s="121" t="str">
        <f>IFERROR(__xludf.DUMMYFUNCTION("""COMPUTED_VALUE"""),"22OBM01")</f>
        <v>22OBM01</v>
      </c>
      <c r="E208" s="131" t="str">
        <f>IFERROR(__xludf.DUMMYFUNCTION("""COMPUTED_VALUE"""),"OCCUPATIONAL SAFETY AND HEALTH IN PUBLIC HEALTH")</f>
        <v>OCCUPATIONAL SAFETY AND HEALTH IN PUBLIC HEALTH</v>
      </c>
      <c r="F208" s="121" t="str">
        <f>IFERROR(__xludf.DUMMYFUNCTION("""COMPUTED_VALUE"""),"THEORY")</f>
        <v>THEORY</v>
      </c>
      <c r="G208" s="121">
        <f>IFERROR(__xludf.DUMMYFUNCTION("""COMPUTED_VALUE"""),3.0)</f>
        <v>3</v>
      </c>
      <c r="H208" s="121">
        <f>IFERROR(__xludf.DUMMYFUNCTION("""COMPUTED_VALUE"""),0.0)</f>
        <v>0</v>
      </c>
      <c r="I208" s="121">
        <f>IFERROR(__xludf.DUMMYFUNCTION("""COMPUTED_VALUE"""),0.0)</f>
        <v>0</v>
      </c>
      <c r="J208" s="121">
        <f>IFERROR(__xludf.DUMMYFUNCTION("""COMPUTED_VALUE"""),3.0)</f>
        <v>3</v>
      </c>
      <c r="K208" s="132" t="str">
        <f>IFERROR(__xludf.DUMMYFUNCTION("""COMPUTED_VALUE"""),"BM10939")</f>
        <v>BM10939</v>
      </c>
      <c r="L208" s="121" t="str">
        <f>IFERROR(__xludf.DUMMYFUNCTION("""COMPUTED_VALUE"""),"Ms.CAROLINE VINNETIA S")</f>
        <v>Ms.CAROLINE VINNETIA S</v>
      </c>
      <c r="M208" s="133" t="str">
        <f>IFERROR(__xludf.DUMMYFUNCTION("""COMPUTED_VALUE"""),"carolinevinnetias@bitsathy.ac.in")</f>
        <v>carolinevinnetias@bitsathy.ac.in</v>
      </c>
    </row>
    <row r="209" ht="49.5" customHeight="1">
      <c r="A209" s="121" t="str">
        <f>IFERROR(__xludf.DUMMYFUNCTION("""COMPUTED_VALUE"""),"BME")</f>
        <v>BME</v>
      </c>
      <c r="B209" s="121" t="str">
        <f>IFERROR(__xludf.DUMMYFUNCTION("""COMPUTED_VALUE"""),"S6")</f>
        <v>S6</v>
      </c>
      <c r="C209" s="121" t="str">
        <f>IFERROR(__xludf.DUMMYFUNCTION("""COMPUTED_VALUE"""),"HONOURS")</f>
        <v>HONOURS</v>
      </c>
      <c r="D209" s="121" t="str">
        <f>IFERROR(__xludf.DUMMYFUNCTION("""COMPUTED_VALUE"""),"22BMH34")</f>
        <v>22BMH34</v>
      </c>
      <c r="E209" s="131" t="str">
        <f>IFERROR(__xludf.DUMMYFUNCTION("""COMPUTED_VALUE"""),"PATIENT SAFETY AND STANDARDS")</f>
        <v>PATIENT SAFETY AND STANDARDS</v>
      </c>
      <c r="F209" s="121" t="str">
        <f>IFERROR(__xludf.DUMMYFUNCTION("""COMPUTED_VALUE"""),"THEORY")</f>
        <v>THEORY</v>
      </c>
      <c r="G209" s="121">
        <f>IFERROR(__xludf.DUMMYFUNCTION("""COMPUTED_VALUE"""),3.0)</f>
        <v>3</v>
      </c>
      <c r="H209" s="121">
        <f>IFERROR(__xludf.DUMMYFUNCTION("""COMPUTED_VALUE"""),0.0)</f>
        <v>0</v>
      </c>
      <c r="I209" s="121">
        <f>IFERROR(__xludf.DUMMYFUNCTION("""COMPUTED_VALUE"""),0.0)</f>
        <v>0</v>
      </c>
      <c r="J209" s="121">
        <f>IFERROR(__xludf.DUMMYFUNCTION("""COMPUTED_VALUE"""),3.0)</f>
        <v>3</v>
      </c>
      <c r="K209" s="132" t="str">
        <f>IFERROR(__xludf.DUMMYFUNCTION("""COMPUTED_VALUE"""),"BM11071")</f>
        <v>BM11071</v>
      </c>
      <c r="L209" s="121" t="str">
        <f>IFERROR(__xludf.DUMMYFUNCTION("""COMPUTED_VALUE"""),"Mr.SYED ALTHAF S")</f>
        <v>Mr.SYED ALTHAF S</v>
      </c>
      <c r="M209" s="121" t="str">
        <f>IFERROR(__xludf.DUMMYFUNCTION("""COMPUTED_VALUE"""),"syedalthaf@bitsathy.ac.in")</f>
        <v>syedalthaf@bitsathy.ac.in</v>
      </c>
    </row>
    <row r="210" ht="49.5" customHeight="1">
      <c r="A210" s="121" t="str">
        <f>IFERROR(__xludf.DUMMYFUNCTION("""COMPUTED_VALUE"""),"BME")</f>
        <v>BME</v>
      </c>
      <c r="B210" s="121" t="str">
        <f>IFERROR(__xludf.DUMMYFUNCTION("""COMPUTED_VALUE"""),"S6")</f>
        <v>S6</v>
      </c>
      <c r="C210" s="121" t="str">
        <f>IFERROR(__xludf.DUMMYFUNCTION("""COMPUTED_VALUE"""),"HONOURS")</f>
        <v>HONOURS</v>
      </c>
      <c r="D210" s="121" t="str">
        <f>IFERROR(__xludf.DUMMYFUNCTION("""COMPUTED_VALUE"""),"22BMH35")</f>
        <v>22BMH35</v>
      </c>
      <c r="E210" s="131" t="str">
        <f>IFERROR(__xludf.DUMMYFUNCTION("""COMPUTED_VALUE"""),"MEDICAL DEVICE REGULATIONS")</f>
        <v>MEDICAL DEVICE REGULATIONS</v>
      </c>
      <c r="F210" s="121" t="str">
        <f>IFERROR(__xludf.DUMMYFUNCTION("""COMPUTED_VALUE"""),"THEORY")</f>
        <v>THEORY</v>
      </c>
      <c r="G210" s="121">
        <f>IFERROR(__xludf.DUMMYFUNCTION("""COMPUTED_VALUE"""),3.0)</f>
        <v>3</v>
      </c>
      <c r="H210" s="121">
        <f>IFERROR(__xludf.DUMMYFUNCTION("""COMPUTED_VALUE"""),0.0)</f>
        <v>0</v>
      </c>
      <c r="I210" s="121">
        <f>IFERROR(__xludf.DUMMYFUNCTION("""COMPUTED_VALUE"""),0.0)</f>
        <v>0</v>
      </c>
      <c r="J210" s="121">
        <f>IFERROR(__xludf.DUMMYFUNCTION("""COMPUTED_VALUE"""),3.0)</f>
        <v>3</v>
      </c>
      <c r="K210" s="132" t="str">
        <f>IFERROR(__xludf.DUMMYFUNCTION("""COMPUTED_VALUE"""),"BM10939")</f>
        <v>BM10939</v>
      </c>
      <c r="L210" s="121" t="str">
        <f>IFERROR(__xludf.DUMMYFUNCTION("""COMPUTED_VALUE"""),"Ms.CAROLINE VINNETIA S")</f>
        <v>Ms.CAROLINE VINNETIA S</v>
      </c>
      <c r="M210" s="121" t="str">
        <f>IFERROR(__xludf.DUMMYFUNCTION("""COMPUTED_VALUE"""),"carolinevinnetias@bitsathy.ac.in")</f>
        <v>carolinevinnetias@bitsathy.ac.in</v>
      </c>
    </row>
    <row r="211" ht="49.5" customHeight="1">
      <c r="A211" s="121" t="str">
        <f>IFERROR(__xludf.DUMMYFUNCTION("""COMPUTED_VALUE"""),"BME")</f>
        <v>BME</v>
      </c>
      <c r="B211" s="121" t="str">
        <f>IFERROR(__xludf.DUMMYFUNCTION("""COMPUTED_VALUE"""),"S6")</f>
        <v>S6</v>
      </c>
      <c r="C211" s="121" t="str">
        <f>IFERROR(__xludf.DUMMYFUNCTION("""COMPUTED_VALUE"""),"MINI PROJECT")</f>
        <v>MINI PROJECT</v>
      </c>
      <c r="D211" s="121" t="str">
        <f>IFERROR(__xludf.DUMMYFUNCTION("""COMPUTED_VALUE"""),"22BM607")</f>
        <v>22BM607</v>
      </c>
      <c r="E211" s="131" t="str">
        <f>IFERROR(__xludf.DUMMYFUNCTION("""COMPUTED_VALUE"""),"MINI PROJECT II")</f>
        <v>MINI PROJECT II</v>
      </c>
      <c r="F211" s="121" t="str">
        <f>IFERROR(__xludf.DUMMYFUNCTION("""COMPUTED_VALUE"""),"LAB")</f>
        <v>LAB</v>
      </c>
      <c r="G211" s="121">
        <f>IFERROR(__xludf.DUMMYFUNCTION("""COMPUTED_VALUE"""),0.0)</f>
        <v>0</v>
      </c>
      <c r="H211" s="121">
        <f>IFERROR(__xludf.DUMMYFUNCTION("""COMPUTED_VALUE"""),0.0)</f>
        <v>0</v>
      </c>
      <c r="I211" s="121">
        <f>IFERROR(__xludf.DUMMYFUNCTION("""COMPUTED_VALUE"""),2.0)</f>
        <v>2</v>
      </c>
      <c r="J211" s="121">
        <f>IFERROR(__xludf.DUMMYFUNCTION("""COMPUTED_VALUE"""),1.0)</f>
        <v>1</v>
      </c>
      <c r="K211" s="132"/>
      <c r="L211" s="121"/>
      <c r="M211" s="121"/>
    </row>
    <row r="212" ht="49.5" customHeight="1">
      <c r="A212" s="121" t="str">
        <f>IFERROR(__xludf.DUMMYFUNCTION("""COMPUTED_VALUE"""),"BME")</f>
        <v>BME</v>
      </c>
      <c r="B212" s="121" t="str">
        <f>IFERROR(__xludf.DUMMYFUNCTION("""COMPUTED_VALUE"""),"S8")</f>
        <v>S8</v>
      </c>
      <c r="C212" s="121" t="str">
        <f>IFERROR(__xludf.DUMMYFUNCTION("""COMPUTED_VALUE"""),"PROJECT")</f>
        <v>PROJECT</v>
      </c>
      <c r="D212" s="121" t="str">
        <f>IFERROR(__xludf.DUMMYFUNCTION("""COMPUTED_VALUE"""),"22BM801")</f>
        <v>22BM801</v>
      </c>
      <c r="E212" s="131" t="str">
        <f>IFERROR(__xludf.DUMMYFUNCTION("""COMPUTED_VALUE"""),"PROJECT WORK II")</f>
        <v>PROJECT WORK II</v>
      </c>
      <c r="F212" s="121" t="str">
        <f>IFERROR(__xludf.DUMMYFUNCTION("""COMPUTED_VALUE"""),"LAB")</f>
        <v>LAB</v>
      </c>
      <c r="G212" s="121">
        <f>IFERROR(__xludf.DUMMYFUNCTION("""COMPUTED_VALUE"""),0.0)</f>
        <v>0</v>
      </c>
      <c r="H212" s="121">
        <f>IFERROR(__xludf.DUMMYFUNCTION("""COMPUTED_VALUE"""),0.0)</f>
        <v>0</v>
      </c>
      <c r="I212" s="121">
        <f>IFERROR(__xludf.DUMMYFUNCTION("""COMPUTED_VALUE"""),18.0)</f>
        <v>18</v>
      </c>
      <c r="J212" s="121">
        <f>IFERROR(__xludf.DUMMYFUNCTION("""COMPUTED_VALUE"""),9.0)</f>
        <v>9</v>
      </c>
      <c r="K212" s="132"/>
      <c r="L212" s="121"/>
      <c r="M212" s="121"/>
    </row>
    <row r="213" ht="49.5" customHeight="1">
      <c r="A213" s="121" t="str">
        <f>IFERROR(__xludf.DUMMYFUNCTION("""COMPUTED_VALUE"""),"BT")</f>
        <v>BT</v>
      </c>
      <c r="B213" s="121" t="str">
        <f>IFERROR(__xludf.DUMMYFUNCTION("""COMPUTED_VALUE"""),"S2")</f>
        <v>S2</v>
      </c>
      <c r="C213" s="121" t="str">
        <f>IFERROR(__xludf.DUMMYFUNCTION("""COMPUTED_VALUE"""),"CORE")</f>
        <v>CORE</v>
      </c>
      <c r="D213" s="121" t="str">
        <f>IFERROR(__xludf.DUMMYFUNCTION("""COMPUTED_VALUE"""),"22MA201")</f>
        <v>22MA201</v>
      </c>
      <c r="E213" s="131" t="str">
        <f>IFERROR(__xludf.DUMMYFUNCTION("""COMPUTED_VALUE"""),"ENGINEERING MATHEMATICS II")</f>
        <v>ENGINEERING MATHEMATICS II</v>
      </c>
      <c r="F213" s="121" t="str">
        <f>IFERROR(__xludf.DUMMYFUNCTION("""COMPUTED_VALUE"""),"THEORY")</f>
        <v>THEORY</v>
      </c>
      <c r="G213" s="121">
        <f>IFERROR(__xludf.DUMMYFUNCTION("""COMPUTED_VALUE"""),3.0)</f>
        <v>3</v>
      </c>
      <c r="H213" s="121">
        <f>IFERROR(__xludf.DUMMYFUNCTION("""COMPUTED_VALUE"""),1.0)</f>
        <v>1</v>
      </c>
      <c r="I213" s="121">
        <f>IFERROR(__xludf.DUMMYFUNCTION("""COMPUTED_VALUE"""),0.0)</f>
        <v>0</v>
      </c>
      <c r="J213" s="121">
        <f>IFERROR(__xludf.DUMMYFUNCTION("""COMPUTED_VALUE"""),4.0)</f>
        <v>4</v>
      </c>
      <c r="K213" s="132" t="str">
        <f>IFERROR(__xludf.DUMMYFUNCTION("""COMPUTED_VALUE"""),"MA11122")</f>
        <v>MA11122</v>
      </c>
      <c r="L213" s="121" t="str">
        <f>IFERROR(__xludf.DUMMYFUNCTION("""COMPUTED_VALUE"""),"Dr.AKALYADEVI K")</f>
        <v>Dr.AKALYADEVI K</v>
      </c>
      <c r="M213" s="121" t="str">
        <f>IFERROR(__xludf.DUMMYFUNCTION("""COMPUTED_VALUE"""),"akalyadevi@bitsathy.ac.in")</f>
        <v>akalyadevi@bitsathy.ac.in</v>
      </c>
    </row>
    <row r="214" ht="49.5" customHeight="1">
      <c r="A214" s="121" t="str">
        <f>IFERROR(__xludf.DUMMYFUNCTION("""COMPUTED_VALUE"""),"BT")</f>
        <v>BT</v>
      </c>
      <c r="B214" s="121" t="str">
        <f>IFERROR(__xludf.DUMMYFUNCTION("""COMPUTED_VALUE"""),"S2")</f>
        <v>S2</v>
      </c>
      <c r="C214" s="121" t="str">
        <f>IFERROR(__xludf.DUMMYFUNCTION("""COMPUTED_VALUE"""),"CORE")</f>
        <v>CORE</v>
      </c>
      <c r="D214" s="121" t="str">
        <f>IFERROR(__xludf.DUMMYFUNCTION("""COMPUTED_VALUE"""),"22MA201")</f>
        <v>22MA201</v>
      </c>
      <c r="E214" s="131" t="str">
        <f>IFERROR(__xludf.DUMMYFUNCTION("""COMPUTED_VALUE"""),"ENGINEERING MATHEMATICS II")</f>
        <v>ENGINEERING MATHEMATICS II</v>
      </c>
      <c r="F214" s="121" t="str">
        <f>IFERROR(__xludf.DUMMYFUNCTION("""COMPUTED_VALUE"""),"THEORY")</f>
        <v>THEORY</v>
      </c>
      <c r="G214" s="121">
        <f>IFERROR(__xludf.DUMMYFUNCTION("""COMPUTED_VALUE"""),3.0)</f>
        <v>3</v>
      </c>
      <c r="H214" s="121">
        <f>IFERROR(__xludf.DUMMYFUNCTION("""COMPUTED_VALUE"""),1.0)</f>
        <v>1</v>
      </c>
      <c r="I214" s="121">
        <f>IFERROR(__xludf.DUMMYFUNCTION("""COMPUTED_VALUE"""),0.0)</f>
        <v>0</v>
      </c>
      <c r="J214" s="121">
        <f>IFERROR(__xludf.DUMMYFUNCTION("""COMPUTED_VALUE"""),4.0)</f>
        <v>4</v>
      </c>
      <c r="K214" s="132" t="str">
        <f>IFERROR(__xludf.DUMMYFUNCTION("""COMPUTED_VALUE"""),"MA11181")</f>
        <v>MA11181</v>
      </c>
      <c r="L214" s="121" t="str">
        <f>IFERROR(__xludf.DUMMYFUNCTION("""COMPUTED_VALUE"""),"Dr.HEMALATHA B")</f>
        <v>Dr.HEMALATHA B</v>
      </c>
      <c r="M214" s="121" t="str">
        <f>IFERROR(__xludf.DUMMYFUNCTION("""COMPUTED_VALUE"""),"hemalathab@bitsathy.ac.in")</f>
        <v>hemalathab@bitsathy.ac.in</v>
      </c>
    </row>
    <row r="215" ht="49.5" customHeight="1">
      <c r="A215" s="121" t="str">
        <f>IFERROR(__xludf.DUMMYFUNCTION("""COMPUTED_VALUE"""),"BT")</f>
        <v>BT</v>
      </c>
      <c r="B215" s="121" t="str">
        <f>IFERROR(__xludf.DUMMYFUNCTION("""COMPUTED_VALUE"""),"S2")</f>
        <v>S2</v>
      </c>
      <c r="C215" s="121" t="str">
        <f>IFERROR(__xludf.DUMMYFUNCTION("""COMPUTED_VALUE"""),"CORE")</f>
        <v>CORE</v>
      </c>
      <c r="D215" s="121" t="str">
        <f>IFERROR(__xludf.DUMMYFUNCTION("""COMPUTED_VALUE"""),"22PH202")</f>
        <v>22PH202</v>
      </c>
      <c r="E215" s="131" t="str">
        <f>IFERROR(__xludf.DUMMYFUNCTION("""COMPUTED_VALUE"""),"ELECTROMAGNETISM AND MODERN PHYSICS")</f>
        <v>ELECTROMAGNETISM AND MODERN PHYSICS</v>
      </c>
      <c r="F215" s="121" t="str">
        <f>IFERROR(__xludf.DUMMYFUNCTION("""COMPUTED_VALUE"""),"THEORY WITH LAB")</f>
        <v>THEORY WITH LAB</v>
      </c>
      <c r="G215" s="121">
        <f>IFERROR(__xludf.DUMMYFUNCTION("""COMPUTED_VALUE"""),2.0)</f>
        <v>2</v>
      </c>
      <c r="H215" s="121">
        <f>IFERROR(__xludf.DUMMYFUNCTION("""COMPUTED_VALUE"""),0.0)</f>
        <v>0</v>
      </c>
      <c r="I215" s="121">
        <f>IFERROR(__xludf.DUMMYFUNCTION("""COMPUTED_VALUE"""),2.0)</f>
        <v>2</v>
      </c>
      <c r="J215" s="121">
        <f>IFERROR(__xludf.DUMMYFUNCTION("""COMPUTED_VALUE"""),3.0)</f>
        <v>3</v>
      </c>
      <c r="K215" s="132" t="str">
        <f>IFERROR(__xludf.DUMMYFUNCTION("""COMPUTED_VALUE"""),"PH11153")</f>
        <v>PH11153</v>
      </c>
      <c r="L215" s="121" t="str">
        <f>IFERROR(__xludf.DUMMYFUNCTION("""COMPUTED_VALUE"""),"Dr.SANGEETHA K")</f>
        <v>Dr.SANGEETHA K</v>
      </c>
      <c r="M215" s="121" t="str">
        <f>IFERROR(__xludf.DUMMYFUNCTION("""COMPUTED_VALUE"""),"sangeethak@bitsathy.ac.in")</f>
        <v>sangeethak@bitsathy.ac.in</v>
      </c>
    </row>
    <row r="216" ht="49.5" customHeight="1">
      <c r="A216" s="121" t="str">
        <f>IFERROR(__xludf.DUMMYFUNCTION("""COMPUTED_VALUE"""),"BT")</f>
        <v>BT</v>
      </c>
      <c r="B216" s="121" t="str">
        <f>IFERROR(__xludf.DUMMYFUNCTION("""COMPUTED_VALUE"""),"S2")</f>
        <v>S2</v>
      </c>
      <c r="C216" s="121" t="str">
        <f>IFERROR(__xludf.DUMMYFUNCTION("""COMPUTED_VALUE"""),"CORE")</f>
        <v>CORE</v>
      </c>
      <c r="D216" s="121" t="str">
        <f>IFERROR(__xludf.DUMMYFUNCTION("""COMPUTED_VALUE"""),"22PH202")</f>
        <v>22PH202</v>
      </c>
      <c r="E216" s="131" t="str">
        <f>IFERROR(__xludf.DUMMYFUNCTION("""COMPUTED_VALUE"""),"ELECTROMAGNETISM AND MODERN PHYSICS")</f>
        <v>ELECTROMAGNETISM AND MODERN PHYSICS</v>
      </c>
      <c r="F216" s="121" t="str">
        <f>IFERROR(__xludf.DUMMYFUNCTION("""COMPUTED_VALUE"""),"THEORY WITH LAB")</f>
        <v>THEORY WITH LAB</v>
      </c>
      <c r="G216" s="121">
        <f>IFERROR(__xludf.DUMMYFUNCTION("""COMPUTED_VALUE"""),2.0)</f>
        <v>2</v>
      </c>
      <c r="H216" s="121">
        <f>IFERROR(__xludf.DUMMYFUNCTION("""COMPUTED_VALUE"""),0.0)</f>
        <v>0</v>
      </c>
      <c r="I216" s="121">
        <f>IFERROR(__xludf.DUMMYFUNCTION("""COMPUTED_VALUE"""),2.0)</f>
        <v>2</v>
      </c>
      <c r="J216" s="121">
        <f>IFERROR(__xludf.DUMMYFUNCTION("""COMPUTED_VALUE"""),3.0)</f>
        <v>3</v>
      </c>
      <c r="K216" s="132" t="str">
        <f>IFERROR(__xludf.DUMMYFUNCTION("""COMPUTED_VALUE"""),"PH11036")</f>
        <v>PH11036</v>
      </c>
      <c r="L216" s="121" t="str">
        <f>IFERROR(__xludf.DUMMYFUNCTION("""COMPUTED_VALUE"""),"Dr.BASKARAN P")</f>
        <v>Dr.BASKARAN P</v>
      </c>
      <c r="M216" s="121" t="str">
        <f>IFERROR(__xludf.DUMMYFUNCTION("""COMPUTED_VALUE"""),"baskaranp@bitsathy.ac.in")</f>
        <v>baskaranp@bitsathy.ac.in</v>
      </c>
    </row>
    <row r="217" ht="49.5" customHeight="1">
      <c r="A217" s="121" t="str">
        <f>IFERROR(__xludf.DUMMYFUNCTION("""COMPUTED_VALUE"""),"BT")</f>
        <v>BT</v>
      </c>
      <c r="B217" s="121" t="str">
        <f>IFERROR(__xludf.DUMMYFUNCTION("""COMPUTED_VALUE"""),"S2")</f>
        <v>S2</v>
      </c>
      <c r="C217" s="121" t="str">
        <f>IFERROR(__xludf.DUMMYFUNCTION("""COMPUTED_VALUE"""),"CORE")</f>
        <v>CORE</v>
      </c>
      <c r="D217" s="121" t="str">
        <f>IFERROR(__xludf.DUMMYFUNCTION("""COMPUTED_VALUE"""),"22CH203")</f>
        <v>22CH203</v>
      </c>
      <c r="E217" s="131" t="str">
        <f>IFERROR(__xludf.DUMMYFUNCTION("""COMPUTED_VALUE"""),"ENGINEERING CHEMISTRY II")</f>
        <v>ENGINEERING CHEMISTRY II</v>
      </c>
      <c r="F217" s="121" t="str">
        <f>IFERROR(__xludf.DUMMYFUNCTION("""COMPUTED_VALUE"""),"THEORY WITH LAB")</f>
        <v>THEORY WITH LAB</v>
      </c>
      <c r="G217" s="121">
        <f>IFERROR(__xludf.DUMMYFUNCTION("""COMPUTED_VALUE"""),2.0)</f>
        <v>2</v>
      </c>
      <c r="H217" s="121">
        <f>IFERROR(__xludf.DUMMYFUNCTION("""COMPUTED_VALUE"""),0.0)</f>
        <v>0</v>
      </c>
      <c r="I217" s="121">
        <f>IFERROR(__xludf.DUMMYFUNCTION("""COMPUTED_VALUE"""),2.0)</f>
        <v>2</v>
      </c>
      <c r="J217" s="121">
        <f>IFERROR(__xludf.DUMMYFUNCTION("""COMPUTED_VALUE"""),3.0)</f>
        <v>3</v>
      </c>
      <c r="K217" s="132" t="str">
        <f>IFERROR(__xludf.DUMMYFUNCTION("""COMPUTED_VALUE"""),"CH10333")</f>
        <v>CH10333</v>
      </c>
      <c r="L217" s="121" t="str">
        <f>IFERROR(__xludf.DUMMYFUNCTION("""COMPUTED_VALUE"""),"Dr.MURALI KRISHNAN M")</f>
        <v>Dr.MURALI KRISHNAN M</v>
      </c>
      <c r="M217" s="121" t="str">
        <f>IFERROR(__xludf.DUMMYFUNCTION("""COMPUTED_VALUE"""),"muralikrishnan@bitsathy.ac.in")</f>
        <v>muralikrishnan@bitsathy.ac.in</v>
      </c>
    </row>
    <row r="218" ht="49.5" customHeight="1">
      <c r="A218" s="121" t="str">
        <f>IFERROR(__xludf.DUMMYFUNCTION("""COMPUTED_VALUE"""),"BT")</f>
        <v>BT</v>
      </c>
      <c r="B218" s="121" t="str">
        <f>IFERROR(__xludf.DUMMYFUNCTION("""COMPUTED_VALUE"""),"S2")</f>
        <v>S2</v>
      </c>
      <c r="C218" s="121" t="str">
        <f>IFERROR(__xludf.DUMMYFUNCTION("""COMPUTED_VALUE"""),"CORE")</f>
        <v>CORE</v>
      </c>
      <c r="D218" s="121" t="str">
        <f>IFERROR(__xludf.DUMMYFUNCTION("""COMPUTED_VALUE"""),"22CH203")</f>
        <v>22CH203</v>
      </c>
      <c r="E218" s="131" t="str">
        <f>IFERROR(__xludf.DUMMYFUNCTION("""COMPUTED_VALUE"""),"ENGINEERING CHEMISTRY II")</f>
        <v>ENGINEERING CHEMISTRY II</v>
      </c>
      <c r="F218" s="121" t="str">
        <f>IFERROR(__xludf.DUMMYFUNCTION("""COMPUTED_VALUE"""),"THEORY WITH LAB")</f>
        <v>THEORY WITH LAB</v>
      </c>
      <c r="G218" s="121">
        <f>IFERROR(__xludf.DUMMYFUNCTION("""COMPUTED_VALUE"""),2.0)</f>
        <v>2</v>
      </c>
      <c r="H218" s="121">
        <f>IFERROR(__xludf.DUMMYFUNCTION("""COMPUTED_VALUE"""),0.0)</f>
        <v>0</v>
      </c>
      <c r="I218" s="121">
        <f>IFERROR(__xludf.DUMMYFUNCTION("""COMPUTED_VALUE"""),2.0)</f>
        <v>2</v>
      </c>
      <c r="J218" s="121">
        <f>IFERROR(__xludf.DUMMYFUNCTION("""COMPUTED_VALUE"""),3.0)</f>
        <v>3</v>
      </c>
      <c r="K218" s="132" t="str">
        <f>IFERROR(__xludf.DUMMYFUNCTION("""COMPUTED_VALUE"""),"CH10957")</f>
        <v>CH10957</v>
      </c>
      <c r="L218" s="121" t="str">
        <f>IFERROR(__xludf.DUMMYFUNCTION("""COMPUTED_VALUE"""),"Dr.DEEPHA V")</f>
        <v>Dr.DEEPHA V</v>
      </c>
      <c r="M218" s="121" t="str">
        <f>IFERROR(__xludf.DUMMYFUNCTION("""COMPUTED_VALUE"""),"deephav@bitsathy.ac.in")</f>
        <v>deephav@bitsathy.ac.in</v>
      </c>
    </row>
    <row r="219" ht="49.5" customHeight="1">
      <c r="A219" s="121" t="str">
        <f>IFERROR(__xludf.DUMMYFUNCTION("""COMPUTED_VALUE"""),"BT")</f>
        <v>BT</v>
      </c>
      <c r="B219" s="121" t="str">
        <f>IFERROR(__xludf.DUMMYFUNCTION("""COMPUTED_VALUE"""),"S2")</f>
        <v>S2</v>
      </c>
      <c r="C219" s="121" t="str">
        <f>IFERROR(__xludf.DUMMYFUNCTION("""COMPUTED_VALUE"""),"CORE")</f>
        <v>CORE</v>
      </c>
      <c r="D219" s="121" t="str">
        <f>IFERROR(__xludf.DUMMYFUNCTION("""COMPUTED_VALUE"""),"22GE002")</f>
        <v>22GE002</v>
      </c>
      <c r="E219" s="131" t="str">
        <f>IFERROR(__xludf.DUMMYFUNCTION("""COMPUTED_VALUE"""),"COMPUTATIONAL PROBLEM SOLVING")</f>
        <v>COMPUTATIONAL PROBLEM SOLVING</v>
      </c>
      <c r="F219" s="121" t="str">
        <f>IFERROR(__xludf.DUMMYFUNCTION("""COMPUTED_VALUE"""),"THEORY")</f>
        <v>THEORY</v>
      </c>
      <c r="G219" s="121">
        <f>IFERROR(__xludf.DUMMYFUNCTION("""COMPUTED_VALUE"""),3.0)</f>
        <v>3</v>
      </c>
      <c r="H219" s="121">
        <f>IFERROR(__xludf.DUMMYFUNCTION("""COMPUTED_VALUE"""),0.0)</f>
        <v>0</v>
      </c>
      <c r="I219" s="121">
        <f>IFERROR(__xludf.DUMMYFUNCTION("""COMPUTED_VALUE"""),0.0)</f>
        <v>0</v>
      </c>
      <c r="J219" s="121">
        <f>IFERROR(__xludf.DUMMYFUNCTION("""COMPUTED_VALUE"""),3.0)</f>
        <v>3</v>
      </c>
      <c r="K219" s="132" t="str">
        <f>IFERROR(__xludf.DUMMYFUNCTION("""COMPUTED_VALUE"""),"AM10907")</f>
        <v>AM10907</v>
      </c>
      <c r="L219" s="121" t="str">
        <f>IFERROR(__xludf.DUMMYFUNCTION("""COMPUTED_VALUE"""),"Dr.RAJASEKAR S S")</f>
        <v>Dr.RAJASEKAR S S</v>
      </c>
      <c r="M219" s="121" t="str">
        <f>IFERROR(__xludf.DUMMYFUNCTION("""COMPUTED_VALUE"""),"rajasekarss@bitsathy.ac.in")</f>
        <v>rajasekarss@bitsathy.ac.in</v>
      </c>
    </row>
    <row r="220" ht="49.5" customHeight="1">
      <c r="A220" s="121" t="str">
        <f>IFERROR(__xludf.DUMMYFUNCTION("""COMPUTED_VALUE"""),"BT")</f>
        <v>BT</v>
      </c>
      <c r="B220" s="121" t="str">
        <f>IFERROR(__xludf.DUMMYFUNCTION("""COMPUTED_VALUE"""),"S2")</f>
        <v>S2</v>
      </c>
      <c r="C220" s="121" t="str">
        <f>IFERROR(__xludf.DUMMYFUNCTION("""COMPUTED_VALUE"""),"CORE")</f>
        <v>CORE</v>
      </c>
      <c r="D220" s="121" t="str">
        <f>IFERROR(__xludf.DUMMYFUNCTION("""COMPUTED_VALUE"""),"22GE002")</f>
        <v>22GE002</v>
      </c>
      <c r="E220" s="131" t="str">
        <f>IFERROR(__xludf.DUMMYFUNCTION("""COMPUTED_VALUE"""),"COMPUTATIONAL PROBLEM SOLVING")</f>
        <v>COMPUTATIONAL PROBLEM SOLVING</v>
      </c>
      <c r="F220" s="121" t="str">
        <f>IFERROR(__xludf.DUMMYFUNCTION("""COMPUTED_VALUE"""),"THEORY")</f>
        <v>THEORY</v>
      </c>
      <c r="G220" s="121">
        <f>IFERROR(__xludf.DUMMYFUNCTION("""COMPUTED_VALUE"""),3.0)</f>
        <v>3</v>
      </c>
      <c r="H220" s="121">
        <f>IFERROR(__xludf.DUMMYFUNCTION("""COMPUTED_VALUE"""),0.0)</f>
        <v>0</v>
      </c>
      <c r="I220" s="121">
        <f>IFERROR(__xludf.DUMMYFUNCTION("""COMPUTED_VALUE"""),0.0)</f>
        <v>0</v>
      </c>
      <c r="J220" s="121">
        <f>IFERROR(__xludf.DUMMYFUNCTION("""COMPUTED_VALUE"""),3.0)</f>
        <v>3</v>
      </c>
      <c r="K220" s="132" t="str">
        <f>IFERROR(__xludf.DUMMYFUNCTION("""COMPUTED_VALUE"""),"AM11013")</f>
        <v>AM11013</v>
      </c>
      <c r="L220" s="121" t="str">
        <f>IFERROR(__xludf.DUMMYFUNCTION("""COMPUTED_VALUE"""),"Mr.SATHESHKUMAR K")</f>
        <v>Mr.SATHESHKUMAR K</v>
      </c>
      <c r="M220" s="121" t="str">
        <f>IFERROR(__xludf.DUMMYFUNCTION("""COMPUTED_VALUE"""),"satheshkumar@bitsathy.ac.in")</f>
        <v>satheshkumar@bitsathy.ac.in</v>
      </c>
    </row>
    <row r="221" ht="49.5" customHeight="1">
      <c r="A221" s="121" t="str">
        <f>IFERROR(__xludf.DUMMYFUNCTION("""COMPUTED_VALUE"""),"BT")</f>
        <v>BT</v>
      </c>
      <c r="B221" s="121" t="str">
        <f>IFERROR(__xludf.DUMMYFUNCTION("""COMPUTED_VALUE"""),"S2")</f>
        <v>S2</v>
      </c>
      <c r="C221" s="121" t="str">
        <f>IFERROR(__xludf.DUMMYFUNCTION("""COMPUTED_VALUE"""),"CORE")</f>
        <v>CORE</v>
      </c>
      <c r="D221" s="121" t="str">
        <f>IFERROR(__xludf.DUMMYFUNCTION("""COMPUTED_VALUE"""),"22GE004")</f>
        <v>22GE004</v>
      </c>
      <c r="E221" s="131" t="str">
        <f>IFERROR(__xludf.DUMMYFUNCTION("""COMPUTED_VALUE"""),"BASICS OF ELECTRONICS ENGINEERING")</f>
        <v>BASICS OF ELECTRONICS ENGINEERING</v>
      </c>
      <c r="F221" s="121" t="str">
        <f>IFERROR(__xludf.DUMMYFUNCTION("""COMPUTED_VALUE"""),"THEORY WITH LAB")</f>
        <v>THEORY WITH LAB</v>
      </c>
      <c r="G221" s="121">
        <f>IFERROR(__xludf.DUMMYFUNCTION("""COMPUTED_VALUE"""),2.0)</f>
        <v>2</v>
      </c>
      <c r="H221" s="121">
        <f>IFERROR(__xludf.DUMMYFUNCTION("""COMPUTED_VALUE"""),0.0)</f>
        <v>0</v>
      </c>
      <c r="I221" s="121">
        <f>IFERROR(__xludf.DUMMYFUNCTION("""COMPUTED_VALUE"""),2.0)</f>
        <v>2</v>
      </c>
      <c r="J221" s="121">
        <f>IFERROR(__xludf.DUMMYFUNCTION("""COMPUTED_VALUE"""),3.0)</f>
        <v>3</v>
      </c>
      <c r="K221" s="132" t="str">
        <f>IFERROR(__xludf.DUMMYFUNCTION("""COMPUTED_VALUE"""),"EC11051")</f>
        <v>EC11051</v>
      </c>
      <c r="L221" s="121" t="str">
        <f>IFERROR(__xludf.DUMMYFUNCTION("""COMPUTED_VALUE"""),"Mrs.SANDHIYADEVI P")</f>
        <v>Mrs.SANDHIYADEVI P</v>
      </c>
      <c r="M221" s="133" t="str">
        <f>IFERROR(__xludf.DUMMYFUNCTION("""COMPUTED_VALUE"""),"sandhiyadevip@bitsathy.ac.in")</f>
        <v>sandhiyadevip@bitsathy.ac.in</v>
      </c>
    </row>
    <row r="222" ht="49.5" customHeight="1">
      <c r="A222" s="121" t="str">
        <f>IFERROR(__xludf.DUMMYFUNCTION("""COMPUTED_VALUE"""),"BT")</f>
        <v>BT</v>
      </c>
      <c r="B222" s="121" t="str">
        <f>IFERROR(__xludf.DUMMYFUNCTION("""COMPUTED_VALUE"""),"S2")</f>
        <v>S2</v>
      </c>
      <c r="C222" s="121" t="str">
        <f>IFERROR(__xludf.DUMMYFUNCTION("""COMPUTED_VALUE"""),"CORE")</f>
        <v>CORE</v>
      </c>
      <c r="D222" s="121" t="str">
        <f>IFERROR(__xludf.DUMMYFUNCTION("""COMPUTED_VALUE"""),"22GE004")</f>
        <v>22GE004</v>
      </c>
      <c r="E222" s="131" t="str">
        <f>IFERROR(__xludf.DUMMYFUNCTION("""COMPUTED_VALUE"""),"BASICS OF ELECTRONICS ENGINEERING")</f>
        <v>BASICS OF ELECTRONICS ENGINEERING</v>
      </c>
      <c r="F222" s="121" t="str">
        <f>IFERROR(__xludf.DUMMYFUNCTION("""COMPUTED_VALUE"""),"THEORY WITH LAB")</f>
        <v>THEORY WITH LAB</v>
      </c>
      <c r="G222" s="121">
        <f>IFERROR(__xludf.DUMMYFUNCTION("""COMPUTED_VALUE"""),2.0)</f>
        <v>2</v>
      </c>
      <c r="H222" s="121">
        <f>IFERROR(__xludf.DUMMYFUNCTION("""COMPUTED_VALUE"""),0.0)</f>
        <v>0</v>
      </c>
      <c r="I222" s="121">
        <f>IFERROR(__xludf.DUMMYFUNCTION("""COMPUTED_VALUE"""),2.0)</f>
        <v>2</v>
      </c>
      <c r="J222" s="121">
        <f>IFERROR(__xludf.DUMMYFUNCTION("""COMPUTED_VALUE"""),3.0)</f>
        <v>3</v>
      </c>
      <c r="K222" s="132" t="str">
        <f>IFERROR(__xludf.DUMMYFUNCTION("""COMPUTED_VALUE"""),"EC10725")</f>
        <v>EC10725</v>
      </c>
      <c r="L222" s="121" t="str">
        <f>IFERROR(__xludf.DUMMYFUNCTION("""COMPUTED_VALUE"""),"Mrs.ABINAYA M")</f>
        <v>Mrs.ABINAYA M</v>
      </c>
      <c r="M222" s="133" t="str">
        <f>IFERROR(__xludf.DUMMYFUNCTION("""COMPUTED_VALUE"""),"abinayam@bitsathy.ac.in")</f>
        <v>abinayam@bitsathy.ac.in</v>
      </c>
    </row>
    <row r="223" ht="49.5" customHeight="1">
      <c r="A223" s="121" t="str">
        <f>IFERROR(__xludf.DUMMYFUNCTION("""COMPUTED_VALUE"""),"BT")</f>
        <v>BT</v>
      </c>
      <c r="B223" s="121" t="str">
        <f>IFERROR(__xludf.DUMMYFUNCTION("""COMPUTED_VALUE"""),"S2")</f>
        <v>S2</v>
      </c>
      <c r="C223" s="121" t="str">
        <f>IFERROR(__xludf.DUMMYFUNCTION("""COMPUTED_VALUE"""),"CORE")</f>
        <v>CORE</v>
      </c>
      <c r="D223" s="121" t="str">
        <f>IFERROR(__xludf.DUMMYFUNCTION("""COMPUTED_VALUE"""),"22GE005")</f>
        <v>22GE005</v>
      </c>
      <c r="E223" s="131" t="str">
        <f>IFERROR(__xludf.DUMMYFUNCTION("""COMPUTED_VALUE"""),"ENGINEERING DRAWING")</f>
        <v>ENGINEERING DRAWING</v>
      </c>
      <c r="F223" s="121" t="str">
        <f>IFERROR(__xludf.DUMMYFUNCTION("""COMPUTED_VALUE"""),"LAB")</f>
        <v>LAB</v>
      </c>
      <c r="G223" s="121">
        <f>IFERROR(__xludf.DUMMYFUNCTION("""COMPUTED_VALUE"""),1.0)</f>
        <v>1</v>
      </c>
      <c r="H223" s="121">
        <f>IFERROR(__xludf.DUMMYFUNCTION("""COMPUTED_VALUE"""),0.0)</f>
        <v>0</v>
      </c>
      <c r="I223" s="121">
        <f>IFERROR(__xludf.DUMMYFUNCTION("""COMPUTED_VALUE"""),2.0)</f>
        <v>2</v>
      </c>
      <c r="J223" s="121">
        <f>IFERROR(__xludf.DUMMYFUNCTION("""COMPUTED_VALUE"""),3.0)</f>
        <v>3</v>
      </c>
      <c r="K223" s="132" t="str">
        <f>IFERROR(__xludf.DUMMYFUNCTION("""COMPUTED_VALUE"""),"ME1974")</f>
        <v>ME1974</v>
      </c>
      <c r="L223" s="121" t="str">
        <f>IFERROR(__xludf.DUMMYFUNCTION("""COMPUTED_VALUE"""),"Mr.SAKTHIVEL MURUGAN E")</f>
        <v>Mr.SAKTHIVEL MURUGAN E</v>
      </c>
      <c r="M223" s="133" t="str">
        <f>IFERROR(__xludf.DUMMYFUNCTION("""COMPUTED_VALUE"""),"sakthivelmurugane@bitsathy.ac.in")</f>
        <v>sakthivelmurugane@bitsathy.ac.in</v>
      </c>
    </row>
    <row r="224" ht="49.5" customHeight="1">
      <c r="A224" s="121" t="str">
        <f>IFERROR(__xludf.DUMMYFUNCTION("""COMPUTED_VALUE"""),"BT")</f>
        <v>BT</v>
      </c>
      <c r="B224" s="121" t="str">
        <f>IFERROR(__xludf.DUMMYFUNCTION("""COMPUTED_VALUE"""),"S2")</f>
        <v>S2</v>
      </c>
      <c r="C224" s="121" t="str">
        <f>IFERROR(__xludf.DUMMYFUNCTION("""COMPUTED_VALUE"""),"CORE")</f>
        <v>CORE</v>
      </c>
      <c r="D224" s="121" t="str">
        <f>IFERROR(__xludf.DUMMYFUNCTION("""COMPUTED_VALUE"""),"22GE005")</f>
        <v>22GE005</v>
      </c>
      <c r="E224" s="131" t="str">
        <f>IFERROR(__xludf.DUMMYFUNCTION("""COMPUTED_VALUE"""),"ENGINEERING DRAWING")</f>
        <v>ENGINEERING DRAWING</v>
      </c>
      <c r="F224" s="121" t="str">
        <f>IFERROR(__xludf.DUMMYFUNCTION("""COMPUTED_VALUE"""),"LAB")</f>
        <v>LAB</v>
      </c>
      <c r="G224" s="121">
        <f>IFERROR(__xludf.DUMMYFUNCTION("""COMPUTED_VALUE"""),1.0)</f>
        <v>1</v>
      </c>
      <c r="H224" s="121">
        <f>IFERROR(__xludf.DUMMYFUNCTION("""COMPUTED_VALUE"""),0.0)</f>
        <v>0</v>
      </c>
      <c r="I224" s="121">
        <f>IFERROR(__xludf.DUMMYFUNCTION("""COMPUTED_VALUE"""),2.0)</f>
        <v>2</v>
      </c>
      <c r="J224" s="121">
        <f>IFERROR(__xludf.DUMMYFUNCTION("""COMPUTED_VALUE"""),3.0)</f>
        <v>3</v>
      </c>
      <c r="K224" s="132" t="str">
        <f>IFERROR(__xludf.DUMMYFUNCTION("""COMPUTED_VALUE"""),"ME10098")</f>
        <v>ME10098</v>
      </c>
      <c r="L224" s="121" t="str">
        <f>IFERROR(__xludf.DUMMYFUNCTION("""COMPUTED_VALUE"""),"Dr.PRADEEP A D")</f>
        <v>Dr.PRADEEP A D</v>
      </c>
      <c r="M224" s="133" t="str">
        <f>IFERROR(__xludf.DUMMYFUNCTION("""COMPUTED_VALUE"""),"pradeep@bitsathy.ac.in")</f>
        <v>pradeep@bitsathy.ac.in</v>
      </c>
    </row>
    <row r="225" ht="49.5" customHeight="1">
      <c r="A225" s="121" t="str">
        <f>IFERROR(__xludf.DUMMYFUNCTION("""COMPUTED_VALUE"""),"BT")</f>
        <v>BT</v>
      </c>
      <c r="B225" s="121" t="str">
        <f>IFERROR(__xludf.DUMMYFUNCTION("""COMPUTED_VALUE"""),"S2")</f>
        <v>S2</v>
      </c>
      <c r="C225" s="121" t="str">
        <f>IFERROR(__xludf.DUMMYFUNCTION("""COMPUTED_VALUE"""),"CORE")</f>
        <v>CORE</v>
      </c>
      <c r="D225" s="121" t="str">
        <f>IFERROR(__xludf.DUMMYFUNCTION("""COMPUTED_VALUE"""),"22HS006")</f>
        <v>22HS006</v>
      </c>
      <c r="E225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225" s="121" t="str">
        <f>IFERROR(__xludf.DUMMYFUNCTION("""COMPUTED_VALUE"""),"LAB")</f>
        <v>LAB</v>
      </c>
      <c r="G225" s="121">
        <f>IFERROR(__xludf.DUMMYFUNCTION("""COMPUTED_VALUE"""),1.0)</f>
        <v>1</v>
      </c>
      <c r="H225" s="121">
        <f>IFERROR(__xludf.DUMMYFUNCTION("""COMPUTED_VALUE"""),0.0)</f>
        <v>0</v>
      </c>
      <c r="I225" s="121">
        <f>IFERROR(__xludf.DUMMYFUNCTION("""COMPUTED_VALUE"""),0.0)</f>
        <v>0</v>
      </c>
      <c r="J225" s="121">
        <f>IFERROR(__xludf.DUMMYFUNCTION("""COMPUTED_VALUE"""),1.0)</f>
        <v>1</v>
      </c>
      <c r="K225" s="132" t="str">
        <f>IFERROR(__xludf.DUMMYFUNCTION("""COMPUTED_VALUE"""),"HU11085")</f>
        <v>HU11085</v>
      </c>
      <c r="L225" s="121" t="str">
        <f>IFERROR(__xludf.DUMMYFUNCTION("""COMPUTED_VALUE"""),"Dr.SAGUNTHALA DEVI P")</f>
        <v>Dr.SAGUNTHALA DEVI P</v>
      </c>
      <c r="M225" s="121" t="str">
        <f>IFERROR(__xludf.DUMMYFUNCTION("""COMPUTED_VALUE"""),"sagunthaladevi@bitsathy.ac.in")</f>
        <v>sagunthaladevi@bitsathy.ac.in</v>
      </c>
    </row>
    <row r="226" ht="49.5" customHeight="1">
      <c r="A226" s="121" t="str">
        <f>IFERROR(__xludf.DUMMYFUNCTION("""COMPUTED_VALUE"""),"BT")</f>
        <v>BT</v>
      </c>
      <c r="B226" s="121" t="str">
        <f>IFERROR(__xludf.DUMMYFUNCTION("""COMPUTED_VALUE"""),"S2")</f>
        <v>S2</v>
      </c>
      <c r="C226" s="121" t="str">
        <f>IFERROR(__xludf.DUMMYFUNCTION("""COMPUTED_VALUE"""),"CORE")</f>
        <v>CORE</v>
      </c>
      <c r="D226" s="121" t="str">
        <f>IFERROR(__xludf.DUMMYFUNCTION("""COMPUTED_VALUE"""),"22HS006")</f>
        <v>22HS006</v>
      </c>
      <c r="E226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226" s="121" t="str">
        <f>IFERROR(__xludf.DUMMYFUNCTION("""COMPUTED_VALUE"""),"LAB")</f>
        <v>LAB</v>
      </c>
      <c r="G226" s="121">
        <f>IFERROR(__xludf.DUMMYFUNCTION("""COMPUTED_VALUE"""),1.0)</f>
        <v>1</v>
      </c>
      <c r="H226" s="121">
        <f>IFERROR(__xludf.DUMMYFUNCTION("""COMPUTED_VALUE"""),0.0)</f>
        <v>0</v>
      </c>
      <c r="I226" s="121">
        <f>IFERROR(__xludf.DUMMYFUNCTION("""COMPUTED_VALUE"""),0.0)</f>
        <v>0</v>
      </c>
      <c r="J226" s="121">
        <f>IFERROR(__xludf.DUMMYFUNCTION("""COMPUTED_VALUE"""),1.0)</f>
        <v>1</v>
      </c>
      <c r="K226" s="132" t="str">
        <f>IFERROR(__xludf.DUMMYFUNCTION("""COMPUTED_VALUE"""),"HU11115")</f>
        <v>HU11115</v>
      </c>
      <c r="L226" s="121" t="str">
        <f>IFERROR(__xludf.DUMMYFUNCTION("""COMPUTED_VALUE"""),"Ms.KAMALI D")</f>
        <v>Ms.KAMALI D</v>
      </c>
      <c r="M226" s="121" t="str">
        <f>IFERROR(__xludf.DUMMYFUNCTION("""COMPUTED_VALUE"""),"kamali@bitsathy.ac.in")</f>
        <v>kamali@bitsathy.ac.in</v>
      </c>
    </row>
    <row r="227" ht="49.5" customHeight="1">
      <c r="A227" s="121" t="str">
        <f>IFERROR(__xludf.DUMMYFUNCTION("""COMPUTED_VALUE"""),"BT")</f>
        <v>BT</v>
      </c>
      <c r="B227" s="121" t="str">
        <f>IFERROR(__xludf.DUMMYFUNCTION("""COMPUTED_VALUE"""),"S2")</f>
        <v>S2</v>
      </c>
      <c r="C227" s="121" t="str">
        <f>IFERROR(__xludf.DUMMYFUNCTION("""COMPUTED_VALUE"""),"CORE")</f>
        <v>CORE</v>
      </c>
      <c r="D227" s="121" t="str">
        <f>IFERROR(__xludf.DUMMYFUNCTION("""COMPUTED_VALUE"""),"22HS009")</f>
        <v>22HS009</v>
      </c>
      <c r="E227" s="131" t="str">
        <f>IFERROR(__xludf.DUMMYFUNCTION("""COMPUTED_VALUE"""),"COCURRICULAR OR EXTRACURRICULAR ACTIVITY")</f>
        <v>COCURRICULAR OR EXTRACURRICULAR ACTIVITY</v>
      </c>
      <c r="F227" s="121"/>
      <c r="G227" s="121"/>
      <c r="H227" s="121"/>
      <c r="I227" s="121"/>
      <c r="J227" s="121"/>
      <c r="K227" s="132"/>
      <c r="L227" s="121"/>
      <c r="M227" s="121"/>
    </row>
    <row r="228" ht="49.5" customHeight="1">
      <c r="A228" s="121" t="str">
        <f>IFERROR(__xludf.DUMMYFUNCTION("""COMPUTED_VALUE"""),"BT")</f>
        <v>BT</v>
      </c>
      <c r="B228" s="121" t="str">
        <f>IFERROR(__xludf.DUMMYFUNCTION("""COMPUTED_VALUE"""),"S2")</f>
        <v>S2</v>
      </c>
      <c r="C228" s="121" t="str">
        <f>IFERROR(__xludf.DUMMYFUNCTION("""COMPUTED_VALUE"""),"LANGUAGE ELECTIVE")</f>
        <v>LANGUAGE ELECTIVE</v>
      </c>
      <c r="D228" s="121" t="str">
        <f>IFERROR(__xludf.DUMMYFUNCTION("""COMPUTED_VALUE"""),"22HS201")</f>
        <v>22HS201</v>
      </c>
      <c r="E228" s="131" t="str">
        <f>IFERROR(__xludf.DUMMYFUNCTION("""COMPUTED_VALUE""")," COMMUNICATIVE ENGLISH II")</f>
        <v> COMMUNICATIVE ENGLISH II</v>
      </c>
      <c r="F228" s="121" t="str">
        <f>IFERROR(__xludf.DUMMYFUNCTION("""COMPUTED_VALUE"""),"LAB")</f>
        <v>LAB</v>
      </c>
      <c r="G228" s="121">
        <f>IFERROR(__xludf.DUMMYFUNCTION("""COMPUTED_VALUE"""),1.0)</f>
        <v>1</v>
      </c>
      <c r="H228" s="121">
        <f>IFERROR(__xludf.DUMMYFUNCTION("""COMPUTED_VALUE"""),0.0)</f>
        <v>0</v>
      </c>
      <c r="I228" s="121">
        <f>IFERROR(__xludf.DUMMYFUNCTION("""COMPUTED_VALUE"""),2.0)</f>
        <v>2</v>
      </c>
      <c r="J228" s="121">
        <f>IFERROR(__xludf.DUMMYFUNCTION("""COMPUTED_VALUE"""),2.0)</f>
        <v>2</v>
      </c>
      <c r="K228" s="132" t="str">
        <f>IFERROR(__xludf.DUMMYFUNCTION("""COMPUTED_VALUE"""),"HU11125")</f>
        <v>HU11125</v>
      </c>
      <c r="L228" s="121" t="str">
        <f>IFERROR(__xludf.DUMMYFUNCTION("""COMPUTED_VALUE"""),"Dr.GAYATHRI G M")</f>
        <v>Dr.GAYATHRI G M</v>
      </c>
      <c r="M228" s="121" t="str">
        <f>IFERROR(__xludf.DUMMYFUNCTION("""COMPUTED_VALUE"""),"gayathri@bitsathy.ac.in")</f>
        <v>gayathri@bitsathy.ac.in</v>
      </c>
    </row>
    <row r="229" ht="49.5" customHeight="1">
      <c r="A229" s="121" t="str">
        <f>IFERROR(__xludf.DUMMYFUNCTION("""COMPUTED_VALUE"""),"BT")</f>
        <v>BT</v>
      </c>
      <c r="B229" s="121" t="str">
        <f>IFERROR(__xludf.DUMMYFUNCTION("""COMPUTED_VALUE"""),"S2")</f>
        <v>S2</v>
      </c>
      <c r="C229" s="121" t="str">
        <f>IFERROR(__xludf.DUMMYFUNCTION("""COMPUTED_VALUE"""),"LANGUAGE ELECTIVE")</f>
        <v>LANGUAGE ELECTIVE</v>
      </c>
      <c r="D229" s="121" t="str">
        <f>IFERROR(__xludf.DUMMYFUNCTION("""COMPUTED_VALUE"""),"22HSH01")</f>
        <v>22HSH01</v>
      </c>
      <c r="E229" s="131" t="str">
        <f>IFERROR(__xludf.DUMMYFUNCTION("""COMPUTED_VALUE"""),"HINDI")</f>
        <v>HINDI</v>
      </c>
      <c r="F229" s="121" t="str">
        <f>IFERROR(__xludf.DUMMYFUNCTION("""COMPUTED_VALUE"""),"LAB")</f>
        <v>LAB</v>
      </c>
      <c r="G229" s="121">
        <f>IFERROR(__xludf.DUMMYFUNCTION("""COMPUTED_VALUE"""),1.0)</f>
        <v>1</v>
      </c>
      <c r="H229" s="121">
        <f>IFERROR(__xludf.DUMMYFUNCTION("""COMPUTED_VALUE"""),0.0)</f>
        <v>0</v>
      </c>
      <c r="I229" s="121">
        <f>IFERROR(__xludf.DUMMYFUNCTION("""COMPUTED_VALUE"""),2.0)</f>
        <v>2</v>
      </c>
      <c r="J229" s="121">
        <f>IFERROR(__xludf.DUMMYFUNCTION("""COMPUTED_VALUE"""),2.0)</f>
        <v>2</v>
      </c>
      <c r="K229" s="132"/>
      <c r="L229" s="121"/>
      <c r="M229" s="121"/>
    </row>
    <row r="230" ht="49.5" customHeight="1">
      <c r="A230" s="121" t="str">
        <f>IFERROR(__xludf.DUMMYFUNCTION("""COMPUTED_VALUE"""),"BT")</f>
        <v>BT</v>
      </c>
      <c r="B230" s="121" t="str">
        <f>IFERROR(__xludf.DUMMYFUNCTION("""COMPUTED_VALUE"""),"S2")</f>
        <v>S2</v>
      </c>
      <c r="C230" s="121" t="str">
        <f>IFERROR(__xludf.DUMMYFUNCTION("""COMPUTED_VALUE"""),"LANGUAGE ELECTIVE")</f>
        <v>LANGUAGE ELECTIVE</v>
      </c>
      <c r="D230" s="121" t="str">
        <f>IFERROR(__xludf.DUMMYFUNCTION("""COMPUTED_VALUE"""),"22HSG01")</f>
        <v>22HSG01</v>
      </c>
      <c r="E230" s="131" t="str">
        <f>IFERROR(__xludf.DUMMYFUNCTION("""COMPUTED_VALUE"""),"GERMAN")</f>
        <v>GERMAN</v>
      </c>
      <c r="F230" s="121" t="str">
        <f>IFERROR(__xludf.DUMMYFUNCTION("""COMPUTED_VALUE"""),"LAB")</f>
        <v>LAB</v>
      </c>
      <c r="G230" s="121">
        <f>IFERROR(__xludf.DUMMYFUNCTION("""COMPUTED_VALUE"""),1.0)</f>
        <v>1</v>
      </c>
      <c r="H230" s="121">
        <f>IFERROR(__xludf.DUMMYFUNCTION("""COMPUTED_VALUE"""),0.0)</f>
        <v>0</v>
      </c>
      <c r="I230" s="121">
        <f>IFERROR(__xludf.DUMMYFUNCTION("""COMPUTED_VALUE"""),2.0)</f>
        <v>2</v>
      </c>
      <c r="J230" s="121">
        <f>IFERROR(__xludf.DUMMYFUNCTION("""COMPUTED_VALUE"""),2.0)</f>
        <v>2</v>
      </c>
      <c r="K230" s="132"/>
      <c r="L230" s="121"/>
      <c r="M230" s="121"/>
    </row>
    <row r="231" ht="49.5" customHeight="1">
      <c r="A231" s="121" t="str">
        <f>IFERROR(__xludf.DUMMYFUNCTION("""COMPUTED_VALUE"""),"BT")</f>
        <v>BT</v>
      </c>
      <c r="B231" s="121" t="str">
        <f>IFERROR(__xludf.DUMMYFUNCTION("""COMPUTED_VALUE"""),"S4")</f>
        <v>S4</v>
      </c>
      <c r="C231" s="121" t="str">
        <f>IFERROR(__xludf.DUMMYFUNCTION("""COMPUTED_VALUE"""),"CORE")</f>
        <v>CORE</v>
      </c>
      <c r="D231" s="121" t="str">
        <f>IFERROR(__xludf.DUMMYFUNCTION("""COMPUTED_VALUE"""),"22BT401")</f>
        <v>22BT401</v>
      </c>
      <c r="E231" s="131" t="str">
        <f>IFERROR(__xludf.DUMMYFUNCTION("""COMPUTED_VALUE"""),"BIOORGANIC CHEMISTRY")</f>
        <v>BIOORGANIC CHEMISTRY</v>
      </c>
      <c r="F231" s="121" t="str">
        <f>IFERROR(__xludf.DUMMYFUNCTION("""COMPUTED_VALUE"""),"THEORY WITH LAB")</f>
        <v>THEORY WITH LAB</v>
      </c>
      <c r="G231" s="121">
        <f>IFERROR(__xludf.DUMMYFUNCTION("""COMPUTED_VALUE"""),3.0)</f>
        <v>3</v>
      </c>
      <c r="H231" s="121">
        <f>IFERROR(__xludf.DUMMYFUNCTION("""COMPUTED_VALUE"""),0.0)</f>
        <v>0</v>
      </c>
      <c r="I231" s="121">
        <f>IFERROR(__xludf.DUMMYFUNCTION("""COMPUTED_VALUE"""),2.0)</f>
        <v>2</v>
      </c>
      <c r="J231" s="121">
        <f>IFERROR(__xludf.DUMMYFUNCTION("""COMPUTED_VALUE"""),4.0)</f>
        <v>4</v>
      </c>
      <c r="K231" s="132" t="str">
        <f>IFERROR(__xludf.DUMMYFUNCTION("""COMPUTED_VALUE"""),"BT1477")</f>
        <v>BT1477</v>
      </c>
      <c r="L231" s="121" t="str">
        <f>IFERROR(__xludf.DUMMYFUNCTION("""COMPUTED_VALUE"""),"Dr.TAMILSELVI S")</f>
        <v>Dr.TAMILSELVI S</v>
      </c>
      <c r="M231" s="121" t="str">
        <f>IFERROR(__xludf.DUMMYFUNCTION("""COMPUTED_VALUE"""),"tamilselvis@bitsathy.ac.in")</f>
        <v>tamilselvis@bitsathy.ac.in</v>
      </c>
    </row>
    <row r="232" ht="49.5" customHeight="1">
      <c r="A232" s="121" t="str">
        <f>IFERROR(__xludf.DUMMYFUNCTION("""COMPUTED_VALUE"""),"BT")</f>
        <v>BT</v>
      </c>
      <c r="B232" s="121" t="str">
        <f>IFERROR(__xludf.DUMMYFUNCTION("""COMPUTED_VALUE"""),"S4")</f>
        <v>S4</v>
      </c>
      <c r="C232" s="121" t="str">
        <f>IFERROR(__xludf.DUMMYFUNCTION("""COMPUTED_VALUE"""),"CORE")</f>
        <v>CORE</v>
      </c>
      <c r="D232" s="121" t="str">
        <f>IFERROR(__xludf.DUMMYFUNCTION("""COMPUTED_VALUE"""),"22BT401")</f>
        <v>22BT401</v>
      </c>
      <c r="E232" s="131" t="str">
        <f>IFERROR(__xludf.DUMMYFUNCTION("""COMPUTED_VALUE"""),"BIOORGANIC CHEMISTRY")</f>
        <v>BIOORGANIC CHEMISTRY</v>
      </c>
      <c r="F232" s="121" t="str">
        <f>IFERROR(__xludf.DUMMYFUNCTION("""COMPUTED_VALUE"""),"THEORY WITH LAB")</f>
        <v>THEORY WITH LAB</v>
      </c>
      <c r="G232" s="121">
        <f>IFERROR(__xludf.DUMMYFUNCTION("""COMPUTED_VALUE"""),3.0)</f>
        <v>3</v>
      </c>
      <c r="H232" s="121">
        <f>IFERROR(__xludf.DUMMYFUNCTION("""COMPUTED_VALUE"""),0.0)</f>
        <v>0</v>
      </c>
      <c r="I232" s="121">
        <f>IFERROR(__xludf.DUMMYFUNCTION("""COMPUTED_VALUE"""),2.0)</f>
        <v>2</v>
      </c>
      <c r="J232" s="121">
        <f>IFERROR(__xludf.DUMMYFUNCTION("""COMPUTED_VALUE"""),4.0)</f>
        <v>4</v>
      </c>
      <c r="K232" s="132" t="str">
        <f>IFERROR(__xludf.DUMMYFUNCTION("""COMPUTED_VALUE"""),"BT11033")</f>
        <v>BT11033</v>
      </c>
      <c r="L232" s="121" t="str">
        <f>IFERROR(__xludf.DUMMYFUNCTION("""COMPUTED_VALUE"""),"Dr.SURESH CHALUVADI")</f>
        <v>Dr.SURESH CHALUVADI</v>
      </c>
      <c r="M232" s="121" t="str">
        <f>IFERROR(__xludf.DUMMYFUNCTION("""COMPUTED_VALUE"""),"sureshchaluvadi@bitsathy.ac.in")</f>
        <v>sureshchaluvadi@bitsathy.ac.in</v>
      </c>
    </row>
    <row r="233" ht="49.5" customHeight="1">
      <c r="A233" s="121" t="str">
        <f>IFERROR(__xludf.DUMMYFUNCTION("""COMPUTED_VALUE"""),"BT")</f>
        <v>BT</v>
      </c>
      <c r="B233" s="121" t="str">
        <f>IFERROR(__xludf.DUMMYFUNCTION("""COMPUTED_VALUE"""),"S4")</f>
        <v>S4</v>
      </c>
      <c r="C233" s="121" t="str">
        <f>IFERROR(__xludf.DUMMYFUNCTION("""COMPUTED_VALUE"""),"CORE")</f>
        <v>CORE</v>
      </c>
      <c r="D233" s="121" t="str">
        <f>IFERROR(__xludf.DUMMYFUNCTION("""COMPUTED_VALUE"""),"22BT402")</f>
        <v>22BT402</v>
      </c>
      <c r="E233" s="131" t="str">
        <f>IFERROR(__xludf.DUMMYFUNCTION("""COMPUTED_VALUE"""),"HEAT AND MASS TRANSFER")</f>
        <v>HEAT AND MASS TRANSFER</v>
      </c>
      <c r="F233" s="121" t="str">
        <f>IFERROR(__xludf.DUMMYFUNCTION("""COMPUTED_VALUE"""),"THEORY")</f>
        <v>THEORY</v>
      </c>
      <c r="G233" s="121">
        <f>IFERROR(__xludf.DUMMYFUNCTION("""COMPUTED_VALUE"""),3.0)</f>
        <v>3</v>
      </c>
      <c r="H233" s="121">
        <f>IFERROR(__xludf.DUMMYFUNCTION("""COMPUTED_VALUE"""),0.0)</f>
        <v>0</v>
      </c>
      <c r="I233" s="121">
        <f>IFERROR(__xludf.DUMMYFUNCTION("""COMPUTED_VALUE"""),2.0)</f>
        <v>2</v>
      </c>
      <c r="J233" s="121">
        <f>IFERROR(__xludf.DUMMYFUNCTION("""COMPUTED_VALUE"""),4.0)</f>
        <v>4</v>
      </c>
      <c r="K233" s="132" t="str">
        <f>IFERROR(__xludf.DUMMYFUNCTION("""COMPUTED_VALUE"""),"ME10081")</f>
        <v>ME10081</v>
      </c>
      <c r="L233" s="121" t="str">
        <f>IFERROR(__xludf.DUMMYFUNCTION("""COMPUTED_VALUE"""),"Dr.KUMARESAN G")</f>
        <v>Dr.KUMARESAN G</v>
      </c>
      <c r="M233" s="121" t="str">
        <f>IFERROR(__xludf.DUMMYFUNCTION("""COMPUTED_VALUE"""),"kumaresan@bitsathy.ac.in")</f>
        <v>kumaresan@bitsathy.ac.in</v>
      </c>
    </row>
    <row r="234" ht="49.5" customHeight="1">
      <c r="A234" s="121" t="str">
        <f>IFERROR(__xludf.DUMMYFUNCTION("""COMPUTED_VALUE"""),"BT")</f>
        <v>BT</v>
      </c>
      <c r="B234" s="121" t="str">
        <f>IFERROR(__xludf.DUMMYFUNCTION("""COMPUTED_VALUE"""),"S4")</f>
        <v>S4</v>
      </c>
      <c r="C234" s="121" t="str">
        <f>IFERROR(__xludf.DUMMYFUNCTION("""COMPUTED_VALUE"""),"CORE")</f>
        <v>CORE</v>
      </c>
      <c r="D234" s="121" t="str">
        <f>IFERROR(__xludf.DUMMYFUNCTION("""COMPUTED_VALUE"""),"22BT402")</f>
        <v>22BT402</v>
      </c>
      <c r="E234" s="131" t="str">
        <f>IFERROR(__xludf.DUMMYFUNCTION("""COMPUTED_VALUE"""),"HEAT AND MASS TRANSFER")</f>
        <v>HEAT AND MASS TRANSFER</v>
      </c>
      <c r="F234" s="121" t="str">
        <f>IFERROR(__xludf.DUMMYFUNCTION("""COMPUTED_VALUE"""),"LAB")</f>
        <v>LAB</v>
      </c>
      <c r="G234" s="121">
        <f>IFERROR(__xludf.DUMMYFUNCTION("""COMPUTED_VALUE"""),3.0)</f>
        <v>3</v>
      </c>
      <c r="H234" s="121">
        <f>IFERROR(__xludf.DUMMYFUNCTION("""COMPUTED_VALUE"""),0.0)</f>
        <v>0</v>
      </c>
      <c r="I234" s="121">
        <f>IFERROR(__xludf.DUMMYFUNCTION("""COMPUTED_VALUE"""),2.0)</f>
        <v>2</v>
      </c>
      <c r="J234" s="121">
        <f>IFERROR(__xludf.DUMMYFUNCTION("""COMPUTED_VALUE"""),4.0)</f>
        <v>4</v>
      </c>
      <c r="K234" s="132" t="str">
        <f>IFERROR(__xludf.DUMMYFUNCTION("""COMPUTED_VALUE"""),"ME1819")</f>
        <v>ME1819</v>
      </c>
      <c r="L234" s="121" t="str">
        <f>IFERROR(__xludf.DUMMYFUNCTION("""COMPUTED_VALUE"""),"Dr.DINESH D")</f>
        <v>Dr.DINESH D</v>
      </c>
      <c r="M234" s="121" t="str">
        <f>IFERROR(__xludf.DUMMYFUNCTION("""COMPUTED_VALUE"""),"dineshd@bitsathy.ac.in")</f>
        <v>dineshd@bitsathy.ac.in</v>
      </c>
    </row>
    <row r="235" ht="49.5" customHeight="1">
      <c r="A235" s="121" t="str">
        <f>IFERROR(__xludf.DUMMYFUNCTION("""COMPUTED_VALUE"""),"BT")</f>
        <v>BT</v>
      </c>
      <c r="B235" s="121" t="str">
        <f>IFERROR(__xludf.DUMMYFUNCTION("""COMPUTED_VALUE"""),"S4")</f>
        <v>S4</v>
      </c>
      <c r="C235" s="121" t="str">
        <f>IFERROR(__xludf.DUMMYFUNCTION("""COMPUTED_VALUE"""),"CORE")</f>
        <v>CORE</v>
      </c>
      <c r="D235" s="121" t="str">
        <f>IFERROR(__xludf.DUMMYFUNCTION("""COMPUTED_VALUE"""),"22BT402")</f>
        <v>22BT402</v>
      </c>
      <c r="E235" s="131" t="str">
        <f>IFERROR(__xludf.DUMMYFUNCTION("""COMPUTED_VALUE"""),"HEAT AND MASS TRANSFER")</f>
        <v>HEAT AND MASS TRANSFER</v>
      </c>
      <c r="F235" s="121" t="str">
        <f>IFERROR(__xludf.DUMMYFUNCTION("""COMPUTED_VALUE"""),"THEORY")</f>
        <v>THEORY</v>
      </c>
      <c r="G235" s="121">
        <f>IFERROR(__xludf.DUMMYFUNCTION("""COMPUTED_VALUE"""),3.0)</f>
        <v>3</v>
      </c>
      <c r="H235" s="121">
        <f>IFERROR(__xludf.DUMMYFUNCTION("""COMPUTED_VALUE"""),0.0)</f>
        <v>0</v>
      </c>
      <c r="I235" s="121">
        <f>IFERROR(__xludf.DUMMYFUNCTION("""COMPUTED_VALUE"""),2.0)</f>
        <v>2</v>
      </c>
      <c r="J235" s="121">
        <f>IFERROR(__xludf.DUMMYFUNCTION("""COMPUTED_VALUE"""),4.0)</f>
        <v>4</v>
      </c>
      <c r="K235" s="132" t="str">
        <f>IFERROR(__xludf.DUMMYFUNCTION("""COMPUTED_VALUE"""),"ME10492")</f>
        <v>ME10492</v>
      </c>
      <c r="L235" s="121" t="str">
        <f>IFERROR(__xludf.DUMMYFUNCTION("""COMPUTED_VALUE"""),"Dr.PRAKASH K B")</f>
        <v>Dr.PRAKASH K B</v>
      </c>
      <c r="M235" s="121" t="str">
        <f>IFERROR(__xludf.DUMMYFUNCTION("""COMPUTED_VALUE"""),"prakashkb@bitsathy.ac.in")</f>
        <v>prakashkb@bitsathy.ac.in</v>
      </c>
    </row>
    <row r="236" ht="49.5" customHeight="1">
      <c r="A236" s="121" t="str">
        <f>IFERROR(__xludf.DUMMYFUNCTION("""COMPUTED_VALUE"""),"BT")</f>
        <v>BT</v>
      </c>
      <c r="B236" s="121" t="str">
        <f>IFERROR(__xludf.DUMMYFUNCTION("""COMPUTED_VALUE"""),"S4")</f>
        <v>S4</v>
      </c>
      <c r="C236" s="121" t="str">
        <f>IFERROR(__xludf.DUMMYFUNCTION("""COMPUTED_VALUE"""),"CORE")</f>
        <v>CORE</v>
      </c>
      <c r="D236" s="121" t="str">
        <f>IFERROR(__xludf.DUMMYFUNCTION("""COMPUTED_VALUE"""),"22BT402")</f>
        <v>22BT402</v>
      </c>
      <c r="E236" s="131" t="str">
        <f>IFERROR(__xludf.DUMMYFUNCTION("""COMPUTED_VALUE"""),"HEAT AND MASS TRANSFER")</f>
        <v>HEAT AND MASS TRANSFER</v>
      </c>
      <c r="F236" s="121" t="str">
        <f>IFERROR(__xludf.DUMMYFUNCTION("""COMPUTED_VALUE"""),"LAB")</f>
        <v>LAB</v>
      </c>
      <c r="G236" s="121">
        <f>IFERROR(__xludf.DUMMYFUNCTION("""COMPUTED_VALUE"""),3.0)</f>
        <v>3</v>
      </c>
      <c r="H236" s="121">
        <f>IFERROR(__xludf.DUMMYFUNCTION("""COMPUTED_VALUE"""),0.0)</f>
        <v>0</v>
      </c>
      <c r="I236" s="121">
        <f>IFERROR(__xludf.DUMMYFUNCTION("""COMPUTED_VALUE"""),2.0)</f>
        <v>2</v>
      </c>
      <c r="J236" s="121">
        <f>IFERROR(__xludf.DUMMYFUNCTION("""COMPUTED_VALUE"""),4.0)</f>
        <v>4</v>
      </c>
      <c r="K236" s="132" t="str">
        <f>IFERROR(__xludf.DUMMYFUNCTION("""COMPUTED_VALUE"""),"ME10492")</f>
        <v>ME10492</v>
      </c>
      <c r="L236" s="121" t="str">
        <f>IFERROR(__xludf.DUMMYFUNCTION("""COMPUTED_VALUE"""),"Dr.PRAKASH K B")</f>
        <v>Dr.PRAKASH K B</v>
      </c>
      <c r="M236" s="121" t="str">
        <f>IFERROR(__xludf.DUMMYFUNCTION("""COMPUTED_VALUE"""),"prakashkb@bitsathy.ac.in")</f>
        <v>prakashkb@bitsathy.ac.in</v>
      </c>
    </row>
    <row r="237" ht="49.5" customHeight="1">
      <c r="A237" s="121" t="str">
        <f>IFERROR(__xludf.DUMMYFUNCTION("""COMPUTED_VALUE"""),"BT")</f>
        <v>BT</v>
      </c>
      <c r="B237" s="121" t="str">
        <f>IFERROR(__xludf.DUMMYFUNCTION("""COMPUTED_VALUE"""),"S4")</f>
        <v>S4</v>
      </c>
      <c r="C237" s="121" t="str">
        <f>IFERROR(__xludf.DUMMYFUNCTION("""COMPUTED_VALUE"""),"CORE")</f>
        <v>CORE</v>
      </c>
      <c r="D237" s="121" t="str">
        <f>IFERROR(__xludf.DUMMYFUNCTION("""COMPUTED_VALUE"""),"22BT403")</f>
        <v>22BT403</v>
      </c>
      <c r="E237" s="131" t="str">
        <f>IFERROR(__xludf.DUMMYFUNCTION("""COMPUTED_VALUE"""),"CELL AND MOLECULAR BIOLOGY")</f>
        <v>CELL AND MOLECULAR BIOLOGY</v>
      </c>
      <c r="F237" s="121" t="str">
        <f>IFERROR(__xludf.DUMMYFUNCTION("""COMPUTED_VALUE"""),"THEORY WITH LAB")</f>
        <v>THEORY WITH LAB</v>
      </c>
      <c r="G237" s="121">
        <f>IFERROR(__xludf.DUMMYFUNCTION("""COMPUTED_VALUE"""),3.0)</f>
        <v>3</v>
      </c>
      <c r="H237" s="121">
        <f>IFERROR(__xludf.DUMMYFUNCTION("""COMPUTED_VALUE"""),0.0)</f>
        <v>0</v>
      </c>
      <c r="I237" s="121">
        <f>IFERROR(__xludf.DUMMYFUNCTION("""COMPUTED_VALUE"""),2.0)</f>
        <v>2</v>
      </c>
      <c r="J237" s="121">
        <f>IFERROR(__xludf.DUMMYFUNCTION("""COMPUTED_VALUE"""),4.0)</f>
        <v>4</v>
      </c>
      <c r="K237" s="132" t="str">
        <f>IFERROR(__xludf.DUMMYFUNCTION("""COMPUTED_VALUE"""),"BT11050")</f>
        <v>BT11050</v>
      </c>
      <c r="L237" s="121" t="str">
        <f>IFERROR(__xludf.DUMMYFUNCTION("""COMPUTED_VALUE"""),"Mrs.VINODHINI R T")</f>
        <v>Mrs.VINODHINI R T</v>
      </c>
      <c r="M237" s="121" t="str">
        <f>IFERROR(__xludf.DUMMYFUNCTION("""COMPUTED_VALUE"""),"vinodhinirt@bitsathy.ac.in")</f>
        <v>vinodhinirt@bitsathy.ac.in</v>
      </c>
    </row>
    <row r="238" ht="49.5" customHeight="1">
      <c r="A238" s="121" t="str">
        <f>IFERROR(__xludf.DUMMYFUNCTION("""COMPUTED_VALUE"""),"BT")</f>
        <v>BT</v>
      </c>
      <c r="B238" s="121" t="str">
        <f>IFERROR(__xludf.DUMMYFUNCTION("""COMPUTED_VALUE"""),"S4")</f>
        <v>S4</v>
      </c>
      <c r="C238" s="121" t="str">
        <f>IFERROR(__xludf.DUMMYFUNCTION("""COMPUTED_VALUE"""),"CORE")</f>
        <v>CORE</v>
      </c>
      <c r="D238" s="121" t="str">
        <f>IFERROR(__xludf.DUMMYFUNCTION("""COMPUTED_VALUE"""),"22BT403")</f>
        <v>22BT403</v>
      </c>
      <c r="E238" s="131" t="str">
        <f>IFERROR(__xludf.DUMMYFUNCTION("""COMPUTED_VALUE"""),"CELL AND MOLECULAR BIOLOGY")</f>
        <v>CELL AND MOLECULAR BIOLOGY</v>
      </c>
      <c r="F238" s="121" t="str">
        <f>IFERROR(__xludf.DUMMYFUNCTION("""COMPUTED_VALUE"""),"THEORY WITH LAB")</f>
        <v>THEORY WITH LAB</v>
      </c>
      <c r="G238" s="121">
        <f>IFERROR(__xludf.DUMMYFUNCTION("""COMPUTED_VALUE"""),3.0)</f>
        <v>3</v>
      </c>
      <c r="H238" s="121">
        <f>IFERROR(__xludf.DUMMYFUNCTION("""COMPUTED_VALUE"""),0.0)</f>
        <v>0</v>
      </c>
      <c r="I238" s="121">
        <f>IFERROR(__xludf.DUMMYFUNCTION("""COMPUTED_VALUE"""),2.0)</f>
        <v>2</v>
      </c>
      <c r="J238" s="121">
        <f>IFERROR(__xludf.DUMMYFUNCTION("""COMPUTED_VALUE"""),4.0)</f>
        <v>4</v>
      </c>
      <c r="K238" s="132" t="str">
        <f>IFERROR(__xludf.DUMMYFUNCTION("""COMPUTED_VALUE"""),"BT10984")</f>
        <v>BT10984</v>
      </c>
      <c r="L238" s="121" t="str">
        <f>IFERROR(__xludf.DUMMYFUNCTION("""COMPUTED_VALUE"""),"Mrs.MAHIMA P")</f>
        <v>Mrs.MAHIMA P</v>
      </c>
      <c r="M238" s="121" t="str">
        <f>IFERROR(__xludf.DUMMYFUNCTION("""COMPUTED_VALUE"""),"mahimap@bitsathy.ac.in")</f>
        <v>mahimap@bitsathy.ac.in</v>
      </c>
    </row>
    <row r="239" ht="49.5" customHeight="1">
      <c r="A239" s="121" t="str">
        <f>IFERROR(__xludf.DUMMYFUNCTION("""COMPUTED_VALUE"""),"BT")</f>
        <v>BT</v>
      </c>
      <c r="B239" s="121" t="str">
        <f>IFERROR(__xludf.DUMMYFUNCTION("""COMPUTED_VALUE"""),"S4")</f>
        <v>S4</v>
      </c>
      <c r="C239" s="121" t="str">
        <f>IFERROR(__xludf.DUMMYFUNCTION("""COMPUTED_VALUE"""),"CORE")</f>
        <v>CORE</v>
      </c>
      <c r="D239" s="121" t="str">
        <f>IFERROR(__xludf.DUMMYFUNCTION("""COMPUTED_VALUE"""),"22BT404")</f>
        <v>22BT404</v>
      </c>
      <c r="E239" s="131" t="str">
        <f>IFERROR(__xludf.DUMMYFUNCTION("""COMPUTED_VALUE"""),"INSTRUMENTAL METHODS OF ANALYSIS")</f>
        <v>INSTRUMENTAL METHODS OF ANALYSIS</v>
      </c>
      <c r="F239" s="121" t="str">
        <f>IFERROR(__xludf.DUMMYFUNCTION("""COMPUTED_VALUE"""),"THEORY WITH LAB")</f>
        <v>THEORY WITH LAB</v>
      </c>
      <c r="G239" s="121">
        <f>IFERROR(__xludf.DUMMYFUNCTION("""COMPUTED_VALUE"""),3.0)</f>
        <v>3</v>
      </c>
      <c r="H239" s="121">
        <f>IFERROR(__xludf.DUMMYFUNCTION("""COMPUTED_VALUE"""),0.0)</f>
        <v>0</v>
      </c>
      <c r="I239" s="121">
        <f>IFERROR(__xludf.DUMMYFUNCTION("""COMPUTED_VALUE"""),2.0)</f>
        <v>2</v>
      </c>
      <c r="J239" s="121">
        <f>IFERROR(__xludf.DUMMYFUNCTION("""COMPUTED_VALUE"""),4.0)</f>
        <v>4</v>
      </c>
      <c r="K239" s="132" t="str">
        <f>IFERROR(__xludf.DUMMYFUNCTION("""COMPUTED_VALUE"""),"BT11198")</f>
        <v>BT11198</v>
      </c>
      <c r="L239" s="121" t="str">
        <f>IFERROR(__xludf.DUMMYFUNCTION("""COMPUTED_VALUE"""),"Mrs.SHANKARI V")</f>
        <v>Mrs.SHANKARI V</v>
      </c>
      <c r="M239" s="133" t="str">
        <f>IFERROR(__xludf.DUMMYFUNCTION("""COMPUTED_VALUE"""),"shankariv@bitsathy.ac.in")</f>
        <v>shankariv@bitsathy.ac.in</v>
      </c>
    </row>
    <row r="240" ht="49.5" customHeight="1">
      <c r="A240" s="121" t="str">
        <f>IFERROR(__xludf.DUMMYFUNCTION("""COMPUTED_VALUE"""),"BT")</f>
        <v>BT</v>
      </c>
      <c r="B240" s="121" t="str">
        <f>IFERROR(__xludf.DUMMYFUNCTION("""COMPUTED_VALUE"""),"S4")</f>
        <v>S4</v>
      </c>
      <c r="C240" s="121" t="str">
        <f>IFERROR(__xludf.DUMMYFUNCTION("""COMPUTED_VALUE"""),"CORE")</f>
        <v>CORE</v>
      </c>
      <c r="D240" s="121" t="str">
        <f>IFERROR(__xludf.DUMMYFUNCTION("""COMPUTED_VALUE"""),"22BT404")</f>
        <v>22BT404</v>
      </c>
      <c r="E240" s="131" t="str">
        <f>IFERROR(__xludf.DUMMYFUNCTION("""COMPUTED_VALUE"""),"INSTRUMENTAL METHODS OF ANALYSIS")</f>
        <v>INSTRUMENTAL METHODS OF ANALYSIS</v>
      </c>
      <c r="F240" s="121" t="str">
        <f>IFERROR(__xludf.DUMMYFUNCTION("""COMPUTED_VALUE"""),"THEORY")</f>
        <v>THEORY</v>
      </c>
      <c r="G240" s="121">
        <f>IFERROR(__xludf.DUMMYFUNCTION("""COMPUTED_VALUE"""),3.0)</f>
        <v>3</v>
      </c>
      <c r="H240" s="121">
        <f>IFERROR(__xludf.DUMMYFUNCTION("""COMPUTED_VALUE"""),0.0)</f>
        <v>0</v>
      </c>
      <c r="I240" s="121">
        <f>IFERROR(__xludf.DUMMYFUNCTION("""COMPUTED_VALUE"""),2.0)</f>
        <v>2</v>
      </c>
      <c r="J240" s="121">
        <f>IFERROR(__xludf.DUMMYFUNCTION("""COMPUTED_VALUE"""),4.0)</f>
        <v>4</v>
      </c>
      <c r="K240" s="132" t="str">
        <f>IFERROR(__xludf.DUMMYFUNCTION("""COMPUTED_VALUE"""),"BT10708")</f>
        <v>BT10708</v>
      </c>
      <c r="L240" s="121" t="str">
        <f>IFERROR(__xludf.DUMMYFUNCTION("""COMPUTED_VALUE"""),"Mr.RAJASEETHARAMA S")</f>
        <v>Mr.RAJASEETHARAMA S</v>
      </c>
      <c r="M240" s="121" t="str">
        <f>IFERROR(__xludf.DUMMYFUNCTION("""COMPUTED_VALUE"""),"rajaseetharama@bitsathy.ac.in")</f>
        <v>rajaseetharama@bitsathy.ac.in</v>
      </c>
    </row>
    <row r="241" ht="49.5" customHeight="1">
      <c r="A241" s="121" t="str">
        <f>IFERROR(__xludf.DUMMYFUNCTION("""COMPUTED_VALUE"""),"BT")</f>
        <v>BT</v>
      </c>
      <c r="B241" s="121" t="str">
        <f>IFERROR(__xludf.DUMMYFUNCTION("""COMPUTED_VALUE"""),"S4")</f>
        <v>S4</v>
      </c>
      <c r="C241" s="121" t="str">
        <f>IFERROR(__xludf.DUMMYFUNCTION("""COMPUTED_VALUE"""),"CORE")</f>
        <v>CORE</v>
      </c>
      <c r="D241" s="121" t="str">
        <f>IFERROR(__xludf.DUMMYFUNCTION("""COMPUTED_VALUE"""),"22BT404")</f>
        <v>22BT404</v>
      </c>
      <c r="E241" s="131" t="str">
        <f>IFERROR(__xludf.DUMMYFUNCTION("""COMPUTED_VALUE"""),"INSTRUMENTAL METHODS OF ANALYSIS")</f>
        <v>INSTRUMENTAL METHODS OF ANALYSIS</v>
      </c>
      <c r="F241" s="121" t="str">
        <f>IFERROR(__xludf.DUMMYFUNCTION("""COMPUTED_VALUE"""),"LAB")</f>
        <v>LAB</v>
      </c>
      <c r="G241" s="121">
        <f>IFERROR(__xludf.DUMMYFUNCTION("""COMPUTED_VALUE"""),3.0)</f>
        <v>3</v>
      </c>
      <c r="H241" s="121">
        <f>IFERROR(__xludf.DUMMYFUNCTION("""COMPUTED_VALUE"""),0.0)</f>
        <v>0</v>
      </c>
      <c r="I241" s="121">
        <f>IFERROR(__xludf.DUMMYFUNCTION("""COMPUTED_VALUE"""),2.0)</f>
        <v>2</v>
      </c>
      <c r="J241" s="121">
        <f>IFERROR(__xludf.DUMMYFUNCTION("""COMPUTED_VALUE"""),4.0)</f>
        <v>4</v>
      </c>
      <c r="K241" s="132" t="str">
        <f>IFERROR(__xludf.DUMMYFUNCTION("""COMPUTED_VALUE"""),"BT11035")</f>
        <v>BT11035</v>
      </c>
      <c r="L241" s="121" t="str">
        <f>IFERROR(__xludf.DUMMYFUNCTION("""COMPUTED_VALUE"""),"Ms.NANDHINI N")</f>
        <v>Ms.NANDHINI N</v>
      </c>
      <c r="M241" s="121" t="str">
        <f>IFERROR(__xludf.DUMMYFUNCTION("""COMPUTED_VALUE"""),"nandhinin@bitsathy.ac.in")</f>
        <v>nandhinin@bitsathy.ac.in</v>
      </c>
    </row>
    <row r="242" ht="49.5" customHeight="1">
      <c r="A242" s="121" t="str">
        <f>IFERROR(__xludf.DUMMYFUNCTION("""COMPUTED_VALUE"""),"BT")</f>
        <v>BT</v>
      </c>
      <c r="B242" s="121" t="str">
        <f>IFERROR(__xludf.DUMMYFUNCTION("""COMPUTED_VALUE"""),"S4")</f>
        <v>S4</v>
      </c>
      <c r="C242" s="121" t="str">
        <f>IFERROR(__xludf.DUMMYFUNCTION("""COMPUTED_VALUE"""),"CORE")</f>
        <v>CORE</v>
      </c>
      <c r="D242" s="121" t="str">
        <f>IFERROR(__xludf.DUMMYFUNCTION("""COMPUTED_VALUE"""),"22BT405")</f>
        <v>22BT405</v>
      </c>
      <c r="E242" s="131" t="str">
        <f>IFERROR(__xludf.DUMMYFUNCTION("""COMPUTED_VALUE"""),"PLANT TISSUE CULTURE")</f>
        <v>PLANT TISSUE CULTURE</v>
      </c>
      <c r="F242" s="121" t="str">
        <f>IFERROR(__xludf.DUMMYFUNCTION("""COMPUTED_VALUE"""),"THEORY WITH LAB")</f>
        <v>THEORY WITH LAB</v>
      </c>
      <c r="G242" s="121">
        <f>IFERROR(__xludf.DUMMYFUNCTION("""COMPUTED_VALUE"""),3.0)</f>
        <v>3</v>
      </c>
      <c r="H242" s="121">
        <f>IFERROR(__xludf.DUMMYFUNCTION("""COMPUTED_VALUE"""),0.0)</f>
        <v>0</v>
      </c>
      <c r="I242" s="121">
        <f>IFERROR(__xludf.DUMMYFUNCTION("""COMPUTED_VALUE"""),2.0)</f>
        <v>2</v>
      </c>
      <c r="J242" s="121">
        <f>IFERROR(__xludf.DUMMYFUNCTION("""COMPUTED_VALUE"""),4.0)</f>
        <v>4</v>
      </c>
      <c r="K242" s="132" t="str">
        <f>IFERROR(__xludf.DUMMYFUNCTION("""COMPUTED_VALUE"""),"BT1388")</f>
        <v>BT1388</v>
      </c>
      <c r="L242" s="121" t="str">
        <f>IFERROR(__xludf.DUMMYFUNCTION("""COMPUTED_VALUE"""),"Dr.KANNAN K P")</f>
        <v>Dr.KANNAN K P</v>
      </c>
      <c r="M242" s="121" t="str">
        <f>IFERROR(__xludf.DUMMYFUNCTION("""COMPUTED_VALUE"""),"kannankp@bitsathy.ac.in")</f>
        <v>kannankp@bitsathy.ac.in</v>
      </c>
    </row>
    <row r="243" ht="49.5" customHeight="1">
      <c r="A243" s="121" t="str">
        <f>IFERROR(__xludf.DUMMYFUNCTION("""COMPUTED_VALUE"""),"BT")</f>
        <v>BT</v>
      </c>
      <c r="B243" s="121" t="str">
        <f>IFERROR(__xludf.DUMMYFUNCTION("""COMPUTED_VALUE"""),"S4")</f>
        <v>S4</v>
      </c>
      <c r="C243" s="121" t="str">
        <f>IFERROR(__xludf.DUMMYFUNCTION("""COMPUTED_VALUE"""),"CORE")</f>
        <v>CORE</v>
      </c>
      <c r="D243" s="121" t="str">
        <f>IFERROR(__xludf.DUMMYFUNCTION("""COMPUTED_VALUE"""),"22BT405")</f>
        <v>22BT405</v>
      </c>
      <c r="E243" s="131" t="str">
        <f>IFERROR(__xludf.DUMMYFUNCTION("""COMPUTED_VALUE"""),"PLANT TISSUE CULTURE")</f>
        <v>PLANT TISSUE CULTURE</v>
      </c>
      <c r="F243" s="121" t="str">
        <f>IFERROR(__xludf.DUMMYFUNCTION("""COMPUTED_VALUE"""),"THEORY WITH LAB")</f>
        <v>THEORY WITH LAB</v>
      </c>
      <c r="G243" s="121">
        <f>IFERROR(__xludf.DUMMYFUNCTION("""COMPUTED_VALUE"""),3.0)</f>
        <v>3</v>
      </c>
      <c r="H243" s="121">
        <f>IFERROR(__xludf.DUMMYFUNCTION("""COMPUTED_VALUE"""),0.0)</f>
        <v>0</v>
      </c>
      <c r="I243" s="121">
        <f>IFERROR(__xludf.DUMMYFUNCTION("""COMPUTED_VALUE"""),2.0)</f>
        <v>2</v>
      </c>
      <c r="J243" s="121">
        <f>IFERROR(__xludf.DUMMYFUNCTION("""COMPUTED_VALUE"""),4.0)</f>
        <v>4</v>
      </c>
      <c r="K243" s="132" t="str">
        <f>IFERROR(__xludf.DUMMYFUNCTION("""COMPUTED_VALUE"""),"BT1930")</f>
        <v>BT1930</v>
      </c>
      <c r="L243" s="121" t="str">
        <f>IFERROR(__xludf.DUMMYFUNCTION("""COMPUTED_VALUE"""),"Dr.PAVITHRA MKS")</f>
        <v>Dr.PAVITHRA MKS</v>
      </c>
      <c r="M243" s="121" t="str">
        <f>IFERROR(__xludf.DUMMYFUNCTION("""COMPUTED_VALUE"""),"pavithramks@bitsathy.ac.in")</f>
        <v>pavithramks@bitsathy.ac.in</v>
      </c>
    </row>
    <row r="244" ht="49.5" customHeight="1">
      <c r="A244" s="121" t="str">
        <f>IFERROR(__xludf.DUMMYFUNCTION("""COMPUTED_VALUE"""),"BT")</f>
        <v>BT</v>
      </c>
      <c r="B244" s="121" t="str">
        <f>IFERROR(__xludf.DUMMYFUNCTION("""COMPUTED_VALUE"""),"S4")</f>
        <v>S4</v>
      </c>
      <c r="C244" s="121" t="str">
        <f>IFERROR(__xludf.DUMMYFUNCTION("""COMPUTED_VALUE"""),"ELECTIVE 1")</f>
        <v>ELECTIVE 1</v>
      </c>
      <c r="D244" s="121" t="str">
        <f>IFERROR(__xludf.DUMMYFUNCTION("""COMPUTED_VALUE"""),"22BT012")</f>
        <v>22BT012</v>
      </c>
      <c r="E244" s="131" t="str">
        <f>IFERROR(__xludf.DUMMYFUNCTION("""COMPUTED_VALUE"""),"BIODIVERSITY AND AGROFORESTRY")</f>
        <v>BIODIVERSITY AND AGROFORESTRY</v>
      </c>
      <c r="F244" s="121" t="str">
        <f>IFERROR(__xludf.DUMMYFUNCTION("""COMPUTED_VALUE"""),"THEORY")</f>
        <v>THEORY</v>
      </c>
      <c r="G244" s="121">
        <f>IFERROR(__xludf.DUMMYFUNCTION("""COMPUTED_VALUE"""),3.0)</f>
        <v>3</v>
      </c>
      <c r="H244" s="121">
        <f>IFERROR(__xludf.DUMMYFUNCTION("""COMPUTED_VALUE"""),0.0)</f>
        <v>0</v>
      </c>
      <c r="I244" s="121">
        <f>IFERROR(__xludf.DUMMYFUNCTION("""COMPUTED_VALUE"""),0.0)</f>
        <v>0</v>
      </c>
      <c r="J244" s="121">
        <f>IFERROR(__xludf.DUMMYFUNCTION("""COMPUTED_VALUE"""),3.0)</f>
        <v>3</v>
      </c>
      <c r="K244" s="132" t="str">
        <f>IFERROR(__xludf.DUMMYFUNCTION("""COMPUTED_VALUE"""),"BT10978")</f>
        <v>BT10978</v>
      </c>
      <c r="L244" s="121" t="str">
        <f>IFERROR(__xludf.DUMMYFUNCTION("""COMPUTED_VALUE"""),"Mrs.SAKTHISHOBANA K")</f>
        <v>Mrs.SAKTHISHOBANA K</v>
      </c>
      <c r="M244" s="121" t="str">
        <f>IFERROR(__xludf.DUMMYFUNCTION("""COMPUTED_VALUE"""),"sakthishobanak@bitsathy.ac.in")</f>
        <v>sakthishobanak@bitsathy.ac.in</v>
      </c>
    </row>
    <row r="245" ht="49.5" customHeight="1">
      <c r="A245" s="121" t="str">
        <f>IFERROR(__xludf.DUMMYFUNCTION("""COMPUTED_VALUE"""),"BT")</f>
        <v>BT</v>
      </c>
      <c r="B245" s="121" t="str">
        <f>IFERROR(__xludf.DUMMYFUNCTION("""COMPUTED_VALUE"""),"S4")</f>
        <v>S4</v>
      </c>
      <c r="C245" s="121" t="str">
        <f>IFERROR(__xludf.DUMMYFUNCTION("""COMPUTED_VALUE"""),"ELECTIVE 1")</f>
        <v>ELECTIVE 1</v>
      </c>
      <c r="D245" s="121" t="str">
        <f>IFERROR(__xludf.DUMMYFUNCTION("""COMPUTED_VALUE"""),"22BT003")</f>
        <v>22BT003</v>
      </c>
      <c r="E245" s="131" t="str">
        <f>IFERROR(__xludf.DUMMYFUNCTION("""COMPUTED_VALUE"""),"ENVIRONMENTAL BIOTECHNOLOGY")</f>
        <v>ENVIRONMENTAL BIOTECHNOLOGY</v>
      </c>
      <c r="F245" s="121" t="str">
        <f>IFERROR(__xludf.DUMMYFUNCTION("""COMPUTED_VALUE"""),"THEORY")</f>
        <v>THEORY</v>
      </c>
      <c r="G245" s="121">
        <f>IFERROR(__xludf.DUMMYFUNCTION("""COMPUTED_VALUE"""),3.0)</f>
        <v>3</v>
      </c>
      <c r="H245" s="121">
        <f>IFERROR(__xludf.DUMMYFUNCTION("""COMPUTED_VALUE"""),0.0)</f>
        <v>0</v>
      </c>
      <c r="I245" s="121">
        <f>IFERROR(__xludf.DUMMYFUNCTION("""COMPUTED_VALUE"""),0.0)</f>
        <v>0</v>
      </c>
      <c r="J245" s="121">
        <f>IFERROR(__xludf.DUMMYFUNCTION("""COMPUTED_VALUE"""),3.0)</f>
        <v>3</v>
      </c>
      <c r="K245" s="132" t="str">
        <f>IFERROR(__xludf.DUMMYFUNCTION("""COMPUTED_VALUE"""),"BT1849")</f>
        <v>BT1849</v>
      </c>
      <c r="L245" s="121" t="str">
        <f>IFERROR(__xludf.DUMMYFUNCTION("""COMPUTED_VALUE"""),"Dr.KIRUPA SANKAR M")</f>
        <v>Dr.KIRUPA SANKAR M</v>
      </c>
      <c r="M245" s="121" t="str">
        <f>IFERROR(__xludf.DUMMYFUNCTION("""COMPUTED_VALUE"""),"kirupasankarm@bitsathy.ac.in")</f>
        <v>kirupasankarm@bitsathy.ac.in</v>
      </c>
    </row>
    <row r="246" ht="49.5" customHeight="1">
      <c r="A246" s="121" t="str">
        <f>IFERROR(__xludf.DUMMYFUNCTION("""COMPUTED_VALUE"""),"BT")</f>
        <v>BT</v>
      </c>
      <c r="B246" s="121" t="str">
        <f>IFERROR(__xludf.DUMMYFUNCTION("""COMPUTED_VALUE"""),"S4")</f>
        <v>S4</v>
      </c>
      <c r="C246" s="121" t="str">
        <f>IFERROR(__xludf.DUMMYFUNCTION("""COMPUTED_VALUE"""),"ELECTIVE 1")</f>
        <v>ELECTIVE 1</v>
      </c>
      <c r="D246" s="121" t="str">
        <f>IFERROR(__xludf.DUMMYFUNCTION("""COMPUTED_VALUE"""),"22BT003")</f>
        <v>22BT003</v>
      </c>
      <c r="E246" s="131" t="str">
        <f>IFERROR(__xludf.DUMMYFUNCTION("""COMPUTED_VALUE"""),"ENVIRONMENTAL BIOTECHNOLOGY")</f>
        <v>ENVIRONMENTAL BIOTECHNOLOGY</v>
      </c>
      <c r="F246" s="121" t="str">
        <f>IFERROR(__xludf.DUMMYFUNCTION("""COMPUTED_VALUE"""),"THEORY")</f>
        <v>THEORY</v>
      </c>
      <c r="G246" s="121">
        <f>IFERROR(__xludf.DUMMYFUNCTION("""COMPUTED_VALUE"""),3.0)</f>
        <v>3</v>
      </c>
      <c r="H246" s="121">
        <f>IFERROR(__xludf.DUMMYFUNCTION("""COMPUTED_VALUE"""),0.0)</f>
        <v>0</v>
      </c>
      <c r="I246" s="121">
        <f>IFERROR(__xludf.DUMMYFUNCTION("""COMPUTED_VALUE"""),0.0)</f>
        <v>0</v>
      </c>
      <c r="J246" s="121">
        <f>IFERROR(__xludf.DUMMYFUNCTION("""COMPUTED_VALUE"""),3.0)</f>
        <v>3</v>
      </c>
      <c r="K246" s="132" t="str">
        <f>IFERROR(__xludf.DUMMYFUNCTION("""COMPUTED_VALUE"""),"BT10375")</f>
        <v>BT10375</v>
      </c>
      <c r="L246" s="121" t="str">
        <f>IFERROR(__xludf.DUMMYFUNCTION("""COMPUTED_VALUE"""),"Dr.ASHWIN  RAJ S")</f>
        <v>Dr.ASHWIN  RAJ S</v>
      </c>
      <c r="M246" s="121" t="str">
        <f>IFERROR(__xludf.DUMMYFUNCTION("""COMPUTED_VALUE"""),"ashwinraj@bitsathy.ac.in")</f>
        <v>ashwinraj@bitsathy.ac.in</v>
      </c>
    </row>
    <row r="247" ht="49.5" customHeight="1">
      <c r="A247" s="121" t="str">
        <f>IFERROR(__xludf.DUMMYFUNCTION("""COMPUTED_VALUE"""),"BT")</f>
        <v>BT</v>
      </c>
      <c r="B247" s="121" t="str">
        <f>IFERROR(__xludf.DUMMYFUNCTION("""COMPUTED_VALUE"""),"S4")</f>
        <v>S4</v>
      </c>
      <c r="C247" s="121" t="str">
        <f>IFERROR(__xludf.DUMMYFUNCTION("""COMPUTED_VALUE"""),"CORE")</f>
        <v>CORE</v>
      </c>
      <c r="D247" s="121" t="str">
        <f>IFERROR(__xludf.DUMMYFUNCTION("""COMPUTED_VALUE"""),"22HS007")</f>
        <v>22HS007</v>
      </c>
      <c r="E247" s="131" t="str">
        <f>IFERROR(__xludf.DUMMYFUNCTION("""COMPUTED_VALUE"""),"ENVIRONMENTAL SCIENCE")</f>
        <v>ENVIRONMENTAL SCIENCE</v>
      </c>
      <c r="F247" s="121" t="str">
        <f>IFERROR(__xludf.DUMMYFUNCTION("""COMPUTED_VALUE"""),"LAB")</f>
        <v>LAB</v>
      </c>
      <c r="G247" s="121">
        <f>IFERROR(__xludf.DUMMYFUNCTION("""COMPUTED_VALUE"""),2.0)</f>
        <v>2</v>
      </c>
      <c r="H247" s="121">
        <f>IFERROR(__xludf.DUMMYFUNCTION("""COMPUTED_VALUE"""),0.0)</f>
        <v>0</v>
      </c>
      <c r="I247" s="121">
        <f>IFERROR(__xludf.DUMMYFUNCTION("""COMPUTED_VALUE"""),0.0)</f>
        <v>0</v>
      </c>
      <c r="J247" s="121">
        <f>IFERROR(__xludf.DUMMYFUNCTION("""COMPUTED_VALUE"""),2.0)</f>
        <v>2</v>
      </c>
      <c r="K247" s="132" t="str">
        <f>IFERROR(__xludf.DUMMYFUNCTION("""COMPUTED_VALUE"""),"CH1493")</f>
        <v>CH1493</v>
      </c>
      <c r="L247" s="121" t="str">
        <f>IFERROR(__xludf.DUMMYFUNCTION("""COMPUTED_VALUE"""),"Dr.SUBHAPRIYA P")</f>
        <v>Dr.SUBHAPRIYA P</v>
      </c>
      <c r="M247" s="121" t="str">
        <f>IFERROR(__xludf.DUMMYFUNCTION("""COMPUTED_VALUE"""),"subhapriyap@bitsathy.ac.in")</f>
        <v>subhapriyap@bitsathy.ac.in</v>
      </c>
    </row>
    <row r="248" ht="49.5" customHeight="1">
      <c r="A248" s="121" t="str">
        <f>IFERROR(__xludf.DUMMYFUNCTION("""COMPUTED_VALUE"""),"BT")</f>
        <v>BT</v>
      </c>
      <c r="B248" s="121" t="str">
        <f>IFERROR(__xludf.DUMMYFUNCTION("""COMPUTED_VALUE"""),"S4")</f>
        <v>S4</v>
      </c>
      <c r="C248" s="121" t="str">
        <f>IFERROR(__xludf.DUMMYFUNCTION("""COMPUTED_VALUE"""),"CORE")</f>
        <v>CORE</v>
      </c>
      <c r="D248" s="121" t="str">
        <f>IFERROR(__xludf.DUMMYFUNCTION("""COMPUTED_VALUE"""),"22HS007")</f>
        <v>22HS007</v>
      </c>
      <c r="E248" s="131" t="str">
        <f>IFERROR(__xludf.DUMMYFUNCTION("""COMPUTED_VALUE"""),"ENVIRONMENTAL SCIENCE")</f>
        <v>ENVIRONMENTAL SCIENCE</v>
      </c>
      <c r="F248" s="121" t="str">
        <f>IFERROR(__xludf.DUMMYFUNCTION("""COMPUTED_VALUE"""),"LAB")</f>
        <v>LAB</v>
      </c>
      <c r="G248" s="121">
        <f>IFERROR(__xludf.DUMMYFUNCTION("""COMPUTED_VALUE"""),2.0)</f>
        <v>2</v>
      </c>
      <c r="H248" s="121">
        <f>IFERROR(__xludf.DUMMYFUNCTION("""COMPUTED_VALUE"""),0.0)</f>
        <v>0</v>
      </c>
      <c r="I248" s="121">
        <f>IFERROR(__xludf.DUMMYFUNCTION("""COMPUTED_VALUE"""),0.0)</f>
        <v>0</v>
      </c>
      <c r="J248" s="121">
        <f>IFERROR(__xludf.DUMMYFUNCTION("""COMPUTED_VALUE"""),2.0)</f>
        <v>2</v>
      </c>
      <c r="K248" s="132" t="str">
        <f>IFERROR(__xludf.DUMMYFUNCTION("""COMPUTED_VALUE"""),"CH10372")</f>
        <v>CH10372</v>
      </c>
      <c r="L248" s="121" t="str">
        <f>IFERROR(__xludf.DUMMYFUNCTION("""COMPUTED_VALUE"""),"Dr.RAMESHKUMAR A")</f>
        <v>Dr.RAMESHKUMAR A</v>
      </c>
      <c r="M248" s="121" t="str">
        <f>IFERROR(__xludf.DUMMYFUNCTION("""COMPUTED_VALUE"""),"rameshkumar@bitsathy.ac.in")</f>
        <v>rameshkumar@bitsathy.ac.in</v>
      </c>
    </row>
    <row r="249" ht="49.5" customHeight="1">
      <c r="A249" s="121" t="str">
        <f>IFERROR(__xludf.DUMMYFUNCTION("""COMPUTED_VALUE"""),"BT")</f>
        <v>BT</v>
      </c>
      <c r="B249" s="121" t="str">
        <f>IFERROR(__xludf.DUMMYFUNCTION("""COMPUTED_VALUE"""),"S4")</f>
        <v>S4</v>
      </c>
      <c r="C249" s="121" t="str">
        <f>IFERROR(__xludf.DUMMYFUNCTION("""COMPUTED_VALUE"""),"CORE")</f>
        <v>CORE</v>
      </c>
      <c r="D249" s="121" t="str">
        <f>IFERROR(__xludf.DUMMYFUNCTION("""COMPUTED_VALUE"""),"22HS008")</f>
        <v>22HS008</v>
      </c>
      <c r="E249" s="131" t="str">
        <f>IFERROR(__xludf.DUMMYFUNCTION("""COMPUTED_VALUE"""),"ADVANCED ENGLISH AND TECHNICAL EXPRESSION ")</f>
        <v>ADVANCED ENGLISH AND TECHNICAL EXPRESSION </v>
      </c>
      <c r="F249" s="121" t="str">
        <f>IFERROR(__xludf.DUMMYFUNCTION("""COMPUTED_VALUE"""),"LAB")</f>
        <v>LAB</v>
      </c>
      <c r="G249" s="121">
        <f>IFERROR(__xludf.DUMMYFUNCTION("""COMPUTED_VALUE"""),0.0)</f>
        <v>0</v>
      </c>
      <c r="H249" s="121">
        <f>IFERROR(__xludf.DUMMYFUNCTION("""COMPUTED_VALUE"""),0.0)</f>
        <v>0</v>
      </c>
      <c r="I249" s="121">
        <f>IFERROR(__xludf.DUMMYFUNCTION("""COMPUTED_VALUE"""),2.0)</f>
        <v>2</v>
      </c>
      <c r="J249" s="121">
        <f>IFERROR(__xludf.DUMMYFUNCTION("""COMPUTED_VALUE"""),1.0)</f>
        <v>1</v>
      </c>
      <c r="K249" s="132" t="str">
        <f>IFERROR(__xludf.DUMMYFUNCTION("""COMPUTED_VALUE"""),"HU11139")</f>
        <v>HU11139</v>
      </c>
      <c r="L249" s="121" t="str">
        <f>IFERROR(__xludf.DUMMYFUNCTION("""COMPUTED_VALUE"""),"Dr.ASLIN JERUSHA D")</f>
        <v>Dr.ASLIN JERUSHA D</v>
      </c>
      <c r="M249" s="121" t="str">
        <f>IFERROR(__xludf.DUMMYFUNCTION("""COMPUTED_VALUE"""),"aslinjerusha@bitsathy.ac.in")</f>
        <v>aslinjerusha@bitsathy.ac.in</v>
      </c>
    </row>
    <row r="250" ht="49.5" customHeight="1">
      <c r="A250" s="121" t="str">
        <f>IFERROR(__xludf.DUMMYFUNCTION("""COMPUTED_VALUE"""),"BT")</f>
        <v>BT</v>
      </c>
      <c r="B250" s="121" t="str">
        <f>IFERROR(__xludf.DUMMYFUNCTION("""COMPUTED_VALUE"""),"S4")</f>
        <v>S4</v>
      </c>
      <c r="C250" s="121" t="str">
        <f>IFERROR(__xludf.DUMMYFUNCTION("""COMPUTED_VALUE"""),"CORE")</f>
        <v>CORE</v>
      </c>
      <c r="D250" s="121" t="str">
        <f>IFERROR(__xludf.DUMMYFUNCTION("""COMPUTED_VALUE"""),"22HS008")</f>
        <v>22HS008</v>
      </c>
      <c r="E250" s="131" t="str">
        <f>IFERROR(__xludf.DUMMYFUNCTION("""COMPUTED_VALUE"""),"ADVANCED ENGLISH AND TECHNICAL EXPRESSION ")</f>
        <v>ADVANCED ENGLISH AND TECHNICAL EXPRESSION </v>
      </c>
      <c r="F250" s="121" t="str">
        <f>IFERROR(__xludf.DUMMYFUNCTION("""COMPUTED_VALUE"""),"LAB")</f>
        <v>LAB</v>
      </c>
      <c r="G250" s="121">
        <f>IFERROR(__xludf.DUMMYFUNCTION("""COMPUTED_VALUE"""),0.0)</f>
        <v>0</v>
      </c>
      <c r="H250" s="121">
        <f>IFERROR(__xludf.DUMMYFUNCTION("""COMPUTED_VALUE"""),0.0)</f>
        <v>0</v>
      </c>
      <c r="I250" s="121">
        <f>IFERROR(__xludf.DUMMYFUNCTION("""COMPUTED_VALUE"""),2.0)</f>
        <v>2</v>
      </c>
      <c r="J250" s="121">
        <f>IFERROR(__xludf.DUMMYFUNCTION("""COMPUTED_VALUE"""),1.0)</f>
        <v>1</v>
      </c>
      <c r="K250" s="132" t="str">
        <f>IFERROR(__xludf.DUMMYFUNCTION("""COMPUTED_VALUE"""),"HU11151")</f>
        <v>HU11151</v>
      </c>
      <c r="L250" s="121" t="str">
        <f>IFERROR(__xludf.DUMMYFUNCTION("""COMPUTED_VALUE"""),"Dr.NITHYA S")</f>
        <v>Dr.NITHYA S</v>
      </c>
      <c r="M250" s="121" t="str">
        <f>IFERROR(__xludf.DUMMYFUNCTION("""COMPUTED_VALUE"""),"nithyas@bitsathy.ac.in")</f>
        <v>nithyas@bitsathy.ac.in</v>
      </c>
    </row>
    <row r="251" ht="49.5" customHeight="1">
      <c r="A251" s="121" t="str">
        <f>IFERROR(__xludf.DUMMYFUNCTION("""COMPUTED_VALUE"""),"BT")</f>
        <v>BT</v>
      </c>
      <c r="B251" s="121" t="str">
        <f>IFERROR(__xludf.DUMMYFUNCTION("""COMPUTED_VALUE"""),"S6")</f>
        <v>S6</v>
      </c>
      <c r="C251" s="121" t="str">
        <f>IFERROR(__xludf.DUMMYFUNCTION("""COMPUTED_VALUE"""),"CORE")</f>
        <v>CORE</v>
      </c>
      <c r="D251" s="121" t="str">
        <f>IFERROR(__xludf.DUMMYFUNCTION("""COMPUTED_VALUE"""),"22BT601")</f>
        <v>22BT601</v>
      </c>
      <c r="E251" s="131" t="str">
        <f>IFERROR(__xludf.DUMMYFUNCTION("""COMPUTED_VALUE"""),"DOWNSTREAM PROCESSING")</f>
        <v>DOWNSTREAM PROCESSING</v>
      </c>
      <c r="F251" s="121" t="str">
        <f>IFERROR(__xludf.DUMMYFUNCTION("""COMPUTED_VALUE"""),"THEORY WITH LAB")</f>
        <v>THEORY WITH LAB</v>
      </c>
      <c r="G251" s="121">
        <f>IFERROR(__xludf.DUMMYFUNCTION("""COMPUTED_VALUE"""),3.0)</f>
        <v>3</v>
      </c>
      <c r="H251" s="121">
        <f>IFERROR(__xludf.DUMMYFUNCTION("""COMPUTED_VALUE"""),0.0)</f>
        <v>0</v>
      </c>
      <c r="I251" s="121">
        <f>IFERROR(__xludf.DUMMYFUNCTION("""COMPUTED_VALUE"""),2.0)</f>
        <v>2</v>
      </c>
      <c r="J251" s="121">
        <f>IFERROR(__xludf.DUMMYFUNCTION("""COMPUTED_VALUE"""),4.0)</f>
        <v>4</v>
      </c>
      <c r="K251" s="132" t="str">
        <f>IFERROR(__xludf.DUMMYFUNCTION("""COMPUTED_VALUE"""),"BT10375")</f>
        <v>BT10375</v>
      </c>
      <c r="L251" s="121" t="str">
        <f>IFERROR(__xludf.DUMMYFUNCTION("""COMPUTED_VALUE"""),"Dr.ASHWIN  RAJ S")</f>
        <v>Dr.ASHWIN  RAJ S</v>
      </c>
      <c r="M251" s="121" t="str">
        <f>IFERROR(__xludf.DUMMYFUNCTION("""COMPUTED_VALUE"""),"ashwinraj@bitsathy.ac.in")</f>
        <v>ashwinraj@bitsathy.ac.in</v>
      </c>
    </row>
    <row r="252" ht="49.5" customHeight="1">
      <c r="A252" s="121" t="str">
        <f>IFERROR(__xludf.DUMMYFUNCTION("""COMPUTED_VALUE"""),"BT")</f>
        <v>BT</v>
      </c>
      <c r="B252" s="121" t="str">
        <f>IFERROR(__xludf.DUMMYFUNCTION("""COMPUTED_VALUE"""),"S6")</f>
        <v>S6</v>
      </c>
      <c r="C252" s="121" t="str">
        <f>IFERROR(__xludf.DUMMYFUNCTION("""COMPUTED_VALUE"""),"CORE")</f>
        <v>CORE</v>
      </c>
      <c r="D252" s="121" t="str">
        <f>IFERROR(__xludf.DUMMYFUNCTION("""COMPUTED_VALUE"""),"22BT601")</f>
        <v>22BT601</v>
      </c>
      <c r="E252" s="131" t="str">
        <f>IFERROR(__xludf.DUMMYFUNCTION("""COMPUTED_VALUE"""),"DOWNSTREAM PROCESSING")</f>
        <v>DOWNSTREAM PROCESSING</v>
      </c>
      <c r="F252" s="121" t="str">
        <f>IFERROR(__xludf.DUMMYFUNCTION("""COMPUTED_VALUE"""),"THEORY WITH LAB")</f>
        <v>THEORY WITH LAB</v>
      </c>
      <c r="G252" s="121">
        <f>IFERROR(__xludf.DUMMYFUNCTION("""COMPUTED_VALUE"""),3.0)</f>
        <v>3</v>
      </c>
      <c r="H252" s="121">
        <f>IFERROR(__xludf.DUMMYFUNCTION("""COMPUTED_VALUE"""),0.0)</f>
        <v>0</v>
      </c>
      <c r="I252" s="121">
        <f>IFERROR(__xludf.DUMMYFUNCTION("""COMPUTED_VALUE"""),2.0)</f>
        <v>2</v>
      </c>
      <c r="J252" s="121">
        <f>IFERROR(__xludf.DUMMYFUNCTION("""COMPUTED_VALUE"""),4.0)</f>
        <v>4</v>
      </c>
      <c r="K252" s="132" t="str">
        <f>IFERROR(__xludf.DUMMYFUNCTION("""COMPUTED_VALUE"""),"BT10950")</f>
        <v>BT10950</v>
      </c>
      <c r="L252" s="121" t="str">
        <f>IFERROR(__xludf.DUMMYFUNCTION("""COMPUTED_VALUE"""),"Ms.DHIVYA DHARSHINI U")</f>
        <v>Ms.DHIVYA DHARSHINI U</v>
      </c>
      <c r="M252" s="133" t="str">
        <f>IFERROR(__xludf.DUMMYFUNCTION("""COMPUTED_VALUE"""),"dhivyadharshiniu@bitsathy.ac.in")</f>
        <v>dhivyadharshiniu@bitsathy.ac.in</v>
      </c>
    </row>
    <row r="253" ht="49.5" customHeight="1">
      <c r="A253" s="121" t="str">
        <f>IFERROR(__xludf.DUMMYFUNCTION("""COMPUTED_VALUE"""),"BT")</f>
        <v>BT</v>
      </c>
      <c r="B253" s="121" t="str">
        <f>IFERROR(__xludf.DUMMYFUNCTION("""COMPUTED_VALUE"""),"S6")</f>
        <v>S6</v>
      </c>
      <c r="C253" s="121" t="str">
        <f>IFERROR(__xludf.DUMMYFUNCTION("""COMPUTED_VALUE"""),"CORE")</f>
        <v>CORE</v>
      </c>
      <c r="D253" s="121" t="str">
        <f>IFERROR(__xludf.DUMMYFUNCTION("""COMPUTED_VALUE"""),"22BT602")</f>
        <v>22BT602</v>
      </c>
      <c r="E253" s="131" t="str">
        <f>IFERROR(__xludf.DUMMYFUNCTION("""COMPUTED_VALUE"""),"IMMUNOLOGY")</f>
        <v>IMMUNOLOGY</v>
      </c>
      <c r="F253" s="121" t="str">
        <f>IFERROR(__xludf.DUMMYFUNCTION("""COMPUTED_VALUE"""),"THEORY WITH LAB")</f>
        <v>THEORY WITH LAB</v>
      </c>
      <c r="G253" s="121">
        <f>IFERROR(__xludf.DUMMYFUNCTION("""COMPUTED_VALUE"""),3.0)</f>
        <v>3</v>
      </c>
      <c r="H253" s="121">
        <f>IFERROR(__xludf.DUMMYFUNCTION("""COMPUTED_VALUE"""),0.0)</f>
        <v>0</v>
      </c>
      <c r="I253" s="121">
        <f>IFERROR(__xludf.DUMMYFUNCTION("""COMPUTED_VALUE"""),2.0)</f>
        <v>2</v>
      </c>
      <c r="J253" s="121">
        <f>IFERROR(__xludf.DUMMYFUNCTION("""COMPUTED_VALUE"""),4.0)</f>
        <v>4</v>
      </c>
      <c r="K253" s="132" t="str">
        <f>IFERROR(__xludf.DUMMYFUNCTION("""COMPUTED_VALUE"""),"BT10782")</f>
        <v>BT10782</v>
      </c>
      <c r="L253" s="121" t="str">
        <f>IFERROR(__xludf.DUMMYFUNCTION("""COMPUTED_VALUE"""),"Mr.JEYAVEL KARTHICK P")</f>
        <v>Mr.JEYAVEL KARTHICK P</v>
      </c>
      <c r="M253" s="121" t="str">
        <f>IFERROR(__xludf.DUMMYFUNCTION("""COMPUTED_VALUE"""),"jeyavelkarthick@bitsathy.ac.in")</f>
        <v>jeyavelkarthick@bitsathy.ac.in</v>
      </c>
    </row>
    <row r="254" ht="49.5" customHeight="1">
      <c r="A254" s="121" t="str">
        <f>IFERROR(__xludf.DUMMYFUNCTION("""COMPUTED_VALUE"""),"BT")</f>
        <v>BT</v>
      </c>
      <c r="B254" s="121" t="str">
        <f>IFERROR(__xludf.DUMMYFUNCTION("""COMPUTED_VALUE"""),"S6")</f>
        <v>S6</v>
      </c>
      <c r="C254" s="121" t="str">
        <f>IFERROR(__xludf.DUMMYFUNCTION("""COMPUTED_VALUE"""),"CORE")</f>
        <v>CORE</v>
      </c>
      <c r="D254" s="121" t="str">
        <f>IFERROR(__xludf.DUMMYFUNCTION("""COMPUTED_VALUE"""),"22BT602")</f>
        <v>22BT602</v>
      </c>
      <c r="E254" s="131" t="str">
        <f>IFERROR(__xludf.DUMMYFUNCTION("""COMPUTED_VALUE"""),"IMMUNOLOGY")</f>
        <v>IMMUNOLOGY</v>
      </c>
      <c r="F254" s="121" t="str">
        <f>IFERROR(__xludf.DUMMYFUNCTION("""COMPUTED_VALUE"""),"THEORY")</f>
        <v>THEORY</v>
      </c>
      <c r="G254" s="121">
        <f>IFERROR(__xludf.DUMMYFUNCTION("""COMPUTED_VALUE"""),3.0)</f>
        <v>3</v>
      </c>
      <c r="H254" s="121">
        <f>IFERROR(__xludf.DUMMYFUNCTION("""COMPUTED_VALUE"""),0.0)</f>
        <v>0</v>
      </c>
      <c r="I254" s="121">
        <f>IFERROR(__xludf.DUMMYFUNCTION("""COMPUTED_VALUE"""),2.0)</f>
        <v>2</v>
      </c>
      <c r="J254" s="121">
        <f>IFERROR(__xludf.DUMMYFUNCTION("""COMPUTED_VALUE"""),4.0)</f>
        <v>4</v>
      </c>
      <c r="K254" s="132" t="str">
        <f>IFERROR(__xludf.DUMMYFUNCTION("""COMPUTED_VALUE"""),"BT10991")</f>
        <v>BT10991</v>
      </c>
      <c r="L254" s="121" t="str">
        <f>IFERROR(__xludf.DUMMYFUNCTION("""COMPUTED_VALUE"""),"Mr.BALAJI S")</f>
        <v>Mr.BALAJI S</v>
      </c>
      <c r="M254" s="121" t="str">
        <f>IFERROR(__xludf.DUMMYFUNCTION("""COMPUTED_VALUE"""),"balajisadhasivam@bitsathy.ac.in")</f>
        <v>balajisadhasivam@bitsathy.ac.in</v>
      </c>
    </row>
    <row r="255" ht="49.5" customHeight="1">
      <c r="A255" s="121" t="str">
        <f>IFERROR(__xludf.DUMMYFUNCTION("""COMPUTED_VALUE"""),"BT")</f>
        <v>BT</v>
      </c>
      <c r="B255" s="121" t="str">
        <f>IFERROR(__xludf.DUMMYFUNCTION("""COMPUTED_VALUE"""),"S6")</f>
        <v>S6</v>
      </c>
      <c r="C255" s="121" t="str">
        <f>IFERROR(__xludf.DUMMYFUNCTION("""COMPUTED_VALUE"""),"CORE")</f>
        <v>CORE</v>
      </c>
      <c r="D255" s="121" t="str">
        <f>IFERROR(__xludf.DUMMYFUNCTION("""COMPUTED_VALUE"""),"22BT602")</f>
        <v>22BT602</v>
      </c>
      <c r="E255" s="131" t="str">
        <f>IFERROR(__xludf.DUMMYFUNCTION("""COMPUTED_VALUE"""),"IMMUNOLOGY")</f>
        <v>IMMUNOLOGY</v>
      </c>
      <c r="F255" s="121" t="str">
        <f>IFERROR(__xludf.DUMMYFUNCTION("""COMPUTED_VALUE"""),"LAB")</f>
        <v>LAB</v>
      </c>
      <c r="G255" s="121">
        <f>IFERROR(__xludf.DUMMYFUNCTION("""COMPUTED_VALUE"""),3.0)</f>
        <v>3</v>
      </c>
      <c r="H255" s="121">
        <f>IFERROR(__xludf.DUMMYFUNCTION("""COMPUTED_VALUE"""),0.0)</f>
        <v>0</v>
      </c>
      <c r="I255" s="121">
        <f>IFERROR(__xludf.DUMMYFUNCTION("""COMPUTED_VALUE"""),2.0)</f>
        <v>2</v>
      </c>
      <c r="J255" s="121">
        <f>IFERROR(__xludf.DUMMYFUNCTION("""COMPUTED_VALUE"""),4.0)</f>
        <v>4</v>
      </c>
      <c r="K255" s="132" t="str">
        <f>IFERROR(__xludf.DUMMYFUNCTION("""COMPUTED_VALUE"""),"BT1849")</f>
        <v>BT1849</v>
      </c>
      <c r="L255" s="121" t="str">
        <f>IFERROR(__xludf.DUMMYFUNCTION("""COMPUTED_VALUE"""),"Dr.KIRUPA SANKAR M")</f>
        <v>Dr.KIRUPA SANKAR M</v>
      </c>
      <c r="M255" s="121" t="str">
        <f>IFERROR(__xludf.DUMMYFUNCTION("""COMPUTED_VALUE"""),"kirupasankarm@bitsathy.ac.in")</f>
        <v>kirupasankarm@bitsathy.ac.in</v>
      </c>
    </row>
    <row r="256" ht="49.5" customHeight="1">
      <c r="A256" s="121" t="str">
        <f>IFERROR(__xludf.DUMMYFUNCTION("""COMPUTED_VALUE"""),"BT")</f>
        <v>BT</v>
      </c>
      <c r="B256" s="121" t="str">
        <f>IFERROR(__xludf.DUMMYFUNCTION("""COMPUTED_VALUE"""),"S6")</f>
        <v>S6</v>
      </c>
      <c r="C256" s="121" t="str">
        <f>IFERROR(__xludf.DUMMYFUNCTION("""COMPUTED_VALUE"""),"CORE")</f>
        <v>CORE</v>
      </c>
      <c r="D256" s="121" t="str">
        <f>IFERROR(__xludf.DUMMYFUNCTION("""COMPUTED_VALUE"""),"22BT603")</f>
        <v>22BT603</v>
      </c>
      <c r="E256" s="131" t="str">
        <f>IFERROR(__xludf.DUMMYFUNCTION("""COMPUTED_VALUE"""),"ENZYME AND PROTEIN ENGINEERING")</f>
        <v>ENZYME AND PROTEIN ENGINEERING</v>
      </c>
      <c r="F256" s="121" t="str">
        <f>IFERROR(__xludf.DUMMYFUNCTION("""COMPUTED_VALUE"""),"THEORY WITH LAB")</f>
        <v>THEORY WITH LAB</v>
      </c>
      <c r="G256" s="121">
        <f>IFERROR(__xludf.DUMMYFUNCTION("""COMPUTED_VALUE"""),3.0)</f>
        <v>3</v>
      </c>
      <c r="H256" s="121">
        <f>IFERROR(__xludf.DUMMYFUNCTION("""COMPUTED_VALUE"""),0.0)</f>
        <v>0</v>
      </c>
      <c r="I256" s="121">
        <f>IFERROR(__xludf.DUMMYFUNCTION("""COMPUTED_VALUE"""),2.0)</f>
        <v>2</v>
      </c>
      <c r="J256" s="121">
        <f>IFERROR(__xludf.DUMMYFUNCTION("""COMPUTED_VALUE"""),4.0)</f>
        <v>4</v>
      </c>
      <c r="K256" s="132" t="str">
        <f>IFERROR(__xludf.DUMMYFUNCTION("""COMPUTED_VALUE"""),"BT11134")</f>
        <v>BT11134</v>
      </c>
      <c r="L256" s="121" t="str">
        <f>IFERROR(__xludf.DUMMYFUNCTION("""COMPUTED_VALUE"""),"Dr.SARANYA S")</f>
        <v>Dr.SARANYA S</v>
      </c>
      <c r="M256" s="133" t="str">
        <f>IFERROR(__xludf.DUMMYFUNCTION("""COMPUTED_VALUE"""),"saranya@bitsathy.ac.in")</f>
        <v>saranya@bitsathy.ac.in</v>
      </c>
    </row>
    <row r="257" ht="49.5" customHeight="1">
      <c r="A257" s="121" t="str">
        <f>IFERROR(__xludf.DUMMYFUNCTION("""COMPUTED_VALUE"""),"BT")</f>
        <v>BT</v>
      </c>
      <c r="B257" s="121" t="str">
        <f>IFERROR(__xludf.DUMMYFUNCTION("""COMPUTED_VALUE"""),"S6")</f>
        <v>S6</v>
      </c>
      <c r="C257" s="121" t="str">
        <f>IFERROR(__xludf.DUMMYFUNCTION("""COMPUTED_VALUE"""),"CORE")</f>
        <v>CORE</v>
      </c>
      <c r="D257" s="121" t="str">
        <f>IFERROR(__xludf.DUMMYFUNCTION("""COMPUTED_VALUE"""),"22BT603")</f>
        <v>22BT603</v>
      </c>
      <c r="E257" s="131" t="str">
        <f>IFERROR(__xludf.DUMMYFUNCTION("""COMPUTED_VALUE"""),"ENZYME AND PROTEIN ENGINEERING")</f>
        <v>ENZYME AND PROTEIN ENGINEERING</v>
      </c>
      <c r="F257" s="121" t="str">
        <f>IFERROR(__xludf.DUMMYFUNCTION("""COMPUTED_VALUE"""),"THEORY WITH LAB")</f>
        <v>THEORY WITH LAB</v>
      </c>
      <c r="G257" s="121">
        <f>IFERROR(__xludf.DUMMYFUNCTION("""COMPUTED_VALUE"""),3.0)</f>
        <v>3</v>
      </c>
      <c r="H257" s="121">
        <f>IFERROR(__xludf.DUMMYFUNCTION("""COMPUTED_VALUE"""),0.0)</f>
        <v>0</v>
      </c>
      <c r="I257" s="121">
        <f>IFERROR(__xludf.DUMMYFUNCTION("""COMPUTED_VALUE"""),2.0)</f>
        <v>2</v>
      </c>
      <c r="J257" s="121">
        <f>IFERROR(__xludf.DUMMYFUNCTION("""COMPUTED_VALUE"""),4.0)</f>
        <v>4</v>
      </c>
      <c r="K257" s="132" t="str">
        <f>IFERROR(__xludf.DUMMYFUNCTION("""COMPUTED_VALUE"""),"BT10978")</f>
        <v>BT10978</v>
      </c>
      <c r="L257" s="121" t="str">
        <f>IFERROR(__xludf.DUMMYFUNCTION("""COMPUTED_VALUE"""),"Mrs.SAKTHISHOBANA K")</f>
        <v>Mrs.SAKTHISHOBANA K</v>
      </c>
      <c r="M257" s="121" t="str">
        <f>IFERROR(__xludf.DUMMYFUNCTION("""COMPUTED_VALUE"""),"sakthishobanak@bitsathy.ac.in")</f>
        <v>sakthishobanak@bitsathy.ac.in</v>
      </c>
    </row>
    <row r="258" ht="49.5" customHeight="1">
      <c r="A258" s="121" t="str">
        <f>IFERROR(__xludf.DUMMYFUNCTION("""COMPUTED_VALUE"""),"BT")</f>
        <v>BT</v>
      </c>
      <c r="B258" s="121" t="str">
        <f>IFERROR(__xludf.DUMMYFUNCTION("""COMPUTED_VALUE"""),"S6")</f>
        <v>S6</v>
      </c>
      <c r="C258" s="121" t="str">
        <f>IFERROR(__xludf.DUMMYFUNCTION("""COMPUTED_VALUE"""),"ELECTIVE 3")</f>
        <v>ELECTIVE 3</v>
      </c>
      <c r="D258" s="121" t="str">
        <f>IFERROR(__xludf.DUMMYFUNCTION("""COMPUTED_VALUE"""),"22BT036")</f>
        <v>22BT036</v>
      </c>
      <c r="E258" s="131" t="str">
        <f>IFERROR(__xludf.DUMMYFUNCTION("""COMPUTED_VALUE"""),"MOLECULAR THERAPEUTICS AND DIAGNOSTICS")</f>
        <v>MOLECULAR THERAPEUTICS AND DIAGNOSTICS</v>
      </c>
      <c r="F258" s="121" t="str">
        <f>IFERROR(__xludf.DUMMYFUNCTION("""COMPUTED_VALUE"""),"THEORY")</f>
        <v>THEORY</v>
      </c>
      <c r="G258" s="121">
        <f>IFERROR(__xludf.DUMMYFUNCTION("""COMPUTED_VALUE"""),3.0)</f>
        <v>3</v>
      </c>
      <c r="H258" s="121">
        <f>IFERROR(__xludf.DUMMYFUNCTION("""COMPUTED_VALUE"""),0.0)</f>
        <v>0</v>
      </c>
      <c r="I258" s="121">
        <f>IFERROR(__xludf.DUMMYFUNCTION("""COMPUTED_VALUE"""),0.0)</f>
        <v>0</v>
      </c>
      <c r="J258" s="121">
        <f>IFERROR(__xludf.DUMMYFUNCTION("""COMPUTED_VALUE"""),3.0)</f>
        <v>3</v>
      </c>
      <c r="K258" s="132" t="str">
        <f>IFERROR(__xludf.DUMMYFUNCTION("""COMPUTED_VALUE"""),"BT10988")</f>
        <v>BT10988</v>
      </c>
      <c r="L258" s="121" t="str">
        <f>IFERROR(__xludf.DUMMYFUNCTION("""COMPUTED_VALUE"""),"Dr.SANDHYARANI R")</f>
        <v>Dr.SANDHYARANI R</v>
      </c>
      <c r="M258" s="121" t="str">
        <f>IFERROR(__xludf.DUMMYFUNCTION("""COMPUTED_VALUE"""),"sandhyaranir@bitsathy.ac.in")</f>
        <v>sandhyaranir@bitsathy.ac.in</v>
      </c>
    </row>
    <row r="259" ht="49.5" customHeight="1">
      <c r="A259" s="121" t="str">
        <f>IFERROR(__xludf.DUMMYFUNCTION("""COMPUTED_VALUE"""),"BT")</f>
        <v>BT</v>
      </c>
      <c r="B259" s="121" t="str">
        <f>IFERROR(__xludf.DUMMYFUNCTION("""COMPUTED_VALUE"""),"S6")</f>
        <v>S6</v>
      </c>
      <c r="C259" s="121" t="str">
        <f>IFERROR(__xludf.DUMMYFUNCTION("""COMPUTED_VALUE"""),"ELECTIVE 3")</f>
        <v>ELECTIVE 3</v>
      </c>
      <c r="D259" s="121" t="str">
        <f>IFERROR(__xludf.DUMMYFUNCTION("""COMPUTED_VALUE"""),"22BT042")</f>
        <v>22BT042</v>
      </c>
      <c r="E259" s="131" t="str">
        <f>IFERROR(__xludf.DUMMYFUNCTION("""COMPUTED_VALUE"""),"CLINICAL TRIALS AND HEALTHCARE POLICIES IN BIOTECHNOLOGY ")</f>
        <v>CLINICAL TRIALS AND HEALTHCARE POLICIES IN BIOTECHNOLOGY </v>
      </c>
      <c r="F259" s="121" t="str">
        <f>IFERROR(__xludf.DUMMYFUNCTION("""COMPUTED_VALUE"""),"THEORY")</f>
        <v>THEORY</v>
      </c>
      <c r="G259" s="121">
        <f>IFERROR(__xludf.DUMMYFUNCTION("""COMPUTED_VALUE"""),3.0)</f>
        <v>3</v>
      </c>
      <c r="H259" s="121">
        <f>IFERROR(__xludf.DUMMYFUNCTION("""COMPUTED_VALUE"""),0.0)</f>
        <v>0</v>
      </c>
      <c r="I259" s="121">
        <f>IFERROR(__xludf.DUMMYFUNCTION("""COMPUTED_VALUE"""),0.0)</f>
        <v>0</v>
      </c>
      <c r="J259" s="121">
        <f>IFERROR(__xludf.DUMMYFUNCTION("""COMPUTED_VALUE"""),3.0)</f>
        <v>3</v>
      </c>
      <c r="K259" s="132" t="str">
        <f>IFERROR(__xludf.DUMMYFUNCTION("""COMPUTED_VALUE"""),"BT11050")</f>
        <v>BT11050</v>
      </c>
      <c r="L259" s="121" t="str">
        <f>IFERROR(__xludf.DUMMYFUNCTION("""COMPUTED_VALUE"""),"Mrs.VINODHINI R T")</f>
        <v>Mrs.VINODHINI R T</v>
      </c>
      <c r="M259" s="121" t="str">
        <f>IFERROR(__xludf.DUMMYFUNCTION("""COMPUTED_VALUE"""),"vinodhinirt@bitsathy.ac.in")</f>
        <v>vinodhinirt@bitsathy.ac.in</v>
      </c>
    </row>
    <row r="260" ht="49.5" customHeight="1">
      <c r="A260" s="121" t="str">
        <f>IFERROR(__xludf.DUMMYFUNCTION("""COMPUTED_VALUE"""),"BT")</f>
        <v>BT</v>
      </c>
      <c r="B260" s="121" t="str">
        <f>IFERROR(__xludf.DUMMYFUNCTION("""COMPUTED_VALUE"""),"S6")</f>
        <v>S6</v>
      </c>
      <c r="C260" s="121" t="str">
        <f>IFERROR(__xludf.DUMMYFUNCTION("""COMPUTED_VALUE"""),"ELECTIVE 3")</f>
        <v>ELECTIVE 3</v>
      </c>
      <c r="D260" s="121" t="str">
        <f>IFERROR(__xludf.DUMMYFUNCTION("""COMPUTED_VALUE"""),"22BT042")</f>
        <v>22BT042</v>
      </c>
      <c r="E260" s="131" t="str">
        <f>IFERROR(__xludf.DUMMYFUNCTION("""COMPUTED_VALUE"""),"CLINICAL TRIALS AND HEALTHCARE POLICIES IN BIOTECHNOLOGY ")</f>
        <v>CLINICAL TRIALS AND HEALTHCARE POLICIES IN BIOTECHNOLOGY </v>
      </c>
      <c r="F260" s="121" t="str">
        <f>IFERROR(__xludf.DUMMYFUNCTION("""COMPUTED_VALUE"""),"THEORY")</f>
        <v>THEORY</v>
      </c>
      <c r="G260" s="121">
        <f>IFERROR(__xludf.DUMMYFUNCTION("""COMPUTED_VALUE"""),3.0)</f>
        <v>3</v>
      </c>
      <c r="H260" s="121">
        <f>IFERROR(__xludf.DUMMYFUNCTION("""COMPUTED_VALUE"""),0.0)</f>
        <v>0</v>
      </c>
      <c r="I260" s="121">
        <f>IFERROR(__xludf.DUMMYFUNCTION("""COMPUTED_VALUE"""),0.0)</f>
        <v>0</v>
      </c>
      <c r="J260" s="121">
        <f>IFERROR(__xludf.DUMMYFUNCTION("""COMPUTED_VALUE"""),3.0)</f>
        <v>3</v>
      </c>
      <c r="K260" s="132" t="str">
        <f>IFERROR(__xludf.DUMMYFUNCTION("""COMPUTED_VALUE"""),"BT11035")</f>
        <v>BT11035</v>
      </c>
      <c r="L260" s="121" t="str">
        <f>IFERROR(__xludf.DUMMYFUNCTION("""COMPUTED_VALUE"""),"Ms.NANDHINI N")</f>
        <v>Ms.NANDHINI N</v>
      </c>
      <c r="M260" s="121" t="str">
        <f>IFERROR(__xludf.DUMMYFUNCTION("""COMPUTED_VALUE"""),"nandhinin@bitsathy.ac.in")</f>
        <v>nandhinin@bitsathy.ac.in</v>
      </c>
    </row>
    <row r="261" ht="49.5" customHeight="1">
      <c r="A261" s="121" t="str">
        <f>IFERROR(__xludf.DUMMYFUNCTION("""COMPUTED_VALUE"""),"BT")</f>
        <v>BT</v>
      </c>
      <c r="B261" s="121" t="str">
        <f>IFERROR(__xludf.DUMMYFUNCTION("""COMPUTED_VALUE"""),"S6")</f>
        <v>S6</v>
      </c>
      <c r="C261" s="121" t="str">
        <f>IFERROR(__xludf.DUMMYFUNCTION("""COMPUTED_VALUE"""),"ELECTIVE 4")</f>
        <v>ELECTIVE 4</v>
      </c>
      <c r="D261" s="121" t="str">
        <f>IFERROR(__xludf.DUMMYFUNCTION("""COMPUTED_VALUE"""),"22BT046")</f>
        <v>22BT046</v>
      </c>
      <c r="E261" s="131" t="str">
        <f>IFERROR(__xludf.DUMMYFUNCTION("""COMPUTED_VALUE"""),"BIOSAFETY AND HAZARD MANAGEMENT")</f>
        <v>BIOSAFETY AND HAZARD MANAGEMENT</v>
      </c>
      <c r="F261" s="121" t="str">
        <f>IFERROR(__xludf.DUMMYFUNCTION("""COMPUTED_VALUE"""),"THEORY")</f>
        <v>THEORY</v>
      </c>
      <c r="G261" s="121">
        <f>IFERROR(__xludf.DUMMYFUNCTION("""COMPUTED_VALUE"""),3.0)</f>
        <v>3</v>
      </c>
      <c r="H261" s="121">
        <f>IFERROR(__xludf.DUMMYFUNCTION("""COMPUTED_VALUE"""),0.0)</f>
        <v>0</v>
      </c>
      <c r="I261" s="121">
        <f>IFERROR(__xludf.DUMMYFUNCTION("""COMPUTED_VALUE"""),0.0)</f>
        <v>0</v>
      </c>
      <c r="J261" s="121">
        <f>IFERROR(__xludf.DUMMYFUNCTION("""COMPUTED_VALUE"""),3.0)</f>
        <v>3</v>
      </c>
      <c r="K261" s="132" t="str">
        <f>IFERROR(__xludf.DUMMYFUNCTION("""COMPUTED_VALUE"""),"BT10950")</f>
        <v>BT10950</v>
      </c>
      <c r="L261" s="121" t="str">
        <f>IFERROR(__xludf.DUMMYFUNCTION("""COMPUTED_VALUE"""),"Ms.DHIVYA DHARSHINI U")</f>
        <v>Ms.DHIVYA DHARSHINI U</v>
      </c>
      <c r="M261" s="121" t="str">
        <f>IFERROR(__xludf.DUMMYFUNCTION("""COMPUTED_VALUE"""),"dhivyadharshiniu@bitsathy.ac.in")</f>
        <v>dhivyadharshiniu@bitsathy.ac.in</v>
      </c>
    </row>
    <row r="262" ht="49.5" customHeight="1">
      <c r="A262" s="121" t="str">
        <f>IFERROR(__xludf.DUMMYFUNCTION("""COMPUTED_VALUE"""),"BT")</f>
        <v>BT</v>
      </c>
      <c r="B262" s="121" t="str">
        <f>IFERROR(__xludf.DUMMYFUNCTION("""COMPUTED_VALUE"""),"S6")</f>
        <v>S6</v>
      </c>
      <c r="C262" s="121" t="str">
        <f>IFERROR(__xludf.DUMMYFUNCTION("""COMPUTED_VALUE"""),"ELECTIVE 4")</f>
        <v>ELECTIVE 4</v>
      </c>
      <c r="D262" s="121" t="str">
        <f>IFERROR(__xludf.DUMMYFUNCTION("""COMPUTED_VALUE"""),"22BT046")</f>
        <v>22BT046</v>
      </c>
      <c r="E262" s="131" t="str">
        <f>IFERROR(__xludf.DUMMYFUNCTION("""COMPUTED_VALUE"""),"BIOSAFETY AND HAZARD MANAGEMENT")</f>
        <v>BIOSAFETY AND HAZARD MANAGEMENT</v>
      </c>
      <c r="F262" s="121" t="str">
        <f>IFERROR(__xludf.DUMMYFUNCTION("""COMPUTED_VALUE"""),"THEORY")</f>
        <v>THEORY</v>
      </c>
      <c r="G262" s="121">
        <f>IFERROR(__xludf.DUMMYFUNCTION("""COMPUTED_VALUE"""),3.0)</f>
        <v>3</v>
      </c>
      <c r="H262" s="121">
        <f>IFERROR(__xludf.DUMMYFUNCTION("""COMPUTED_VALUE"""),0.0)</f>
        <v>0</v>
      </c>
      <c r="I262" s="121">
        <f>IFERROR(__xludf.DUMMYFUNCTION("""COMPUTED_VALUE"""),0.0)</f>
        <v>0</v>
      </c>
      <c r="J262" s="121">
        <f>IFERROR(__xludf.DUMMYFUNCTION("""COMPUTED_VALUE"""),3.0)</f>
        <v>3</v>
      </c>
      <c r="K262" s="132" t="str">
        <f>IFERROR(__xludf.DUMMYFUNCTION("""COMPUTED_VALUE"""),"BT10733")</f>
        <v>BT10733</v>
      </c>
      <c r="L262" s="121" t="str">
        <f>IFERROR(__xludf.DUMMYFUNCTION("""COMPUTED_VALUE"""),"Ms.SWATHI G")</f>
        <v>Ms.SWATHI G</v>
      </c>
      <c r="M262" s="121" t="str">
        <f>IFERROR(__xludf.DUMMYFUNCTION("""COMPUTED_VALUE"""),"swathi@bitsathy.ac.in")</f>
        <v>swathi@bitsathy.ac.in</v>
      </c>
    </row>
    <row r="263" ht="49.5" customHeight="1">
      <c r="A263" s="121" t="str">
        <f>IFERROR(__xludf.DUMMYFUNCTION("""COMPUTED_VALUE"""),"BT")</f>
        <v>BT</v>
      </c>
      <c r="B263" s="121" t="str">
        <f>IFERROR(__xludf.DUMMYFUNCTION("""COMPUTED_VALUE"""),"S6")</f>
        <v>S6</v>
      </c>
      <c r="C263" s="121" t="str">
        <f>IFERROR(__xludf.DUMMYFUNCTION("""COMPUTED_VALUE"""),"ELECTIVE 4")</f>
        <v>ELECTIVE 4</v>
      </c>
      <c r="D263" s="121" t="str">
        <f>IFERROR(__xludf.DUMMYFUNCTION("""COMPUTED_VALUE"""),"22BT004")</f>
        <v>22BT004</v>
      </c>
      <c r="E263" s="131" t="str">
        <f>IFERROR(__xludf.DUMMYFUNCTION("""COMPUTED_VALUE"""),"BIOENERGY AND BIOFUELS")</f>
        <v>BIOENERGY AND BIOFUELS</v>
      </c>
      <c r="F263" s="121" t="str">
        <f>IFERROR(__xludf.DUMMYFUNCTION("""COMPUTED_VALUE"""),"THEORY")</f>
        <v>THEORY</v>
      </c>
      <c r="G263" s="121">
        <f>IFERROR(__xludf.DUMMYFUNCTION("""COMPUTED_VALUE"""),3.0)</f>
        <v>3</v>
      </c>
      <c r="H263" s="121">
        <f>IFERROR(__xludf.DUMMYFUNCTION("""COMPUTED_VALUE"""),0.0)</f>
        <v>0</v>
      </c>
      <c r="I263" s="121">
        <f>IFERROR(__xludf.DUMMYFUNCTION("""COMPUTED_VALUE"""),0.0)</f>
        <v>0</v>
      </c>
      <c r="J263" s="121">
        <f>IFERROR(__xludf.DUMMYFUNCTION("""COMPUTED_VALUE"""),3.0)</f>
        <v>3</v>
      </c>
      <c r="K263" s="132" t="str">
        <f>IFERROR(__xludf.DUMMYFUNCTION("""COMPUTED_VALUE"""),"BT1849")</f>
        <v>BT1849</v>
      </c>
      <c r="L263" s="121" t="str">
        <f>IFERROR(__xludf.DUMMYFUNCTION("""COMPUTED_VALUE"""),"Dr.KIRUPA SANKAR M")</f>
        <v>Dr.KIRUPA SANKAR M</v>
      </c>
      <c r="M263" s="121" t="str">
        <f>IFERROR(__xludf.DUMMYFUNCTION("""COMPUTED_VALUE"""),"kirupasankarm@bitsathy.ac.in")</f>
        <v>kirupasankarm@bitsathy.ac.in</v>
      </c>
    </row>
    <row r="264" ht="49.5" customHeight="1">
      <c r="A264" s="121" t="str">
        <f>IFERROR(__xludf.DUMMYFUNCTION("""COMPUTED_VALUE"""),"BT")</f>
        <v>BT</v>
      </c>
      <c r="B264" s="121" t="str">
        <f>IFERROR(__xludf.DUMMYFUNCTION("""COMPUTED_VALUE"""),"S6")</f>
        <v>S6</v>
      </c>
      <c r="C264" s="121" t="str">
        <f>IFERROR(__xludf.DUMMYFUNCTION("""COMPUTED_VALUE"""),"ELECTIVE 5")</f>
        <v>ELECTIVE 5</v>
      </c>
      <c r="D264" s="121" t="str">
        <f>IFERROR(__xludf.DUMMYFUNCTION("""COMPUTED_VALUE"""),"22BT040")</f>
        <v>22BT040</v>
      </c>
      <c r="E264" s="131" t="str">
        <f>IFERROR(__xludf.DUMMYFUNCTION("""COMPUTED_VALUE"""),"VACCINE TECHNOLOGY")</f>
        <v>VACCINE TECHNOLOGY</v>
      </c>
      <c r="F264" s="121" t="str">
        <f>IFERROR(__xludf.DUMMYFUNCTION("""COMPUTED_VALUE"""),"THEORY")</f>
        <v>THEORY</v>
      </c>
      <c r="G264" s="121">
        <f>IFERROR(__xludf.DUMMYFUNCTION("""COMPUTED_VALUE"""),3.0)</f>
        <v>3</v>
      </c>
      <c r="H264" s="121">
        <f>IFERROR(__xludf.DUMMYFUNCTION("""COMPUTED_VALUE"""),0.0)</f>
        <v>0</v>
      </c>
      <c r="I264" s="121">
        <f>IFERROR(__xludf.DUMMYFUNCTION("""COMPUTED_VALUE"""),0.0)</f>
        <v>0</v>
      </c>
      <c r="J264" s="121">
        <f>IFERROR(__xludf.DUMMYFUNCTION("""COMPUTED_VALUE"""),3.0)</f>
        <v>3</v>
      </c>
      <c r="K264" s="132" t="str">
        <f>IFERROR(__xludf.DUMMYFUNCTION("""COMPUTED_VALUE"""),"BT1930")</f>
        <v>BT1930</v>
      </c>
      <c r="L264" s="121" t="str">
        <f>IFERROR(__xludf.DUMMYFUNCTION("""COMPUTED_VALUE"""),"Dr.PAVITHRA MKS")</f>
        <v>Dr.PAVITHRA MKS</v>
      </c>
      <c r="M264" s="121" t="str">
        <f>IFERROR(__xludf.DUMMYFUNCTION("""COMPUTED_VALUE"""),"pavithramks@bitsathy.ac.in")</f>
        <v>pavithramks@bitsathy.ac.in</v>
      </c>
    </row>
    <row r="265" ht="49.5" customHeight="1">
      <c r="A265" s="121" t="str">
        <f>IFERROR(__xludf.DUMMYFUNCTION("""COMPUTED_VALUE"""),"BT")</f>
        <v>BT</v>
      </c>
      <c r="B265" s="121" t="str">
        <f>IFERROR(__xludf.DUMMYFUNCTION("""COMPUTED_VALUE"""),"S6")</f>
        <v>S6</v>
      </c>
      <c r="C265" s="121" t="str">
        <f>IFERROR(__xludf.DUMMYFUNCTION("""COMPUTED_VALUE"""),"ELECTIVE 5")</f>
        <v>ELECTIVE 5</v>
      </c>
      <c r="D265" s="121" t="str">
        <f>IFERROR(__xludf.DUMMYFUNCTION("""COMPUTED_VALUE"""),"22BT010")</f>
        <v>22BT010</v>
      </c>
      <c r="E265" s="131" t="str">
        <f>IFERROR(__xludf.DUMMYFUNCTION("""COMPUTED_VALUE"""),"FOOD PROCESS &amp; TECHNOLOGY")</f>
        <v>FOOD PROCESS &amp; TECHNOLOGY</v>
      </c>
      <c r="F265" s="121" t="str">
        <f>IFERROR(__xludf.DUMMYFUNCTION("""COMPUTED_VALUE"""),"THEORY")</f>
        <v>THEORY</v>
      </c>
      <c r="G265" s="121">
        <f>IFERROR(__xludf.DUMMYFUNCTION("""COMPUTED_VALUE"""),3.0)</f>
        <v>3</v>
      </c>
      <c r="H265" s="121">
        <f>IFERROR(__xludf.DUMMYFUNCTION("""COMPUTED_VALUE"""),0.0)</f>
        <v>0</v>
      </c>
      <c r="I265" s="121">
        <f>IFERROR(__xludf.DUMMYFUNCTION("""COMPUTED_VALUE"""),0.0)</f>
        <v>0</v>
      </c>
      <c r="J265" s="121">
        <f>IFERROR(__xludf.DUMMYFUNCTION("""COMPUTED_VALUE"""),3.0)</f>
        <v>3</v>
      </c>
      <c r="K265" s="132" t="str">
        <f>IFERROR(__xludf.DUMMYFUNCTION("""COMPUTED_VALUE"""),"FD11130")</f>
        <v>FD11130</v>
      </c>
      <c r="L265" s="121" t="str">
        <f>IFERROR(__xludf.DUMMYFUNCTION("""COMPUTED_VALUE"""),"Ms.SIVARAHINI K")</f>
        <v>Ms.SIVARAHINI K</v>
      </c>
      <c r="M265" s="121" t="str">
        <f>IFERROR(__xludf.DUMMYFUNCTION("""COMPUTED_VALUE"""),"sivarahini@bitsathy.ac.in")</f>
        <v>sivarahini@bitsathy.ac.in</v>
      </c>
    </row>
    <row r="266" ht="49.5" customHeight="1">
      <c r="A266" s="121" t="str">
        <f>IFERROR(__xludf.DUMMYFUNCTION("""COMPUTED_VALUE"""),"BT")</f>
        <v>BT</v>
      </c>
      <c r="B266" s="121" t="str">
        <f>IFERROR(__xludf.DUMMYFUNCTION("""COMPUTED_VALUE"""),"S6")</f>
        <v>S6</v>
      </c>
      <c r="C266" s="121" t="str">
        <f>IFERROR(__xludf.DUMMYFUNCTION("""COMPUTED_VALUE"""),"ELECTIVE 5")</f>
        <v>ELECTIVE 5</v>
      </c>
      <c r="D266" s="121" t="str">
        <f>IFERROR(__xludf.DUMMYFUNCTION("""COMPUTED_VALUE"""),"22BT010")</f>
        <v>22BT010</v>
      </c>
      <c r="E266" s="131" t="str">
        <f>IFERROR(__xludf.DUMMYFUNCTION("""COMPUTED_VALUE"""),"FOOD PROCESS &amp; TECHNOLOGY")</f>
        <v>FOOD PROCESS &amp; TECHNOLOGY</v>
      </c>
      <c r="F266" s="121" t="str">
        <f>IFERROR(__xludf.DUMMYFUNCTION("""COMPUTED_VALUE"""),"THEORY")</f>
        <v>THEORY</v>
      </c>
      <c r="G266" s="121">
        <f>IFERROR(__xludf.DUMMYFUNCTION("""COMPUTED_VALUE"""),3.0)</f>
        <v>3</v>
      </c>
      <c r="H266" s="121">
        <f>IFERROR(__xludf.DUMMYFUNCTION("""COMPUTED_VALUE"""),0.0)</f>
        <v>0</v>
      </c>
      <c r="I266" s="121">
        <f>IFERROR(__xludf.DUMMYFUNCTION("""COMPUTED_VALUE"""),0.0)</f>
        <v>0</v>
      </c>
      <c r="J266" s="121">
        <f>IFERROR(__xludf.DUMMYFUNCTION("""COMPUTED_VALUE"""),3.0)</f>
        <v>3</v>
      </c>
      <c r="K266" s="132" t="str">
        <f>IFERROR(__xludf.DUMMYFUNCTION("""COMPUTED_VALUE"""),"FD10959")</f>
        <v>FD10959</v>
      </c>
      <c r="L266" s="121" t="str">
        <f>IFERROR(__xludf.DUMMYFUNCTION("""COMPUTED_VALUE"""),"Ms.PIDATHALA SAHITYA")</f>
        <v>Ms.PIDATHALA SAHITYA</v>
      </c>
      <c r="M266" s="121" t="str">
        <f>IFERROR(__xludf.DUMMYFUNCTION("""COMPUTED_VALUE"""),"pidathalasahitya@bitsathy.ac.in")</f>
        <v>pidathalasahitya@bitsathy.ac.in</v>
      </c>
    </row>
    <row r="267" ht="49.5" customHeight="1">
      <c r="A267" s="121" t="str">
        <f>IFERROR(__xludf.DUMMYFUNCTION("""COMPUTED_VALUE"""),"BT")</f>
        <v>BT</v>
      </c>
      <c r="B267" s="121" t="str">
        <f>IFERROR(__xludf.DUMMYFUNCTION("""COMPUTED_VALUE"""),"S6")</f>
        <v>S6</v>
      </c>
      <c r="C267" s="121" t="str">
        <f>IFERROR(__xludf.DUMMYFUNCTION("""COMPUTED_VALUE"""),"ADD COURSE")</f>
        <v>ADD COURSE</v>
      </c>
      <c r="D267" s="121" t="str">
        <f>IFERROR(__xludf.DUMMYFUNCTION("""COMPUTED_VALUE"""),"22BT013")</f>
        <v>22BT013</v>
      </c>
      <c r="E267" s="131" t="str">
        <f>IFERROR(__xludf.DUMMYFUNCTION("""COMPUTED_VALUE"""),"BIOSENSORS")</f>
        <v>BIOSENSORS</v>
      </c>
      <c r="F267" s="121" t="str">
        <f>IFERROR(__xludf.DUMMYFUNCTION("""COMPUTED_VALUE"""),"THEORY")</f>
        <v>THEORY</v>
      </c>
      <c r="G267" s="121">
        <f>IFERROR(__xludf.DUMMYFUNCTION("""COMPUTED_VALUE"""),3.0)</f>
        <v>3</v>
      </c>
      <c r="H267" s="121">
        <f>IFERROR(__xludf.DUMMYFUNCTION("""COMPUTED_VALUE"""),0.0)</f>
        <v>0</v>
      </c>
      <c r="I267" s="121">
        <f>IFERROR(__xludf.DUMMYFUNCTION("""COMPUTED_VALUE"""),0.0)</f>
        <v>0</v>
      </c>
      <c r="J267" s="121">
        <f>IFERROR(__xludf.DUMMYFUNCTION("""COMPUTED_VALUE"""),3.0)</f>
        <v>3</v>
      </c>
      <c r="K267" s="132" t="str">
        <f>IFERROR(__xludf.DUMMYFUNCTION("""COMPUTED_VALUE"""),"BT1606")</f>
        <v>BT1606</v>
      </c>
      <c r="L267" s="121" t="str">
        <f>IFERROR(__xludf.DUMMYFUNCTION("""COMPUTED_VALUE"""),"Dr.BALAKRISHNARAJA R")</f>
        <v>Dr.BALAKRISHNARAJA R</v>
      </c>
      <c r="M267" s="121" t="str">
        <f>IFERROR(__xludf.DUMMYFUNCTION("""COMPUTED_VALUE"""),"balakrishnarajar@bitsathy.ac.in")</f>
        <v>balakrishnarajar@bitsathy.ac.in</v>
      </c>
    </row>
    <row r="268" ht="49.5" customHeight="1">
      <c r="A268" s="121" t="str">
        <f>IFERROR(__xludf.DUMMYFUNCTION("""COMPUTED_VALUE"""),"BT")</f>
        <v>BT</v>
      </c>
      <c r="B268" s="121" t="str">
        <f>IFERROR(__xludf.DUMMYFUNCTION("""COMPUTED_VALUE"""),"S6")</f>
        <v>S6</v>
      </c>
      <c r="C268" s="121" t="str">
        <f>IFERROR(__xludf.DUMMYFUNCTION("""COMPUTED_VALUE"""),"ADD COURSE")</f>
        <v>ADD COURSE</v>
      </c>
      <c r="D268" s="121" t="str">
        <f>IFERROR(__xludf.DUMMYFUNCTION("""COMPUTED_VALUE"""),"22BT013")</f>
        <v>22BT013</v>
      </c>
      <c r="E268" s="131" t="str">
        <f>IFERROR(__xludf.DUMMYFUNCTION("""COMPUTED_VALUE"""),"BIOSENSORS")</f>
        <v>BIOSENSORS</v>
      </c>
      <c r="F268" s="121" t="str">
        <f>IFERROR(__xludf.DUMMYFUNCTION("""COMPUTED_VALUE"""),"THEORY")</f>
        <v>THEORY</v>
      </c>
      <c r="G268" s="121">
        <f>IFERROR(__xludf.DUMMYFUNCTION("""COMPUTED_VALUE"""),3.0)</f>
        <v>3</v>
      </c>
      <c r="H268" s="121">
        <f>IFERROR(__xludf.DUMMYFUNCTION("""COMPUTED_VALUE"""),0.0)</f>
        <v>0</v>
      </c>
      <c r="I268" s="121">
        <f>IFERROR(__xludf.DUMMYFUNCTION("""COMPUTED_VALUE"""),0.0)</f>
        <v>0</v>
      </c>
      <c r="J268" s="121">
        <f>IFERROR(__xludf.DUMMYFUNCTION("""COMPUTED_VALUE"""),3.0)</f>
        <v>3</v>
      </c>
      <c r="K268" s="132" t="str">
        <f>IFERROR(__xludf.DUMMYFUNCTION("""COMPUTED_VALUE"""),"BT10782")</f>
        <v>BT10782</v>
      </c>
      <c r="L268" s="121" t="str">
        <f>IFERROR(__xludf.DUMMYFUNCTION("""COMPUTED_VALUE"""),"Mr.JEYAVEL KARTHICK P")</f>
        <v>Mr.JEYAVEL KARTHICK P</v>
      </c>
      <c r="M268" s="121" t="str">
        <f>IFERROR(__xludf.DUMMYFUNCTION("""COMPUTED_VALUE"""),"jeyavelkarthick@bitsathy.ac.in")</f>
        <v>jeyavelkarthick@bitsathy.ac.in</v>
      </c>
    </row>
    <row r="269" ht="49.5" customHeight="1">
      <c r="A269" s="121" t="str">
        <f>IFERROR(__xludf.DUMMYFUNCTION("""COMPUTED_VALUE"""),"BT")</f>
        <v>BT</v>
      </c>
      <c r="B269" s="121" t="str">
        <f>IFERROR(__xludf.DUMMYFUNCTION("""COMPUTED_VALUE"""),"S6")</f>
        <v>S6</v>
      </c>
      <c r="C269" s="121" t="str">
        <f>IFERROR(__xludf.DUMMYFUNCTION("""COMPUTED_VALUE"""),"OPEN ELECTIVE")</f>
        <v>OPEN ELECTIVE</v>
      </c>
      <c r="D269" s="121" t="str">
        <f>IFERROR(__xludf.DUMMYFUNCTION("""COMPUTED_VALUE"""),"22OBT01")</f>
        <v>22OBT01</v>
      </c>
      <c r="E269" s="131" t="str">
        <f>IFERROR(__xludf.DUMMYFUNCTION("""COMPUTED_VALUE"""),"BIOFUELS")</f>
        <v>BIOFUELS</v>
      </c>
      <c r="F269" s="121" t="str">
        <f>IFERROR(__xludf.DUMMYFUNCTION("""COMPUTED_VALUE"""),"THEORY")</f>
        <v>THEORY</v>
      </c>
      <c r="G269" s="121">
        <f>IFERROR(__xludf.DUMMYFUNCTION("""COMPUTED_VALUE"""),3.0)</f>
        <v>3</v>
      </c>
      <c r="H269" s="121">
        <f>IFERROR(__xludf.DUMMYFUNCTION("""COMPUTED_VALUE"""),0.0)</f>
        <v>0</v>
      </c>
      <c r="I269" s="121">
        <f>IFERROR(__xludf.DUMMYFUNCTION("""COMPUTED_VALUE"""),0.0)</f>
        <v>0</v>
      </c>
      <c r="J269" s="121">
        <f>IFERROR(__xludf.DUMMYFUNCTION("""COMPUTED_VALUE"""),3.0)</f>
        <v>3</v>
      </c>
      <c r="K269" s="132" t="str">
        <f>IFERROR(__xludf.DUMMYFUNCTION("""COMPUTED_VALUE"""),"BT11033")</f>
        <v>BT11033</v>
      </c>
      <c r="L269" s="121" t="str">
        <f>IFERROR(__xludf.DUMMYFUNCTION("""COMPUTED_VALUE"""),"Dr.SURESH CHALUVADI")</f>
        <v>Dr.SURESH CHALUVADI</v>
      </c>
      <c r="M269" s="121" t="str">
        <f>IFERROR(__xludf.DUMMYFUNCTION("""COMPUTED_VALUE"""),"sureshchaluvadi@bitsathy.ac.in")</f>
        <v>sureshchaluvadi@bitsathy.ac.in</v>
      </c>
    </row>
    <row r="270" ht="49.5" customHeight="1">
      <c r="A270" s="121" t="str">
        <f>IFERROR(__xludf.DUMMYFUNCTION("""COMPUTED_VALUE"""),"BT")</f>
        <v>BT</v>
      </c>
      <c r="B270" s="121" t="str">
        <f>IFERROR(__xludf.DUMMYFUNCTION("""COMPUTED_VALUE"""),"S6")</f>
        <v>S6</v>
      </c>
      <c r="C270" s="121" t="str">
        <f>IFERROR(__xludf.DUMMYFUNCTION("""COMPUTED_VALUE"""),"OPEN ELECTIVE")</f>
        <v>OPEN ELECTIVE</v>
      </c>
      <c r="D270" s="121" t="str">
        <f>IFERROR(__xludf.DUMMYFUNCTION("""COMPUTED_VALUE"""),"22OBT01")</f>
        <v>22OBT01</v>
      </c>
      <c r="E270" s="131" t="str">
        <f>IFERROR(__xludf.DUMMYFUNCTION("""COMPUTED_VALUE"""),"BIOFUELS")</f>
        <v>BIOFUELS</v>
      </c>
      <c r="F270" s="121" t="str">
        <f>IFERROR(__xludf.DUMMYFUNCTION("""COMPUTED_VALUE"""),"THEORY")</f>
        <v>THEORY</v>
      </c>
      <c r="G270" s="121">
        <f>IFERROR(__xludf.DUMMYFUNCTION("""COMPUTED_VALUE"""),3.0)</f>
        <v>3</v>
      </c>
      <c r="H270" s="121">
        <f>IFERROR(__xludf.DUMMYFUNCTION("""COMPUTED_VALUE"""),0.0)</f>
        <v>0</v>
      </c>
      <c r="I270" s="121">
        <f>IFERROR(__xludf.DUMMYFUNCTION("""COMPUTED_VALUE"""),0.0)</f>
        <v>0</v>
      </c>
      <c r="J270" s="121">
        <f>IFERROR(__xludf.DUMMYFUNCTION("""COMPUTED_VALUE"""),3.0)</f>
        <v>3</v>
      </c>
      <c r="K270" s="132" t="str">
        <f>IFERROR(__xludf.DUMMYFUNCTION("""COMPUTED_VALUE"""),"BT11035")</f>
        <v>BT11035</v>
      </c>
      <c r="L270" s="121" t="str">
        <f>IFERROR(__xludf.DUMMYFUNCTION("""COMPUTED_VALUE"""),"Ms.NANDHINI N")</f>
        <v>Ms.NANDHINI N</v>
      </c>
      <c r="M270" s="121" t="str">
        <f>IFERROR(__xludf.DUMMYFUNCTION("""COMPUTED_VALUE"""),"nandhinin@bitsathy.ac.in")</f>
        <v>nandhinin@bitsathy.ac.in</v>
      </c>
    </row>
    <row r="271" ht="49.5" customHeight="1">
      <c r="A271" s="121" t="str">
        <f>IFERROR(__xludf.DUMMYFUNCTION("""COMPUTED_VALUE"""),"BT")</f>
        <v>BT</v>
      </c>
      <c r="B271" s="121" t="str">
        <f>IFERROR(__xludf.DUMMYFUNCTION("""COMPUTED_VALUE"""),"S6")</f>
        <v>S6</v>
      </c>
      <c r="C271" s="121" t="str">
        <f>IFERROR(__xludf.DUMMYFUNCTION("""COMPUTED_VALUE"""),"HONOURS")</f>
        <v>HONOURS</v>
      </c>
      <c r="D271" s="121" t="str">
        <f>IFERROR(__xludf.DUMMYFUNCTION("""COMPUTED_VALUE"""),"22BTH30")</f>
        <v>22BTH30</v>
      </c>
      <c r="E271" s="131" t="str">
        <f>IFERROR(__xludf.DUMMYFUNCTION("""COMPUTED_VALUE"""),"ANIMAL CELL CULTURETECHNIQUES")</f>
        <v>ANIMAL CELL CULTURETECHNIQUES</v>
      </c>
      <c r="F271" s="121" t="str">
        <f>IFERROR(__xludf.DUMMYFUNCTION("""COMPUTED_VALUE"""),"THEORY")</f>
        <v>THEORY</v>
      </c>
      <c r="G271" s="121">
        <f>IFERROR(__xludf.DUMMYFUNCTION("""COMPUTED_VALUE"""),3.0)</f>
        <v>3</v>
      </c>
      <c r="H271" s="121">
        <f>IFERROR(__xludf.DUMMYFUNCTION("""COMPUTED_VALUE"""),0.0)</f>
        <v>0</v>
      </c>
      <c r="I271" s="121">
        <f>IFERROR(__xludf.DUMMYFUNCTION("""COMPUTED_VALUE"""),0.0)</f>
        <v>0</v>
      </c>
      <c r="J271" s="121">
        <f>IFERROR(__xludf.DUMMYFUNCTION("""COMPUTED_VALUE"""),3.0)</f>
        <v>3</v>
      </c>
      <c r="K271" s="132" t="str">
        <f>IFERROR(__xludf.DUMMYFUNCTION("""COMPUTED_VALUE"""),"BT10984")</f>
        <v>BT10984</v>
      </c>
      <c r="L271" s="121" t="str">
        <f>IFERROR(__xludf.DUMMYFUNCTION("""COMPUTED_VALUE"""),"Mrs.MAHIMA P")</f>
        <v>Mrs.MAHIMA P</v>
      </c>
      <c r="M271" s="121" t="str">
        <f>IFERROR(__xludf.DUMMYFUNCTION("""COMPUTED_VALUE"""),"mahimap@bitsathy.ac.in")</f>
        <v>mahimap@bitsathy.ac.in</v>
      </c>
    </row>
    <row r="272" ht="49.5" customHeight="1">
      <c r="A272" s="121" t="str">
        <f>IFERROR(__xludf.DUMMYFUNCTION("""COMPUTED_VALUE"""),"BT")</f>
        <v>BT</v>
      </c>
      <c r="B272" s="121" t="str">
        <f>IFERROR(__xludf.DUMMYFUNCTION("""COMPUTED_VALUE"""),"S6")</f>
        <v>S6</v>
      </c>
      <c r="C272" s="121" t="str">
        <f>IFERROR(__xludf.DUMMYFUNCTION("""COMPUTED_VALUE"""),"HONOURS")</f>
        <v>HONOURS</v>
      </c>
      <c r="D272" s="121" t="str">
        <f>IFERROR(__xludf.DUMMYFUNCTION("""COMPUTED_VALUE"""),"22BTH31")</f>
        <v>22BTH31</v>
      </c>
      <c r="E272" s="131" t="str">
        <f>IFERROR(__xludf.DUMMYFUNCTION("""COMPUTED_VALUE"""),"BIOTECHNIQUES IN ANIMAL
 BREEDING")</f>
        <v>BIOTECHNIQUES IN ANIMAL
 BREEDING</v>
      </c>
      <c r="F272" s="121" t="str">
        <f>IFERROR(__xludf.DUMMYFUNCTION("""COMPUTED_VALUE"""),"THEORY")</f>
        <v>THEORY</v>
      </c>
      <c r="G272" s="121">
        <f>IFERROR(__xludf.DUMMYFUNCTION("""COMPUTED_VALUE"""),3.0)</f>
        <v>3</v>
      </c>
      <c r="H272" s="121">
        <f>IFERROR(__xludf.DUMMYFUNCTION("""COMPUTED_VALUE"""),0.0)</f>
        <v>0</v>
      </c>
      <c r="I272" s="121">
        <f>IFERROR(__xludf.DUMMYFUNCTION("""COMPUTED_VALUE"""),0.0)</f>
        <v>0</v>
      </c>
      <c r="J272" s="121">
        <f>IFERROR(__xludf.DUMMYFUNCTION("""COMPUTED_VALUE"""),3.0)</f>
        <v>3</v>
      </c>
      <c r="K272" s="132" t="str">
        <f>IFERROR(__xludf.DUMMYFUNCTION("""COMPUTED_VALUE"""),"BT10733")</f>
        <v>BT10733</v>
      </c>
      <c r="L272" s="121" t="str">
        <f>IFERROR(__xludf.DUMMYFUNCTION("""COMPUTED_VALUE"""),"Ms.SWATHI G")</f>
        <v>Ms.SWATHI G</v>
      </c>
      <c r="M272" s="121" t="str">
        <f>IFERROR(__xludf.DUMMYFUNCTION("""COMPUTED_VALUE"""),"swathi@bitsathy.ac.in")</f>
        <v>swathi@bitsathy.ac.in</v>
      </c>
    </row>
    <row r="273" ht="49.5" customHeight="1">
      <c r="A273" s="121" t="str">
        <f>IFERROR(__xludf.DUMMYFUNCTION("""COMPUTED_VALUE"""),"BT")</f>
        <v>BT</v>
      </c>
      <c r="B273" s="121" t="str">
        <f>IFERROR(__xludf.DUMMYFUNCTION("""COMPUTED_VALUE"""),"S6")</f>
        <v>S6</v>
      </c>
      <c r="C273" s="121" t="str">
        <f>IFERROR(__xludf.DUMMYFUNCTION("""COMPUTED_VALUE"""),"MINI PROJECT")</f>
        <v>MINI PROJECT</v>
      </c>
      <c r="D273" s="121" t="str">
        <f>IFERROR(__xludf.DUMMYFUNCTION("""COMPUTED_VALUE"""),"22BT607")</f>
        <v>22BT607</v>
      </c>
      <c r="E273" s="131" t="str">
        <f>IFERROR(__xludf.DUMMYFUNCTION("""COMPUTED_VALUE"""),"MINI PROJECT II")</f>
        <v>MINI PROJECT II</v>
      </c>
      <c r="F273" s="121" t="str">
        <f>IFERROR(__xludf.DUMMYFUNCTION("""COMPUTED_VALUE"""),"LAB")</f>
        <v>LAB</v>
      </c>
      <c r="G273" s="121">
        <f>IFERROR(__xludf.DUMMYFUNCTION("""COMPUTED_VALUE"""),0.0)</f>
        <v>0</v>
      </c>
      <c r="H273" s="121">
        <f>IFERROR(__xludf.DUMMYFUNCTION("""COMPUTED_VALUE"""),0.0)</f>
        <v>0</v>
      </c>
      <c r="I273" s="121">
        <f>IFERROR(__xludf.DUMMYFUNCTION("""COMPUTED_VALUE"""),2.0)</f>
        <v>2</v>
      </c>
      <c r="J273" s="121">
        <f>IFERROR(__xludf.DUMMYFUNCTION("""COMPUTED_VALUE"""),1.0)</f>
        <v>1</v>
      </c>
      <c r="K273" s="132"/>
      <c r="L273" s="121"/>
      <c r="M273" s="121"/>
    </row>
    <row r="274" ht="49.5" customHeight="1">
      <c r="A274" s="121" t="str">
        <f>IFERROR(__xludf.DUMMYFUNCTION("""COMPUTED_VALUE"""),"BT")</f>
        <v>BT</v>
      </c>
      <c r="B274" s="121" t="str">
        <f>IFERROR(__xludf.DUMMYFUNCTION("""COMPUTED_VALUE"""),"S8")</f>
        <v>S8</v>
      </c>
      <c r="C274" s="121" t="str">
        <f>IFERROR(__xludf.DUMMYFUNCTION("""COMPUTED_VALUE"""),"PROJECT")</f>
        <v>PROJECT</v>
      </c>
      <c r="D274" s="121" t="str">
        <f>IFERROR(__xludf.DUMMYFUNCTION("""COMPUTED_VALUE"""),"22BT801")</f>
        <v>22BT801</v>
      </c>
      <c r="E274" s="131" t="str">
        <f>IFERROR(__xludf.DUMMYFUNCTION("""COMPUTED_VALUE"""),"PROJECT WORK II")</f>
        <v>PROJECT WORK II</v>
      </c>
      <c r="F274" s="121" t="str">
        <f>IFERROR(__xludf.DUMMYFUNCTION("""COMPUTED_VALUE"""),"LAB")</f>
        <v>LAB</v>
      </c>
      <c r="G274" s="121">
        <f>IFERROR(__xludf.DUMMYFUNCTION("""COMPUTED_VALUE"""),0.0)</f>
        <v>0</v>
      </c>
      <c r="H274" s="121">
        <f>IFERROR(__xludf.DUMMYFUNCTION("""COMPUTED_VALUE"""),0.0)</f>
        <v>0</v>
      </c>
      <c r="I274" s="121">
        <f>IFERROR(__xludf.DUMMYFUNCTION("""COMPUTED_VALUE"""),18.0)</f>
        <v>18</v>
      </c>
      <c r="J274" s="121">
        <f>IFERROR(__xludf.DUMMYFUNCTION("""COMPUTED_VALUE"""),9.0)</f>
        <v>9</v>
      </c>
      <c r="K274" s="132"/>
      <c r="L274" s="121"/>
      <c r="M274" s="133"/>
    </row>
    <row r="275" ht="49.5" customHeight="1">
      <c r="A275" s="121" t="str">
        <f>IFERROR(__xludf.DUMMYFUNCTION("""COMPUTED_VALUE"""),"CIVIL")</f>
        <v>CIVIL</v>
      </c>
      <c r="B275" s="121" t="str">
        <f>IFERROR(__xludf.DUMMYFUNCTION("""COMPUTED_VALUE"""),"S6")</f>
        <v>S6</v>
      </c>
      <c r="C275" s="121" t="str">
        <f>IFERROR(__xludf.DUMMYFUNCTION("""COMPUTED_VALUE"""),"CORE")</f>
        <v>CORE</v>
      </c>
      <c r="D275" s="121" t="str">
        <f>IFERROR(__xludf.DUMMYFUNCTION("""COMPUTED_VALUE"""),"22CE601")</f>
        <v>22CE601</v>
      </c>
      <c r="E275" s="131" t="str">
        <f>IFERROR(__xludf.DUMMYFUNCTION("""COMPUTED_VALUE"""),"DESIGN OF RCC STRUCTURES")</f>
        <v>DESIGN OF RCC STRUCTURES</v>
      </c>
      <c r="F275" s="121" t="str">
        <f>IFERROR(__xludf.DUMMYFUNCTION("""COMPUTED_VALUE"""),"THEORY")</f>
        <v>THEORY</v>
      </c>
      <c r="G275" s="121">
        <f>IFERROR(__xludf.DUMMYFUNCTION("""COMPUTED_VALUE"""),3.0)</f>
        <v>3</v>
      </c>
      <c r="H275" s="121">
        <f>IFERROR(__xludf.DUMMYFUNCTION("""COMPUTED_VALUE"""),1.0)</f>
        <v>1</v>
      </c>
      <c r="I275" s="121">
        <f>IFERROR(__xludf.DUMMYFUNCTION("""COMPUTED_VALUE"""),0.0)</f>
        <v>0</v>
      </c>
      <c r="J275" s="121">
        <f>IFERROR(__xludf.DUMMYFUNCTION("""COMPUTED_VALUE"""),4.0)</f>
        <v>4</v>
      </c>
      <c r="K275" s="132" t="str">
        <f>IFERROR(__xludf.DUMMYFUNCTION("""COMPUTED_VALUE"""),"CE1797")</f>
        <v>CE1797</v>
      </c>
      <c r="L275" s="121" t="str">
        <f>IFERROR(__xludf.DUMMYFUNCTION("""COMPUTED_VALUE"""),"Dr.KARTHIGA  SHENBAGAM N")</f>
        <v>Dr.KARTHIGA  SHENBAGAM N</v>
      </c>
      <c r="M275" s="133" t="str">
        <f>IFERROR(__xludf.DUMMYFUNCTION("""COMPUTED_VALUE"""),"karthigashenbagamn@bitsathy.ac.in")</f>
        <v>karthigashenbagamn@bitsathy.ac.in</v>
      </c>
    </row>
    <row r="276" ht="49.5" customHeight="1">
      <c r="A276" s="121" t="str">
        <f>IFERROR(__xludf.DUMMYFUNCTION("""COMPUTED_VALUE"""),"CIVIL")</f>
        <v>CIVIL</v>
      </c>
      <c r="B276" s="121" t="str">
        <f>IFERROR(__xludf.DUMMYFUNCTION("""COMPUTED_VALUE"""),"S6")</f>
        <v>S6</v>
      </c>
      <c r="C276" s="121" t="str">
        <f>IFERROR(__xludf.DUMMYFUNCTION("""COMPUTED_VALUE"""),"CORE")</f>
        <v>CORE</v>
      </c>
      <c r="D276" s="121" t="str">
        <f>IFERROR(__xludf.DUMMYFUNCTION("""COMPUTED_VALUE"""),"22CE602")</f>
        <v>22CE602</v>
      </c>
      <c r="E276" s="131" t="str">
        <f>IFERROR(__xludf.DUMMYFUNCTION("""COMPUTED_VALUE"""),"STRUCTURAL ANALYSIS II")</f>
        <v>STRUCTURAL ANALYSIS II</v>
      </c>
      <c r="F276" s="121" t="str">
        <f>IFERROR(__xludf.DUMMYFUNCTION("""COMPUTED_VALUE"""),"THEORY")</f>
        <v>THEORY</v>
      </c>
      <c r="G276" s="121">
        <f>IFERROR(__xludf.DUMMYFUNCTION("""COMPUTED_VALUE"""),3.0)</f>
        <v>3</v>
      </c>
      <c r="H276" s="121">
        <f>IFERROR(__xludf.DUMMYFUNCTION("""COMPUTED_VALUE"""),1.0)</f>
        <v>1</v>
      </c>
      <c r="I276" s="121">
        <f>IFERROR(__xludf.DUMMYFUNCTION("""COMPUTED_VALUE"""),0.0)</f>
        <v>0</v>
      </c>
      <c r="J276" s="121">
        <f>IFERROR(__xludf.DUMMYFUNCTION("""COMPUTED_VALUE"""),4.0)</f>
        <v>4</v>
      </c>
      <c r="K276" s="132" t="str">
        <f>IFERROR(__xludf.DUMMYFUNCTION("""COMPUTED_VALUE"""),"CE1797")</f>
        <v>CE1797</v>
      </c>
      <c r="L276" s="121" t="str">
        <f>IFERROR(__xludf.DUMMYFUNCTION("""COMPUTED_VALUE"""),"Dr.KARTHIGA  SHENBAGAM N")</f>
        <v>Dr.KARTHIGA  SHENBAGAM N</v>
      </c>
      <c r="M276" s="121" t="str">
        <f>IFERROR(__xludf.DUMMYFUNCTION("""COMPUTED_VALUE"""),"karthigashenbagamn@bitsathy.ac.in")</f>
        <v>karthigashenbagamn@bitsathy.ac.in</v>
      </c>
    </row>
    <row r="277" ht="49.5" customHeight="1">
      <c r="A277" s="121" t="str">
        <f>IFERROR(__xludf.DUMMYFUNCTION("""COMPUTED_VALUE"""),"CIVIL")</f>
        <v>CIVIL</v>
      </c>
      <c r="B277" s="121" t="str">
        <f>IFERROR(__xludf.DUMMYFUNCTION("""COMPUTED_VALUE"""),"S6")</f>
        <v>S6</v>
      </c>
      <c r="C277" s="121" t="str">
        <f>IFERROR(__xludf.DUMMYFUNCTION("""COMPUTED_VALUE"""),"CORE")</f>
        <v>CORE</v>
      </c>
      <c r="D277" s="121" t="str">
        <f>IFERROR(__xludf.DUMMYFUNCTION("""COMPUTED_VALUE"""),"22CE603")</f>
        <v>22CE603</v>
      </c>
      <c r="E277" s="131" t="str">
        <f>IFERROR(__xludf.DUMMYFUNCTION("""COMPUTED_VALUE"""),"DESIGN OF STEEL")</f>
        <v>DESIGN OF STEEL</v>
      </c>
      <c r="F277" s="121" t="str">
        <f>IFERROR(__xludf.DUMMYFUNCTION("""COMPUTED_VALUE"""),"THEORY WITH LAB")</f>
        <v>THEORY WITH LAB</v>
      </c>
      <c r="G277" s="121">
        <f>IFERROR(__xludf.DUMMYFUNCTION("""COMPUTED_VALUE"""),3.0)</f>
        <v>3</v>
      </c>
      <c r="H277" s="121">
        <f>IFERROR(__xludf.DUMMYFUNCTION("""COMPUTED_VALUE"""),0.0)</f>
        <v>0</v>
      </c>
      <c r="I277" s="121">
        <f>IFERROR(__xludf.DUMMYFUNCTION("""COMPUTED_VALUE"""),2.0)</f>
        <v>2</v>
      </c>
      <c r="J277" s="121">
        <f>IFERROR(__xludf.DUMMYFUNCTION("""COMPUTED_VALUE"""),4.0)</f>
        <v>4</v>
      </c>
      <c r="K277" s="132" t="str">
        <f>IFERROR(__xludf.DUMMYFUNCTION("""COMPUTED_VALUE"""),"CE1954")</f>
        <v>CE1954</v>
      </c>
      <c r="L277" s="121" t="str">
        <f>IFERROR(__xludf.DUMMYFUNCTION("""COMPUTED_VALUE"""),"Mr.RAJENDRAN M")</f>
        <v>Mr.RAJENDRAN M</v>
      </c>
      <c r="M277" s="121" t="str">
        <f>IFERROR(__xludf.DUMMYFUNCTION("""COMPUTED_VALUE"""),"rajendranm@bitsathy.ac.in")</f>
        <v>rajendranm@bitsathy.ac.in</v>
      </c>
    </row>
    <row r="278" ht="49.5" customHeight="1">
      <c r="A278" s="121" t="str">
        <f>IFERROR(__xludf.DUMMYFUNCTION("""COMPUTED_VALUE"""),"CIVIL")</f>
        <v>CIVIL</v>
      </c>
      <c r="B278" s="121" t="str">
        <f>IFERROR(__xludf.DUMMYFUNCTION("""COMPUTED_VALUE"""),"S6")</f>
        <v>S6</v>
      </c>
      <c r="C278" s="121" t="str">
        <f>IFERROR(__xludf.DUMMYFUNCTION("""COMPUTED_VALUE"""),"ELECTIVE 3")</f>
        <v>ELECTIVE 3</v>
      </c>
      <c r="D278" s="121" t="str">
        <f>IFERROR(__xludf.DUMMYFUNCTION("""COMPUTED_VALUE"""),"22CE016")</f>
        <v>22CE016</v>
      </c>
      <c r="E278" s="131" t="str">
        <f>IFERROR(__xludf.DUMMYFUNCTION("""COMPUTED_VALUE"""),"PREFABRICATED STRUCTURES AND PRE-ENGINEERED BUILDING")</f>
        <v>PREFABRICATED STRUCTURES AND PRE-ENGINEERED BUILDING</v>
      </c>
      <c r="F278" s="121" t="str">
        <f>IFERROR(__xludf.DUMMYFUNCTION("""COMPUTED_VALUE"""),"THEORY")</f>
        <v>THEORY</v>
      </c>
      <c r="G278" s="121">
        <f>IFERROR(__xludf.DUMMYFUNCTION("""COMPUTED_VALUE"""),3.0)</f>
        <v>3</v>
      </c>
      <c r="H278" s="121">
        <f>IFERROR(__xludf.DUMMYFUNCTION("""COMPUTED_VALUE"""),0.0)</f>
        <v>0</v>
      </c>
      <c r="I278" s="121">
        <f>IFERROR(__xludf.DUMMYFUNCTION("""COMPUTED_VALUE"""),0.0)</f>
        <v>0</v>
      </c>
      <c r="J278" s="121">
        <f>IFERROR(__xludf.DUMMYFUNCTION("""COMPUTED_VALUE"""),3.0)</f>
        <v>3</v>
      </c>
      <c r="K278" s="132" t="str">
        <f>IFERROR(__xludf.DUMMYFUNCTION("""COMPUTED_VALUE"""),"CE1954")</f>
        <v>CE1954</v>
      </c>
      <c r="L278" s="121" t="str">
        <f>IFERROR(__xludf.DUMMYFUNCTION("""COMPUTED_VALUE"""),"Mr.RAJENDRAN M")</f>
        <v>Mr.RAJENDRAN M</v>
      </c>
      <c r="M278" s="121" t="str">
        <f>IFERROR(__xludf.DUMMYFUNCTION("""COMPUTED_VALUE"""),"rajendranm@bitsathy.ac.in")</f>
        <v>rajendranm@bitsathy.ac.in</v>
      </c>
    </row>
    <row r="279" ht="49.5" customHeight="1">
      <c r="A279" s="121" t="str">
        <f>IFERROR(__xludf.DUMMYFUNCTION("""COMPUTED_VALUE"""),"CIVIL")</f>
        <v>CIVIL</v>
      </c>
      <c r="B279" s="121" t="str">
        <f>IFERROR(__xludf.DUMMYFUNCTION("""COMPUTED_VALUE"""),"S6")</f>
        <v>S6</v>
      </c>
      <c r="C279" s="121" t="str">
        <f>IFERROR(__xludf.DUMMYFUNCTION("""COMPUTED_VALUE"""),"ELECTIVE 4")</f>
        <v>ELECTIVE 4</v>
      </c>
      <c r="D279" s="121" t="str">
        <f>IFERROR(__xludf.DUMMYFUNCTION("""COMPUTED_VALUE"""),"22CE020")</f>
        <v>22CE020</v>
      </c>
      <c r="E279" s="131" t="str">
        <f>IFERROR(__xludf.DUMMYFUNCTION("""COMPUTED_VALUE"""),"GEOENVIRONMENTAL ENGINEERING")</f>
        <v>GEOENVIRONMENTAL ENGINEERING</v>
      </c>
      <c r="F279" s="121" t="str">
        <f>IFERROR(__xludf.DUMMYFUNCTION("""COMPUTED_VALUE"""),"THEORY")</f>
        <v>THEORY</v>
      </c>
      <c r="G279" s="121">
        <f>IFERROR(__xludf.DUMMYFUNCTION("""COMPUTED_VALUE"""),3.0)</f>
        <v>3</v>
      </c>
      <c r="H279" s="121">
        <f>IFERROR(__xludf.DUMMYFUNCTION("""COMPUTED_VALUE"""),0.0)</f>
        <v>0</v>
      </c>
      <c r="I279" s="121">
        <f>IFERROR(__xludf.DUMMYFUNCTION("""COMPUTED_VALUE"""),0.0)</f>
        <v>0</v>
      </c>
      <c r="J279" s="121">
        <f>IFERROR(__xludf.DUMMYFUNCTION("""COMPUTED_VALUE"""),3.0)</f>
        <v>3</v>
      </c>
      <c r="K279" s="132" t="str">
        <f>IFERROR(__xludf.DUMMYFUNCTION("""COMPUTED_VALUE"""),"CE1865")</f>
        <v>CE1865</v>
      </c>
      <c r="L279" s="121" t="str">
        <f>IFERROR(__xludf.DUMMYFUNCTION("""COMPUTED_VALUE"""),"Dr.GEETHAMANI R")</f>
        <v>Dr.GEETHAMANI R</v>
      </c>
      <c r="M279" s="121" t="str">
        <f>IFERROR(__xludf.DUMMYFUNCTION("""COMPUTED_VALUE"""),"geethamanir@bitsathy.ac.in")</f>
        <v>geethamanir@bitsathy.ac.in</v>
      </c>
    </row>
    <row r="280" ht="49.5" customHeight="1">
      <c r="A280" s="121" t="str">
        <f>IFERROR(__xludf.DUMMYFUNCTION("""COMPUTED_VALUE"""),"CIVIL")</f>
        <v>CIVIL</v>
      </c>
      <c r="B280" s="121" t="str">
        <f>IFERROR(__xludf.DUMMYFUNCTION("""COMPUTED_VALUE"""),"S6")</f>
        <v>S6</v>
      </c>
      <c r="C280" s="121" t="str">
        <f>IFERROR(__xludf.DUMMYFUNCTION("""COMPUTED_VALUE"""),"ELECTIVE 5")</f>
        <v>ELECTIVE 5</v>
      </c>
      <c r="D280" s="121" t="str">
        <f>IFERROR(__xludf.DUMMYFUNCTION("""COMPUTED_VALUE"""),"22CE026")</f>
        <v>22CE026</v>
      </c>
      <c r="E280" s="131" t="str">
        <f>IFERROR(__xludf.DUMMYFUNCTION("""COMPUTED_VALUE"""),"MASS TRANSPORTATION SYSTEMS")</f>
        <v>MASS TRANSPORTATION SYSTEMS</v>
      </c>
      <c r="F280" s="121" t="str">
        <f>IFERROR(__xludf.DUMMYFUNCTION("""COMPUTED_VALUE"""),"THEORY")</f>
        <v>THEORY</v>
      </c>
      <c r="G280" s="121">
        <f>IFERROR(__xludf.DUMMYFUNCTION("""COMPUTED_VALUE"""),3.0)</f>
        <v>3</v>
      </c>
      <c r="H280" s="121">
        <f>IFERROR(__xludf.DUMMYFUNCTION("""COMPUTED_VALUE"""),0.0)</f>
        <v>0</v>
      </c>
      <c r="I280" s="121">
        <f>IFERROR(__xludf.DUMMYFUNCTION("""COMPUTED_VALUE"""),0.0)</f>
        <v>0</v>
      </c>
      <c r="J280" s="121">
        <f>IFERROR(__xludf.DUMMYFUNCTION("""COMPUTED_VALUE"""),3.0)</f>
        <v>3</v>
      </c>
      <c r="K280" s="132" t="str">
        <f>IFERROR(__xludf.DUMMYFUNCTION("""COMPUTED_VALUE"""),"CE10783")</f>
        <v>CE10783</v>
      </c>
      <c r="L280" s="121" t="str">
        <f>IFERROR(__xludf.DUMMYFUNCTION("""COMPUTED_VALUE"""),"Dr.JEYANTH B")</f>
        <v>Dr.JEYANTH B</v>
      </c>
      <c r="M280" s="121" t="str">
        <f>IFERROR(__xludf.DUMMYFUNCTION("""COMPUTED_VALUE"""),"jeyanth@bitsathy.ac.in")</f>
        <v>jeyanth@bitsathy.ac.in</v>
      </c>
    </row>
    <row r="281" ht="49.5" customHeight="1">
      <c r="A281" s="121" t="str">
        <f>IFERROR(__xludf.DUMMYFUNCTION("""COMPUTED_VALUE"""),"CIVIL")</f>
        <v>CIVIL</v>
      </c>
      <c r="B281" s="121" t="str">
        <f>IFERROR(__xludf.DUMMYFUNCTION("""COMPUTED_VALUE"""),"S6")</f>
        <v>S6</v>
      </c>
      <c r="C281" s="121" t="str">
        <f>IFERROR(__xludf.DUMMYFUNCTION("""COMPUTED_VALUE"""),"ADD COURSE")</f>
        <v>ADD COURSE</v>
      </c>
      <c r="D281" s="121" t="str">
        <f>IFERROR(__xludf.DUMMYFUNCTION("""COMPUTED_VALUE"""),"22CE015")</f>
        <v>22CE015</v>
      </c>
      <c r="E281" s="131" t="str">
        <f>IFERROR(__xludf.DUMMYFUNCTION("""COMPUTED_VALUE"""),"COST EFFECTIVE CONSTRUCTION AND GREEN BUILDING")</f>
        <v>COST EFFECTIVE CONSTRUCTION AND GREEN BUILDING</v>
      </c>
      <c r="F281" s="121" t="str">
        <f>IFERROR(__xludf.DUMMYFUNCTION("""COMPUTED_VALUE"""),"THEORY")</f>
        <v>THEORY</v>
      </c>
      <c r="G281" s="121">
        <f>IFERROR(__xludf.DUMMYFUNCTION("""COMPUTED_VALUE"""),3.0)</f>
        <v>3</v>
      </c>
      <c r="H281" s="121">
        <f>IFERROR(__xludf.DUMMYFUNCTION("""COMPUTED_VALUE"""),0.0)</f>
        <v>0</v>
      </c>
      <c r="I281" s="121">
        <f>IFERROR(__xludf.DUMMYFUNCTION("""COMPUTED_VALUE"""),0.0)</f>
        <v>0</v>
      </c>
      <c r="J281" s="121">
        <f>IFERROR(__xludf.DUMMYFUNCTION("""COMPUTED_VALUE"""),3.0)</f>
        <v>3</v>
      </c>
      <c r="K281" s="132" t="str">
        <f>IFERROR(__xludf.DUMMYFUNCTION("""COMPUTED_VALUE"""),"CE10010")</f>
        <v>CE10010</v>
      </c>
      <c r="L281" s="121" t="str">
        <f>IFERROR(__xludf.DUMMYFUNCTION("""COMPUTED_VALUE"""),"Dr.MOHANRAJ A")</f>
        <v>Dr.MOHANRAJ A</v>
      </c>
      <c r="M281" s="121" t="str">
        <f>IFERROR(__xludf.DUMMYFUNCTION("""COMPUTED_VALUE"""),"mohanraja@bitsathy.ac.in")</f>
        <v>mohanraja@bitsathy.ac.in</v>
      </c>
    </row>
    <row r="282" ht="49.5" customHeight="1">
      <c r="A282" s="121" t="str">
        <f>IFERROR(__xludf.DUMMYFUNCTION("""COMPUTED_VALUE"""),"CIVIL")</f>
        <v>CIVIL</v>
      </c>
      <c r="B282" s="121" t="str">
        <f>IFERROR(__xludf.DUMMYFUNCTION("""COMPUTED_VALUE"""),"S6")</f>
        <v>S6</v>
      </c>
      <c r="C282" s="121" t="str">
        <f>IFERROR(__xludf.DUMMYFUNCTION("""COMPUTED_VALUE"""),"OPEN ELECTIVE")</f>
        <v>OPEN ELECTIVE</v>
      </c>
      <c r="D282" s="121" t="str">
        <f>IFERROR(__xludf.DUMMYFUNCTION("""COMPUTED_VALUE"""),"22OCE02")</f>
        <v>22OCE02</v>
      </c>
      <c r="E282" s="131" t="str">
        <f>IFERROR(__xludf.DUMMYFUNCTION("""COMPUTED_VALUE"""),"COST MANAGEMENT OF ENGINEERING PROJECTS")</f>
        <v>COST MANAGEMENT OF ENGINEERING PROJECTS</v>
      </c>
      <c r="F282" s="121" t="str">
        <f>IFERROR(__xludf.DUMMYFUNCTION("""COMPUTED_VALUE"""),"THEORY")</f>
        <v>THEORY</v>
      </c>
      <c r="G282" s="121">
        <f>IFERROR(__xludf.DUMMYFUNCTION("""COMPUTED_VALUE"""),3.0)</f>
        <v>3</v>
      </c>
      <c r="H282" s="121">
        <f>IFERROR(__xludf.DUMMYFUNCTION("""COMPUTED_VALUE"""),0.0)</f>
        <v>0</v>
      </c>
      <c r="I282" s="121">
        <f>IFERROR(__xludf.DUMMYFUNCTION("""COMPUTED_VALUE"""),0.0)</f>
        <v>0</v>
      </c>
      <c r="J282" s="121">
        <f>IFERROR(__xludf.DUMMYFUNCTION("""COMPUTED_VALUE"""),3.0)</f>
        <v>3</v>
      </c>
      <c r="K282" s="132" t="str">
        <f>IFERROR(__xludf.DUMMYFUNCTION("""COMPUTED_VALUE"""),"CE10600")</f>
        <v>CE10600</v>
      </c>
      <c r="L282" s="121" t="str">
        <f>IFERROR(__xludf.DUMMYFUNCTION("""COMPUTED_VALUE"""),"Ms.ASHWATHI R")</f>
        <v>Ms.ASHWATHI R</v>
      </c>
      <c r="M282" s="121" t="str">
        <f>IFERROR(__xludf.DUMMYFUNCTION("""COMPUTED_VALUE"""),"ashwathi@bitsathy.ac.in")</f>
        <v>ashwathi@bitsathy.ac.in</v>
      </c>
    </row>
    <row r="283" ht="49.5" customHeight="1">
      <c r="A283" s="121" t="str">
        <f>IFERROR(__xludf.DUMMYFUNCTION("""COMPUTED_VALUE"""),"CIVIL")</f>
        <v>CIVIL</v>
      </c>
      <c r="B283" s="121" t="str">
        <f>IFERROR(__xludf.DUMMYFUNCTION("""COMPUTED_VALUE"""),"S6")</f>
        <v>S6</v>
      </c>
      <c r="C283" s="121" t="str">
        <f>IFERROR(__xludf.DUMMYFUNCTION("""COMPUTED_VALUE"""),"OPEN ELECTIVE")</f>
        <v>OPEN ELECTIVE</v>
      </c>
      <c r="D283" s="121" t="str">
        <f>IFERROR(__xludf.DUMMYFUNCTION("""COMPUTED_VALUE"""),"22OCE02")</f>
        <v>22OCE02</v>
      </c>
      <c r="E283" s="131" t="str">
        <f>IFERROR(__xludf.DUMMYFUNCTION("""COMPUTED_VALUE"""),"COST MANAGEMENT OF ENGINEERING PROJECTS")</f>
        <v>COST MANAGEMENT OF ENGINEERING PROJECTS</v>
      </c>
      <c r="F283" s="121" t="str">
        <f>IFERROR(__xludf.DUMMYFUNCTION("""COMPUTED_VALUE"""),"THEORY")</f>
        <v>THEORY</v>
      </c>
      <c r="G283" s="121">
        <f>IFERROR(__xludf.DUMMYFUNCTION("""COMPUTED_VALUE"""),3.0)</f>
        <v>3</v>
      </c>
      <c r="H283" s="121">
        <f>IFERROR(__xludf.DUMMYFUNCTION("""COMPUTED_VALUE"""),0.0)</f>
        <v>0</v>
      </c>
      <c r="I283" s="121">
        <f>IFERROR(__xludf.DUMMYFUNCTION("""COMPUTED_VALUE"""),0.0)</f>
        <v>0</v>
      </c>
      <c r="J283" s="121">
        <f>IFERROR(__xludf.DUMMYFUNCTION("""COMPUTED_VALUE"""),3.0)</f>
        <v>3</v>
      </c>
      <c r="K283" s="132" t="str">
        <f>IFERROR(__xludf.DUMMYFUNCTION("""COMPUTED_VALUE"""),"CE10127")</f>
        <v>CE10127</v>
      </c>
      <c r="L283" s="121" t="str">
        <f>IFERROR(__xludf.DUMMYFUNCTION("""COMPUTED_VALUE"""),"Mr.GNANASUNDAR V M")</f>
        <v>Mr.GNANASUNDAR V M</v>
      </c>
      <c r="M283" s="121" t="str">
        <f>IFERROR(__xludf.DUMMYFUNCTION("""COMPUTED_VALUE"""),"gnanasundar@bitsathy.ac.in")</f>
        <v>gnanasundar@bitsathy.ac.in</v>
      </c>
    </row>
    <row r="284" ht="49.5" customHeight="1">
      <c r="A284" s="121" t="str">
        <f>IFERROR(__xludf.DUMMYFUNCTION("""COMPUTED_VALUE"""),"CIVIL")</f>
        <v>CIVIL</v>
      </c>
      <c r="B284" s="121" t="str">
        <f>IFERROR(__xludf.DUMMYFUNCTION("""COMPUTED_VALUE"""),"S6")</f>
        <v>S6</v>
      </c>
      <c r="C284" s="121" t="str">
        <f>IFERROR(__xludf.DUMMYFUNCTION("""COMPUTED_VALUE"""),"HONOURS")</f>
        <v>HONOURS</v>
      </c>
      <c r="D284" s="121" t="str">
        <f>IFERROR(__xludf.DUMMYFUNCTION("""COMPUTED_VALUE"""),"22CEH01")</f>
        <v>22CEH01</v>
      </c>
      <c r="E284" s="131" t="str">
        <f>IFERROR(__xludf.DUMMYFUNCTION("""COMPUTED_VALUE"""),"REPAIR AND REHABILITATION OF STRUCTURE")</f>
        <v>REPAIR AND REHABILITATION OF STRUCTURE</v>
      </c>
      <c r="F284" s="121" t="str">
        <f>IFERROR(__xludf.DUMMYFUNCTION("""COMPUTED_VALUE"""),"THEORY")</f>
        <v>THEORY</v>
      </c>
      <c r="G284" s="121">
        <f>IFERROR(__xludf.DUMMYFUNCTION("""COMPUTED_VALUE"""),3.0)</f>
        <v>3</v>
      </c>
      <c r="H284" s="121">
        <f>IFERROR(__xludf.DUMMYFUNCTION("""COMPUTED_VALUE"""),0.0)</f>
        <v>0</v>
      </c>
      <c r="I284" s="121">
        <f>IFERROR(__xludf.DUMMYFUNCTION("""COMPUTED_VALUE"""),0.0)</f>
        <v>0</v>
      </c>
      <c r="J284" s="121">
        <f>IFERROR(__xludf.DUMMYFUNCTION("""COMPUTED_VALUE"""),3.0)</f>
        <v>3</v>
      </c>
      <c r="K284" s="132" t="str">
        <f>IFERROR(__xludf.DUMMYFUNCTION("""COMPUTED_VALUE"""),"CE1865")</f>
        <v>CE1865</v>
      </c>
      <c r="L284" s="121" t="str">
        <f>IFERROR(__xludf.DUMMYFUNCTION("""COMPUTED_VALUE"""),"Dr.GEETHAMANI R")</f>
        <v>Dr.GEETHAMANI R</v>
      </c>
      <c r="M284" s="121" t="str">
        <f>IFERROR(__xludf.DUMMYFUNCTION("""COMPUTED_VALUE"""),"geethamanir@bitsathy.ac.in")</f>
        <v>geethamanir@bitsathy.ac.in</v>
      </c>
    </row>
    <row r="285" ht="49.5" customHeight="1">
      <c r="A285" s="121" t="str">
        <f>IFERROR(__xludf.DUMMYFUNCTION("""COMPUTED_VALUE"""),"CIVIL")</f>
        <v>CIVIL</v>
      </c>
      <c r="B285" s="121" t="str">
        <f>IFERROR(__xludf.DUMMYFUNCTION("""COMPUTED_VALUE"""),"S6")</f>
        <v>S6</v>
      </c>
      <c r="C285" s="121" t="str">
        <f>IFERROR(__xludf.DUMMYFUNCTION("""COMPUTED_VALUE"""),"HONOURS")</f>
        <v>HONOURS</v>
      </c>
      <c r="D285" s="121" t="str">
        <f>IFERROR(__xludf.DUMMYFUNCTION("""COMPUTED_VALUE"""),"22CEH06")</f>
        <v>22CEH06</v>
      </c>
      <c r="E285" s="131" t="str">
        <f>IFERROR(__xludf.DUMMYFUNCTION("""COMPUTED_VALUE"""),"STRUCTURAL HEALTH MONITORING")</f>
        <v>STRUCTURAL HEALTH MONITORING</v>
      </c>
      <c r="F285" s="121" t="str">
        <f>IFERROR(__xludf.DUMMYFUNCTION("""COMPUTED_VALUE"""),"THEORY")</f>
        <v>THEORY</v>
      </c>
      <c r="G285" s="121">
        <f>IFERROR(__xludf.DUMMYFUNCTION("""COMPUTED_VALUE"""),3.0)</f>
        <v>3</v>
      </c>
      <c r="H285" s="121">
        <f>IFERROR(__xludf.DUMMYFUNCTION("""COMPUTED_VALUE"""),0.0)</f>
        <v>0</v>
      </c>
      <c r="I285" s="121">
        <f>IFERROR(__xludf.DUMMYFUNCTION("""COMPUTED_VALUE"""),0.0)</f>
        <v>0</v>
      </c>
      <c r="J285" s="121">
        <f>IFERROR(__xludf.DUMMYFUNCTION("""COMPUTED_VALUE"""),3.0)</f>
        <v>3</v>
      </c>
      <c r="K285" s="132" t="str">
        <f>IFERROR(__xludf.DUMMYFUNCTION("""COMPUTED_VALUE"""),"CE1797")</f>
        <v>CE1797</v>
      </c>
      <c r="L285" s="121" t="str">
        <f>IFERROR(__xludf.DUMMYFUNCTION("""COMPUTED_VALUE"""),"Dr.KARTHIGA  SHENBAGAM N")</f>
        <v>Dr.KARTHIGA  SHENBAGAM N</v>
      </c>
      <c r="M285" s="121" t="str">
        <f>IFERROR(__xludf.DUMMYFUNCTION("""COMPUTED_VALUE"""),"karthigashenbagamn@bitsathy.ac.in")</f>
        <v>karthigashenbagamn@bitsathy.ac.in</v>
      </c>
    </row>
    <row r="286" ht="49.5" customHeight="1">
      <c r="A286" s="121" t="str">
        <f>IFERROR(__xludf.DUMMYFUNCTION("""COMPUTED_VALUE"""),"CIVIL")</f>
        <v>CIVIL</v>
      </c>
      <c r="B286" s="121" t="str">
        <f>IFERROR(__xludf.DUMMYFUNCTION("""COMPUTED_VALUE"""),"S6")</f>
        <v>S6</v>
      </c>
      <c r="C286" s="121" t="str">
        <f>IFERROR(__xludf.DUMMYFUNCTION("""COMPUTED_VALUE"""),"CORE")</f>
        <v>CORE</v>
      </c>
      <c r="D286" s="121" t="str">
        <f>IFERROR(__xludf.DUMMYFUNCTION("""COMPUTED_VALUE"""),"22CE607")</f>
        <v>22CE607</v>
      </c>
      <c r="E286" s="131" t="str">
        <f>IFERROR(__xludf.DUMMYFUNCTION("""COMPUTED_VALUE"""),"MINI PROJECT II")</f>
        <v>MINI PROJECT II</v>
      </c>
      <c r="F286" s="121" t="str">
        <f>IFERROR(__xludf.DUMMYFUNCTION("""COMPUTED_VALUE"""),"LAB")</f>
        <v>LAB</v>
      </c>
      <c r="G286" s="121">
        <f>IFERROR(__xludf.DUMMYFUNCTION("""COMPUTED_VALUE"""),0.0)</f>
        <v>0</v>
      </c>
      <c r="H286" s="121">
        <f>IFERROR(__xludf.DUMMYFUNCTION("""COMPUTED_VALUE"""),0.0)</f>
        <v>0</v>
      </c>
      <c r="I286" s="121">
        <f>IFERROR(__xludf.DUMMYFUNCTION("""COMPUTED_VALUE"""),2.0)</f>
        <v>2</v>
      </c>
      <c r="J286" s="121">
        <f>IFERROR(__xludf.DUMMYFUNCTION("""COMPUTED_VALUE"""),1.0)</f>
        <v>1</v>
      </c>
      <c r="K286" s="132"/>
      <c r="L286" s="121"/>
      <c r="M286" s="121"/>
    </row>
    <row r="287" ht="49.5" customHeight="1">
      <c r="A287" s="121" t="str">
        <f>IFERROR(__xludf.DUMMYFUNCTION("""COMPUTED_VALUE"""),"CIVIL")</f>
        <v>CIVIL</v>
      </c>
      <c r="B287" s="121" t="str">
        <f>IFERROR(__xludf.DUMMYFUNCTION("""COMPUTED_VALUE"""),"S8")</f>
        <v>S8</v>
      </c>
      <c r="C287" s="121" t="str">
        <f>IFERROR(__xludf.DUMMYFUNCTION("""COMPUTED_VALUE"""),"CORE")</f>
        <v>CORE</v>
      </c>
      <c r="D287" s="121" t="str">
        <f>IFERROR(__xludf.DUMMYFUNCTION("""COMPUTED_VALUE"""),"22CE801")</f>
        <v>22CE801</v>
      </c>
      <c r="E287" s="131" t="str">
        <f>IFERROR(__xludf.DUMMYFUNCTION("""COMPUTED_VALUE"""),"PROJECT WORK II")</f>
        <v>PROJECT WORK II</v>
      </c>
      <c r="F287" s="121" t="str">
        <f>IFERROR(__xludf.DUMMYFUNCTION("""COMPUTED_VALUE"""),"LAB")</f>
        <v>LAB</v>
      </c>
      <c r="G287" s="121">
        <f>IFERROR(__xludf.DUMMYFUNCTION("""COMPUTED_VALUE"""),0.0)</f>
        <v>0</v>
      </c>
      <c r="H287" s="121">
        <f>IFERROR(__xludf.DUMMYFUNCTION("""COMPUTED_VALUE"""),0.0)</f>
        <v>0</v>
      </c>
      <c r="I287" s="121">
        <f>IFERROR(__xludf.DUMMYFUNCTION("""COMPUTED_VALUE"""),18.0)</f>
        <v>18</v>
      </c>
      <c r="J287" s="121">
        <f>IFERROR(__xludf.DUMMYFUNCTION("""COMPUTED_VALUE"""),9.0)</f>
        <v>9</v>
      </c>
      <c r="K287" s="132"/>
      <c r="L287" s="121"/>
      <c r="M287" s="121"/>
    </row>
    <row r="288" ht="49.5" customHeight="1">
      <c r="A288" s="121" t="str">
        <f>IFERROR(__xludf.DUMMYFUNCTION("""COMPUTED_VALUE"""),"CSE")</f>
        <v>CSE</v>
      </c>
      <c r="B288" s="121" t="str">
        <f>IFERROR(__xludf.DUMMYFUNCTION("""COMPUTED_VALUE"""),"S2")</f>
        <v>S2</v>
      </c>
      <c r="C288" s="121" t="str">
        <f>IFERROR(__xludf.DUMMYFUNCTION("""COMPUTED_VALUE"""),"CORE")</f>
        <v>CORE</v>
      </c>
      <c r="D288" s="121" t="str">
        <f>IFERROR(__xludf.DUMMYFUNCTION("""COMPUTED_VALUE"""),"22MA201")</f>
        <v>22MA201</v>
      </c>
      <c r="E288" s="131" t="str">
        <f>IFERROR(__xludf.DUMMYFUNCTION("""COMPUTED_VALUE"""),"ENGINEERING MATHEMATICS II")</f>
        <v>ENGINEERING MATHEMATICS II</v>
      </c>
      <c r="F288" s="121" t="str">
        <f>IFERROR(__xludf.DUMMYFUNCTION("""COMPUTED_VALUE"""),"THEORY")</f>
        <v>THEORY</v>
      </c>
      <c r="G288" s="121">
        <f>IFERROR(__xludf.DUMMYFUNCTION("""COMPUTED_VALUE"""),3.0)</f>
        <v>3</v>
      </c>
      <c r="H288" s="121">
        <f>IFERROR(__xludf.DUMMYFUNCTION("""COMPUTED_VALUE"""),1.0)</f>
        <v>1</v>
      </c>
      <c r="I288" s="121">
        <f>IFERROR(__xludf.DUMMYFUNCTION("""COMPUTED_VALUE"""),0.0)</f>
        <v>0</v>
      </c>
      <c r="J288" s="121">
        <f>IFERROR(__xludf.DUMMYFUNCTION("""COMPUTED_VALUE"""),4.0)</f>
        <v>4</v>
      </c>
      <c r="K288" s="132" t="str">
        <f>IFERROR(__xludf.DUMMYFUNCTION("""COMPUTED_VALUE"""),"MA1303")</f>
        <v>MA1303</v>
      </c>
      <c r="L288" s="121" t="str">
        <f>IFERROR(__xludf.DUMMYFUNCTION("""COMPUTED_VALUE"""),"Dr.INDIRANI C")</f>
        <v>Dr.INDIRANI C</v>
      </c>
      <c r="M288" s="121" t="str">
        <f>IFERROR(__xludf.DUMMYFUNCTION("""COMPUTED_VALUE"""),"indiranic@bitsathy.ac.in")</f>
        <v>indiranic@bitsathy.ac.in</v>
      </c>
    </row>
    <row r="289" ht="49.5" customHeight="1">
      <c r="A289" s="121" t="str">
        <f>IFERROR(__xludf.DUMMYFUNCTION("""COMPUTED_VALUE"""),"CSE")</f>
        <v>CSE</v>
      </c>
      <c r="B289" s="121" t="str">
        <f>IFERROR(__xludf.DUMMYFUNCTION("""COMPUTED_VALUE"""),"S2")</f>
        <v>S2</v>
      </c>
      <c r="C289" s="121" t="str">
        <f>IFERROR(__xludf.DUMMYFUNCTION("""COMPUTED_VALUE"""),"CORE")</f>
        <v>CORE</v>
      </c>
      <c r="D289" s="121" t="str">
        <f>IFERROR(__xludf.DUMMYFUNCTION("""COMPUTED_VALUE"""),"22MA201")</f>
        <v>22MA201</v>
      </c>
      <c r="E289" s="131" t="str">
        <f>IFERROR(__xludf.DUMMYFUNCTION("""COMPUTED_VALUE"""),"ENGINEERING MATHEMATICS II")</f>
        <v>ENGINEERING MATHEMATICS II</v>
      </c>
      <c r="F289" s="121" t="str">
        <f>IFERROR(__xludf.DUMMYFUNCTION("""COMPUTED_VALUE"""),"THEORY")</f>
        <v>THEORY</v>
      </c>
      <c r="G289" s="121">
        <f>IFERROR(__xludf.DUMMYFUNCTION("""COMPUTED_VALUE"""),3.0)</f>
        <v>3</v>
      </c>
      <c r="H289" s="121">
        <f>IFERROR(__xludf.DUMMYFUNCTION("""COMPUTED_VALUE"""),1.0)</f>
        <v>1</v>
      </c>
      <c r="I289" s="121">
        <f>IFERROR(__xludf.DUMMYFUNCTION("""COMPUTED_VALUE"""),0.0)</f>
        <v>0</v>
      </c>
      <c r="J289" s="121">
        <f>IFERROR(__xludf.DUMMYFUNCTION("""COMPUTED_VALUE"""),4.0)</f>
        <v>4</v>
      </c>
      <c r="K289" s="132" t="str">
        <f>IFERROR(__xludf.DUMMYFUNCTION("""COMPUTED_VALUE"""),"MA10202")</f>
        <v>MA10202</v>
      </c>
      <c r="L289" s="121" t="str">
        <f>IFERROR(__xludf.DUMMYFUNCTION("""COMPUTED_VALUE"""),"Mr.KARUPPUSAMY M")</f>
        <v>Mr.KARUPPUSAMY M</v>
      </c>
      <c r="M289" s="121" t="str">
        <f>IFERROR(__xludf.DUMMYFUNCTION("""COMPUTED_VALUE"""),"karuppusamy@bitsathy.ac.in")</f>
        <v>karuppusamy@bitsathy.ac.in</v>
      </c>
    </row>
    <row r="290" ht="49.5" customHeight="1">
      <c r="A290" s="121" t="str">
        <f>IFERROR(__xludf.DUMMYFUNCTION("""COMPUTED_VALUE"""),"CSE")</f>
        <v>CSE</v>
      </c>
      <c r="B290" s="121" t="str">
        <f>IFERROR(__xludf.DUMMYFUNCTION("""COMPUTED_VALUE"""),"S2")</f>
        <v>S2</v>
      </c>
      <c r="C290" s="121" t="str">
        <f>IFERROR(__xludf.DUMMYFUNCTION("""COMPUTED_VALUE"""),"CORE")</f>
        <v>CORE</v>
      </c>
      <c r="D290" s="121" t="str">
        <f>IFERROR(__xludf.DUMMYFUNCTION("""COMPUTED_VALUE"""),"22MA201")</f>
        <v>22MA201</v>
      </c>
      <c r="E290" s="131" t="str">
        <f>IFERROR(__xludf.DUMMYFUNCTION("""COMPUTED_VALUE"""),"ENGINEERING MATHEMATICS II")</f>
        <v>ENGINEERING MATHEMATICS II</v>
      </c>
      <c r="F290" s="121" t="str">
        <f>IFERROR(__xludf.DUMMYFUNCTION("""COMPUTED_VALUE"""),"THEORY")</f>
        <v>THEORY</v>
      </c>
      <c r="G290" s="121">
        <f>IFERROR(__xludf.DUMMYFUNCTION("""COMPUTED_VALUE"""),3.0)</f>
        <v>3</v>
      </c>
      <c r="H290" s="121">
        <f>IFERROR(__xludf.DUMMYFUNCTION("""COMPUTED_VALUE"""),1.0)</f>
        <v>1</v>
      </c>
      <c r="I290" s="121">
        <f>IFERROR(__xludf.DUMMYFUNCTION("""COMPUTED_VALUE"""),0.0)</f>
        <v>0</v>
      </c>
      <c r="J290" s="121">
        <f>IFERROR(__xludf.DUMMYFUNCTION("""COMPUTED_VALUE"""),4.0)</f>
        <v>4</v>
      </c>
      <c r="K290" s="132" t="str">
        <f>IFERROR(__xludf.DUMMYFUNCTION("""COMPUTED_VALUE"""),"MA10347")</f>
        <v>MA10347</v>
      </c>
      <c r="L290" s="121" t="str">
        <f>IFERROR(__xludf.DUMMYFUNCTION("""COMPUTED_VALUE"""),"Mrs.KARTHIKA M")</f>
        <v>Mrs.KARTHIKA M</v>
      </c>
      <c r="M290" s="121" t="str">
        <f>IFERROR(__xludf.DUMMYFUNCTION("""COMPUTED_VALUE"""),"karthikam@bitsathy.ac.in")</f>
        <v>karthikam@bitsathy.ac.in</v>
      </c>
    </row>
    <row r="291" ht="49.5" customHeight="1">
      <c r="A291" s="121" t="str">
        <f>IFERROR(__xludf.DUMMYFUNCTION("""COMPUTED_VALUE"""),"CSE")</f>
        <v>CSE</v>
      </c>
      <c r="B291" s="121" t="str">
        <f>IFERROR(__xludf.DUMMYFUNCTION("""COMPUTED_VALUE"""),"S2")</f>
        <v>S2</v>
      </c>
      <c r="C291" s="121" t="str">
        <f>IFERROR(__xludf.DUMMYFUNCTION("""COMPUTED_VALUE"""),"CORE")</f>
        <v>CORE</v>
      </c>
      <c r="D291" s="121" t="str">
        <f>IFERROR(__xludf.DUMMYFUNCTION("""COMPUTED_VALUE"""),"22MA201")</f>
        <v>22MA201</v>
      </c>
      <c r="E291" s="131" t="str">
        <f>IFERROR(__xludf.DUMMYFUNCTION("""COMPUTED_VALUE"""),"ENGINEERING MATHEMATICS II")</f>
        <v>ENGINEERING MATHEMATICS II</v>
      </c>
      <c r="F291" s="121" t="str">
        <f>IFERROR(__xludf.DUMMYFUNCTION("""COMPUTED_VALUE"""),"THEORY")</f>
        <v>THEORY</v>
      </c>
      <c r="G291" s="121">
        <f>IFERROR(__xludf.DUMMYFUNCTION("""COMPUTED_VALUE"""),3.0)</f>
        <v>3</v>
      </c>
      <c r="H291" s="121">
        <f>IFERROR(__xludf.DUMMYFUNCTION("""COMPUTED_VALUE"""),1.0)</f>
        <v>1</v>
      </c>
      <c r="I291" s="121">
        <f>IFERROR(__xludf.DUMMYFUNCTION("""COMPUTED_VALUE"""),0.0)</f>
        <v>0</v>
      </c>
      <c r="J291" s="121">
        <f>IFERROR(__xludf.DUMMYFUNCTION("""COMPUTED_VALUE"""),4.0)</f>
        <v>4</v>
      </c>
      <c r="K291" s="132" t="str">
        <f>IFERROR(__xludf.DUMMYFUNCTION("""COMPUTED_VALUE"""),"MA10452")</f>
        <v>MA10452</v>
      </c>
      <c r="L291" s="121" t="str">
        <f>IFERROR(__xludf.DUMMYFUNCTION("""COMPUTED_VALUE"""),"Mr.KALAISELVAN S")</f>
        <v>Mr.KALAISELVAN S</v>
      </c>
      <c r="M291" s="121" t="str">
        <f>IFERROR(__xludf.DUMMYFUNCTION("""COMPUTED_VALUE"""),"kalaiselvan@bitsathy.ac.in")</f>
        <v>kalaiselvan@bitsathy.ac.in</v>
      </c>
    </row>
    <row r="292" ht="49.5" customHeight="1">
      <c r="A292" s="121" t="str">
        <f>IFERROR(__xludf.DUMMYFUNCTION("""COMPUTED_VALUE"""),"CSE")</f>
        <v>CSE</v>
      </c>
      <c r="B292" s="121" t="str">
        <f>IFERROR(__xludf.DUMMYFUNCTION("""COMPUTED_VALUE"""),"S2")</f>
        <v>S2</v>
      </c>
      <c r="C292" s="121" t="str">
        <f>IFERROR(__xludf.DUMMYFUNCTION("""COMPUTED_VALUE"""),"CORE")</f>
        <v>CORE</v>
      </c>
      <c r="D292" s="121" t="str">
        <f>IFERROR(__xludf.DUMMYFUNCTION("""COMPUTED_VALUE"""),"22MA201")</f>
        <v>22MA201</v>
      </c>
      <c r="E292" s="131" t="str">
        <f>IFERROR(__xludf.DUMMYFUNCTION("""COMPUTED_VALUE"""),"ENGINEERING MATHEMATICS II")</f>
        <v>ENGINEERING MATHEMATICS II</v>
      </c>
      <c r="F292" s="121" t="str">
        <f>IFERROR(__xludf.DUMMYFUNCTION("""COMPUTED_VALUE"""),"THEORY")</f>
        <v>THEORY</v>
      </c>
      <c r="G292" s="121">
        <f>IFERROR(__xludf.DUMMYFUNCTION("""COMPUTED_VALUE"""),3.0)</f>
        <v>3</v>
      </c>
      <c r="H292" s="121">
        <f>IFERROR(__xludf.DUMMYFUNCTION("""COMPUTED_VALUE"""),1.0)</f>
        <v>1</v>
      </c>
      <c r="I292" s="121">
        <f>IFERROR(__xludf.DUMMYFUNCTION("""COMPUTED_VALUE"""),0.0)</f>
        <v>0</v>
      </c>
      <c r="J292" s="121">
        <f>IFERROR(__xludf.DUMMYFUNCTION("""COMPUTED_VALUE"""),4.0)</f>
        <v>4</v>
      </c>
      <c r="K292" s="132" t="str">
        <f>IFERROR(__xludf.DUMMYFUNCTION("""COMPUTED_VALUE"""),"MA11070")</f>
        <v>MA11070</v>
      </c>
      <c r="L292" s="121" t="str">
        <f>IFERROR(__xludf.DUMMYFUNCTION("""COMPUTED_VALUE"""),"Dr.MALATHI M")</f>
        <v>Dr.MALATHI M</v>
      </c>
      <c r="M292" s="121" t="str">
        <f>IFERROR(__xludf.DUMMYFUNCTION("""COMPUTED_VALUE"""),"malathim@bitsathy.ac.in")</f>
        <v>malathim@bitsathy.ac.in</v>
      </c>
    </row>
    <row r="293" ht="49.5" customHeight="1">
      <c r="A293" s="121" t="str">
        <f>IFERROR(__xludf.DUMMYFUNCTION("""COMPUTED_VALUE"""),"CSE")</f>
        <v>CSE</v>
      </c>
      <c r="B293" s="121" t="str">
        <f>IFERROR(__xludf.DUMMYFUNCTION("""COMPUTED_VALUE"""),"S2")</f>
        <v>S2</v>
      </c>
      <c r="C293" s="121" t="str">
        <f>IFERROR(__xludf.DUMMYFUNCTION("""COMPUTED_VALUE"""),"CORE")</f>
        <v>CORE</v>
      </c>
      <c r="D293" s="121" t="str">
        <f>IFERROR(__xludf.DUMMYFUNCTION("""COMPUTED_VALUE"""),"22MA201")</f>
        <v>22MA201</v>
      </c>
      <c r="E293" s="131" t="str">
        <f>IFERROR(__xludf.DUMMYFUNCTION("""COMPUTED_VALUE"""),"ENGINEERING MATHEMATICS II")</f>
        <v>ENGINEERING MATHEMATICS II</v>
      </c>
      <c r="F293" s="121" t="str">
        <f>IFERROR(__xludf.DUMMYFUNCTION("""COMPUTED_VALUE"""),"THEORY")</f>
        <v>THEORY</v>
      </c>
      <c r="G293" s="121">
        <f>IFERROR(__xludf.DUMMYFUNCTION("""COMPUTED_VALUE"""),3.0)</f>
        <v>3</v>
      </c>
      <c r="H293" s="121">
        <f>IFERROR(__xludf.DUMMYFUNCTION("""COMPUTED_VALUE"""),1.0)</f>
        <v>1</v>
      </c>
      <c r="I293" s="121">
        <f>IFERROR(__xludf.DUMMYFUNCTION("""COMPUTED_VALUE"""),0.0)</f>
        <v>0</v>
      </c>
      <c r="J293" s="121">
        <f>IFERROR(__xludf.DUMMYFUNCTION("""COMPUTED_VALUE"""),4.0)</f>
        <v>4</v>
      </c>
      <c r="K293" s="132" t="str">
        <f>IFERROR(__xludf.DUMMYFUNCTION("""COMPUTED_VALUE"""),"MA11028")</f>
        <v>MA11028</v>
      </c>
      <c r="L293" s="121" t="str">
        <f>IFERROR(__xludf.DUMMYFUNCTION("""COMPUTED_VALUE"""),"Mr.SURESH R")</f>
        <v>Mr.SURESH R</v>
      </c>
      <c r="M293" s="133" t="str">
        <f>IFERROR(__xludf.DUMMYFUNCTION("""COMPUTED_VALUE"""),"sureshr@bitsathy.ac.in")</f>
        <v>sureshr@bitsathy.ac.in</v>
      </c>
    </row>
    <row r="294" ht="49.5" customHeight="1">
      <c r="A294" s="121" t="str">
        <f>IFERROR(__xludf.DUMMYFUNCTION("""COMPUTED_VALUE"""),"CSE")</f>
        <v>CSE</v>
      </c>
      <c r="B294" s="121" t="str">
        <f>IFERROR(__xludf.DUMMYFUNCTION("""COMPUTED_VALUE"""),"S2")</f>
        <v>S2</v>
      </c>
      <c r="C294" s="121" t="str">
        <f>IFERROR(__xludf.DUMMYFUNCTION("""COMPUTED_VALUE"""),"CORE")</f>
        <v>CORE</v>
      </c>
      <c r="D294" s="121" t="str">
        <f>IFERROR(__xludf.DUMMYFUNCTION("""COMPUTED_VALUE"""),"22PH202")</f>
        <v>22PH202</v>
      </c>
      <c r="E294" s="131" t="str">
        <f>IFERROR(__xludf.DUMMYFUNCTION("""COMPUTED_VALUE"""),"ELECTROMAGNETISM AND MODERN PHYSICS")</f>
        <v>ELECTROMAGNETISM AND MODERN PHYSICS</v>
      </c>
      <c r="F294" s="121" t="str">
        <f>IFERROR(__xludf.DUMMYFUNCTION("""COMPUTED_VALUE"""),"THEORY WITH LAB")</f>
        <v>THEORY WITH LAB</v>
      </c>
      <c r="G294" s="121">
        <f>IFERROR(__xludf.DUMMYFUNCTION("""COMPUTED_VALUE"""),2.0)</f>
        <v>2</v>
      </c>
      <c r="H294" s="121">
        <f>IFERROR(__xludf.DUMMYFUNCTION("""COMPUTED_VALUE"""),0.0)</f>
        <v>0</v>
      </c>
      <c r="I294" s="121">
        <f>IFERROR(__xludf.DUMMYFUNCTION("""COMPUTED_VALUE"""),2.0)</f>
        <v>2</v>
      </c>
      <c r="J294" s="121">
        <f>IFERROR(__xludf.DUMMYFUNCTION("""COMPUTED_VALUE"""),3.0)</f>
        <v>3</v>
      </c>
      <c r="K294" s="132" t="str">
        <f>IFERROR(__xludf.DUMMYFUNCTION("""COMPUTED_VALUE"""),"PH1653")</f>
        <v>PH1653</v>
      </c>
      <c r="L294" s="121" t="str">
        <f>IFERROR(__xludf.DUMMYFUNCTION("""COMPUTED_VALUE"""),"Dr.PONGALI SATHYA PRABU N")</f>
        <v>Dr.PONGALI SATHYA PRABU N</v>
      </c>
      <c r="M294" s="133" t="str">
        <f>IFERROR(__xludf.DUMMYFUNCTION("""COMPUTED_VALUE"""),"pongalispn@bitsathy.ac.in")</f>
        <v>pongalispn@bitsathy.ac.in</v>
      </c>
    </row>
    <row r="295" ht="49.5" customHeight="1">
      <c r="A295" s="121" t="str">
        <f>IFERROR(__xludf.DUMMYFUNCTION("""COMPUTED_VALUE"""),"CSE")</f>
        <v>CSE</v>
      </c>
      <c r="B295" s="121" t="str">
        <f>IFERROR(__xludf.DUMMYFUNCTION("""COMPUTED_VALUE"""),"S2")</f>
        <v>S2</v>
      </c>
      <c r="C295" s="121" t="str">
        <f>IFERROR(__xludf.DUMMYFUNCTION("""COMPUTED_VALUE"""),"CORE")</f>
        <v>CORE</v>
      </c>
      <c r="D295" s="121" t="str">
        <f>IFERROR(__xludf.DUMMYFUNCTION("""COMPUTED_VALUE"""),"22PH202")</f>
        <v>22PH202</v>
      </c>
      <c r="E295" s="131" t="str">
        <f>IFERROR(__xludf.DUMMYFUNCTION("""COMPUTED_VALUE"""),"ELECTROMAGNETISM AND MODERN PHYSICS")</f>
        <v>ELECTROMAGNETISM AND MODERN PHYSICS</v>
      </c>
      <c r="F295" s="121" t="str">
        <f>IFERROR(__xludf.DUMMYFUNCTION("""COMPUTED_VALUE"""),"THEORY WITH LAB")</f>
        <v>THEORY WITH LAB</v>
      </c>
      <c r="G295" s="121">
        <f>IFERROR(__xludf.DUMMYFUNCTION("""COMPUTED_VALUE"""),2.0)</f>
        <v>2</v>
      </c>
      <c r="H295" s="121">
        <f>IFERROR(__xludf.DUMMYFUNCTION("""COMPUTED_VALUE"""),0.0)</f>
        <v>0</v>
      </c>
      <c r="I295" s="121">
        <f>IFERROR(__xludf.DUMMYFUNCTION("""COMPUTED_VALUE"""),2.0)</f>
        <v>2</v>
      </c>
      <c r="J295" s="121">
        <f>IFERROR(__xludf.DUMMYFUNCTION("""COMPUTED_VALUE"""),3.0)</f>
        <v>3</v>
      </c>
      <c r="K295" s="132" t="str">
        <f>IFERROR(__xludf.DUMMYFUNCTION("""COMPUTED_VALUE"""),"PH10218")</f>
        <v>PH10218</v>
      </c>
      <c r="L295" s="121" t="str">
        <f>IFERROR(__xludf.DUMMYFUNCTION("""COMPUTED_VALUE"""),"Dr.ASHOKAN S")</f>
        <v>Dr.ASHOKAN S</v>
      </c>
      <c r="M295" s="133" t="str">
        <f>IFERROR(__xludf.DUMMYFUNCTION("""COMPUTED_VALUE"""),"ashokan@bitsathy.ac.in")</f>
        <v>ashokan@bitsathy.ac.in</v>
      </c>
    </row>
    <row r="296" ht="49.5" customHeight="1">
      <c r="A296" s="121" t="str">
        <f>IFERROR(__xludf.DUMMYFUNCTION("""COMPUTED_VALUE"""),"CSE")</f>
        <v>CSE</v>
      </c>
      <c r="B296" s="121" t="str">
        <f>IFERROR(__xludf.DUMMYFUNCTION("""COMPUTED_VALUE"""),"S2")</f>
        <v>S2</v>
      </c>
      <c r="C296" s="121" t="str">
        <f>IFERROR(__xludf.DUMMYFUNCTION("""COMPUTED_VALUE"""),"CORE")</f>
        <v>CORE</v>
      </c>
      <c r="D296" s="121" t="str">
        <f>IFERROR(__xludf.DUMMYFUNCTION("""COMPUTED_VALUE"""),"22PH202")</f>
        <v>22PH202</v>
      </c>
      <c r="E296" s="131" t="str">
        <f>IFERROR(__xludf.DUMMYFUNCTION("""COMPUTED_VALUE"""),"ELECTROMAGNETISM AND MODERN PHYSICS")</f>
        <v>ELECTROMAGNETISM AND MODERN PHYSICS</v>
      </c>
      <c r="F296" s="121" t="str">
        <f>IFERROR(__xludf.DUMMYFUNCTION("""COMPUTED_VALUE"""),"THEORY WITH LAB")</f>
        <v>THEORY WITH LAB</v>
      </c>
      <c r="G296" s="121">
        <f>IFERROR(__xludf.DUMMYFUNCTION("""COMPUTED_VALUE"""),2.0)</f>
        <v>2</v>
      </c>
      <c r="H296" s="121">
        <f>IFERROR(__xludf.DUMMYFUNCTION("""COMPUTED_VALUE"""),0.0)</f>
        <v>0</v>
      </c>
      <c r="I296" s="121">
        <f>IFERROR(__xludf.DUMMYFUNCTION("""COMPUTED_VALUE"""),2.0)</f>
        <v>2</v>
      </c>
      <c r="J296" s="121">
        <f>IFERROR(__xludf.DUMMYFUNCTION("""COMPUTED_VALUE"""),3.0)</f>
        <v>3</v>
      </c>
      <c r="K296" s="132" t="str">
        <f>IFERROR(__xludf.DUMMYFUNCTION("""COMPUTED_VALUE"""),"PH10204")</f>
        <v>PH10204</v>
      </c>
      <c r="L296" s="121" t="str">
        <f>IFERROR(__xludf.DUMMYFUNCTION("""COMPUTED_VALUE"""),"Dr.PARASURAMAN P")</f>
        <v>Dr.PARASURAMAN P</v>
      </c>
      <c r="M296" s="133" t="str">
        <f>IFERROR(__xludf.DUMMYFUNCTION("""COMPUTED_VALUE"""),"parasuraman@bitsathy.ac.in")</f>
        <v>parasuraman@bitsathy.ac.in</v>
      </c>
    </row>
    <row r="297" ht="49.5" customHeight="1">
      <c r="A297" s="121" t="str">
        <f>IFERROR(__xludf.DUMMYFUNCTION("""COMPUTED_VALUE"""),"CSE")</f>
        <v>CSE</v>
      </c>
      <c r="B297" s="121" t="str">
        <f>IFERROR(__xludf.DUMMYFUNCTION("""COMPUTED_VALUE"""),"S2")</f>
        <v>S2</v>
      </c>
      <c r="C297" s="121" t="str">
        <f>IFERROR(__xludf.DUMMYFUNCTION("""COMPUTED_VALUE"""),"CORE")</f>
        <v>CORE</v>
      </c>
      <c r="D297" s="121" t="str">
        <f>IFERROR(__xludf.DUMMYFUNCTION("""COMPUTED_VALUE"""),"22PH202")</f>
        <v>22PH202</v>
      </c>
      <c r="E297" s="131" t="str">
        <f>IFERROR(__xludf.DUMMYFUNCTION("""COMPUTED_VALUE"""),"ELECTROMAGNETISM AND MODERN PHYSICS")</f>
        <v>ELECTROMAGNETISM AND MODERN PHYSICS</v>
      </c>
      <c r="F297" s="121" t="str">
        <f>IFERROR(__xludf.DUMMYFUNCTION("""COMPUTED_VALUE"""),"THEORY WITH LAB")</f>
        <v>THEORY WITH LAB</v>
      </c>
      <c r="G297" s="121">
        <f>IFERROR(__xludf.DUMMYFUNCTION("""COMPUTED_VALUE"""),2.0)</f>
        <v>2</v>
      </c>
      <c r="H297" s="121">
        <f>IFERROR(__xludf.DUMMYFUNCTION("""COMPUTED_VALUE"""),0.0)</f>
        <v>0</v>
      </c>
      <c r="I297" s="121">
        <f>IFERROR(__xludf.DUMMYFUNCTION("""COMPUTED_VALUE"""),2.0)</f>
        <v>2</v>
      </c>
      <c r="J297" s="121">
        <f>IFERROR(__xludf.DUMMYFUNCTION("""COMPUTED_VALUE"""),3.0)</f>
        <v>3</v>
      </c>
      <c r="K297" s="132" t="str">
        <f>IFERROR(__xludf.DUMMYFUNCTION("""COMPUTED_VALUE"""),"PH10987")</f>
        <v>PH10987</v>
      </c>
      <c r="L297" s="121" t="str">
        <f>IFERROR(__xludf.DUMMYFUNCTION("""COMPUTED_VALUE"""),"Dr.ANANDHA BABU G")</f>
        <v>Dr.ANANDHA BABU G</v>
      </c>
      <c r="M297" s="133" t="str">
        <f>IFERROR(__xludf.DUMMYFUNCTION("""COMPUTED_VALUE"""),"anandhababug@bitsathy.ac.in")</f>
        <v>anandhababug@bitsathy.ac.in</v>
      </c>
    </row>
    <row r="298" ht="49.5" customHeight="1">
      <c r="A298" s="121" t="str">
        <f>IFERROR(__xludf.DUMMYFUNCTION("""COMPUTED_VALUE"""),"CSE")</f>
        <v>CSE</v>
      </c>
      <c r="B298" s="121" t="str">
        <f>IFERROR(__xludf.DUMMYFUNCTION("""COMPUTED_VALUE"""),"S2")</f>
        <v>S2</v>
      </c>
      <c r="C298" s="121" t="str">
        <f>IFERROR(__xludf.DUMMYFUNCTION("""COMPUTED_VALUE"""),"CORE")</f>
        <v>CORE</v>
      </c>
      <c r="D298" s="121" t="str">
        <f>IFERROR(__xludf.DUMMYFUNCTION("""COMPUTED_VALUE"""),"22PH202")</f>
        <v>22PH202</v>
      </c>
      <c r="E298" s="131" t="str">
        <f>IFERROR(__xludf.DUMMYFUNCTION("""COMPUTED_VALUE"""),"ELECTROMAGNETISM AND MODERN PHYSICS")</f>
        <v>ELECTROMAGNETISM AND MODERN PHYSICS</v>
      </c>
      <c r="F298" s="121" t="str">
        <f>IFERROR(__xludf.DUMMYFUNCTION("""COMPUTED_VALUE"""),"THEORY WITH LAB")</f>
        <v>THEORY WITH LAB</v>
      </c>
      <c r="G298" s="121">
        <f>IFERROR(__xludf.DUMMYFUNCTION("""COMPUTED_VALUE"""),2.0)</f>
        <v>2</v>
      </c>
      <c r="H298" s="121">
        <f>IFERROR(__xludf.DUMMYFUNCTION("""COMPUTED_VALUE"""),0.0)</f>
        <v>0</v>
      </c>
      <c r="I298" s="121">
        <f>IFERROR(__xludf.DUMMYFUNCTION("""COMPUTED_VALUE"""),2.0)</f>
        <v>2</v>
      </c>
      <c r="J298" s="121">
        <f>IFERROR(__xludf.DUMMYFUNCTION("""COMPUTED_VALUE"""),3.0)</f>
        <v>3</v>
      </c>
      <c r="K298" s="132" t="str">
        <f>IFERROR(__xludf.DUMMYFUNCTION("""COMPUTED_VALUE"""),"PH11036")</f>
        <v>PH11036</v>
      </c>
      <c r="L298" s="121" t="str">
        <f>IFERROR(__xludf.DUMMYFUNCTION("""COMPUTED_VALUE"""),"Dr.BASKARAN P")</f>
        <v>Dr.BASKARAN P</v>
      </c>
      <c r="M298" s="133" t="str">
        <f>IFERROR(__xludf.DUMMYFUNCTION("""COMPUTED_VALUE"""),"baskaranp@bitsathy.ac.in")</f>
        <v>baskaranp@bitsathy.ac.in</v>
      </c>
    </row>
    <row r="299" ht="49.5" customHeight="1">
      <c r="A299" s="121" t="str">
        <f>IFERROR(__xludf.DUMMYFUNCTION("""COMPUTED_VALUE"""),"CSE")</f>
        <v>CSE</v>
      </c>
      <c r="B299" s="121" t="str">
        <f>IFERROR(__xludf.DUMMYFUNCTION("""COMPUTED_VALUE"""),"S2")</f>
        <v>S2</v>
      </c>
      <c r="C299" s="121" t="str">
        <f>IFERROR(__xludf.DUMMYFUNCTION("""COMPUTED_VALUE"""),"CORE")</f>
        <v>CORE</v>
      </c>
      <c r="D299" s="121" t="str">
        <f>IFERROR(__xludf.DUMMYFUNCTION("""COMPUTED_VALUE"""),"22PH202")</f>
        <v>22PH202</v>
      </c>
      <c r="E299" s="131" t="str">
        <f>IFERROR(__xludf.DUMMYFUNCTION("""COMPUTED_VALUE"""),"ELECTROMAGNETISM AND MODERN PHYSICS")</f>
        <v>ELECTROMAGNETISM AND MODERN PHYSICS</v>
      </c>
      <c r="F299" s="121" t="str">
        <f>IFERROR(__xludf.DUMMYFUNCTION("""COMPUTED_VALUE"""),"THEORY WITH LAB")</f>
        <v>THEORY WITH LAB</v>
      </c>
      <c r="G299" s="121">
        <f>IFERROR(__xludf.DUMMYFUNCTION("""COMPUTED_VALUE"""),2.0)</f>
        <v>2</v>
      </c>
      <c r="H299" s="121">
        <f>IFERROR(__xludf.DUMMYFUNCTION("""COMPUTED_VALUE"""),0.0)</f>
        <v>0</v>
      </c>
      <c r="I299" s="121">
        <f>IFERROR(__xludf.DUMMYFUNCTION("""COMPUTED_VALUE"""),2.0)</f>
        <v>2</v>
      </c>
      <c r="J299" s="121">
        <f>IFERROR(__xludf.DUMMYFUNCTION("""COMPUTED_VALUE"""),3.0)</f>
        <v>3</v>
      </c>
      <c r="K299" s="132" t="str">
        <f>IFERROR(__xludf.DUMMYFUNCTION("""COMPUTED_VALUE"""),"PH11152")</f>
        <v>PH11152</v>
      </c>
      <c r="L299" s="121" t="str">
        <f>IFERROR(__xludf.DUMMYFUNCTION("""COMPUTED_VALUE"""),"Dr.PRIYADHARSINI A")</f>
        <v>Dr.PRIYADHARSINI A</v>
      </c>
      <c r="M299" s="121" t="str">
        <f>IFERROR(__xludf.DUMMYFUNCTION("""COMPUTED_VALUE"""),"Priyadharsinia@bitsathy.ac.in")</f>
        <v>Priyadharsinia@bitsathy.ac.in</v>
      </c>
    </row>
    <row r="300" ht="49.5" customHeight="1">
      <c r="A300" s="121" t="str">
        <f>IFERROR(__xludf.DUMMYFUNCTION("""COMPUTED_VALUE"""),"CSE")</f>
        <v>CSE</v>
      </c>
      <c r="B300" s="121" t="str">
        <f>IFERROR(__xludf.DUMMYFUNCTION("""COMPUTED_VALUE"""),"S2")</f>
        <v>S2</v>
      </c>
      <c r="C300" s="121" t="str">
        <f>IFERROR(__xludf.DUMMYFUNCTION("""COMPUTED_VALUE"""),"CORE")</f>
        <v>CORE</v>
      </c>
      <c r="D300" s="121" t="str">
        <f>IFERROR(__xludf.DUMMYFUNCTION("""COMPUTED_VALUE"""),"22CH203")</f>
        <v>22CH203</v>
      </c>
      <c r="E300" s="131" t="str">
        <f>IFERROR(__xludf.DUMMYFUNCTION("""COMPUTED_VALUE"""),"ENGINEERING CHEMISTRY II")</f>
        <v>ENGINEERING CHEMISTRY II</v>
      </c>
      <c r="F300" s="121" t="str">
        <f>IFERROR(__xludf.DUMMYFUNCTION("""COMPUTED_VALUE"""),"THEORY WITH LAB")</f>
        <v>THEORY WITH LAB</v>
      </c>
      <c r="G300" s="121">
        <f>IFERROR(__xludf.DUMMYFUNCTION("""COMPUTED_VALUE"""),2.0)</f>
        <v>2</v>
      </c>
      <c r="H300" s="121">
        <f>IFERROR(__xludf.DUMMYFUNCTION("""COMPUTED_VALUE"""),0.0)</f>
        <v>0</v>
      </c>
      <c r="I300" s="121">
        <f>IFERROR(__xludf.DUMMYFUNCTION("""COMPUTED_VALUE"""),2.0)</f>
        <v>2</v>
      </c>
      <c r="J300" s="121">
        <f>IFERROR(__xludf.DUMMYFUNCTION("""COMPUTED_VALUE"""),3.0)</f>
        <v>3</v>
      </c>
      <c r="K300" s="132" t="str">
        <f>IFERROR(__xludf.DUMMYFUNCTION("""COMPUTED_VALUE"""),"CH1558")</f>
        <v>CH1558</v>
      </c>
      <c r="L300" s="121" t="str">
        <f>IFERROR(__xludf.DUMMYFUNCTION("""COMPUTED_VALUE"""),"Dr.PRAVEENA R")</f>
        <v>Dr.PRAVEENA R</v>
      </c>
      <c r="M300" s="121" t="str">
        <f>IFERROR(__xludf.DUMMYFUNCTION("""COMPUTED_VALUE"""),"praveenar@bitsathy.ac.in")</f>
        <v>praveenar@bitsathy.ac.in</v>
      </c>
    </row>
    <row r="301" ht="49.5" customHeight="1">
      <c r="A301" s="121" t="str">
        <f>IFERROR(__xludf.DUMMYFUNCTION("""COMPUTED_VALUE"""),"CSE")</f>
        <v>CSE</v>
      </c>
      <c r="B301" s="121" t="str">
        <f>IFERROR(__xludf.DUMMYFUNCTION("""COMPUTED_VALUE"""),"S2")</f>
        <v>S2</v>
      </c>
      <c r="C301" s="121" t="str">
        <f>IFERROR(__xludf.DUMMYFUNCTION("""COMPUTED_VALUE"""),"CORE")</f>
        <v>CORE</v>
      </c>
      <c r="D301" s="121" t="str">
        <f>IFERROR(__xludf.DUMMYFUNCTION("""COMPUTED_VALUE"""),"22CH203")</f>
        <v>22CH203</v>
      </c>
      <c r="E301" s="131" t="str">
        <f>IFERROR(__xludf.DUMMYFUNCTION("""COMPUTED_VALUE"""),"ENGINEERING CHEMISTRY II")</f>
        <v>ENGINEERING CHEMISTRY II</v>
      </c>
      <c r="F301" s="121" t="str">
        <f>IFERROR(__xludf.DUMMYFUNCTION("""COMPUTED_VALUE"""),"THEORY WITH LAB")</f>
        <v>THEORY WITH LAB</v>
      </c>
      <c r="G301" s="121">
        <f>IFERROR(__xludf.DUMMYFUNCTION("""COMPUTED_VALUE"""),2.0)</f>
        <v>2</v>
      </c>
      <c r="H301" s="121">
        <f>IFERROR(__xludf.DUMMYFUNCTION("""COMPUTED_VALUE"""),0.0)</f>
        <v>0</v>
      </c>
      <c r="I301" s="121">
        <f>IFERROR(__xludf.DUMMYFUNCTION("""COMPUTED_VALUE"""),2.0)</f>
        <v>2</v>
      </c>
      <c r="J301" s="121">
        <f>IFERROR(__xludf.DUMMYFUNCTION("""COMPUTED_VALUE"""),3.0)</f>
        <v>3</v>
      </c>
      <c r="K301" s="132" t="str">
        <f>IFERROR(__xludf.DUMMYFUNCTION("""COMPUTED_VALUE"""),"CH1894")</f>
        <v>CH1894</v>
      </c>
      <c r="L301" s="121" t="str">
        <f>IFERROR(__xludf.DUMMYFUNCTION("""COMPUTED_VALUE"""),"Dr.MALATHI MAHALINGAM")</f>
        <v>Dr.MALATHI MAHALINGAM</v>
      </c>
      <c r="M301" s="121" t="str">
        <f>IFERROR(__xludf.DUMMYFUNCTION("""COMPUTED_VALUE"""),"malathimahalingamm@bitsathy.ac.in")</f>
        <v>malathimahalingamm@bitsathy.ac.in</v>
      </c>
    </row>
    <row r="302" ht="49.5" customHeight="1">
      <c r="A302" s="121" t="str">
        <f>IFERROR(__xludf.DUMMYFUNCTION("""COMPUTED_VALUE"""),"CSE")</f>
        <v>CSE</v>
      </c>
      <c r="B302" s="121" t="str">
        <f>IFERROR(__xludf.DUMMYFUNCTION("""COMPUTED_VALUE"""),"S2")</f>
        <v>S2</v>
      </c>
      <c r="C302" s="121" t="str">
        <f>IFERROR(__xludf.DUMMYFUNCTION("""COMPUTED_VALUE"""),"CORE")</f>
        <v>CORE</v>
      </c>
      <c r="D302" s="121" t="str">
        <f>IFERROR(__xludf.DUMMYFUNCTION("""COMPUTED_VALUE"""),"22CH203")</f>
        <v>22CH203</v>
      </c>
      <c r="E302" s="131" t="str">
        <f>IFERROR(__xludf.DUMMYFUNCTION("""COMPUTED_VALUE"""),"ENGINEERING CHEMISTRY II")</f>
        <v>ENGINEERING CHEMISTRY II</v>
      </c>
      <c r="F302" s="121" t="str">
        <f>IFERROR(__xludf.DUMMYFUNCTION("""COMPUTED_VALUE"""),"THEORY WITH LAB")</f>
        <v>THEORY WITH LAB</v>
      </c>
      <c r="G302" s="121">
        <f>IFERROR(__xludf.DUMMYFUNCTION("""COMPUTED_VALUE"""),2.0)</f>
        <v>2</v>
      </c>
      <c r="H302" s="121">
        <f>IFERROR(__xludf.DUMMYFUNCTION("""COMPUTED_VALUE"""),0.0)</f>
        <v>0</v>
      </c>
      <c r="I302" s="121">
        <f>IFERROR(__xludf.DUMMYFUNCTION("""COMPUTED_VALUE"""),2.0)</f>
        <v>2</v>
      </c>
      <c r="J302" s="121">
        <f>IFERROR(__xludf.DUMMYFUNCTION("""COMPUTED_VALUE"""),3.0)</f>
        <v>3</v>
      </c>
      <c r="K302" s="132" t="str">
        <f>IFERROR(__xludf.DUMMYFUNCTION("""COMPUTED_VALUE"""),"CH10372")</f>
        <v>CH10372</v>
      </c>
      <c r="L302" s="121" t="str">
        <f>IFERROR(__xludf.DUMMYFUNCTION("""COMPUTED_VALUE"""),"Dr.RAMESHKUMAR A")</f>
        <v>Dr.RAMESHKUMAR A</v>
      </c>
      <c r="M302" s="121" t="str">
        <f>IFERROR(__xludf.DUMMYFUNCTION("""COMPUTED_VALUE"""),"rameshkumar@bitsathy.ac.in")</f>
        <v>rameshkumar@bitsathy.ac.in</v>
      </c>
    </row>
    <row r="303" ht="49.5" customHeight="1">
      <c r="A303" s="121" t="str">
        <f>IFERROR(__xludf.DUMMYFUNCTION("""COMPUTED_VALUE"""),"CSE")</f>
        <v>CSE</v>
      </c>
      <c r="B303" s="121" t="str">
        <f>IFERROR(__xludf.DUMMYFUNCTION("""COMPUTED_VALUE"""),"S2")</f>
        <v>S2</v>
      </c>
      <c r="C303" s="121" t="str">
        <f>IFERROR(__xludf.DUMMYFUNCTION("""COMPUTED_VALUE"""),"CORE")</f>
        <v>CORE</v>
      </c>
      <c r="D303" s="121" t="str">
        <f>IFERROR(__xludf.DUMMYFUNCTION("""COMPUTED_VALUE"""),"22CH203")</f>
        <v>22CH203</v>
      </c>
      <c r="E303" s="131" t="str">
        <f>IFERROR(__xludf.DUMMYFUNCTION("""COMPUTED_VALUE"""),"ENGINEERING CHEMISTRY II")</f>
        <v>ENGINEERING CHEMISTRY II</v>
      </c>
      <c r="F303" s="121" t="str">
        <f>IFERROR(__xludf.DUMMYFUNCTION("""COMPUTED_VALUE"""),"THEORY WITH LAB")</f>
        <v>THEORY WITH LAB</v>
      </c>
      <c r="G303" s="121">
        <f>IFERROR(__xludf.DUMMYFUNCTION("""COMPUTED_VALUE"""),2.0)</f>
        <v>2</v>
      </c>
      <c r="H303" s="121">
        <f>IFERROR(__xludf.DUMMYFUNCTION("""COMPUTED_VALUE"""),0.0)</f>
        <v>0</v>
      </c>
      <c r="I303" s="121">
        <f>IFERROR(__xludf.DUMMYFUNCTION("""COMPUTED_VALUE"""),2.0)</f>
        <v>2</v>
      </c>
      <c r="J303" s="121">
        <f>IFERROR(__xludf.DUMMYFUNCTION("""COMPUTED_VALUE"""),3.0)</f>
        <v>3</v>
      </c>
      <c r="K303" s="132" t="str">
        <f>IFERROR(__xludf.DUMMYFUNCTION("""COMPUTED_VALUE"""),"CH10957")</f>
        <v>CH10957</v>
      </c>
      <c r="L303" s="121" t="str">
        <f>IFERROR(__xludf.DUMMYFUNCTION("""COMPUTED_VALUE"""),"Dr.DEEPHA V")</f>
        <v>Dr.DEEPHA V</v>
      </c>
      <c r="M303" s="121" t="str">
        <f>IFERROR(__xludf.DUMMYFUNCTION("""COMPUTED_VALUE"""),"deephav@bitsathy.ac.in")</f>
        <v>deephav@bitsathy.ac.in</v>
      </c>
    </row>
    <row r="304" ht="49.5" customHeight="1">
      <c r="A304" s="121" t="str">
        <f>IFERROR(__xludf.DUMMYFUNCTION("""COMPUTED_VALUE"""),"CSE")</f>
        <v>CSE</v>
      </c>
      <c r="B304" s="121" t="str">
        <f>IFERROR(__xludf.DUMMYFUNCTION("""COMPUTED_VALUE"""),"S2")</f>
        <v>S2</v>
      </c>
      <c r="C304" s="121" t="str">
        <f>IFERROR(__xludf.DUMMYFUNCTION("""COMPUTED_VALUE"""),"CORE")</f>
        <v>CORE</v>
      </c>
      <c r="D304" s="121" t="str">
        <f>IFERROR(__xludf.DUMMYFUNCTION("""COMPUTED_VALUE"""),"22CH203")</f>
        <v>22CH203</v>
      </c>
      <c r="E304" s="131" t="str">
        <f>IFERROR(__xludf.DUMMYFUNCTION("""COMPUTED_VALUE"""),"ENGINEERING CHEMISTRY II")</f>
        <v>ENGINEERING CHEMISTRY II</v>
      </c>
      <c r="F304" s="121" t="str">
        <f>IFERROR(__xludf.DUMMYFUNCTION("""COMPUTED_VALUE"""),"THEORY WITH LAB")</f>
        <v>THEORY WITH LAB</v>
      </c>
      <c r="G304" s="121">
        <f>IFERROR(__xludf.DUMMYFUNCTION("""COMPUTED_VALUE"""),2.0)</f>
        <v>2</v>
      </c>
      <c r="H304" s="121">
        <f>IFERROR(__xludf.DUMMYFUNCTION("""COMPUTED_VALUE"""),0.0)</f>
        <v>0</v>
      </c>
      <c r="I304" s="121">
        <f>IFERROR(__xludf.DUMMYFUNCTION("""COMPUTED_VALUE"""),2.0)</f>
        <v>2</v>
      </c>
      <c r="J304" s="121">
        <f>IFERROR(__xludf.DUMMYFUNCTION("""COMPUTED_VALUE"""),3.0)</f>
        <v>3</v>
      </c>
      <c r="K304" s="132" t="str">
        <f>IFERROR(__xludf.DUMMYFUNCTION("""COMPUTED_VALUE"""),"CH10333")</f>
        <v>CH10333</v>
      </c>
      <c r="L304" s="121" t="str">
        <f>IFERROR(__xludf.DUMMYFUNCTION("""COMPUTED_VALUE"""),"Dr.MURALI KRISHNAN M")</f>
        <v>Dr.MURALI KRISHNAN M</v>
      </c>
      <c r="M304" s="121" t="str">
        <f>IFERROR(__xludf.DUMMYFUNCTION("""COMPUTED_VALUE"""),"muralikrishnan@bitsathy.ac.in")</f>
        <v>muralikrishnan@bitsathy.ac.in</v>
      </c>
    </row>
    <row r="305" ht="49.5" customHeight="1">
      <c r="A305" s="121" t="str">
        <f>IFERROR(__xludf.DUMMYFUNCTION("""COMPUTED_VALUE"""),"CSE")</f>
        <v>CSE</v>
      </c>
      <c r="B305" s="121" t="str">
        <f>IFERROR(__xludf.DUMMYFUNCTION("""COMPUTED_VALUE"""),"S2")</f>
        <v>S2</v>
      </c>
      <c r="C305" s="121" t="str">
        <f>IFERROR(__xludf.DUMMYFUNCTION("""COMPUTED_VALUE"""),"CORE")</f>
        <v>CORE</v>
      </c>
      <c r="D305" s="121" t="str">
        <f>IFERROR(__xludf.DUMMYFUNCTION("""COMPUTED_VALUE"""),"22CH203")</f>
        <v>22CH203</v>
      </c>
      <c r="E305" s="131" t="str">
        <f>IFERROR(__xludf.DUMMYFUNCTION("""COMPUTED_VALUE"""),"ENGINEERING CHEMISTRY II")</f>
        <v>ENGINEERING CHEMISTRY II</v>
      </c>
      <c r="F305" s="121" t="str">
        <f>IFERROR(__xludf.DUMMYFUNCTION("""COMPUTED_VALUE"""),"THEORY WITH LAB")</f>
        <v>THEORY WITH LAB</v>
      </c>
      <c r="G305" s="121">
        <f>IFERROR(__xludf.DUMMYFUNCTION("""COMPUTED_VALUE"""),2.0)</f>
        <v>2</v>
      </c>
      <c r="H305" s="121">
        <f>IFERROR(__xludf.DUMMYFUNCTION("""COMPUTED_VALUE"""),0.0)</f>
        <v>0</v>
      </c>
      <c r="I305" s="121">
        <f>IFERROR(__xludf.DUMMYFUNCTION("""COMPUTED_VALUE"""),2.0)</f>
        <v>2</v>
      </c>
      <c r="J305" s="121">
        <f>IFERROR(__xludf.DUMMYFUNCTION("""COMPUTED_VALUE"""),3.0)</f>
        <v>3</v>
      </c>
      <c r="K305" s="132" t="str">
        <f>IFERROR(__xludf.DUMMYFUNCTION("""COMPUTED_VALUE"""),"CH10003")</f>
        <v>CH10003</v>
      </c>
      <c r="L305" s="121" t="str">
        <f>IFERROR(__xludf.DUMMYFUNCTION("""COMPUTED_VALUE"""),"Dr.SATHISH V")</f>
        <v>Dr.SATHISH V</v>
      </c>
      <c r="M305" s="121" t="str">
        <f>IFERROR(__xludf.DUMMYFUNCTION("""COMPUTED_VALUE"""),"sathishv@bitsathy.ac.in")</f>
        <v>sathishv@bitsathy.ac.in</v>
      </c>
    </row>
    <row r="306" ht="49.5" customHeight="1">
      <c r="A306" s="121" t="str">
        <f>IFERROR(__xludf.DUMMYFUNCTION("""COMPUTED_VALUE"""),"CSE")</f>
        <v>CSE</v>
      </c>
      <c r="B306" s="121" t="str">
        <f>IFERROR(__xludf.DUMMYFUNCTION("""COMPUTED_VALUE"""),"S2")</f>
        <v>S2</v>
      </c>
      <c r="C306" s="121" t="str">
        <f>IFERROR(__xludf.DUMMYFUNCTION("""COMPUTED_VALUE"""),"CORE")</f>
        <v>CORE</v>
      </c>
      <c r="D306" s="121" t="str">
        <f>IFERROR(__xludf.DUMMYFUNCTION("""COMPUTED_VALUE"""),"22GE002")</f>
        <v>22GE002</v>
      </c>
      <c r="E306" s="131" t="str">
        <f>IFERROR(__xludf.DUMMYFUNCTION("""COMPUTED_VALUE"""),"COMPUTATIONAL PROBLEM SOLVING")</f>
        <v>COMPUTATIONAL PROBLEM SOLVING</v>
      </c>
      <c r="F306" s="121" t="str">
        <f>IFERROR(__xludf.DUMMYFUNCTION("""COMPUTED_VALUE"""),"THEORY")</f>
        <v>THEORY</v>
      </c>
      <c r="G306" s="121">
        <f>IFERROR(__xludf.DUMMYFUNCTION("""COMPUTED_VALUE"""),3.0)</f>
        <v>3</v>
      </c>
      <c r="H306" s="121">
        <f>IFERROR(__xludf.DUMMYFUNCTION("""COMPUTED_VALUE"""),0.0)</f>
        <v>0</v>
      </c>
      <c r="I306" s="121">
        <f>IFERROR(__xludf.DUMMYFUNCTION("""COMPUTED_VALUE"""),0.0)</f>
        <v>0</v>
      </c>
      <c r="J306" s="121">
        <f>IFERROR(__xludf.DUMMYFUNCTION("""COMPUTED_VALUE"""),3.0)</f>
        <v>3</v>
      </c>
      <c r="K306" s="132" t="str">
        <f>IFERROR(__xludf.DUMMYFUNCTION("""COMPUTED_VALUE"""),"CS11101")</f>
        <v>CS11101</v>
      </c>
      <c r="L306" s="121" t="str">
        <f>IFERROR(__xludf.DUMMYFUNCTION("""COMPUTED_VALUE"""),"Mrs.ALAMELU M")</f>
        <v>Mrs.ALAMELU M</v>
      </c>
      <c r="M306" s="121" t="str">
        <f>IFERROR(__xludf.DUMMYFUNCTION("""COMPUTED_VALUE"""),"alamelu@bitsathy.ac.in")</f>
        <v>alamelu@bitsathy.ac.in</v>
      </c>
    </row>
    <row r="307" ht="49.5" customHeight="1">
      <c r="A307" s="121" t="str">
        <f>IFERROR(__xludf.DUMMYFUNCTION("""COMPUTED_VALUE"""),"CSE")</f>
        <v>CSE</v>
      </c>
      <c r="B307" s="121" t="str">
        <f>IFERROR(__xludf.DUMMYFUNCTION("""COMPUTED_VALUE"""),"S2")</f>
        <v>S2</v>
      </c>
      <c r="C307" s="121" t="str">
        <f>IFERROR(__xludf.DUMMYFUNCTION("""COMPUTED_VALUE"""),"CORE")</f>
        <v>CORE</v>
      </c>
      <c r="D307" s="121" t="str">
        <f>IFERROR(__xludf.DUMMYFUNCTION("""COMPUTED_VALUE"""),"22GE002")</f>
        <v>22GE002</v>
      </c>
      <c r="E307" s="131" t="str">
        <f>IFERROR(__xludf.DUMMYFUNCTION("""COMPUTED_VALUE"""),"COMPUTATIONAL PROBLEM SOLVING")</f>
        <v>COMPUTATIONAL PROBLEM SOLVING</v>
      </c>
      <c r="F307" s="121" t="str">
        <f>IFERROR(__xludf.DUMMYFUNCTION("""COMPUTED_VALUE"""),"THEORY")</f>
        <v>THEORY</v>
      </c>
      <c r="G307" s="121">
        <f>IFERROR(__xludf.DUMMYFUNCTION("""COMPUTED_VALUE"""),3.0)</f>
        <v>3</v>
      </c>
      <c r="H307" s="121">
        <f>IFERROR(__xludf.DUMMYFUNCTION("""COMPUTED_VALUE"""),0.0)</f>
        <v>0</v>
      </c>
      <c r="I307" s="121">
        <f>IFERROR(__xludf.DUMMYFUNCTION("""COMPUTED_VALUE"""),0.0)</f>
        <v>0</v>
      </c>
      <c r="J307" s="121">
        <f>IFERROR(__xludf.DUMMYFUNCTION("""COMPUTED_VALUE"""),3.0)</f>
        <v>3</v>
      </c>
      <c r="K307" s="132" t="str">
        <f>IFERROR(__xludf.DUMMYFUNCTION("""COMPUTED_VALUE"""),"CS10449")</f>
        <v>CS10449</v>
      </c>
      <c r="L307" s="121" t="str">
        <f>IFERROR(__xludf.DUMMYFUNCTION("""COMPUTED_VALUE"""),"Mrs.PRABHA DEVI D")</f>
        <v>Mrs.PRABHA DEVI D</v>
      </c>
      <c r="M307" s="121" t="str">
        <f>IFERROR(__xludf.DUMMYFUNCTION("""COMPUTED_VALUE"""),"prabhadevi@bitsathy.ac.in")</f>
        <v>prabhadevi@bitsathy.ac.in</v>
      </c>
    </row>
    <row r="308" ht="49.5" customHeight="1">
      <c r="A308" s="121" t="str">
        <f>IFERROR(__xludf.DUMMYFUNCTION("""COMPUTED_VALUE"""),"CSE")</f>
        <v>CSE</v>
      </c>
      <c r="B308" s="121" t="str">
        <f>IFERROR(__xludf.DUMMYFUNCTION("""COMPUTED_VALUE"""),"S2")</f>
        <v>S2</v>
      </c>
      <c r="C308" s="121" t="str">
        <f>IFERROR(__xludf.DUMMYFUNCTION("""COMPUTED_VALUE"""),"CORE")</f>
        <v>CORE</v>
      </c>
      <c r="D308" s="121" t="str">
        <f>IFERROR(__xludf.DUMMYFUNCTION("""COMPUTED_VALUE"""),"22GE002")</f>
        <v>22GE002</v>
      </c>
      <c r="E308" s="131" t="str">
        <f>IFERROR(__xludf.DUMMYFUNCTION("""COMPUTED_VALUE"""),"COMPUTATIONAL PROBLEM SOLVING")</f>
        <v>COMPUTATIONAL PROBLEM SOLVING</v>
      </c>
      <c r="F308" s="121" t="str">
        <f>IFERROR(__xludf.DUMMYFUNCTION("""COMPUTED_VALUE"""),"THEORY")</f>
        <v>THEORY</v>
      </c>
      <c r="G308" s="121">
        <f>IFERROR(__xludf.DUMMYFUNCTION("""COMPUTED_VALUE"""),3.0)</f>
        <v>3</v>
      </c>
      <c r="H308" s="121">
        <f>IFERROR(__xludf.DUMMYFUNCTION("""COMPUTED_VALUE"""),0.0)</f>
        <v>0</v>
      </c>
      <c r="I308" s="121">
        <f>IFERROR(__xludf.DUMMYFUNCTION("""COMPUTED_VALUE"""),0.0)</f>
        <v>0</v>
      </c>
      <c r="J308" s="121">
        <f>IFERROR(__xludf.DUMMYFUNCTION("""COMPUTED_VALUE"""),3.0)</f>
        <v>3</v>
      </c>
      <c r="K308" s="132" t="str">
        <f>IFERROR(__xludf.DUMMYFUNCTION("""COMPUTED_VALUE"""),"CS1906")</f>
        <v>CS1906</v>
      </c>
      <c r="L308" s="121" t="str">
        <f>IFERROR(__xludf.DUMMYFUNCTION("""COMPUTED_VALUE"""),"Dr.RAMYA R")</f>
        <v>Dr.RAMYA R</v>
      </c>
      <c r="M308" s="121" t="str">
        <f>IFERROR(__xludf.DUMMYFUNCTION("""COMPUTED_VALUE"""),"ramyarv@bitsathy.ac.in")</f>
        <v>ramyarv@bitsathy.ac.in</v>
      </c>
    </row>
    <row r="309" ht="49.5" customHeight="1">
      <c r="A309" s="121" t="str">
        <f>IFERROR(__xludf.DUMMYFUNCTION("""COMPUTED_VALUE"""),"CSE")</f>
        <v>CSE</v>
      </c>
      <c r="B309" s="121" t="str">
        <f>IFERROR(__xludf.DUMMYFUNCTION("""COMPUTED_VALUE"""),"S2")</f>
        <v>S2</v>
      </c>
      <c r="C309" s="121" t="str">
        <f>IFERROR(__xludf.DUMMYFUNCTION("""COMPUTED_VALUE"""),"CORE")</f>
        <v>CORE</v>
      </c>
      <c r="D309" s="121" t="str">
        <f>IFERROR(__xludf.DUMMYFUNCTION("""COMPUTED_VALUE"""),"22GE002")</f>
        <v>22GE002</v>
      </c>
      <c r="E309" s="131" t="str">
        <f>IFERROR(__xludf.DUMMYFUNCTION("""COMPUTED_VALUE"""),"COMPUTATIONAL PROBLEM SOLVING")</f>
        <v>COMPUTATIONAL PROBLEM SOLVING</v>
      </c>
      <c r="F309" s="121" t="str">
        <f>IFERROR(__xludf.DUMMYFUNCTION("""COMPUTED_VALUE"""),"THEORY")</f>
        <v>THEORY</v>
      </c>
      <c r="G309" s="121">
        <f>IFERROR(__xludf.DUMMYFUNCTION("""COMPUTED_VALUE"""),3.0)</f>
        <v>3</v>
      </c>
      <c r="H309" s="121">
        <f>IFERROR(__xludf.DUMMYFUNCTION("""COMPUTED_VALUE"""),0.0)</f>
        <v>0</v>
      </c>
      <c r="I309" s="121">
        <f>IFERROR(__xludf.DUMMYFUNCTION("""COMPUTED_VALUE"""),0.0)</f>
        <v>0</v>
      </c>
      <c r="J309" s="121">
        <f>IFERROR(__xludf.DUMMYFUNCTION("""COMPUTED_VALUE"""),3.0)</f>
        <v>3</v>
      </c>
      <c r="K309" s="132" t="str">
        <f>IFERROR(__xludf.DUMMYFUNCTION("""COMPUTED_VALUE"""),"CD11183")</f>
        <v>CD11183</v>
      </c>
      <c r="L309" s="121" t="str">
        <f>IFERROR(__xludf.DUMMYFUNCTION("""COMPUTED_VALUE"""),"Mrs.INDHUMATHI K")</f>
        <v>Mrs.INDHUMATHI K</v>
      </c>
      <c r="M309" s="121" t="str">
        <f>IFERROR(__xludf.DUMMYFUNCTION("""COMPUTED_VALUE"""),"indhumathik@bitsathy.ac.in")</f>
        <v>indhumathik@bitsathy.ac.in</v>
      </c>
    </row>
    <row r="310" ht="49.5" customHeight="1">
      <c r="A310" s="121" t="str">
        <f>IFERROR(__xludf.DUMMYFUNCTION("""COMPUTED_VALUE"""),"CSE")</f>
        <v>CSE</v>
      </c>
      <c r="B310" s="121" t="str">
        <f>IFERROR(__xludf.DUMMYFUNCTION("""COMPUTED_VALUE"""),"S2")</f>
        <v>S2</v>
      </c>
      <c r="C310" s="121" t="str">
        <f>IFERROR(__xludf.DUMMYFUNCTION("""COMPUTED_VALUE"""),"CORE")</f>
        <v>CORE</v>
      </c>
      <c r="D310" s="121" t="str">
        <f>IFERROR(__xludf.DUMMYFUNCTION("""COMPUTED_VALUE"""),"22GE002")</f>
        <v>22GE002</v>
      </c>
      <c r="E310" s="131" t="str">
        <f>IFERROR(__xludf.DUMMYFUNCTION("""COMPUTED_VALUE"""),"COMPUTATIONAL PROBLEM SOLVING")</f>
        <v>COMPUTATIONAL PROBLEM SOLVING</v>
      </c>
      <c r="F310" s="121" t="str">
        <f>IFERROR(__xludf.DUMMYFUNCTION("""COMPUTED_VALUE"""),"THEORY")</f>
        <v>THEORY</v>
      </c>
      <c r="G310" s="121">
        <f>IFERROR(__xludf.DUMMYFUNCTION("""COMPUTED_VALUE"""),3.0)</f>
        <v>3</v>
      </c>
      <c r="H310" s="121">
        <f>IFERROR(__xludf.DUMMYFUNCTION("""COMPUTED_VALUE"""),0.0)</f>
        <v>0</v>
      </c>
      <c r="I310" s="121">
        <f>IFERROR(__xludf.DUMMYFUNCTION("""COMPUTED_VALUE"""),0.0)</f>
        <v>0</v>
      </c>
      <c r="J310" s="121">
        <f>IFERROR(__xludf.DUMMYFUNCTION("""COMPUTED_VALUE"""),3.0)</f>
        <v>3</v>
      </c>
      <c r="K310" s="132" t="str">
        <f>IFERROR(__xludf.DUMMYFUNCTION("""COMPUTED_VALUE"""),"CS11088")</f>
        <v>CS11088</v>
      </c>
      <c r="L310" s="121" t="str">
        <f>IFERROR(__xludf.DUMMYFUNCTION("""COMPUTED_VALUE"""),"Ms.SATHIYA B")</f>
        <v>Ms.SATHIYA B</v>
      </c>
      <c r="M310" s="121" t="str">
        <f>IFERROR(__xludf.DUMMYFUNCTION("""COMPUTED_VALUE"""),"sathiya@bitsathy.ac.in")</f>
        <v>sathiya@bitsathy.ac.in</v>
      </c>
    </row>
    <row r="311" ht="49.5" customHeight="1">
      <c r="A311" s="121" t="str">
        <f>IFERROR(__xludf.DUMMYFUNCTION("""COMPUTED_VALUE"""),"CSE")</f>
        <v>CSE</v>
      </c>
      <c r="B311" s="121" t="str">
        <f>IFERROR(__xludf.DUMMYFUNCTION("""COMPUTED_VALUE"""),"S2")</f>
        <v>S2</v>
      </c>
      <c r="C311" s="121" t="str">
        <f>IFERROR(__xludf.DUMMYFUNCTION("""COMPUTED_VALUE"""),"CORE")</f>
        <v>CORE</v>
      </c>
      <c r="D311" s="121" t="str">
        <f>IFERROR(__xludf.DUMMYFUNCTION("""COMPUTED_VALUE"""),"22GE002")</f>
        <v>22GE002</v>
      </c>
      <c r="E311" s="131" t="str">
        <f>IFERROR(__xludf.DUMMYFUNCTION("""COMPUTED_VALUE"""),"COMPUTATIONAL PROBLEM SOLVING")</f>
        <v>COMPUTATIONAL PROBLEM SOLVING</v>
      </c>
      <c r="F311" s="121" t="str">
        <f>IFERROR(__xludf.DUMMYFUNCTION("""COMPUTED_VALUE"""),"THEORY")</f>
        <v>THEORY</v>
      </c>
      <c r="G311" s="121">
        <f>IFERROR(__xludf.DUMMYFUNCTION("""COMPUTED_VALUE"""),3.0)</f>
        <v>3</v>
      </c>
      <c r="H311" s="121">
        <f>IFERROR(__xludf.DUMMYFUNCTION("""COMPUTED_VALUE"""),0.0)</f>
        <v>0</v>
      </c>
      <c r="I311" s="121">
        <f>IFERROR(__xludf.DUMMYFUNCTION("""COMPUTED_VALUE"""),0.0)</f>
        <v>0</v>
      </c>
      <c r="J311" s="121">
        <f>IFERROR(__xludf.DUMMYFUNCTION("""COMPUTED_VALUE"""),3.0)</f>
        <v>3</v>
      </c>
      <c r="K311" s="132" t="str">
        <f>IFERROR(__xludf.DUMMYFUNCTION("""COMPUTED_VALUE"""),"CS11081")</f>
        <v>CS11081</v>
      </c>
      <c r="L311" s="121" t="str">
        <f>IFERROR(__xludf.DUMMYFUNCTION("""COMPUTED_VALUE"""),"Dr.DEEPA PRIYA B S")</f>
        <v>Dr.DEEPA PRIYA B S</v>
      </c>
      <c r="M311" s="121" t="str">
        <f>IFERROR(__xludf.DUMMYFUNCTION("""COMPUTED_VALUE"""),"deepapriya@bitsathy.ac.in")</f>
        <v>deepapriya@bitsathy.ac.in</v>
      </c>
    </row>
    <row r="312" ht="49.5" customHeight="1">
      <c r="A312" s="121" t="str">
        <f>IFERROR(__xludf.DUMMYFUNCTION("""COMPUTED_VALUE"""),"CSE")</f>
        <v>CSE</v>
      </c>
      <c r="B312" s="121" t="str">
        <f>IFERROR(__xludf.DUMMYFUNCTION("""COMPUTED_VALUE"""),"S2")</f>
        <v>S2</v>
      </c>
      <c r="C312" s="121" t="str">
        <f>IFERROR(__xludf.DUMMYFUNCTION("""COMPUTED_VALUE"""),"CORE")</f>
        <v>CORE</v>
      </c>
      <c r="D312" s="121" t="str">
        <f>IFERROR(__xludf.DUMMYFUNCTION("""COMPUTED_VALUE"""),"22GE003")</f>
        <v>22GE003</v>
      </c>
      <c r="E312" s="131" t="str">
        <f>IFERROR(__xludf.DUMMYFUNCTION("""COMPUTED_VALUE"""),"BASICS OF ELECTRICAL ENGINEERING")</f>
        <v>BASICS OF ELECTRICAL ENGINEERING</v>
      </c>
      <c r="F312" s="121" t="str">
        <f>IFERROR(__xludf.DUMMYFUNCTION("""COMPUTED_VALUE"""),"THEORY WITH LAB")</f>
        <v>THEORY WITH LAB</v>
      </c>
      <c r="G312" s="121">
        <f>IFERROR(__xludf.DUMMYFUNCTION("""COMPUTED_VALUE"""),2.0)</f>
        <v>2</v>
      </c>
      <c r="H312" s="121">
        <f>IFERROR(__xludf.DUMMYFUNCTION("""COMPUTED_VALUE"""),0.0)</f>
        <v>0</v>
      </c>
      <c r="I312" s="121">
        <f>IFERROR(__xludf.DUMMYFUNCTION("""COMPUTED_VALUE"""),2.0)</f>
        <v>2</v>
      </c>
      <c r="J312" s="121">
        <f>IFERROR(__xludf.DUMMYFUNCTION("""COMPUTED_VALUE"""),3.0)</f>
        <v>3</v>
      </c>
      <c r="K312" s="132" t="str">
        <f>IFERROR(__xludf.DUMMYFUNCTION("""COMPUTED_VALUE"""),"EE10873")</f>
        <v>EE10873</v>
      </c>
      <c r="L312" s="121" t="str">
        <f>IFERROR(__xludf.DUMMYFUNCTION("""COMPUTED_VALUE"""),"Dr.CHINNADURRAI CL")</f>
        <v>Dr.CHINNADURRAI CL</v>
      </c>
      <c r="M312" s="121" t="str">
        <f>IFERROR(__xludf.DUMMYFUNCTION("""COMPUTED_VALUE"""),"chinnadurraicl@bitsathy.ac.in")</f>
        <v>chinnadurraicl@bitsathy.ac.in</v>
      </c>
    </row>
    <row r="313" ht="49.5" customHeight="1">
      <c r="A313" s="121" t="str">
        <f>IFERROR(__xludf.DUMMYFUNCTION("""COMPUTED_VALUE"""),"CSE")</f>
        <v>CSE</v>
      </c>
      <c r="B313" s="121" t="str">
        <f>IFERROR(__xludf.DUMMYFUNCTION("""COMPUTED_VALUE"""),"S2")</f>
        <v>S2</v>
      </c>
      <c r="C313" s="121" t="str">
        <f>IFERROR(__xludf.DUMMYFUNCTION("""COMPUTED_VALUE"""),"CORE")</f>
        <v>CORE</v>
      </c>
      <c r="D313" s="121" t="str">
        <f>IFERROR(__xludf.DUMMYFUNCTION("""COMPUTED_VALUE"""),"22GE003")</f>
        <v>22GE003</v>
      </c>
      <c r="E313" s="131" t="str">
        <f>IFERROR(__xludf.DUMMYFUNCTION("""COMPUTED_VALUE"""),"BASICS OF ELECTRICAL ENGINEERING")</f>
        <v>BASICS OF ELECTRICAL ENGINEERING</v>
      </c>
      <c r="F313" s="121" t="str">
        <f>IFERROR(__xludf.DUMMYFUNCTION("""COMPUTED_VALUE"""),"THEORY WITH LAB")</f>
        <v>THEORY WITH LAB</v>
      </c>
      <c r="G313" s="121">
        <f>IFERROR(__xludf.DUMMYFUNCTION("""COMPUTED_VALUE"""),2.0)</f>
        <v>2</v>
      </c>
      <c r="H313" s="121">
        <f>IFERROR(__xludf.DUMMYFUNCTION("""COMPUTED_VALUE"""),0.0)</f>
        <v>0</v>
      </c>
      <c r="I313" s="121">
        <f>IFERROR(__xludf.DUMMYFUNCTION("""COMPUTED_VALUE"""),2.0)</f>
        <v>2</v>
      </c>
      <c r="J313" s="121">
        <f>IFERROR(__xludf.DUMMYFUNCTION("""COMPUTED_VALUE"""),3.0)</f>
        <v>3</v>
      </c>
      <c r="K313" s="132" t="str">
        <f>IFERROR(__xludf.DUMMYFUNCTION("""COMPUTED_VALUE"""),"EE10317")</f>
        <v>EE10317</v>
      </c>
      <c r="L313" s="121" t="str">
        <f>IFERROR(__xludf.DUMMYFUNCTION("""COMPUTED_VALUE"""),"Mr.ARUN CHENDHURAN R")</f>
        <v>Mr.ARUN CHENDHURAN R</v>
      </c>
      <c r="M313" s="121" t="str">
        <f>IFERROR(__xludf.DUMMYFUNCTION("""COMPUTED_VALUE"""),"arunchendhuran@bitsathy.ac.in")</f>
        <v>arunchendhuran@bitsathy.ac.in</v>
      </c>
    </row>
    <row r="314" ht="49.5" customHeight="1">
      <c r="A314" s="121" t="str">
        <f>IFERROR(__xludf.DUMMYFUNCTION("""COMPUTED_VALUE"""),"CSE")</f>
        <v>CSE</v>
      </c>
      <c r="B314" s="121" t="str">
        <f>IFERROR(__xludf.DUMMYFUNCTION("""COMPUTED_VALUE"""),"S2")</f>
        <v>S2</v>
      </c>
      <c r="C314" s="121" t="str">
        <f>IFERROR(__xludf.DUMMYFUNCTION("""COMPUTED_VALUE"""),"CORE")</f>
        <v>CORE</v>
      </c>
      <c r="D314" s="121" t="str">
        <f>IFERROR(__xludf.DUMMYFUNCTION("""COMPUTED_VALUE"""),"22GE003")</f>
        <v>22GE003</v>
      </c>
      <c r="E314" s="131" t="str">
        <f>IFERROR(__xludf.DUMMYFUNCTION("""COMPUTED_VALUE"""),"BASICS OF ELECTRICAL ENGINEERING")</f>
        <v>BASICS OF ELECTRICAL ENGINEERING</v>
      </c>
      <c r="F314" s="121" t="str">
        <f>IFERROR(__xludf.DUMMYFUNCTION("""COMPUTED_VALUE"""),"THEORY WITH LAB")</f>
        <v>THEORY WITH LAB</v>
      </c>
      <c r="G314" s="121">
        <f>IFERROR(__xludf.DUMMYFUNCTION("""COMPUTED_VALUE"""),2.0)</f>
        <v>2</v>
      </c>
      <c r="H314" s="121">
        <f>IFERROR(__xludf.DUMMYFUNCTION("""COMPUTED_VALUE"""),0.0)</f>
        <v>0</v>
      </c>
      <c r="I314" s="121">
        <f>IFERROR(__xludf.DUMMYFUNCTION("""COMPUTED_VALUE"""),2.0)</f>
        <v>2</v>
      </c>
      <c r="J314" s="121">
        <f>IFERROR(__xludf.DUMMYFUNCTION("""COMPUTED_VALUE"""),3.0)</f>
        <v>3</v>
      </c>
      <c r="K314" s="132" t="str">
        <f>IFERROR(__xludf.DUMMYFUNCTION("""COMPUTED_VALUE"""),"EE1329")</f>
        <v>EE1329</v>
      </c>
      <c r="L314" s="121" t="str">
        <f>IFERROR(__xludf.DUMMYFUNCTION("""COMPUTED_VALUE"""),"Dr.SIVARAMAN P")</f>
        <v>Dr.SIVARAMAN P</v>
      </c>
      <c r="M314" s="121" t="str">
        <f>IFERROR(__xludf.DUMMYFUNCTION("""COMPUTED_VALUE"""),"sivaramanpsr@bitsathy.ac.in")</f>
        <v>sivaramanpsr@bitsathy.ac.in</v>
      </c>
    </row>
    <row r="315" ht="49.5" customHeight="1">
      <c r="A315" s="121" t="str">
        <f>IFERROR(__xludf.DUMMYFUNCTION("""COMPUTED_VALUE"""),"CSE")</f>
        <v>CSE</v>
      </c>
      <c r="B315" s="121" t="str">
        <f>IFERROR(__xludf.DUMMYFUNCTION("""COMPUTED_VALUE"""),"S2")</f>
        <v>S2</v>
      </c>
      <c r="C315" s="121" t="str">
        <f>IFERROR(__xludf.DUMMYFUNCTION("""COMPUTED_VALUE"""),"CORE")</f>
        <v>CORE</v>
      </c>
      <c r="D315" s="121" t="str">
        <f>IFERROR(__xludf.DUMMYFUNCTION("""COMPUTED_VALUE"""),"22GE003")</f>
        <v>22GE003</v>
      </c>
      <c r="E315" s="131" t="str">
        <f>IFERROR(__xludf.DUMMYFUNCTION("""COMPUTED_VALUE"""),"BASICS OF ELECTRICAL ENGINEERING")</f>
        <v>BASICS OF ELECTRICAL ENGINEERING</v>
      </c>
      <c r="F315" s="121" t="str">
        <f>IFERROR(__xludf.DUMMYFUNCTION("""COMPUTED_VALUE"""),"THEORY WITH LAB")</f>
        <v>THEORY WITH LAB</v>
      </c>
      <c r="G315" s="121">
        <f>IFERROR(__xludf.DUMMYFUNCTION("""COMPUTED_VALUE"""),2.0)</f>
        <v>2</v>
      </c>
      <c r="H315" s="121">
        <f>IFERROR(__xludf.DUMMYFUNCTION("""COMPUTED_VALUE"""),0.0)</f>
        <v>0</v>
      </c>
      <c r="I315" s="121">
        <f>IFERROR(__xludf.DUMMYFUNCTION("""COMPUTED_VALUE"""),2.0)</f>
        <v>2</v>
      </c>
      <c r="J315" s="121">
        <f>IFERROR(__xludf.DUMMYFUNCTION("""COMPUTED_VALUE"""),3.0)</f>
        <v>3</v>
      </c>
      <c r="K315" s="132" t="str">
        <f>IFERROR(__xludf.DUMMYFUNCTION("""COMPUTED_VALUE"""),"EE1311")</f>
        <v>EE1311</v>
      </c>
      <c r="L315" s="121" t="str">
        <f>IFERROR(__xludf.DUMMYFUNCTION("""COMPUTED_VALUE"""),"Dr.SRINIVASAN M")</f>
        <v>Dr.SRINIVASAN M</v>
      </c>
      <c r="M315" s="121" t="str">
        <f>IFERROR(__xludf.DUMMYFUNCTION("""COMPUTED_VALUE"""),"srinivasanm@bitsathy.ac.in")</f>
        <v>srinivasanm@bitsathy.ac.in</v>
      </c>
    </row>
    <row r="316" ht="49.5" customHeight="1">
      <c r="A316" s="121" t="str">
        <f>IFERROR(__xludf.DUMMYFUNCTION("""COMPUTED_VALUE"""),"CSE")</f>
        <v>CSE</v>
      </c>
      <c r="B316" s="121" t="str">
        <f>IFERROR(__xludf.DUMMYFUNCTION("""COMPUTED_VALUE"""),"S2")</f>
        <v>S2</v>
      </c>
      <c r="C316" s="121" t="str">
        <f>IFERROR(__xludf.DUMMYFUNCTION("""COMPUTED_VALUE"""),"CORE")</f>
        <v>CORE</v>
      </c>
      <c r="D316" s="121" t="str">
        <f>IFERROR(__xludf.DUMMYFUNCTION("""COMPUTED_VALUE"""),"22GE003")</f>
        <v>22GE003</v>
      </c>
      <c r="E316" s="131" t="str">
        <f>IFERROR(__xludf.DUMMYFUNCTION("""COMPUTED_VALUE"""),"BASICS OF ELECTRICAL ENGINEERING")</f>
        <v>BASICS OF ELECTRICAL ENGINEERING</v>
      </c>
      <c r="F316" s="121" t="str">
        <f>IFERROR(__xludf.DUMMYFUNCTION("""COMPUTED_VALUE"""),"THEORY WITH LAB")</f>
        <v>THEORY WITH LAB</v>
      </c>
      <c r="G316" s="121">
        <f>IFERROR(__xludf.DUMMYFUNCTION("""COMPUTED_VALUE"""),2.0)</f>
        <v>2</v>
      </c>
      <c r="H316" s="121">
        <f>IFERROR(__xludf.DUMMYFUNCTION("""COMPUTED_VALUE"""),0.0)</f>
        <v>0</v>
      </c>
      <c r="I316" s="121">
        <f>IFERROR(__xludf.DUMMYFUNCTION("""COMPUTED_VALUE"""),2.0)</f>
        <v>2</v>
      </c>
      <c r="J316" s="121">
        <f>IFERROR(__xludf.DUMMYFUNCTION("""COMPUTED_VALUE"""),3.0)</f>
        <v>3</v>
      </c>
      <c r="K316" s="132" t="str">
        <f>IFERROR(__xludf.DUMMYFUNCTION("""COMPUTED_VALUE"""),"EE10786")</f>
        <v>EE10786</v>
      </c>
      <c r="L316" s="121" t="str">
        <f>IFERROR(__xludf.DUMMYFUNCTION("""COMPUTED_VALUE"""),"Dr.MANOJKUMAR P")</f>
        <v>Dr.MANOJKUMAR P</v>
      </c>
      <c r="M316" s="121" t="str">
        <f>IFERROR(__xludf.DUMMYFUNCTION("""COMPUTED_VALUE"""),"manojkumarp@bitsathy.ac.in")</f>
        <v>manojkumarp@bitsathy.ac.in</v>
      </c>
    </row>
    <row r="317" ht="49.5" customHeight="1">
      <c r="A317" s="121" t="str">
        <f>IFERROR(__xludf.DUMMYFUNCTION("""COMPUTED_VALUE"""),"CSE")</f>
        <v>CSE</v>
      </c>
      <c r="B317" s="121" t="str">
        <f>IFERROR(__xludf.DUMMYFUNCTION("""COMPUTED_VALUE"""),"S2")</f>
        <v>S2</v>
      </c>
      <c r="C317" s="121" t="str">
        <f>IFERROR(__xludf.DUMMYFUNCTION("""COMPUTED_VALUE"""),"CORE")</f>
        <v>CORE</v>
      </c>
      <c r="D317" s="121" t="str">
        <f>IFERROR(__xludf.DUMMYFUNCTION("""COMPUTED_VALUE"""),"22GE003")</f>
        <v>22GE003</v>
      </c>
      <c r="E317" s="131" t="str">
        <f>IFERROR(__xludf.DUMMYFUNCTION("""COMPUTED_VALUE"""),"BASICS OF ELECTRICAL ENGINEERING")</f>
        <v>BASICS OF ELECTRICAL ENGINEERING</v>
      </c>
      <c r="F317" s="121" t="str">
        <f>IFERROR(__xludf.DUMMYFUNCTION("""COMPUTED_VALUE"""),"THEORY WITH LAB")</f>
        <v>THEORY WITH LAB</v>
      </c>
      <c r="G317" s="121">
        <f>IFERROR(__xludf.DUMMYFUNCTION("""COMPUTED_VALUE"""),2.0)</f>
        <v>2</v>
      </c>
      <c r="H317" s="121">
        <f>IFERROR(__xludf.DUMMYFUNCTION("""COMPUTED_VALUE"""),0.0)</f>
        <v>0</v>
      </c>
      <c r="I317" s="121">
        <f>IFERROR(__xludf.DUMMYFUNCTION("""COMPUTED_VALUE"""),2.0)</f>
        <v>2</v>
      </c>
      <c r="J317" s="121">
        <f>IFERROR(__xludf.DUMMYFUNCTION("""COMPUTED_VALUE"""),3.0)</f>
        <v>3</v>
      </c>
      <c r="K317" s="132" t="str">
        <f>IFERROR(__xludf.DUMMYFUNCTION("""COMPUTED_VALUE"""),"EE10619")</f>
        <v>EE10619</v>
      </c>
      <c r="L317" s="121" t="str">
        <f>IFERROR(__xludf.DUMMYFUNCTION("""COMPUTED_VALUE"""),"Mrs.MADHUMITHA J")</f>
        <v>Mrs.MADHUMITHA J</v>
      </c>
      <c r="M317" s="121" t="str">
        <f>IFERROR(__xludf.DUMMYFUNCTION("""COMPUTED_VALUE"""),"madhumithaj@bitsathy.ac.in")</f>
        <v>madhumithaj@bitsathy.ac.in</v>
      </c>
    </row>
    <row r="318" ht="49.5" customHeight="1">
      <c r="A318" s="121" t="str">
        <f>IFERROR(__xludf.DUMMYFUNCTION("""COMPUTED_VALUE"""),"CSE")</f>
        <v>CSE</v>
      </c>
      <c r="B318" s="121" t="str">
        <f>IFERROR(__xludf.DUMMYFUNCTION("""COMPUTED_VALUE"""),"S2")</f>
        <v>S2</v>
      </c>
      <c r="C318" s="121" t="str">
        <f>IFERROR(__xludf.DUMMYFUNCTION("""COMPUTED_VALUE"""),"CORE")</f>
        <v>CORE</v>
      </c>
      <c r="D318" s="121" t="str">
        <f>IFERROR(__xludf.DUMMYFUNCTION("""COMPUTED_VALUE"""),"22CS206")</f>
        <v>22CS206</v>
      </c>
      <c r="E318" s="131" t="str">
        <f>IFERROR(__xludf.DUMMYFUNCTION("""COMPUTED_VALUE"""),"DIGITAL COMPUTER ELECTRONICS ")</f>
        <v>DIGITAL COMPUTER ELECTRONICS </v>
      </c>
      <c r="F318" s="121" t="str">
        <f>IFERROR(__xludf.DUMMYFUNCTION("""COMPUTED_VALUE"""),"THEORY WITH LAB")</f>
        <v>THEORY WITH LAB</v>
      </c>
      <c r="G318" s="121">
        <f>IFERROR(__xludf.DUMMYFUNCTION("""COMPUTED_VALUE"""),3.0)</f>
        <v>3</v>
      </c>
      <c r="H318" s="121">
        <f>IFERROR(__xludf.DUMMYFUNCTION("""COMPUTED_VALUE"""),0.0)</f>
        <v>0</v>
      </c>
      <c r="I318" s="121">
        <f>IFERROR(__xludf.DUMMYFUNCTION("""COMPUTED_VALUE"""),2.0)</f>
        <v>2</v>
      </c>
      <c r="J318" s="121">
        <f>IFERROR(__xludf.DUMMYFUNCTION("""COMPUTED_VALUE"""),4.0)</f>
        <v>4</v>
      </c>
      <c r="K318" s="132" t="str">
        <f>IFERROR(__xludf.DUMMYFUNCTION("""COMPUTED_VALUE"""),"CS10776")</f>
        <v>CS10776</v>
      </c>
      <c r="L318" s="121" t="str">
        <f>IFERROR(__xludf.DUMMYFUNCTION("""COMPUTED_VALUE"""),"Mr.SUSEENDRAN S")</f>
        <v>Mr.SUSEENDRAN S</v>
      </c>
      <c r="M318" s="121" t="str">
        <f>IFERROR(__xludf.DUMMYFUNCTION("""COMPUTED_VALUE"""),"suseendrans@bitsathy.ac.in")</f>
        <v>suseendrans@bitsathy.ac.in</v>
      </c>
    </row>
    <row r="319" ht="49.5" customHeight="1">
      <c r="A319" s="121" t="str">
        <f>IFERROR(__xludf.DUMMYFUNCTION("""COMPUTED_VALUE"""),"CSE")</f>
        <v>CSE</v>
      </c>
      <c r="B319" s="121" t="str">
        <f>IFERROR(__xludf.DUMMYFUNCTION("""COMPUTED_VALUE"""),"S2")</f>
        <v>S2</v>
      </c>
      <c r="C319" s="121" t="str">
        <f>IFERROR(__xludf.DUMMYFUNCTION("""COMPUTED_VALUE"""),"CORE")</f>
        <v>CORE</v>
      </c>
      <c r="D319" s="121" t="str">
        <f>IFERROR(__xludf.DUMMYFUNCTION("""COMPUTED_VALUE"""),"22CS206")</f>
        <v>22CS206</v>
      </c>
      <c r="E319" s="131" t="str">
        <f>IFERROR(__xludf.DUMMYFUNCTION("""COMPUTED_VALUE"""),"DIGITAL COMPUTER ELECTRONICS ")</f>
        <v>DIGITAL COMPUTER ELECTRONICS </v>
      </c>
      <c r="F319" s="121" t="str">
        <f>IFERROR(__xludf.DUMMYFUNCTION("""COMPUTED_VALUE"""),"THEORY WITH LAB")</f>
        <v>THEORY WITH LAB</v>
      </c>
      <c r="G319" s="121">
        <f>IFERROR(__xludf.DUMMYFUNCTION("""COMPUTED_VALUE"""),3.0)</f>
        <v>3</v>
      </c>
      <c r="H319" s="121">
        <f>IFERROR(__xludf.DUMMYFUNCTION("""COMPUTED_VALUE"""),0.0)</f>
        <v>0</v>
      </c>
      <c r="I319" s="121">
        <f>IFERROR(__xludf.DUMMYFUNCTION("""COMPUTED_VALUE"""),2.0)</f>
        <v>2</v>
      </c>
      <c r="J319" s="121">
        <f>IFERROR(__xludf.DUMMYFUNCTION("""COMPUTED_VALUE"""),4.0)</f>
        <v>4</v>
      </c>
      <c r="K319" s="132" t="str">
        <f>IFERROR(__xludf.DUMMYFUNCTION("""COMPUTED_VALUE"""),"EC10725")</f>
        <v>EC10725</v>
      </c>
      <c r="L319" s="121" t="str">
        <f>IFERROR(__xludf.DUMMYFUNCTION("""COMPUTED_VALUE"""),"Mrs.ABINAYA M")</f>
        <v>Mrs.ABINAYA M</v>
      </c>
      <c r="M319" s="121" t="str">
        <f>IFERROR(__xludf.DUMMYFUNCTION("""COMPUTED_VALUE"""),"abinayam@bitsathy.ac.in")</f>
        <v>abinayam@bitsathy.ac.in</v>
      </c>
    </row>
    <row r="320" ht="49.5" customHeight="1">
      <c r="A320" s="121" t="str">
        <f>IFERROR(__xludf.DUMMYFUNCTION("""COMPUTED_VALUE"""),"CSE")</f>
        <v>CSE</v>
      </c>
      <c r="B320" s="121" t="str">
        <f>IFERROR(__xludf.DUMMYFUNCTION("""COMPUTED_VALUE"""),"S2")</f>
        <v>S2</v>
      </c>
      <c r="C320" s="121" t="str">
        <f>IFERROR(__xludf.DUMMYFUNCTION("""COMPUTED_VALUE"""),"CORE")</f>
        <v>CORE</v>
      </c>
      <c r="D320" s="121" t="str">
        <f>IFERROR(__xludf.DUMMYFUNCTION("""COMPUTED_VALUE"""),"22CS206")</f>
        <v>22CS206</v>
      </c>
      <c r="E320" s="131" t="str">
        <f>IFERROR(__xludf.DUMMYFUNCTION("""COMPUTED_VALUE"""),"DIGITAL COMPUTER ELECTRONICS ")</f>
        <v>DIGITAL COMPUTER ELECTRONICS </v>
      </c>
      <c r="F320" s="121" t="str">
        <f>IFERROR(__xludf.DUMMYFUNCTION("""COMPUTED_VALUE"""),"THEORY WITH LAB")</f>
        <v>THEORY WITH LAB</v>
      </c>
      <c r="G320" s="121">
        <f>IFERROR(__xludf.DUMMYFUNCTION("""COMPUTED_VALUE"""),3.0)</f>
        <v>3</v>
      </c>
      <c r="H320" s="121">
        <f>IFERROR(__xludf.DUMMYFUNCTION("""COMPUTED_VALUE"""),0.0)</f>
        <v>0</v>
      </c>
      <c r="I320" s="121">
        <f>IFERROR(__xludf.DUMMYFUNCTION("""COMPUTED_VALUE"""),2.0)</f>
        <v>2</v>
      </c>
      <c r="J320" s="121">
        <f>IFERROR(__xludf.DUMMYFUNCTION("""COMPUTED_VALUE"""),4.0)</f>
        <v>4</v>
      </c>
      <c r="K320" s="132" t="str">
        <f>IFERROR(__xludf.DUMMYFUNCTION("""COMPUTED_VALUE"""),"EC11051")</f>
        <v>EC11051</v>
      </c>
      <c r="L320" s="121" t="str">
        <f>IFERROR(__xludf.DUMMYFUNCTION("""COMPUTED_VALUE"""),"Mrs.SANDHIYADEVI P")</f>
        <v>Mrs.SANDHIYADEVI P</v>
      </c>
      <c r="M320" s="121" t="str">
        <f>IFERROR(__xludf.DUMMYFUNCTION("""COMPUTED_VALUE"""),"sandhiyadevip@bitsathy.ac.in")</f>
        <v>sandhiyadevip@bitsathy.ac.in</v>
      </c>
    </row>
    <row r="321" ht="49.5" customHeight="1">
      <c r="A321" s="121" t="str">
        <f>IFERROR(__xludf.DUMMYFUNCTION("""COMPUTED_VALUE"""),"CSE")</f>
        <v>CSE</v>
      </c>
      <c r="B321" s="121" t="str">
        <f>IFERROR(__xludf.DUMMYFUNCTION("""COMPUTED_VALUE"""),"S2")</f>
        <v>S2</v>
      </c>
      <c r="C321" s="121" t="str">
        <f>IFERROR(__xludf.DUMMYFUNCTION("""COMPUTED_VALUE"""),"CORE")</f>
        <v>CORE</v>
      </c>
      <c r="D321" s="121" t="str">
        <f>IFERROR(__xludf.DUMMYFUNCTION("""COMPUTED_VALUE"""),"22CS206")</f>
        <v>22CS206</v>
      </c>
      <c r="E321" s="131" t="str">
        <f>IFERROR(__xludf.DUMMYFUNCTION("""COMPUTED_VALUE"""),"DIGITAL COMPUTER ELECTRONICS ")</f>
        <v>DIGITAL COMPUTER ELECTRONICS </v>
      </c>
      <c r="F321" s="121" t="str">
        <f>IFERROR(__xludf.DUMMYFUNCTION("""COMPUTED_VALUE"""),"THEORY WITH LAB")</f>
        <v>THEORY WITH LAB</v>
      </c>
      <c r="G321" s="121">
        <f>IFERROR(__xludf.DUMMYFUNCTION("""COMPUTED_VALUE"""),3.0)</f>
        <v>3</v>
      </c>
      <c r="H321" s="121">
        <f>IFERROR(__xludf.DUMMYFUNCTION("""COMPUTED_VALUE"""),0.0)</f>
        <v>0</v>
      </c>
      <c r="I321" s="121">
        <f>IFERROR(__xludf.DUMMYFUNCTION("""COMPUTED_VALUE"""),2.0)</f>
        <v>2</v>
      </c>
      <c r="J321" s="121">
        <f>IFERROR(__xludf.DUMMYFUNCTION("""COMPUTED_VALUE"""),4.0)</f>
        <v>4</v>
      </c>
      <c r="K321" s="132" t="str">
        <f>IFERROR(__xludf.DUMMYFUNCTION("""COMPUTED_VALUE"""),"EC1744")</f>
        <v>EC1744</v>
      </c>
      <c r="L321" s="121" t="str">
        <f>IFERROR(__xludf.DUMMYFUNCTION("""COMPUTED_VALUE"""),"Dr.RAMYA P")</f>
        <v>Dr.RAMYA P</v>
      </c>
      <c r="M321" s="121" t="str">
        <f>IFERROR(__xludf.DUMMYFUNCTION("""COMPUTED_VALUE"""),"ramyap@bitsathy.ac.in")</f>
        <v>ramyap@bitsathy.ac.in</v>
      </c>
    </row>
    <row r="322" ht="49.5" customHeight="1">
      <c r="A322" s="121" t="str">
        <f>IFERROR(__xludf.DUMMYFUNCTION("""COMPUTED_VALUE"""),"CSE")</f>
        <v>CSE</v>
      </c>
      <c r="B322" s="121" t="str">
        <f>IFERROR(__xludf.DUMMYFUNCTION("""COMPUTED_VALUE"""),"S2")</f>
        <v>S2</v>
      </c>
      <c r="C322" s="121" t="str">
        <f>IFERROR(__xludf.DUMMYFUNCTION("""COMPUTED_VALUE"""),"CORE")</f>
        <v>CORE</v>
      </c>
      <c r="D322" s="121" t="str">
        <f>IFERROR(__xludf.DUMMYFUNCTION("""COMPUTED_VALUE"""),"22CS206")</f>
        <v>22CS206</v>
      </c>
      <c r="E322" s="131" t="str">
        <f>IFERROR(__xludf.DUMMYFUNCTION("""COMPUTED_VALUE"""),"DIGITAL COMPUTER ELECTRONICS ")</f>
        <v>DIGITAL COMPUTER ELECTRONICS </v>
      </c>
      <c r="F322" s="121" t="str">
        <f>IFERROR(__xludf.DUMMYFUNCTION("""COMPUTED_VALUE"""),"THEORY WITH LAB")</f>
        <v>THEORY WITH LAB</v>
      </c>
      <c r="G322" s="121">
        <f>IFERROR(__xludf.DUMMYFUNCTION("""COMPUTED_VALUE"""),3.0)</f>
        <v>3</v>
      </c>
      <c r="H322" s="121">
        <f>IFERROR(__xludf.DUMMYFUNCTION("""COMPUTED_VALUE"""),0.0)</f>
        <v>0</v>
      </c>
      <c r="I322" s="121">
        <f>IFERROR(__xludf.DUMMYFUNCTION("""COMPUTED_VALUE"""),2.0)</f>
        <v>2</v>
      </c>
      <c r="J322" s="121">
        <f>IFERROR(__xludf.DUMMYFUNCTION("""COMPUTED_VALUE"""),4.0)</f>
        <v>4</v>
      </c>
      <c r="K322" s="132" t="str">
        <f>IFERROR(__xludf.DUMMYFUNCTION("""COMPUTED_VALUE"""),"EC10916")</f>
        <v>EC10916</v>
      </c>
      <c r="L322" s="121" t="str">
        <f>IFERROR(__xludf.DUMMYFUNCTION("""COMPUTED_VALUE"""),"Mrs.KARTHIGA M")</f>
        <v>Mrs.KARTHIGA M</v>
      </c>
      <c r="M322" s="121" t="str">
        <f>IFERROR(__xludf.DUMMYFUNCTION("""COMPUTED_VALUE"""),"karthiga@bitsathy.ac.in")</f>
        <v>karthiga@bitsathy.ac.in</v>
      </c>
    </row>
    <row r="323" ht="49.5" customHeight="1">
      <c r="A323" s="121" t="str">
        <f>IFERROR(__xludf.DUMMYFUNCTION("""COMPUTED_VALUE"""),"CSE")</f>
        <v>CSE</v>
      </c>
      <c r="B323" s="121" t="str">
        <f>IFERROR(__xludf.DUMMYFUNCTION("""COMPUTED_VALUE"""),"S2")</f>
        <v>S2</v>
      </c>
      <c r="C323" s="121" t="str">
        <f>IFERROR(__xludf.DUMMYFUNCTION("""COMPUTED_VALUE"""),"CORE")</f>
        <v>CORE</v>
      </c>
      <c r="D323" s="121" t="str">
        <f>IFERROR(__xludf.DUMMYFUNCTION("""COMPUTED_VALUE"""),"22CS206")</f>
        <v>22CS206</v>
      </c>
      <c r="E323" s="131" t="str">
        <f>IFERROR(__xludf.DUMMYFUNCTION("""COMPUTED_VALUE"""),"DIGITAL COMPUTER ELECTRONICS ")</f>
        <v>DIGITAL COMPUTER ELECTRONICS </v>
      </c>
      <c r="F323" s="121" t="str">
        <f>IFERROR(__xludf.DUMMYFUNCTION("""COMPUTED_VALUE"""),"THEORY WITH LAB")</f>
        <v>THEORY WITH LAB</v>
      </c>
      <c r="G323" s="121">
        <f>IFERROR(__xludf.DUMMYFUNCTION("""COMPUTED_VALUE"""),3.0)</f>
        <v>3</v>
      </c>
      <c r="H323" s="121">
        <f>IFERROR(__xludf.DUMMYFUNCTION("""COMPUTED_VALUE"""),0.0)</f>
        <v>0</v>
      </c>
      <c r="I323" s="121">
        <f>IFERROR(__xludf.DUMMYFUNCTION("""COMPUTED_VALUE"""),2.0)</f>
        <v>2</v>
      </c>
      <c r="J323" s="121">
        <f>IFERROR(__xludf.DUMMYFUNCTION("""COMPUTED_VALUE"""),4.0)</f>
        <v>4</v>
      </c>
      <c r="K323" s="132" t="str">
        <f>IFERROR(__xludf.DUMMYFUNCTION("""COMPUTED_VALUE"""),"EC11147")</f>
        <v>EC11147</v>
      </c>
      <c r="L323" s="121" t="str">
        <f>IFERROR(__xludf.DUMMYFUNCTION("""COMPUTED_VALUE"""),"Mrs.RAGAVI M")</f>
        <v>Mrs.RAGAVI M</v>
      </c>
      <c r="M323" s="121" t="str">
        <f>IFERROR(__xludf.DUMMYFUNCTION("""COMPUTED_VALUE"""),"ragavim@bitsathy.ac.in")</f>
        <v>ragavim@bitsathy.ac.in</v>
      </c>
    </row>
    <row r="324" ht="49.5" customHeight="1">
      <c r="A324" s="121" t="str">
        <f>IFERROR(__xludf.DUMMYFUNCTION("""COMPUTED_VALUE"""),"CSE")</f>
        <v>CSE</v>
      </c>
      <c r="B324" s="121" t="str">
        <f>IFERROR(__xludf.DUMMYFUNCTION("""COMPUTED_VALUE"""),"S2")</f>
        <v>S2</v>
      </c>
      <c r="C324" s="121" t="str">
        <f>IFERROR(__xludf.DUMMYFUNCTION("""COMPUTED_VALUE"""),"CORE")</f>
        <v>CORE</v>
      </c>
      <c r="D324" s="121" t="str">
        <f>IFERROR(__xludf.DUMMYFUNCTION("""COMPUTED_VALUE"""),"22HS006")</f>
        <v>22HS006</v>
      </c>
      <c r="E324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4" s="121" t="str">
        <f>IFERROR(__xludf.DUMMYFUNCTION("""COMPUTED_VALUE"""),"LAB")</f>
        <v>LAB</v>
      </c>
      <c r="G324" s="121">
        <f>IFERROR(__xludf.DUMMYFUNCTION("""COMPUTED_VALUE"""),1.0)</f>
        <v>1</v>
      </c>
      <c r="H324" s="121">
        <f>IFERROR(__xludf.DUMMYFUNCTION("""COMPUTED_VALUE"""),0.0)</f>
        <v>0</v>
      </c>
      <c r="I324" s="121">
        <f>IFERROR(__xludf.DUMMYFUNCTION("""COMPUTED_VALUE"""),0.0)</f>
        <v>0</v>
      </c>
      <c r="J324" s="121">
        <f>IFERROR(__xludf.DUMMYFUNCTION("""COMPUTED_VALUE"""),1.0)</f>
        <v>1</v>
      </c>
      <c r="K324" s="132" t="str">
        <f>IFERROR(__xludf.DUMMYFUNCTION("""COMPUTED_VALUE"""),"HU11085")</f>
        <v>HU11085</v>
      </c>
      <c r="L324" s="121" t="str">
        <f>IFERROR(__xludf.DUMMYFUNCTION("""COMPUTED_VALUE"""),"Dr.SAGUNTHALA DEVI P")</f>
        <v>Dr.SAGUNTHALA DEVI P</v>
      </c>
      <c r="M324" s="121" t="str">
        <f>IFERROR(__xludf.DUMMYFUNCTION("""COMPUTED_VALUE"""),"sagunthaladevi@bitsathy.ac.in")</f>
        <v>sagunthaladevi@bitsathy.ac.in</v>
      </c>
    </row>
    <row r="325" ht="49.5" customHeight="1">
      <c r="A325" s="121" t="str">
        <f>IFERROR(__xludf.DUMMYFUNCTION("""COMPUTED_VALUE"""),"CSE")</f>
        <v>CSE</v>
      </c>
      <c r="B325" s="121" t="str">
        <f>IFERROR(__xludf.DUMMYFUNCTION("""COMPUTED_VALUE"""),"S2")</f>
        <v>S2</v>
      </c>
      <c r="C325" s="121" t="str">
        <f>IFERROR(__xludf.DUMMYFUNCTION("""COMPUTED_VALUE"""),"CORE")</f>
        <v>CORE</v>
      </c>
      <c r="D325" s="121" t="str">
        <f>IFERROR(__xludf.DUMMYFUNCTION("""COMPUTED_VALUE"""),"22HS006")</f>
        <v>22HS006</v>
      </c>
      <c r="E325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5" s="121" t="str">
        <f>IFERROR(__xludf.DUMMYFUNCTION("""COMPUTED_VALUE"""),"LAB")</f>
        <v>LAB</v>
      </c>
      <c r="G325" s="121">
        <f>IFERROR(__xludf.DUMMYFUNCTION("""COMPUTED_VALUE"""),1.0)</f>
        <v>1</v>
      </c>
      <c r="H325" s="121">
        <f>IFERROR(__xludf.DUMMYFUNCTION("""COMPUTED_VALUE"""),0.0)</f>
        <v>0</v>
      </c>
      <c r="I325" s="121">
        <f>IFERROR(__xludf.DUMMYFUNCTION("""COMPUTED_VALUE"""),0.0)</f>
        <v>0</v>
      </c>
      <c r="J325" s="121">
        <f>IFERROR(__xludf.DUMMYFUNCTION("""COMPUTED_VALUE"""),1.0)</f>
        <v>1</v>
      </c>
      <c r="K325" s="132" t="str">
        <f>IFERROR(__xludf.DUMMYFUNCTION("""COMPUTED_VALUE"""),"HU11115")</f>
        <v>HU11115</v>
      </c>
      <c r="L325" s="121" t="str">
        <f>IFERROR(__xludf.DUMMYFUNCTION("""COMPUTED_VALUE"""),"Ms.KAMALI D")</f>
        <v>Ms.KAMALI D</v>
      </c>
      <c r="M325" s="121" t="str">
        <f>IFERROR(__xludf.DUMMYFUNCTION("""COMPUTED_VALUE"""),"kamali@bitsathy.ac.in")</f>
        <v>kamali@bitsathy.ac.in</v>
      </c>
    </row>
    <row r="326" ht="49.5" customHeight="1">
      <c r="A326" s="121" t="str">
        <f>IFERROR(__xludf.DUMMYFUNCTION("""COMPUTED_VALUE"""),"CSE")</f>
        <v>CSE</v>
      </c>
      <c r="B326" s="121" t="str">
        <f>IFERROR(__xludf.DUMMYFUNCTION("""COMPUTED_VALUE"""),"S2")</f>
        <v>S2</v>
      </c>
      <c r="C326" s="121" t="str">
        <f>IFERROR(__xludf.DUMMYFUNCTION("""COMPUTED_VALUE"""),"CORE")</f>
        <v>CORE</v>
      </c>
      <c r="D326" s="121" t="str">
        <f>IFERROR(__xludf.DUMMYFUNCTION("""COMPUTED_VALUE"""),"22HS006")</f>
        <v>22HS006</v>
      </c>
      <c r="E326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6" s="121" t="str">
        <f>IFERROR(__xludf.DUMMYFUNCTION("""COMPUTED_VALUE"""),"LAB")</f>
        <v>LAB</v>
      </c>
      <c r="G326" s="121">
        <f>IFERROR(__xludf.DUMMYFUNCTION("""COMPUTED_VALUE"""),1.0)</f>
        <v>1</v>
      </c>
      <c r="H326" s="121">
        <f>IFERROR(__xludf.DUMMYFUNCTION("""COMPUTED_VALUE"""),0.0)</f>
        <v>0</v>
      </c>
      <c r="I326" s="121">
        <f>IFERROR(__xludf.DUMMYFUNCTION("""COMPUTED_VALUE"""),0.0)</f>
        <v>0</v>
      </c>
      <c r="J326" s="121">
        <f>IFERROR(__xludf.DUMMYFUNCTION("""COMPUTED_VALUE"""),1.0)</f>
        <v>1</v>
      </c>
      <c r="K326" s="132" t="str">
        <f>IFERROR(__xludf.DUMMYFUNCTION("""COMPUTED_VALUE"""),"HU11154")</f>
        <v>HU11154</v>
      </c>
      <c r="L326" s="121" t="str">
        <f>IFERROR(__xludf.DUMMYFUNCTION("""COMPUTED_VALUE"""),"Mr.SHYAMSUNDAR S")</f>
        <v>Mr.SHYAMSUNDAR S</v>
      </c>
      <c r="M326" s="121" t="str">
        <f>IFERROR(__xludf.DUMMYFUNCTION("""COMPUTED_VALUE"""),"shyamsundar@bitsathy.ac.in")</f>
        <v>shyamsundar@bitsathy.ac.in</v>
      </c>
    </row>
    <row r="327" ht="49.5" customHeight="1">
      <c r="A327" s="121" t="str">
        <f>IFERROR(__xludf.DUMMYFUNCTION("""COMPUTED_VALUE"""),"CSE")</f>
        <v>CSE</v>
      </c>
      <c r="B327" s="121" t="str">
        <f>IFERROR(__xludf.DUMMYFUNCTION("""COMPUTED_VALUE"""),"S2")</f>
        <v>S2</v>
      </c>
      <c r="C327" s="121" t="str">
        <f>IFERROR(__xludf.DUMMYFUNCTION("""COMPUTED_VALUE"""),"CORE")</f>
        <v>CORE</v>
      </c>
      <c r="D327" s="121" t="str">
        <f>IFERROR(__xludf.DUMMYFUNCTION("""COMPUTED_VALUE"""),"22HS006")</f>
        <v>22HS006</v>
      </c>
      <c r="E327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7" s="121" t="str">
        <f>IFERROR(__xludf.DUMMYFUNCTION("""COMPUTED_VALUE"""),"LAB")</f>
        <v>LAB</v>
      </c>
      <c r="G327" s="121">
        <f>IFERROR(__xludf.DUMMYFUNCTION("""COMPUTED_VALUE"""),1.0)</f>
        <v>1</v>
      </c>
      <c r="H327" s="121">
        <f>IFERROR(__xludf.DUMMYFUNCTION("""COMPUTED_VALUE"""),0.0)</f>
        <v>0</v>
      </c>
      <c r="I327" s="121">
        <f>IFERROR(__xludf.DUMMYFUNCTION("""COMPUTED_VALUE"""),0.0)</f>
        <v>0</v>
      </c>
      <c r="J327" s="121">
        <f>IFERROR(__xludf.DUMMYFUNCTION("""COMPUTED_VALUE"""),1.0)</f>
        <v>1</v>
      </c>
      <c r="K327" s="132" t="str">
        <f>IFERROR(__xludf.DUMMYFUNCTION("""COMPUTED_VALUE"""),"HU11085")</f>
        <v>HU11085</v>
      </c>
      <c r="L327" s="121"/>
      <c r="M327" s="121"/>
    </row>
    <row r="328" ht="49.5" customHeight="1">
      <c r="A328" s="121" t="str">
        <f>IFERROR(__xludf.DUMMYFUNCTION("""COMPUTED_VALUE"""),"CSE")</f>
        <v>CSE</v>
      </c>
      <c r="B328" s="121" t="str">
        <f>IFERROR(__xludf.DUMMYFUNCTION("""COMPUTED_VALUE"""),"S2")</f>
        <v>S2</v>
      </c>
      <c r="C328" s="121" t="str">
        <f>IFERROR(__xludf.DUMMYFUNCTION("""COMPUTED_VALUE"""),"CORE")</f>
        <v>CORE</v>
      </c>
      <c r="D328" s="121" t="str">
        <f>IFERROR(__xludf.DUMMYFUNCTION("""COMPUTED_VALUE"""),"22HS006")</f>
        <v>22HS006</v>
      </c>
      <c r="E328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8" s="121" t="str">
        <f>IFERROR(__xludf.DUMMYFUNCTION("""COMPUTED_VALUE"""),"LAB")</f>
        <v>LAB</v>
      </c>
      <c r="G328" s="121">
        <f>IFERROR(__xludf.DUMMYFUNCTION("""COMPUTED_VALUE"""),1.0)</f>
        <v>1</v>
      </c>
      <c r="H328" s="121">
        <f>IFERROR(__xludf.DUMMYFUNCTION("""COMPUTED_VALUE"""),0.0)</f>
        <v>0</v>
      </c>
      <c r="I328" s="121">
        <f>IFERROR(__xludf.DUMMYFUNCTION("""COMPUTED_VALUE"""),0.0)</f>
        <v>0</v>
      </c>
      <c r="J328" s="121">
        <f>IFERROR(__xludf.DUMMYFUNCTION("""COMPUTED_VALUE"""),1.0)</f>
        <v>1</v>
      </c>
      <c r="K328" s="132" t="str">
        <f>IFERROR(__xludf.DUMMYFUNCTION("""COMPUTED_VALUE"""),"HU11115")</f>
        <v>HU11115</v>
      </c>
      <c r="L328" s="121"/>
      <c r="M328" s="121"/>
    </row>
    <row r="329" ht="49.5" customHeight="1">
      <c r="A329" s="121" t="str">
        <f>IFERROR(__xludf.DUMMYFUNCTION("""COMPUTED_VALUE"""),"CSE")</f>
        <v>CSE</v>
      </c>
      <c r="B329" s="121" t="str">
        <f>IFERROR(__xludf.DUMMYFUNCTION("""COMPUTED_VALUE"""),"S2")</f>
        <v>S2</v>
      </c>
      <c r="C329" s="121" t="str">
        <f>IFERROR(__xludf.DUMMYFUNCTION("""COMPUTED_VALUE"""),"CORE")</f>
        <v>CORE</v>
      </c>
      <c r="D329" s="121" t="str">
        <f>IFERROR(__xludf.DUMMYFUNCTION("""COMPUTED_VALUE"""),"22HS006")</f>
        <v>22HS006</v>
      </c>
      <c r="E329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29" s="121" t="str">
        <f>IFERROR(__xludf.DUMMYFUNCTION("""COMPUTED_VALUE"""),"LAB")</f>
        <v>LAB</v>
      </c>
      <c r="G329" s="121">
        <f>IFERROR(__xludf.DUMMYFUNCTION("""COMPUTED_VALUE"""),1.0)</f>
        <v>1</v>
      </c>
      <c r="H329" s="121">
        <f>IFERROR(__xludf.DUMMYFUNCTION("""COMPUTED_VALUE"""),0.0)</f>
        <v>0</v>
      </c>
      <c r="I329" s="121">
        <f>IFERROR(__xludf.DUMMYFUNCTION("""COMPUTED_VALUE"""),0.0)</f>
        <v>0</v>
      </c>
      <c r="J329" s="121">
        <f>IFERROR(__xludf.DUMMYFUNCTION("""COMPUTED_VALUE"""),1.0)</f>
        <v>1</v>
      </c>
      <c r="K329" s="132" t="str">
        <f>IFERROR(__xludf.DUMMYFUNCTION("""COMPUTED_VALUE"""),"HU11154")</f>
        <v>HU11154</v>
      </c>
      <c r="L329" s="121"/>
      <c r="M329" s="121"/>
    </row>
    <row r="330" ht="49.5" customHeight="1">
      <c r="A330" s="121" t="str">
        <f>IFERROR(__xludf.DUMMYFUNCTION("""COMPUTED_VALUE"""),"CSE")</f>
        <v>CSE</v>
      </c>
      <c r="B330" s="121" t="str">
        <f>IFERROR(__xludf.DUMMYFUNCTION("""COMPUTED_VALUE"""),"S2")</f>
        <v>S2</v>
      </c>
      <c r="C330" s="121" t="str">
        <f>IFERROR(__xludf.DUMMYFUNCTION("""COMPUTED_VALUE"""),"CORE")</f>
        <v>CORE</v>
      </c>
      <c r="D330" s="121" t="str">
        <f>IFERROR(__xludf.DUMMYFUNCTION("""COMPUTED_VALUE"""),"22HS009")</f>
        <v>22HS009</v>
      </c>
      <c r="E330" s="131" t="str">
        <f>IFERROR(__xludf.DUMMYFUNCTION("""COMPUTED_VALUE"""),"COCURRICULAR OR EXTRACURRICULAR ACTIVITY")</f>
        <v>COCURRICULAR OR EXTRACURRICULAR ACTIVITY</v>
      </c>
      <c r="F330" s="121"/>
      <c r="G330" s="121"/>
      <c r="H330" s="121"/>
      <c r="I330" s="121"/>
      <c r="J330" s="121"/>
      <c r="K330" s="132"/>
      <c r="L330" s="121"/>
      <c r="M330" s="121"/>
    </row>
    <row r="331" ht="49.5" customHeight="1">
      <c r="A331" s="121" t="str">
        <f>IFERROR(__xludf.DUMMYFUNCTION("""COMPUTED_VALUE"""),"CSE")</f>
        <v>CSE</v>
      </c>
      <c r="B331" s="121" t="str">
        <f>IFERROR(__xludf.DUMMYFUNCTION("""COMPUTED_VALUE"""),"S2")</f>
        <v>S2</v>
      </c>
      <c r="C331" s="121" t="str">
        <f>IFERROR(__xludf.DUMMYFUNCTION("""COMPUTED_VALUE"""),"LANGUAGE ELECTIVE")</f>
        <v>LANGUAGE ELECTIVE</v>
      </c>
      <c r="D331" s="121" t="str">
        <f>IFERROR(__xludf.DUMMYFUNCTION("""COMPUTED_VALUE"""),"22HS201")</f>
        <v>22HS201</v>
      </c>
      <c r="E331" s="131" t="str">
        <f>IFERROR(__xludf.DUMMYFUNCTION("""COMPUTED_VALUE""")," COMMUNICATIVE ENGLISH II")</f>
        <v> COMMUNICATIVE ENGLISH II</v>
      </c>
      <c r="F331" s="121" t="str">
        <f>IFERROR(__xludf.DUMMYFUNCTION("""COMPUTED_VALUE"""),"LAB")</f>
        <v>LAB</v>
      </c>
      <c r="G331" s="121">
        <f>IFERROR(__xludf.DUMMYFUNCTION("""COMPUTED_VALUE"""),1.0)</f>
        <v>1</v>
      </c>
      <c r="H331" s="121">
        <f>IFERROR(__xludf.DUMMYFUNCTION("""COMPUTED_VALUE"""),0.0)</f>
        <v>0</v>
      </c>
      <c r="I331" s="121">
        <f>IFERROR(__xludf.DUMMYFUNCTION("""COMPUTED_VALUE"""),2.0)</f>
        <v>2</v>
      </c>
      <c r="J331" s="121">
        <f>IFERROR(__xludf.DUMMYFUNCTION("""COMPUTED_VALUE"""),2.0)</f>
        <v>2</v>
      </c>
      <c r="K331" s="132" t="str">
        <f>IFERROR(__xludf.DUMMYFUNCTION("""COMPUTED_VALUE"""),"HU11159")</f>
        <v>HU11159</v>
      </c>
      <c r="L331" s="121" t="str">
        <f>IFERROR(__xludf.DUMMYFUNCTION("""COMPUTED_VALUE"""),"Dr.JAYA K")</f>
        <v>Dr.JAYA K</v>
      </c>
      <c r="M331" s="121" t="str">
        <f>IFERROR(__xludf.DUMMYFUNCTION("""COMPUTED_VALUE"""),"jayak@bitsathy.ac.in")</f>
        <v>jayak@bitsathy.ac.in</v>
      </c>
    </row>
    <row r="332" ht="49.5" customHeight="1">
      <c r="A332" s="121" t="str">
        <f>IFERROR(__xludf.DUMMYFUNCTION("""COMPUTED_VALUE"""),"CSE")</f>
        <v>CSE</v>
      </c>
      <c r="B332" s="121" t="str">
        <f>IFERROR(__xludf.DUMMYFUNCTION("""COMPUTED_VALUE"""),"S2")</f>
        <v>S2</v>
      </c>
      <c r="C332" s="121" t="str">
        <f>IFERROR(__xludf.DUMMYFUNCTION("""COMPUTED_VALUE"""),"LANGUAGE ELECTIVE")</f>
        <v>LANGUAGE ELECTIVE</v>
      </c>
      <c r="D332" s="121" t="str">
        <f>IFERROR(__xludf.DUMMYFUNCTION("""COMPUTED_VALUE"""),"22HS201")</f>
        <v>22HS201</v>
      </c>
      <c r="E332" s="131" t="str">
        <f>IFERROR(__xludf.DUMMYFUNCTION("""COMPUTED_VALUE""")," COMMUNICATIVE ENGLISH II")</f>
        <v> COMMUNICATIVE ENGLISH II</v>
      </c>
      <c r="F332" s="121" t="str">
        <f>IFERROR(__xludf.DUMMYFUNCTION("""COMPUTED_VALUE"""),"LAB")</f>
        <v>LAB</v>
      </c>
      <c r="G332" s="121">
        <f>IFERROR(__xludf.DUMMYFUNCTION("""COMPUTED_VALUE"""),1.0)</f>
        <v>1</v>
      </c>
      <c r="H332" s="121">
        <f>IFERROR(__xludf.DUMMYFUNCTION("""COMPUTED_VALUE"""),0.0)</f>
        <v>0</v>
      </c>
      <c r="I332" s="121">
        <f>IFERROR(__xludf.DUMMYFUNCTION("""COMPUTED_VALUE"""),2.0)</f>
        <v>2</v>
      </c>
      <c r="J332" s="121">
        <f>IFERROR(__xludf.DUMMYFUNCTION("""COMPUTED_VALUE"""),2.0)</f>
        <v>2</v>
      </c>
      <c r="K332" s="132" t="str">
        <f>IFERROR(__xludf.DUMMYFUNCTION("""COMPUTED_VALUE"""),"HU11151")</f>
        <v>HU11151</v>
      </c>
      <c r="L332" s="121" t="str">
        <f>IFERROR(__xludf.DUMMYFUNCTION("""COMPUTED_VALUE"""),"Dr.NITHYA S")</f>
        <v>Dr.NITHYA S</v>
      </c>
      <c r="M332" s="121" t="str">
        <f>IFERROR(__xludf.DUMMYFUNCTION("""COMPUTED_VALUE"""),"nithyas@bitsathy.ac.in")</f>
        <v>nithyas@bitsathy.ac.in</v>
      </c>
    </row>
    <row r="333" ht="49.5" customHeight="1">
      <c r="A333" s="121" t="str">
        <f>IFERROR(__xludf.DUMMYFUNCTION("""COMPUTED_VALUE"""),"CSE")</f>
        <v>CSE</v>
      </c>
      <c r="B333" s="121" t="str">
        <f>IFERROR(__xludf.DUMMYFUNCTION("""COMPUTED_VALUE"""),"S2")</f>
        <v>S2</v>
      </c>
      <c r="C333" s="121" t="str">
        <f>IFERROR(__xludf.DUMMYFUNCTION("""COMPUTED_VALUE"""),"LANGUAGE ELECTIVE")</f>
        <v>LANGUAGE ELECTIVE</v>
      </c>
      <c r="D333" s="121" t="str">
        <f>IFERROR(__xludf.DUMMYFUNCTION("""COMPUTED_VALUE"""),"22HSH01")</f>
        <v>22HSH01</v>
      </c>
      <c r="E333" s="131" t="str">
        <f>IFERROR(__xludf.DUMMYFUNCTION("""COMPUTED_VALUE"""),"HINDI")</f>
        <v>HINDI</v>
      </c>
      <c r="F333" s="121" t="str">
        <f>IFERROR(__xludf.DUMMYFUNCTION("""COMPUTED_VALUE"""),"LAB")</f>
        <v>LAB</v>
      </c>
      <c r="G333" s="121">
        <f>IFERROR(__xludf.DUMMYFUNCTION("""COMPUTED_VALUE"""),1.0)</f>
        <v>1</v>
      </c>
      <c r="H333" s="121">
        <f>IFERROR(__xludf.DUMMYFUNCTION("""COMPUTED_VALUE"""),0.0)</f>
        <v>0</v>
      </c>
      <c r="I333" s="121">
        <f>IFERROR(__xludf.DUMMYFUNCTION("""COMPUTED_VALUE"""),2.0)</f>
        <v>2</v>
      </c>
      <c r="J333" s="121">
        <f>IFERROR(__xludf.DUMMYFUNCTION("""COMPUTED_VALUE"""),2.0)</f>
        <v>2</v>
      </c>
      <c r="K333" s="132"/>
      <c r="L333" s="121"/>
      <c r="M333" s="121"/>
    </row>
    <row r="334" ht="49.5" customHeight="1">
      <c r="A334" s="121" t="str">
        <f>IFERROR(__xludf.DUMMYFUNCTION("""COMPUTED_VALUE"""),"CSE")</f>
        <v>CSE</v>
      </c>
      <c r="B334" s="121" t="str">
        <f>IFERROR(__xludf.DUMMYFUNCTION("""COMPUTED_VALUE"""),"S2")</f>
        <v>S2</v>
      </c>
      <c r="C334" s="121" t="str">
        <f>IFERROR(__xludf.DUMMYFUNCTION("""COMPUTED_VALUE"""),"LANGUAGE ELECTIVE")</f>
        <v>LANGUAGE ELECTIVE</v>
      </c>
      <c r="D334" s="121" t="str">
        <f>IFERROR(__xludf.DUMMYFUNCTION("""COMPUTED_VALUE"""),"22HSH01")</f>
        <v>22HSH01</v>
      </c>
      <c r="E334" s="131" t="str">
        <f>IFERROR(__xludf.DUMMYFUNCTION("""COMPUTED_VALUE"""),"HINDI")</f>
        <v>HINDI</v>
      </c>
      <c r="F334" s="121" t="str">
        <f>IFERROR(__xludf.DUMMYFUNCTION("""COMPUTED_VALUE"""),"LAB")</f>
        <v>LAB</v>
      </c>
      <c r="G334" s="121">
        <f>IFERROR(__xludf.DUMMYFUNCTION("""COMPUTED_VALUE"""),1.0)</f>
        <v>1</v>
      </c>
      <c r="H334" s="121">
        <f>IFERROR(__xludf.DUMMYFUNCTION("""COMPUTED_VALUE"""),0.0)</f>
        <v>0</v>
      </c>
      <c r="I334" s="121">
        <f>IFERROR(__xludf.DUMMYFUNCTION("""COMPUTED_VALUE"""),2.0)</f>
        <v>2</v>
      </c>
      <c r="J334" s="121">
        <f>IFERROR(__xludf.DUMMYFUNCTION("""COMPUTED_VALUE"""),2.0)</f>
        <v>2</v>
      </c>
      <c r="K334" s="132"/>
      <c r="L334" s="121"/>
      <c r="M334" s="121"/>
    </row>
    <row r="335" ht="49.5" customHeight="1">
      <c r="A335" s="121" t="str">
        <f>IFERROR(__xludf.DUMMYFUNCTION("""COMPUTED_VALUE"""),"CSE")</f>
        <v>CSE</v>
      </c>
      <c r="B335" s="121" t="str">
        <f>IFERROR(__xludf.DUMMYFUNCTION("""COMPUTED_VALUE"""),"S2")</f>
        <v>S2</v>
      </c>
      <c r="C335" s="121" t="str">
        <f>IFERROR(__xludf.DUMMYFUNCTION("""COMPUTED_VALUE"""),"LANGUAGE ELECTIVE")</f>
        <v>LANGUAGE ELECTIVE</v>
      </c>
      <c r="D335" s="121" t="str">
        <f>IFERROR(__xludf.DUMMYFUNCTION("""COMPUTED_VALUE"""),"22HSG01")</f>
        <v>22HSG01</v>
      </c>
      <c r="E335" s="131" t="str">
        <f>IFERROR(__xludf.DUMMYFUNCTION("""COMPUTED_VALUE"""),"GERMAN")</f>
        <v>GERMAN</v>
      </c>
      <c r="F335" s="121" t="str">
        <f>IFERROR(__xludf.DUMMYFUNCTION("""COMPUTED_VALUE"""),"LAB")</f>
        <v>LAB</v>
      </c>
      <c r="G335" s="121">
        <f>IFERROR(__xludf.DUMMYFUNCTION("""COMPUTED_VALUE"""),1.0)</f>
        <v>1</v>
      </c>
      <c r="H335" s="121">
        <f>IFERROR(__xludf.DUMMYFUNCTION("""COMPUTED_VALUE"""),0.0)</f>
        <v>0</v>
      </c>
      <c r="I335" s="121">
        <f>IFERROR(__xludf.DUMMYFUNCTION("""COMPUTED_VALUE"""),2.0)</f>
        <v>2</v>
      </c>
      <c r="J335" s="121">
        <f>IFERROR(__xludf.DUMMYFUNCTION("""COMPUTED_VALUE"""),2.0)</f>
        <v>2</v>
      </c>
      <c r="K335" s="132"/>
      <c r="L335" s="121"/>
      <c r="M335" s="121"/>
    </row>
    <row r="336" ht="49.5" customHeight="1">
      <c r="A336" s="121" t="str">
        <f>IFERROR(__xludf.DUMMYFUNCTION("""COMPUTED_VALUE"""),"CSE")</f>
        <v>CSE</v>
      </c>
      <c r="B336" s="121" t="str">
        <f>IFERROR(__xludf.DUMMYFUNCTION("""COMPUTED_VALUE"""),"S2")</f>
        <v>S2</v>
      </c>
      <c r="C336" s="121" t="str">
        <f>IFERROR(__xludf.DUMMYFUNCTION("""COMPUTED_VALUE"""),"LANGUAGE ELECTIVE")</f>
        <v>LANGUAGE ELECTIVE</v>
      </c>
      <c r="D336" s="121" t="str">
        <f>IFERROR(__xludf.DUMMYFUNCTION("""COMPUTED_VALUE"""),"22HSG01")</f>
        <v>22HSG01</v>
      </c>
      <c r="E336" s="131" t="str">
        <f>IFERROR(__xludf.DUMMYFUNCTION("""COMPUTED_VALUE"""),"GERMAN")</f>
        <v>GERMAN</v>
      </c>
      <c r="F336" s="121" t="str">
        <f>IFERROR(__xludf.DUMMYFUNCTION("""COMPUTED_VALUE"""),"LAB")</f>
        <v>LAB</v>
      </c>
      <c r="G336" s="121">
        <f>IFERROR(__xludf.DUMMYFUNCTION("""COMPUTED_VALUE"""),1.0)</f>
        <v>1</v>
      </c>
      <c r="H336" s="121">
        <f>IFERROR(__xludf.DUMMYFUNCTION("""COMPUTED_VALUE"""),0.0)</f>
        <v>0</v>
      </c>
      <c r="I336" s="121">
        <f>IFERROR(__xludf.DUMMYFUNCTION("""COMPUTED_VALUE"""),2.0)</f>
        <v>2</v>
      </c>
      <c r="J336" s="121">
        <f>IFERROR(__xludf.DUMMYFUNCTION("""COMPUTED_VALUE"""),2.0)</f>
        <v>2</v>
      </c>
      <c r="K336" s="132"/>
      <c r="L336" s="121"/>
      <c r="M336" s="121"/>
    </row>
    <row r="337" ht="49.5" customHeight="1">
      <c r="A337" s="121" t="str">
        <f>IFERROR(__xludf.DUMMYFUNCTION("""COMPUTED_VALUE"""),"CSE")</f>
        <v>CSE</v>
      </c>
      <c r="B337" s="121" t="str">
        <f>IFERROR(__xludf.DUMMYFUNCTION("""COMPUTED_VALUE"""),"S4")</f>
        <v>S4</v>
      </c>
      <c r="C337" s="121" t="str">
        <f>IFERROR(__xludf.DUMMYFUNCTION("""COMPUTED_VALUE"""),"CORE")</f>
        <v>CORE</v>
      </c>
      <c r="D337" s="121" t="str">
        <f>IFERROR(__xludf.DUMMYFUNCTION("""COMPUTED_VALUE"""),"22CS401")</f>
        <v>22CS401</v>
      </c>
      <c r="E337" s="131" t="str">
        <f>IFERROR(__xludf.DUMMYFUNCTION("""COMPUTED_VALUE"""),"DISCRETE MATHEMATICS")</f>
        <v>DISCRETE MATHEMATICS</v>
      </c>
      <c r="F337" s="121" t="str">
        <f>IFERROR(__xludf.DUMMYFUNCTION("""COMPUTED_VALUE"""),"THEORY")</f>
        <v>THEORY</v>
      </c>
      <c r="G337" s="121">
        <f>IFERROR(__xludf.DUMMYFUNCTION("""COMPUTED_VALUE"""),3.0)</f>
        <v>3</v>
      </c>
      <c r="H337" s="121">
        <f>IFERROR(__xludf.DUMMYFUNCTION("""COMPUTED_VALUE"""),1.0)</f>
        <v>1</v>
      </c>
      <c r="I337" s="121">
        <f>IFERROR(__xludf.DUMMYFUNCTION("""COMPUTED_VALUE"""),0.0)</f>
        <v>0</v>
      </c>
      <c r="J337" s="121">
        <f>IFERROR(__xludf.DUMMYFUNCTION("""COMPUTED_VALUE"""),4.0)</f>
        <v>4</v>
      </c>
      <c r="K337" s="132" t="str">
        <f>IFERROR(__xludf.DUMMYFUNCTION("""COMPUTED_VALUE"""),"MA1566")</f>
        <v>MA1566</v>
      </c>
      <c r="L337" s="121" t="str">
        <f>IFERROR(__xludf.DUMMYFUNCTION("""COMPUTED_VALUE"""),"Dr.PARIMALA M")</f>
        <v>Dr.PARIMALA M</v>
      </c>
      <c r="M337" s="121" t="str">
        <f>IFERROR(__xludf.DUMMYFUNCTION("""COMPUTED_VALUE"""),"parimalam@bitsathy.ac.in")</f>
        <v>parimalam@bitsathy.ac.in</v>
      </c>
    </row>
    <row r="338" ht="49.5" customHeight="1">
      <c r="A338" s="121" t="str">
        <f>IFERROR(__xludf.DUMMYFUNCTION("""COMPUTED_VALUE"""),"CSE")</f>
        <v>CSE</v>
      </c>
      <c r="B338" s="121" t="str">
        <f>IFERROR(__xludf.DUMMYFUNCTION("""COMPUTED_VALUE"""),"S4")</f>
        <v>S4</v>
      </c>
      <c r="C338" s="121" t="str">
        <f>IFERROR(__xludf.DUMMYFUNCTION("""COMPUTED_VALUE"""),"CORE")</f>
        <v>CORE</v>
      </c>
      <c r="D338" s="121" t="str">
        <f>IFERROR(__xludf.DUMMYFUNCTION("""COMPUTED_VALUE"""),"22CS401")</f>
        <v>22CS401</v>
      </c>
      <c r="E338" s="131" t="str">
        <f>IFERROR(__xludf.DUMMYFUNCTION("""COMPUTED_VALUE"""),"DISCRETE MATHEMATICS")</f>
        <v>DISCRETE MATHEMATICS</v>
      </c>
      <c r="F338" s="121" t="str">
        <f>IFERROR(__xludf.DUMMYFUNCTION("""COMPUTED_VALUE"""),"THEORY")</f>
        <v>THEORY</v>
      </c>
      <c r="G338" s="121">
        <f>IFERROR(__xludf.DUMMYFUNCTION("""COMPUTED_VALUE"""),3.0)</f>
        <v>3</v>
      </c>
      <c r="H338" s="121">
        <f>IFERROR(__xludf.DUMMYFUNCTION("""COMPUTED_VALUE"""),1.0)</f>
        <v>1</v>
      </c>
      <c r="I338" s="121">
        <f>IFERROR(__xludf.DUMMYFUNCTION("""COMPUTED_VALUE"""),0.0)</f>
        <v>0</v>
      </c>
      <c r="J338" s="121">
        <f>IFERROR(__xludf.DUMMYFUNCTION("""COMPUTED_VALUE"""),4.0)</f>
        <v>4</v>
      </c>
      <c r="K338" s="132" t="str">
        <f>IFERROR(__xludf.DUMMYFUNCTION("""COMPUTED_VALUE"""),"MA1465")</f>
        <v>MA1465</v>
      </c>
      <c r="L338" s="121" t="str">
        <f>IFERROR(__xludf.DUMMYFUNCTION("""COMPUTED_VALUE"""),"Dr.PRAKASH K")</f>
        <v>Dr.PRAKASH K</v>
      </c>
      <c r="M338" s="121" t="str">
        <f>IFERROR(__xludf.DUMMYFUNCTION("""COMPUTED_VALUE"""),"prakashk@bitsathy.ac.in")</f>
        <v>prakashk@bitsathy.ac.in</v>
      </c>
    </row>
    <row r="339" ht="49.5" customHeight="1">
      <c r="A339" s="121" t="str">
        <f>IFERROR(__xludf.DUMMYFUNCTION("""COMPUTED_VALUE"""),"CSE")</f>
        <v>CSE</v>
      </c>
      <c r="B339" s="121" t="str">
        <f>IFERROR(__xludf.DUMMYFUNCTION("""COMPUTED_VALUE"""),"S4")</f>
        <v>S4</v>
      </c>
      <c r="C339" s="121" t="str">
        <f>IFERROR(__xludf.DUMMYFUNCTION("""COMPUTED_VALUE"""),"CORE")</f>
        <v>CORE</v>
      </c>
      <c r="D339" s="121" t="str">
        <f>IFERROR(__xludf.DUMMYFUNCTION("""COMPUTED_VALUE"""),"22CS401")</f>
        <v>22CS401</v>
      </c>
      <c r="E339" s="131" t="str">
        <f>IFERROR(__xludf.DUMMYFUNCTION("""COMPUTED_VALUE"""),"DISCRETE MATHEMATICS")</f>
        <v>DISCRETE MATHEMATICS</v>
      </c>
      <c r="F339" s="121" t="str">
        <f>IFERROR(__xludf.DUMMYFUNCTION("""COMPUTED_VALUE"""),"THEORY")</f>
        <v>THEORY</v>
      </c>
      <c r="G339" s="121">
        <f>IFERROR(__xludf.DUMMYFUNCTION("""COMPUTED_VALUE"""),3.0)</f>
        <v>3</v>
      </c>
      <c r="H339" s="121">
        <f>IFERROR(__xludf.DUMMYFUNCTION("""COMPUTED_VALUE"""),1.0)</f>
        <v>1</v>
      </c>
      <c r="I339" s="121">
        <f>IFERROR(__xludf.DUMMYFUNCTION("""COMPUTED_VALUE"""),0.0)</f>
        <v>0</v>
      </c>
      <c r="J339" s="121">
        <f>IFERROR(__xludf.DUMMYFUNCTION("""COMPUTED_VALUE"""),4.0)</f>
        <v>4</v>
      </c>
      <c r="K339" s="132" t="str">
        <f>IFERROR(__xludf.DUMMYFUNCTION("""COMPUTED_VALUE"""),"MA1702")</f>
        <v>MA1702</v>
      </c>
      <c r="L339" s="121" t="str">
        <f>IFERROR(__xludf.DUMMYFUNCTION("""COMPUTED_VALUE"""),"Dr.UMAMAGESWARI D")</f>
        <v>Dr.UMAMAGESWARI D</v>
      </c>
      <c r="M339" s="121" t="str">
        <f>IFERROR(__xludf.DUMMYFUNCTION("""COMPUTED_VALUE"""),"umamageswarid@bitsathy.ac.in")</f>
        <v>umamageswarid@bitsathy.ac.in</v>
      </c>
    </row>
    <row r="340" ht="49.5" customHeight="1">
      <c r="A340" s="121" t="str">
        <f>IFERROR(__xludf.DUMMYFUNCTION("""COMPUTED_VALUE"""),"CSE")</f>
        <v>CSE</v>
      </c>
      <c r="B340" s="121" t="str">
        <f>IFERROR(__xludf.DUMMYFUNCTION("""COMPUTED_VALUE"""),"S4")</f>
        <v>S4</v>
      </c>
      <c r="C340" s="121" t="str">
        <f>IFERROR(__xludf.DUMMYFUNCTION("""COMPUTED_VALUE"""),"CORE")</f>
        <v>CORE</v>
      </c>
      <c r="D340" s="121" t="str">
        <f>IFERROR(__xludf.DUMMYFUNCTION("""COMPUTED_VALUE"""),"22CS401")</f>
        <v>22CS401</v>
      </c>
      <c r="E340" s="131" t="str">
        <f>IFERROR(__xludf.DUMMYFUNCTION("""COMPUTED_VALUE"""),"DISCRETE MATHEMATICS")</f>
        <v>DISCRETE MATHEMATICS</v>
      </c>
      <c r="F340" s="121" t="str">
        <f>IFERROR(__xludf.DUMMYFUNCTION("""COMPUTED_VALUE"""),"THEORY")</f>
        <v>THEORY</v>
      </c>
      <c r="G340" s="121">
        <f>IFERROR(__xludf.DUMMYFUNCTION("""COMPUTED_VALUE"""),3.0)</f>
        <v>3</v>
      </c>
      <c r="H340" s="121">
        <f>IFERROR(__xludf.DUMMYFUNCTION("""COMPUTED_VALUE"""),1.0)</f>
        <v>1</v>
      </c>
      <c r="I340" s="121">
        <f>IFERROR(__xludf.DUMMYFUNCTION("""COMPUTED_VALUE"""),0.0)</f>
        <v>0</v>
      </c>
      <c r="J340" s="121">
        <f>IFERROR(__xludf.DUMMYFUNCTION("""COMPUTED_VALUE"""),4.0)</f>
        <v>4</v>
      </c>
      <c r="K340" s="132" t="str">
        <f>IFERROR(__xludf.DUMMYFUNCTION("""COMPUTED_VALUE"""),"MA10071")</f>
        <v>MA10071</v>
      </c>
      <c r="L340" s="121" t="str">
        <f>IFERROR(__xludf.DUMMYFUNCTION("""COMPUTED_VALUE"""),"Mrs.PREETHA R")</f>
        <v>Mrs.PREETHA R</v>
      </c>
      <c r="M340" s="121" t="str">
        <f>IFERROR(__xludf.DUMMYFUNCTION("""COMPUTED_VALUE"""),"preetha@bitsathy.ac.in")</f>
        <v>preetha@bitsathy.ac.in</v>
      </c>
    </row>
    <row r="341" ht="49.5" customHeight="1">
      <c r="A341" s="121" t="str">
        <f>IFERROR(__xludf.DUMMYFUNCTION("""COMPUTED_VALUE"""),"CSE")</f>
        <v>CSE</v>
      </c>
      <c r="B341" s="121" t="str">
        <f>IFERROR(__xludf.DUMMYFUNCTION("""COMPUTED_VALUE"""),"S4")</f>
        <v>S4</v>
      </c>
      <c r="C341" s="121" t="str">
        <f>IFERROR(__xludf.DUMMYFUNCTION("""COMPUTED_VALUE"""),"CORE")</f>
        <v>CORE</v>
      </c>
      <c r="D341" s="121" t="str">
        <f>IFERROR(__xludf.DUMMYFUNCTION("""COMPUTED_VALUE"""),"22CS401")</f>
        <v>22CS401</v>
      </c>
      <c r="E341" s="131" t="str">
        <f>IFERROR(__xludf.DUMMYFUNCTION("""COMPUTED_VALUE"""),"DISCRETE MATHEMATICS")</f>
        <v>DISCRETE MATHEMATICS</v>
      </c>
      <c r="F341" s="121" t="str">
        <f>IFERROR(__xludf.DUMMYFUNCTION("""COMPUTED_VALUE"""),"THEORY")</f>
        <v>THEORY</v>
      </c>
      <c r="G341" s="121">
        <f>IFERROR(__xludf.DUMMYFUNCTION("""COMPUTED_VALUE"""),3.0)</f>
        <v>3</v>
      </c>
      <c r="H341" s="121">
        <f>IFERROR(__xludf.DUMMYFUNCTION("""COMPUTED_VALUE"""),1.0)</f>
        <v>1</v>
      </c>
      <c r="I341" s="121">
        <f>IFERROR(__xludf.DUMMYFUNCTION("""COMPUTED_VALUE"""),0.0)</f>
        <v>0</v>
      </c>
      <c r="J341" s="121">
        <f>IFERROR(__xludf.DUMMYFUNCTION("""COMPUTED_VALUE"""),4.0)</f>
        <v>4</v>
      </c>
      <c r="K341" s="132" t="str">
        <f>IFERROR(__xludf.DUMMYFUNCTION("""COMPUTED_VALUE"""),"MA10119")</f>
        <v>MA10119</v>
      </c>
      <c r="L341" s="121" t="str">
        <f>IFERROR(__xludf.DUMMYFUNCTION("""COMPUTED_VALUE"""),"Dr.SARANYA D")</f>
        <v>Dr.SARANYA D</v>
      </c>
      <c r="M341" s="133" t="str">
        <f>IFERROR(__xludf.DUMMYFUNCTION("""COMPUTED_VALUE"""),"saranyad@bitsathy.ac.in")</f>
        <v>saranyad@bitsathy.ac.in</v>
      </c>
    </row>
    <row r="342" ht="49.5" customHeight="1">
      <c r="A342" s="121" t="str">
        <f>IFERROR(__xludf.DUMMYFUNCTION("""COMPUTED_VALUE"""),"CSE")</f>
        <v>CSE</v>
      </c>
      <c r="B342" s="121" t="str">
        <f>IFERROR(__xludf.DUMMYFUNCTION("""COMPUTED_VALUE"""),"S4")</f>
        <v>S4</v>
      </c>
      <c r="C342" s="121" t="str">
        <f>IFERROR(__xludf.DUMMYFUNCTION("""COMPUTED_VALUE"""),"CORE")</f>
        <v>CORE</v>
      </c>
      <c r="D342" s="121" t="str">
        <f>IFERROR(__xludf.DUMMYFUNCTION("""COMPUTED_VALUE"""),"22CS401")</f>
        <v>22CS401</v>
      </c>
      <c r="E342" s="131" t="str">
        <f>IFERROR(__xludf.DUMMYFUNCTION("""COMPUTED_VALUE"""),"DISCRETE MATHEMATICS")</f>
        <v>DISCRETE MATHEMATICS</v>
      </c>
      <c r="F342" s="121" t="str">
        <f>IFERROR(__xludf.DUMMYFUNCTION("""COMPUTED_VALUE"""),"THEORY")</f>
        <v>THEORY</v>
      </c>
      <c r="G342" s="121">
        <f>IFERROR(__xludf.DUMMYFUNCTION("""COMPUTED_VALUE"""),3.0)</f>
        <v>3</v>
      </c>
      <c r="H342" s="121">
        <f>IFERROR(__xludf.DUMMYFUNCTION("""COMPUTED_VALUE"""),1.0)</f>
        <v>1</v>
      </c>
      <c r="I342" s="121">
        <f>IFERROR(__xludf.DUMMYFUNCTION("""COMPUTED_VALUE"""),0.0)</f>
        <v>0</v>
      </c>
      <c r="J342" s="121">
        <f>IFERROR(__xludf.DUMMYFUNCTION("""COMPUTED_VALUE"""),4.0)</f>
        <v>4</v>
      </c>
      <c r="K342" s="132" t="str">
        <f>IFERROR(__xludf.DUMMYFUNCTION("""COMPUTED_VALUE"""),"MA11181")</f>
        <v>MA11181</v>
      </c>
      <c r="L342" s="121" t="str">
        <f>IFERROR(__xludf.DUMMYFUNCTION("""COMPUTED_VALUE"""),"Dr.HEMALATHA B")</f>
        <v>Dr.HEMALATHA B</v>
      </c>
      <c r="M342" s="133" t="str">
        <f>IFERROR(__xludf.DUMMYFUNCTION("""COMPUTED_VALUE"""),"hemalathab@bitsathy.ac.in")</f>
        <v>hemalathab@bitsathy.ac.in</v>
      </c>
    </row>
    <row r="343" ht="49.5" customHeight="1">
      <c r="A343" s="121" t="str">
        <f>IFERROR(__xludf.DUMMYFUNCTION("""COMPUTED_VALUE"""),"CSE")</f>
        <v>CSE</v>
      </c>
      <c r="B343" s="121" t="str">
        <f>IFERROR(__xludf.DUMMYFUNCTION("""COMPUTED_VALUE"""),"S4")</f>
        <v>S4</v>
      </c>
      <c r="C343" s="121" t="str">
        <f>IFERROR(__xludf.DUMMYFUNCTION("""COMPUTED_VALUE"""),"CORE")</f>
        <v>CORE</v>
      </c>
      <c r="D343" s="121" t="str">
        <f>IFERROR(__xludf.DUMMYFUNCTION("""COMPUTED_VALUE"""),"22CS402")</f>
        <v>22CS402</v>
      </c>
      <c r="E343" s="131" t="str">
        <f>IFERROR(__xludf.DUMMYFUNCTION("""COMPUTED_VALUE"""),"DATA STRUCTURES II")</f>
        <v>DATA STRUCTURES II</v>
      </c>
      <c r="F343" s="121" t="str">
        <f>IFERROR(__xludf.DUMMYFUNCTION("""COMPUTED_VALUE"""),"THEORY WITH LAB")</f>
        <v>THEORY WITH LAB</v>
      </c>
      <c r="G343" s="121">
        <f>IFERROR(__xludf.DUMMYFUNCTION("""COMPUTED_VALUE"""),3.0)</f>
        <v>3</v>
      </c>
      <c r="H343" s="121">
        <f>IFERROR(__xludf.DUMMYFUNCTION("""COMPUTED_VALUE"""),0.0)</f>
        <v>0</v>
      </c>
      <c r="I343" s="121">
        <f>IFERROR(__xludf.DUMMYFUNCTION("""COMPUTED_VALUE"""),2.0)</f>
        <v>2</v>
      </c>
      <c r="J343" s="121">
        <f>IFERROR(__xludf.DUMMYFUNCTION("""COMPUTED_VALUE"""),4.0)</f>
        <v>4</v>
      </c>
      <c r="K343" s="132" t="str">
        <f>IFERROR(__xludf.DUMMYFUNCTION("""COMPUTED_VALUE"""),"CS10797")</f>
        <v>CS10797</v>
      </c>
      <c r="L343" s="121" t="str">
        <f>IFERROR(__xludf.DUMMYFUNCTION("""COMPUTED_VALUE"""),"Dr.SANGEETHAA SN")</f>
        <v>Dr.SANGEETHAA SN</v>
      </c>
      <c r="M343" s="133" t="str">
        <f>IFERROR(__xludf.DUMMYFUNCTION("""COMPUTED_VALUE"""),"sangeethaasn@bitsathy.ac.in")</f>
        <v>sangeethaasn@bitsathy.ac.in</v>
      </c>
    </row>
    <row r="344" ht="49.5" customHeight="1">
      <c r="A344" s="121" t="str">
        <f>IFERROR(__xludf.DUMMYFUNCTION("""COMPUTED_VALUE"""),"CSE")</f>
        <v>CSE</v>
      </c>
      <c r="B344" s="121" t="str">
        <f>IFERROR(__xludf.DUMMYFUNCTION("""COMPUTED_VALUE"""),"S4")</f>
        <v>S4</v>
      </c>
      <c r="C344" s="121" t="str">
        <f>IFERROR(__xludf.DUMMYFUNCTION("""COMPUTED_VALUE"""),"CORE")</f>
        <v>CORE</v>
      </c>
      <c r="D344" s="121" t="str">
        <f>IFERROR(__xludf.DUMMYFUNCTION("""COMPUTED_VALUE"""),"22CS402")</f>
        <v>22CS402</v>
      </c>
      <c r="E344" s="131" t="str">
        <f>IFERROR(__xludf.DUMMYFUNCTION("""COMPUTED_VALUE"""),"DATA STRUCTURES II")</f>
        <v>DATA STRUCTURES II</v>
      </c>
      <c r="F344" s="121" t="str">
        <f>IFERROR(__xludf.DUMMYFUNCTION("""COMPUTED_VALUE"""),"THEORY WITH LAB")</f>
        <v>THEORY WITH LAB</v>
      </c>
      <c r="G344" s="121">
        <f>IFERROR(__xludf.DUMMYFUNCTION("""COMPUTED_VALUE"""),3.0)</f>
        <v>3</v>
      </c>
      <c r="H344" s="121">
        <f>IFERROR(__xludf.DUMMYFUNCTION("""COMPUTED_VALUE"""),0.0)</f>
        <v>0</v>
      </c>
      <c r="I344" s="121">
        <f>IFERROR(__xludf.DUMMYFUNCTION("""COMPUTED_VALUE"""),2.0)</f>
        <v>2</v>
      </c>
      <c r="J344" s="121">
        <f>IFERROR(__xludf.DUMMYFUNCTION("""COMPUTED_VALUE"""),4.0)</f>
        <v>4</v>
      </c>
      <c r="K344" s="132" t="str">
        <f>IFERROR(__xludf.DUMMYFUNCTION("""COMPUTED_VALUE"""),"CS1906")</f>
        <v>CS1906</v>
      </c>
      <c r="L344" s="121" t="str">
        <f>IFERROR(__xludf.DUMMYFUNCTION("""COMPUTED_VALUE"""),"Dr.RAMYA R")</f>
        <v>Dr.RAMYA R</v>
      </c>
      <c r="M344" s="133" t="str">
        <f>IFERROR(__xludf.DUMMYFUNCTION("""COMPUTED_VALUE"""),"ramyarv@bitsathy.ac.in")</f>
        <v>ramyarv@bitsathy.ac.in</v>
      </c>
    </row>
    <row r="345" ht="49.5" customHeight="1">
      <c r="A345" s="121" t="str">
        <f>IFERROR(__xludf.DUMMYFUNCTION("""COMPUTED_VALUE"""),"CSE")</f>
        <v>CSE</v>
      </c>
      <c r="B345" s="121" t="str">
        <f>IFERROR(__xludf.DUMMYFUNCTION("""COMPUTED_VALUE"""),"S4")</f>
        <v>S4</v>
      </c>
      <c r="C345" s="121" t="str">
        <f>IFERROR(__xludf.DUMMYFUNCTION("""COMPUTED_VALUE"""),"CORE")</f>
        <v>CORE</v>
      </c>
      <c r="D345" s="121" t="str">
        <f>IFERROR(__xludf.DUMMYFUNCTION("""COMPUTED_VALUE"""),"22CS402")</f>
        <v>22CS402</v>
      </c>
      <c r="E345" s="131" t="str">
        <f>IFERROR(__xludf.DUMMYFUNCTION("""COMPUTED_VALUE"""),"DATA STRUCTURES II")</f>
        <v>DATA STRUCTURES II</v>
      </c>
      <c r="F345" s="121" t="str">
        <f>IFERROR(__xludf.DUMMYFUNCTION("""COMPUTED_VALUE"""),"THEORY WITH LAB")</f>
        <v>THEORY WITH LAB</v>
      </c>
      <c r="G345" s="121">
        <f>IFERROR(__xludf.DUMMYFUNCTION("""COMPUTED_VALUE"""),3.0)</f>
        <v>3</v>
      </c>
      <c r="H345" s="121">
        <f>IFERROR(__xludf.DUMMYFUNCTION("""COMPUTED_VALUE"""),0.0)</f>
        <v>0</v>
      </c>
      <c r="I345" s="121">
        <f>IFERROR(__xludf.DUMMYFUNCTION("""COMPUTED_VALUE"""),2.0)</f>
        <v>2</v>
      </c>
      <c r="J345" s="121">
        <f>IFERROR(__xludf.DUMMYFUNCTION("""COMPUTED_VALUE"""),4.0)</f>
        <v>4</v>
      </c>
      <c r="K345" s="132" t="str">
        <f>IFERROR(__xludf.DUMMYFUNCTION("""COMPUTED_VALUE"""),"CS11080")</f>
        <v>CS11080</v>
      </c>
      <c r="L345" s="121" t="str">
        <f>IFERROR(__xludf.DUMMYFUNCTION("""COMPUTED_VALUE"""),"Mrs.AMMU V")</f>
        <v>Mrs.AMMU V</v>
      </c>
      <c r="M345" s="133" t="str">
        <f>IFERROR(__xludf.DUMMYFUNCTION("""COMPUTED_VALUE"""),"ammu@bitsathy.ac.in")</f>
        <v>ammu@bitsathy.ac.in</v>
      </c>
    </row>
    <row r="346" ht="49.5" customHeight="1">
      <c r="A346" s="121" t="str">
        <f>IFERROR(__xludf.DUMMYFUNCTION("""COMPUTED_VALUE"""),"CSE")</f>
        <v>CSE</v>
      </c>
      <c r="B346" s="121" t="str">
        <f>IFERROR(__xludf.DUMMYFUNCTION("""COMPUTED_VALUE"""),"S4")</f>
        <v>S4</v>
      </c>
      <c r="C346" s="121" t="str">
        <f>IFERROR(__xludf.DUMMYFUNCTION("""COMPUTED_VALUE"""),"CORE")</f>
        <v>CORE</v>
      </c>
      <c r="D346" s="121" t="str">
        <f>IFERROR(__xludf.DUMMYFUNCTION("""COMPUTED_VALUE"""),"22CS402")</f>
        <v>22CS402</v>
      </c>
      <c r="E346" s="131" t="str">
        <f>IFERROR(__xludf.DUMMYFUNCTION("""COMPUTED_VALUE"""),"DATA STRUCTURES II")</f>
        <v>DATA STRUCTURES II</v>
      </c>
      <c r="F346" s="121" t="str">
        <f>IFERROR(__xludf.DUMMYFUNCTION("""COMPUTED_VALUE"""),"THEORY WITH LAB")</f>
        <v>THEORY WITH LAB</v>
      </c>
      <c r="G346" s="121">
        <f>IFERROR(__xludf.DUMMYFUNCTION("""COMPUTED_VALUE"""),3.0)</f>
        <v>3</v>
      </c>
      <c r="H346" s="121">
        <f>IFERROR(__xludf.DUMMYFUNCTION("""COMPUTED_VALUE"""),0.0)</f>
        <v>0</v>
      </c>
      <c r="I346" s="121">
        <f>IFERROR(__xludf.DUMMYFUNCTION("""COMPUTED_VALUE"""),2.0)</f>
        <v>2</v>
      </c>
      <c r="J346" s="121">
        <f>IFERROR(__xludf.DUMMYFUNCTION("""COMPUTED_VALUE"""),4.0)</f>
        <v>4</v>
      </c>
      <c r="K346" s="132" t="str">
        <f>IFERROR(__xludf.DUMMYFUNCTION("""COMPUTED_VALUE"""),"CS11158")</f>
        <v>CS11158</v>
      </c>
      <c r="L346" s="121" t="str">
        <f>IFERROR(__xludf.DUMMYFUNCTION("""COMPUTED_VALUE"""),"Mrs.KAYALVIZHI B")</f>
        <v>Mrs.KAYALVIZHI B</v>
      </c>
      <c r="M346" s="121" t="str">
        <f>IFERROR(__xludf.DUMMYFUNCTION("""COMPUTED_VALUE"""),"kayalvizhib@bitsathy.ac.in")</f>
        <v>kayalvizhib@bitsathy.ac.in</v>
      </c>
    </row>
    <row r="347" ht="49.5" customHeight="1">
      <c r="A347" s="121" t="str">
        <f>IFERROR(__xludf.DUMMYFUNCTION("""COMPUTED_VALUE"""),"CSE")</f>
        <v>CSE</v>
      </c>
      <c r="B347" s="121" t="str">
        <f>IFERROR(__xludf.DUMMYFUNCTION("""COMPUTED_VALUE"""),"S4")</f>
        <v>S4</v>
      </c>
      <c r="C347" s="121" t="str">
        <f>IFERROR(__xludf.DUMMYFUNCTION("""COMPUTED_VALUE"""),"CORE")</f>
        <v>CORE</v>
      </c>
      <c r="D347" s="121" t="str">
        <f>IFERROR(__xludf.DUMMYFUNCTION("""COMPUTED_VALUE"""),"22CS402")</f>
        <v>22CS402</v>
      </c>
      <c r="E347" s="131" t="str">
        <f>IFERROR(__xludf.DUMMYFUNCTION("""COMPUTED_VALUE"""),"DATA STRUCTURES II")</f>
        <v>DATA STRUCTURES II</v>
      </c>
      <c r="F347" s="121" t="str">
        <f>IFERROR(__xludf.DUMMYFUNCTION("""COMPUTED_VALUE"""),"THEORY WITH LAB")</f>
        <v>THEORY WITH LAB</v>
      </c>
      <c r="G347" s="121">
        <f>IFERROR(__xludf.DUMMYFUNCTION("""COMPUTED_VALUE"""),3.0)</f>
        <v>3</v>
      </c>
      <c r="H347" s="121">
        <f>IFERROR(__xludf.DUMMYFUNCTION("""COMPUTED_VALUE"""),0.0)</f>
        <v>0</v>
      </c>
      <c r="I347" s="121">
        <f>IFERROR(__xludf.DUMMYFUNCTION("""COMPUTED_VALUE"""),2.0)</f>
        <v>2</v>
      </c>
      <c r="J347" s="121">
        <f>IFERROR(__xludf.DUMMYFUNCTION("""COMPUTED_VALUE"""),4.0)</f>
        <v>4</v>
      </c>
      <c r="K347" s="132" t="str">
        <f>IFERROR(__xludf.DUMMYFUNCTION("""COMPUTED_VALUE"""),"CS11094")</f>
        <v>CS11094</v>
      </c>
      <c r="L347" s="121" t="str">
        <f>IFERROR(__xludf.DUMMYFUNCTION("""COMPUTED_VALUE"""),"Ms.RATHNA S")</f>
        <v>Ms.RATHNA S</v>
      </c>
      <c r="M347" s="121" t="str">
        <f>IFERROR(__xludf.DUMMYFUNCTION("""COMPUTED_VALUE"""),"rathna@bitsathy.ac.in")</f>
        <v>rathna@bitsathy.ac.in</v>
      </c>
    </row>
    <row r="348" ht="49.5" customHeight="1">
      <c r="A348" s="121" t="str">
        <f>IFERROR(__xludf.DUMMYFUNCTION("""COMPUTED_VALUE"""),"CSE")</f>
        <v>CSE</v>
      </c>
      <c r="B348" s="121" t="str">
        <f>IFERROR(__xludf.DUMMYFUNCTION("""COMPUTED_VALUE"""),"S4")</f>
        <v>S4</v>
      </c>
      <c r="C348" s="121" t="str">
        <f>IFERROR(__xludf.DUMMYFUNCTION("""COMPUTED_VALUE"""),"CORE")</f>
        <v>CORE</v>
      </c>
      <c r="D348" s="121" t="str">
        <f>IFERROR(__xludf.DUMMYFUNCTION("""COMPUTED_VALUE"""),"22CS402")</f>
        <v>22CS402</v>
      </c>
      <c r="E348" s="131" t="str">
        <f>IFERROR(__xludf.DUMMYFUNCTION("""COMPUTED_VALUE"""),"DATA STRUCTURES II")</f>
        <v>DATA STRUCTURES II</v>
      </c>
      <c r="F348" s="121" t="str">
        <f>IFERROR(__xludf.DUMMYFUNCTION("""COMPUTED_VALUE"""),"THEORY WITH LAB")</f>
        <v>THEORY WITH LAB</v>
      </c>
      <c r="G348" s="121">
        <f>IFERROR(__xludf.DUMMYFUNCTION("""COMPUTED_VALUE"""),3.0)</f>
        <v>3</v>
      </c>
      <c r="H348" s="121">
        <f>IFERROR(__xludf.DUMMYFUNCTION("""COMPUTED_VALUE"""),0.0)</f>
        <v>0</v>
      </c>
      <c r="I348" s="121">
        <f>IFERROR(__xludf.DUMMYFUNCTION("""COMPUTED_VALUE"""),2.0)</f>
        <v>2</v>
      </c>
      <c r="J348" s="121">
        <f>IFERROR(__xludf.DUMMYFUNCTION("""COMPUTED_VALUE"""),4.0)</f>
        <v>4</v>
      </c>
      <c r="K348" s="132" t="str">
        <f>IFERROR(__xludf.DUMMYFUNCTION("""COMPUTED_VALUE"""),"CS11162")</f>
        <v>CS11162</v>
      </c>
      <c r="L348" s="121" t="str">
        <f>IFERROR(__xludf.DUMMYFUNCTION("""COMPUTED_VALUE"""),"Ms.THANGATAMILSELVI S")</f>
        <v>Ms.THANGATAMILSELVI S</v>
      </c>
      <c r="M348" s="121" t="str">
        <f>IFERROR(__xludf.DUMMYFUNCTION("""COMPUTED_VALUE"""),"thangatamilselvis@bitsathy.ac.in")</f>
        <v>thangatamilselvis@bitsathy.ac.in</v>
      </c>
    </row>
    <row r="349" ht="49.5" customHeight="1">
      <c r="A349" s="121" t="str">
        <f>IFERROR(__xludf.DUMMYFUNCTION("""COMPUTED_VALUE"""),"CSE")</f>
        <v>CSE</v>
      </c>
      <c r="B349" s="121" t="str">
        <f>IFERROR(__xludf.DUMMYFUNCTION("""COMPUTED_VALUE"""),"S4")</f>
        <v>S4</v>
      </c>
      <c r="C349" s="121" t="str">
        <f>IFERROR(__xludf.DUMMYFUNCTION("""COMPUTED_VALUE"""),"CORE")</f>
        <v>CORE</v>
      </c>
      <c r="D349" s="121" t="str">
        <f>IFERROR(__xludf.DUMMYFUNCTION("""COMPUTED_VALUE"""),"22CS403")</f>
        <v>22CS403</v>
      </c>
      <c r="E349" s="131" t="str">
        <f>IFERROR(__xludf.DUMMYFUNCTION("""COMPUTED_VALUE"""),"OPERATING SYSTEMS")</f>
        <v>OPERATING SYSTEMS</v>
      </c>
      <c r="F349" s="121" t="str">
        <f>IFERROR(__xludf.DUMMYFUNCTION("""COMPUTED_VALUE"""),"THEORY")</f>
        <v>THEORY</v>
      </c>
      <c r="G349" s="121">
        <f>IFERROR(__xludf.DUMMYFUNCTION("""COMPUTED_VALUE"""),3.0)</f>
        <v>3</v>
      </c>
      <c r="H349" s="121">
        <f>IFERROR(__xludf.DUMMYFUNCTION("""COMPUTED_VALUE"""),1.0)</f>
        <v>1</v>
      </c>
      <c r="I349" s="121">
        <f>IFERROR(__xludf.DUMMYFUNCTION("""COMPUTED_VALUE"""),0.0)</f>
        <v>0</v>
      </c>
      <c r="J349" s="121">
        <f>IFERROR(__xludf.DUMMYFUNCTION("""COMPUTED_VALUE"""),4.0)</f>
        <v>4</v>
      </c>
      <c r="K349" s="132" t="str">
        <f>IFERROR(__xludf.DUMMYFUNCTION("""COMPUTED_VALUE"""),"CS1110")</f>
        <v>CS1110</v>
      </c>
      <c r="L349" s="121" t="str">
        <f>IFERROR(__xludf.DUMMYFUNCTION("""COMPUTED_VALUE"""),"Dr.SASIKALA D")</f>
        <v>Dr.SASIKALA D</v>
      </c>
      <c r="M349" s="121" t="str">
        <f>IFERROR(__xludf.DUMMYFUNCTION("""COMPUTED_VALUE"""),"sasikalad@bitsathy.ac.in")</f>
        <v>sasikalad@bitsathy.ac.in</v>
      </c>
    </row>
    <row r="350" ht="49.5" customHeight="1">
      <c r="A350" s="121" t="str">
        <f>IFERROR(__xludf.DUMMYFUNCTION("""COMPUTED_VALUE"""),"CSE")</f>
        <v>CSE</v>
      </c>
      <c r="B350" s="121" t="str">
        <f>IFERROR(__xludf.DUMMYFUNCTION("""COMPUTED_VALUE"""),"S4")</f>
        <v>S4</v>
      </c>
      <c r="C350" s="121" t="str">
        <f>IFERROR(__xludf.DUMMYFUNCTION("""COMPUTED_VALUE"""),"CORE")</f>
        <v>CORE</v>
      </c>
      <c r="D350" s="121" t="str">
        <f>IFERROR(__xludf.DUMMYFUNCTION("""COMPUTED_VALUE"""),"22CS403")</f>
        <v>22CS403</v>
      </c>
      <c r="E350" s="131" t="str">
        <f>IFERROR(__xludf.DUMMYFUNCTION("""COMPUTED_VALUE"""),"OPERATING SYSTEMS")</f>
        <v>OPERATING SYSTEMS</v>
      </c>
      <c r="F350" s="121" t="str">
        <f>IFERROR(__xludf.DUMMYFUNCTION("""COMPUTED_VALUE"""),"THEORY")</f>
        <v>THEORY</v>
      </c>
      <c r="G350" s="121">
        <f>IFERROR(__xludf.DUMMYFUNCTION("""COMPUTED_VALUE"""),3.0)</f>
        <v>3</v>
      </c>
      <c r="H350" s="121">
        <f>IFERROR(__xludf.DUMMYFUNCTION("""COMPUTED_VALUE"""),1.0)</f>
        <v>1</v>
      </c>
      <c r="I350" s="121">
        <f>IFERROR(__xludf.DUMMYFUNCTION("""COMPUTED_VALUE"""),0.0)</f>
        <v>0</v>
      </c>
      <c r="J350" s="121">
        <f>IFERROR(__xludf.DUMMYFUNCTION("""COMPUTED_VALUE"""),4.0)</f>
        <v>4</v>
      </c>
      <c r="K350" s="132" t="str">
        <f>IFERROR(__xludf.DUMMYFUNCTION("""COMPUTED_VALUE"""),"CS10946")</f>
        <v>CS10946</v>
      </c>
      <c r="L350" s="121" t="str">
        <f>IFERROR(__xludf.DUMMYFUNCTION("""COMPUTED_VALUE"""),"Mr.RAMASAMI S")</f>
        <v>Mr.RAMASAMI S</v>
      </c>
      <c r="M350" s="121" t="str">
        <f>IFERROR(__xludf.DUMMYFUNCTION("""COMPUTED_VALUE"""),"ramasamis@bitsathy.ac.in")</f>
        <v>ramasamis@bitsathy.ac.in</v>
      </c>
    </row>
    <row r="351" ht="49.5" customHeight="1">
      <c r="A351" s="121" t="str">
        <f>IFERROR(__xludf.DUMMYFUNCTION("""COMPUTED_VALUE"""),"CSE")</f>
        <v>CSE</v>
      </c>
      <c r="B351" s="121" t="str">
        <f>IFERROR(__xludf.DUMMYFUNCTION("""COMPUTED_VALUE"""),"S4")</f>
        <v>S4</v>
      </c>
      <c r="C351" s="121" t="str">
        <f>IFERROR(__xludf.DUMMYFUNCTION("""COMPUTED_VALUE"""),"CORE")</f>
        <v>CORE</v>
      </c>
      <c r="D351" s="121" t="str">
        <f>IFERROR(__xludf.DUMMYFUNCTION("""COMPUTED_VALUE"""),"22CS403")</f>
        <v>22CS403</v>
      </c>
      <c r="E351" s="131" t="str">
        <f>IFERROR(__xludf.DUMMYFUNCTION("""COMPUTED_VALUE"""),"OPERATING SYSTEMS")</f>
        <v>OPERATING SYSTEMS</v>
      </c>
      <c r="F351" s="121" t="str">
        <f>IFERROR(__xludf.DUMMYFUNCTION("""COMPUTED_VALUE"""),"THEORY")</f>
        <v>THEORY</v>
      </c>
      <c r="G351" s="121">
        <f>IFERROR(__xludf.DUMMYFUNCTION("""COMPUTED_VALUE"""),3.0)</f>
        <v>3</v>
      </c>
      <c r="H351" s="121">
        <f>IFERROR(__xludf.DUMMYFUNCTION("""COMPUTED_VALUE"""),1.0)</f>
        <v>1</v>
      </c>
      <c r="I351" s="121">
        <f>IFERROR(__xludf.DUMMYFUNCTION("""COMPUTED_VALUE"""),0.0)</f>
        <v>0</v>
      </c>
      <c r="J351" s="121">
        <f>IFERROR(__xludf.DUMMYFUNCTION("""COMPUTED_VALUE"""),4.0)</f>
        <v>4</v>
      </c>
      <c r="K351" s="132" t="str">
        <f>IFERROR(__xludf.DUMMYFUNCTION("""COMPUTED_VALUE"""),"CS10767")</f>
        <v>CS10767</v>
      </c>
      <c r="L351" s="121" t="str">
        <f>IFERROR(__xludf.DUMMYFUNCTION("""COMPUTED_VALUE"""),"Mr.MAGESH KUMAR B")</f>
        <v>Mr.MAGESH KUMAR B</v>
      </c>
      <c r="M351" s="121" t="str">
        <f>IFERROR(__xludf.DUMMYFUNCTION("""COMPUTED_VALUE"""),"mageshkumar@bitsathy.ac.in")</f>
        <v>mageshkumar@bitsathy.ac.in</v>
      </c>
    </row>
    <row r="352" ht="49.5" customHeight="1">
      <c r="A352" s="121" t="str">
        <f>IFERROR(__xludf.DUMMYFUNCTION("""COMPUTED_VALUE"""),"CSE")</f>
        <v>CSE</v>
      </c>
      <c r="B352" s="121" t="str">
        <f>IFERROR(__xludf.DUMMYFUNCTION("""COMPUTED_VALUE"""),"S4")</f>
        <v>S4</v>
      </c>
      <c r="C352" s="121" t="str">
        <f>IFERROR(__xludf.DUMMYFUNCTION("""COMPUTED_VALUE"""),"CORE")</f>
        <v>CORE</v>
      </c>
      <c r="D352" s="121" t="str">
        <f>IFERROR(__xludf.DUMMYFUNCTION("""COMPUTED_VALUE"""),"22CS403")</f>
        <v>22CS403</v>
      </c>
      <c r="E352" s="131" t="str">
        <f>IFERROR(__xludf.DUMMYFUNCTION("""COMPUTED_VALUE"""),"OPERATING SYSTEMS")</f>
        <v>OPERATING SYSTEMS</v>
      </c>
      <c r="F352" s="121" t="str">
        <f>IFERROR(__xludf.DUMMYFUNCTION("""COMPUTED_VALUE"""),"THEORY")</f>
        <v>THEORY</v>
      </c>
      <c r="G352" s="121">
        <f>IFERROR(__xludf.DUMMYFUNCTION("""COMPUTED_VALUE"""),3.0)</f>
        <v>3</v>
      </c>
      <c r="H352" s="121">
        <f>IFERROR(__xludf.DUMMYFUNCTION("""COMPUTED_VALUE"""),1.0)</f>
        <v>1</v>
      </c>
      <c r="I352" s="121">
        <f>IFERROR(__xludf.DUMMYFUNCTION("""COMPUTED_VALUE"""),0.0)</f>
        <v>0</v>
      </c>
      <c r="J352" s="121">
        <f>IFERROR(__xludf.DUMMYFUNCTION("""COMPUTED_VALUE"""),4.0)</f>
        <v>4</v>
      </c>
      <c r="K352" s="132" t="str">
        <f>IFERROR(__xludf.DUMMYFUNCTION("""COMPUTED_VALUE"""),"CS11086")</f>
        <v>CS11086</v>
      </c>
      <c r="L352" s="121" t="str">
        <f>IFERROR(__xludf.DUMMYFUNCTION("""COMPUTED_VALUE"""),"Mrs.GAYATHRI S")</f>
        <v>Mrs.GAYATHRI S</v>
      </c>
      <c r="M352" s="121" t="str">
        <f>IFERROR(__xludf.DUMMYFUNCTION("""COMPUTED_VALUE"""),"gayathris@bitsathy.ac.in")</f>
        <v>gayathris@bitsathy.ac.in</v>
      </c>
    </row>
    <row r="353" ht="49.5" customHeight="1">
      <c r="A353" s="121" t="str">
        <f>IFERROR(__xludf.DUMMYFUNCTION("""COMPUTED_VALUE"""),"CSE")</f>
        <v>CSE</v>
      </c>
      <c r="B353" s="121" t="str">
        <f>IFERROR(__xludf.DUMMYFUNCTION("""COMPUTED_VALUE"""),"S4")</f>
        <v>S4</v>
      </c>
      <c r="C353" s="121" t="str">
        <f>IFERROR(__xludf.DUMMYFUNCTION("""COMPUTED_VALUE"""),"CORE")</f>
        <v>CORE</v>
      </c>
      <c r="D353" s="121" t="str">
        <f>IFERROR(__xludf.DUMMYFUNCTION("""COMPUTED_VALUE"""),"22CS403")</f>
        <v>22CS403</v>
      </c>
      <c r="E353" s="131" t="str">
        <f>IFERROR(__xludf.DUMMYFUNCTION("""COMPUTED_VALUE"""),"OPERATING SYSTEMS")</f>
        <v>OPERATING SYSTEMS</v>
      </c>
      <c r="F353" s="121" t="str">
        <f>IFERROR(__xludf.DUMMYFUNCTION("""COMPUTED_VALUE"""),"THEORY")</f>
        <v>THEORY</v>
      </c>
      <c r="G353" s="121">
        <f>IFERROR(__xludf.DUMMYFUNCTION("""COMPUTED_VALUE"""),3.0)</f>
        <v>3</v>
      </c>
      <c r="H353" s="121">
        <f>IFERROR(__xludf.DUMMYFUNCTION("""COMPUTED_VALUE"""),1.0)</f>
        <v>1</v>
      </c>
      <c r="I353" s="121">
        <f>IFERROR(__xludf.DUMMYFUNCTION("""COMPUTED_VALUE"""),0.0)</f>
        <v>0</v>
      </c>
      <c r="J353" s="121">
        <f>IFERROR(__xludf.DUMMYFUNCTION("""COMPUTED_VALUE"""),4.0)</f>
        <v>4</v>
      </c>
      <c r="K353" s="132" t="str">
        <f>IFERROR(__xludf.DUMMYFUNCTION("""COMPUTED_VALUE"""),"CS11119")</f>
        <v>CS11119</v>
      </c>
      <c r="L353" s="121" t="str">
        <f>IFERROR(__xludf.DUMMYFUNCTION("""COMPUTED_VALUE"""),"Ms.PARKAVI S")</f>
        <v>Ms.PARKAVI S</v>
      </c>
      <c r="M353" s="121" t="str">
        <f>IFERROR(__xludf.DUMMYFUNCTION("""COMPUTED_VALUE"""),"parkavi@bitsathy.ac.in")</f>
        <v>parkavi@bitsathy.ac.in</v>
      </c>
    </row>
    <row r="354" ht="49.5" customHeight="1">
      <c r="A354" s="121" t="str">
        <f>IFERROR(__xludf.DUMMYFUNCTION("""COMPUTED_VALUE"""),"CSE")</f>
        <v>CSE</v>
      </c>
      <c r="B354" s="121" t="str">
        <f>IFERROR(__xludf.DUMMYFUNCTION("""COMPUTED_VALUE"""),"S4")</f>
        <v>S4</v>
      </c>
      <c r="C354" s="121" t="str">
        <f>IFERROR(__xludf.DUMMYFUNCTION("""COMPUTED_VALUE"""),"CORE")</f>
        <v>CORE</v>
      </c>
      <c r="D354" s="121" t="str">
        <f>IFERROR(__xludf.DUMMYFUNCTION("""COMPUTED_VALUE"""),"22CS403")</f>
        <v>22CS403</v>
      </c>
      <c r="E354" s="131" t="str">
        <f>IFERROR(__xludf.DUMMYFUNCTION("""COMPUTED_VALUE"""),"OPERATING SYSTEMS")</f>
        <v>OPERATING SYSTEMS</v>
      </c>
      <c r="F354" s="121" t="str">
        <f>IFERROR(__xludf.DUMMYFUNCTION("""COMPUTED_VALUE"""),"THEORY")</f>
        <v>THEORY</v>
      </c>
      <c r="G354" s="121">
        <f>IFERROR(__xludf.DUMMYFUNCTION("""COMPUTED_VALUE"""),3.0)</f>
        <v>3</v>
      </c>
      <c r="H354" s="121">
        <f>IFERROR(__xludf.DUMMYFUNCTION("""COMPUTED_VALUE"""),1.0)</f>
        <v>1</v>
      </c>
      <c r="I354" s="121">
        <f>IFERROR(__xludf.DUMMYFUNCTION("""COMPUTED_VALUE"""),0.0)</f>
        <v>0</v>
      </c>
      <c r="J354" s="121">
        <f>IFERROR(__xludf.DUMMYFUNCTION("""COMPUTED_VALUE"""),4.0)</f>
        <v>4</v>
      </c>
      <c r="K354" s="132" t="str">
        <f>IFERROR(__xludf.DUMMYFUNCTION("""COMPUTED_VALUE"""),"CS10025")</f>
        <v>CS10025</v>
      </c>
      <c r="L354" s="121" t="str">
        <f>IFERROR(__xludf.DUMMYFUNCTION("""COMPUTED_VALUE"""),"Mr.DINESH P S")</f>
        <v>Mr.DINESH P S</v>
      </c>
      <c r="M354" s="121" t="str">
        <f>IFERROR(__xludf.DUMMYFUNCTION("""COMPUTED_VALUE"""),"dineshps@bitsathy.ac.in")</f>
        <v>dineshps@bitsathy.ac.in</v>
      </c>
    </row>
    <row r="355" ht="49.5" customHeight="1">
      <c r="A355" s="121" t="str">
        <f>IFERROR(__xludf.DUMMYFUNCTION("""COMPUTED_VALUE"""),"CSE")</f>
        <v>CSE</v>
      </c>
      <c r="B355" s="121" t="str">
        <f>IFERROR(__xludf.DUMMYFUNCTION("""COMPUTED_VALUE"""),"S4")</f>
        <v>S4</v>
      </c>
      <c r="C355" s="121" t="str">
        <f>IFERROR(__xludf.DUMMYFUNCTION("""COMPUTED_VALUE"""),"CORE")</f>
        <v>CORE</v>
      </c>
      <c r="D355" s="121" t="str">
        <f>IFERROR(__xludf.DUMMYFUNCTION("""COMPUTED_VALUE"""),"22CS404")</f>
        <v>22CS404</v>
      </c>
      <c r="E355" s="131" t="str">
        <f>IFERROR(__xludf.DUMMYFUNCTION("""COMPUTED_VALUE"""),"WEB TECHNOLOGY AND FRAMEWORKS")</f>
        <v>WEB TECHNOLOGY AND FRAMEWORKS</v>
      </c>
      <c r="F355" s="121" t="str">
        <f>IFERROR(__xludf.DUMMYFUNCTION("""COMPUTED_VALUE"""),"THEORY WITH LAB")</f>
        <v>THEORY WITH LAB</v>
      </c>
      <c r="G355" s="121">
        <f>IFERROR(__xludf.DUMMYFUNCTION("""COMPUTED_VALUE"""),2.0)</f>
        <v>2</v>
      </c>
      <c r="H355" s="121">
        <f>IFERROR(__xludf.DUMMYFUNCTION("""COMPUTED_VALUE"""),0.0)</f>
        <v>0</v>
      </c>
      <c r="I355" s="121">
        <f>IFERROR(__xludf.DUMMYFUNCTION("""COMPUTED_VALUE"""),2.0)</f>
        <v>2</v>
      </c>
      <c r="J355" s="121">
        <f>IFERROR(__xludf.DUMMYFUNCTION("""COMPUTED_VALUE"""),3.0)</f>
        <v>3</v>
      </c>
      <c r="K355" s="132" t="str">
        <f>IFERROR(__xludf.DUMMYFUNCTION("""COMPUTED_VALUE"""),"CS10789")</f>
        <v>CS10789</v>
      </c>
      <c r="L355" s="121" t="str">
        <f>IFERROR(__xludf.DUMMYFUNCTION("""COMPUTED_VALUE"""),"Dr.DHIVYA P")</f>
        <v>Dr.DHIVYA P</v>
      </c>
      <c r="M355" s="121" t="str">
        <f>IFERROR(__xludf.DUMMYFUNCTION("""COMPUTED_VALUE"""),"dhivyap@bitsathy.ac.in")</f>
        <v>dhivyap@bitsathy.ac.in</v>
      </c>
    </row>
    <row r="356" ht="49.5" customHeight="1">
      <c r="A356" s="121" t="str">
        <f>IFERROR(__xludf.DUMMYFUNCTION("""COMPUTED_VALUE"""),"CSE")</f>
        <v>CSE</v>
      </c>
      <c r="B356" s="121" t="str">
        <f>IFERROR(__xludf.DUMMYFUNCTION("""COMPUTED_VALUE"""),"S4")</f>
        <v>S4</v>
      </c>
      <c r="C356" s="121" t="str">
        <f>IFERROR(__xludf.DUMMYFUNCTION("""COMPUTED_VALUE"""),"CORE")</f>
        <v>CORE</v>
      </c>
      <c r="D356" s="121" t="str">
        <f>IFERROR(__xludf.DUMMYFUNCTION("""COMPUTED_VALUE"""),"22CS404")</f>
        <v>22CS404</v>
      </c>
      <c r="E356" s="131" t="str">
        <f>IFERROR(__xludf.DUMMYFUNCTION("""COMPUTED_VALUE"""),"WEB TECHNOLOGY AND FRAMEWORKS")</f>
        <v>WEB TECHNOLOGY AND FRAMEWORKS</v>
      </c>
      <c r="F356" s="121" t="str">
        <f>IFERROR(__xludf.DUMMYFUNCTION("""COMPUTED_VALUE"""),"THEORY WITH LAB")</f>
        <v>THEORY WITH LAB</v>
      </c>
      <c r="G356" s="121">
        <f>IFERROR(__xludf.DUMMYFUNCTION("""COMPUTED_VALUE"""),2.0)</f>
        <v>2</v>
      </c>
      <c r="H356" s="121">
        <f>IFERROR(__xludf.DUMMYFUNCTION("""COMPUTED_VALUE"""),0.0)</f>
        <v>0</v>
      </c>
      <c r="I356" s="121">
        <f>IFERROR(__xludf.DUMMYFUNCTION("""COMPUTED_VALUE"""),2.0)</f>
        <v>2</v>
      </c>
      <c r="J356" s="121">
        <f>IFERROR(__xludf.DUMMYFUNCTION("""COMPUTED_VALUE"""),3.0)</f>
        <v>3</v>
      </c>
      <c r="K356" s="132" t="str">
        <f>IFERROR(__xludf.DUMMYFUNCTION("""COMPUTED_VALUE"""),"CS10787")</f>
        <v>CS10787</v>
      </c>
      <c r="L356" s="121" t="str">
        <f>IFERROR(__xludf.DUMMYFUNCTION("""COMPUTED_VALUE"""),"Dr.PARTHASARATHI P")</f>
        <v>Dr.PARTHASARATHI P</v>
      </c>
      <c r="M356" s="121" t="str">
        <f>IFERROR(__xludf.DUMMYFUNCTION("""COMPUTED_VALUE"""),"parthasarathip@bitsathy.ac.in")</f>
        <v>parthasarathip@bitsathy.ac.in</v>
      </c>
    </row>
    <row r="357" ht="49.5" customHeight="1">
      <c r="A357" s="121" t="str">
        <f>IFERROR(__xludf.DUMMYFUNCTION("""COMPUTED_VALUE"""),"CSE")</f>
        <v>CSE</v>
      </c>
      <c r="B357" s="121" t="str">
        <f>IFERROR(__xludf.DUMMYFUNCTION("""COMPUTED_VALUE"""),"S4")</f>
        <v>S4</v>
      </c>
      <c r="C357" s="121" t="str">
        <f>IFERROR(__xludf.DUMMYFUNCTION("""COMPUTED_VALUE"""),"CORE")</f>
        <v>CORE</v>
      </c>
      <c r="D357" s="121" t="str">
        <f>IFERROR(__xludf.DUMMYFUNCTION("""COMPUTED_VALUE"""),"22CS404")</f>
        <v>22CS404</v>
      </c>
      <c r="E357" s="131" t="str">
        <f>IFERROR(__xludf.DUMMYFUNCTION("""COMPUTED_VALUE"""),"WEB TECHNOLOGY AND FRAMEWORKS")</f>
        <v>WEB TECHNOLOGY AND FRAMEWORKS</v>
      </c>
      <c r="F357" s="121" t="str">
        <f>IFERROR(__xludf.DUMMYFUNCTION("""COMPUTED_VALUE"""),"THEORY WITH LAB")</f>
        <v>THEORY WITH LAB</v>
      </c>
      <c r="G357" s="121">
        <f>IFERROR(__xludf.DUMMYFUNCTION("""COMPUTED_VALUE"""),2.0)</f>
        <v>2</v>
      </c>
      <c r="H357" s="121">
        <f>IFERROR(__xludf.DUMMYFUNCTION("""COMPUTED_VALUE"""),0.0)</f>
        <v>0</v>
      </c>
      <c r="I357" s="121">
        <f>IFERROR(__xludf.DUMMYFUNCTION("""COMPUTED_VALUE"""),2.0)</f>
        <v>2</v>
      </c>
      <c r="J357" s="121">
        <f>IFERROR(__xludf.DUMMYFUNCTION("""COMPUTED_VALUE"""),3.0)</f>
        <v>3</v>
      </c>
      <c r="K357" s="132" t="str">
        <f>IFERROR(__xludf.DUMMYFUNCTION("""COMPUTED_VALUE"""),"CS10449")</f>
        <v>CS10449</v>
      </c>
      <c r="L357" s="121" t="str">
        <f>IFERROR(__xludf.DUMMYFUNCTION("""COMPUTED_VALUE"""),"Mrs.PRABHA DEVI D")</f>
        <v>Mrs.PRABHA DEVI D</v>
      </c>
      <c r="M357" s="121" t="str">
        <f>IFERROR(__xludf.DUMMYFUNCTION("""COMPUTED_VALUE"""),"prabhadevi@bitsathy.ac.in")</f>
        <v>prabhadevi@bitsathy.ac.in</v>
      </c>
    </row>
    <row r="358" ht="49.5" customHeight="1">
      <c r="A358" s="121" t="str">
        <f>IFERROR(__xludf.DUMMYFUNCTION("""COMPUTED_VALUE"""),"CSE")</f>
        <v>CSE</v>
      </c>
      <c r="B358" s="121" t="str">
        <f>IFERROR(__xludf.DUMMYFUNCTION("""COMPUTED_VALUE"""),"S4")</f>
        <v>S4</v>
      </c>
      <c r="C358" s="121" t="str">
        <f>IFERROR(__xludf.DUMMYFUNCTION("""COMPUTED_VALUE"""),"CORE")</f>
        <v>CORE</v>
      </c>
      <c r="D358" s="121" t="str">
        <f>IFERROR(__xludf.DUMMYFUNCTION("""COMPUTED_VALUE"""),"22CS404")</f>
        <v>22CS404</v>
      </c>
      <c r="E358" s="131" t="str">
        <f>IFERROR(__xludf.DUMMYFUNCTION("""COMPUTED_VALUE"""),"WEB TECHNOLOGY AND FRAMEWORKS")</f>
        <v>WEB TECHNOLOGY AND FRAMEWORKS</v>
      </c>
      <c r="F358" s="121" t="str">
        <f>IFERROR(__xludf.DUMMYFUNCTION("""COMPUTED_VALUE"""),"THEORY WITH LAB")</f>
        <v>THEORY WITH LAB</v>
      </c>
      <c r="G358" s="121">
        <f>IFERROR(__xludf.DUMMYFUNCTION("""COMPUTED_VALUE"""),2.0)</f>
        <v>2</v>
      </c>
      <c r="H358" s="121">
        <f>IFERROR(__xludf.DUMMYFUNCTION("""COMPUTED_VALUE"""),0.0)</f>
        <v>0</v>
      </c>
      <c r="I358" s="121">
        <f>IFERROR(__xludf.DUMMYFUNCTION("""COMPUTED_VALUE"""),2.0)</f>
        <v>2</v>
      </c>
      <c r="J358" s="121">
        <f>IFERROR(__xludf.DUMMYFUNCTION("""COMPUTED_VALUE"""),3.0)</f>
        <v>3</v>
      </c>
      <c r="K358" s="132" t="str">
        <f>IFERROR(__xludf.DUMMYFUNCTION("""COMPUTED_VALUE"""),"IS10823")</f>
        <v>IS10823</v>
      </c>
      <c r="L358" s="121" t="str">
        <f>IFERROR(__xludf.DUMMYFUNCTION("""COMPUTED_VALUE"""),"Mr.GOPAL R")</f>
        <v>Mr.GOPAL R</v>
      </c>
      <c r="M358" s="121" t="str">
        <f>IFERROR(__xludf.DUMMYFUNCTION("""COMPUTED_VALUE"""),"gopalr@bitsathy.ac.in")</f>
        <v>gopalr@bitsathy.ac.in</v>
      </c>
    </row>
    <row r="359" ht="49.5" customHeight="1">
      <c r="A359" s="121" t="str">
        <f>IFERROR(__xludf.DUMMYFUNCTION("""COMPUTED_VALUE"""),"CSE")</f>
        <v>CSE</v>
      </c>
      <c r="B359" s="121" t="str">
        <f>IFERROR(__xludf.DUMMYFUNCTION("""COMPUTED_VALUE"""),"S4")</f>
        <v>S4</v>
      </c>
      <c r="C359" s="121" t="str">
        <f>IFERROR(__xludf.DUMMYFUNCTION("""COMPUTED_VALUE"""),"CORE")</f>
        <v>CORE</v>
      </c>
      <c r="D359" s="121" t="str">
        <f>IFERROR(__xludf.DUMMYFUNCTION("""COMPUTED_VALUE"""),"22CS404")</f>
        <v>22CS404</v>
      </c>
      <c r="E359" s="131" t="str">
        <f>IFERROR(__xludf.DUMMYFUNCTION("""COMPUTED_VALUE"""),"WEB TECHNOLOGY AND FRAMEWORKS")</f>
        <v>WEB TECHNOLOGY AND FRAMEWORKS</v>
      </c>
      <c r="F359" s="121" t="str">
        <f>IFERROR(__xludf.DUMMYFUNCTION("""COMPUTED_VALUE"""),"THEORY WITH LAB")</f>
        <v>THEORY WITH LAB</v>
      </c>
      <c r="G359" s="121">
        <f>IFERROR(__xludf.DUMMYFUNCTION("""COMPUTED_VALUE"""),2.0)</f>
        <v>2</v>
      </c>
      <c r="H359" s="121">
        <f>IFERROR(__xludf.DUMMYFUNCTION("""COMPUTED_VALUE"""),0.0)</f>
        <v>0</v>
      </c>
      <c r="I359" s="121">
        <f>IFERROR(__xludf.DUMMYFUNCTION("""COMPUTED_VALUE"""),2.0)</f>
        <v>2</v>
      </c>
      <c r="J359" s="121">
        <f>IFERROR(__xludf.DUMMYFUNCTION("""COMPUTED_VALUE"""),3.0)</f>
        <v>3</v>
      </c>
      <c r="K359" s="132" t="str">
        <f>IFERROR(__xludf.DUMMYFUNCTION("""COMPUTED_VALUE"""),"CT11020")</f>
        <v>CT11020</v>
      </c>
      <c r="L359" s="121" t="str">
        <f>IFERROR(__xludf.DUMMYFUNCTION("""COMPUTED_VALUE"""),"Mr.ANANDAN P")</f>
        <v>Mr.ANANDAN P</v>
      </c>
      <c r="M359" s="121" t="str">
        <f>IFERROR(__xludf.DUMMYFUNCTION("""COMPUTED_VALUE"""),"anandan@bitsathy.ac.in")</f>
        <v>anandan@bitsathy.ac.in</v>
      </c>
    </row>
    <row r="360" ht="49.5" customHeight="1">
      <c r="A360" s="121" t="str">
        <f>IFERROR(__xludf.DUMMYFUNCTION("""COMPUTED_VALUE"""),"CSE")</f>
        <v>CSE</v>
      </c>
      <c r="B360" s="121" t="str">
        <f>IFERROR(__xludf.DUMMYFUNCTION("""COMPUTED_VALUE"""),"S4")</f>
        <v>S4</v>
      </c>
      <c r="C360" s="121" t="str">
        <f>IFERROR(__xludf.DUMMYFUNCTION("""COMPUTED_VALUE"""),"CORE")</f>
        <v>CORE</v>
      </c>
      <c r="D360" s="121" t="str">
        <f>IFERROR(__xludf.DUMMYFUNCTION("""COMPUTED_VALUE"""),"22CS404")</f>
        <v>22CS404</v>
      </c>
      <c r="E360" s="131" t="str">
        <f>IFERROR(__xludf.DUMMYFUNCTION("""COMPUTED_VALUE"""),"WEB TECHNOLOGY AND FRAMEWORKS")</f>
        <v>WEB TECHNOLOGY AND FRAMEWORKS</v>
      </c>
      <c r="F360" s="121" t="str">
        <f>IFERROR(__xludf.DUMMYFUNCTION("""COMPUTED_VALUE"""),"THEORY WITH LAB")</f>
        <v>THEORY WITH LAB</v>
      </c>
      <c r="G360" s="121">
        <f>IFERROR(__xludf.DUMMYFUNCTION("""COMPUTED_VALUE"""),2.0)</f>
        <v>2</v>
      </c>
      <c r="H360" s="121">
        <f>IFERROR(__xludf.DUMMYFUNCTION("""COMPUTED_VALUE"""),0.0)</f>
        <v>0</v>
      </c>
      <c r="I360" s="121">
        <f>IFERROR(__xludf.DUMMYFUNCTION("""COMPUTED_VALUE"""),2.0)</f>
        <v>2</v>
      </c>
      <c r="J360" s="121">
        <f>IFERROR(__xludf.DUMMYFUNCTION("""COMPUTED_VALUE"""),3.0)</f>
        <v>3</v>
      </c>
      <c r="K360" s="132" t="str">
        <f>IFERROR(__xludf.DUMMYFUNCTION("""COMPUTED_VALUE"""),"CS10825")</f>
        <v>CS10825</v>
      </c>
      <c r="L360" s="121" t="str">
        <f>IFERROR(__xludf.DUMMYFUNCTION("""COMPUTED_VALUE"""),"Ms.KIRUTHIKA V R")</f>
        <v>Ms.KIRUTHIKA V R</v>
      </c>
      <c r="M360" s="121" t="str">
        <f>IFERROR(__xludf.DUMMYFUNCTION("""COMPUTED_VALUE"""),"kiruthikavr@bitsathy.ac.in")</f>
        <v>kiruthikavr@bitsathy.ac.in</v>
      </c>
    </row>
    <row r="361" ht="49.5" customHeight="1">
      <c r="A361" s="121" t="str">
        <f>IFERROR(__xludf.DUMMYFUNCTION("""COMPUTED_VALUE"""),"CSE")</f>
        <v>CSE</v>
      </c>
      <c r="B361" s="121" t="str">
        <f>IFERROR(__xludf.DUMMYFUNCTION("""COMPUTED_VALUE"""),"S4")</f>
        <v>S4</v>
      </c>
      <c r="C361" s="121" t="str">
        <f>IFERROR(__xludf.DUMMYFUNCTION("""COMPUTED_VALUE"""),"CORE")</f>
        <v>CORE</v>
      </c>
      <c r="D361" s="121" t="str">
        <f>IFERROR(__xludf.DUMMYFUNCTION("""COMPUTED_VALUE"""),"22CS405")</f>
        <v>22CS405</v>
      </c>
      <c r="E361" s="131" t="str">
        <f>IFERROR(__xludf.DUMMYFUNCTION("""COMPUTED_VALUE"""),"DATABASE MANAGEMENT SYSTEM")</f>
        <v>DATABASE MANAGEMENT SYSTEM</v>
      </c>
      <c r="F361" s="121" t="str">
        <f>IFERROR(__xludf.DUMMYFUNCTION("""COMPUTED_VALUE"""),"THEORY WITH LAB")</f>
        <v>THEORY WITH LAB</v>
      </c>
      <c r="G361" s="121">
        <f>IFERROR(__xludf.DUMMYFUNCTION("""COMPUTED_VALUE"""),3.0)</f>
        <v>3</v>
      </c>
      <c r="H361" s="121">
        <f>IFERROR(__xludf.DUMMYFUNCTION("""COMPUTED_VALUE"""),0.0)</f>
        <v>0</v>
      </c>
      <c r="I361" s="121">
        <f>IFERROR(__xludf.DUMMYFUNCTION("""COMPUTED_VALUE"""),2.0)</f>
        <v>2</v>
      </c>
      <c r="J361" s="121">
        <f>IFERROR(__xludf.DUMMYFUNCTION("""COMPUTED_VALUE"""),4.0)</f>
        <v>4</v>
      </c>
      <c r="K361" s="132" t="str">
        <f>IFERROR(__xludf.DUMMYFUNCTION("""COMPUTED_VALUE"""),"CS11081")</f>
        <v>CS11081</v>
      </c>
      <c r="L361" s="121" t="str">
        <f>IFERROR(__xludf.DUMMYFUNCTION("""COMPUTED_VALUE"""),"Dr.DEEPA PRIYA B S")</f>
        <v>Dr.DEEPA PRIYA B S</v>
      </c>
      <c r="M361" s="121" t="str">
        <f>IFERROR(__xludf.DUMMYFUNCTION("""COMPUTED_VALUE"""),"deepapriya@bitsathy.ac.in")</f>
        <v>deepapriya@bitsathy.ac.in</v>
      </c>
    </row>
    <row r="362" ht="49.5" customHeight="1">
      <c r="A362" s="121" t="str">
        <f>IFERROR(__xludf.DUMMYFUNCTION("""COMPUTED_VALUE"""),"CSE")</f>
        <v>CSE</v>
      </c>
      <c r="B362" s="121" t="str">
        <f>IFERROR(__xludf.DUMMYFUNCTION("""COMPUTED_VALUE"""),"S4")</f>
        <v>S4</v>
      </c>
      <c r="C362" s="121" t="str">
        <f>IFERROR(__xludf.DUMMYFUNCTION("""COMPUTED_VALUE"""),"CORE")</f>
        <v>CORE</v>
      </c>
      <c r="D362" s="121" t="str">
        <f>IFERROR(__xludf.DUMMYFUNCTION("""COMPUTED_VALUE"""),"22CS405")</f>
        <v>22CS405</v>
      </c>
      <c r="E362" s="131" t="str">
        <f>IFERROR(__xludf.DUMMYFUNCTION("""COMPUTED_VALUE"""),"DATABASE MANAGEMENT SYSTEM")</f>
        <v>DATABASE MANAGEMENT SYSTEM</v>
      </c>
      <c r="F362" s="121" t="str">
        <f>IFERROR(__xludf.DUMMYFUNCTION("""COMPUTED_VALUE"""),"THEORY WITH LAB")</f>
        <v>THEORY WITH LAB</v>
      </c>
      <c r="G362" s="121">
        <f>IFERROR(__xludf.DUMMYFUNCTION("""COMPUTED_VALUE"""),3.0)</f>
        <v>3</v>
      </c>
      <c r="H362" s="121">
        <f>IFERROR(__xludf.DUMMYFUNCTION("""COMPUTED_VALUE"""),0.0)</f>
        <v>0</v>
      </c>
      <c r="I362" s="121">
        <f>IFERROR(__xludf.DUMMYFUNCTION("""COMPUTED_VALUE"""),2.0)</f>
        <v>2</v>
      </c>
      <c r="J362" s="121">
        <f>IFERROR(__xludf.DUMMYFUNCTION("""COMPUTED_VALUE"""),4.0)</f>
        <v>4</v>
      </c>
      <c r="K362" s="132" t="str">
        <f>IFERROR(__xludf.DUMMYFUNCTION("""COMPUTED_VALUE"""),"CS10560")</f>
        <v>CS10560</v>
      </c>
      <c r="L362" s="121" t="str">
        <f>IFERROR(__xludf.DUMMYFUNCTION("""COMPUTED_VALUE"""),"Dr.SWATHYPRIYADHARSINI P")</f>
        <v>Dr.SWATHYPRIYADHARSINI P</v>
      </c>
      <c r="M362" s="121" t="str">
        <f>IFERROR(__xludf.DUMMYFUNCTION("""COMPUTED_VALUE"""),"swathypriyadharsini@bitsathy.ac.in")</f>
        <v>swathypriyadharsini@bitsathy.ac.in</v>
      </c>
    </row>
    <row r="363" ht="49.5" customHeight="1">
      <c r="A363" s="121" t="str">
        <f>IFERROR(__xludf.DUMMYFUNCTION("""COMPUTED_VALUE"""),"CSE")</f>
        <v>CSE</v>
      </c>
      <c r="B363" s="121" t="str">
        <f>IFERROR(__xludf.DUMMYFUNCTION("""COMPUTED_VALUE"""),"S4")</f>
        <v>S4</v>
      </c>
      <c r="C363" s="121" t="str">
        <f>IFERROR(__xludf.DUMMYFUNCTION("""COMPUTED_VALUE"""),"CORE")</f>
        <v>CORE</v>
      </c>
      <c r="D363" s="121" t="str">
        <f>IFERROR(__xludf.DUMMYFUNCTION("""COMPUTED_VALUE"""),"22CS405")</f>
        <v>22CS405</v>
      </c>
      <c r="E363" s="131" t="str">
        <f>IFERROR(__xludf.DUMMYFUNCTION("""COMPUTED_VALUE"""),"DATABASE MANAGEMENT SYSTEM")</f>
        <v>DATABASE MANAGEMENT SYSTEM</v>
      </c>
      <c r="F363" s="121" t="str">
        <f>IFERROR(__xludf.DUMMYFUNCTION("""COMPUTED_VALUE"""),"THEORY WITH LAB")</f>
        <v>THEORY WITH LAB</v>
      </c>
      <c r="G363" s="121">
        <f>IFERROR(__xludf.DUMMYFUNCTION("""COMPUTED_VALUE"""),3.0)</f>
        <v>3</v>
      </c>
      <c r="H363" s="121">
        <f>IFERROR(__xludf.DUMMYFUNCTION("""COMPUTED_VALUE"""),0.0)</f>
        <v>0</v>
      </c>
      <c r="I363" s="121">
        <f>IFERROR(__xludf.DUMMYFUNCTION("""COMPUTED_VALUE"""),2.0)</f>
        <v>2</v>
      </c>
      <c r="J363" s="121">
        <f>IFERROR(__xludf.DUMMYFUNCTION("""COMPUTED_VALUE"""),4.0)</f>
        <v>4</v>
      </c>
      <c r="K363" s="132" t="str">
        <f>IFERROR(__xludf.DUMMYFUNCTION("""COMPUTED_VALUE"""),"CS11101")</f>
        <v>CS11101</v>
      </c>
      <c r="L363" s="121" t="str">
        <f>IFERROR(__xludf.DUMMYFUNCTION("""COMPUTED_VALUE"""),"Mrs.ALAMELU M")</f>
        <v>Mrs.ALAMELU M</v>
      </c>
      <c r="M363" s="121" t="str">
        <f>IFERROR(__xludf.DUMMYFUNCTION("""COMPUTED_VALUE"""),"alamelu@bitsathy.ac.in")</f>
        <v>alamelu@bitsathy.ac.in</v>
      </c>
    </row>
    <row r="364" ht="49.5" customHeight="1">
      <c r="A364" s="121" t="str">
        <f>IFERROR(__xludf.DUMMYFUNCTION("""COMPUTED_VALUE"""),"CSE")</f>
        <v>CSE</v>
      </c>
      <c r="B364" s="121" t="str">
        <f>IFERROR(__xludf.DUMMYFUNCTION("""COMPUTED_VALUE"""),"S4")</f>
        <v>S4</v>
      </c>
      <c r="C364" s="121" t="str">
        <f>IFERROR(__xludf.DUMMYFUNCTION("""COMPUTED_VALUE"""),"CORE")</f>
        <v>CORE</v>
      </c>
      <c r="D364" s="121" t="str">
        <f>IFERROR(__xludf.DUMMYFUNCTION("""COMPUTED_VALUE"""),"22CS405")</f>
        <v>22CS405</v>
      </c>
      <c r="E364" s="131" t="str">
        <f>IFERROR(__xludf.DUMMYFUNCTION("""COMPUTED_VALUE"""),"DATABASE MANAGEMENT SYSTEM")</f>
        <v>DATABASE MANAGEMENT SYSTEM</v>
      </c>
      <c r="F364" s="121" t="str">
        <f>IFERROR(__xludf.DUMMYFUNCTION("""COMPUTED_VALUE"""),"THEORY WITH LAB")</f>
        <v>THEORY WITH LAB</v>
      </c>
      <c r="G364" s="121">
        <f>IFERROR(__xludf.DUMMYFUNCTION("""COMPUTED_VALUE"""),3.0)</f>
        <v>3</v>
      </c>
      <c r="H364" s="121">
        <f>IFERROR(__xludf.DUMMYFUNCTION("""COMPUTED_VALUE"""),0.0)</f>
        <v>0</v>
      </c>
      <c r="I364" s="121">
        <f>IFERROR(__xludf.DUMMYFUNCTION("""COMPUTED_VALUE"""),2.0)</f>
        <v>2</v>
      </c>
      <c r="J364" s="121">
        <f>IFERROR(__xludf.DUMMYFUNCTION("""COMPUTED_VALUE"""),4.0)</f>
        <v>4</v>
      </c>
      <c r="K364" s="132" t="str">
        <f>IFERROR(__xludf.DUMMYFUNCTION("""COMPUTED_VALUE"""),"CS10473")</f>
        <v>CS10473</v>
      </c>
      <c r="L364" s="121" t="str">
        <f>IFERROR(__xludf.DUMMYFUNCTION("""COMPUTED_VALUE"""),"Ms.SOUNDARIYA R S")</f>
        <v>Ms.SOUNDARIYA R S</v>
      </c>
      <c r="M364" s="121" t="str">
        <f>IFERROR(__xludf.DUMMYFUNCTION("""COMPUTED_VALUE"""),"soundariya@bitsathy.ac.in")</f>
        <v>soundariya@bitsathy.ac.in</v>
      </c>
    </row>
    <row r="365" ht="49.5" customHeight="1">
      <c r="A365" s="121" t="str">
        <f>IFERROR(__xludf.DUMMYFUNCTION("""COMPUTED_VALUE"""),"CSE")</f>
        <v>CSE</v>
      </c>
      <c r="B365" s="121" t="str">
        <f>IFERROR(__xludf.DUMMYFUNCTION("""COMPUTED_VALUE"""),"S4")</f>
        <v>S4</v>
      </c>
      <c r="C365" s="121" t="str">
        <f>IFERROR(__xludf.DUMMYFUNCTION("""COMPUTED_VALUE"""),"CORE")</f>
        <v>CORE</v>
      </c>
      <c r="D365" s="121" t="str">
        <f>IFERROR(__xludf.DUMMYFUNCTION("""COMPUTED_VALUE"""),"22CS405")</f>
        <v>22CS405</v>
      </c>
      <c r="E365" s="131" t="str">
        <f>IFERROR(__xludf.DUMMYFUNCTION("""COMPUTED_VALUE"""),"DATABASE MANAGEMENT SYSTEM")</f>
        <v>DATABASE MANAGEMENT SYSTEM</v>
      </c>
      <c r="F365" s="121" t="str">
        <f>IFERROR(__xludf.DUMMYFUNCTION("""COMPUTED_VALUE"""),"THEORY WITH LAB")</f>
        <v>THEORY WITH LAB</v>
      </c>
      <c r="G365" s="121">
        <f>IFERROR(__xludf.DUMMYFUNCTION("""COMPUTED_VALUE"""),3.0)</f>
        <v>3</v>
      </c>
      <c r="H365" s="121">
        <f>IFERROR(__xludf.DUMMYFUNCTION("""COMPUTED_VALUE"""),0.0)</f>
        <v>0</v>
      </c>
      <c r="I365" s="121">
        <f>IFERROR(__xludf.DUMMYFUNCTION("""COMPUTED_VALUE"""),2.0)</f>
        <v>2</v>
      </c>
      <c r="J365" s="121">
        <f>IFERROR(__xludf.DUMMYFUNCTION("""COMPUTED_VALUE"""),4.0)</f>
        <v>4</v>
      </c>
      <c r="K365" s="132" t="str">
        <f>IFERROR(__xludf.DUMMYFUNCTION("""COMPUTED_VALUE"""),"CS11075")</f>
        <v>CS11075</v>
      </c>
      <c r="L365" s="121" t="str">
        <f>IFERROR(__xludf.DUMMYFUNCTION("""COMPUTED_VALUE"""),"Mrs.CHITRADEVI T N")</f>
        <v>Mrs.CHITRADEVI T N</v>
      </c>
      <c r="M365" s="121" t="str">
        <f>IFERROR(__xludf.DUMMYFUNCTION("""COMPUTED_VALUE"""),"chitradevi@bitsathy.ac.in")</f>
        <v>chitradevi@bitsathy.ac.in</v>
      </c>
    </row>
    <row r="366" ht="49.5" customHeight="1">
      <c r="A366" s="121" t="str">
        <f>IFERROR(__xludf.DUMMYFUNCTION("""COMPUTED_VALUE"""),"CSE")</f>
        <v>CSE</v>
      </c>
      <c r="B366" s="121" t="str">
        <f>IFERROR(__xludf.DUMMYFUNCTION("""COMPUTED_VALUE"""),"S4")</f>
        <v>S4</v>
      </c>
      <c r="C366" s="121" t="str">
        <f>IFERROR(__xludf.DUMMYFUNCTION("""COMPUTED_VALUE"""),"CORE")</f>
        <v>CORE</v>
      </c>
      <c r="D366" s="121" t="str">
        <f>IFERROR(__xludf.DUMMYFUNCTION("""COMPUTED_VALUE"""),"22CS405")</f>
        <v>22CS405</v>
      </c>
      <c r="E366" s="131" t="str">
        <f>IFERROR(__xludf.DUMMYFUNCTION("""COMPUTED_VALUE"""),"DATABASE MANAGEMENT SYSTEM")</f>
        <v>DATABASE MANAGEMENT SYSTEM</v>
      </c>
      <c r="F366" s="121" t="str">
        <f>IFERROR(__xludf.DUMMYFUNCTION("""COMPUTED_VALUE"""),"THEORY WITH LAB")</f>
        <v>THEORY WITH LAB</v>
      </c>
      <c r="G366" s="121">
        <f>IFERROR(__xludf.DUMMYFUNCTION("""COMPUTED_VALUE"""),3.0)</f>
        <v>3</v>
      </c>
      <c r="H366" s="121">
        <f>IFERROR(__xludf.DUMMYFUNCTION("""COMPUTED_VALUE"""),0.0)</f>
        <v>0</v>
      </c>
      <c r="I366" s="121">
        <f>IFERROR(__xludf.DUMMYFUNCTION("""COMPUTED_VALUE"""),2.0)</f>
        <v>2</v>
      </c>
      <c r="J366" s="121">
        <f>IFERROR(__xludf.DUMMYFUNCTION("""COMPUTED_VALUE"""),4.0)</f>
        <v>4</v>
      </c>
      <c r="K366" s="132" t="str">
        <f>IFERROR(__xludf.DUMMYFUNCTION("""COMPUTED_VALUE"""),"CS10880")</f>
        <v>CS10880</v>
      </c>
      <c r="L366" s="121" t="str">
        <f>IFERROR(__xludf.DUMMYFUNCTION("""COMPUTED_VALUE"""),"Mrs.KALAIVANI E")</f>
        <v>Mrs.KALAIVANI E</v>
      </c>
      <c r="M366" s="121" t="str">
        <f>IFERROR(__xludf.DUMMYFUNCTION("""COMPUTED_VALUE"""),"kalaivanie@bitsathy.ac.in")</f>
        <v>kalaivanie@bitsathy.ac.in</v>
      </c>
    </row>
    <row r="367" ht="49.5" customHeight="1">
      <c r="A367" s="121" t="str">
        <f>IFERROR(__xludf.DUMMYFUNCTION("""COMPUTED_VALUE"""),"CSE")</f>
        <v>CSE</v>
      </c>
      <c r="B367" s="121" t="str">
        <f>IFERROR(__xludf.DUMMYFUNCTION("""COMPUTED_VALUE"""),"S4")</f>
        <v>S4</v>
      </c>
      <c r="C367" s="121" t="str">
        <f>IFERROR(__xludf.DUMMYFUNCTION("""COMPUTED_VALUE"""),"ELECTIVE 1")</f>
        <v>ELECTIVE 1</v>
      </c>
      <c r="D367" s="121" t="str">
        <f>IFERROR(__xludf.DUMMYFUNCTION("""COMPUTED_VALUE"""),"22CS008")</f>
        <v>22CS008</v>
      </c>
      <c r="E367" s="131" t="str">
        <f>IFERROR(__xludf.DUMMYFUNCTION("""COMPUTED_VALUE"""),"UI AND UX DESIGN")</f>
        <v>UI AND UX DESIGN</v>
      </c>
      <c r="F367" s="121" t="str">
        <f>IFERROR(__xludf.DUMMYFUNCTION("""COMPUTED_VALUE"""),"THEORY")</f>
        <v>THEORY</v>
      </c>
      <c r="G367" s="121">
        <f>IFERROR(__xludf.DUMMYFUNCTION("""COMPUTED_VALUE"""),3.0)</f>
        <v>3</v>
      </c>
      <c r="H367" s="121">
        <f>IFERROR(__xludf.DUMMYFUNCTION("""COMPUTED_VALUE"""),0.0)</f>
        <v>0</v>
      </c>
      <c r="I367" s="121">
        <f>IFERROR(__xludf.DUMMYFUNCTION("""COMPUTED_VALUE"""),0.0)</f>
        <v>0</v>
      </c>
      <c r="J367" s="121">
        <f>IFERROR(__xludf.DUMMYFUNCTION("""COMPUTED_VALUE"""),3.0)</f>
        <v>3</v>
      </c>
      <c r="K367" s="132" t="str">
        <f>IFERROR(__xludf.DUMMYFUNCTION("""COMPUTED_VALUE"""),"CS10538")</f>
        <v>CS10538</v>
      </c>
      <c r="L367" s="121" t="str">
        <f>IFERROR(__xludf.DUMMYFUNCTION("""COMPUTED_VALUE"""),"Dr.PRAVEEN V")</f>
        <v>Dr.PRAVEEN V</v>
      </c>
      <c r="M367" s="121" t="str">
        <f>IFERROR(__xludf.DUMMYFUNCTION("""COMPUTED_VALUE"""),"praveen@bitsathy.ac.in")</f>
        <v>praveen@bitsathy.ac.in</v>
      </c>
    </row>
    <row r="368" ht="49.5" customHeight="1">
      <c r="A368" s="121" t="str">
        <f>IFERROR(__xludf.DUMMYFUNCTION("""COMPUTED_VALUE"""),"CSE")</f>
        <v>CSE</v>
      </c>
      <c r="B368" s="121" t="str">
        <f>IFERROR(__xludf.DUMMYFUNCTION("""COMPUTED_VALUE"""),"S4")</f>
        <v>S4</v>
      </c>
      <c r="C368" s="121" t="str">
        <f>IFERROR(__xludf.DUMMYFUNCTION("""COMPUTED_VALUE"""),"ELECTIVE 1")</f>
        <v>ELECTIVE 1</v>
      </c>
      <c r="D368" s="121" t="str">
        <f>IFERROR(__xludf.DUMMYFUNCTION("""COMPUTED_VALUE"""),"22CS008")</f>
        <v>22CS008</v>
      </c>
      <c r="E368" s="131" t="str">
        <f>IFERROR(__xludf.DUMMYFUNCTION("""COMPUTED_VALUE"""),"UI AND UX DESIGN")</f>
        <v>UI AND UX DESIGN</v>
      </c>
      <c r="F368" s="121" t="str">
        <f>IFERROR(__xludf.DUMMYFUNCTION("""COMPUTED_VALUE"""),"THEORY")</f>
        <v>THEORY</v>
      </c>
      <c r="G368" s="121">
        <f>IFERROR(__xludf.DUMMYFUNCTION("""COMPUTED_VALUE"""),3.0)</f>
        <v>3</v>
      </c>
      <c r="H368" s="121">
        <f>IFERROR(__xludf.DUMMYFUNCTION("""COMPUTED_VALUE"""),0.0)</f>
        <v>0</v>
      </c>
      <c r="I368" s="121">
        <f>IFERROR(__xludf.DUMMYFUNCTION("""COMPUTED_VALUE"""),0.0)</f>
        <v>0</v>
      </c>
      <c r="J368" s="121">
        <f>IFERROR(__xludf.DUMMYFUNCTION("""COMPUTED_VALUE"""),3.0)</f>
        <v>3</v>
      </c>
      <c r="K368" s="132" t="str">
        <f>IFERROR(__xludf.DUMMYFUNCTION("""COMPUTED_VALUE"""),"CS11150")</f>
        <v>CS11150</v>
      </c>
      <c r="L368" s="121" t="str">
        <f>IFERROR(__xludf.DUMMYFUNCTION("""COMPUTED_VALUE"""),"Mrs.MYTHILI G M")</f>
        <v>Mrs.MYTHILI G M</v>
      </c>
      <c r="M368" s="121" t="str">
        <f>IFERROR(__xludf.DUMMYFUNCTION("""COMPUTED_VALUE"""),"mythili@bitsathy.ac.in")</f>
        <v>mythili@bitsathy.ac.in</v>
      </c>
    </row>
    <row r="369" ht="49.5" customHeight="1">
      <c r="A369" s="121" t="str">
        <f>IFERROR(__xludf.DUMMYFUNCTION("""COMPUTED_VALUE"""),"CSE")</f>
        <v>CSE</v>
      </c>
      <c r="B369" s="121" t="str">
        <f>IFERROR(__xludf.DUMMYFUNCTION("""COMPUTED_VALUE"""),"S4")</f>
        <v>S4</v>
      </c>
      <c r="C369" s="121" t="str">
        <f>IFERROR(__xludf.DUMMYFUNCTION("""COMPUTED_VALUE"""),"ELECTIVE 1")</f>
        <v>ELECTIVE 1</v>
      </c>
      <c r="D369" s="121" t="str">
        <f>IFERROR(__xludf.DUMMYFUNCTION("""COMPUTED_VALUE"""),"22CS008")</f>
        <v>22CS008</v>
      </c>
      <c r="E369" s="131" t="str">
        <f>IFERROR(__xludf.DUMMYFUNCTION("""COMPUTED_VALUE"""),"UI AND UX DESIGN")</f>
        <v>UI AND UX DESIGN</v>
      </c>
      <c r="F369" s="121" t="str">
        <f>IFERROR(__xludf.DUMMYFUNCTION("""COMPUTED_VALUE"""),"THEORY")</f>
        <v>THEORY</v>
      </c>
      <c r="G369" s="121">
        <f>IFERROR(__xludf.DUMMYFUNCTION("""COMPUTED_VALUE"""),3.0)</f>
        <v>3</v>
      </c>
      <c r="H369" s="121">
        <f>IFERROR(__xludf.DUMMYFUNCTION("""COMPUTED_VALUE"""),0.0)</f>
        <v>0</v>
      </c>
      <c r="I369" s="121">
        <f>IFERROR(__xludf.DUMMYFUNCTION("""COMPUTED_VALUE"""),0.0)</f>
        <v>0</v>
      </c>
      <c r="J369" s="121">
        <f>IFERROR(__xludf.DUMMYFUNCTION("""COMPUTED_VALUE"""),3.0)</f>
        <v>3</v>
      </c>
      <c r="K369" s="132" t="str">
        <f>IFERROR(__xludf.DUMMYFUNCTION("""COMPUTED_VALUE"""),"CS11163")</f>
        <v>CS11163</v>
      </c>
      <c r="L369" s="121" t="str">
        <f>IFERROR(__xludf.DUMMYFUNCTION("""COMPUTED_VALUE"""),"Ms.MAHESH S")</f>
        <v>Ms.MAHESH S</v>
      </c>
      <c r="M369" s="121" t="str">
        <f>IFERROR(__xludf.DUMMYFUNCTION("""COMPUTED_VALUE"""),"maheshs@bitsathy.ac.in")</f>
        <v>maheshs@bitsathy.ac.in</v>
      </c>
    </row>
    <row r="370" ht="49.5" customHeight="1">
      <c r="A370" s="121" t="str">
        <f>IFERROR(__xludf.DUMMYFUNCTION("""COMPUTED_VALUE"""),"CSE")</f>
        <v>CSE</v>
      </c>
      <c r="B370" s="121" t="str">
        <f>IFERROR(__xludf.DUMMYFUNCTION("""COMPUTED_VALUE"""),"S4")</f>
        <v>S4</v>
      </c>
      <c r="C370" s="121" t="str">
        <f>IFERROR(__xludf.DUMMYFUNCTION("""COMPUTED_VALUE"""),"ELECTIVE 1")</f>
        <v>ELECTIVE 1</v>
      </c>
      <c r="D370" s="121" t="str">
        <f>IFERROR(__xludf.DUMMYFUNCTION("""COMPUTED_VALUE"""),"22CS008")</f>
        <v>22CS008</v>
      </c>
      <c r="E370" s="131" t="str">
        <f>IFERROR(__xludf.DUMMYFUNCTION("""COMPUTED_VALUE"""),"UI AND UX DESIGN")</f>
        <v>UI AND UX DESIGN</v>
      </c>
      <c r="F370" s="121" t="str">
        <f>IFERROR(__xludf.DUMMYFUNCTION("""COMPUTED_VALUE"""),"THEORY")</f>
        <v>THEORY</v>
      </c>
      <c r="G370" s="121">
        <f>IFERROR(__xludf.DUMMYFUNCTION("""COMPUTED_VALUE"""),3.0)</f>
        <v>3</v>
      </c>
      <c r="H370" s="121">
        <f>IFERROR(__xludf.DUMMYFUNCTION("""COMPUTED_VALUE"""),0.0)</f>
        <v>0</v>
      </c>
      <c r="I370" s="121">
        <f>IFERROR(__xludf.DUMMYFUNCTION("""COMPUTED_VALUE"""),0.0)</f>
        <v>0</v>
      </c>
      <c r="J370" s="121">
        <f>IFERROR(__xludf.DUMMYFUNCTION("""COMPUTED_VALUE"""),3.0)</f>
        <v>3</v>
      </c>
      <c r="K370" s="132" t="str">
        <f>IFERROR(__xludf.DUMMYFUNCTION("""COMPUTED_VALUE"""),"CS11185")</f>
        <v>CS11185</v>
      </c>
      <c r="L370" s="121" t="str">
        <f>IFERROR(__xludf.DUMMYFUNCTION("""COMPUTED_VALUE"""),"Mr.ASWIN JAYA SURYA M J")</f>
        <v>Mr.ASWIN JAYA SURYA M J</v>
      </c>
      <c r="M370" s="121" t="str">
        <f>IFERROR(__xludf.DUMMYFUNCTION("""COMPUTED_VALUE"""),"aswinjayasuryamj@bitsathy.ac.in")</f>
        <v>aswinjayasuryamj@bitsathy.ac.in</v>
      </c>
    </row>
    <row r="371" ht="49.5" customHeight="1">
      <c r="A371" s="121" t="str">
        <f>IFERROR(__xludf.DUMMYFUNCTION("""COMPUTED_VALUE"""),"CSE")</f>
        <v>CSE</v>
      </c>
      <c r="B371" s="121" t="str">
        <f>IFERROR(__xludf.DUMMYFUNCTION("""COMPUTED_VALUE"""),"S4")</f>
        <v>S4</v>
      </c>
      <c r="C371" s="121" t="str">
        <f>IFERROR(__xludf.DUMMYFUNCTION("""COMPUTED_VALUE"""),"ELECTIVE 1")</f>
        <v>ELECTIVE 1</v>
      </c>
      <c r="D371" s="121" t="str">
        <f>IFERROR(__xludf.DUMMYFUNCTION("""COMPUTED_VALUE"""),"22CS008")</f>
        <v>22CS008</v>
      </c>
      <c r="E371" s="131" t="str">
        <f>IFERROR(__xludf.DUMMYFUNCTION("""COMPUTED_VALUE"""),"UI AND UX DESIGN")</f>
        <v>UI AND UX DESIGN</v>
      </c>
      <c r="F371" s="121" t="str">
        <f>IFERROR(__xludf.DUMMYFUNCTION("""COMPUTED_VALUE"""),"THEORY")</f>
        <v>THEORY</v>
      </c>
      <c r="G371" s="121">
        <f>IFERROR(__xludf.DUMMYFUNCTION("""COMPUTED_VALUE"""),3.0)</f>
        <v>3</v>
      </c>
      <c r="H371" s="121">
        <f>IFERROR(__xludf.DUMMYFUNCTION("""COMPUTED_VALUE"""),0.0)</f>
        <v>0</v>
      </c>
      <c r="I371" s="121">
        <f>IFERROR(__xludf.DUMMYFUNCTION("""COMPUTED_VALUE"""),0.0)</f>
        <v>0</v>
      </c>
      <c r="J371" s="121">
        <f>IFERROR(__xludf.DUMMYFUNCTION("""COMPUTED_VALUE"""),3.0)</f>
        <v>3</v>
      </c>
      <c r="K371" s="132" t="str">
        <f>IFERROR(__xludf.DUMMYFUNCTION("""COMPUTED_VALUE"""),"CS11087")</f>
        <v>CS11087</v>
      </c>
      <c r="L371" s="121" t="str">
        <f>IFERROR(__xludf.DUMMYFUNCTION("""COMPUTED_VALUE"""),"Mrs.PRIYANGA M A")</f>
        <v>Mrs.PRIYANGA M A</v>
      </c>
      <c r="M371" s="121" t="str">
        <f>IFERROR(__xludf.DUMMYFUNCTION("""COMPUTED_VALUE"""),"priyanga@bitsathy.ac.in")</f>
        <v>priyanga@bitsathy.ac.in</v>
      </c>
    </row>
    <row r="372" ht="49.5" customHeight="1">
      <c r="A372" s="121" t="str">
        <f>IFERROR(__xludf.DUMMYFUNCTION("""COMPUTED_VALUE"""),"CSE")</f>
        <v>CSE</v>
      </c>
      <c r="B372" s="121" t="str">
        <f>IFERROR(__xludf.DUMMYFUNCTION("""COMPUTED_VALUE"""),"S4")</f>
        <v>S4</v>
      </c>
      <c r="C372" s="121" t="str">
        <f>IFERROR(__xludf.DUMMYFUNCTION("""COMPUTED_VALUE"""),"ELECTIVE 1")</f>
        <v>ELECTIVE 1</v>
      </c>
      <c r="D372" s="121" t="str">
        <f>IFERROR(__xludf.DUMMYFUNCTION("""COMPUTED_VALUE"""),"22CS008")</f>
        <v>22CS008</v>
      </c>
      <c r="E372" s="131" t="str">
        <f>IFERROR(__xludf.DUMMYFUNCTION("""COMPUTED_VALUE"""),"UI AND UX DESIGN")</f>
        <v>UI AND UX DESIGN</v>
      </c>
      <c r="F372" s="121" t="str">
        <f>IFERROR(__xludf.DUMMYFUNCTION("""COMPUTED_VALUE"""),"THEORY")</f>
        <v>THEORY</v>
      </c>
      <c r="G372" s="121">
        <f>IFERROR(__xludf.DUMMYFUNCTION("""COMPUTED_VALUE"""),3.0)</f>
        <v>3</v>
      </c>
      <c r="H372" s="121">
        <f>IFERROR(__xludf.DUMMYFUNCTION("""COMPUTED_VALUE"""),0.0)</f>
        <v>0</v>
      </c>
      <c r="I372" s="121">
        <f>IFERROR(__xludf.DUMMYFUNCTION("""COMPUTED_VALUE"""),0.0)</f>
        <v>0</v>
      </c>
      <c r="J372" s="121">
        <f>IFERROR(__xludf.DUMMYFUNCTION("""COMPUTED_VALUE"""),3.0)</f>
        <v>3</v>
      </c>
      <c r="K372" s="132" t="str">
        <f>IFERROR(__xludf.DUMMYFUNCTION("""COMPUTED_VALUE"""),"CS11064")</f>
        <v>CS11064</v>
      </c>
      <c r="L372" s="121" t="str">
        <f>IFERROR(__xludf.DUMMYFUNCTION("""COMPUTED_VALUE"""),"Mrs.MOHANAMBAL K")</f>
        <v>Mrs.MOHANAMBAL K</v>
      </c>
      <c r="M372" s="121" t="str">
        <f>IFERROR(__xludf.DUMMYFUNCTION("""COMPUTED_VALUE"""),"mohanambal@bitsathy.ac.in")</f>
        <v>mohanambal@bitsathy.ac.in</v>
      </c>
    </row>
    <row r="373" ht="49.5" customHeight="1">
      <c r="A373" s="121" t="str">
        <f>IFERROR(__xludf.DUMMYFUNCTION("""COMPUTED_VALUE"""),"CSE")</f>
        <v>CSE</v>
      </c>
      <c r="B373" s="121" t="str">
        <f>IFERROR(__xludf.DUMMYFUNCTION("""COMPUTED_VALUE"""),"S4")</f>
        <v>S4</v>
      </c>
      <c r="C373" s="121" t="str">
        <f>IFERROR(__xludf.DUMMYFUNCTION("""COMPUTED_VALUE"""),"ELECTIVE 1")</f>
        <v>ELECTIVE 1</v>
      </c>
      <c r="D373" s="121" t="str">
        <f>IFERROR(__xludf.DUMMYFUNCTION("""COMPUTED_VALUE"""),"22CS039")</f>
        <v>22CS039</v>
      </c>
      <c r="E373" s="131" t="str">
        <f>IFERROR(__xludf.DUMMYFUNCTION("""COMPUTED_VALUE"""),"INTERNET OF THINGS")</f>
        <v>INTERNET OF THINGS</v>
      </c>
      <c r="F373" s="121" t="str">
        <f>IFERROR(__xludf.DUMMYFUNCTION("""COMPUTED_VALUE"""),"THEORY")</f>
        <v>THEORY</v>
      </c>
      <c r="G373" s="121">
        <f>IFERROR(__xludf.DUMMYFUNCTION("""COMPUTED_VALUE"""),3.0)</f>
        <v>3</v>
      </c>
      <c r="H373" s="121">
        <f>IFERROR(__xludf.DUMMYFUNCTION("""COMPUTED_VALUE"""),0.0)</f>
        <v>0</v>
      </c>
      <c r="I373" s="121">
        <f>IFERROR(__xludf.DUMMYFUNCTION("""COMPUTED_VALUE"""),0.0)</f>
        <v>0</v>
      </c>
      <c r="J373" s="121">
        <f>IFERROR(__xludf.DUMMYFUNCTION("""COMPUTED_VALUE"""),3.0)</f>
        <v>3</v>
      </c>
      <c r="K373" s="132" t="str">
        <f>IFERROR(__xludf.DUMMYFUNCTION("""COMPUTED_VALUE"""),"CS10963")</f>
        <v>CS10963</v>
      </c>
      <c r="L373" s="121" t="str">
        <f>IFERROR(__xludf.DUMMYFUNCTION("""COMPUTED_VALUE"""),"Dr.RAJESHKUMAR G")</f>
        <v>Dr.RAJESHKUMAR G</v>
      </c>
      <c r="M373" s="121" t="str">
        <f>IFERROR(__xludf.DUMMYFUNCTION("""COMPUTED_VALUE"""),"rajeshkumarg@bitsathy.ac.in")</f>
        <v>rajeshkumarg@bitsathy.ac.in</v>
      </c>
    </row>
    <row r="374" ht="49.5" customHeight="1">
      <c r="A374" s="121" t="str">
        <f>IFERROR(__xludf.DUMMYFUNCTION("""COMPUTED_VALUE"""),"CSE")</f>
        <v>CSE</v>
      </c>
      <c r="B374" s="121" t="str">
        <f>IFERROR(__xludf.DUMMYFUNCTION("""COMPUTED_VALUE"""),"S4")</f>
        <v>S4</v>
      </c>
      <c r="C374" s="121" t="str">
        <f>IFERROR(__xludf.DUMMYFUNCTION("""COMPUTED_VALUE"""),"ELECTIVE 1")</f>
        <v>ELECTIVE 1</v>
      </c>
      <c r="D374" s="121" t="str">
        <f>IFERROR(__xludf.DUMMYFUNCTION("""COMPUTED_VALUE"""),"22CS007")</f>
        <v>22CS007</v>
      </c>
      <c r="E374" s="131" t="str">
        <f>IFERROR(__xludf.DUMMYFUNCTION("""COMPUTED_VALUE"""),"AGILE SOFTWARE DEVELOPMENT")</f>
        <v>AGILE SOFTWARE DEVELOPMENT</v>
      </c>
      <c r="F374" s="121" t="str">
        <f>IFERROR(__xludf.DUMMYFUNCTION("""COMPUTED_VALUE"""),"THEORY")</f>
        <v>THEORY</v>
      </c>
      <c r="G374" s="121">
        <f>IFERROR(__xludf.DUMMYFUNCTION("""COMPUTED_VALUE"""),3.0)</f>
        <v>3</v>
      </c>
      <c r="H374" s="121">
        <f>IFERROR(__xludf.DUMMYFUNCTION("""COMPUTED_VALUE"""),0.0)</f>
        <v>0</v>
      </c>
      <c r="I374" s="121">
        <f>IFERROR(__xludf.DUMMYFUNCTION("""COMPUTED_VALUE"""),0.0)</f>
        <v>0</v>
      </c>
      <c r="J374" s="121">
        <f>IFERROR(__xludf.DUMMYFUNCTION("""COMPUTED_VALUE"""),3.0)</f>
        <v>3</v>
      </c>
      <c r="K374" s="132" t="str">
        <f>IFERROR(__xludf.DUMMYFUNCTION("""COMPUTED_VALUE"""),"CS10861")</f>
        <v>CS10861</v>
      </c>
      <c r="L374" s="121" t="str">
        <f>IFERROR(__xludf.DUMMYFUNCTION("""COMPUTED_VALUE"""),"Ms.SANGAVI N")</f>
        <v>Ms.SANGAVI N</v>
      </c>
      <c r="M374" s="121" t="str">
        <f>IFERROR(__xludf.DUMMYFUNCTION("""COMPUTED_VALUE"""),"sangavin@bitsathy.ac.in")</f>
        <v>sangavin@bitsathy.ac.in</v>
      </c>
    </row>
    <row r="375" ht="49.5" customHeight="1">
      <c r="A375" s="121" t="str">
        <f>IFERROR(__xludf.DUMMYFUNCTION("""COMPUTED_VALUE"""),"CSE")</f>
        <v>CSE</v>
      </c>
      <c r="B375" s="121" t="str">
        <f>IFERROR(__xludf.DUMMYFUNCTION("""COMPUTED_VALUE"""),"S4")</f>
        <v>S4</v>
      </c>
      <c r="C375" s="121" t="str">
        <f>IFERROR(__xludf.DUMMYFUNCTION("""COMPUTED_VALUE"""),"CORE")</f>
        <v>CORE</v>
      </c>
      <c r="D375" s="121" t="str">
        <f>IFERROR(__xludf.DUMMYFUNCTION("""COMPUTED_VALUE"""),"22HS007")</f>
        <v>22HS007</v>
      </c>
      <c r="E375" s="131" t="str">
        <f>IFERROR(__xludf.DUMMYFUNCTION("""COMPUTED_VALUE"""),"ENVIRONMENTAL SCIENCE")</f>
        <v>ENVIRONMENTAL SCIENCE</v>
      </c>
      <c r="F375" s="121" t="str">
        <f>IFERROR(__xludf.DUMMYFUNCTION("""COMPUTED_VALUE"""),"LAB")</f>
        <v>LAB</v>
      </c>
      <c r="G375" s="121">
        <f>IFERROR(__xludf.DUMMYFUNCTION("""COMPUTED_VALUE"""),2.0)</f>
        <v>2</v>
      </c>
      <c r="H375" s="121">
        <f>IFERROR(__xludf.DUMMYFUNCTION("""COMPUTED_VALUE"""),0.0)</f>
        <v>0</v>
      </c>
      <c r="I375" s="121">
        <f>IFERROR(__xludf.DUMMYFUNCTION("""COMPUTED_VALUE"""),0.0)</f>
        <v>0</v>
      </c>
      <c r="J375" s="121">
        <f>IFERROR(__xludf.DUMMYFUNCTION("""COMPUTED_VALUE"""),2.0)</f>
        <v>2</v>
      </c>
      <c r="K375" s="132" t="str">
        <f>IFERROR(__xludf.DUMMYFUNCTION("""COMPUTED_VALUE"""),"CH1578")</f>
        <v>CH1578</v>
      </c>
      <c r="L375" s="121" t="str">
        <f>IFERROR(__xludf.DUMMYFUNCTION("""COMPUTED_VALUE"""),"Dr.KAVITHA C")</f>
        <v>Dr.KAVITHA C</v>
      </c>
      <c r="M375" s="133" t="str">
        <f>IFERROR(__xludf.DUMMYFUNCTION("""COMPUTED_VALUE"""),"kavithac@bitsathy.ac.in")</f>
        <v>kavithac@bitsathy.ac.in</v>
      </c>
    </row>
    <row r="376" ht="49.5" customHeight="1">
      <c r="A376" s="121" t="str">
        <f>IFERROR(__xludf.DUMMYFUNCTION("""COMPUTED_VALUE"""),"CSE")</f>
        <v>CSE</v>
      </c>
      <c r="B376" s="121" t="str">
        <f>IFERROR(__xludf.DUMMYFUNCTION("""COMPUTED_VALUE"""),"S4")</f>
        <v>S4</v>
      </c>
      <c r="C376" s="121" t="str">
        <f>IFERROR(__xludf.DUMMYFUNCTION("""COMPUTED_VALUE"""),"CORE")</f>
        <v>CORE</v>
      </c>
      <c r="D376" s="121" t="str">
        <f>IFERROR(__xludf.DUMMYFUNCTION("""COMPUTED_VALUE"""),"22HS007")</f>
        <v>22HS007</v>
      </c>
      <c r="E376" s="131" t="str">
        <f>IFERROR(__xludf.DUMMYFUNCTION("""COMPUTED_VALUE"""),"ENVIRONMENTAL SCIENCE")</f>
        <v>ENVIRONMENTAL SCIENCE</v>
      </c>
      <c r="F376" s="121" t="str">
        <f>IFERROR(__xludf.DUMMYFUNCTION("""COMPUTED_VALUE"""),"LAB")</f>
        <v>LAB</v>
      </c>
      <c r="G376" s="121">
        <f>IFERROR(__xludf.DUMMYFUNCTION("""COMPUTED_VALUE"""),2.0)</f>
        <v>2</v>
      </c>
      <c r="H376" s="121">
        <f>IFERROR(__xludf.DUMMYFUNCTION("""COMPUTED_VALUE"""),0.0)</f>
        <v>0</v>
      </c>
      <c r="I376" s="121">
        <f>IFERROR(__xludf.DUMMYFUNCTION("""COMPUTED_VALUE"""),0.0)</f>
        <v>0</v>
      </c>
      <c r="J376" s="121">
        <f>IFERROR(__xludf.DUMMYFUNCTION("""COMPUTED_VALUE"""),2.0)</f>
        <v>2</v>
      </c>
      <c r="K376" s="132" t="str">
        <f>IFERROR(__xludf.DUMMYFUNCTION("""COMPUTED_VALUE"""),"CH10314")</f>
        <v>CH10314</v>
      </c>
      <c r="L376" s="121" t="str">
        <f>IFERROR(__xludf.DUMMYFUNCTION("""COMPUTED_VALUE"""),"Dr.VISWANATHAN G")</f>
        <v>Dr.VISWANATHAN G</v>
      </c>
      <c r="M376" s="121" t="str">
        <f>IFERROR(__xludf.DUMMYFUNCTION("""COMPUTED_VALUE"""),"viswanathan@bitsathy.ac.in")</f>
        <v>viswanathan@bitsathy.ac.in</v>
      </c>
    </row>
    <row r="377" ht="49.5" customHeight="1">
      <c r="A377" s="121" t="str">
        <f>IFERROR(__xludf.DUMMYFUNCTION("""COMPUTED_VALUE"""),"CSE")</f>
        <v>CSE</v>
      </c>
      <c r="B377" s="121" t="str">
        <f>IFERROR(__xludf.DUMMYFUNCTION("""COMPUTED_VALUE"""),"S4")</f>
        <v>S4</v>
      </c>
      <c r="C377" s="121" t="str">
        <f>IFERROR(__xludf.DUMMYFUNCTION("""COMPUTED_VALUE"""),"CORE")</f>
        <v>CORE</v>
      </c>
      <c r="D377" s="121" t="str">
        <f>IFERROR(__xludf.DUMMYFUNCTION("""COMPUTED_VALUE"""),"22HS007")</f>
        <v>22HS007</v>
      </c>
      <c r="E377" s="131" t="str">
        <f>IFERROR(__xludf.DUMMYFUNCTION("""COMPUTED_VALUE"""),"ENVIRONMENTAL SCIENCE")</f>
        <v>ENVIRONMENTAL SCIENCE</v>
      </c>
      <c r="F377" s="121" t="str">
        <f>IFERROR(__xludf.DUMMYFUNCTION("""COMPUTED_VALUE"""),"LAB")</f>
        <v>LAB</v>
      </c>
      <c r="G377" s="121">
        <f>IFERROR(__xludf.DUMMYFUNCTION("""COMPUTED_VALUE"""),2.0)</f>
        <v>2</v>
      </c>
      <c r="H377" s="121">
        <f>IFERROR(__xludf.DUMMYFUNCTION("""COMPUTED_VALUE"""),0.0)</f>
        <v>0</v>
      </c>
      <c r="I377" s="121">
        <f>IFERROR(__xludf.DUMMYFUNCTION("""COMPUTED_VALUE"""),0.0)</f>
        <v>0</v>
      </c>
      <c r="J377" s="121">
        <f>IFERROR(__xludf.DUMMYFUNCTION("""COMPUTED_VALUE"""),2.0)</f>
        <v>2</v>
      </c>
      <c r="K377" s="132" t="str">
        <f>IFERROR(__xludf.DUMMYFUNCTION("""COMPUTED_VALUE"""),"CH10225")</f>
        <v>CH10225</v>
      </c>
      <c r="L377" s="121" t="str">
        <f>IFERROR(__xludf.DUMMYFUNCTION("""COMPUTED_VALUE"""),"Dr.MUTHUKUMAR P")</f>
        <v>Dr.MUTHUKUMAR P</v>
      </c>
      <c r="M377" s="121" t="str">
        <f>IFERROR(__xludf.DUMMYFUNCTION("""COMPUTED_VALUE"""),"muthukumar@bitsathy.ac.in")</f>
        <v>muthukumar@bitsathy.ac.in</v>
      </c>
    </row>
    <row r="378" ht="49.5" customHeight="1">
      <c r="A378" s="121" t="str">
        <f>IFERROR(__xludf.DUMMYFUNCTION("""COMPUTED_VALUE"""),"CSE")</f>
        <v>CSE</v>
      </c>
      <c r="B378" s="121" t="str">
        <f>IFERROR(__xludf.DUMMYFUNCTION("""COMPUTED_VALUE"""),"S4")</f>
        <v>S4</v>
      </c>
      <c r="C378" s="121" t="str">
        <f>IFERROR(__xludf.DUMMYFUNCTION("""COMPUTED_VALUE"""),"CORE")</f>
        <v>CORE</v>
      </c>
      <c r="D378" s="121" t="str">
        <f>IFERROR(__xludf.DUMMYFUNCTION("""COMPUTED_VALUE"""),"22HS007")</f>
        <v>22HS007</v>
      </c>
      <c r="E378" s="131" t="str">
        <f>IFERROR(__xludf.DUMMYFUNCTION("""COMPUTED_VALUE"""),"ENVIRONMENTAL SCIENCE")</f>
        <v>ENVIRONMENTAL SCIENCE</v>
      </c>
      <c r="F378" s="121" t="str">
        <f>IFERROR(__xludf.DUMMYFUNCTION("""COMPUTED_VALUE"""),"LAB")</f>
        <v>LAB</v>
      </c>
      <c r="G378" s="121">
        <f>IFERROR(__xludf.DUMMYFUNCTION("""COMPUTED_VALUE"""),2.0)</f>
        <v>2</v>
      </c>
      <c r="H378" s="121">
        <f>IFERROR(__xludf.DUMMYFUNCTION("""COMPUTED_VALUE"""),0.0)</f>
        <v>0</v>
      </c>
      <c r="I378" s="121">
        <f>IFERROR(__xludf.DUMMYFUNCTION("""COMPUTED_VALUE"""),0.0)</f>
        <v>0</v>
      </c>
      <c r="J378" s="121">
        <f>IFERROR(__xludf.DUMMYFUNCTION("""COMPUTED_VALUE"""),2.0)</f>
        <v>2</v>
      </c>
      <c r="K378" s="132" t="str">
        <f>IFERROR(__xludf.DUMMYFUNCTION("""COMPUTED_VALUE"""),"CH11156")</f>
        <v>CH11156</v>
      </c>
      <c r="L378" s="121" t="str">
        <f>IFERROR(__xludf.DUMMYFUNCTION("""COMPUTED_VALUE"""),"Dr.KASTHURI S")</f>
        <v>Dr.KASTHURI S</v>
      </c>
      <c r="M378" s="121" t="str">
        <f>IFERROR(__xludf.DUMMYFUNCTION("""COMPUTED_VALUE"""),"kasthuris@bitsathy.ac.in")</f>
        <v>kasthuris@bitsathy.ac.in</v>
      </c>
    </row>
    <row r="379" ht="49.5" customHeight="1">
      <c r="A379" s="121" t="str">
        <f>IFERROR(__xludf.DUMMYFUNCTION("""COMPUTED_VALUE"""),"CSE")</f>
        <v>CSE</v>
      </c>
      <c r="B379" s="121" t="str">
        <f>IFERROR(__xludf.DUMMYFUNCTION("""COMPUTED_VALUE"""),"S4")</f>
        <v>S4</v>
      </c>
      <c r="C379" s="121" t="str">
        <f>IFERROR(__xludf.DUMMYFUNCTION("""COMPUTED_VALUE"""),"CORE")</f>
        <v>CORE</v>
      </c>
      <c r="D379" s="121" t="str">
        <f>IFERROR(__xludf.DUMMYFUNCTION("""COMPUTED_VALUE"""),"22HS007")</f>
        <v>22HS007</v>
      </c>
      <c r="E379" s="131" t="str">
        <f>IFERROR(__xludf.DUMMYFUNCTION("""COMPUTED_VALUE"""),"ENVIRONMENTAL SCIENCE")</f>
        <v>ENVIRONMENTAL SCIENCE</v>
      </c>
      <c r="F379" s="121" t="str">
        <f>IFERROR(__xludf.DUMMYFUNCTION("""COMPUTED_VALUE"""),"LAB")</f>
        <v>LAB</v>
      </c>
      <c r="G379" s="121">
        <f>IFERROR(__xludf.DUMMYFUNCTION("""COMPUTED_VALUE"""),2.0)</f>
        <v>2</v>
      </c>
      <c r="H379" s="121">
        <f>IFERROR(__xludf.DUMMYFUNCTION("""COMPUTED_VALUE"""),0.0)</f>
        <v>0</v>
      </c>
      <c r="I379" s="121">
        <f>IFERROR(__xludf.DUMMYFUNCTION("""COMPUTED_VALUE"""),0.0)</f>
        <v>0</v>
      </c>
      <c r="J379" s="121">
        <f>IFERROR(__xludf.DUMMYFUNCTION("""COMPUTED_VALUE"""),2.0)</f>
        <v>2</v>
      </c>
      <c r="K379" s="132" t="str">
        <f>IFERROR(__xludf.DUMMYFUNCTION("""COMPUTED_VALUE"""),"CH11126")</f>
        <v>CH11126</v>
      </c>
      <c r="L379" s="121" t="str">
        <f>IFERROR(__xludf.DUMMYFUNCTION("""COMPUTED_VALUE"""),"Dr.JESIN BENETO A")</f>
        <v>Dr.JESIN BENETO A</v>
      </c>
      <c r="M379" s="121" t="str">
        <f>IFERROR(__xludf.DUMMYFUNCTION("""COMPUTED_VALUE"""),"jesinbeneto@bitsathy.ac.in")</f>
        <v>jesinbeneto@bitsathy.ac.in</v>
      </c>
    </row>
    <row r="380" ht="49.5" customHeight="1">
      <c r="A380" s="121" t="str">
        <f>IFERROR(__xludf.DUMMYFUNCTION("""COMPUTED_VALUE"""),"CSE")</f>
        <v>CSE</v>
      </c>
      <c r="B380" s="121" t="str">
        <f>IFERROR(__xludf.DUMMYFUNCTION("""COMPUTED_VALUE"""),"S4")</f>
        <v>S4</v>
      </c>
      <c r="C380" s="121" t="str">
        <f>IFERROR(__xludf.DUMMYFUNCTION("""COMPUTED_VALUE"""),"CORE")</f>
        <v>CORE</v>
      </c>
      <c r="D380" s="121" t="str">
        <f>IFERROR(__xludf.DUMMYFUNCTION("""COMPUTED_VALUE"""),"22HS007")</f>
        <v>22HS007</v>
      </c>
      <c r="E380" s="131" t="str">
        <f>IFERROR(__xludf.DUMMYFUNCTION("""COMPUTED_VALUE"""),"ENVIRONMENTAL SCIENCE")</f>
        <v>ENVIRONMENTAL SCIENCE</v>
      </c>
      <c r="F380" s="121" t="str">
        <f>IFERROR(__xludf.DUMMYFUNCTION("""COMPUTED_VALUE"""),"LAB")</f>
        <v>LAB</v>
      </c>
      <c r="G380" s="121">
        <f>IFERROR(__xludf.DUMMYFUNCTION("""COMPUTED_VALUE"""),2.0)</f>
        <v>2</v>
      </c>
      <c r="H380" s="121">
        <f>IFERROR(__xludf.DUMMYFUNCTION("""COMPUTED_VALUE"""),0.0)</f>
        <v>0</v>
      </c>
      <c r="I380" s="121">
        <f>IFERROR(__xludf.DUMMYFUNCTION("""COMPUTED_VALUE"""),0.0)</f>
        <v>0</v>
      </c>
      <c r="J380" s="121">
        <f>IFERROR(__xludf.DUMMYFUNCTION("""COMPUTED_VALUE"""),2.0)</f>
        <v>2</v>
      </c>
      <c r="K380" s="132" t="str">
        <f>IFERROR(__xludf.DUMMYFUNCTION("""COMPUTED_VALUE"""),"CH10003")</f>
        <v>CH10003</v>
      </c>
      <c r="L380" s="121" t="str">
        <f>IFERROR(__xludf.DUMMYFUNCTION("""COMPUTED_VALUE"""),"Dr.SATHISH V")</f>
        <v>Dr.SATHISH V</v>
      </c>
      <c r="M380" s="121" t="str">
        <f>IFERROR(__xludf.DUMMYFUNCTION("""COMPUTED_VALUE"""),"sathishv@bitsathy.ac.in")</f>
        <v>sathishv@bitsathy.ac.in</v>
      </c>
    </row>
    <row r="381" ht="49.5" customHeight="1">
      <c r="A381" s="121" t="str">
        <f>IFERROR(__xludf.DUMMYFUNCTION("""COMPUTED_VALUE"""),"CSE")</f>
        <v>CSE</v>
      </c>
      <c r="B381" s="121" t="str">
        <f>IFERROR(__xludf.DUMMYFUNCTION("""COMPUTED_VALUE"""),"S4")</f>
        <v>S4</v>
      </c>
      <c r="C381" s="121" t="str">
        <f>IFERROR(__xludf.DUMMYFUNCTION("""COMPUTED_VALUE"""),"CORE")</f>
        <v>CORE</v>
      </c>
      <c r="D381" s="121" t="str">
        <f>IFERROR(__xludf.DUMMYFUNCTION("""COMPUTED_VALUE"""),"22HS008")</f>
        <v>22HS008</v>
      </c>
      <c r="E381" s="131" t="str">
        <f>IFERROR(__xludf.DUMMYFUNCTION("""COMPUTED_VALUE"""),"ADVANCED ENGLISH AND TECHNICAL EXPRESSION ")</f>
        <v>ADVANCED ENGLISH AND TECHNICAL EXPRESSION </v>
      </c>
      <c r="F381" s="121" t="str">
        <f>IFERROR(__xludf.DUMMYFUNCTION("""COMPUTED_VALUE"""),"LAB")</f>
        <v>LAB</v>
      </c>
      <c r="G381" s="121">
        <f>IFERROR(__xludf.DUMMYFUNCTION("""COMPUTED_VALUE"""),0.0)</f>
        <v>0</v>
      </c>
      <c r="H381" s="121">
        <f>IFERROR(__xludf.DUMMYFUNCTION("""COMPUTED_VALUE"""),0.0)</f>
        <v>0</v>
      </c>
      <c r="I381" s="121">
        <f>IFERROR(__xludf.DUMMYFUNCTION("""COMPUTED_VALUE"""),2.0)</f>
        <v>2</v>
      </c>
      <c r="J381" s="121">
        <f>IFERROR(__xludf.DUMMYFUNCTION("""COMPUTED_VALUE"""),1.0)</f>
        <v>1</v>
      </c>
      <c r="K381" s="132" t="str">
        <f>IFERROR(__xludf.DUMMYFUNCTION("""COMPUTED_VALUE"""),"HU11125")</f>
        <v>HU11125</v>
      </c>
      <c r="L381" s="121" t="str">
        <f>IFERROR(__xludf.DUMMYFUNCTION("""COMPUTED_VALUE"""),"Dr.GAYATHRI G M")</f>
        <v>Dr.GAYATHRI G M</v>
      </c>
      <c r="M381" s="121" t="str">
        <f>IFERROR(__xludf.DUMMYFUNCTION("""COMPUTED_VALUE"""),"gayathri@bitsathy.ac.in")</f>
        <v>gayathri@bitsathy.ac.in</v>
      </c>
    </row>
    <row r="382" ht="49.5" customHeight="1">
      <c r="A382" s="121" t="str">
        <f>IFERROR(__xludf.DUMMYFUNCTION("""COMPUTED_VALUE"""),"CSE")</f>
        <v>CSE</v>
      </c>
      <c r="B382" s="121" t="str">
        <f>IFERROR(__xludf.DUMMYFUNCTION("""COMPUTED_VALUE"""),"S4")</f>
        <v>S4</v>
      </c>
      <c r="C382" s="121" t="str">
        <f>IFERROR(__xludf.DUMMYFUNCTION("""COMPUTED_VALUE"""),"CORE")</f>
        <v>CORE</v>
      </c>
      <c r="D382" s="121" t="str">
        <f>IFERROR(__xludf.DUMMYFUNCTION("""COMPUTED_VALUE"""),"22HS008")</f>
        <v>22HS008</v>
      </c>
      <c r="E382" s="131" t="str">
        <f>IFERROR(__xludf.DUMMYFUNCTION("""COMPUTED_VALUE"""),"ADVANCED ENGLISH AND TECHNICAL EXPRESSION ")</f>
        <v>ADVANCED ENGLISH AND TECHNICAL EXPRESSION </v>
      </c>
      <c r="F382" s="121" t="str">
        <f>IFERROR(__xludf.DUMMYFUNCTION("""COMPUTED_VALUE"""),"LAB")</f>
        <v>LAB</v>
      </c>
      <c r="G382" s="121">
        <f>IFERROR(__xludf.DUMMYFUNCTION("""COMPUTED_VALUE"""),0.0)</f>
        <v>0</v>
      </c>
      <c r="H382" s="121">
        <f>IFERROR(__xludf.DUMMYFUNCTION("""COMPUTED_VALUE"""),0.0)</f>
        <v>0</v>
      </c>
      <c r="I382" s="121">
        <f>IFERROR(__xludf.DUMMYFUNCTION("""COMPUTED_VALUE"""),2.0)</f>
        <v>2</v>
      </c>
      <c r="J382" s="121">
        <f>IFERROR(__xludf.DUMMYFUNCTION("""COMPUTED_VALUE"""),1.0)</f>
        <v>1</v>
      </c>
      <c r="K382" s="132" t="str">
        <f>IFERROR(__xludf.DUMMYFUNCTION("""COMPUTED_VALUE"""),"HU11141")</f>
        <v>HU11141</v>
      </c>
      <c r="L382" s="121" t="str">
        <f>IFERROR(__xludf.DUMMYFUNCTION("""COMPUTED_VALUE"""),"Dr.EZHIL G")</f>
        <v>Dr.EZHIL G</v>
      </c>
      <c r="M382" s="121" t="str">
        <f>IFERROR(__xludf.DUMMYFUNCTION("""COMPUTED_VALUE"""),"ezhil@bitsathy.ac.in")</f>
        <v>ezhil@bitsathy.ac.in</v>
      </c>
    </row>
    <row r="383" ht="49.5" customHeight="1">
      <c r="A383" s="121" t="str">
        <f>IFERROR(__xludf.DUMMYFUNCTION("""COMPUTED_VALUE"""),"CSE")</f>
        <v>CSE</v>
      </c>
      <c r="B383" s="121" t="str">
        <f>IFERROR(__xludf.DUMMYFUNCTION("""COMPUTED_VALUE"""),"S4")</f>
        <v>S4</v>
      </c>
      <c r="C383" s="121" t="str">
        <f>IFERROR(__xludf.DUMMYFUNCTION("""COMPUTED_VALUE"""),"CORE")</f>
        <v>CORE</v>
      </c>
      <c r="D383" s="121" t="str">
        <f>IFERROR(__xludf.DUMMYFUNCTION("""COMPUTED_VALUE"""),"22HS008")</f>
        <v>22HS008</v>
      </c>
      <c r="E383" s="131" t="str">
        <f>IFERROR(__xludf.DUMMYFUNCTION("""COMPUTED_VALUE"""),"ADVANCED ENGLISH AND TECHNICAL EXPRESSION ")</f>
        <v>ADVANCED ENGLISH AND TECHNICAL EXPRESSION </v>
      </c>
      <c r="F383" s="121" t="str">
        <f>IFERROR(__xludf.DUMMYFUNCTION("""COMPUTED_VALUE"""),"LAB")</f>
        <v>LAB</v>
      </c>
      <c r="G383" s="121">
        <f>IFERROR(__xludf.DUMMYFUNCTION("""COMPUTED_VALUE"""),0.0)</f>
        <v>0</v>
      </c>
      <c r="H383" s="121">
        <f>IFERROR(__xludf.DUMMYFUNCTION("""COMPUTED_VALUE"""),0.0)</f>
        <v>0</v>
      </c>
      <c r="I383" s="121">
        <f>IFERROR(__xludf.DUMMYFUNCTION("""COMPUTED_VALUE"""),2.0)</f>
        <v>2</v>
      </c>
      <c r="J383" s="121">
        <f>IFERROR(__xludf.DUMMYFUNCTION("""COMPUTED_VALUE"""),1.0)</f>
        <v>1</v>
      </c>
      <c r="K383" s="132" t="str">
        <f>IFERROR(__xludf.DUMMYFUNCTION("""COMPUTED_VALUE"""),"HU11139")</f>
        <v>HU11139</v>
      </c>
      <c r="L383" s="121" t="str">
        <f>IFERROR(__xludf.DUMMYFUNCTION("""COMPUTED_VALUE"""),"Dr.ASLIN JERUSHA D")</f>
        <v>Dr.ASLIN JERUSHA D</v>
      </c>
      <c r="M383" s="121" t="str">
        <f>IFERROR(__xludf.DUMMYFUNCTION("""COMPUTED_VALUE"""),"aslinjerusha@bitsathy.ac.in")</f>
        <v>aslinjerusha@bitsathy.ac.in</v>
      </c>
    </row>
    <row r="384" ht="49.5" customHeight="1">
      <c r="A384" s="121" t="str">
        <f>IFERROR(__xludf.DUMMYFUNCTION("""COMPUTED_VALUE"""),"CSE")</f>
        <v>CSE</v>
      </c>
      <c r="B384" s="121" t="str">
        <f>IFERROR(__xludf.DUMMYFUNCTION("""COMPUTED_VALUE"""),"S4")</f>
        <v>S4</v>
      </c>
      <c r="C384" s="121" t="str">
        <f>IFERROR(__xludf.DUMMYFUNCTION("""COMPUTED_VALUE"""),"CORE")</f>
        <v>CORE</v>
      </c>
      <c r="D384" s="121" t="str">
        <f>IFERROR(__xludf.DUMMYFUNCTION("""COMPUTED_VALUE"""),"22HS008")</f>
        <v>22HS008</v>
      </c>
      <c r="E384" s="131" t="str">
        <f>IFERROR(__xludf.DUMMYFUNCTION("""COMPUTED_VALUE"""),"ADVANCED ENGLISH AND TECHNICAL EXPRESSION ")</f>
        <v>ADVANCED ENGLISH AND TECHNICAL EXPRESSION </v>
      </c>
      <c r="F384" s="121" t="str">
        <f>IFERROR(__xludf.DUMMYFUNCTION("""COMPUTED_VALUE"""),"LAB")</f>
        <v>LAB</v>
      </c>
      <c r="G384" s="121">
        <f>IFERROR(__xludf.DUMMYFUNCTION("""COMPUTED_VALUE"""),0.0)</f>
        <v>0</v>
      </c>
      <c r="H384" s="121">
        <f>IFERROR(__xludf.DUMMYFUNCTION("""COMPUTED_VALUE"""),0.0)</f>
        <v>0</v>
      </c>
      <c r="I384" s="121">
        <f>IFERROR(__xludf.DUMMYFUNCTION("""COMPUTED_VALUE"""),2.0)</f>
        <v>2</v>
      </c>
      <c r="J384" s="121">
        <f>IFERROR(__xludf.DUMMYFUNCTION("""COMPUTED_VALUE"""),1.0)</f>
        <v>1</v>
      </c>
      <c r="K384" s="132" t="str">
        <f>IFERROR(__xludf.DUMMYFUNCTION("""COMPUTED_VALUE"""),"HU11151")</f>
        <v>HU11151</v>
      </c>
      <c r="L384" s="121" t="str">
        <f>IFERROR(__xludf.DUMMYFUNCTION("""COMPUTED_VALUE"""),"Dr.NITHYA S")</f>
        <v>Dr.NITHYA S</v>
      </c>
      <c r="M384" s="133" t="str">
        <f>IFERROR(__xludf.DUMMYFUNCTION("""COMPUTED_VALUE"""),"nithyas@bitsathy.ac.in")</f>
        <v>nithyas@bitsathy.ac.in</v>
      </c>
    </row>
    <row r="385" ht="49.5" customHeight="1">
      <c r="A385" s="121" t="str">
        <f>IFERROR(__xludf.DUMMYFUNCTION("""COMPUTED_VALUE"""),"CSE")</f>
        <v>CSE</v>
      </c>
      <c r="B385" s="121" t="str">
        <f>IFERROR(__xludf.DUMMYFUNCTION("""COMPUTED_VALUE"""),"S4")</f>
        <v>S4</v>
      </c>
      <c r="C385" s="121" t="str">
        <f>IFERROR(__xludf.DUMMYFUNCTION("""COMPUTED_VALUE"""),"CORE")</f>
        <v>CORE</v>
      </c>
      <c r="D385" s="121" t="str">
        <f>IFERROR(__xludf.DUMMYFUNCTION("""COMPUTED_VALUE"""),"22HS008")</f>
        <v>22HS008</v>
      </c>
      <c r="E385" s="131" t="str">
        <f>IFERROR(__xludf.DUMMYFUNCTION("""COMPUTED_VALUE"""),"ADVANCED ENGLISH AND TECHNICAL EXPRESSION ")</f>
        <v>ADVANCED ENGLISH AND TECHNICAL EXPRESSION </v>
      </c>
      <c r="F385" s="121" t="str">
        <f>IFERROR(__xludf.DUMMYFUNCTION("""COMPUTED_VALUE"""),"LAB")</f>
        <v>LAB</v>
      </c>
      <c r="G385" s="121">
        <f>IFERROR(__xludf.DUMMYFUNCTION("""COMPUTED_VALUE"""),0.0)</f>
        <v>0</v>
      </c>
      <c r="H385" s="121">
        <f>IFERROR(__xludf.DUMMYFUNCTION("""COMPUTED_VALUE"""),0.0)</f>
        <v>0</v>
      </c>
      <c r="I385" s="121">
        <f>IFERROR(__xludf.DUMMYFUNCTION("""COMPUTED_VALUE"""),2.0)</f>
        <v>2</v>
      </c>
      <c r="J385" s="121">
        <f>IFERROR(__xludf.DUMMYFUNCTION("""COMPUTED_VALUE"""),1.0)</f>
        <v>1</v>
      </c>
      <c r="K385" s="132" t="str">
        <f>IFERROR(__xludf.DUMMYFUNCTION("""COMPUTED_VALUE"""),"HU11159")</f>
        <v>HU11159</v>
      </c>
      <c r="L385" s="121" t="str">
        <f>IFERROR(__xludf.DUMMYFUNCTION("""COMPUTED_VALUE"""),"Dr.JAYA K")</f>
        <v>Dr.JAYA K</v>
      </c>
      <c r="M385" s="121" t="str">
        <f>IFERROR(__xludf.DUMMYFUNCTION("""COMPUTED_VALUE"""),"jayak@bitsathy.ac.in")</f>
        <v>jayak@bitsathy.ac.in</v>
      </c>
    </row>
    <row r="386" ht="49.5" customHeight="1">
      <c r="A386" s="121" t="str">
        <f>IFERROR(__xludf.DUMMYFUNCTION("""COMPUTED_VALUE"""),"CSE")</f>
        <v>CSE</v>
      </c>
      <c r="B386" s="121" t="str">
        <f>IFERROR(__xludf.DUMMYFUNCTION("""COMPUTED_VALUE"""),"S4")</f>
        <v>S4</v>
      </c>
      <c r="C386" s="121" t="str">
        <f>IFERROR(__xludf.DUMMYFUNCTION("""COMPUTED_VALUE"""),"CORE")</f>
        <v>CORE</v>
      </c>
      <c r="D386" s="121" t="str">
        <f>IFERROR(__xludf.DUMMYFUNCTION("""COMPUTED_VALUE"""),"22HS008")</f>
        <v>22HS008</v>
      </c>
      <c r="E386" s="131" t="str">
        <f>IFERROR(__xludf.DUMMYFUNCTION("""COMPUTED_VALUE"""),"ADVANCED ENGLISH AND TECHNICAL EXPRESSION ")</f>
        <v>ADVANCED ENGLISH AND TECHNICAL EXPRESSION </v>
      </c>
      <c r="F386" s="121" t="str">
        <f>IFERROR(__xludf.DUMMYFUNCTION("""COMPUTED_VALUE"""),"LAB")</f>
        <v>LAB</v>
      </c>
      <c r="G386" s="121">
        <f>IFERROR(__xludf.DUMMYFUNCTION("""COMPUTED_VALUE"""),0.0)</f>
        <v>0</v>
      </c>
      <c r="H386" s="121">
        <f>IFERROR(__xludf.DUMMYFUNCTION("""COMPUTED_VALUE"""),0.0)</f>
        <v>0</v>
      </c>
      <c r="I386" s="121">
        <f>IFERROR(__xludf.DUMMYFUNCTION("""COMPUTED_VALUE"""),2.0)</f>
        <v>2</v>
      </c>
      <c r="J386" s="121">
        <f>IFERROR(__xludf.DUMMYFUNCTION("""COMPUTED_VALUE"""),1.0)</f>
        <v>1</v>
      </c>
      <c r="K386" s="132" t="str">
        <f>IFERROR(__xludf.DUMMYFUNCTION("""COMPUTED_VALUE"""),"HU11011")</f>
        <v>HU11011</v>
      </c>
      <c r="L386" s="121" t="str">
        <f>IFERROR(__xludf.DUMMYFUNCTION("""COMPUTED_VALUE"""),"Dr.AJAI A")</f>
        <v>Dr.AJAI A</v>
      </c>
      <c r="M386" s="121" t="str">
        <f>IFERROR(__xludf.DUMMYFUNCTION("""COMPUTED_VALUE"""),"ajai@bitsathy.ac.in")</f>
        <v>ajai@bitsathy.ac.in</v>
      </c>
    </row>
    <row r="387" ht="49.5" customHeight="1">
      <c r="A387" s="121" t="str">
        <f>IFERROR(__xludf.DUMMYFUNCTION("""COMPUTED_VALUE"""),"CSE")</f>
        <v>CSE</v>
      </c>
      <c r="B387" s="121" t="str">
        <f>IFERROR(__xludf.DUMMYFUNCTION("""COMPUTED_VALUE"""),"S6")</f>
        <v>S6</v>
      </c>
      <c r="C387" s="121" t="str">
        <f>IFERROR(__xludf.DUMMYFUNCTION("""COMPUTED_VALUE"""),"CORE")</f>
        <v>CORE</v>
      </c>
      <c r="D387" s="121" t="str">
        <f>IFERROR(__xludf.DUMMYFUNCTION("""COMPUTED_VALUE"""),"22CS601")</f>
        <v>22CS601</v>
      </c>
      <c r="E387" s="131" t="str">
        <f>IFERROR(__xludf.DUMMYFUNCTION("""COMPUTED_VALUE"""),"CRYPTOGRAPHY AND NETWORK SECURITY")</f>
        <v>CRYPTOGRAPHY AND NETWORK SECURITY</v>
      </c>
      <c r="F387" s="121" t="str">
        <f>IFERROR(__xludf.DUMMYFUNCTION("""COMPUTED_VALUE"""),"THEORY")</f>
        <v>THEORY</v>
      </c>
      <c r="G387" s="121">
        <f>IFERROR(__xludf.DUMMYFUNCTION("""COMPUTED_VALUE"""),3.0)</f>
        <v>3</v>
      </c>
      <c r="H387" s="121">
        <f>IFERROR(__xludf.DUMMYFUNCTION("""COMPUTED_VALUE"""),0.0)</f>
        <v>0</v>
      </c>
      <c r="I387" s="121">
        <f>IFERROR(__xludf.DUMMYFUNCTION("""COMPUTED_VALUE"""),0.0)</f>
        <v>0</v>
      </c>
      <c r="J387" s="121">
        <f>IFERROR(__xludf.DUMMYFUNCTION("""COMPUTED_VALUE"""),3.0)</f>
        <v>3</v>
      </c>
      <c r="K387" s="132" t="str">
        <f>IFERROR(__xludf.DUMMYFUNCTION("""COMPUTED_VALUE"""),"CS11080")</f>
        <v>CS11080</v>
      </c>
      <c r="L387" s="121" t="str">
        <f>IFERROR(__xludf.DUMMYFUNCTION("""COMPUTED_VALUE"""),"Mrs.AMMU V")</f>
        <v>Mrs.AMMU V</v>
      </c>
      <c r="M387" s="121" t="str">
        <f>IFERROR(__xludf.DUMMYFUNCTION("""COMPUTED_VALUE"""),"ammu@bitsathy.ac.in")</f>
        <v>ammu@bitsathy.ac.in</v>
      </c>
    </row>
    <row r="388" ht="49.5" customHeight="1">
      <c r="A388" s="121" t="str">
        <f>IFERROR(__xludf.DUMMYFUNCTION("""COMPUTED_VALUE"""),"CSE")</f>
        <v>CSE</v>
      </c>
      <c r="B388" s="121" t="str">
        <f>IFERROR(__xludf.DUMMYFUNCTION("""COMPUTED_VALUE"""),"S6")</f>
        <v>S6</v>
      </c>
      <c r="C388" s="121" t="str">
        <f>IFERROR(__xludf.DUMMYFUNCTION("""COMPUTED_VALUE"""),"CORE")</f>
        <v>CORE</v>
      </c>
      <c r="D388" s="121" t="str">
        <f>IFERROR(__xludf.DUMMYFUNCTION("""COMPUTED_VALUE"""),"22CS601")</f>
        <v>22CS601</v>
      </c>
      <c r="E388" s="131" t="str">
        <f>IFERROR(__xludf.DUMMYFUNCTION("""COMPUTED_VALUE"""),"CRYPTOGRAPHY AND NETWORK SECURITY")</f>
        <v>CRYPTOGRAPHY AND NETWORK SECURITY</v>
      </c>
      <c r="F388" s="121" t="str">
        <f>IFERROR(__xludf.DUMMYFUNCTION("""COMPUTED_VALUE"""),"THEORY")</f>
        <v>THEORY</v>
      </c>
      <c r="G388" s="121">
        <f>IFERROR(__xludf.DUMMYFUNCTION("""COMPUTED_VALUE"""),3.0)</f>
        <v>3</v>
      </c>
      <c r="H388" s="121">
        <f>IFERROR(__xludf.DUMMYFUNCTION("""COMPUTED_VALUE"""),0.0)</f>
        <v>0</v>
      </c>
      <c r="I388" s="121">
        <f>IFERROR(__xludf.DUMMYFUNCTION("""COMPUTED_VALUE"""),0.0)</f>
        <v>0</v>
      </c>
      <c r="J388" s="121">
        <f>IFERROR(__xludf.DUMMYFUNCTION("""COMPUTED_VALUE"""),3.0)</f>
        <v>3</v>
      </c>
      <c r="K388" s="132" t="str">
        <f>IFERROR(__xludf.DUMMYFUNCTION("""COMPUTED_VALUE"""),"CS10843")</f>
        <v>CS10843</v>
      </c>
      <c r="L388" s="121" t="str">
        <f>IFERROR(__xludf.DUMMYFUNCTION("""COMPUTED_VALUE"""),"Mrs.NITHYA R")</f>
        <v>Mrs.NITHYA R</v>
      </c>
      <c r="M388" s="121" t="str">
        <f>IFERROR(__xludf.DUMMYFUNCTION("""COMPUTED_VALUE"""),"nithyars@bitsathy.ac.in")</f>
        <v>nithyars@bitsathy.ac.in</v>
      </c>
    </row>
    <row r="389" ht="49.5" customHeight="1">
      <c r="A389" s="121" t="str">
        <f>IFERROR(__xludf.DUMMYFUNCTION("""COMPUTED_VALUE"""),"CSE")</f>
        <v>CSE</v>
      </c>
      <c r="B389" s="121" t="str">
        <f>IFERROR(__xludf.DUMMYFUNCTION("""COMPUTED_VALUE"""),"S6")</f>
        <v>S6</v>
      </c>
      <c r="C389" s="121" t="str">
        <f>IFERROR(__xludf.DUMMYFUNCTION("""COMPUTED_VALUE"""),"CORE")</f>
        <v>CORE</v>
      </c>
      <c r="D389" s="121" t="str">
        <f>IFERROR(__xludf.DUMMYFUNCTION("""COMPUTED_VALUE"""),"22CS601")</f>
        <v>22CS601</v>
      </c>
      <c r="E389" s="131" t="str">
        <f>IFERROR(__xludf.DUMMYFUNCTION("""COMPUTED_VALUE"""),"CRYPTOGRAPHY AND NETWORK SECURITY")</f>
        <v>CRYPTOGRAPHY AND NETWORK SECURITY</v>
      </c>
      <c r="F389" s="121" t="str">
        <f>IFERROR(__xludf.DUMMYFUNCTION("""COMPUTED_VALUE"""),"THEORY")</f>
        <v>THEORY</v>
      </c>
      <c r="G389" s="121">
        <f>IFERROR(__xludf.DUMMYFUNCTION("""COMPUTED_VALUE"""),3.0)</f>
        <v>3</v>
      </c>
      <c r="H389" s="121">
        <f>IFERROR(__xludf.DUMMYFUNCTION("""COMPUTED_VALUE"""),0.0)</f>
        <v>0</v>
      </c>
      <c r="I389" s="121">
        <f>IFERROR(__xludf.DUMMYFUNCTION("""COMPUTED_VALUE"""),0.0)</f>
        <v>0</v>
      </c>
      <c r="J389" s="121">
        <f>IFERROR(__xludf.DUMMYFUNCTION("""COMPUTED_VALUE"""),3.0)</f>
        <v>3</v>
      </c>
      <c r="K389" s="132" t="str">
        <f>IFERROR(__xludf.DUMMYFUNCTION("""COMPUTED_VALUE"""),"CS11185")</f>
        <v>CS11185</v>
      </c>
      <c r="L389" s="121" t="str">
        <f>IFERROR(__xludf.DUMMYFUNCTION("""COMPUTED_VALUE"""),"Mr.ASWIN JAYA SURYA M J")</f>
        <v>Mr.ASWIN JAYA SURYA M J</v>
      </c>
      <c r="M389" s="121" t="str">
        <f>IFERROR(__xludf.DUMMYFUNCTION("""COMPUTED_VALUE"""),"aswinjayasuryamj@bitsathy.ac.in")</f>
        <v>aswinjayasuryamj@bitsathy.ac.in</v>
      </c>
    </row>
    <row r="390" ht="49.5" customHeight="1">
      <c r="A390" s="121" t="str">
        <f>IFERROR(__xludf.DUMMYFUNCTION("""COMPUTED_VALUE"""),"CSE")</f>
        <v>CSE</v>
      </c>
      <c r="B390" s="121" t="str">
        <f>IFERROR(__xludf.DUMMYFUNCTION("""COMPUTED_VALUE"""),"S6")</f>
        <v>S6</v>
      </c>
      <c r="C390" s="121" t="str">
        <f>IFERROR(__xludf.DUMMYFUNCTION("""COMPUTED_VALUE"""),"CORE")</f>
        <v>CORE</v>
      </c>
      <c r="D390" s="121" t="str">
        <f>IFERROR(__xludf.DUMMYFUNCTION("""COMPUTED_VALUE"""),"22CS601")</f>
        <v>22CS601</v>
      </c>
      <c r="E390" s="131" t="str">
        <f>IFERROR(__xludf.DUMMYFUNCTION("""COMPUTED_VALUE"""),"CRYPTOGRAPHY AND NETWORK SECURITY")</f>
        <v>CRYPTOGRAPHY AND NETWORK SECURITY</v>
      </c>
      <c r="F390" s="121" t="str">
        <f>IFERROR(__xludf.DUMMYFUNCTION("""COMPUTED_VALUE"""),"THEORY")</f>
        <v>THEORY</v>
      </c>
      <c r="G390" s="121">
        <f>IFERROR(__xludf.DUMMYFUNCTION("""COMPUTED_VALUE"""),3.0)</f>
        <v>3</v>
      </c>
      <c r="H390" s="121">
        <f>IFERROR(__xludf.DUMMYFUNCTION("""COMPUTED_VALUE"""),0.0)</f>
        <v>0</v>
      </c>
      <c r="I390" s="121">
        <f>IFERROR(__xludf.DUMMYFUNCTION("""COMPUTED_VALUE"""),0.0)</f>
        <v>0</v>
      </c>
      <c r="J390" s="121">
        <f>IFERROR(__xludf.DUMMYFUNCTION("""COMPUTED_VALUE"""),3.0)</f>
        <v>3</v>
      </c>
      <c r="K390" s="132" t="str">
        <f>IFERROR(__xludf.DUMMYFUNCTION("""COMPUTED_VALUE"""),"CS10268")</f>
        <v>CS10268</v>
      </c>
      <c r="L390" s="121" t="str">
        <f>IFERROR(__xludf.DUMMYFUNCTION("""COMPUTED_VALUE"""),"Mrs.GANAGAVALLI K")</f>
        <v>Mrs.GANAGAVALLI K</v>
      </c>
      <c r="M390" s="121" t="str">
        <f>IFERROR(__xludf.DUMMYFUNCTION("""COMPUTED_VALUE"""),"ganagavalli@bitsathy.ac.in")</f>
        <v>ganagavalli@bitsathy.ac.in</v>
      </c>
    </row>
    <row r="391" ht="49.5" customHeight="1">
      <c r="A391" s="121" t="str">
        <f>IFERROR(__xludf.DUMMYFUNCTION("""COMPUTED_VALUE"""),"CSE")</f>
        <v>CSE</v>
      </c>
      <c r="B391" s="121" t="str">
        <f>IFERROR(__xludf.DUMMYFUNCTION("""COMPUTED_VALUE"""),"S6")</f>
        <v>S6</v>
      </c>
      <c r="C391" s="121" t="str">
        <f>IFERROR(__xludf.DUMMYFUNCTION("""COMPUTED_VALUE"""),"CORE")</f>
        <v>CORE</v>
      </c>
      <c r="D391" s="121" t="str">
        <f>IFERROR(__xludf.DUMMYFUNCTION("""COMPUTED_VALUE"""),"22CS602")</f>
        <v>22CS602</v>
      </c>
      <c r="E391" s="131" t="str">
        <f>IFERROR(__xludf.DUMMYFUNCTION("""COMPUTED_VALUE"""),"PRINCIPLES OF COMPILER DESIGN")</f>
        <v>PRINCIPLES OF COMPILER DESIGN</v>
      </c>
      <c r="F391" s="121" t="str">
        <f>IFERROR(__xludf.DUMMYFUNCTION("""COMPUTED_VALUE"""),"THEORY")</f>
        <v>THEORY</v>
      </c>
      <c r="G391" s="121">
        <f>IFERROR(__xludf.DUMMYFUNCTION("""COMPUTED_VALUE"""),3.0)</f>
        <v>3</v>
      </c>
      <c r="H391" s="121">
        <f>IFERROR(__xludf.DUMMYFUNCTION("""COMPUTED_VALUE"""),1.0)</f>
        <v>1</v>
      </c>
      <c r="I391" s="121">
        <f>IFERROR(__xludf.DUMMYFUNCTION("""COMPUTED_VALUE"""),0.0)</f>
        <v>0</v>
      </c>
      <c r="J391" s="121">
        <f>IFERROR(__xludf.DUMMYFUNCTION("""COMPUTED_VALUE"""),4.0)</f>
        <v>4</v>
      </c>
      <c r="K391" s="132" t="str">
        <f>IFERROR(__xludf.DUMMYFUNCTION("""COMPUTED_VALUE"""),"CS10239")</f>
        <v>CS10239</v>
      </c>
      <c r="L391" s="121" t="str">
        <f>IFERROR(__xludf.DUMMYFUNCTION("""COMPUTED_VALUE"""),"Dr.KARTHIGA M")</f>
        <v>Dr.KARTHIGA M</v>
      </c>
      <c r="M391" s="121" t="str">
        <f>IFERROR(__xludf.DUMMYFUNCTION("""COMPUTED_VALUE"""),"karthigam@bitsathy.ac.in")</f>
        <v>karthigam@bitsathy.ac.in</v>
      </c>
    </row>
    <row r="392" ht="49.5" customHeight="1">
      <c r="A392" s="121" t="str">
        <f>IFERROR(__xludf.DUMMYFUNCTION("""COMPUTED_VALUE"""),"CSE")</f>
        <v>CSE</v>
      </c>
      <c r="B392" s="121" t="str">
        <f>IFERROR(__xludf.DUMMYFUNCTION("""COMPUTED_VALUE"""),"S6")</f>
        <v>S6</v>
      </c>
      <c r="C392" s="121" t="str">
        <f>IFERROR(__xludf.DUMMYFUNCTION("""COMPUTED_VALUE"""),"CORE")</f>
        <v>CORE</v>
      </c>
      <c r="D392" s="121" t="str">
        <f>IFERROR(__xludf.DUMMYFUNCTION("""COMPUTED_VALUE"""),"22CS602")</f>
        <v>22CS602</v>
      </c>
      <c r="E392" s="131" t="str">
        <f>IFERROR(__xludf.DUMMYFUNCTION("""COMPUTED_VALUE"""),"PRINCIPLES OF COMPILER DESIGN")</f>
        <v>PRINCIPLES OF COMPILER DESIGN</v>
      </c>
      <c r="F392" s="121" t="str">
        <f>IFERROR(__xludf.DUMMYFUNCTION("""COMPUTED_VALUE"""),"THEORY")</f>
        <v>THEORY</v>
      </c>
      <c r="G392" s="121">
        <f>IFERROR(__xludf.DUMMYFUNCTION("""COMPUTED_VALUE"""),3.0)</f>
        <v>3</v>
      </c>
      <c r="H392" s="121">
        <f>IFERROR(__xludf.DUMMYFUNCTION("""COMPUTED_VALUE"""),1.0)</f>
        <v>1</v>
      </c>
      <c r="I392" s="121">
        <f>IFERROR(__xludf.DUMMYFUNCTION("""COMPUTED_VALUE"""),0.0)</f>
        <v>0</v>
      </c>
      <c r="J392" s="121">
        <f>IFERROR(__xludf.DUMMYFUNCTION("""COMPUTED_VALUE"""),4.0)</f>
        <v>4</v>
      </c>
      <c r="K392" s="132" t="str">
        <f>IFERROR(__xludf.DUMMYFUNCTION("""COMPUTED_VALUE"""),"CS10787")</f>
        <v>CS10787</v>
      </c>
      <c r="L392" s="121" t="str">
        <f>IFERROR(__xludf.DUMMYFUNCTION("""COMPUTED_VALUE"""),"Dr.PARTHASARATHI P")</f>
        <v>Dr.PARTHASARATHI P</v>
      </c>
      <c r="M392" s="121" t="str">
        <f>IFERROR(__xludf.DUMMYFUNCTION("""COMPUTED_VALUE"""),"parthasarathip@bitsathy.ac.in")</f>
        <v>parthasarathip@bitsathy.ac.in</v>
      </c>
    </row>
    <row r="393" ht="49.5" customHeight="1">
      <c r="A393" s="121" t="str">
        <f>IFERROR(__xludf.DUMMYFUNCTION("""COMPUTED_VALUE"""),"CSE")</f>
        <v>CSE</v>
      </c>
      <c r="B393" s="121" t="str">
        <f>IFERROR(__xludf.DUMMYFUNCTION("""COMPUTED_VALUE"""),"S6")</f>
        <v>S6</v>
      </c>
      <c r="C393" s="121" t="str">
        <f>IFERROR(__xludf.DUMMYFUNCTION("""COMPUTED_VALUE"""),"CORE")</f>
        <v>CORE</v>
      </c>
      <c r="D393" s="121" t="str">
        <f>IFERROR(__xludf.DUMMYFUNCTION("""COMPUTED_VALUE"""),"22CS602")</f>
        <v>22CS602</v>
      </c>
      <c r="E393" s="131" t="str">
        <f>IFERROR(__xludf.DUMMYFUNCTION("""COMPUTED_VALUE"""),"PRINCIPLES OF COMPILER DESIGN")</f>
        <v>PRINCIPLES OF COMPILER DESIGN</v>
      </c>
      <c r="F393" s="121" t="str">
        <f>IFERROR(__xludf.DUMMYFUNCTION("""COMPUTED_VALUE"""),"THEORY")</f>
        <v>THEORY</v>
      </c>
      <c r="G393" s="121">
        <f>IFERROR(__xludf.DUMMYFUNCTION("""COMPUTED_VALUE"""),3.0)</f>
        <v>3</v>
      </c>
      <c r="H393" s="121">
        <f>IFERROR(__xludf.DUMMYFUNCTION("""COMPUTED_VALUE"""),1.0)</f>
        <v>1</v>
      </c>
      <c r="I393" s="121">
        <f>IFERROR(__xludf.DUMMYFUNCTION("""COMPUTED_VALUE"""),0.0)</f>
        <v>0</v>
      </c>
      <c r="J393" s="121">
        <f>IFERROR(__xludf.DUMMYFUNCTION("""COMPUTED_VALUE"""),4.0)</f>
        <v>4</v>
      </c>
      <c r="K393" s="132" t="str">
        <f>IFERROR(__xludf.DUMMYFUNCTION("""COMPUTED_VALUE"""),"CS1618")</f>
        <v>CS1618</v>
      </c>
      <c r="L393" s="121" t="str">
        <f>IFERROR(__xludf.DUMMYFUNCTION("""COMPUTED_VALUE"""),"Dr.PREMALATHA K")</f>
        <v>Dr.PREMALATHA K</v>
      </c>
      <c r="M393" s="121" t="str">
        <f>IFERROR(__xludf.DUMMYFUNCTION("""COMPUTED_VALUE"""),"premalathak@bitsathy.ac.in")</f>
        <v>premalathak@bitsathy.ac.in</v>
      </c>
    </row>
    <row r="394" ht="49.5" customHeight="1">
      <c r="A394" s="121" t="str">
        <f>IFERROR(__xludf.DUMMYFUNCTION("""COMPUTED_VALUE"""),"CSE")</f>
        <v>CSE</v>
      </c>
      <c r="B394" s="121" t="str">
        <f>IFERROR(__xludf.DUMMYFUNCTION("""COMPUTED_VALUE"""),"S6")</f>
        <v>S6</v>
      </c>
      <c r="C394" s="121" t="str">
        <f>IFERROR(__xludf.DUMMYFUNCTION("""COMPUTED_VALUE"""),"CORE")</f>
        <v>CORE</v>
      </c>
      <c r="D394" s="121" t="str">
        <f>IFERROR(__xludf.DUMMYFUNCTION("""COMPUTED_VALUE"""),"22CS602")</f>
        <v>22CS602</v>
      </c>
      <c r="E394" s="131" t="str">
        <f>IFERROR(__xludf.DUMMYFUNCTION("""COMPUTED_VALUE"""),"PRINCIPLES OF COMPILER DESIGN")</f>
        <v>PRINCIPLES OF COMPILER DESIGN</v>
      </c>
      <c r="F394" s="121" t="str">
        <f>IFERROR(__xludf.DUMMYFUNCTION("""COMPUTED_VALUE"""),"THEORY")</f>
        <v>THEORY</v>
      </c>
      <c r="G394" s="121">
        <f>IFERROR(__xludf.DUMMYFUNCTION("""COMPUTED_VALUE"""),3.0)</f>
        <v>3</v>
      </c>
      <c r="H394" s="121">
        <f>IFERROR(__xludf.DUMMYFUNCTION("""COMPUTED_VALUE"""),1.0)</f>
        <v>1</v>
      </c>
      <c r="I394" s="121">
        <f>IFERROR(__xludf.DUMMYFUNCTION("""COMPUTED_VALUE"""),0.0)</f>
        <v>0</v>
      </c>
      <c r="J394" s="121">
        <f>IFERROR(__xludf.DUMMYFUNCTION("""COMPUTED_VALUE"""),4.0)</f>
        <v>4</v>
      </c>
      <c r="K394" s="132" t="str">
        <f>IFERROR(__xludf.DUMMYFUNCTION("""COMPUTED_VALUE"""),"CS10776")</f>
        <v>CS10776</v>
      </c>
      <c r="L394" s="121" t="str">
        <f>IFERROR(__xludf.DUMMYFUNCTION("""COMPUTED_VALUE"""),"Mr.SUSEENDRAN S")</f>
        <v>Mr.SUSEENDRAN S</v>
      </c>
      <c r="M394" s="121" t="str">
        <f>IFERROR(__xludf.DUMMYFUNCTION("""COMPUTED_VALUE"""),"suseendrans@bitsathy.ac.in")</f>
        <v>suseendrans@bitsathy.ac.in</v>
      </c>
    </row>
    <row r="395" ht="49.5" customHeight="1">
      <c r="A395" s="121" t="str">
        <f>IFERROR(__xludf.DUMMYFUNCTION("""COMPUTED_VALUE"""),"CSE")</f>
        <v>CSE</v>
      </c>
      <c r="B395" s="121" t="str">
        <f>IFERROR(__xludf.DUMMYFUNCTION("""COMPUTED_VALUE"""),"S6")</f>
        <v>S6</v>
      </c>
      <c r="C395" s="121" t="str">
        <f>IFERROR(__xludf.DUMMYFUNCTION("""COMPUTED_VALUE"""),"CORE")</f>
        <v>CORE</v>
      </c>
      <c r="D395" s="121" t="str">
        <f>IFERROR(__xludf.DUMMYFUNCTION("""COMPUTED_VALUE"""),"22CS603")</f>
        <v>22CS603</v>
      </c>
      <c r="E395" s="131" t="str">
        <f>IFERROR(__xludf.DUMMYFUNCTION("""COMPUTED_VALUE"""),"CLOUD COMPUTING")</f>
        <v>CLOUD COMPUTING</v>
      </c>
      <c r="F395" s="121" t="str">
        <f>IFERROR(__xludf.DUMMYFUNCTION("""COMPUTED_VALUE"""),"THEORY WITH LAB")</f>
        <v>THEORY WITH LAB</v>
      </c>
      <c r="G395" s="121">
        <f>IFERROR(__xludf.DUMMYFUNCTION("""COMPUTED_VALUE"""),3.0)</f>
        <v>3</v>
      </c>
      <c r="H395" s="121">
        <f>IFERROR(__xludf.DUMMYFUNCTION("""COMPUTED_VALUE"""),0.0)</f>
        <v>0</v>
      </c>
      <c r="I395" s="121">
        <f>IFERROR(__xludf.DUMMYFUNCTION("""COMPUTED_VALUE"""),2.0)</f>
        <v>2</v>
      </c>
      <c r="J395" s="121">
        <f>IFERROR(__xludf.DUMMYFUNCTION("""COMPUTED_VALUE"""),4.0)</f>
        <v>4</v>
      </c>
      <c r="K395" s="132" t="str">
        <f>IFERROR(__xludf.DUMMYFUNCTION("""COMPUTED_VALUE"""),"CS10974")</f>
        <v>CS10974</v>
      </c>
      <c r="L395" s="121" t="str">
        <f>IFERROR(__xludf.DUMMYFUNCTION("""COMPUTED_VALUE"""),"Mr.STEEPHAN AMALRAJ J")</f>
        <v>Mr.STEEPHAN AMALRAJ J</v>
      </c>
      <c r="M395" s="121" t="str">
        <f>IFERROR(__xludf.DUMMYFUNCTION("""COMPUTED_VALUE"""),"steephanamalrajj@bitsathy.ac.in")</f>
        <v>steephanamalrajj@bitsathy.ac.in</v>
      </c>
    </row>
    <row r="396" ht="49.5" customHeight="1">
      <c r="A396" s="121" t="str">
        <f>IFERROR(__xludf.DUMMYFUNCTION("""COMPUTED_VALUE"""),"CSE")</f>
        <v>CSE</v>
      </c>
      <c r="B396" s="121" t="str">
        <f>IFERROR(__xludf.DUMMYFUNCTION("""COMPUTED_VALUE"""),"S6")</f>
        <v>S6</v>
      </c>
      <c r="C396" s="121" t="str">
        <f>IFERROR(__xludf.DUMMYFUNCTION("""COMPUTED_VALUE"""),"CORE")</f>
        <v>CORE</v>
      </c>
      <c r="D396" s="121" t="str">
        <f>IFERROR(__xludf.DUMMYFUNCTION("""COMPUTED_VALUE"""),"22CS603")</f>
        <v>22CS603</v>
      </c>
      <c r="E396" s="131" t="str">
        <f>IFERROR(__xludf.DUMMYFUNCTION("""COMPUTED_VALUE"""),"CLOUD COMPUTING")</f>
        <v>CLOUD COMPUTING</v>
      </c>
      <c r="F396" s="121" t="str">
        <f>IFERROR(__xludf.DUMMYFUNCTION("""COMPUTED_VALUE"""),"THEORY WITH LAB")</f>
        <v>THEORY WITH LAB</v>
      </c>
      <c r="G396" s="121">
        <f>IFERROR(__xludf.DUMMYFUNCTION("""COMPUTED_VALUE"""),3.0)</f>
        <v>3</v>
      </c>
      <c r="H396" s="121">
        <f>IFERROR(__xludf.DUMMYFUNCTION("""COMPUTED_VALUE"""),0.0)</f>
        <v>0</v>
      </c>
      <c r="I396" s="121">
        <f>IFERROR(__xludf.DUMMYFUNCTION("""COMPUTED_VALUE"""),2.0)</f>
        <v>2</v>
      </c>
      <c r="J396" s="121">
        <f>IFERROR(__xludf.DUMMYFUNCTION("""COMPUTED_VALUE"""),4.0)</f>
        <v>4</v>
      </c>
      <c r="K396" s="132" t="str">
        <f>IFERROR(__xludf.DUMMYFUNCTION("""COMPUTED_VALUE"""),"CS10820")</f>
        <v>CS10820</v>
      </c>
      <c r="L396" s="121" t="str">
        <f>IFERROR(__xludf.DUMMYFUNCTION("""COMPUTED_VALUE"""),"Dr.RAJESH KANNA P")</f>
        <v>Dr.RAJESH KANNA P</v>
      </c>
      <c r="M396" s="133" t="str">
        <f>IFERROR(__xludf.DUMMYFUNCTION("""COMPUTED_VALUE"""),"rajeshkannap@bitsathy.ac.in")</f>
        <v>rajeshkannap@bitsathy.ac.in</v>
      </c>
    </row>
    <row r="397" ht="49.5" customHeight="1">
      <c r="A397" s="121" t="str">
        <f>IFERROR(__xludf.DUMMYFUNCTION("""COMPUTED_VALUE"""),"CSE")</f>
        <v>CSE</v>
      </c>
      <c r="B397" s="121" t="str">
        <f>IFERROR(__xludf.DUMMYFUNCTION("""COMPUTED_VALUE"""),"S6")</f>
        <v>S6</v>
      </c>
      <c r="C397" s="121" t="str">
        <f>IFERROR(__xludf.DUMMYFUNCTION("""COMPUTED_VALUE"""),"CORE")</f>
        <v>CORE</v>
      </c>
      <c r="D397" s="121" t="str">
        <f>IFERROR(__xludf.DUMMYFUNCTION("""COMPUTED_VALUE"""),"22CS603")</f>
        <v>22CS603</v>
      </c>
      <c r="E397" s="131" t="str">
        <f>IFERROR(__xludf.DUMMYFUNCTION("""COMPUTED_VALUE"""),"CLOUD COMPUTING")</f>
        <v>CLOUD COMPUTING</v>
      </c>
      <c r="F397" s="121" t="str">
        <f>IFERROR(__xludf.DUMMYFUNCTION("""COMPUTED_VALUE"""),"THEORY WITH LAB")</f>
        <v>THEORY WITH LAB</v>
      </c>
      <c r="G397" s="121">
        <f>IFERROR(__xludf.DUMMYFUNCTION("""COMPUTED_VALUE"""),3.0)</f>
        <v>3</v>
      </c>
      <c r="H397" s="121">
        <f>IFERROR(__xludf.DUMMYFUNCTION("""COMPUTED_VALUE"""),0.0)</f>
        <v>0</v>
      </c>
      <c r="I397" s="121">
        <f>IFERROR(__xludf.DUMMYFUNCTION("""COMPUTED_VALUE"""),2.0)</f>
        <v>2</v>
      </c>
      <c r="J397" s="121">
        <f>IFERROR(__xludf.DUMMYFUNCTION("""COMPUTED_VALUE"""),4.0)</f>
        <v>4</v>
      </c>
      <c r="K397" s="132" t="str">
        <f>IFERROR(__xludf.DUMMYFUNCTION("""COMPUTED_VALUE"""),"CS10538")</f>
        <v>CS10538</v>
      </c>
      <c r="L397" s="121" t="str">
        <f>IFERROR(__xludf.DUMMYFUNCTION("""COMPUTED_VALUE"""),"Dr.PRAVEEN V")</f>
        <v>Dr.PRAVEEN V</v>
      </c>
      <c r="M397" s="121" t="str">
        <f>IFERROR(__xludf.DUMMYFUNCTION("""COMPUTED_VALUE"""),"praveen@bitsathy.ac.in")</f>
        <v>praveen@bitsathy.ac.in</v>
      </c>
    </row>
    <row r="398" ht="49.5" customHeight="1">
      <c r="A398" s="121" t="str">
        <f>IFERROR(__xludf.DUMMYFUNCTION("""COMPUTED_VALUE"""),"CSE")</f>
        <v>CSE</v>
      </c>
      <c r="B398" s="121" t="str">
        <f>IFERROR(__xludf.DUMMYFUNCTION("""COMPUTED_VALUE"""),"S6")</f>
        <v>S6</v>
      </c>
      <c r="C398" s="121" t="str">
        <f>IFERROR(__xludf.DUMMYFUNCTION("""COMPUTED_VALUE"""),"CORE")</f>
        <v>CORE</v>
      </c>
      <c r="D398" s="121" t="str">
        <f>IFERROR(__xludf.DUMMYFUNCTION("""COMPUTED_VALUE"""),"22CS603")</f>
        <v>22CS603</v>
      </c>
      <c r="E398" s="131" t="str">
        <f>IFERROR(__xludf.DUMMYFUNCTION("""COMPUTED_VALUE"""),"CLOUD COMPUTING")</f>
        <v>CLOUD COMPUTING</v>
      </c>
      <c r="F398" s="121" t="str">
        <f>IFERROR(__xludf.DUMMYFUNCTION("""COMPUTED_VALUE"""),"THEORY WITH LAB")</f>
        <v>THEORY WITH LAB</v>
      </c>
      <c r="G398" s="121">
        <f>IFERROR(__xludf.DUMMYFUNCTION("""COMPUTED_VALUE"""),3.0)</f>
        <v>3</v>
      </c>
      <c r="H398" s="121">
        <f>IFERROR(__xludf.DUMMYFUNCTION("""COMPUTED_VALUE"""),0.0)</f>
        <v>0</v>
      </c>
      <c r="I398" s="121">
        <f>IFERROR(__xludf.DUMMYFUNCTION("""COMPUTED_VALUE"""),2.0)</f>
        <v>2</v>
      </c>
      <c r="J398" s="121">
        <f>IFERROR(__xludf.DUMMYFUNCTION("""COMPUTED_VALUE"""),4.0)</f>
        <v>4</v>
      </c>
      <c r="K398" s="132" t="str">
        <f>IFERROR(__xludf.DUMMYFUNCTION("""COMPUTED_VALUE"""),"CS10025")</f>
        <v>CS10025</v>
      </c>
      <c r="L398" s="121" t="str">
        <f>IFERROR(__xludf.DUMMYFUNCTION("""COMPUTED_VALUE"""),"Mr.DINESH P S")</f>
        <v>Mr.DINESH P S</v>
      </c>
      <c r="M398" s="121" t="str">
        <f>IFERROR(__xludf.DUMMYFUNCTION("""COMPUTED_VALUE"""),"dineshps@bitsathy.ac.in")</f>
        <v>dineshps@bitsathy.ac.in</v>
      </c>
    </row>
    <row r="399" ht="49.5" customHeight="1">
      <c r="A399" s="121" t="str">
        <f>IFERROR(__xludf.DUMMYFUNCTION("""COMPUTED_VALUE"""),"CSE")</f>
        <v>CSE</v>
      </c>
      <c r="B399" s="121" t="str">
        <f>IFERROR(__xludf.DUMMYFUNCTION("""COMPUTED_VALUE"""),"S6")</f>
        <v>S6</v>
      </c>
      <c r="C399" s="121" t="str">
        <f>IFERROR(__xludf.DUMMYFUNCTION("""COMPUTED_VALUE"""),"ELECTIVE 3")</f>
        <v>ELECTIVE 3</v>
      </c>
      <c r="D399" s="121" t="str">
        <f>IFERROR(__xludf.DUMMYFUNCTION("""COMPUTED_VALUE"""),"22CS011")</f>
        <v>22CS011</v>
      </c>
      <c r="E399" s="131" t="str">
        <f>IFERROR(__xludf.DUMMYFUNCTION("""COMPUTED_VALUE"""),"SOFTWARE TESTING AND AUTOMATION")</f>
        <v>SOFTWARE TESTING AND AUTOMATION</v>
      </c>
      <c r="F399" s="121" t="str">
        <f>IFERROR(__xludf.DUMMYFUNCTION("""COMPUTED_VALUE"""),"THEORY")</f>
        <v>THEORY</v>
      </c>
      <c r="G399" s="121">
        <f>IFERROR(__xludf.DUMMYFUNCTION("""COMPUTED_VALUE"""),3.0)</f>
        <v>3</v>
      </c>
      <c r="H399" s="121">
        <f>IFERROR(__xludf.DUMMYFUNCTION("""COMPUTED_VALUE"""),0.0)</f>
        <v>0</v>
      </c>
      <c r="I399" s="121">
        <f>IFERROR(__xludf.DUMMYFUNCTION("""COMPUTED_VALUE"""),0.0)</f>
        <v>0</v>
      </c>
      <c r="J399" s="121">
        <f>IFERROR(__xludf.DUMMYFUNCTION("""COMPUTED_VALUE"""),3.0)</f>
        <v>3</v>
      </c>
      <c r="K399" s="132" t="str">
        <f>IFERROR(__xludf.DUMMYFUNCTION("""COMPUTED_VALUE"""),"CS10906")</f>
        <v>CS10906</v>
      </c>
      <c r="L399" s="121" t="str">
        <f>IFERROR(__xludf.DUMMYFUNCTION("""COMPUTED_VALUE"""),"Dr.SARANYA K")</f>
        <v>Dr.SARANYA K</v>
      </c>
      <c r="M399" s="121" t="str">
        <f>IFERROR(__xludf.DUMMYFUNCTION("""COMPUTED_VALUE"""),"saranyaks@bitsathy.ac.in")</f>
        <v>saranyaks@bitsathy.ac.in</v>
      </c>
    </row>
    <row r="400" ht="49.5" customHeight="1">
      <c r="A400" s="121" t="str">
        <f>IFERROR(__xludf.DUMMYFUNCTION("""COMPUTED_VALUE"""),"CSE")</f>
        <v>CSE</v>
      </c>
      <c r="B400" s="121" t="str">
        <f>IFERROR(__xludf.DUMMYFUNCTION("""COMPUTED_VALUE"""),"S6")</f>
        <v>S6</v>
      </c>
      <c r="C400" s="121" t="str">
        <f>IFERROR(__xludf.DUMMYFUNCTION("""COMPUTED_VALUE"""),"ELECTIVE 3")</f>
        <v>ELECTIVE 3</v>
      </c>
      <c r="D400" s="121" t="str">
        <f>IFERROR(__xludf.DUMMYFUNCTION("""COMPUTED_VALUE"""),"22CS011")</f>
        <v>22CS011</v>
      </c>
      <c r="E400" s="131" t="str">
        <f>IFERROR(__xludf.DUMMYFUNCTION("""COMPUTED_VALUE"""),"SOFTWARE TESTING AND AUTOMATION")</f>
        <v>SOFTWARE TESTING AND AUTOMATION</v>
      </c>
      <c r="F400" s="121" t="str">
        <f>IFERROR(__xludf.DUMMYFUNCTION("""COMPUTED_VALUE"""),"THEORY")</f>
        <v>THEORY</v>
      </c>
      <c r="G400" s="121">
        <f>IFERROR(__xludf.DUMMYFUNCTION("""COMPUTED_VALUE"""),3.0)</f>
        <v>3</v>
      </c>
      <c r="H400" s="121">
        <f>IFERROR(__xludf.DUMMYFUNCTION("""COMPUTED_VALUE"""),0.0)</f>
        <v>0</v>
      </c>
      <c r="I400" s="121">
        <f>IFERROR(__xludf.DUMMYFUNCTION("""COMPUTED_VALUE"""),0.0)</f>
        <v>0</v>
      </c>
      <c r="J400" s="121">
        <f>IFERROR(__xludf.DUMMYFUNCTION("""COMPUTED_VALUE"""),3.0)</f>
        <v>3</v>
      </c>
      <c r="K400" s="132" t="str">
        <f>IFERROR(__xludf.DUMMYFUNCTION("""COMPUTED_VALUE"""),"CS11157")</f>
        <v>CS11157</v>
      </c>
      <c r="L400" s="121" t="str">
        <f>IFERROR(__xludf.DUMMYFUNCTION("""COMPUTED_VALUE"""),"Ms.GAYATHIRI DEVI S")</f>
        <v>Ms.GAYATHIRI DEVI S</v>
      </c>
      <c r="M400" s="121" t="str">
        <f>IFERROR(__xludf.DUMMYFUNCTION("""COMPUTED_VALUE"""),"gayathiridevis@bitsathy.ac.in")</f>
        <v>gayathiridevis@bitsathy.ac.in</v>
      </c>
    </row>
    <row r="401" ht="49.5" customHeight="1">
      <c r="A401" s="121" t="str">
        <f>IFERROR(__xludf.DUMMYFUNCTION("""COMPUTED_VALUE"""),"CSE")</f>
        <v>CSE</v>
      </c>
      <c r="B401" s="121" t="str">
        <f>IFERROR(__xludf.DUMMYFUNCTION("""COMPUTED_VALUE"""),"S6")</f>
        <v>S6</v>
      </c>
      <c r="C401" s="121" t="str">
        <f>IFERROR(__xludf.DUMMYFUNCTION("""COMPUTED_VALUE"""),"ELECTIVE 3")</f>
        <v>ELECTIVE 3</v>
      </c>
      <c r="D401" s="121" t="str">
        <f>IFERROR(__xludf.DUMMYFUNCTION("""COMPUTED_VALUE"""),"22CS035")</f>
        <v>22CS035</v>
      </c>
      <c r="E401" s="131" t="str">
        <f>IFERROR(__xludf.DUMMYFUNCTION("""COMPUTED_VALUE"""),"SOFTWARE QUALITY ASSURANCE")</f>
        <v>SOFTWARE QUALITY ASSURANCE</v>
      </c>
      <c r="F401" s="121" t="str">
        <f>IFERROR(__xludf.DUMMYFUNCTION("""COMPUTED_VALUE"""),"THEORY")</f>
        <v>THEORY</v>
      </c>
      <c r="G401" s="121">
        <f>IFERROR(__xludf.DUMMYFUNCTION("""COMPUTED_VALUE"""),3.0)</f>
        <v>3</v>
      </c>
      <c r="H401" s="121">
        <f>IFERROR(__xludf.DUMMYFUNCTION("""COMPUTED_VALUE"""),0.0)</f>
        <v>0</v>
      </c>
      <c r="I401" s="121">
        <f>IFERROR(__xludf.DUMMYFUNCTION("""COMPUTED_VALUE"""),0.0)</f>
        <v>0</v>
      </c>
      <c r="J401" s="121">
        <f>IFERROR(__xludf.DUMMYFUNCTION("""COMPUTED_VALUE"""),3.0)</f>
        <v>3</v>
      </c>
      <c r="K401" s="132" t="str">
        <f>IFERROR(__xludf.DUMMYFUNCTION("""COMPUTED_VALUE"""),"CS10876")</f>
        <v>CS10876</v>
      </c>
      <c r="L401" s="121" t="str">
        <f>IFERROR(__xludf.DUMMYFUNCTION("""COMPUTED_VALUE"""),"Mr.SATHISHKANNAN R")</f>
        <v>Mr.SATHISHKANNAN R</v>
      </c>
      <c r="M401" s="121" t="str">
        <f>IFERROR(__xludf.DUMMYFUNCTION("""COMPUTED_VALUE"""),"sathishkannanr@bitsathy.ac.in")</f>
        <v>sathishkannanr@bitsathy.ac.in</v>
      </c>
    </row>
    <row r="402" ht="49.5" customHeight="1">
      <c r="A402" s="121" t="str">
        <f>IFERROR(__xludf.DUMMYFUNCTION("""COMPUTED_VALUE"""),"CSE")</f>
        <v>CSE</v>
      </c>
      <c r="B402" s="121" t="str">
        <f>IFERROR(__xludf.DUMMYFUNCTION("""COMPUTED_VALUE"""),"S6")</f>
        <v>S6</v>
      </c>
      <c r="C402" s="121" t="str">
        <f>IFERROR(__xludf.DUMMYFUNCTION("""COMPUTED_VALUE"""),"ELECTIVE 3")</f>
        <v>ELECTIVE 3</v>
      </c>
      <c r="D402" s="121" t="str">
        <f>IFERROR(__xludf.DUMMYFUNCTION("""COMPUTED_VALUE"""),"22CS035")</f>
        <v>22CS035</v>
      </c>
      <c r="E402" s="131" t="str">
        <f>IFERROR(__xludf.DUMMYFUNCTION("""COMPUTED_VALUE"""),"SOFTWARE QUALITY ASSURANCE")</f>
        <v>SOFTWARE QUALITY ASSURANCE</v>
      </c>
      <c r="F402" s="121" t="str">
        <f>IFERROR(__xludf.DUMMYFUNCTION("""COMPUTED_VALUE"""),"THEORY")</f>
        <v>THEORY</v>
      </c>
      <c r="G402" s="121">
        <f>IFERROR(__xludf.DUMMYFUNCTION("""COMPUTED_VALUE"""),3.0)</f>
        <v>3</v>
      </c>
      <c r="H402" s="121">
        <f>IFERROR(__xludf.DUMMYFUNCTION("""COMPUTED_VALUE"""),0.0)</f>
        <v>0</v>
      </c>
      <c r="I402" s="121">
        <f>IFERROR(__xludf.DUMMYFUNCTION("""COMPUTED_VALUE"""),0.0)</f>
        <v>0</v>
      </c>
      <c r="J402" s="121">
        <f>IFERROR(__xludf.DUMMYFUNCTION("""COMPUTED_VALUE"""),3.0)</f>
        <v>3</v>
      </c>
      <c r="K402" s="132" t="str">
        <f>IFERROR(__xludf.DUMMYFUNCTION("""COMPUTED_VALUE"""),"CS10963")</f>
        <v>CS10963</v>
      </c>
      <c r="L402" s="121" t="str">
        <f>IFERROR(__xludf.DUMMYFUNCTION("""COMPUTED_VALUE"""),"Dr.RAJESHKUMAR G")</f>
        <v>Dr.RAJESHKUMAR G</v>
      </c>
      <c r="M402" s="121" t="str">
        <f>IFERROR(__xludf.DUMMYFUNCTION("""COMPUTED_VALUE"""),"rajeshkumarg@bitsathy.ac.in")</f>
        <v>rajeshkumarg@bitsathy.ac.in</v>
      </c>
    </row>
    <row r="403" ht="49.5" customHeight="1">
      <c r="A403" s="121" t="str">
        <f>IFERROR(__xludf.DUMMYFUNCTION("""COMPUTED_VALUE"""),"CSE")</f>
        <v>CSE</v>
      </c>
      <c r="B403" s="121" t="str">
        <f>IFERROR(__xludf.DUMMYFUNCTION("""COMPUTED_VALUE"""),"S6")</f>
        <v>S6</v>
      </c>
      <c r="C403" s="121" t="str">
        <f>IFERROR(__xludf.DUMMYFUNCTION("""COMPUTED_VALUE"""),"ELECTIVE 4")</f>
        <v>ELECTIVE 4</v>
      </c>
      <c r="D403" s="121" t="str">
        <f>IFERROR(__xludf.DUMMYFUNCTION("""COMPUTED_VALUE"""),"22CS031")</f>
        <v>22CS031</v>
      </c>
      <c r="E403" s="131" t="str">
        <f>IFERROR(__xludf.DUMMYFUNCTION("""COMPUTED_VALUE"""),"SOFT COMPUTING")</f>
        <v>SOFT COMPUTING</v>
      </c>
      <c r="F403" s="121" t="str">
        <f>IFERROR(__xludf.DUMMYFUNCTION("""COMPUTED_VALUE"""),"THEORY")</f>
        <v>THEORY</v>
      </c>
      <c r="G403" s="121">
        <f>IFERROR(__xludf.DUMMYFUNCTION("""COMPUTED_VALUE"""),3.0)</f>
        <v>3</v>
      </c>
      <c r="H403" s="121">
        <f>IFERROR(__xludf.DUMMYFUNCTION("""COMPUTED_VALUE"""),0.0)</f>
        <v>0</v>
      </c>
      <c r="I403" s="121">
        <f>IFERROR(__xludf.DUMMYFUNCTION("""COMPUTED_VALUE"""),0.0)</f>
        <v>0</v>
      </c>
      <c r="J403" s="121">
        <f>IFERROR(__xludf.DUMMYFUNCTION("""COMPUTED_VALUE"""),3.0)</f>
        <v>3</v>
      </c>
      <c r="K403" s="132" t="str">
        <f>IFERROR(__xludf.DUMMYFUNCTION("""COMPUTED_VALUE"""),"CS10560")</f>
        <v>CS10560</v>
      </c>
      <c r="L403" s="121" t="str">
        <f>IFERROR(__xludf.DUMMYFUNCTION("""COMPUTED_VALUE"""),"Dr.SWATHYPRIYADHARSINI P")</f>
        <v>Dr.SWATHYPRIYADHARSINI P</v>
      </c>
      <c r="M403" s="121" t="str">
        <f>IFERROR(__xludf.DUMMYFUNCTION("""COMPUTED_VALUE"""),"swathypriyadharsini@bitsathy.ac.in")</f>
        <v>swathypriyadharsini@bitsathy.ac.in</v>
      </c>
    </row>
    <row r="404" ht="49.5" customHeight="1">
      <c r="A404" s="121" t="str">
        <f>IFERROR(__xludf.DUMMYFUNCTION("""COMPUTED_VALUE"""),"CSE")</f>
        <v>CSE</v>
      </c>
      <c r="B404" s="121" t="str">
        <f>IFERROR(__xludf.DUMMYFUNCTION("""COMPUTED_VALUE"""),"S6")</f>
        <v>S6</v>
      </c>
      <c r="C404" s="121" t="str">
        <f>IFERROR(__xludf.DUMMYFUNCTION("""COMPUTED_VALUE"""),"ELECTIVE 4")</f>
        <v>ELECTIVE 4</v>
      </c>
      <c r="D404" s="121" t="str">
        <f>IFERROR(__xludf.DUMMYFUNCTION("""COMPUTED_VALUE"""),"22CS031")</f>
        <v>22CS031</v>
      </c>
      <c r="E404" s="131" t="str">
        <f>IFERROR(__xludf.DUMMYFUNCTION("""COMPUTED_VALUE"""),"SOFT COMPUTING")</f>
        <v>SOFT COMPUTING</v>
      </c>
      <c r="F404" s="121" t="str">
        <f>IFERROR(__xludf.DUMMYFUNCTION("""COMPUTED_VALUE"""),"THEORY")</f>
        <v>THEORY</v>
      </c>
      <c r="G404" s="121">
        <f>IFERROR(__xludf.DUMMYFUNCTION("""COMPUTED_VALUE"""),3.0)</f>
        <v>3</v>
      </c>
      <c r="H404" s="121">
        <f>IFERROR(__xludf.DUMMYFUNCTION("""COMPUTED_VALUE"""),0.0)</f>
        <v>0</v>
      </c>
      <c r="I404" s="121">
        <f>IFERROR(__xludf.DUMMYFUNCTION("""COMPUTED_VALUE"""),0.0)</f>
        <v>0</v>
      </c>
      <c r="J404" s="121">
        <f>IFERROR(__xludf.DUMMYFUNCTION("""COMPUTED_VALUE"""),3.0)</f>
        <v>3</v>
      </c>
      <c r="K404" s="132" t="str">
        <f>IFERROR(__xludf.DUMMYFUNCTION("""COMPUTED_VALUE"""),"CS11088")</f>
        <v>CS11088</v>
      </c>
      <c r="L404" s="121" t="str">
        <f>IFERROR(__xludf.DUMMYFUNCTION("""COMPUTED_VALUE"""),"Ms.SATHIYA B")</f>
        <v>Ms.SATHIYA B</v>
      </c>
      <c r="M404" s="121" t="str">
        <f>IFERROR(__xludf.DUMMYFUNCTION("""COMPUTED_VALUE"""),"sathiya@bitsathy.ac.in")</f>
        <v>sathiya@bitsathy.ac.in</v>
      </c>
    </row>
    <row r="405" ht="49.5" customHeight="1">
      <c r="A405" s="121" t="str">
        <f>IFERROR(__xludf.DUMMYFUNCTION("""COMPUTED_VALUE"""),"CSE")</f>
        <v>CSE</v>
      </c>
      <c r="B405" s="121" t="str">
        <f>IFERROR(__xludf.DUMMYFUNCTION("""COMPUTED_VALUE"""),"S6")</f>
        <v>S6</v>
      </c>
      <c r="C405" s="121" t="str">
        <f>IFERROR(__xludf.DUMMYFUNCTION("""COMPUTED_VALUE"""),"ELECTIVE 4")</f>
        <v>ELECTIVE 4</v>
      </c>
      <c r="D405" s="121" t="str">
        <f>IFERROR(__xludf.DUMMYFUNCTION("""COMPUTED_VALUE"""),"22CS002")</f>
        <v>22CS002</v>
      </c>
      <c r="E405" s="131" t="str">
        <f>IFERROR(__xludf.DUMMYFUNCTION("""COMPUTED_VALUE"""),"RECOMMENDER SYSTEMS")</f>
        <v>RECOMMENDER SYSTEMS</v>
      </c>
      <c r="F405" s="121" t="str">
        <f>IFERROR(__xludf.DUMMYFUNCTION("""COMPUTED_VALUE"""),"THEORY")</f>
        <v>THEORY</v>
      </c>
      <c r="G405" s="121">
        <f>IFERROR(__xludf.DUMMYFUNCTION("""COMPUTED_VALUE"""),3.0)</f>
        <v>3</v>
      </c>
      <c r="H405" s="121">
        <f>IFERROR(__xludf.DUMMYFUNCTION("""COMPUTED_VALUE"""),0.0)</f>
        <v>0</v>
      </c>
      <c r="I405" s="121">
        <f>IFERROR(__xludf.DUMMYFUNCTION("""COMPUTED_VALUE"""),0.0)</f>
        <v>0</v>
      </c>
      <c r="J405" s="121">
        <f>IFERROR(__xludf.DUMMYFUNCTION("""COMPUTED_VALUE"""),3.0)</f>
        <v>3</v>
      </c>
      <c r="K405" s="132" t="str">
        <f>IFERROR(__xludf.DUMMYFUNCTION("""COMPUTED_VALUE"""),"CS11075")</f>
        <v>CS11075</v>
      </c>
      <c r="L405" s="121" t="str">
        <f>IFERROR(__xludf.DUMMYFUNCTION("""COMPUTED_VALUE"""),"Mrs.CHITRADEVI T N")</f>
        <v>Mrs.CHITRADEVI T N</v>
      </c>
      <c r="M405" s="121" t="str">
        <f>IFERROR(__xludf.DUMMYFUNCTION("""COMPUTED_VALUE"""),"chitradevi@bitsathy.ac.in")</f>
        <v>chitradevi@bitsathy.ac.in</v>
      </c>
    </row>
    <row r="406" ht="49.5" customHeight="1">
      <c r="A406" s="121" t="str">
        <f>IFERROR(__xludf.DUMMYFUNCTION("""COMPUTED_VALUE"""),"CSE")</f>
        <v>CSE</v>
      </c>
      <c r="B406" s="121" t="str">
        <f>IFERROR(__xludf.DUMMYFUNCTION("""COMPUTED_VALUE"""),"S6")</f>
        <v>S6</v>
      </c>
      <c r="C406" s="121" t="str">
        <f>IFERROR(__xludf.DUMMYFUNCTION("""COMPUTED_VALUE"""),"ELECTIVE 4")</f>
        <v>ELECTIVE 4</v>
      </c>
      <c r="D406" s="121" t="str">
        <f>IFERROR(__xludf.DUMMYFUNCTION("""COMPUTED_VALUE"""),"22CS002")</f>
        <v>22CS002</v>
      </c>
      <c r="E406" s="131" t="str">
        <f>IFERROR(__xludf.DUMMYFUNCTION("""COMPUTED_VALUE"""),"RECOMMENDER SYSTEMS")</f>
        <v>RECOMMENDER SYSTEMS</v>
      </c>
      <c r="F406" s="121" t="str">
        <f>IFERROR(__xludf.DUMMYFUNCTION("""COMPUTED_VALUE"""),"THEORY")</f>
        <v>THEORY</v>
      </c>
      <c r="G406" s="121">
        <f>IFERROR(__xludf.DUMMYFUNCTION("""COMPUTED_VALUE"""),3.0)</f>
        <v>3</v>
      </c>
      <c r="H406" s="121">
        <f>IFERROR(__xludf.DUMMYFUNCTION("""COMPUTED_VALUE"""),0.0)</f>
        <v>0</v>
      </c>
      <c r="I406" s="121">
        <f>IFERROR(__xludf.DUMMYFUNCTION("""COMPUTED_VALUE"""),0.0)</f>
        <v>0</v>
      </c>
      <c r="J406" s="121">
        <f>IFERROR(__xludf.DUMMYFUNCTION("""COMPUTED_VALUE"""),3.0)</f>
        <v>3</v>
      </c>
      <c r="K406" s="132" t="str">
        <f>IFERROR(__xludf.DUMMYFUNCTION("""COMPUTED_VALUE"""),"CS11162")</f>
        <v>CS11162</v>
      </c>
      <c r="L406" s="121" t="str">
        <f>IFERROR(__xludf.DUMMYFUNCTION("""COMPUTED_VALUE"""),"Ms.THANGATAMILSELVI S")</f>
        <v>Ms.THANGATAMILSELVI S</v>
      </c>
      <c r="M406" s="121" t="str">
        <f>IFERROR(__xludf.DUMMYFUNCTION("""COMPUTED_VALUE"""),"thangatamilselvis@bitsathy.ac.in")</f>
        <v>thangatamilselvis@bitsathy.ac.in</v>
      </c>
    </row>
    <row r="407" ht="49.5" customHeight="1">
      <c r="A407" s="121" t="str">
        <f>IFERROR(__xludf.DUMMYFUNCTION("""COMPUTED_VALUE"""),"CSE")</f>
        <v>CSE</v>
      </c>
      <c r="B407" s="121" t="str">
        <f>IFERROR(__xludf.DUMMYFUNCTION("""COMPUTED_VALUE"""),"S6")</f>
        <v>S6</v>
      </c>
      <c r="C407" s="121" t="str">
        <f>IFERROR(__xludf.DUMMYFUNCTION("""COMPUTED_VALUE"""),"ELECTIVE 5")</f>
        <v>ELECTIVE 5</v>
      </c>
      <c r="D407" s="121" t="str">
        <f>IFERROR(__xludf.DUMMYFUNCTION("""COMPUTED_VALUE"""),"22CS029")</f>
        <v>22CS029</v>
      </c>
      <c r="E407" s="131" t="str">
        <f>IFERROR(__xludf.DUMMYFUNCTION("""COMPUTED_VALUE"""),"DIGITAL MARKETING")</f>
        <v>DIGITAL MARKETING</v>
      </c>
      <c r="F407" s="121" t="str">
        <f>IFERROR(__xludf.DUMMYFUNCTION("""COMPUTED_VALUE"""),"THEORY")</f>
        <v>THEORY</v>
      </c>
      <c r="G407" s="121">
        <f>IFERROR(__xludf.DUMMYFUNCTION("""COMPUTED_VALUE"""),3.0)</f>
        <v>3</v>
      </c>
      <c r="H407" s="121">
        <f>IFERROR(__xludf.DUMMYFUNCTION("""COMPUTED_VALUE"""),0.0)</f>
        <v>0</v>
      </c>
      <c r="I407" s="121">
        <f>IFERROR(__xludf.DUMMYFUNCTION("""COMPUTED_VALUE"""),0.0)</f>
        <v>0</v>
      </c>
      <c r="J407" s="121">
        <f>IFERROR(__xludf.DUMMYFUNCTION("""COMPUTED_VALUE"""),3.0)</f>
        <v>3</v>
      </c>
      <c r="K407" s="132" t="str">
        <f>IFERROR(__xludf.DUMMYFUNCTION("""COMPUTED_VALUE"""),"CS11027")</f>
        <v>CS11027</v>
      </c>
      <c r="L407" s="121" t="str">
        <f>IFERROR(__xludf.DUMMYFUNCTION("""COMPUTED_VALUE"""),"Mr.SATHYAMOORTHY J")</f>
        <v>Mr.SATHYAMOORTHY J</v>
      </c>
      <c r="M407" s="133" t="str">
        <f>IFERROR(__xludf.DUMMYFUNCTION("""COMPUTED_VALUE"""),"sathyamoorthyj@bitsathy.ac.in")</f>
        <v>sathyamoorthyj@bitsathy.ac.in</v>
      </c>
    </row>
    <row r="408" ht="49.5" customHeight="1">
      <c r="A408" s="121" t="str">
        <f>IFERROR(__xludf.DUMMYFUNCTION("""COMPUTED_VALUE"""),"CSE")</f>
        <v>CSE</v>
      </c>
      <c r="B408" s="121" t="str">
        <f>IFERROR(__xludf.DUMMYFUNCTION("""COMPUTED_VALUE"""),"S6")</f>
        <v>S6</v>
      </c>
      <c r="C408" s="121" t="str">
        <f>IFERROR(__xludf.DUMMYFUNCTION("""COMPUTED_VALUE"""),"ELECTIVE 5")</f>
        <v>ELECTIVE 5</v>
      </c>
      <c r="D408" s="121" t="str">
        <f>IFERROR(__xludf.DUMMYFUNCTION("""COMPUTED_VALUE"""),"22CS029")</f>
        <v>22CS029</v>
      </c>
      <c r="E408" s="131" t="str">
        <f>IFERROR(__xludf.DUMMYFUNCTION("""COMPUTED_VALUE"""),"DIGITAL MARKETING")</f>
        <v>DIGITAL MARKETING</v>
      </c>
      <c r="F408" s="121" t="str">
        <f>IFERROR(__xludf.DUMMYFUNCTION("""COMPUTED_VALUE"""),"THEORY")</f>
        <v>THEORY</v>
      </c>
      <c r="G408" s="121">
        <f>IFERROR(__xludf.DUMMYFUNCTION("""COMPUTED_VALUE"""),3.0)</f>
        <v>3</v>
      </c>
      <c r="H408" s="121">
        <f>IFERROR(__xludf.DUMMYFUNCTION("""COMPUTED_VALUE"""),0.0)</f>
        <v>0</v>
      </c>
      <c r="I408" s="121">
        <f>IFERROR(__xludf.DUMMYFUNCTION("""COMPUTED_VALUE"""),0.0)</f>
        <v>0</v>
      </c>
      <c r="J408" s="121">
        <f>IFERROR(__xludf.DUMMYFUNCTION("""COMPUTED_VALUE"""),3.0)</f>
        <v>3</v>
      </c>
      <c r="K408" s="132" t="str">
        <f>IFERROR(__xludf.DUMMYFUNCTION("""COMPUTED_VALUE"""),"CS11180")</f>
        <v>CS11180</v>
      </c>
      <c r="L408" s="121" t="str">
        <f>IFERROR(__xludf.DUMMYFUNCTION("""COMPUTED_VALUE"""),"Mr.RANGARAJ K")</f>
        <v>Mr.RANGARAJ K</v>
      </c>
      <c r="M408" s="121" t="str">
        <f>IFERROR(__xludf.DUMMYFUNCTION("""COMPUTED_VALUE"""),"rangarajk@bitsathy.ac.in")</f>
        <v>rangarajk@bitsathy.ac.in</v>
      </c>
    </row>
    <row r="409" ht="49.5" customHeight="1">
      <c r="A409" s="121" t="str">
        <f>IFERROR(__xludf.DUMMYFUNCTION("""COMPUTED_VALUE"""),"CSE")</f>
        <v>CSE</v>
      </c>
      <c r="B409" s="121" t="str">
        <f>IFERROR(__xludf.DUMMYFUNCTION("""COMPUTED_VALUE"""),"S6")</f>
        <v>S6</v>
      </c>
      <c r="C409" s="121" t="str">
        <f>IFERROR(__xludf.DUMMYFUNCTION("""COMPUTED_VALUE"""),"ELECTIVE 5")</f>
        <v>ELECTIVE 5</v>
      </c>
      <c r="D409" s="121" t="str">
        <f>IFERROR(__xludf.DUMMYFUNCTION("""COMPUTED_VALUE"""),"22CS029")</f>
        <v>22CS029</v>
      </c>
      <c r="E409" s="131" t="str">
        <f>IFERROR(__xludf.DUMMYFUNCTION("""COMPUTED_VALUE"""),"DIGITAL MARKETING")</f>
        <v>DIGITAL MARKETING</v>
      </c>
      <c r="F409" s="121" t="str">
        <f>IFERROR(__xludf.DUMMYFUNCTION("""COMPUTED_VALUE"""),"THEORY")</f>
        <v>THEORY</v>
      </c>
      <c r="G409" s="121">
        <f>IFERROR(__xludf.DUMMYFUNCTION("""COMPUTED_VALUE"""),3.0)</f>
        <v>3</v>
      </c>
      <c r="H409" s="121">
        <f>IFERROR(__xludf.DUMMYFUNCTION("""COMPUTED_VALUE"""),0.0)</f>
        <v>0</v>
      </c>
      <c r="I409" s="121">
        <f>IFERROR(__xludf.DUMMYFUNCTION("""COMPUTED_VALUE"""),0.0)</f>
        <v>0</v>
      </c>
      <c r="J409" s="121">
        <f>IFERROR(__xludf.DUMMYFUNCTION("""COMPUTED_VALUE"""),3.0)</f>
        <v>3</v>
      </c>
      <c r="K409" s="132" t="str">
        <f>IFERROR(__xludf.DUMMYFUNCTION("""COMPUTED_VALUE"""),"CS10473")</f>
        <v>CS10473</v>
      </c>
      <c r="L409" s="121" t="str">
        <f>IFERROR(__xludf.DUMMYFUNCTION("""COMPUTED_VALUE"""),"Ms.SOUNDARIYA R S")</f>
        <v>Ms.SOUNDARIYA R S</v>
      </c>
      <c r="M409" s="121" t="str">
        <f>IFERROR(__xludf.DUMMYFUNCTION("""COMPUTED_VALUE"""),"soundariya@bitsathy.ac.in")</f>
        <v>soundariya@bitsathy.ac.in</v>
      </c>
    </row>
    <row r="410" ht="49.5" customHeight="1">
      <c r="A410" s="121" t="str">
        <f>IFERROR(__xludf.DUMMYFUNCTION("""COMPUTED_VALUE"""),"CSE")</f>
        <v>CSE</v>
      </c>
      <c r="B410" s="121" t="str">
        <f>IFERROR(__xludf.DUMMYFUNCTION("""COMPUTED_VALUE"""),"S6")</f>
        <v>S6</v>
      </c>
      <c r="C410" s="121" t="str">
        <f>IFERROR(__xludf.DUMMYFUNCTION("""COMPUTED_VALUE"""),"ELECTIVE 5")</f>
        <v>ELECTIVE 5</v>
      </c>
      <c r="D410" s="121" t="str">
        <f>IFERROR(__xludf.DUMMYFUNCTION("""COMPUTED_VALUE"""),"22CS040")</f>
        <v>22CS040</v>
      </c>
      <c r="E410" s="131" t="str">
        <f>IFERROR(__xludf.DUMMYFUNCTION("""COMPUTED_VALUE"""),"BUSINESS ANALYTICS")</f>
        <v>BUSINESS ANALYTICS</v>
      </c>
      <c r="F410" s="121" t="str">
        <f>IFERROR(__xludf.DUMMYFUNCTION("""COMPUTED_VALUE"""),"THEORY")</f>
        <v>THEORY</v>
      </c>
      <c r="G410" s="121">
        <f>IFERROR(__xludf.DUMMYFUNCTION("""COMPUTED_VALUE"""),3.0)</f>
        <v>3</v>
      </c>
      <c r="H410" s="121">
        <f>IFERROR(__xludf.DUMMYFUNCTION("""COMPUTED_VALUE"""),0.0)</f>
        <v>0</v>
      </c>
      <c r="I410" s="121">
        <f>IFERROR(__xludf.DUMMYFUNCTION("""COMPUTED_VALUE"""),0.0)</f>
        <v>0</v>
      </c>
      <c r="J410" s="121">
        <f>IFERROR(__xludf.DUMMYFUNCTION("""COMPUTED_VALUE"""),3.0)</f>
        <v>3</v>
      </c>
      <c r="K410" s="132" t="str">
        <f>IFERROR(__xludf.DUMMYFUNCTION("""COMPUTED_VALUE"""),"CS10983")</f>
        <v>CS10983</v>
      </c>
      <c r="L410" s="121" t="str">
        <f>IFERROR(__xludf.DUMMYFUNCTION("""COMPUTED_VALUE"""),"Mrs.KAVITHA R")</f>
        <v>Mrs.KAVITHA R</v>
      </c>
      <c r="M410" s="121" t="str">
        <f>IFERROR(__xludf.DUMMYFUNCTION("""COMPUTED_VALUE"""),"kavithar@bitsathy.ac.in")</f>
        <v>kavithar@bitsathy.ac.in</v>
      </c>
    </row>
    <row r="411" ht="49.5" customHeight="1">
      <c r="A411" s="121" t="str">
        <f>IFERROR(__xludf.DUMMYFUNCTION("""COMPUTED_VALUE"""),"CSE")</f>
        <v>CSE</v>
      </c>
      <c r="B411" s="121" t="str">
        <f>IFERROR(__xludf.DUMMYFUNCTION("""COMPUTED_VALUE"""),"S6")</f>
        <v>S6</v>
      </c>
      <c r="C411" s="121" t="str">
        <f>IFERROR(__xludf.DUMMYFUNCTION("""COMPUTED_VALUE"""),"OPEN ELECTIVE")</f>
        <v>OPEN ELECTIVE</v>
      </c>
      <c r="D411" s="121" t="str">
        <f>IFERROR(__xludf.DUMMYFUNCTION("""COMPUTED_VALUE"""),"22OCS01")</f>
        <v>22OCS01</v>
      </c>
      <c r="E411" s="131" t="str">
        <f>IFERROR(__xludf.DUMMYFUNCTION("""COMPUTED_VALUE"""),"OBJECT ORIENTED PROGRAMMING")</f>
        <v>OBJECT ORIENTED PROGRAMMING</v>
      </c>
      <c r="F411" s="121" t="str">
        <f>IFERROR(__xludf.DUMMYFUNCTION("""COMPUTED_VALUE"""),"THEORY")</f>
        <v>THEORY</v>
      </c>
      <c r="G411" s="121">
        <f>IFERROR(__xludf.DUMMYFUNCTION("""COMPUTED_VALUE"""),3.0)</f>
        <v>3</v>
      </c>
      <c r="H411" s="121">
        <f>IFERROR(__xludf.DUMMYFUNCTION("""COMPUTED_VALUE"""),0.0)</f>
        <v>0</v>
      </c>
      <c r="I411" s="121">
        <f>IFERROR(__xludf.DUMMYFUNCTION("""COMPUTED_VALUE"""),0.0)</f>
        <v>0</v>
      </c>
      <c r="J411" s="121">
        <f>IFERROR(__xludf.DUMMYFUNCTION("""COMPUTED_VALUE"""),3.0)</f>
        <v>3</v>
      </c>
      <c r="K411" s="132" t="str">
        <f>IFERROR(__xludf.DUMMYFUNCTION("""COMPUTED_VALUE"""),"CS10789")</f>
        <v>CS10789</v>
      </c>
      <c r="L411" s="121" t="str">
        <f>IFERROR(__xludf.DUMMYFUNCTION("""COMPUTED_VALUE"""),"Dr.DHIVYA P")</f>
        <v>Dr.DHIVYA P</v>
      </c>
      <c r="M411" s="121" t="str">
        <f>IFERROR(__xludf.DUMMYFUNCTION("""COMPUTED_VALUE"""),"dhivyap@bitsathy.ac.in")</f>
        <v>dhivyap@bitsathy.ac.in</v>
      </c>
    </row>
    <row r="412" ht="49.5" customHeight="1">
      <c r="A412" s="121" t="str">
        <f>IFERROR(__xludf.DUMMYFUNCTION("""COMPUTED_VALUE"""),"CSE")</f>
        <v>CSE</v>
      </c>
      <c r="B412" s="121" t="str">
        <f>IFERROR(__xludf.DUMMYFUNCTION("""COMPUTED_VALUE"""),"S6")</f>
        <v>S6</v>
      </c>
      <c r="C412" s="121" t="str">
        <f>IFERROR(__xludf.DUMMYFUNCTION("""COMPUTED_VALUE"""),"OPEN ELECTIVE")</f>
        <v>OPEN ELECTIVE</v>
      </c>
      <c r="D412" s="121" t="str">
        <f>IFERROR(__xludf.DUMMYFUNCTION("""COMPUTED_VALUE"""),"22OCS01")</f>
        <v>22OCS01</v>
      </c>
      <c r="E412" s="131" t="str">
        <f>IFERROR(__xludf.DUMMYFUNCTION("""COMPUTED_VALUE"""),"OBJECT ORIENTED PROGRAMMING")</f>
        <v>OBJECT ORIENTED PROGRAMMING</v>
      </c>
      <c r="F412" s="121" t="str">
        <f>IFERROR(__xludf.DUMMYFUNCTION("""COMPUTED_VALUE"""),"THEORY")</f>
        <v>THEORY</v>
      </c>
      <c r="G412" s="121">
        <f>IFERROR(__xludf.DUMMYFUNCTION("""COMPUTED_VALUE"""),3.0)</f>
        <v>3</v>
      </c>
      <c r="H412" s="121">
        <f>IFERROR(__xludf.DUMMYFUNCTION("""COMPUTED_VALUE"""),0.0)</f>
        <v>0</v>
      </c>
      <c r="I412" s="121">
        <f>IFERROR(__xludf.DUMMYFUNCTION("""COMPUTED_VALUE"""),0.0)</f>
        <v>0</v>
      </c>
      <c r="J412" s="121">
        <f>IFERROR(__xludf.DUMMYFUNCTION("""COMPUTED_VALUE"""),3.0)</f>
        <v>3</v>
      </c>
      <c r="K412" s="132" t="str">
        <f>IFERROR(__xludf.DUMMYFUNCTION("""COMPUTED_VALUE"""),"CS11084")</f>
        <v>CS11084</v>
      </c>
      <c r="L412" s="121" t="str">
        <f>IFERROR(__xludf.DUMMYFUNCTION("""COMPUTED_VALUE"""),"Mrs.GUNAVARDINI V")</f>
        <v>Mrs.GUNAVARDINI V</v>
      </c>
      <c r="M412" s="121" t="str">
        <f>IFERROR(__xludf.DUMMYFUNCTION("""COMPUTED_VALUE"""),"gunavardini@bitsathy.ac.in")</f>
        <v>gunavardini@bitsathy.ac.in</v>
      </c>
    </row>
    <row r="413" ht="49.5" customHeight="1">
      <c r="A413" s="121" t="str">
        <f>IFERROR(__xludf.DUMMYFUNCTION("""COMPUTED_VALUE"""),"CSE")</f>
        <v>CSE</v>
      </c>
      <c r="B413" s="121" t="str">
        <f>IFERROR(__xludf.DUMMYFUNCTION("""COMPUTED_VALUE"""),"S6")</f>
        <v>S6</v>
      </c>
      <c r="C413" s="121" t="str">
        <f>IFERROR(__xludf.DUMMYFUNCTION("""COMPUTED_VALUE"""),"ADD COURSE")</f>
        <v>ADD COURSE</v>
      </c>
      <c r="D413" s="121" t="str">
        <f>IFERROR(__xludf.DUMMYFUNCTION("""COMPUTED_VALUE"""),"22CS034")</f>
        <v>22CS034</v>
      </c>
      <c r="E413" s="131" t="str">
        <f>IFERROR(__xludf.DUMMYFUNCTION("""COMPUTED_VALUE"""),"ETHICS AND AI")</f>
        <v>ETHICS AND AI</v>
      </c>
      <c r="F413" s="121" t="str">
        <f>IFERROR(__xludf.DUMMYFUNCTION("""COMPUTED_VALUE"""),"THEORY")</f>
        <v>THEORY</v>
      </c>
      <c r="G413" s="121">
        <f>IFERROR(__xludf.DUMMYFUNCTION("""COMPUTED_VALUE"""),3.0)</f>
        <v>3</v>
      </c>
      <c r="H413" s="121">
        <f>IFERROR(__xludf.DUMMYFUNCTION("""COMPUTED_VALUE"""),0.0)</f>
        <v>0</v>
      </c>
      <c r="I413" s="121">
        <f>IFERROR(__xludf.DUMMYFUNCTION("""COMPUTED_VALUE"""),0.0)</f>
        <v>0</v>
      </c>
      <c r="J413" s="121">
        <f>IFERROR(__xludf.DUMMYFUNCTION("""COMPUTED_VALUE"""),3.0)</f>
        <v>3</v>
      </c>
      <c r="K413" s="132" t="str">
        <f>IFERROR(__xludf.DUMMYFUNCTION("""COMPUTED_VALUE"""),"CS11119")</f>
        <v>CS11119</v>
      </c>
      <c r="L413" s="121" t="str">
        <f>IFERROR(__xludf.DUMMYFUNCTION("""COMPUTED_VALUE"""),"Ms.PARKAVI S")</f>
        <v>Ms.PARKAVI S</v>
      </c>
      <c r="M413" s="121" t="str">
        <f>IFERROR(__xludf.DUMMYFUNCTION("""COMPUTED_VALUE"""),"parkavi@bitsathy.ac.in")</f>
        <v>parkavi@bitsathy.ac.in</v>
      </c>
    </row>
    <row r="414" ht="49.5" customHeight="1">
      <c r="A414" s="121" t="str">
        <f>IFERROR(__xludf.DUMMYFUNCTION("""COMPUTED_VALUE"""),"CSE")</f>
        <v>CSE</v>
      </c>
      <c r="B414" s="121" t="str">
        <f>IFERROR(__xludf.DUMMYFUNCTION("""COMPUTED_VALUE"""),"S6")</f>
        <v>S6</v>
      </c>
      <c r="C414" s="121" t="str">
        <f>IFERROR(__xludf.DUMMYFUNCTION("""COMPUTED_VALUE"""),"ADD COURSE")</f>
        <v>ADD COURSE</v>
      </c>
      <c r="D414" s="121" t="str">
        <f>IFERROR(__xludf.DUMMYFUNCTION("""COMPUTED_VALUE"""),"22CS034")</f>
        <v>22CS034</v>
      </c>
      <c r="E414" s="131" t="str">
        <f>IFERROR(__xludf.DUMMYFUNCTION("""COMPUTED_VALUE"""),"ETHICS AND AI")</f>
        <v>ETHICS AND AI</v>
      </c>
      <c r="F414" s="121" t="str">
        <f>IFERROR(__xludf.DUMMYFUNCTION("""COMPUTED_VALUE"""),"THEORY")</f>
        <v>THEORY</v>
      </c>
      <c r="G414" s="121">
        <f>IFERROR(__xludf.DUMMYFUNCTION("""COMPUTED_VALUE"""),3.0)</f>
        <v>3</v>
      </c>
      <c r="H414" s="121">
        <f>IFERROR(__xludf.DUMMYFUNCTION("""COMPUTED_VALUE"""),0.0)</f>
        <v>0</v>
      </c>
      <c r="I414" s="121">
        <f>IFERROR(__xludf.DUMMYFUNCTION("""COMPUTED_VALUE"""),0.0)</f>
        <v>0</v>
      </c>
      <c r="J414" s="121">
        <f>IFERROR(__xludf.DUMMYFUNCTION("""COMPUTED_VALUE"""),3.0)</f>
        <v>3</v>
      </c>
      <c r="K414" s="132" t="str">
        <f>IFERROR(__xludf.DUMMYFUNCTION("""COMPUTED_VALUE"""),"CS11158")</f>
        <v>CS11158</v>
      </c>
      <c r="L414" s="121" t="str">
        <f>IFERROR(__xludf.DUMMYFUNCTION("""COMPUTED_VALUE"""),"Mrs.KAYALVIZHI B")</f>
        <v>Mrs.KAYALVIZHI B</v>
      </c>
      <c r="M414" s="133" t="str">
        <f>IFERROR(__xludf.DUMMYFUNCTION("""COMPUTED_VALUE"""),"kayalvizhib@bitsathy.ac.in")</f>
        <v>kayalvizhib@bitsathy.ac.in</v>
      </c>
    </row>
    <row r="415" ht="49.5" customHeight="1">
      <c r="A415" s="121" t="str">
        <f>IFERROR(__xludf.DUMMYFUNCTION("""COMPUTED_VALUE"""),"CSE")</f>
        <v>CSE</v>
      </c>
      <c r="B415" s="121" t="str">
        <f>IFERROR(__xludf.DUMMYFUNCTION("""COMPUTED_VALUE"""),"S6")</f>
        <v>S6</v>
      </c>
      <c r="C415" s="121" t="str">
        <f>IFERROR(__xludf.DUMMYFUNCTION("""COMPUTED_VALUE"""),"ADD COURSE")</f>
        <v>ADD COURSE</v>
      </c>
      <c r="D415" s="121" t="str">
        <f>IFERROR(__xludf.DUMMYFUNCTION("""COMPUTED_VALUE"""),"22CS034")</f>
        <v>22CS034</v>
      </c>
      <c r="E415" s="131" t="str">
        <f>IFERROR(__xludf.DUMMYFUNCTION("""COMPUTED_VALUE"""),"ETHICS AND AI")</f>
        <v>ETHICS AND AI</v>
      </c>
      <c r="F415" s="121" t="str">
        <f>IFERROR(__xludf.DUMMYFUNCTION("""COMPUTED_VALUE"""),"THEORY")</f>
        <v>THEORY</v>
      </c>
      <c r="G415" s="121">
        <f>IFERROR(__xludf.DUMMYFUNCTION("""COMPUTED_VALUE"""),3.0)</f>
        <v>3</v>
      </c>
      <c r="H415" s="121">
        <f>IFERROR(__xludf.DUMMYFUNCTION("""COMPUTED_VALUE"""),0.0)</f>
        <v>0</v>
      </c>
      <c r="I415" s="121">
        <f>IFERROR(__xludf.DUMMYFUNCTION("""COMPUTED_VALUE"""),0.0)</f>
        <v>0</v>
      </c>
      <c r="J415" s="121">
        <f>IFERROR(__xludf.DUMMYFUNCTION("""COMPUTED_VALUE"""),3.0)</f>
        <v>3</v>
      </c>
      <c r="K415" s="132" t="str">
        <f>IFERROR(__xludf.DUMMYFUNCTION("""COMPUTED_VALUE"""),"CS11150")</f>
        <v>CS11150</v>
      </c>
      <c r="L415" s="121" t="str">
        <f>IFERROR(__xludf.DUMMYFUNCTION("""COMPUTED_VALUE"""),"Mrs.MYTHILI G M")</f>
        <v>Mrs.MYTHILI G M</v>
      </c>
      <c r="M415" s="121" t="str">
        <f>IFERROR(__xludf.DUMMYFUNCTION("""COMPUTED_VALUE"""),"mythili@bitsathy.ac.in")</f>
        <v>mythili@bitsathy.ac.in</v>
      </c>
    </row>
    <row r="416" ht="49.5" customHeight="1">
      <c r="A416" s="121" t="str">
        <f>IFERROR(__xludf.DUMMYFUNCTION("""COMPUTED_VALUE"""),"CSE")</f>
        <v>CSE</v>
      </c>
      <c r="B416" s="121" t="str">
        <f>IFERROR(__xludf.DUMMYFUNCTION("""COMPUTED_VALUE"""),"S6")</f>
        <v>S6</v>
      </c>
      <c r="C416" s="121" t="str">
        <f>IFERROR(__xludf.DUMMYFUNCTION("""COMPUTED_VALUE"""),"HONOURS")</f>
        <v>HONOURS</v>
      </c>
      <c r="D416" s="121" t="str">
        <f>IFERROR(__xludf.DUMMYFUNCTION("""COMPUTED_VALUE"""),"22CSH03/22CTH03/22ITH03/22CBH03")</f>
        <v>22CSH03/22CTH03/22ITH03/22CBH03</v>
      </c>
      <c r="E416" s="131" t="str">
        <f>IFERROR(__xludf.DUMMYFUNCTION("""COMPUTED_VALUE"""),"BIG DATA ANALYTICS")</f>
        <v>BIG DATA ANALYTICS</v>
      </c>
      <c r="F416" s="121" t="str">
        <f>IFERROR(__xludf.DUMMYFUNCTION("""COMPUTED_VALUE"""),"THEORY")</f>
        <v>THEORY</v>
      </c>
      <c r="G416" s="121">
        <f>IFERROR(__xludf.DUMMYFUNCTION("""COMPUTED_VALUE"""),3.0)</f>
        <v>3</v>
      </c>
      <c r="H416" s="121">
        <f>IFERROR(__xludf.DUMMYFUNCTION("""COMPUTED_VALUE"""),0.0)</f>
        <v>0</v>
      </c>
      <c r="I416" s="121">
        <f>IFERROR(__xludf.DUMMYFUNCTION("""COMPUTED_VALUE"""),0.0)</f>
        <v>0</v>
      </c>
      <c r="J416" s="121">
        <f>IFERROR(__xludf.DUMMYFUNCTION("""COMPUTED_VALUE"""),3.0)</f>
        <v>3</v>
      </c>
      <c r="K416" s="132" t="str">
        <f>IFERROR(__xludf.DUMMYFUNCTION("""COMPUTED_VALUE"""),"CS11163")</f>
        <v>CS11163</v>
      </c>
      <c r="L416" s="121" t="str">
        <f>IFERROR(__xludf.DUMMYFUNCTION("""COMPUTED_VALUE"""),"Ms.MAHESH S")</f>
        <v>Ms.MAHESH S</v>
      </c>
      <c r="M416" s="121" t="str">
        <f>IFERROR(__xludf.DUMMYFUNCTION("""COMPUTED_VALUE"""),"maheshs@bitsathy.ac.in")</f>
        <v>maheshs@bitsathy.ac.in</v>
      </c>
    </row>
    <row r="417" ht="49.5" customHeight="1">
      <c r="A417" s="121" t="str">
        <f>IFERROR(__xludf.DUMMYFUNCTION("""COMPUTED_VALUE"""),"CSE")</f>
        <v>CSE</v>
      </c>
      <c r="B417" s="121" t="str">
        <f>IFERROR(__xludf.DUMMYFUNCTION("""COMPUTED_VALUE"""),"S6")</f>
        <v>S6</v>
      </c>
      <c r="C417" s="121" t="str">
        <f>IFERROR(__xludf.DUMMYFUNCTION("""COMPUTED_VALUE"""),"HONOURS")</f>
        <v>HONOURS</v>
      </c>
      <c r="D417" s="121" t="str">
        <f>IFERROR(__xludf.DUMMYFUNCTION("""COMPUTED_VALUE"""),"22CSH04/22CTH04/22ISH28/22ITH04/22CBH04")</f>
        <v>22CSH04/22CTH04/22ISH28/22ITH04/22CBH04</v>
      </c>
      <c r="E417" s="131" t="str">
        <f>IFERROR(__xludf.DUMMYFUNCTION("""COMPUTED_VALUE"""),"NEURAL NETWORKS AND DEEP LEARNING")</f>
        <v>NEURAL NETWORKS AND DEEP LEARNING</v>
      </c>
      <c r="F417" s="121" t="str">
        <f>IFERROR(__xludf.DUMMYFUNCTION("""COMPUTED_VALUE"""),"THEORY WITH LAB")</f>
        <v>THEORY WITH LAB</v>
      </c>
      <c r="G417" s="121">
        <f>IFERROR(__xludf.DUMMYFUNCTION("""COMPUTED_VALUE"""),2.0)</f>
        <v>2</v>
      </c>
      <c r="H417" s="121">
        <f>IFERROR(__xludf.DUMMYFUNCTION("""COMPUTED_VALUE"""),0.0)</f>
        <v>0</v>
      </c>
      <c r="I417" s="121">
        <f>IFERROR(__xludf.DUMMYFUNCTION("""COMPUTED_VALUE"""),2.0)</f>
        <v>2</v>
      </c>
      <c r="J417" s="121">
        <f>IFERROR(__xludf.DUMMYFUNCTION("""COMPUTED_VALUE"""),3.0)</f>
        <v>3</v>
      </c>
      <c r="K417" s="132" t="str">
        <f>IFERROR(__xludf.DUMMYFUNCTION("""COMPUTED_VALUE"""),"CS11094")</f>
        <v>CS11094</v>
      </c>
      <c r="L417" s="121" t="str">
        <f>IFERROR(__xludf.DUMMYFUNCTION("""COMPUTED_VALUE"""),"Ms.RATHNA S")</f>
        <v>Ms.RATHNA S</v>
      </c>
      <c r="M417" s="121" t="str">
        <f>IFERROR(__xludf.DUMMYFUNCTION("""COMPUTED_VALUE"""),"rathna@bitsathy.ac.in")</f>
        <v>rathna@bitsathy.ac.in</v>
      </c>
    </row>
    <row r="418" ht="49.5" customHeight="1">
      <c r="A418" s="121" t="str">
        <f>IFERROR(__xludf.DUMMYFUNCTION("""COMPUTED_VALUE"""),"CSE")</f>
        <v>CSE</v>
      </c>
      <c r="B418" s="121" t="str">
        <f>IFERROR(__xludf.DUMMYFUNCTION("""COMPUTED_VALUE"""),"S6")</f>
        <v>S6</v>
      </c>
      <c r="C418" s="121" t="str">
        <f>IFERROR(__xludf.DUMMYFUNCTION("""COMPUTED_VALUE"""),"MINI PROJECT")</f>
        <v>MINI PROJECT</v>
      </c>
      <c r="D418" s="121" t="str">
        <f>IFERROR(__xludf.DUMMYFUNCTION("""COMPUTED_VALUE"""),"22CS607")</f>
        <v>22CS607</v>
      </c>
      <c r="E418" s="131" t="str">
        <f>IFERROR(__xludf.DUMMYFUNCTION("""COMPUTED_VALUE"""),"MINI PROJECT II")</f>
        <v>MINI PROJECT II</v>
      </c>
      <c r="F418" s="121" t="str">
        <f>IFERROR(__xludf.DUMMYFUNCTION("""COMPUTED_VALUE"""),"LAB")</f>
        <v>LAB</v>
      </c>
      <c r="G418" s="121">
        <f>IFERROR(__xludf.DUMMYFUNCTION("""COMPUTED_VALUE"""),0.0)</f>
        <v>0</v>
      </c>
      <c r="H418" s="121">
        <f>IFERROR(__xludf.DUMMYFUNCTION("""COMPUTED_VALUE"""),0.0)</f>
        <v>0</v>
      </c>
      <c r="I418" s="121">
        <f>IFERROR(__xludf.DUMMYFUNCTION("""COMPUTED_VALUE"""),2.0)</f>
        <v>2</v>
      </c>
      <c r="J418" s="121">
        <f>IFERROR(__xludf.DUMMYFUNCTION("""COMPUTED_VALUE"""),1.0)</f>
        <v>1</v>
      </c>
      <c r="K418" s="132"/>
      <c r="L418" s="121"/>
      <c r="M418" s="121"/>
    </row>
    <row r="419" ht="49.5" customHeight="1">
      <c r="A419" s="121" t="str">
        <f>IFERROR(__xludf.DUMMYFUNCTION("""COMPUTED_VALUE"""),"CSE")</f>
        <v>CSE</v>
      </c>
      <c r="B419" s="121" t="str">
        <f>IFERROR(__xludf.DUMMYFUNCTION("""COMPUTED_VALUE"""),"S8")</f>
        <v>S8</v>
      </c>
      <c r="C419" s="121" t="str">
        <f>IFERROR(__xludf.DUMMYFUNCTION("""COMPUTED_VALUE"""),"PROJECT")</f>
        <v>PROJECT</v>
      </c>
      <c r="D419" s="121" t="str">
        <f>IFERROR(__xludf.DUMMYFUNCTION("""COMPUTED_VALUE"""),"22CS801")</f>
        <v>22CS801</v>
      </c>
      <c r="E419" s="131" t="str">
        <f>IFERROR(__xludf.DUMMYFUNCTION("""COMPUTED_VALUE"""),"PROJECT WORK II")</f>
        <v>PROJECT WORK II</v>
      </c>
      <c r="F419" s="121" t="str">
        <f>IFERROR(__xludf.DUMMYFUNCTION("""COMPUTED_VALUE"""),"LAB")</f>
        <v>LAB</v>
      </c>
      <c r="G419" s="121">
        <f>IFERROR(__xludf.DUMMYFUNCTION("""COMPUTED_VALUE"""),0.0)</f>
        <v>0</v>
      </c>
      <c r="H419" s="121">
        <f>IFERROR(__xludf.DUMMYFUNCTION("""COMPUTED_VALUE"""),0.0)</f>
        <v>0</v>
      </c>
      <c r="I419" s="121">
        <f>IFERROR(__xludf.DUMMYFUNCTION("""COMPUTED_VALUE"""),18.0)</f>
        <v>18</v>
      </c>
      <c r="J419" s="121">
        <f>IFERROR(__xludf.DUMMYFUNCTION("""COMPUTED_VALUE"""),9.0)</f>
        <v>9</v>
      </c>
      <c r="K419" s="132"/>
      <c r="L419" s="121"/>
      <c r="M419" s="121"/>
    </row>
    <row r="420" ht="49.5" customHeight="1">
      <c r="A420" s="121" t="str">
        <f>IFERROR(__xludf.DUMMYFUNCTION("""COMPUTED_VALUE"""),"CSE")</f>
        <v>CSE</v>
      </c>
      <c r="B420" s="121" t="str">
        <f>IFERROR(__xludf.DUMMYFUNCTION("""COMPUTED_VALUE"""),"PG")</f>
        <v>PG</v>
      </c>
      <c r="C420" s="121" t="str">
        <f>IFERROR(__xludf.DUMMYFUNCTION("""COMPUTED_VALUE"""),"CORE")</f>
        <v>CORE</v>
      </c>
      <c r="D420" s="121" t="str">
        <f>IFERROR(__xludf.DUMMYFUNCTION("""COMPUTED_VALUE"""),"24CS21")</f>
        <v>24CS21</v>
      </c>
      <c r="E420" s="131" t="str">
        <f>IFERROR(__xludf.DUMMYFUNCTION("""COMPUTED_VALUE"""),"INTERNET OF THINGS")</f>
        <v>INTERNET OF THINGS</v>
      </c>
      <c r="F420" s="121" t="str">
        <f>IFERROR(__xludf.DUMMYFUNCTION("""COMPUTED_VALUE"""),"THEORY")</f>
        <v>THEORY</v>
      </c>
      <c r="G420" s="121">
        <f>IFERROR(__xludf.DUMMYFUNCTION("""COMPUTED_VALUE"""),3.0)</f>
        <v>3</v>
      </c>
      <c r="H420" s="121">
        <f>IFERROR(__xludf.DUMMYFUNCTION("""COMPUTED_VALUE"""),0.0)</f>
        <v>0</v>
      </c>
      <c r="I420" s="121">
        <f>IFERROR(__xludf.DUMMYFUNCTION("""COMPUTED_VALUE"""),0.0)</f>
        <v>0</v>
      </c>
      <c r="J420" s="121">
        <f>IFERROR(__xludf.DUMMYFUNCTION("""COMPUTED_VALUE"""),3.0)</f>
        <v>3</v>
      </c>
      <c r="K420" s="132" t="str">
        <f>IFERROR(__xludf.DUMMYFUNCTION("""COMPUTED_VALUE"""),"CS10843")</f>
        <v>CS10843</v>
      </c>
      <c r="L420" s="121" t="str">
        <f>IFERROR(__xludf.DUMMYFUNCTION("""COMPUTED_VALUE"""),"Mrs.NITHYA R")</f>
        <v>Mrs.NITHYA R</v>
      </c>
      <c r="M420" s="121" t="str">
        <f>IFERROR(__xludf.DUMMYFUNCTION("""COMPUTED_VALUE"""),"nithyars@bitsathy.ac.in")</f>
        <v>nithyars@bitsathy.ac.in</v>
      </c>
    </row>
    <row r="421" ht="49.5" customHeight="1">
      <c r="A421" s="121" t="str">
        <f>IFERROR(__xludf.DUMMYFUNCTION("""COMPUTED_VALUE"""),"CSE")</f>
        <v>CSE</v>
      </c>
      <c r="B421" s="121" t="str">
        <f>IFERROR(__xludf.DUMMYFUNCTION("""COMPUTED_VALUE"""),"PG")</f>
        <v>PG</v>
      </c>
      <c r="C421" s="121" t="str">
        <f>IFERROR(__xludf.DUMMYFUNCTION("""COMPUTED_VALUE"""),"CORE")</f>
        <v>CORE</v>
      </c>
      <c r="D421" s="121" t="str">
        <f>IFERROR(__xludf.DUMMYFUNCTION("""COMPUTED_VALUE"""),"24CS22 ")</f>
        <v>24CS22 </v>
      </c>
      <c r="E421" s="131" t="str">
        <f>IFERROR(__xludf.DUMMYFUNCTION("""COMPUTED_VALUE"""),"MACHINE LEARNING")</f>
        <v>MACHINE LEARNING</v>
      </c>
      <c r="F421" s="121" t="str">
        <f>IFERROR(__xludf.DUMMYFUNCTION("""COMPUTED_VALUE"""),"THEORY")</f>
        <v>THEORY</v>
      </c>
      <c r="G421" s="121">
        <f>IFERROR(__xludf.DUMMYFUNCTION("""COMPUTED_VALUE"""),3.0)</f>
        <v>3</v>
      </c>
      <c r="H421" s="121">
        <f>IFERROR(__xludf.DUMMYFUNCTION("""COMPUTED_VALUE"""),0.0)</f>
        <v>0</v>
      </c>
      <c r="I421" s="121">
        <f>IFERROR(__xludf.DUMMYFUNCTION("""COMPUTED_VALUE"""),0.0)</f>
        <v>0</v>
      </c>
      <c r="J421" s="121">
        <f>IFERROR(__xludf.DUMMYFUNCTION("""COMPUTED_VALUE"""),3.0)</f>
        <v>3</v>
      </c>
      <c r="K421" s="132" t="str">
        <f>IFERROR(__xludf.DUMMYFUNCTION("""COMPUTED_VALUE"""),"CS10861")</f>
        <v>CS10861</v>
      </c>
      <c r="L421" s="121" t="str">
        <f>IFERROR(__xludf.DUMMYFUNCTION("""COMPUTED_VALUE"""),"Ms.SANGAVI N")</f>
        <v>Ms.SANGAVI N</v>
      </c>
      <c r="M421" s="121" t="str">
        <f>IFERROR(__xludf.DUMMYFUNCTION("""COMPUTED_VALUE"""),"sangavin@bitsathy.ac.in")</f>
        <v>sangavin@bitsathy.ac.in</v>
      </c>
    </row>
    <row r="422" ht="49.5" customHeight="1">
      <c r="A422" s="121" t="str">
        <f>IFERROR(__xludf.DUMMYFUNCTION("""COMPUTED_VALUE"""),"CSE")</f>
        <v>CSE</v>
      </c>
      <c r="B422" s="121" t="str">
        <f>IFERROR(__xludf.DUMMYFUNCTION("""COMPUTED_VALUE"""),"PG")</f>
        <v>PG</v>
      </c>
      <c r="C422" s="121" t="str">
        <f>IFERROR(__xludf.DUMMYFUNCTION("""COMPUTED_VALUE"""),"CORE")</f>
        <v>CORE</v>
      </c>
      <c r="D422" s="121" t="str">
        <f>IFERROR(__xludf.DUMMYFUNCTION("""COMPUTED_VALUE"""),"24CS23 ")</f>
        <v>24CS23 </v>
      </c>
      <c r="E422" s="131" t="str">
        <f>IFERROR(__xludf.DUMMYFUNCTION("""COMPUTED_VALUE"""),"ADVANCED SOFTWARE ENGINEERING")</f>
        <v>ADVANCED SOFTWARE ENGINEERING</v>
      </c>
      <c r="F422" s="121" t="str">
        <f>IFERROR(__xludf.DUMMYFUNCTION("""COMPUTED_VALUE"""),"THEORY WITH LAB")</f>
        <v>THEORY WITH LAB</v>
      </c>
      <c r="G422" s="121">
        <f>IFERROR(__xludf.DUMMYFUNCTION("""COMPUTED_VALUE"""),3.0)</f>
        <v>3</v>
      </c>
      <c r="H422" s="121">
        <f>IFERROR(__xludf.DUMMYFUNCTION("""COMPUTED_VALUE"""),0.0)</f>
        <v>0</v>
      </c>
      <c r="I422" s="121">
        <f>IFERROR(__xludf.DUMMYFUNCTION("""COMPUTED_VALUE"""),2.0)</f>
        <v>2</v>
      </c>
      <c r="J422" s="121">
        <f>IFERROR(__xludf.DUMMYFUNCTION("""COMPUTED_VALUE"""),4.0)</f>
        <v>4</v>
      </c>
      <c r="K422" s="132" t="str">
        <f>IFERROR(__xludf.DUMMYFUNCTION("""COMPUTED_VALUE"""),"CS11157")</f>
        <v>CS11157</v>
      </c>
      <c r="L422" s="121" t="str">
        <f>IFERROR(__xludf.DUMMYFUNCTION("""COMPUTED_VALUE"""),"Ms.GAYATHIRI DEVI S")</f>
        <v>Ms.GAYATHIRI DEVI S</v>
      </c>
      <c r="M422" s="121" t="str">
        <f>IFERROR(__xludf.DUMMYFUNCTION("""COMPUTED_VALUE"""),"gayathiridevis@bitsathy.ac.in")</f>
        <v>gayathiridevis@bitsathy.ac.in</v>
      </c>
    </row>
    <row r="423" ht="49.5" customHeight="1">
      <c r="A423" s="121" t="str">
        <f>IFERROR(__xludf.DUMMYFUNCTION("""COMPUTED_VALUE"""),"CSE")</f>
        <v>CSE</v>
      </c>
      <c r="B423" s="121" t="str">
        <f>IFERROR(__xludf.DUMMYFUNCTION("""COMPUTED_VALUE"""),"PG")</f>
        <v>PG</v>
      </c>
      <c r="C423" s="121" t="str">
        <f>IFERROR(__xludf.DUMMYFUNCTION("""COMPUTED_VALUE"""),"CORE")</f>
        <v>CORE</v>
      </c>
      <c r="D423" s="121" t="str">
        <f>IFERROR(__xludf.DUMMYFUNCTION("""COMPUTED_VALUE"""),"24CS24 ")</f>
        <v>24CS24 </v>
      </c>
      <c r="E423" s="131" t="str">
        <f>IFERROR(__xludf.DUMMYFUNCTION("""COMPUTED_VALUE"""),"CLOUD COMPUTING TECHNOLOGIES")</f>
        <v>CLOUD COMPUTING TECHNOLOGIES</v>
      </c>
      <c r="F423" s="121" t="str">
        <f>IFERROR(__xludf.DUMMYFUNCTION("""COMPUTED_VALUE"""),"THEORY")</f>
        <v>THEORY</v>
      </c>
      <c r="G423" s="121">
        <f>IFERROR(__xludf.DUMMYFUNCTION("""COMPUTED_VALUE"""),3.0)</f>
        <v>3</v>
      </c>
      <c r="H423" s="121">
        <f>IFERROR(__xludf.DUMMYFUNCTION("""COMPUTED_VALUE"""),0.0)</f>
        <v>0</v>
      </c>
      <c r="I423" s="121">
        <f>IFERROR(__xludf.DUMMYFUNCTION("""COMPUTED_VALUE"""),0.0)</f>
        <v>0</v>
      </c>
      <c r="J423" s="121">
        <f>IFERROR(__xludf.DUMMYFUNCTION("""COMPUTED_VALUE"""),3.0)</f>
        <v>3</v>
      </c>
      <c r="K423" s="132" t="str">
        <f>IFERROR(__xludf.DUMMYFUNCTION("""COMPUTED_VALUE"""),"IT11056")</f>
        <v>IT11056</v>
      </c>
      <c r="L423" s="121" t="str">
        <f>IFERROR(__xludf.DUMMYFUNCTION("""COMPUTED_VALUE"""),"Dr.SADHASIVAM N")</f>
        <v>Dr.SADHASIVAM N</v>
      </c>
      <c r="M423" s="121" t="str">
        <f>IFERROR(__xludf.DUMMYFUNCTION("""COMPUTED_VALUE"""),"sadhasivamn@bitsathy.ac.in")</f>
        <v>sadhasivamn@bitsathy.ac.in</v>
      </c>
    </row>
    <row r="424" ht="49.5" customHeight="1">
      <c r="A424" s="121" t="str">
        <f>IFERROR(__xludf.DUMMYFUNCTION("""COMPUTED_VALUE"""),"CSE")</f>
        <v>CSE</v>
      </c>
      <c r="B424" s="121" t="str">
        <f>IFERROR(__xludf.DUMMYFUNCTION("""COMPUTED_VALUE"""),"PG")</f>
        <v>PG</v>
      </c>
      <c r="C424" s="121" t="str">
        <f>IFERROR(__xludf.DUMMYFUNCTION("""COMPUTED_VALUE"""),"ELECTIVE 1")</f>
        <v>ELECTIVE 1</v>
      </c>
      <c r="D424" s="121" t="str">
        <f>IFERROR(__xludf.DUMMYFUNCTION("""COMPUTED_VALUE"""),"24CS54 ")</f>
        <v>24CS54 </v>
      </c>
      <c r="E424" s="131" t="str">
        <f>IFERROR(__xludf.DUMMYFUNCTION("""COMPUTED_VALUE"""),"DATA SCIENCE")</f>
        <v>DATA SCIENCE</v>
      </c>
      <c r="F424" s="121" t="str">
        <f>IFERROR(__xludf.DUMMYFUNCTION("""COMPUTED_VALUE"""),"THEORY")</f>
        <v>THEORY</v>
      </c>
      <c r="G424" s="121">
        <f>IFERROR(__xludf.DUMMYFUNCTION("""COMPUTED_VALUE"""),3.0)</f>
        <v>3</v>
      </c>
      <c r="H424" s="121">
        <f>IFERROR(__xludf.DUMMYFUNCTION("""COMPUTED_VALUE"""),0.0)</f>
        <v>0</v>
      </c>
      <c r="I424" s="121">
        <f>IFERROR(__xludf.DUMMYFUNCTION("""COMPUTED_VALUE"""),0.0)</f>
        <v>0</v>
      </c>
      <c r="J424" s="121">
        <f>IFERROR(__xludf.DUMMYFUNCTION("""COMPUTED_VALUE"""),3.0)</f>
        <v>3</v>
      </c>
      <c r="K424" s="132" t="str">
        <f>IFERROR(__xludf.DUMMYFUNCTION("""COMPUTED_VALUE"""),"CS11086")</f>
        <v>CS11086</v>
      </c>
      <c r="L424" s="121" t="str">
        <f>IFERROR(__xludf.DUMMYFUNCTION("""COMPUTED_VALUE"""),"Mrs.GAYATHRI S")</f>
        <v>Mrs.GAYATHRI S</v>
      </c>
      <c r="M424" s="121" t="str">
        <f>IFERROR(__xludf.DUMMYFUNCTION("""COMPUTED_VALUE"""),"gayathris@bitsathy.ac.in")</f>
        <v>gayathris@bitsathy.ac.in</v>
      </c>
    </row>
    <row r="425" ht="49.5" customHeight="1">
      <c r="A425" s="121" t="str">
        <f>IFERROR(__xludf.DUMMYFUNCTION("""COMPUTED_VALUE"""),"CSE")</f>
        <v>CSE</v>
      </c>
      <c r="B425" s="121" t="str">
        <f>IFERROR(__xludf.DUMMYFUNCTION("""COMPUTED_VALUE"""),"PG")</f>
        <v>PG</v>
      </c>
      <c r="C425" s="121" t="str">
        <f>IFERROR(__xludf.DUMMYFUNCTION("""COMPUTED_VALUE"""),"ELECTIVE 1")</f>
        <v>ELECTIVE 1</v>
      </c>
      <c r="D425" s="121" t="str">
        <f>IFERROR(__xludf.DUMMYFUNCTION("""COMPUTED_VALUE"""),"24CS57 ")</f>
        <v>24CS57 </v>
      </c>
      <c r="E425" s="131" t="str">
        <f>IFERROR(__xludf.DUMMYFUNCTION("""COMPUTED_VALUE"""),"DIGITAL IMAGE PROCESSING")</f>
        <v>DIGITAL IMAGE PROCESSING</v>
      </c>
      <c r="F425" s="121" t="str">
        <f>IFERROR(__xludf.DUMMYFUNCTION("""COMPUTED_VALUE"""),"THEORY")</f>
        <v>THEORY</v>
      </c>
      <c r="G425" s="121">
        <f>IFERROR(__xludf.DUMMYFUNCTION("""COMPUTED_VALUE"""),3.0)</f>
        <v>3</v>
      </c>
      <c r="H425" s="121">
        <f>IFERROR(__xludf.DUMMYFUNCTION("""COMPUTED_VALUE"""),0.0)</f>
        <v>0</v>
      </c>
      <c r="I425" s="121">
        <f>IFERROR(__xludf.DUMMYFUNCTION("""COMPUTED_VALUE"""),0.0)</f>
        <v>0</v>
      </c>
      <c r="J425" s="121">
        <f>IFERROR(__xludf.DUMMYFUNCTION("""COMPUTED_VALUE"""),3.0)</f>
        <v>3</v>
      </c>
      <c r="K425" s="132" t="str">
        <f>IFERROR(__xludf.DUMMYFUNCTION("""COMPUTED_VALUE"""),"CS10797")</f>
        <v>CS10797</v>
      </c>
      <c r="L425" s="121" t="str">
        <f>IFERROR(__xludf.DUMMYFUNCTION("""COMPUTED_VALUE"""),"Dr.SANGEETHAA SN")</f>
        <v>Dr.SANGEETHAA SN</v>
      </c>
      <c r="M425" s="121" t="str">
        <f>IFERROR(__xludf.DUMMYFUNCTION("""COMPUTED_VALUE"""),"sangeethaasn@bitsathy.ac.in")</f>
        <v>sangeethaasn@bitsathy.ac.in</v>
      </c>
    </row>
    <row r="426" ht="49.5" customHeight="1">
      <c r="A426" s="121" t="str">
        <f>IFERROR(__xludf.DUMMYFUNCTION("""COMPUTED_VALUE"""),"CSE")</f>
        <v>CSE</v>
      </c>
      <c r="B426" s="121" t="str">
        <f>IFERROR(__xludf.DUMMYFUNCTION("""COMPUTED_VALUE"""),"PG")</f>
        <v>PG</v>
      </c>
      <c r="C426" s="121" t="str">
        <f>IFERROR(__xludf.DUMMYFUNCTION("""COMPUTED_VALUE"""),"ELECTIVE 2")</f>
        <v>ELECTIVE 2</v>
      </c>
      <c r="D426" s="121" t="str">
        <f>IFERROR(__xludf.DUMMYFUNCTION("""COMPUTED_VALUE"""),"24CS58 ")</f>
        <v>24CS58 </v>
      </c>
      <c r="E426" s="131" t="str">
        <f>IFERROR(__xludf.DUMMYFUNCTION("""COMPUTED_VALUE"""),"INFORMATION RETRIEVAL TECHNIQUES")</f>
        <v>INFORMATION RETRIEVAL TECHNIQUES</v>
      </c>
      <c r="F426" s="121" t="str">
        <f>IFERROR(__xludf.DUMMYFUNCTION("""COMPUTED_VALUE"""),"THEORY")</f>
        <v>THEORY</v>
      </c>
      <c r="G426" s="121">
        <f>IFERROR(__xludf.DUMMYFUNCTION("""COMPUTED_VALUE"""),3.0)</f>
        <v>3</v>
      </c>
      <c r="H426" s="121">
        <f>IFERROR(__xludf.DUMMYFUNCTION("""COMPUTED_VALUE"""),0.0)</f>
        <v>0</v>
      </c>
      <c r="I426" s="121">
        <f>IFERROR(__xludf.DUMMYFUNCTION("""COMPUTED_VALUE"""),0.0)</f>
        <v>0</v>
      </c>
      <c r="J426" s="121">
        <f>IFERROR(__xludf.DUMMYFUNCTION("""COMPUTED_VALUE"""),3.0)</f>
        <v>3</v>
      </c>
      <c r="K426" s="132" t="str">
        <f>IFERROR(__xludf.DUMMYFUNCTION("""COMPUTED_VALUE"""),"CS1618")</f>
        <v>CS1618</v>
      </c>
      <c r="L426" s="121" t="str">
        <f>IFERROR(__xludf.DUMMYFUNCTION("""COMPUTED_VALUE"""),"Dr.PREMALATHA K")</f>
        <v>Dr.PREMALATHA K</v>
      </c>
      <c r="M426" s="121" t="str">
        <f>IFERROR(__xludf.DUMMYFUNCTION("""COMPUTED_VALUE"""),"premalathak@bitsathy.ac.in")</f>
        <v>premalathak@bitsathy.ac.in</v>
      </c>
    </row>
    <row r="427" ht="49.5" customHeight="1">
      <c r="A427" s="121" t="str">
        <f>IFERROR(__xludf.DUMMYFUNCTION("""COMPUTED_VALUE"""),"CSE")</f>
        <v>CSE</v>
      </c>
      <c r="B427" s="121" t="str">
        <f>IFERROR(__xludf.DUMMYFUNCTION("""COMPUTED_VALUE"""),"PG")</f>
        <v>PG</v>
      </c>
      <c r="C427" s="121" t="str">
        <f>IFERROR(__xludf.DUMMYFUNCTION("""COMPUTED_VALUE"""),"ELECTIVE 2")</f>
        <v>ELECTIVE 2</v>
      </c>
      <c r="D427" s="121" t="str">
        <f>IFERROR(__xludf.DUMMYFUNCTION("""COMPUTED_VALUE"""),"24CS69 ")</f>
        <v>24CS69 </v>
      </c>
      <c r="E427" s="131" t="str">
        <f>IFERROR(__xludf.DUMMYFUNCTION("""COMPUTED_VALUE"""),"OPTIMIZATION TECHNIQUES")</f>
        <v>OPTIMIZATION TECHNIQUES</v>
      </c>
      <c r="F427" s="121" t="str">
        <f>IFERROR(__xludf.DUMMYFUNCTION("""COMPUTED_VALUE"""),"THEORY")</f>
        <v>THEORY</v>
      </c>
      <c r="G427" s="121">
        <f>IFERROR(__xludf.DUMMYFUNCTION("""COMPUTED_VALUE"""),3.0)</f>
        <v>3</v>
      </c>
      <c r="H427" s="121">
        <f>IFERROR(__xludf.DUMMYFUNCTION("""COMPUTED_VALUE"""),0.0)</f>
        <v>0</v>
      </c>
      <c r="I427" s="121">
        <f>IFERROR(__xludf.DUMMYFUNCTION("""COMPUTED_VALUE"""),0.0)</f>
        <v>0</v>
      </c>
      <c r="J427" s="121">
        <f>IFERROR(__xludf.DUMMYFUNCTION("""COMPUTED_VALUE"""),3.0)</f>
        <v>3</v>
      </c>
      <c r="K427" s="132" t="str">
        <f>IFERROR(__xludf.DUMMYFUNCTION("""COMPUTED_VALUE"""),"CT10659")</f>
        <v>CT10659</v>
      </c>
      <c r="L427" s="121" t="str">
        <f>IFERROR(__xludf.DUMMYFUNCTION("""COMPUTED_VALUE"""),"Dr.THANGA PARVATHI B")</f>
        <v>Dr.THANGA PARVATHI B</v>
      </c>
      <c r="M427" s="121" t="str">
        <f>IFERROR(__xludf.DUMMYFUNCTION("""COMPUTED_VALUE"""),"btparvathi@bitsathy.ac.in")</f>
        <v>btparvathi@bitsathy.ac.in</v>
      </c>
    </row>
    <row r="428" ht="49.5" customHeight="1">
      <c r="A428" s="121" t="str">
        <f>IFERROR(__xludf.DUMMYFUNCTION("""COMPUTED_VALUE"""),"CSE")</f>
        <v>CSE</v>
      </c>
      <c r="B428" s="121" t="str">
        <f>IFERROR(__xludf.DUMMYFUNCTION("""COMPUTED_VALUE"""),"PG")</f>
        <v>PG</v>
      </c>
      <c r="C428" s="121" t="str">
        <f>IFERROR(__xludf.DUMMYFUNCTION("""COMPUTED_VALUE"""),"CORE")</f>
        <v>CORE</v>
      </c>
      <c r="D428" s="121" t="str">
        <f>IFERROR(__xludf.DUMMYFUNCTION("""COMPUTED_VALUE"""),"24CS27")</f>
        <v>24CS27</v>
      </c>
      <c r="E428" s="131" t="str">
        <f>IFERROR(__xludf.DUMMYFUNCTION("""COMPUTED_VALUE"""),"MACHINE LEARNING LABORATORY")</f>
        <v>MACHINE LEARNING LABORATORY</v>
      </c>
      <c r="F428" s="121" t="str">
        <f>IFERROR(__xludf.DUMMYFUNCTION("""COMPUTED_VALUE"""),"LAB")</f>
        <v>LAB</v>
      </c>
      <c r="G428" s="121">
        <f>IFERROR(__xludf.DUMMYFUNCTION("""COMPUTED_VALUE"""),0.0)</f>
        <v>0</v>
      </c>
      <c r="H428" s="121">
        <f>IFERROR(__xludf.DUMMYFUNCTION("""COMPUTED_VALUE"""),0.0)</f>
        <v>0</v>
      </c>
      <c r="I428" s="121">
        <f>IFERROR(__xludf.DUMMYFUNCTION("""COMPUTED_VALUE"""),4.0)</f>
        <v>4</v>
      </c>
      <c r="J428" s="121">
        <f>IFERROR(__xludf.DUMMYFUNCTION("""COMPUTED_VALUE"""),2.0)</f>
        <v>2</v>
      </c>
      <c r="K428" s="132" t="str">
        <f>IFERROR(__xludf.DUMMYFUNCTION("""COMPUTED_VALUE"""),"CS10861")</f>
        <v>CS10861</v>
      </c>
      <c r="L428" s="121" t="str">
        <f>IFERROR(__xludf.DUMMYFUNCTION("""COMPUTED_VALUE"""),"Ms.SANGAVI N")</f>
        <v>Ms.SANGAVI N</v>
      </c>
      <c r="M428" s="121" t="str">
        <f>IFERROR(__xludf.DUMMYFUNCTION("""COMPUTED_VALUE"""),"sangavin@bitsathy.ac.in")</f>
        <v>sangavin@bitsathy.ac.in</v>
      </c>
    </row>
    <row r="429" ht="49.5" customHeight="1">
      <c r="A429" s="121" t="str">
        <f>IFERROR(__xludf.DUMMYFUNCTION("""COMPUTED_VALUE"""),"CSE")</f>
        <v>CSE</v>
      </c>
      <c r="B429" s="121" t="str">
        <f>IFERROR(__xludf.DUMMYFUNCTION("""COMPUTED_VALUE"""),"PG")</f>
        <v>PG</v>
      </c>
      <c r="C429" s="121" t="str">
        <f>IFERROR(__xludf.DUMMYFUNCTION("""COMPUTED_VALUE"""),"CORE")</f>
        <v>CORE</v>
      </c>
      <c r="D429" s="121" t="str">
        <f>IFERROR(__xludf.DUMMYFUNCTION("""COMPUTED_VALUE"""),"24CS28")</f>
        <v>24CS28</v>
      </c>
      <c r="E429" s="131" t="str">
        <f>IFERROR(__xludf.DUMMYFUNCTION("""COMPUTED_VALUE"""),"MINI PROJECT")</f>
        <v>MINI PROJECT</v>
      </c>
      <c r="F429" s="121" t="str">
        <f>IFERROR(__xludf.DUMMYFUNCTION("""COMPUTED_VALUE"""),"LAB")</f>
        <v>LAB</v>
      </c>
      <c r="G429" s="121">
        <f>IFERROR(__xludf.DUMMYFUNCTION("""COMPUTED_VALUE"""),0.0)</f>
        <v>0</v>
      </c>
      <c r="H429" s="121">
        <f>IFERROR(__xludf.DUMMYFUNCTION("""COMPUTED_VALUE"""),0.0)</f>
        <v>0</v>
      </c>
      <c r="I429" s="121">
        <f>IFERROR(__xludf.DUMMYFUNCTION("""COMPUTED_VALUE"""),4.0)</f>
        <v>4</v>
      </c>
      <c r="J429" s="121">
        <f>IFERROR(__xludf.DUMMYFUNCTION("""COMPUTED_VALUE"""),2.0)</f>
        <v>2</v>
      </c>
      <c r="K429" s="132"/>
      <c r="L429" s="121"/>
      <c r="M429" s="121"/>
    </row>
    <row r="430" ht="49.5" customHeight="1">
      <c r="A430" s="121" t="str">
        <f>IFERROR(__xludf.DUMMYFUNCTION("""COMPUTED_VALUE"""),"CSBS")</f>
        <v>CSBS</v>
      </c>
      <c r="B430" s="121" t="str">
        <f>IFERROR(__xludf.DUMMYFUNCTION("""COMPUTED_VALUE"""),"S4")</f>
        <v>S4</v>
      </c>
      <c r="C430" s="121" t="str">
        <f>IFERROR(__xludf.DUMMYFUNCTION("""COMPUTED_VALUE"""),"CORE")</f>
        <v>CORE</v>
      </c>
      <c r="D430" s="121" t="str">
        <f>IFERROR(__xludf.DUMMYFUNCTION("""COMPUTED_VALUE"""),"22CB401")</f>
        <v>22CB401</v>
      </c>
      <c r="E430" s="131" t="str">
        <f>IFERROR(__xludf.DUMMYFUNCTION("""COMPUTED_VALUE"""),"OPERATING SYSTEMS")</f>
        <v>OPERATING SYSTEMS</v>
      </c>
      <c r="F430" s="121" t="str">
        <f>IFERROR(__xludf.DUMMYFUNCTION("""COMPUTED_VALUE"""),"THEORY WITH LAB")</f>
        <v>THEORY WITH LAB</v>
      </c>
      <c r="G430" s="121">
        <f>IFERROR(__xludf.DUMMYFUNCTION("""COMPUTED_VALUE"""),3.0)</f>
        <v>3</v>
      </c>
      <c r="H430" s="121">
        <f>IFERROR(__xludf.DUMMYFUNCTION("""COMPUTED_VALUE"""),0.0)</f>
        <v>0</v>
      </c>
      <c r="I430" s="121">
        <f>IFERROR(__xludf.DUMMYFUNCTION("""COMPUTED_VALUE"""),2.0)</f>
        <v>2</v>
      </c>
      <c r="J430" s="121">
        <f>IFERROR(__xludf.DUMMYFUNCTION("""COMPUTED_VALUE"""),4.0)</f>
        <v>4</v>
      </c>
      <c r="K430" s="132" t="str">
        <f>IFERROR(__xludf.DUMMYFUNCTION("""COMPUTED_VALUE"""),"CB10992")</f>
        <v>CB10992</v>
      </c>
      <c r="L430" s="121" t="str">
        <f>IFERROR(__xludf.DUMMYFUNCTION("""COMPUTED_VALUE"""),"Mrs.SARANYA N")</f>
        <v>Mrs.SARANYA N</v>
      </c>
      <c r="M430" s="121" t="str">
        <f>IFERROR(__xludf.DUMMYFUNCTION("""COMPUTED_VALUE"""),"saranyanj@bitsathy.ac.in")</f>
        <v>saranyanj@bitsathy.ac.in</v>
      </c>
    </row>
    <row r="431" ht="49.5" customHeight="1">
      <c r="A431" s="121" t="str">
        <f>IFERROR(__xludf.DUMMYFUNCTION("""COMPUTED_VALUE"""),"CSBS")</f>
        <v>CSBS</v>
      </c>
      <c r="B431" s="121" t="str">
        <f>IFERROR(__xludf.DUMMYFUNCTION("""COMPUTED_VALUE"""),"S4")</f>
        <v>S4</v>
      </c>
      <c r="C431" s="121" t="str">
        <f>IFERROR(__xludf.DUMMYFUNCTION("""COMPUTED_VALUE"""),"CORE")</f>
        <v>CORE</v>
      </c>
      <c r="D431" s="121" t="str">
        <f>IFERROR(__xludf.DUMMYFUNCTION("""COMPUTED_VALUE"""),"22CB402")</f>
        <v>22CB402</v>
      </c>
      <c r="E431" s="131" t="str">
        <f>IFERROR(__xludf.DUMMYFUNCTION("""COMPUTED_VALUE"""),"SOFTWARE ENGINEERING")</f>
        <v>SOFTWARE ENGINEERING</v>
      </c>
      <c r="F431" s="121" t="str">
        <f>IFERROR(__xludf.DUMMYFUNCTION("""COMPUTED_VALUE"""),"THEORY WITH LAB")</f>
        <v>THEORY WITH LAB</v>
      </c>
      <c r="G431" s="121">
        <f>IFERROR(__xludf.DUMMYFUNCTION("""COMPUTED_VALUE"""),3.0)</f>
        <v>3</v>
      </c>
      <c r="H431" s="121">
        <f>IFERROR(__xludf.DUMMYFUNCTION("""COMPUTED_VALUE"""),0.0)</f>
        <v>0</v>
      </c>
      <c r="I431" s="121">
        <f>IFERROR(__xludf.DUMMYFUNCTION("""COMPUTED_VALUE"""),2.0)</f>
        <v>2</v>
      </c>
      <c r="J431" s="121">
        <f>IFERROR(__xludf.DUMMYFUNCTION("""COMPUTED_VALUE"""),4.0)</f>
        <v>4</v>
      </c>
      <c r="K431" s="132" t="str">
        <f>IFERROR(__xludf.DUMMYFUNCTION("""COMPUTED_VALUE"""),"AM11100")</f>
        <v>AM11100</v>
      </c>
      <c r="L431" s="121" t="str">
        <f>IFERROR(__xludf.DUMMYFUNCTION("""COMPUTED_VALUE"""),"Ms.NISHANTHINI S")</f>
        <v>Ms.NISHANTHINI S</v>
      </c>
      <c r="M431" s="121" t="str">
        <f>IFERROR(__xludf.DUMMYFUNCTION("""COMPUTED_VALUE"""),"nishanthinis@bitsathy.ac.in")</f>
        <v>nishanthinis@bitsathy.ac.in</v>
      </c>
    </row>
    <row r="432" ht="49.5" customHeight="1">
      <c r="A432" s="121" t="str">
        <f>IFERROR(__xludf.DUMMYFUNCTION("""COMPUTED_VALUE"""),"CSBS")</f>
        <v>CSBS</v>
      </c>
      <c r="B432" s="121" t="str">
        <f>IFERROR(__xludf.DUMMYFUNCTION("""COMPUTED_VALUE"""),"S4")</f>
        <v>S4</v>
      </c>
      <c r="C432" s="121" t="str">
        <f>IFERROR(__xludf.DUMMYFUNCTION("""COMPUTED_VALUE"""),"CORE")</f>
        <v>CORE</v>
      </c>
      <c r="D432" s="121" t="str">
        <f>IFERROR(__xludf.DUMMYFUNCTION("""COMPUTED_VALUE"""),"22CB403")</f>
        <v>22CB403</v>
      </c>
      <c r="E432" s="131" t="str">
        <f>IFERROR(__xludf.DUMMYFUNCTION("""COMPUTED_VALUE"""),"DESIGN AND ANALYSIS OF ALGORITHMS")</f>
        <v>DESIGN AND ANALYSIS OF ALGORITHMS</v>
      </c>
      <c r="F432" s="121" t="str">
        <f>IFERROR(__xludf.DUMMYFUNCTION("""COMPUTED_VALUE"""),"THEORY")</f>
        <v>THEORY</v>
      </c>
      <c r="G432" s="121">
        <f>IFERROR(__xludf.DUMMYFUNCTION("""COMPUTED_VALUE"""),3.0)</f>
        <v>3</v>
      </c>
      <c r="H432" s="121">
        <f>IFERROR(__xludf.DUMMYFUNCTION("""COMPUTED_VALUE"""),0.0)</f>
        <v>0</v>
      </c>
      <c r="I432" s="121">
        <f>IFERROR(__xludf.DUMMYFUNCTION("""COMPUTED_VALUE"""),2.0)</f>
        <v>2</v>
      </c>
      <c r="J432" s="121">
        <f>IFERROR(__xludf.DUMMYFUNCTION("""COMPUTED_VALUE"""),4.0)</f>
        <v>4</v>
      </c>
      <c r="K432" s="132" t="str">
        <f>IFERROR(__xludf.DUMMYFUNCTION("""COMPUTED_VALUE"""),"CB10791")</f>
        <v>CB10791</v>
      </c>
      <c r="L432" s="121" t="str">
        <f>IFERROR(__xludf.DUMMYFUNCTION("""COMPUTED_VALUE"""),"Mr.CHANDRU K S")</f>
        <v>Mr.CHANDRU K S</v>
      </c>
      <c r="M432" s="121" t="str">
        <f>IFERROR(__xludf.DUMMYFUNCTION("""COMPUTED_VALUE"""),"chandruks@bitsathy.ac.in")</f>
        <v>chandruks@bitsathy.ac.in</v>
      </c>
    </row>
    <row r="433" ht="49.5" customHeight="1">
      <c r="A433" s="121" t="str">
        <f>IFERROR(__xludf.DUMMYFUNCTION("""COMPUTED_VALUE"""),"CSBS")</f>
        <v>CSBS</v>
      </c>
      <c r="B433" s="121" t="str">
        <f>IFERROR(__xludf.DUMMYFUNCTION("""COMPUTED_VALUE"""),"S4")</f>
        <v>S4</v>
      </c>
      <c r="C433" s="121" t="str">
        <f>IFERROR(__xludf.DUMMYFUNCTION("""COMPUTED_VALUE"""),"CORE")</f>
        <v>CORE</v>
      </c>
      <c r="D433" s="121" t="str">
        <f>IFERROR(__xludf.DUMMYFUNCTION("""COMPUTED_VALUE"""),"22CB403")</f>
        <v>22CB403</v>
      </c>
      <c r="E433" s="131" t="str">
        <f>IFERROR(__xludf.DUMMYFUNCTION("""COMPUTED_VALUE"""),"DESIGN AND ANALYSIS OF ALGORITHMS")</f>
        <v>DESIGN AND ANALYSIS OF ALGORITHMS</v>
      </c>
      <c r="F433" s="121" t="str">
        <f>IFERROR(__xludf.DUMMYFUNCTION("""COMPUTED_VALUE"""),"LAB")</f>
        <v>LAB</v>
      </c>
      <c r="G433" s="121">
        <f>IFERROR(__xludf.DUMMYFUNCTION("""COMPUTED_VALUE"""),3.0)</f>
        <v>3</v>
      </c>
      <c r="H433" s="121">
        <f>IFERROR(__xludf.DUMMYFUNCTION("""COMPUTED_VALUE"""),0.0)</f>
        <v>0</v>
      </c>
      <c r="I433" s="121">
        <f>IFERROR(__xludf.DUMMYFUNCTION("""COMPUTED_VALUE"""),2.0)</f>
        <v>2</v>
      </c>
      <c r="J433" s="121">
        <f>IFERROR(__xludf.DUMMYFUNCTION("""COMPUTED_VALUE"""),4.0)</f>
        <v>4</v>
      </c>
      <c r="K433" s="132" t="str">
        <f>IFERROR(__xludf.DUMMYFUNCTION("""COMPUTED_VALUE"""),"CB10791")</f>
        <v>CB10791</v>
      </c>
      <c r="L433" s="121" t="str">
        <f>IFERROR(__xludf.DUMMYFUNCTION("""COMPUTED_VALUE"""),"Mr.CHANDRU K S")</f>
        <v>Mr.CHANDRU K S</v>
      </c>
      <c r="M433" s="121" t="str">
        <f>IFERROR(__xludf.DUMMYFUNCTION("""COMPUTED_VALUE"""),"chandruks@bitsathy.ac.in")</f>
        <v>chandruks@bitsathy.ac.in</v>
      </c>
    </row>
    <row r="434" ht="49.5" customHeight="1">
      <c r="A434" s="121" t="str">
        <f>IFERROR(__xludf.DUMMYFUNCTION("""COMPUTED_VALUE"""),"CSBS")</f>
        <v>CSBS</v>
      </c>
      <c r="B434" s="121" t="str">
        <f>IFERROR(__xludf.DUMMYFUNCTION("""COMPUTED_VALUE"""),"S4")</f>
        <v>S4</v>
      </c>
      <c r="C434" s="121" t="str">
        <f>IFERROR(__xludf.DUMMYFUNCTION("""COMPUTED_VALUE"""),"CORE")</f>
        <v>CORE</v>
      </c>
      <c r="D434" s="121" t="str">
        <f>IFERROR(__xludf.DUMMYFUNCTION("""COMPUTED_VALUE"""),"22CB404")</f>
        <v>22CB404</v>
      </c>
      <c r="E434" s="131" t="str">
        <f>IFERROR(__xludf.DUMMYFUNCTION("""COMPUTED_VALUE"""),"DESIGN THINKING")</f>
        <v>DESIGN THINKING</v>
      </c>
      <c r="F434" s="121" t="str">
        <f>IFERROR(__xludf.DUMMYFUNCTION("""COMPUTED_VALUE"""),"THEORY")</f>
        <v>THEORY</v>
      </c>
      <c r="G434" s="121">
        <f>IFERROR(__xludf.DUMMYFUNCTION("""COMPUTED_VALUE"""),3.0)</f>
        <v>3</v>
      </c>
      <c r="H434" s="121">
        <f>IFERROR(__xludf.DUMMYFUNCTION("""COMPUTED_VALUE"""),0.0)</f>
        <v>0</v>
      </c>
      <c r="I434" s="121">
        <f>IFERROR(__xludf.DUMMYFUNCTION("""COMPUTED_VALUE"""),0.0)</f>
        <v>0</v>
      </c>
      <c r="J434" s="121">
        <f>IFERROR(__xludf.DUMMYFUNCTION("""COMPUTED_VALUE"""),3.0)</f>
        <v>3</v>
      </c>
      <c r="K434" s="132" t="str">
        <f>IFERROR(__xludf.DUMMYFUNCTION("""COMPUTED_VALUE"""),"CS10974")</f>
        <v>CS10974</v>
      </c>
      <c r="L434" s="121" t="str">
        <f>IFERROR(__xludf.DUMMYFUNCTION("""COMPUTED_VALUE"""),"Mr.STEEPHAN AMALRAJ J")</f>
        <v>Mr.STEEPHAN AMALRAJ J</v>
      </c>
      <c r="M434" s="133" t="str">
        <f>IFERROR(__xludf.DUMMYFUNCTION("""COMPUTED_VALUE"""),"steephanamalrajj@bitsathy.ac.in")</f>
        <v>steephanamalrajj@bitsathy.ac.in</v>
      </c>
    </row>
    <row r="435" ht="49.5" customHeight="1">
      <c r="A435" s="121" t="str">
        <f>IFERROR(__xludf.DUMMYFUNCTION("""COMPUTED_VALUE"""),"CSBS")</f>
        <v>CSBS</v>
      </c>
      <c r="B435" s="121" t="str">
        <f>IFERROR(__xludf.DUMMYFUNCTION("""COMPUTED_VALUE"""),"S4")</f>
        <v>S4</v>
      </c>
      <c r="C435" s="121" t="str">
        <f>IFERROR(__xludf.DUMMYFUNCTION("""COMPUTED_VALUE"""),"CORE")</f>
        <v>CORE</v>
      </c>
      <c r="D435" s="121" t="str">
        <f>IFERROR(__xludf.DUMMYFUNCTION("""COMPUTED_VALUE"""),"22CB405")</f>
        <v>22CB405</v>
      </c>
      <c r="E435" s="131" t="str">
        <f>IFERROR(__xludf.DUMMYFUNCTION("""COMPUTED_VALUE"""),"OPERATIONS RESEARCH")</f>
        <v>OPERATIONS RESEARCH</v>
      </c>
      <c r="F435" s="121" t="str">
        <f>IFERROR(__xludf.DUMMYFUNCTION("""COMPUTED_VALUE"""),"THEORY WITH LAB")</f>
        <v>THEORY WITH LAB</v>
      </c>
      <c r="G435" s="121">
        <f>IFERROR(__xludf.DUMMYFUNCTION("""COMPUTED_VALUE"""),2.0)</f>
        <v>2</v>
      </c>
      <c r="H435" s="121">
        <f>IFERROR(__xludf.DUMMYFUNCTION("""COMPUTED_VALUE"""),0.0)</f>
        <v>0</v>
      </c>
      <c r="I435" s="121">
        <f>IFERROR(__xludf.DUMMYFUNCTION("""COMPUTED_VALUE"""),2.0)</f>
        <v>2</v>
      </c>
      <c r="J435" s="121">
        <f>IFERROR(__xludf.DUMMYFUNCTION("""COMPUTED_VALUE"""),3.0)</f>
        <v>3</v>
      </c>
      <c r="K435" s="132" t="str">
        <f>IFERROR(__xludf.DUMMYFUNCTION("""COMPUTED_VALUE"""),"MA1342")</f>
        <v>MA1342</v>
      </c>
      <c r="L435" s="121" t="str">
        <f>IFERROR(__xludf.DUMMYFUNCTION("""COMPUTED_VALUE"""),"Dr.VINOTHINI V R")</f>
        <v>Dr.VINOTHINI V R</v>
      </c>
      <c r="M435" s="121" t="str">
        <f>IFERROR(__xludf.DUMMYFUNCTION("""COMPUTED_VALUE"""),"vinothinivr@bitsathy.ac.in")</f>
        <v>vinothinivr@bitsathy.ac.in</v>
      </c>
    </row>
    <row r="436" ht="49.5" customHeight="1">
      <c r="A436" s="121" t="str">
        <f>IFERROR(__xludf.DUMMYFUNCTION("""COMPUTED_VALUE"""),"CSBS")</f>
        <v>CSBS</v>
      </c>
      <c r="B436" s="121" t="str">
        <f>IFERROR(__xludf.DUMMYFUNCTION("""COMPUTED_VALUE"""),"S4")</f>
        <v>S4</v>
      </c>
      <c r="C436" s="121" t="str">
        <f>IFERROR(__xludf.DUMMYFUNCTION("""COMPUTED_VALUE"""),"CORE")</f>
        <v>CORE</v>
      </c>
      <c r="D436" s="121" t="str">
        <f>IFERROR(__xludf.DUMMYFUNCTION("""COMPUTED_VALUE"""),"22CB406")</f>
        <v>22CB406</v>
      </c>
      <c r="E436" s="131" t="str">
        <f>IFERROR(__xludf.DUMMYFUNCTION("""COMPUTED_VALUE"""),"MARKETING RESEARCH AND MARKETING MANAGEMENT")</f>
        <v>MARKETING RESEARCH AND MARKETING MANAGEMENT</v>
      </c>
      <c r="F436" s="121" t="str">
        <f>IFERROR(__xludf.DUMMYFUNCTION("""COMPUTED_VALUE"""),"THEORY")</f>
        <v>THEORY</v>
      </c>
      <c r="G436" s="121">
        <f>IFERROR(__xludf.DUMMYFUNCTION("""COMPUTED_VALUE"""),2.0)</f>
        <v>2</v>
      </c>
      <c r="H436" s="121">
        <f>IFERROR(__xludf.DUMMYFUNCTION("""COMPUTED_VALUE"""),0.0)</f>
        <v>0</v>
      </c>
      <c r="I436" s="121">
        <f>IFERROR(__xludf.DUMMYFUNCTION("""COMPUTED_VALUE"""),0.0)</f>
        <v>0</v>
      </c>
      <c r="J436" s="121">
        <f>IFERROR(__xludf.DUMMYFUNCTION("""COMPUTED_VALUE"""),2.0)</f>
        <v>2</v>
      </c>
      <c r="K436" s="132" t="str">
        <f>IFERROR(__xludf.DUMMYFUNCTION("""COMPUTED_VALUE"""),"SM11120")</f>
        <v>SM11120</v>
      </c>
      <c r="L436" s="121" t="str">
        <f>IFERROR(__xludf.DUMMYFUNCTION("""COMPUTED_VALUE"""),"Dr.VIDHYA S")</f>
        <v>Dr.VIDHYA S</v>
      </c>
      <c r="M436" s="121" t="str">
        <f>IFERROR(__xludf.DUMMYFUNCTION("""COMPUTED_VALUE"""),"vidhyas@bitsathy.ac.in")</f>
        <v>vidhyas@bitsathy.ac.in</v>
      </c>
    </row>
    <row r="437" ht="49.5" customHeight="1">
      <c r="A437" s="121" t="str">
        <f>IFERROR(__xludf.DUMMYFUNCTION("""COMPUTED_VALUE"""),"CSBS")</f>
        <v>CSBS</v>
      </c>
      <c r="B437" s="121" t="str">
        <f>IFERROR(__xludf.DUMMYFUNCTION("""COMPUTED_VALUE"""),"S4")</f>
        <v>S4</v>
      </c>
      <c r="C437" s="121" t="str">
        <f>IFERROR(__xludf.DUMMYFUNCTION("""COMPUTED_VALUE"""),"ELECTIVE 1")</f>
        <v>ELECTIVE 1</v>
      </c>
      <c r="D437" s="121" t="str">
        <f>IFERROR(__xludf.DUMMYFUNCTION("""COMPUTED_VALUE"""),"22CB031")</f>
        <v>22CB031</v>
      </c>
      <c r="E437" s="131" t="str">
        <f>IFERROR(__xludf.DUMMYFUNCTION("""COMPUTED_VALUE"""),"INTRODUCTION TO INNOVATION IP MANAGEMENT AND ENTREPRENEURSHIP")</f>
        <v>INTRODUCTION TO INNOVATION IP MANAGEMENT AND ENTREPRENEURSHIP</v>
      </c>
      <c r="F437" s="121" t="str">
        <f>IFERROR(__xludf.DUMMYFUNCTION("""COMPUTED_VALUE"""),"THEORY")</f>
        <v>THEORY</v>
      </c>
      <c r="G437" s="121">
        <f>IFERROR(__xludf.DUMMYFUNCTION("""COMPUTED_VALUE"""),3.0)</f>
        <v>3</v>
      </c>
      <c r="H437" s="121">
        <f>IFERROR(__xludf.DUMMYFUNCTION("""COMPUTED_VALUE"""),0.0)</f>
        <v>0</v>
      </c>
      <c r="I437" s="121">
        <f>IFERROR(__xludf.DUMMYFUNCTION("""COMPUTED_VALUE"""),0.0)</f>
        <v>0</v>
      </c>
      <c r="J437" s="121">
        <f>IFERROR(__xludf.DUMMYFUNCTION("""COMPUTED_VALUE"""),3.0)</f>
        <v>3</v>
      </c>
      <c r="K437" s="132" t="str">
        <f>IFERROR(__xludf.DUMMYFUNCTION("""COMPUTED_VALUE"""),"CB11170")</f>
        <v>CB11170</v>
      </c>
      <c r="L437" s="121" t="str">
        <f>IFERROR(__xludf.DUMMYFUNCTION("""COMPUTED_VALUE"""),"Ms.VAISHNAVI N")</f>
        <v>Ms.VAISHNAVI N</v>
      </c>
      <c r="M437" s="121" t="str">
        <f>IFERROR(__xludf.DUMMYFUNCTION("""COMPUTED_VALUE"""),"vaishnavin@bitsathy.ac.in")</f>
        <v>vaishnavin@bitsathy.ac.in</v>
      </c>
    </row>
    <row r="438" ht="49.5" customHeight="1">
      <c r="A438" s="121" t="str">
        <f>IFERROR(__xludf.DUMMYFUNCTION("""COMPUTED_VALUE"""),"CSBS")</f>
        <v>CSBS</v>
      </c>
      <c r="B438" s="121" t="str">
        <f>IFERROR(__xludf.DUMMYFUNCTION("""COMPUTED_VALUE"""),"S4")</f>
        <v>S4</v>
      </c>
      <c r="C438" s="121" t="str">
        <f>IFERROR(__xludf.DUMMYFUNCTION("""COMPUTED_VALUE"""),"CORE")</f>
        <v>CORE</v>
      </c>
      <c r="D438" s="121" t="str">
        <f>IFERROR(__xludf.DUMMYFUNCTION("""COMPUTED_VALUE"""),"22HS007")</f>
        <v>22HS007</v>
      </c>
      <c r="E438" s="131" t="str">
        <f>IFERROR(__xludf.DUMMYFUNCTION("""COMPUTED_VALUE"""),"ENVIRONMENTAL SCIENCE")</f>
        <v>ENVIRONMENTAL SCIENCE</v>
      </c>
      <c r="F438" s="121" t="str">
        <f>IFERROR(__xludf.DUMMYFUNCTION("""COMPUTED_VALUE"""),"LAB")</f>
        <v>LAB</v>
      </c>
      <c r="G438" s="121">
        <f>IFERROR(__xludf.DUMMYFUNCTION("""COMPUTED_VALUE"""),2.0)</f>
        <v>2</v>
      </c>
      <c r="H438" s="121">
        <f>IFERROR(__xludf.DUMMYFUNCTION("""COMPUTED_VALUE"""),0.0)</f>
        <v>0</v>
      </c>
      <c r="I438" s="121">
        <f>IFERROR(__xludf.DUMMYFUNCTION("""COMPUTED_VALUE"""),0.0)</f>
        <v>0</v>
      </c>
      <c r="J438" s="121">
        <f>IFERROR(__xludf.DUMMYFUNCTION("""COMPUTED_VALUE"""),2.0)</f>
        <v>2</v>
      </c>
      <c r="K438" s="132" t="str">
        <f>IFERROR(__xludf.DUMMYFUNCTION("""COMPUTED_VALUE"""),"CH11127")</f>
        <v>CH11127</v>
      </c>
      <c r="L438" s="121" t="str">
        <f>IFERROR(__xludf.DUMMYFUNCTION("""COMPUTED_VALUE"""),"Dr.MANIGANDAN S")</f>
        <v>Dr.MANIGANDAN S</v>
      </c>
      <c r="M438" s="121" t="str">
        <f>IFERROR(__xludf.DUMMYFUNCTION("""COMPUTED_VALUE"""),"manigandan@bitsathy.ac.in")</f>
        <v>manigandan@bitsathy.ac.in</v>
      </c>
    </row>
    <row r="439" ht="49.5" customHeight="1">
      <c r="A439" s="121" t="str">
        <f>IFERROR(__xludf.DUMMYFUNCTION("""COMPUTED_VALUE"""),"CSBS")</f>
        <v>CSBS</v>
      </c>
      <c r="B439" s="121" t="str">
        <f>IFERROR(__xludf.DUMMYFUNCTION("""COMPUTED_VALUE"""),"S6")</f>
        <v>S6</v>
      </c>
      <c r="C439" s="121" t="str">
        <f>IFERROR(__xludf.DUMMYFUNCTION("""COMPUTED_VALUE"""),"CORE")</f>
        <v>CORE</v>
      </c>
      <c r="D439" s="121" t="str">
        <f>IFERROR(__xludf.DUMMYFUNCTION("""COMPUTED_VALUE"""),"22CB601")</f>
        <v>22CB601</v>
      </c>
      <c r="E439" s="131" t="str">
        <f>IFERROR(__xludf.DUMMYFUNCTION("""COMPUTED_VALUE"""),"COMPUTER NETWORKS")</f>
        <v>COMPUTER NETWORKS</v>
      </c>
      <c r="F439" s="121" t="str">
        <f>IFERROR(__xludf.DUMMYFUNCTION("""COMPUTED_VALUE"""),"THEORY WITH LAB")</f>
        <v>THEORY WITH LAB</v>
      </c>
      <c r="G439" s="121">
        <f>IFERROR(__xludf.DUMMYFUNCTION("""COMPUTED_VALUE"""),3.0)</f>
        <v>3</v>
      </c>
      <c r="H439" s="121">
        <f>IFERROR(__xludf.DUMMYFUNCTION("""COMPUTED_VALUE"""),0.0)</f>
        <v>0</v>
      </c>
      <c r="I439" s="121">
        <f>IFERROR(__xludf.DUMMYFUNCTION("""COMPUTED_VALUE"""),2.0)</f>
        <v>2</v>
      </c>
      <c r="J439" s="121">
        <f>IFERROR(__xludf.DUMMYFUNCTION("""COMPUTED_VALUE"""),4.0)</f>
        <v>4</v>
      </c>
      <c r="K439" s="132" t="str">
        <f>IFERROR(__xludf.DUMMYFUNCTION("""COMPUTED_VALUE"""),"CB11170")</f>
        <v>CB11170</v>
      </c>
      <c r="L439" s="121" t="str">
        <f>IFERROR(__xludf.DUMMYFUNCTION("""COMPUTED_VALUE"""),"Ms.VAISHNAVI N")</f>
        <v>Ms.VAISHNAVI N</v>
      </c>
      <c r="M439" s="121" t="str">
        <f>IFERROR(__xludf.DUMMYFUNCTION("""COMPUTED_VALUE"""),"vaishnavin@bitsathy.ac.in")</f>
        <v>vaishnavin@bitsathy.ac.in</v>
      </c>
    </row>
    <row r="440" ht="49.5" customHeight="1">
      <c r="A440" s="121" t="str">
        <f>IFERROR(__xludf.DUMMYFUNCTION("""COMPUTED_VALUE"""),"CSBS")</f>
        <v>CSBS</v>
      </c>
      <c r="B440" s="121" t="str">
        <f>IFERROR(__xludf.DUMMYFUNCTION("""COMPUTED_VALUE"""),"S6")</f>
        <v>S6</v>
      </c>
      <c r="C440" s="121" t="str">
        <f>IFERROR(__xludf.DUMMYFUNCTION("""COMPUTED_VALUE"""),"CORE")</f>
        <v>CORE</v>
      </c>
      <c r="D440" s="121" t="str">
        <f>IFERROR(__xludf.DUMMYFUNCTION("""COMPUTED_VALUE"""),"22CB602")</f>
        <v>22CB602</v>
      </c>
      <c r="E440" s="131" t="str">
        <f>IFERROR(__xludf.DUMMYFUNCTION("""COMPUTED_VALUE"""),"INFORMATION SECURITY")</f>
        <v>INFORMATION SECURITY</v>
      </c>
      <c r="F440" s="121" t="str">
        <f>IFERROR(__xludf.DUMMYFUNCTION("""COMPUTED_VALUE"""),"THEORY")</f>
        <v>THEORY</v>
      </c>
      <c r="G440" s="121">
        <f>IFERROR(__xludf.DUMMYFUNCTION("""COMPUTED_VALUE"""),3.0)</f>
        <v>3</v>
      </c>
      <c r="H440" s="121">
        <f>IFERROR(__xludf.DUMMYFUNCTION("""COMPUTED_VALUE"""),0.0)</f>
        <v>0</v>
      </c>
      <c r="I440" s="121">
        <f>IFERROR(__xludf.DUMMYFUNCTION("""COMPUTED_VALUE"""),0.0)</f>
        <v>0</v>
      </c>
      <c r="J440" s="121">
        <f>IFERROR(__xludf.DUMMYFUNCTION("""COMPUTED_VALUE"""),3.0)</f>
        <v>3</v>
      </c>
      <c r="K440" s="132" t="str">
        <f>IFERROR(__xludf.DUMMYFUNCTION("""COMPUTED_VALUE"""),"CB10992")</f>
        <v>CB10992</v>
      </c>
      <c r="L440" s="121" t="str">
        <f>IFERROR(__xludf.DUMMYFUNCTION("""COMPUTED_VALUE"""),"Mrs.SARANYA N")</f>
        <v>Mrs.SARANYA N</v>
      </c>
      <c r="M440" s="121" t="str">
        <f>IFERROR(__xludf.DUMMYFUNCTION("""COMPUTED_VALUE"""),"saranyanj@bitsathy.ac.in")</f>
        <v>saranyanj@bitsathy.ac.in</v>
      </c>
    </row>
    <row r="441" ht="49.5" customHeight="1">
      <c r="A441" s="121" t="str">
        <f>IFERROR(__xludf.DUMMYFUNCTION("""COMPUTED_VALUE"""),"CSBS")</f>
        <v>CSBS</v>
      </c>
      <c r="B441" s="121" t="str">
        <f>IFERROR(__xludf.DUMMYFUNCTION("""COMPUTED_VALUE"""),"S6")</f>
        <v>S6</v>
      </c>
      <c r="C441" s="121" t="str">
        <f>IFERROR(__xludf.DUMMYFUNCTION("""COMPUTED_VALUE"""),"CORE")</f>
        <v>CORE</v>
      </c>
      <c r="D441" s="121" t="str">
        <f>IFERROR(__xludf.DUMMYFUNCTION("""COMPUTED_VALUE"""),"22CB603")</f>
        <v>22CB603</v>
      </c>
      <c r="E441" s="131" t="str">
        <f>IFERROR(__xludf.DUMMYFUNCTION("""COMPUTED_VALUE"""),"ARTIFICIAL INTELLIGENCE")</f>
        <v>ARTIFICIAL INTELLIGENCE</v>
      </c>
      <c r="F441" s="121" t="str">
        <f>IFERROR(__xludf.DUMMYFUNCTION("""COMPUTED_VALUE"""),"THEORY WITH LAB")</f>
        <v>THEORY WITH LAB</v>
      </c>
      <c r="G441" s="121">
        <f>IFERROR(__xludf.DUMMYFUNCTION("""COMPUTED_VALUE"""),3.0)</f>
        <v>3</v>
      </c>
      <c r="H441" s="121">
        <f>IFERROR(__xludf.DUMMYFUNCTION("""COMPUTED_VALUE"""),0.0)</f>
        <v>0</v>
      </c>
      <c r="I441" s="121">
        <f>IFERROR(__xludf.DUMMYFUNCTION("""COMPUTED_VALUE"""),2.0)</f>
        <v>2</v>
      </c>
      <c r="J441" s="121">
        <f>IFERROR(__xludf.DUMMYFUNCTION("""COMPUTED_VALUE"""),4.0)</f>
        <v>4</v>
      </c>
      <c r="K441" s="132" t="str">
        <f>IFERROR(__xludf.DUMMYFUNCTION("""COMPUTED_VALUE"""),"AM10795")</f>
        <v>AM10795</v>
      </c>
      <c r="L441" s="121" t="str">
        <f>IFERROR(__xludf.DUMMYFUNCTION("""COMPUTED_VALUE"""),"Dr.PADMASHREE A")</f>
        <v>Dr.PADMASHREE A</v>
      </c>
      <c r="M441" s="121" t="str">
        <f>IFERROR(__xludf.DUMMYFUNCTION("""COMPUTED_VALUE"""),"padmashreea@bitsathy.ac.in")</f>
        <v>padmashreea@bitsathy.ac.in</v>
      </c>
    </row>
    <row r="442" ht="49.5" customHeight="1">
      <c r="A442" s="121" t="str">
        <f>IFERROR(__xludf.DUMMYFUNCTION("""COMPUTED_VALUE"""),"CSBS")</f>
        <v>CSBS</v>
      </c>
      <c r="B442" s="121" t="str">
        <f>IFERROR(__xludf.DUMMYFUNCTION("""COMPUTED_VALUE"""),"S6")</f>
        <v>S6</v>
      </c>
      <c r="C442" s="121" t="str">
        <f>IFERROR(__xludf.DUMMYFUNCTION("""COMPUTED_VALUE"""),"CORE")</f>
        <v>CORE</v>
      </c>
      <c r="D442" s="121" t="str">
        <f>IFERROR(__xludf.DUMMYFUNCTION("""COMPUTED_VALUE"""),"22CB604")</f>
        <v>22CB604</v>
      </c>
      <c r="E442" s="131" t="str">
        <f>IFERROR(__xludf.DUMMYFUNCTION("""COMPUTED_VALUE"""),"IT WORKSHOP")</f>
        <v>IT WORKSHOP</v>
      </c>
      <c r="F442" s="121" t="str">
        <f>IFERROR(__xludf.DUMMYFUNCTION("""COMPUTED_VALUE"""),"THEORY")</f>
        <v>THEORY</v>
      </c>
      <c r="G442" s="121">
        <f>IFERROR(__xludf.DUMMYFUNCTION("""COMPUTED_VALUE"""),2.0)</f>
        <v>2</v>
      </c>
      <c r="H442" s="121">
        <f>IFERROR(__xludf.DUMMYFUNCTION("""COMPUTED_VALUE"""),0.0)</f>
        <v>0</v>
      </c>
      <c r="I442" s="121">
        <f>IFERROR(__xludf.DUMMYFUNCTION("""COMPUTED_VALUE"""),2.0)</f>
        <v>2</v>
      </c>
      <c r="J442" s="121">
        <f>IFERROR(__xludf.DUMMYFUNCTION("""COMPUTED_VALUE"""),3.0)</f>
        <v>3</v>
      </c>
      <c r="K442" s="132" t="str">
        <f>IFERROR(__xludf.DUMMYFUNCTION("""COMPUTED_VALUE"""),"CB10949")</f>
        <v>CB10949</v>
      </c>
      <c r="L442" s="121" t="str">
        <f>IFERROR(__xludf.DUMMYFUNCTION("""COMPUTED_VALUE"""),"Mrs.MADHUMITHA A")</f>
        <v>Mrs.MADHUMITHA A</v>
      </c>
      <c r="M442" s="121" t="str">
        <f>IFERROR(__xludf.DUMMYFUNCTION("""COMPUTED_VALUE"""),"madhumithaa@bitsathy.ac.in")</f>
        <v>madhumithaa@bitsathy.ac.in</v>
      </c>
    </row>
    <row r="443" ht="49.5" customHeight="1">
      <c r="A443" s="121" t="str">
        <f>IFERROR(__xludf.DUMMYFUNCTION("""COMPUTED_VALUE"""),"CSBS")</f>
        <v>CSBS</v>
      </c>
      <c r="B443" s="121" t="str">
        <f>IFERROR(__xludf.DUMMYFUNCTION("""COMPUTED_VALUE"""),"S6")</f>
        <v>S6</v>
      </c>
      <c r="C443" s="121" t="str">
        <f>IFERROR(__xludf.DUMMYFUNCTION("""COMPUTED_VALUE"""),"CORE")</f>
        <v>CORE</v>
      </c>
      <c r="D443" s="121" t="str">
        <f>IFERROR(__xludf.DUMMYFUNCTION("""COMPUTED_VALUE"""),"22CB604")</f>
        <v>22CB604</v>
      </c>
      <c r="E443" s="131" t="str">
        <f>IFERROR(__xludf.DUMMYFUNCTION("""COMPUTED_VALUE"""),"IT WORKSHOP")</f>
        <v>IT WORKSHOP</v>
      </c>
      <c r="F443" s="121" t="str">
        <f>IFERROR(__xludf.DUMMYFUNCTION("""COMPUTED_VALUE"""),"LAB")</f>
        <v>LAB</v>
      </c>
      <c r="G443" s="121">
        <f>IFERROR(__xludf.DUMMYFUNCTION("""COMPUTED_VALUE"""),2.0)</f>
        <v>2</v>
      </c>
      <c r="H443" s="121">
        <f>IFERROR(__xludf.DUMMYFUNCTION("""COMPUTED_VALUE"""),0.0)</f>
        <v>0</v>
      </c>
      <c r="I443" s="121">
        <f>IFERROR(__xludf.DUMMYFUNCTION("""COMPUTED_VALUE"""),2.0)</f>
        <v>2</v>
      </c>
      <c r="J443" s="121">
        <f>IFERROR(__xludf.DUMMYFUNCTION("""COMPUTED_VALUE"""),3.0)</f>
        <v>3</v>
      </c>
      <c r="K443" s="132" t="str">
        <f>IFERROR(__xludf.DUMMYFUNCTION("""COMPUTED_VALUE"""),"CB10949")</f>
        <v>CB10949</v>
      </c>
      <c r="L443" s="121" t="str">
        <f>IFERROR(__xludf.DUMMYFUNCTION("""COMPUTED_VALUE"""),"Mrs.MADHUMITHA A")</f>
        <v>Mrs.MADHUMITHA A</v>
      </c>
      <c r="M443" s="121" t="str">
        <f>IFERROR(__xludf.DUMMYFUNCTION("""COMPUTED_VALUE"""),"madhumithaa@bitsathy.ac.in")</f>
        <v>madhumithaa@bitsathy.ac.in</v>
      </c>
    </row>
    <row r="444" ht="49.5" customHeight="1">
      <c r="A444" s="121" t="str">
        <f>IFERROR(__xludf.DUMMYFUNCTION("""COMPUTED_VALUE"""),"CSBS")</f>
        <v>CSBS</v>
      </c>
      <c r="B444" s="121" t="str">
        <f>IFERROR(__xludf.DUMMYFUNCTION("""COMPUTED_VALUE"""),"S6")</f>
        <v>S6</v>
      </c>
      <c r="C444" s="121" t="str">
        <f>IFERROR(__xludf.DUMMYFUNCTION("""COMPUTED_VALUE"""),"ELECTIVE 3")</f>
        <v>ELECTIVE 3</v>
      </c>
      <c r="D444" s="121" t="str">
        <f>IFERROR(__xludf.DUMMYFUNCTION("""COMPUTED_VALUE"""),"22CB008")</f>
        <v>22CB008</v>
      </c>
      <c r="E444" s="131" t="str">
        <f>IFERROR(__xludf.DUMMYFUNCTION("""COMPUTED_VALUE"""),"MODERN WEB APPLICATIONS")</f>
        <v>MODERN WEB APPLICATIONS</v>
      </c>
      <c r="F444" s="121" t="str">
        <f>IFERROR(__xludf.DUMMYFUNCTION("""COMPUTED_VALUE"""),"THEORY")</f>
        <v>THEORY</v>
      </c>
      <c r="G444" s="121">
        <f>IFERROR(__xludf.DUMMYFUNCTION("""COMPUTED_VALUE"""),3.0)</f>
        <v>3</v>
      </c>
      <c r="H444" s="121">
        <f>IFERROR(__xludf.DUMMYFUNCTION("""COMPUTED_VALUE"""),0.0)</f>
        <v>0</v>
      </c>
      <c r="I444" s="121">
        <f>IFERROR(__xludf.DUMMYFUNCTION("""COMPUTED_VALUE"""),0.0)</f>
        <v>0</v>
      </c>
      <c r="J444" s="121">
        <f>IFERROR(__xludf.DUMMYFUNCTION("""COMPUTED_VALUE"""),3.0)</f>
        <v>3</v>
      </c>
      <c r="K444" s="132" t="str">
        <f>IFERROR(__xludf.DUMMYFUNCTION("""COMPUTED_VALUE"""),"CB10791")</f>
        <v>CB10791</v>
      </c>
      <c r="L444" s="121" t="str">
        <f>IFERROR(__xludf.DUMMYFUNCTION("""COMPUTED_VALUE"""),"Mr.CHANDRU K S")</f>
        <v>Mr.CHANDRU K S</v>
      </c>
      <c r="M444" s="121" t="str">
        <f>IFERROR(__xludf.DUMMYFUNCTION("""COMPUTED_VALUE"""),"chandruks@bitsathy.ac.in")</f>
        <v>chandruks@bitsathy.ac.in</v>
      </c>
    </row>
    <row r="445" ht="49.5" customHeight="1">
      <c r="A445" s="121" t="str">
        <f>IFERROR(__xludf.DUMMYFUNCTION("""COMPUTED_VALUE"""),"CSBS")</f>
        <v>CSBS</v>
      </c>
      <c r="B445" s="121" t="str">
        <f>IFERROR(__xludf.DUMMYFUNCTION("""COMPUTED_VALUE"""),"S6")</f>
        <v>S6</v>
      </c>
      <c r="C445" s="121" t="str">
        <f>IFERROR(__xludf.DUMMYFUNCTION("""COMPUTED_VALUE"""),"ELECTIVE 4")</f>
        <v>ELECTIVE 4</v>
      </c>
      <c r="D445" s="121" t="str">
        <f>IFERROR(__xludf.DUMMYFUNCTION("""COMPUTED_VALUE"""),"22CB021")</f>
        <v>22CB021</v>
      </c>
      <c r="E445" s="131" t="str">
        <f>IFERROR(__xludf.DUMMYFUNCTION("""COMPUTED_VALUE"""),"MACHINE LEARNING")</f>
        <v>MACHINE LEARNING</v>
      </c>
      <c r="F445" s="121" t="str">
        <f>IFERROR(__xludf.DUMMYFUNCTION("""COMPUTED_VALUE"""),"THEORY")</f>
        <v>THEORY</v>
      </c>
      <c r="G445" s="121">
        <f>IFERROR(__xludf.DUMMYFUNCTION("""COMPUTED_VALUE"""),3.0)</f>
        <v>3</v>
      </c>
      <c r="H445" s="121">
        <f>IFERROR(__xludf.DUMMYFUNCTION("""COMPUTED_VALUE"""),0.0)</f>
        <v>0</v>
      </c>
      <c r="I445" s="121">
        <f>IFERROR(__xludf.DUMMYFUNCTION("""COMPUTED_VALUE"""),0.0)</f>
        <v>0</v>
      </c>
      <c r="J445" s="121">
        <f>IFERROR(__xludf.DUMMYFUNCTION("""COMPUTED_VALUE"""),3.0)</f>
        <v>3</v>
      </c>
      <c r="K445" s="132" t="str">
        <f>IFERROR(__xludf.DUMMYFUNCTION("""COMPUTED_VALUE"""),"AD11041")</f>
        <v>AD11041</v>
      </c>
      <c r="L445" s="121" t="str">
        <f>IFERROR(__xludf.DUMMYFUNCTION("""COMPUTED_VALUE"""),"Mrs.ASHFORN HERMINA J M")</f>
        <v>Mrs.ASHFORN HERMINA J M</v>
      </c>
      <c r="M445" s="121" t="str">
        <f>IFERROR(__xludf.DUMMYFUNCTION("""COMPUTED_VALUE"""),"ashfornherminajm@bitsathy.ac.in")</f>
        <v>ashfornherminajm@bitsathy.ac.in</v>
      </c>
    </row>
    <row r="446" ht="49.5" customHeight="1">
      <c r="A446" s="121" t="str">
        <f>IFERROR(__xludf.DUMMYFUNCTION("""COMPUTED_VALUE"""),"CSBS")</f>
        <v>CSBS</v>
      </c>
      <c r="B446" s="121" t="str">
        <f>IFERROR(__xludf.DUMMYFUNCTION("""COMPUTED_VALUE"""),"S6")</f>
        <v>S6</v>
      </c>
      <c r="C446" s="121" t="str">
        <f>IFERROR(__xludf.DUMMYFUNCTION("""COMPUTED_VALUE"""),"ELECTIVE 5")</f>
        <v>ELECTIVE 5</v>
      </c>
      <c r="D446" s="121" t="str">
        <f>IFERROR(__xludf.DUMMYFUNCTION("""COMPUTED_VALUE"""),"22CB028")</f>
        <v>22CB028</v>
      </c>
      <c r="E446" s="131" t="str">
        <f>IFERROR(__xludf.DUMMYFUNCTION("""COMPUTED_VALUE"""),"FINANCIAL MANAGEMENT")</f>
        <v>FINANCIAL MANAGEMENT</v>
      </c>
      <c r="F446" s="121" t="str">
        <f>IFERROR(__xludf.DUMMYFUNCTION("""COMPUTED_VALUE"""),"THEORY")</f>
        <v>THEORY</v>
      </c>
      <c r="G446" s="121">
        <f>IFERROR(__xludf.DUMMYFUNCTION("""COMPUTED_VALUE"""),3.0)</f>
        <v>3</v>
      </c>
      <c r="H446" s="121">
        <f>IFERROR(__xludf.DUMMYFUNCTION("""COMPUTED_VALUE"""),0.0)</f>
        <v>0</v>
      </c>
      <c r="I446" s="121">
        <f>IFERROR(__xludf.DUMMYFUNCTION("""COMPUTED_VALUE"""),0.0)</f>
        <v>0</v>
      </c>
      <c r="J446" s="121">
        <f>IFERROR(__xludf.DUMMYFUNCTION("""COMPUTED_VALUE"""),3.0)</f>
        <v>3</v>
      </c>
      <c r="K446" s="132" t="str">
        <f>IFERROR(__xludf.DUMMYFUNCTION("""COMPUTED_VALUE"""),"SM11118")</f>
        <v>SM11118</v>
      </c>
      <c r="L446" s="121" t="str">
        <f>IFERROR(__xludf.DUMMYFUNCTION("""COMPUTED_VALUE"""),"Mrs.AISHWARIYA M R")</f>
        <v>Mrs.AISHWARIYA M R</v>
      </c>
      <c r="M446" s="121" t="str">
        <f>IFERROR(__xludf.DUMMYFUNCTION("""COMPUTED_VALUE"""),"aishwariya@bitsathy.ac.in")</f>
        <v>aishwariya@bitsathy.ac.in</v>
      </c>
    </row>
    <row r="447" ht="49.5" customHeight="1">
      <c r="A447" s="121" t="str">
        <f>IFERROR(__xludf.DUMMYFUNCTION("""COMPUTED_VALUE"""),"CSBS")</f>
        <v>CSBS</v>
      </c>
      <c r="B447" s="121" t="str">
        <f>IFERROR(__xludf.DUMMYFUNCTION("""COMPUTED_VALUE"""),"S6")</f>
        <v>S6</v>
      </c>
      <c r="C447" s="121" t="str">
        <f>IFERROR(__xludf.DUMMYFUNCTION("""COMPUTED_VALUE"""),"ADD COURSE")</f>
        <v>ADD COURSE</v>
      </c>
      <c r="D447" s="121" t="str">
        <f>IFERROR(__xludf.DUMMYFUNCTION("""COMPUTED_VALUE"""),"22CB030")</f>
        <v>22CB030</v>
      </c>
      <c r="E447" s="131" t="str">
        <f>IFERROR(__xludf.DUMMYFUNCTION("""COMPUTED_VALUE"""),"IT PROJECT MANAGEMENT")</f>
        <v>IT PROJECT MANAGEMENT</v>
      </c>
      <c r="F447" s="121" t="str">
        <f>IFERROR(__xludf.DUMMYFUNCTION("""COMPUTED_VALUE"""),"THEORY")</f>
        <v>THEORY</v>
      </c>
      <c r="G447" s="121">
        <f>IFERROR(__xludf.DUMMYFUNCTION("""COMPUTED_VALUE"""),3.0)</f>
        <v>3</v>
      </c>
      <c r="H447" s="121">
        <f>IFERROR(__xludf.DUMMYFUNCTION("""COMPUTED_VALUE"""),0.0)</f>
        <v>0</v>
      </c>
      <c r="I447" s="121">
        <f>IFERROR(__xludf.DUMMYFUNCTION("""COMPUTED_VALUE"""),0.0)</f>
        <v>0</v>
      </c>
      <c r="J447" s="121">
        <f>IFERROR(__xludf.DUMMYFUNCTION("""COMPUTED_VALUE"""),3.0)</f>
        <v>3</v>
      </c>
      <c r="K447" s="132" t="str">
        <f>IFERROR(__xludf.DUMMYFUNCTION("""COMPUTED_VALUE"""),"AM11113")</f>
        <v>AM11113</v>
      </c>
      <c r="L447" s="121" t="str">
        <f>IFERROR(__xludf.DUMMYFUNCTION("""COMPUTED_VALUE"""),"Mrs.LOKESWARI P")</f>
        <v>Mrs.LOKESWARI P</v>
      </c>
      <c r="M447" s="121" t="str">
        <f>IFERROR(__xludf.DUMMYFUNCTION("""COMPUTED_VALUE"""),"lokeswari@bitsathy.ac.in")</f>
        <v>lokeswari@bitsathy.ac.in</v>
      </c>
    </row>
    <row r="448" ht="49.5" customHeight="1">
      <c r="A448" s="121" t="str">
        <f>IFERROR(__xludf.DUMMYFUNCTION("""COMPUTED_VALUE"""),"CSBS")</f>
        <v>CSBS</v>
      </c>
      <c r="B448" s="121" t="str">
        <f>IFERROR(__xludf.DUMMYFUNCTION("""COMPUTED_VALUE"""),"S6")</f>
        <v>S6</v>
      </c>
      <c r="C448" s="121" t="str">
        <f>IFERROR(__xludf.DUMMYFUNCTION("""COMPUTED_VALUE"""),"MINI PROJECT")</f>
        <v>MINI PROJECT</v>
      </c>
      <c r="D448" s="121" t="str">
        <f>IFERROR(__xludf.DUMMYFUNCTION("""COMPUTED_VALUE"""),"22CB608")</f>
        <v>22CB608</v>
      </c>
      <c r="E448" s="131" t="str">
        <f>IFERROR(__xludf.DUMMYFUNCTION("""COMPUTED_VALUE"""),"MINI PROJECT II")</f>
        <v>MINI PROJECT II</v>
      </c>
      <c r="F448" s="121" t="str">
        <f>IFERROR(__xludf.DUMMYFUNCTION("""COMPUTED_VALUE"""),"LAB")</f>
        <v>LAB</v>
      </c>
      <c r="G448" s="121">
        <f>IFERROR(__xludf.DUMMYFUNCTION("""COMPUTED_VALUE"""),0.0)</f>
        <v>0</v>
      </c>
      <c r="H448" s="121">
        <f>IFERROR(__xludf.DUMMYFUNCTION("""COMPUTED_VALUE"""),0.0)</f>
        <v>0</v>
      </c>
      <c r="I448" s="121">
        <f>IFERROR(__xludf.DUMMYFUNCTION("""COMPUTED_VALUE"""),2.0)</f>
        <v>2</v>
      </c>
      <c r="J448" s="121">
        <f>IFERROR(__xludf.DUMMYFUNCTION("""COMPUTED_VALUE"""),1.0)</f>
        <v>1</v>
      </c>
      <c r="K448" s="132"/>
      <c r="L448" s="121"/>
      <c r="M448" s="121"/>
    </row>
    <row r="449" ht="49.5" customHeight="1">
      <c r="A449" s="121" t="str">
        <f>IFERROR(__xludf.DUMMYFUNCTION("""COMPUTED_VALUE"""),"CSBS")</f>
        <v>CSBS</v>
      </c>
      <c r="B449" s="121" t="str">
        <f>IFERROR(__xludf.DUMMYFUNCTION("""COMPUTED_VALUE"""),"S8")</f>
        <v>S8</v>
      </c>
      <c r="C449" s="121" t="str">
        <f>IFERROR(__xludf.DUMMYFUNCTION("""COMPUTED_VALUE"""),"PROJECT")</f>
        <v>PROJECT</v>
      </c>
      <c r="D449" s="121" t="str">
        <f>IFERROR(__xludf.DUMMYFUNCTION("""COMPUTED_VALUE"""),"22CB801")</f>
        <v>22CB801</v>
      </c>
      <c r="E449" s="131" t="str">
        <f>IFERROR(__xludf.DUMMYFUNCTION("""COMPUTED_VALUE"""),"PROJECT EVALUATION")</f>
        <v>PROJECT EVALUATION</v>
      </c>
      <c r="F449" s="121" t="str">
        <f>IFERROR(__xludf.DUMMYFUNCTION("""COMPUTED_VALUE"""),"LAB")</f>
        <v>LAB</v>
      </c>
      <c r="G449" s="121">
        <f>IFERROR(__xludf.DUMMYFUNCTION("""COMPUTED_VALUE"""),0.0)</f>
        <v>0</v>
      </c>
      <c r="H449" s="121">
        <f>IFERROR(__xludf.DUMMYFUNCTION("""COMPUTED_VALUE"""),0.0)</f>
        <v>0</v>
      </c>
      <c r="I449" s="121">
        <f>IFERROR(__xludf.DUMMYFUNCTION("""COMPUTED_VALUE"""),18.0)</f>
        <v>18</v>
      </c>
      <c r="J449" s="121">
        <f>IFERROR(__xludf.DUMMYFUNCTION("""COMPUTED_VALUE"""),9.0)</f>
        <v>9</v>
      </c>
      <c r="K449" s="132"/>
      <c r="L449" s="121"/>
      <c r="M449" s="121"/>
    </row>
    <row r="450" ht="49.5" customHeight="1">
      <c r="A450" s="121" t="str">
        <f>IFERROR(__xludf.DUMMYFUNCTION("""COMPUTED_VALUE"""),"CSD")</f>
        <v>CSD</v>
      </c>
      <c r="B450" s="121" t="str">
        <f>IFERROR(__xludf.DUMMYFUNCTION("""COMPUTED_VALUE"""),"S6")</f>
        <v>S6</v>
      </c>
      <c r="C450" s="121" t="str">
        <f>IFERROR(__xludf.DUMMYFUNCTION("""COMPUTED_VALUE"""),"CORE")</f>
        <v>CORE</v>
      </c>
      <c r="D450" s="121" t="str">
        <f>IFERROR(__xludf.DUMMYFUNCTION("""COMPUTED_VALUE"""),"22CD601")</f>
        <v>22CD601</v>
      </c>
      <c r="E450" s="131" t="str">
        <f>IFERROR(__xludf.DUMMYFUNCTION("""COMPUTED_VALUE"""),"FOUNDATIONS OF ARTIFICIAL INTELLIGENCE")</f>
        <v>FOUNDATIONS OF ARTIFICIAL INTELLIGENCE</v>
      </c>
      <c r="F450" s="121" t="str">
        <f>IFERROR(__xludf.DUMMYFUNCTION("""COMPUTED_VALUE"""),"THEORY WITH LAB")</f>
        <v>THEORY WITH LAB</v>
      </c>
      <c r="G450" s="121">
        <f>IFERROR(__xludf.DUMMYFUNCTION("""COMPUTED_VALUE"""),3.0)</f>
        <v>3</v>
      </c>
      <c r="H450" s="121">
        <f>IFERROR(__xludf.DUMMYFUNCTION("""COMPUTED_VALUE"""),0.0)</f>
        <v>0</v>
      </c>
      <c r="I450" s="121">
        <f>IFERROR(__xludf.DUMMYFUNCTION("""COMPUTED_VALUE"""),2.0)</f>
        <v>2</v>
      </c>
      <c r="J450" s="121">
        <f>IFERROR(__xludf.DUMMYFUNCTION("""COMPUTED_VALUE"""),4.0)</f>
        <v>4</v>
      </c>
      <c r="K450" s="132" t="str">
        <f>IFERROR(__xludf.DUMMYFUNCTION("""COMPUTED_VALUE"""),"CS10820")</f>
        <v>CS10820</v>
      </c>
      <c r="L450" s="121" t="str">
        <f>IFERROR(__xludf.DUMMYFUNCTION("""COMPUTED_VALUE"""),"Dr.RAJESH KANNA P")</f>
        <v>Dr.RAJESH KANNA P</v>
      </c>
      <c r="M450" s="121" t="str">
        <f>IFERROR(__xludf.DUMMYFUNCTION("""COMPUTED_VALUE"""),"rajeshkannap@bitsathy.ac.in")</f>
        <v>rajeshkannap@bitsathy.ac.in</v>
      </c>
    </row>
    <row r="451" ht="49.5" customHeight="1">
      <c r="A451" s="121" t="str">
        <f>IFERROR(__xludf.DUMMYFUNCTION("""COMPUTED_VALUE"""),"CSD")</f>
        <v>CSD</v>
      </c>
      <c r="B451" s="121" t="str">
        <f>IFERROR(__xludf.DUMMYFUNCTION("""COMPUTED_VALUE"""),"S6")</f>
        <v>S6</v>
      </c>
      <c r="C451" s="121" t="str">
        <f>IFERROR(__xludf.DUMMYFUNCTION("""COMPUTED_VALUE"""),"CORE")</f>
        <v>CORE</v>
      </c>
      <c r="D451" s="121" t="str">
        <f>IFERROR(__xludf.DUMMYFUNCTION("""COMPUTED_VALUE"""),"22CD602")</f>
        <v>22CD602</v>
      </c>
      <c r="E451" s="131" t="str">
        <f>IFERROR(__xludf.DUMMYFUNCTION("""COMPUTED_VALUE"""),"PRINCIPLES OF COMPILER DESIGN")</f>
        <v>PRINCIPLES OF COMPILER DESIGN</v>
      </c>
      <c r="F451" s="121" t="str">
        <f>IFERROR(__xludf.DUMMYFUNCTION("""COMPUTED_VALUE"""),"THEORY")</f>
        <v>THEORY</v>
      </c>
      <c r="G451" s="121">
        <f>IFERROR(__xludf.DUMMYFUNCTION("""COMPUTED_VALUE"""),3.0)</f>
        <v>3</v>
      </c>
      <c r="H451" s="121">
        <f>IFERROR(__xludf.DUMMYFUNCTION("""COMPUTED_VALUE"""),1.0)</f>
        <v>1</v>
      </c>
      <c r="I451" s="121">
        <f>IFERROR(__xludf.DUMMYFUNCTION("""COMPUTED_VALUE"""),0.0)</f>
        <v>0</v>
      </c>
      <c r="J451" s="121">
        <f>IFERROR(__xludf.DUMMYFUNCTION("""COMPUTED_VALUE"""),4.0)</f>
        <v>4</v>
      </c>
      <c r="K451" s="132" t="str">
        <f>IFERROR(__xludf.DUMMYFUNCTION("""COMPUTED_VALUE"""),"CD11179")</f>
        <v>CD11179</v>
      </c>
      <c r="L451" s="121" t="str">
        <f>IFERROR(__xludf.DUMMYFUNCTION("""COMPUTED_VALUE"""),"Mrs.SUBHASHREE P")</f>
        <v>Mrs.SUBHASHREE P</v>
      </c>
      <c r="M451" s="121" t="str">
        <f>IFERROR(__xludf.DUMMYFUNCTION("""COMPUTED_VALUE"""),"subhashreep@bitsathy.ac.in")</f>
        <v>subhashreep@bitsathy.ac.in</v>
      </c>
    </row>
    <row r="452" ht="49.5" customHeight="1">
      <c r="A452" s="121" t="str">
        <f>IFERROR(__xludf.DUMMYFUNCTION("""COMPUTED_VALUE"""),"CSD")</f>
        <v>CSD</v>
      </c>
      <c r="B452" s="121" t="str">
        <f>IFERROR(__xludf.DUMMYFUNCTION("""COMPUTED_VALUE"""),"S6")</f>
        <v>S6</v>
      </c>
      <c r="C452" s="121" t="str">
        <f>IFERROR(__xludf.DUMMYFUNCTION("""COMPUTED_VALUE"""),"CORE")</f>
        <v>CORE</v>
      </c>
      <c r="D452" s="121" t="str">
        <f>IFERROR(__xludf.DUMMYFUNCTION("""COMPUTED_VALUE"""),"22CD603")</f>
        <v>22CD603</v>
      </c>
      <c r="E452" s="131" t="str">
        <f>IFERROR(__xludf.DUMMYFUNCTION("""COMPUTED_VALUE"""),"HUMAN COMPUTER INTERACTION")</f>
        <v>HUMAN COMPUTER INTERACTION</v>
      </c>
      <c r="F452" s="121" t="str">
        <f>IFERROR(__xludf.DUMMYFUNCTION("""COMPUTED_VALUE"""),"THEORY")</f>
        <v>THEORY</v>
      </c>
      <c r="G452" s="121">
        <f>IFERROR(__xludf.DUMMYFUNCTION("""COMPUTED_VALUE"""),3.0)</f>
        <v>3</v>
      </c>
      <c r="H452" s="121">
        <f>IFERROR(__xludf.DUMMYFUNCTION("""COMPUTED_VALUE"""),0.0)</f>
        <v>0</v>
      </c>
      <c r="I452" s="121">
        <f>IFERROR(__xludf.DUMMYFUNCTION("""COMPUTED_VALUE"""),0.0)</f>
        <v>0</v>
      </c>
      <c r="J452" s="121">
        <f>IFERROR(__xludf.DUMMYFUNCTION("""COMPUTED_VALUE"""),3.0)</f>
        <v>3</v>
      </c>
      <c r="K452" s="132" t="str">
        <f>IFERROR(__xludf.DUMMYFUNCTION("""COMPUTED_VALUE"""),"CD11061")</f>
        <v>CD11061</v>
      </c>
      <c r="L452" s="121" t="str">
        <f>IFERROR(__xludf.DUMMYFUNCTION("""COMPUTED_VALUE"""),"Mrs PREETHIMATHI L")</f>
        <v>Mrs PREETHIMATHI L</v>
      </c>
      <c r="M452" s="121" t="str">
        <f>IFERROR(__xludf.DUMMYFUNCTION("""COMPUTED_VALUE"""),"preethimathi@bitsathy.ac.in")</f>
        <v>preethimathi@bitsathy.ac.in</v>
      </c>
    </row>
    <row r="453" ht="49.5" customHeight="1">
      <c r="A453" s="121" t="str">
        <f>IFERROR(__xludf.DUMMYFUNCTION("""COMPUTED_VALUE"""),"CSD")</f>
        <v>CSD</v>
      </c>
      <c r="B453" s="121" t="str">
        <f>IFERROR(__xludf.DUMMYFUNCTION("""COMPUTED_VALUE"""),"S6")</f>
        <v>S6</v>
      </c>
      <c r="C453" s="121" t="str">
        <f>IFERROR(__xludf.DUMMYFUNCTION("""COMPUTED_VALUE"""),"ELECTIVE 3")</f>
        <v>ELECTIVE 3</v>
      </c>
      <c r="D453" s="121" t="str">
        <f>IFERROR(__xludf.DUMMYFUNCTION("""COMPUTED_VALUE"""),"22CD023")</f>
        <v>22CD023</v>
      </c>
      <c r="E453" s="131" t="str">
        <f>IFERROR(__xludf.DUMMYFUNCTION("""COMPUTED_VALUE"""),"DIGITAL MARKETING")</f>
        <v>DIGITAL MARKETING</v>
      </c>
      <c r="F453" s="121" t="str">
        <f>IFERROR(__xludf.DUMMYFUNCTION("""COMPUTED_VALUE"""),"THEORY")</f>
        <v>THEORY</v>
      </c>
      <c r="G453" s="121">
        <f>IFERROR(__xludf.DUMMYFUNCTION("""COMPUTED_VALUE"""),3.0)</f>
        <v>3</v>
      </c>
      <c r="H453" s="121">
        <f>IFERROR(__xludf.DUMMYFUNCTION("""COMPUTED_VALUE"""),0.0)</f>
        <v>0</v>
      </c>
      <c r="I453" s="121">
        <f>IFERROR(__xludf.DUMMYFUNCTION("""COMPUTED_VALUE"""),0.0)</f>
        <v>0</v>
      </c>
      <c r="J453" s="121">
        <f>IFERROR(__xludf.DUMMYFUNCTION("""COMPUTED_VALUE"""),3.0)</f>
        <v>3</v>
      </c>
      <c r="K453" s="132" t="str">
        <f>IFERROR(__xludf.DUMMYFUNCTION("""COMPUTED_VALUE"""),"AD11116")</f>
        <v>AD11116</v>
      </c>
      <c r="L453" s="121" t="str">
        <f>IFERROR(__xludf.DUMMYFUNCTION("""COMPUTED_VALUE"""),"Ms.PRIYADHARSHNI S")</f>
        <v>Ms.PRIYADHARSHNI S</v>
      </c>
      <c r="M453" s="121" t="str">
        <f>IFERROR(__xludf.DUMMYFUNCTION("""COMPUTED_VALUE"""),"priyadharshni@bitsathy.ac.in")</f>
        <v>priyadharshni@bitsathy.ac.in</v>
      </c>
    </row>
    <row r="454" ht="49.5" customHeight="1">
      <c r="A454" s="121" t="str">
        <f>IFERROR(__xludf.DUMMYFUNCTION("""COMPUTED_VALUE"""),"CSD")</f>
        <v>CSD</v>
      </c>
      <c r="B454" s="121" t="str">
        <f>IFERROR(__xludf.DUMMYFUNCTION("""COMPUTED_VALUE"""),"S6")</f>
        <v>S6</v>
      </c>
      <c r="C454" s="121" t="str">
        <f>IFERROR(__xludf.DUMMYFUNCTION("""COMPUTED_VALUE"""),"ELECTIVE 4")</f>
        <v>ELECTIVE 4</v>
      </c>
      <c r="D454" s="121" t="str">
        <f>IFERROR(__xludf.DUMMYFUNCTION("""COMPUTED_VALUE"""),"22CD019")</f>
        <v>22CD019</v>
      </c>
      <c r="E454" s="131" t="str">
        <f>IFERROR(__xludf.DUMMYFUNCTION("""COMPUTED_VALUE"""),"MULTIMEDIA AND ANIMATION")</f>
        <v>MULTIMEDIA AND ANIMATION</v>
      </c>
      <c r="F454" s="121" t="str">
        <f>IFERROR(__xludf.DUMMYFUNCTION("""COMPUTED_VALUE"""),"THEORY WITH LAB")</f>
        <v>THEORY WITH LAB</v>
      </c>
      <c r="G454" s="121">
        <f>IFERROR(__xludf.DUMMYFUNCTION("""COMPUTED_VALUE"""),2.0)</f>
        <v>2</v>
      </c>
      <c r="H454" s="121">
        <f>IFERROR(__xludf.DUMMYFUNCTION("""COMPUTED_VALUE"""),0.0)</f>
        <v>0</v>
      </c>
      <c r="I454" s="121">
        <f>IFERROR(__xludf.DUMMYFUNCTION("""COMPUTED_VALUE"""),2.0)</f>
        <v>2</v>
      </c>
      <c r="J454" s="121">
        <f>IFERROR(__xludf.DUMMYFUNCTION("""COMPUTED_VALUE"""),3.0)</f>
        <v>3</v>
      </c>
      <c r="K454" s="132" t="str">
        <f>IFERROR(__xludf.DUMMYFUNCTION("""COMPUTED_VALUE"""),"CD11174")</f>
        <v>CD11174</v>
      </c>
      <c r="L454" s="121" t="str">
        <f>IFERROR(__xludf.DUMMYFUNCTION("""COMPUTED_VALUE"""),"Ms.KIRUTHIKA S")</f>
        <v>Ms.KIRUTHIKA S</v>
      </c>
      <c r="M454" s="121" t="str">
        <f>IFERROR(__xludf.DUMMYFUNCTION("""COMPUTED_VALUE"""),"kiruthikas@bitsathy.ac.in")</f>
        <v>kiruthikas@bitsathy.ac.in</v>
      </c>
    </row>
    <row r="455" ht="49.5" customHeight="1">
      <c r="A455" s="121" t="str">
        <f>IFERROR(__xludf.DUMMYFUNCTION("""COMPUTED_VALUE"""),"CSD")</f>
        <v>CSD</v>
      </c>
      <c r="B455" s="121" t="str">
        <f>IFERROR(__xludf.DUMMYFUNCTION("""COMPUTED_VALUE"""),"S6")</f>
        <v>S6</v>
      </c>
      <c r="C455" s="121" t="str">
        <f>IFERROR(__xludf.DUMMYFUNCTION("""COMPUTED_VALUE"""),"ELECTIVE 5")</f>
        <v>ELECTIVE 5</v>
      </c>
      <c r="D455" s="121" t="str">
        <f>IFERROR(__xludf.DUMMYFUNCTION("""COMPUTED_VALUE"""),"22CD014")</f>
        <v>22CD014</v>
      </c>
      <c r="E455" s="131" t="str">
        <f>IFERROR(__xludf.DUMMYFUNCTION("""COMPUTED_VALUE"""),"CLOUD SERVICES AND DATA MANAGEMENT")</f>
        <v>CLOUD SERVICES AND DATA MANAGEMENT</v>
      </c>
      <c r="F455" s="121" t="str">
        <f>IFERROR(__xludf.DUMMYFUNCTION("""COMPUTED_VALUE"""),"THEORY")</f>
        <v>THEORY</v>
      </c>
      <c r="G455" s="121">
        <f>IFERROR(__xludf.DUMMYFUNCTION("""COMPUTED_VALUE"""),3.0)</f>
        <v>3</v>
      </c>
      <c r="H455" s="121">
        <f>IFERROR(__xludf.DUMMYFUNCTION("""COMPUTED_VALUE"""),0.0)</f>
        <v>0</v>
      </c>
      <c r="I455" s="121">
        <f>IFERROR(__xludf.DUMMYFUNCTION("""COMPUTED_VALUE"""),0.0)</f>
        <v>0</v>
      </c>
      <c r="J455" s="121">
        <f>IFERROR(__xludf.DUMMYFUNCTION("""COMPUTED_VALUE"""),3.0)</f>
        <v>3</v>
      </c>
      <c r="K455" s="132" t="str">
        <f>IFERROR(__xludf.DUMMYFUNCTION("""COMPUTED_VALUE"""),"CS10974")</f>
        <v>CS10974</v>
      </c>
      <c r="L455" s="121" t="str">
        <f>IFERROR(__xludf.DUMMYFUNCTION("""COMPUTED_VALUE"""),"Mr.STEEPHAN AMALRAJ J")</f>
        <v>Mr.STEEPHAN AMALRAJ J</v>
      </c>
      <c r="M455" s="121" t="str">
        <f>IFERROR(__xludf.DUMMYFUNCTION("""COMPUTED_VALUE"""),"steephanamalrajj@bitsathy.ac.in")</f>
        <v>steephanamalrajj@bitsathy.ac.in</v>
      </c>
    </row>
    <row r="456" ht="49.5" customHeight="1">
      <c r="A456" s="121" t="str">
        <f>IFERROR(__xludf.DUMMYFUNCTION("""COMPUTED_VALUE"""),"CSD")</f>
        <v>CSD</v>
      </c>
      <c r="B456" s="121" t="str">
        <f>IFERROR(__xludf.DUMMYFUNCTION("""COMPUTED_VALUE"""),"S6")</f>
        <v>S6</v>
      </c>
      <c r="C456" s="121" t="str">
        <f>IFERROR(__xludf.DUMMYFUNCTION("""COMPUTED_VALUE"""),"ADD COURSE")</f>
        <v>ADD COURSE</v>
      </c>
      <c r="D456" s="121" t="str">
        <f>IFERROR(__xludf.DUMMYFUNCTION("""COMPUTED_VALUE"""),"22CD022")</f>
        <v>22CD022</v>
      </c>
      <c r="E456" s="131" t="str">
        <f>IFERROR(__xludf.DUMMYFUNCTION("""COMPUTED_VALUE"""),"VIDEO CREATION AND EDITING")</f>
        <v>VIDEO CREATION AND EDITING</v>
      </c>
      <c r="F456" s="121" t="str">
        <f>IFERROR(__xludf.DUMMYFUNCTION("""COMPUTED_VALUE"""),"THEORY WITH LAB")</f>
        <v>THEORY WITH LAB</v>
      </c>
      <c r="G456" s="121">
        <f>IFERROR(__xludf.DUMMYFUNCTION("""COMPUTED_VALUE"""),2.0)</f>
        <v>2</v>
      </c>
      <c r="H456" s="121">
        <f>IFERROR(__xludf.DUMMYFUNCTION("""COMPUTED_VALUE"""),0.0)</f>
        <v>0</v>
      </c>
      <c r="I456" s="121">
        <f>IFERROR(__xludf.DUMMYFUNCTION("""COMPUTED_VALUE"""),2.0)</f>
        <v>2</v>
      </c>
      <c r="J456" s="121">
        <f>IFERROR(__xludf.DUMMYFUNCTION("""COMPUTED_VALUE"""),3.0)</f>
        <v>3</v>
      </c>
      <c r="K456" s="132" t="str">
        <f>IFERROR(__xludf.DUMMYFUNCTION("""COMPUTED_VALUE"""),"AM11113")</f>
        <v>AM11113</v>
      </c>
      <c r="L456" s="121" t="str">
        <f>IFERROR(__xludf.DUMMYFUNCTION("""COMPUTED_VALUE"""),"Mrs.LOKESWARI P")</f>
        <v>Mrs.LOKESWARI P</v>
      </c>
      <c r="M456" s="133" t="str">
        <f>IFERROR(__xludf.DUMMYFUNCTION("""COMPUTED_VALUE"""),"lokeswari@bitsathy.ac.in")</f>
        <v>lokeswari@bitsathy.ac.in</v>
      </c>
    </row>
    <row r="457" ht="49.5" customHeight="1">
      <c r="A457" s="121" t="str">
        <f>IFERROR(__xludf.DUMMYFUNCTION("""COMPUTED_VALUE"""),"CSD")</f>
        <v>CSD</v>
      </c>
      <c r="B457" s="121" t="str">
        <f>IFERROR(__xludf.DUMMYFUNCTION("""COMPUTED_VALUE"""),"S6")</f>
        <v>S6</v>
      </c>
      <c r="C457" s="121" t="str">
        <f>IFERROR(__xludf.DUMMYFUNCTION("""COMPUTED_VALUE"""),"HONOURS")</f>
        <v>HONOURS</v>
      </c>
      <c r="D457" s="121" t="str">
        <f>IFERROR(__xludf.DUMMYFUNCTION("""COMPUTED_VALUE"""),"22CDH31")</f>
        <v>22CDH31</v>
      </c>
      <c r="E457" s="131" t="str">
        <f>IFERROR(__xludf.DUMMYFUNCTION("""COMPUTED_VALUE"""),"METAVERSE")</f>
        <v>METAVERSE</v>
      </c>
      <c r="F457" s="121" t="str">
        <f>IFERROR(__xludf.DUMMYFUNCTION("""COMPUTED_VALUE"""),"THEORY WITH LAB")</f>
        <v>THEORY WITH LAB</v>
      </c>
      <c r="G457" s="121">
        <f>IFERROR(__xludf.DUMMYFUNCTION("""COMPUTED_VALUE"""),2.0)</f>
        <v>2</v>
      </c>
      <c r="H457" s="121">
        <f>IFERROR(__xludf.DUMMYFUNCTION("""COMPUTED_VALUE"""),0.0)</f>
        <v>0</v>
      </c>
      <c r="I457" s="121">
        <f>IFERROR(__xludf.DUMMYFUNCTION("""COMPUTED_VALUE"""),2.0)</f>
        <v>2</v>
      </c>
      <c r="J457" s="121">
        <f>IFERROR(__xludf.DUMMYFUNCTION("""COMPUTED_VALUE"""),3.0)</f>
        <v>3</v>
      </c>
      <c r="K457" s="132" t="str">
        <f>IFERROR(__xludf.DUMMYFUNCTION("""COMPUTED_VALUE"""),"AD11111")</f>
        <v>AD11111</v>
      </c>
      <c r="L457" s="121" t="str">
        <f>IFERROR(__xludf.DUMMYFUNCTION("""COMPUTED_VALUE"""),"Ms.SURIYA V")</f>
        <v>Ms.SURIYA V</v>
      </c>
      <c r="M457" s="133" t="str">
        <f>IFERROR(__xludf.DUMMYFUNCTION("""COMPUTED_VALUE"""),"suriya@bitsathy.ac.in")</f>
        <v>suriya@bitsathy.ac.in</v>
      </c>
    </row>
    <row r="458" ht="49.5" customHeight="1">
      <c r="A458" s="121" t="str">
        <f>IFERROR(__xludf.DUMMYFUNCTION("""COMPUTED_VALUE"""),"CSD")</f>
        <v>CSD</v>
      </c>
      <c r="B458" s="121" t="str">
        <f>IFERROR(__xludf.DUMMYFUNCTION("""COMPUTED_VALUE"""),"S6")</f>
        <v>S6</v>
      </c>
      <c r="C458" s="121" t="str">
        <f>IFERROR(__xludf.DUMMYFUNCTION("""COMPUTED_VALUE"""),"HONOURS")</f>
        <v>HONOURS</v>
      </c>
      <c r="D458" s="121" t="str">
        <f>IFERROR(__xludf.DUMMYFUNCTION("""COMPUTED_VALUE"""),"22CDH32")</f>
        <v>22CDH32</v>
      </c>
      <c r="E458" s="131" t="str">
        <f>IFERROR(__xludf.DUMMYFUNCTION("""COMPUTED_VALUE"""),"IMAGE AND VIDEO ANALYTICS")</f>
        <v>IMAGE AND VIDEO ANALYTICS</v>
      </c>
      <c r="F458" s="121" t="str">
        <f>IFERROR(__xludf.DUMMYFUNCTION("""COMPUTED_VALUE"""),"THEORY")</f>
        <v>THEORY</v>
      </c>
      <c r="G458" s="121">
        <f>IFERROR(__xludf.DUMMYFUNCTION("""COMPUTED_VALUE"""),3.0)</f>
        <v>3</v>
      </c>
      <c r="H458" s="121">
        <f>IFERROR(__xludf.DUMMYFUNCTION("""COMPUTED_VALUE"""),0.0)</f>
        <v>0</v>
      </c>
      <c r="I458" s="121">
        <f>IFERROR(__xludf.DUMMYFUNCTION("""COMPUTED_VALUE"""),0.0)</f>
        <v>0</v>
      </c>
      <c r="J458" s="121">
        <f>IFERROR(__xludf.DUMMYFUNCTION("""COMPUTED_VALUE"""),3.0)</f>
        <v>3</v>
      </c>
      <c r="K458" s="132" t="str">
        <f>IFERROR(__xludf.DUMMYFUNCTION("""COMPUTED_VALUE"""),"CS10820")</f>
        <v>CS10820</v>
      </c>
      <c r="L458" s="121" t="str">
        <f>IFERROR(__xludf.DUMMYFUNCTION("""COMPUTED_VALUE"""),"Dr.RAJESH KANNA P")</f>
        <v>Dr.RAJESH KANNA P</v>
      </c>
      <c r="M458" s="121" t="str">
        <f>IFERROR(__xludf.DUMMYFUNCTION("""COMPUTED_VALUE"""),"rajeshkannap@bitsathy.ac.in")</f>
        <v>rajeshkannap@bitsathy.ac.in</v>
      </c>
    </row>
    <row r="459" ht="49.5" customHeight="1">
      <c r="A459" s="121" t="str">
        <f>IFERROR(__xludf.DUMMYFUNCTION("""COMPUTED_VALUE"""),"CSD")</f>
        <v>CSD</v>
      </c>
      <c r="B459" s="121" t="str">
        <f>IFERROR(__xludf.DUMMYFUNCTION("""COMPUTED_VALUE"""),"S6")</f>
        <v>S6</v>
      </c>
      <c r="C459" s="121" t="str">
        <f>IFERROR(__xludf.DUMMYFUNCTION("""COMPUTED_VALUE"""),"MINI PROJECT")</f>
        <v>MINI PROJECT</v>
      </c>
      <c r="D459" s="121" t="str">
        <f>IFERROR(__xludf.DUMMYFUNCTION("""COMPUTED_VALUE"""),"22CD607")</f>
        <v>22CD607</v>
      </c>
      <c r="E459" s="131" t="str">
        <f>IFERROR(__xludf.DUMMYFUNCTION("""COMPUTED_VALUE"""),"MINI PROJECT II")</f>
        <v>MINI PROJECT II</v>
      </c>
      <c r="F459" s="121" t="str">
        <f>IFERROR(__xludf.DUMMYFUNCTION("""COMPUTED_VALUE"""),"LAB")</f>
        <v>LAB</v>
      </c>
      <c r="G459" s="121">
        <f>IFERROR(__xludf.DUMMYFUNCTION("""COMPUTED_VALUE"""),0.0)</f>
        <v>0</v>
      </c>
      <c r="H459" s="121">
        <f>IFERROR(__xludf.DUMMYFUNCTION("""COMPUTED_VALUE"""),0.0)</f>
        <v>0</v>
      </c>
      <c r="I459" s="121">
        <f>IFERROR(__xludf.DUMMYFUNCTION("""COMPUTED_VALUE"""),2.0)</f>
        <v>2</v>
      </c>
      <c r="J459" s="121">
        <f>IFERROR(__xludf.DUMMYFUNCTION("""COMPUTED_VALUE"""),1.0)</f>
        <v>1</v>
      </c>
      <c r="K459" s="132"/>
      <c r="L459" s="121"/>
      <c r="M459" s="121"/>
    </row>
    <row r="460" ht="49.5" customHeight="1">
      <c r="A460" s="121" t="str">
        <f>IFERROR(__xludf.DUMMYFUNCTION("""COMPUTED_VALUE"""),"CT")</f>
        <v>CT</v>
      </c>
      <c r="B460" s="121" t="str">
        <f>IFERROR(__xludf.DUMMYFUNCTION("""COMPUTED_VALUE"""),"S6")</f>
        <v>S6</v>
      </c>
      <c r="C460" s="121" t="str">
        <f>IFERROR(__xludf.DUMMYFUNCTION("""COMPUTED_VALUE"""),"CORE")</f>
        <v>CORE</v>
      </c>
      <c r="D460" s="121" t="str">
        <f>IFERROR(__xludf.DUMMYFUNCTION("""COMPUTED_VALUE"""),"22CT601")</f>
        <v>22CT601</v>
      </c>
      <c r="E460" s="131" t="str">
        <f>IFERROR(__xludf.DUMMYFUNCTION("""COMPUTED_VALUE"""),"DISTRIBUTED COMPUTING")</f>
        <v>DISTRIBUTED COMPUTING</v>
      </c>
      <c r="F460" s="121" t="str">
        <f>IFERROR(__xludf.DUMMYFUNCTION("""COMPUTED_VALUE"""),"THEORY")</f>
        <v>THEORY</v>
      </c>
      <c r="G460" s="121">
        <f>IFERROR(__xludf.DUMMYFUNCTION("""COMPUTED_VALUE"""),3.0)</f>
        <v>3</v>
      </c>
      <c r="H460" s="121">
        <f>IFERROR(__xludf.DUMMYFUNCTION("""COMPUTED_VALUE"""),0.0)</f>
        <v>0</v>
      </c>
      <c r="I460" s="121">
        <f>IFERROR(__xludf.DUMMYFUNCTION("""COMPUTED_VALUE"""),0.0)</f>
        <v>0</v>
      </c>
      <c r="J460" s="121">
        <f>IFERROR(__xludf.DUMMYFUNCTION("""COMPUTED_VALUE"""),3.0)</f>
        <v>3</v>
      </c>
      <c r="K460" s="132" t="str">
        <f>IFERROR(__xludf.DUMMYFUNCTION("""COMPUTED_VALUE"""),"CT11030")</f>
        <v>CT11030</v>
      </c>
      <c r="L460" s="121" t="str">
        <f>IFERROR(__xludf.DUMMYFUNCTION("""COMPUTED_VALUE"""),"Mrs.SAVEETHA R")</f>
        <v>Mrs.SAVEETHA R</v>
      </c>
      <c r="M460" s="121" t="str">
        <f>IFERROR(__xludf.DUMMYFUNCTION("""COMPUTED_VALUE"""),"saveethar@bitsathy.ac.in")</f>
        <v>saveethar@bitsathy.ac.in</v>
      </c>
    </row>
    <row r="461" ht="49.5" customHeight="1">
      <c r="A461" s="121" t="str">
        <f>IFERROR(__xludf.DUMMYFUNCTION("""COMPUTED_VALUE"""),"CT")</f>
        <v>CT</v>
      </c>
      <c r="B461" s="121" t="str">
        <f>IFERROR(__xludf.DUMMYFUNCTION("""COMPUTED_VALUE"""),"S6")</f>
        <v>S6</v>
      </c>
      <c r="C461" s="121" t="str">
        <f>IFERROR(__xludf.DUMMYFUNCTION("""COMPUTED_VALUE"""),"CORE")</f>
        <v>CORE</v>
      </c>
      <c r="D461" s="121" t="str">
        <f>IFERROR(__xludf.DUMMYFUNCTION("""COMPUTED_VALUE"""),"22CT602")</f>
        <v>22CT602</v>
      </c>
      <c r="E461" s="131" t="str">
        <f>IFERROR(__xludf.DUMMYFUNCTION("""COMPUTED_VALUE"""),"MACHINE LEARNING ESSENTIALS")</f>
        <v>MACHINE LEARNING ESSENTIALS</v>
      </c>
      <c r="F461" s="121" t="str">
        <f>IFERROR(__xludf.DUMMYFUNCTION("""COMPUTED_VALUE"""),"THEORY")</f>
        <v>THEORY</v>
      </c>
      <c r="G461" s="121">
        <f>IFERROR(__xludf.DUMMYFUNCTION("""COMPUTED_VALUE"""),3.0)</f>
        <v>3</v>
      </c>
      <c r="H461" s="121">
        <f>IFERROR(__xludf.DUMMYFUNCTION("""COMPUTED_VALUE"""),0.0)</f>
        <v>0</v>
      </c>
      <c r="I461" s="121">
        <f>IFERROR(__xludf.DUMMYFUNCTION("""COMPUTED_VALUE"""),2.0)</f>
        <v>2</v>
      </c>
      <c r="J461" s="121">
        <f>IFERROR(__xludf.DUMMYFUNCTION("""COMPUTED_VALUE"""),4.0)</f>
        <v>4</v>
      </c>
      <c r="K461" s="132" t="str">
        <f>IFERROR(__xludf.DUMMYFUNCTION("""COMPUTED_VALUE"""),"CT10659")</f>
        <v>CT10659</v>
      </c>
      <c r="L461" s="121" t="str">
        <f>IFERROR(__xludf.DUMMYFUNCTION("""COMPUTED_VALUE"""),"Dr.THANGA PARVATHI B")</f>
        <v>Dr.THANGA PARVATHI B</v>
      </c>
      <c r="M461" s="133" t="str">
        <f>IFERROR(__xludf.DUMMYFUNCTION("""COMPUTED_VALUE"""),"btparvathi@bitsathy.ac.in")</f>
        <v>btparvathi@bitsathy.ac.in</v>
      </c>
    </row>
    <row r="462" ht="49.5" customHeight="1">
      <c r="A462" s="121" t="str">
        <f>IFERROR(__xludf.DUMMYFUNCTION("""COMPUTED_VALUE"""),"CT")</f>
        <v>CT</v>
      </c>
      <c r="B462" s="121" t="str">
        <f>IFERROR(__xludf.DUMMYFUNCTION("""COMPUTED_VALUE"""),"S6")</f>
        <v>S6</v>
      </c>
      <c r="C462" s="121" t="str">
        <f>IFERROR(__xludf.DUMMYFUNCTION("""COMPUTED_VALUE"""),"CORE")</f>
        <v>CORE</v>
      </c>
      <c r="D462" s="121" t="str">
        <f>IFERROR(__xludf.DUMMYFUNCTION("""COMPUTED_VALUE"""),"22CT602")</f>
        <v>22CT602</v>
      </c>
      <c r="E462" s="131" t="str">
        <f>IFERROR(__xludf.DUMMYFUNCTION("""COMPUTED_VALUE"""),"MACHINE LEARNING ESSENTIALS")</f>
        <v>MACHINE LEARNING ESSENTIALS</v>
      </c>
      <c r="F462" s="121" t="str">
        <f>IFERROR(__xludf.DUMMYFUNCTION("""COMPUTED_VALUE"""),"LAB")</f>
        <v>LAB</v>
      </c>
      <c r="G462" s="121">
        <f>IFERROR(__xludf.DUMMYFUNCTION("""COMPUTED_VALUE"""),3.0)</f>
        <v>3</v>
      </c>
      <c r="H462" s="121">
        <f>IFERROR(__xludf.DUMMYFUNCTION("""COMPUTED_VALUE"""),0.0)</f>
        <v>0</v>
      </c>
      <c r="I462" s="121">
        <f>IFERROR(__xludf.DUMMYFUNCTION("""COMPUTED_VALUE"""),2.0)</f>
        <v>2</v>
      </c>
      <c r="J462" s="121">
        <f>IFERROR(__xludf.DUMMYFUNCTION("""COMPUTED_VALUE"""),4.0)</f>
        <v>4</v>
      </c>
      <c r="K462" s="132" t="str">
        <f>IFERROR(__xludf.DUMMYFUNCTION("""COMPUTED_VALUE"""),"CT10933")</f>
        <v>CT10933</v>
      </c>
      <c r="L462" s="121" t="str">
        <f>IFERROR(__xludf.DUMMYFUNCTION("""COMPUTED_VALUE"""),"Mrs.SWEETY PRASANNA KIRUBA G")</f>
        <v>Mrs.SWEETY PRASANNA KIRUBA G</v>
      </c>
      <c r="M462" s="133" t="str">
        <f>IFERROR(__xludf.DUMMYFUNCTION("""COMPUTED_VALUE"""),"prasannakiruba@bitsathy.ac.in")</f>
        <v>prasannakiruba@bitsathy.ac.in</v>
      </c>
    </row>
    <row r="463" ht="49.5" customHeight="1">
      <c r="A463" s="121" t="str">
        <f>IFERROR(__xludf.DUMMYFUNCTION("""COMPUTED_VALUE"""),"CT")</f>
        <v>CT</v>
      </c>
      <c r="B463" s="121" t="str">
        <f>IFERROR(__xludf.DUMMYFUNCTION("""COMPUTED_VALUE"""),"S6")</f>
        <v>S6</v>
      </c>
      <c r="C463" s="121" t="str">
        <f>IFERROR(__xludf.DUMMYFUNCTION("""COMPUTED_VALUE"""),"CORE")</f>
        <v>CORE</v>
      </c>
      <c r="D463" s="121" t="str">
        <f>IFERROR(__xludf.DUMMYFUNCTION("""COMPUTED_VALUE"""),"22CT603")</f>
        <v>22CT603</v>
      </c>
      <c r="E463" s="131" t="str">
        <f>IFERROR(__xludf.DUMMYFUNCTION("""COMPUTED_VALUE"""),"CLOUD COMPUTING")</f>
        <v>CLOUD COMPUTING</v>
      </c>
      <c r="F463" s="121" t="str">
        <f>IFERROR(__xludf.DUMMYFUNCTION("""COMPUTED_VALUE"""),"THEORY WITH LAB")</f>
        <v>THEORY WITH LAB</v>
      </c>
      <c r="G463" s="121">
        <f>IFERROR(__xludf.DUMMYFUNCTION("""COMPUTED_VALUE"""),3.0)</f>
        <v>3</v>
      </c>
      <c r="H463" s="121">
        <f>IFERROR(__xludf.DUMMYFUNCTION("""COMPUTED_VALUE"""),0.0)</f>
        <v>0</v>
      </c>
      <c r="I463" s="121">
        <f>IFERROR(__xludf.DUMMYFUNCTION("""COMPUTED_VALUE"""),2.0)</f>
        <v>2</v>
      </c>
      <c r="J463" s="121">
        <f>IFERROR(__xludf.DUMMYFUNCTION("""COMPUTED_VALUE"""),4.0)</f>
        <v>4</v>
      </c>
      <c r="K463" s="132" t="str">
        <f>IFERROR(__xludf.DUMMYFUNCTION("""COMPUTED_VALUE"""),"CT10965")</f>
        <v>CT10965</v>
      </c>
      <c r="L463" s="121" t="str">
        <f>IFERROR(__xludf.DUMMYFUNCTION("""COMPUTED_VALUE"""),"Mr.GUNALAN K")</f>
        <v>Mr.GUNALAN K</v>
      </c>
      <c r="M463" s="121" t="str">
        <f>IFERROR(__xludf.DUMMYFUNCTION("""COMPUTED_VALUE"""),"gunalank@bitsathy.ac.in")</f>
        <v>gunalank@bitsathy.ac.in</v>
      </c>
    </row>
    <row r="464" ht="49.5" customHeight="1">
      <c r="A464" s="121" t="str">
        <f>IFERROR(__xludf.DUMMYFUNCTION("""COMPUTED_VALUE"""),"CT")</f>
        <v>CT</v>
      </c>
      <c r="B464" s="121" t="str">
        <f>IFERROR(__xludf.DUMMYFUNCTION("""COMPUTED_VALUE"""),"S6")</f>
        <v>S6</v>
      </c>
      <c r="C464" s="121" t="str">
        <f>IFERROR(__xludf.DUMMYFUNCTION("""COMPUTED_VALUE"""),"ELECTIVE 3")</f>
        <v>ELECTIVE 3</v>
      </c>
      <c r="D464" s="121" t="str">
        <f>IFERROR(__xludf.DUMMYFUNCTION("""COMPUTED_VALUE"""),"22CT019")</f>
        <v>22CT019</v>
      </c>
      <c r="E464" s="131" t="str">
        <f>IFERROR(__xludf.DUMMYFUNCTION("""COMPUTED_VALUE"""),"CYBER SECURITY")</f>
        <v>CYBER SECURITY</v>
      </c>
      <c r="F464" s="121" t="str">
        <f>IFERROR(__xludf.DUMMYFUNCTION("""COMPUTED_VALUE"""),"THEORY")</f>
        <v>THEORY</v>
      </c>
      <c r="G464" s="121">
        <f>IFERROR(__xludf.DUMMYFUNCTION("""COMPUTED_VALUE"""),3.0)</f>
        <v>3</v>
      </c>
      <c r="H464" s="121">
        <f>IFERROR(__xludf.DUMMYFUNCTION("""COMPUTED_VALUE"""),0.0)</f>
        <v>0</v>
      </c>
      <c r="I464" s="121">
        <f>IFERROR(__xludf.DUMMYFUNCTION("""COMPUTED_VALUE"""),0.0)</f>
        <v>0</v>
      </c>
      <c r="J464" s="121">
        <f>IFERROR(__xludf.DUMMYFUNCTION("""COMPUTED_VALUE"""),3.0)</f>
        <v>3</v>
      </c>
      <c r="K464" s="132" t="str">
        <f>IFERROR(__xludf.DUMMYFUNCTION("""COMPUTED_VALUE"""),"CT1349")</f>
        <v>CT1349</v>
      </c>
      <c r="L464" s="121" t="str">
        <f>IFERROR(__xludf.DUMMYFUNCTION("""COMPUTED_VALUE"""),"Dr.MURUGESAN P")</f>
        <v>Dr.MURUGESAN P</v>
      </c>
      <c r="M464" s="121" t="str">
        <f>IFERROR(__xludf.DUMMYFUNCTION("""COMPUTED_VALUE"""),"murugesanp@bitsathy.ac.in")</f>
        <v>murugesanp@bitsathy.ac.in</v>
      </c>
    </row>
    <row r="465" ht="49.5" customHeight="1">
      <c r="A465" s="121" t="str">
        <f>IFERROR(__xludf.DUMMYFUNCTION("""COMPUTED_VALUE"""),"CT")</f>
        <v>CT</v>
      </c>
      <c r="B465" s="121" t="str">
        <f>IFERROR(__xludf.DUMMYFUNCTION("""COMPUTED_VALUE"""),"S6")</f>
        <v>S6</v>
      </c>
      <c r="C465" s="121" t="str">
        <f>IFERROR(__xludf.DUMMYFUNCTION("""COMPUTED_VALUE"""),"ELECTIVE 4")</f>
        <v>ELECTIVE 4</v>
      </c>
      <c r="D465" s="121" t="str">
        <f>IFERROR(__xludf.DUMMYFUNCTION("""COMPUTED_VALUE"""),"22CT025")</f>
        <v>22CT025</v>
      </c>
      <c r="E465" s="131" t="str">
        <f>IFERROR(__xludf.DUMMYFUNCTION("""COMPUTED_VALUE"""),"MULTIMEDIA AND ANIMATION")</f>
        <v>MULTIMEDIA AND ANIMATION</v>
      </c>
      <c r="F465" s="121" t="str">
        <f>IFERROR(__xludf.DUMMYFUNCTION("""COMPUTED_VALUE"""),"THEORY WITH LAB")</f>
        <v>THEORY WITH LAB</v>
      </c>
      <c r="G465" s="121">
        <f>IFERROR(__xludf.DUMMYFUNCTION("""COMPUTED_VALUE"""),2.0)</f>
        <v>2</v>
      </c>
      <c r="H465" s="121">
        <f>IFERROR(__xludf.DUMMYFUNCTION("""COMPUTED_VALUE"""),0.0)</f>
        <v>0</v>
      </c>
      <c r="I465" s="121">
        <f>IFERROR(__xludf.DUMMYFUNCTION("""COMPUTED_VALUE"""),2.0)</f>
        <v>2</v>
      </c>
      <c r="J465" s="121">
        <f>IFERROR(__xludf.DUMMYFUNCTION("""COMPUTED_VALUE"""),3.0)</f>
        <v>3</v>
      </c>
      <c r="K465" s="132" t="str">
        <f>IFERROR(__xludf.DUMMYFUNCTION("""COMPUTED_VALUE"""),"CT10935")</f>
        <v>CT10935</v>
      </c>
      <c r="L465" s="121" t="str">
        <f>IFERROR(__xludf.DUMMYFUNCTION("""COMPUTED_VALUE"""),"Ms.NITHYA M")</f>
        <v>Ms.NITHYA M</v>
      </c>
      <c r="M465" s="121" t="str">
        <f>IFERROR(__xludf.DUMMYFUNCTION("""COMPUTED_VALUE"""),"nithyam@bitsathy.ac.in")</f>
        <v>nithyam@bitsathy.ac.in</v>
      </c>
    </row>
    <row r="466" ht="49.5" customHeight="1">
      <c r="A466" s="121" t="str">
        <f>IFERROR(__xludf.DUMMYFUNCTION("""COMPUTED_VALUE"""),"CT")</f>
        <v>CT</v>
      </c>
      <c r="B466" s="121" t="str">
        <f>IFERROR(__xludf.DUMMYFUNCTION("""COMPUTED_VALUE"""),"S6")</f>
        <v>S6</v>
      </c>
      <c r="C466" s="121" t="str">
        <f>IFERROR(__xludf.DUMMYFUNCTION("""COMPUTED_VALUE"""),"ELECTIVE 5")</f>
        <v>ELECTIVE 5</v>
      </c>
      <c r="D466" s="121" t="str">
        <f>IFERROR(__xludf.DUMMYFUNCTION("""COMPUTED_VALUE"""),"22CT040")</f>
        <v>22CT040</v>
      </c>
      <c r="E466" s="131" t="str">
        <f>IFERROR(__xludf.DUMMYFUNCTION("""COMPUTED_VALUE"""),"BUSINESS ANALYTICS")</f>
        <v>BUSINESS ANALYTICS</v>
      </c>
      <c r="F466" s="121" t="str">
        <f>IFERROR(__xludf.DUMMYFUNCTION("""COMPUTED_VALUE"""),"THEORY")</f>
        <v>THEORY</v>
      </c>
      <c r="G466" s="121">
        <f>IFERROR(__xludf.DUMMYFUNCTION("""COMPUTED_VALUE"""),3.0)</f>
        <v>3</v>
      </c>
      <c r="H466" s="121">
        <f>IFERROR(__xludf.DUMMYFUNCTION("""COMPUTED_VALUE"""),0.0)</f>
        <v>0</v>
      </c>
      <c r="I466" s="121">
        <f>IFERROR(__xludf.DUMMYFUNCTION("""COMPUTED_VALUE"""),0.0)</f>
        <v>0</v>
      </c>
      <c r="J466" s="121">
        <f>IFERROR(__xludf.DUMMYFUNCTION("""COMPUTED_VALUE"""),3.0)</f>
        <v>3</v>
      </c>
      <c r="K466" s="132" t="str">
        <f>IFERROR(__xludf.DUMMYFUNCTION("""COMPUTED_VALUE"""),"CT11020")</f>
        <v>CT11020</v>
      </c>
      <c r="L466" s="121" t="str">
        <f>IFERROR(__xludf.DUMMYFUNCTION("""COMPUTED_VALUE"""),"Mr.ANANDAN P")</f>
        <v>Mr.ANANDAN P</v>
      </c>
      <c r="M466" s="121" t="str">
        <f>IFERROR(__xludf.DUMMYFUNCTION("""COMPUTED_VALUE"""),"anandan@bitsathy.ac.in")</f>
        <v>anandan@bitsathy.ac.in</v>
      </c>
    </row>
    <row r="467" ht="49.5" customHeight="1">
      <c r="A467" s="121" t="str">
        <f>IFERROR(__xludf.DUMMYFUNCTION("""COMPUTED_VALUE"""),"CT")</f>
        <v>CT</v>
      </c>
      <c r="B467" s="121" t="str">
        <f>IFERROR(__xludf.DUMMYFUNCTION("""COMPUTED_VALUE"""),"S6")</f>
        <v>S6</v>
      </c>
      <c r="C467" s="121" t="str">
        <f>IFERROR(__xludf.DUMMYFUNCTION("""COMPUTED_VALUE"""),"ADD COURSE")</f>
        <v>ADD COURSE</v>
      </c>
      <c r="D467" s="121" t="str">
        <f>IFERROR(__xludf.DUMMYFUNCTION("""COMPUTED_VALUE"""),"22CT038")</f>
        <v>22CT038</v>
      </c>
      <c r="E467" s="131" t="str">
        <f>IFERROR(__xludf.DUMMYFUNCTION("""COMPUTED_VALUE"""),"HUMAN COMPUTER INTERACTION")</f>
        <v>HUMAN COMPUTER INTERACTION</v>
      </c>
      <c r="F467" s="121" t="str">
        <f>IFERROR(__xludf.DUMMYFUNCTION("""COMPUTED_VALUE"""),"THEORY")</f>
        <v>THEORY</v>
      </c>
      <c r="G467" s="121">
        <f>IFERROR(__xludf.DUMMYFUNCTION("""COMPUTED_VALUE"""),3.0)</f>
        <v>3</v>
      </c>
      <c r="H467" s="121">
        <f>IFERROR(__xludf.DUMMYFUNCTION("""COMPUTED_VALUE"""),0.0)</f>
        <v>0</v>
      </c>
      <c r="I467" s="121">
        <f>IFERROR(__xludf.DUMMYFUNCTION("""COMPUTED_VALUE"""),0.0)</f>
        <v>0</v>
      </c>
      <c r="J467" s="121">
        <f>IFERROR(__xludf.DUMMYFUNCTION("""COMPUTED_VALUE"""),3.0)</f>
        <v>3</v>
      </c>
      <c r="K467" s="132" t="str">
        <f>IFERROR(__xludf.DUMMYFUNCTION("""COMPUTED_VALUE"""),"CT10933")</f>
        <v>CT10933</v>
      </c>
      <c r="L467" s="121" t="str">
        <f>IFERROR(__xludf.DUMMYFUNCTION("""COMPUTED_VALUE"""),"Mrs.SWEETY PRASANNA KIRUBA G")</f>
        <v>Mrs.SWEETY PRASANNA KIRUBA G</v>
      </c>
      <c r="M467" s="121" t="str">
        <f>IFERROR(__xludf.DUMMYFUNCTION("""COMPUTED_VALUE"""),"prasannakiruba@bitsathy.ac.in")</f>
        <v>prasannakiruba@bitsathy.ac.in</v>
      </c>
    </row>
    <row r="468" ht="49.5" customHeight="1">
      <c r="A468" s="121" t="str">
        <f>IFERROR(__xludf.DUMMYFUNCTION("""COMPUTED_VALUE"""),"CT")</f>
        <v>CT</v>
      </c>
      <c r="B468" s="121" t="str">
        <f>IFERROR(__xludf.DUMMYFUNCTION("""COMPUTED_VALUE"""),"S6")</f>
        <v>S6</v>
      </c>
      <c r="C468" s="121" t="str">
        <f>IFERROR(__xludf.DUMMYFUNCTION("""COMPUTED_VALUE"""),"CORE")</f>
        <v>CORE</v>
      </c>
      <c r="D468" s="121" t="str">
        <f>IFERROR(__xludf.DUMMYFUNCTION("""COMPUTED_VALUE"""),"22CT607")</f>
        <v>22CT607</v>
      </c>
      <c r="E468" s="131" t="str">
        <f>IFERROR(__xludf.DUMMYFUNCTION("""COMPUTED_VALUE"""),"MINI PROJECT II")</f>
        <v>MINI PROJECT II</v>
      </c>
      <c r="F468" s="121" t="str">
        <f>IFERROR(__xludf.DUMMYFUNCTION("""COMPUTED_VALUE"""),"LAB")</f>
        <v>LAB</v>
      </c>
      <c r="G468" s="121">
        <f>IFERROR(__xludf.DUMMYFUNCTION("""COMPUTED_VALUE"""),0.0)</f>
        <v>0</v>
      </c>
      <c r="H468" s="121">
        <f>IFERROR(__xludf.DUMMYFUNCTION("""COMPUTED_VALUE"""),0.0)</f>
        <v>0</v>
      </c>
      <c r="I468" s="121">
        <f>IFERROR(__xludf.DUMMYFUNCTION("""COMPUTED_VALUE"""),2.0)</f>
        <v>2</v>
      </c>
      <c r="J468" s="121">
        <f>IFERROR(__xludf.DUMMYFUNCTION("""COMPUTED_VALUE"""),1.0)</f>
        <v>1</v>
      </c>
      <c r="K468" s="132"/>
      <c r="L468" s="121"/>
      <c r="M468" s="121"/>
    </row>
    <row r="469" ht="49.5" customHeight="1">
      <c r="A469" s="121" t="str">
        <f>IFERROR(__xludf.DUMMYFUNCTION("""COMPUTED_VALUE"""),"CT")</f>
        <v>CT</v>
      </c>
      <c r="B469" s="121" t="str">
        <f>IFERROR(__xludf.DUMMYFUNCTION("""COMPUTED_VALUE"""),"S8")</f>
        <v>S8</v>
      </c>
      <c r="C469" s="121" t="str">
        <f>IFERROR(__xludf.DUMMYFUNCTION("""COMPUTED_VALUE"""),"CORE")</f>
        <v>CORE</v>
      </c>
      <c r="D469" s="121" t="str">
        <f>IFERROR(__xludf.DUMMYFUNCTION("""COMPUTED_VALUE"""),"22CT801")</f>
        <v>22CT801</v>
      </c>
      <c r="E469" s="131" t="str">
        <f>IFERROR(__xludf.DUMMYFUNCTION("""COMPUTED_VALUE"""),"PROJECT WORK II")</f>
        <v>PROJECT WORK II</v>
      </c>
      <c r="F469" s="121" t="str">
        <f>IFERROR(__xludf.DUMMYFUNCTION("""COMPUTED_VALUE"""),"LAB")</f>
        <v>LAB</v>
      </c>
      <c r="G469" s="121">
        <f>IFERROR(__xludf.DUMMYFUNCTION("""COMPUTED_VALUE"""),0.0)</f>
        <v>0</v>
      </c>
      <c r="H469" s="121">
        <f>IFERROR(__xludf.DUMMYFUNCTION("""COMPUTED_VALUE"""),0.0)</f>
        <v>0</v>
      </c>
      <c r="I469" s="121">
        <f>IFERROR(__xludf.DUMMYFUNCTION("""COMPUTED_VALUE"""),18.0)</f>
        <v>18</v>
      </c>
      <c r="J469" s="121">
        <f>IFERROR(__xludf.DUMMYFUNCTION("""COMPUTED_VALUE"""),9.0)</f>
        <v>9</v>
      </c>
      <c r="K469" s="132"/>
      <c r="L469" s="121"/>
      <c r="M469" s="121"/>
    </row>
    <row r="470" ht="49.5" customHeight="1">
      <c r="A470" s="121" t="str">
        <f>IFERROR(__xludf.DUMMYFUNCTION("""COMPUTED_VALUE"""),"EEE")</f>
        <v>EEE</v>
      </c>
      <c r="B470" s="121" t="str">
        <f>IFERROR(__xludf.DUMMYFUNCTION("""COMPUTED_VALUE"""),"S2")</f>
        <v>S2</v>
      </c>
      <c r="C470" s="121" t="str">
        <f>IFERROR(__xludf.DUMMYFUNCTION("""COMPUTED_VALUE"""),"CORE")</f>
        <v>CORE</v>
      </c>
      <c r="D470" s="121" t="str">
        <f>IFERROR(__xludf.DUMMYFUNCTION("""COMPUTED_VALUE"""),"22MA201")</f>
        <v>22MA201</v>
      </c>
      <c r="E470" s="131" t="str">
        <f>IFERROR(__xludf.DUMMYFUNCTION("""COMPUTED_VALUE"""),"ENGINEERING MATHEMATICS II")</f>
        <v>ENGINEERING MATHEMATICS II</v>
      </c>
      <c r="F470" s="121" t="str">
        <f>IFERROR(__xludf.DUMMYFUNCTION("""COMPUTED_VALUE"""),"THEORY")</f>
        <v>THEORY</v>
      </c>
      <c r="G470" s="121">
        <f>IFERROR(__xludf.DUMMYFUNCTION("""COMPUTED_VALUE"""),3.0)</f>
        <v>3</v>
      </c>
      <c r="H470" s="121">
        <f>IFERROR(__xludf.DUMMYFUNCTION("""COMPUTED_VALUE"""),1.0)</f>
        <v>1</v>
      </c>
      <c r="I470" s="121">
        <f>IFERROR(__xludf.DUMMYFUNCTION("""COMPUTED_VALUE"""),0.0)</f>
        <v>0</v>
      </c>
      <c r="J470" s="121">
        <f>IFERROR(__xludf.DUMMYFUNCTION("""COMPUTED_VALUE"""),4.0)</f>
        <v>4</v>
      </c>
      <c r="K470" s="132" t="str">
        <f>IFERROR(__xludf.DUMMYFUNCTION("""COMPUTED_VALUE"""),"MA1327")</f>
        <v>MA1327</v>
      </c>
      <c r="L470" s="121" t="str">
        <f>IFERROR(__xludf.DUMMYFUNCTION("""COMPUTED_VALUE"""),"Dr.THULASIMANI T")</f>
        <v>Dr.THULASIMANI T</v>
      </c>
      <c r="M470" s="121" t="str">
        <f>IFERROR(__xludf.DUMMYFUNCTION("""COMPUTED_VALUE"""),"thulasimanit@bitsathy.ac.in")</f>
        <v>thulasimanit@bitsathy.ac.in</v>
      </c>
    </row>
    <row r="471" ht="49.5" customHeight="1">
      <c r="A471" s="121" t="str">
        <f>IFERROR(__xludf.DUMMYFUNCTION("""COMPUTED_VALUE"""),"EEE")</f>
        <v>EEE</v>
      </c>
      <c r="B471" s="121" t="str">
        <f>IFERROR(__xludf.DUMMYFUNCTION("""COMPUTED_VALUE"""),"S2")</f>
        <v>S2</v>
      </c>
      <c r="C471" s="121" t="str">
        <f>IFERROR(__xludf.DUMMYFUNCTION("""COMPUTED_VALUE"""),"CORE")</f>
        <v>CORE</v>
      </c>
      <c r="D471" s="121" t="str">
        <f>IFERROR(__xludf.DUMMYFUNCTION("""COMPUTED_VALUE"""),"22MA201")</f>
        <v>22MA201</v>
      </c>
      <c r="E471" s="131" t="str">
        <f>IFERROR(__xludf.DUMMYFUNCTION("""COMPUTED_VALUE"""),"ENGINEERING MATHEMATICS II")</f>
        <v>ENGINEERING MATHEMATICS II</v>
      </c>
      <c r="F471" s="121" t="str">
        <f>IFERROR(__xludf.DUMMYFUNCTION("""COMPUTED_VALUE"""),"THEORY")</f>
        <v>THEORY</v>
      </c>
      <c r="G471" s="121">
        <f>IFERROR(__xludf.DUMMYFUNCTION("""COMPUTED_VALUE"""),3.0)</f>
        <v>3</v>
      </c>
      <c r="H471" s="121">
        <f>IFERROR(__xludf.DUMMYFUNCTION("""COMPUTED_VALUE"""),1.0)</f>
        <v>1</v>
      </c>
      <c r="I471" s="121">
        <f>IFERROR(__xludf.DUMMYFUNCTION("""COMPUTED_VALUE"""),0.0)</f>
        <v>0</v>
      </c>
      <c r="J471" s="121">
        <f>IFERROR(__xludf.DUMMYFUNCTION("""COMPUTED_VALUE"""),4.0)</f>
        <v>4</v>
      </c>
      <c r="K471" s="132" t="str">
        <f>IFERROR(__xludf.DUMMYFUNCTION("""COMPUTED_VALUE"""),"MA10518")</f>
        <v>MA10518</v>
      </c>
      <c r="L471" s="121" t="str">
        <f>IFERROR(__xludf.DUMMYFUNCTION("""COMPUTED_VALUE"""),"Dr.PRABAKARAN P")</f>
        <v>Dr.PRABAKARAN P</v>
      </c>
      <c r="M471" s="121" t="str">
        <f>IFERROR(__xludf.DUMMYFUNCTION("""COMPUTED_VALUE"""),"prabakaran@bitsathy.ac.in")</f>
        <v>prabakaran@bitsathy.ac.in</v>
      </c>
    </row>
    <row r="472" ht="49.5" customHeight="1">
      <c r="A472" s="121" t="str">
        <f>IFERROR(__xludf.DUMMYFUNCTION("""COMPUTED_VALUE"""),"EEE")</f>
        <v>EEE</v>
      </c>
      <c r="B472" s="121" t="str">
        <f>IFERROR(__xludf.DUMMYFUNCTION("""COMPUTED_VALUE"""),"S2")</f>
        <v>S2</v>
      </c>
      <c r="C472" s="121" t="str">
        <f>IFERROR(__xludf.DUMMYFUNCTION("""COMPUTED_VALUE"""),"CORE")</f>
        <v>CORE</v>
      </c>
      <c r="D472" s="121" t="str">
        <f>IFERROR(__xludf.DUMMYFUNCTION("""COMPUTED_VALUE"""),"22PH202")</f>
        <v>22PH202</v>
      </c>
      <c r="E472" s="131" t="str">
        <f>IFERROR(__xludf.DUMMYFUNCTION("""COMPUTED_VALUE"""),"ELECTROMAGNETISM AND MODERN PHYSICS")</f>
        <v>ELECTROMAGNETISM AND MODERN PHYSICS</v>
      </c>
      <c r="F472" s="121" t="str">
        <f>IFERROR(__xludf.DUMMYFUNCTION("""COMPUTED_VALUE"""),"THEORY WITH LAB")</f>
        <v>THEORY WITH LAB</v>
      </c>
      <c r="G472" s="121">
        <f>IFERROR(__xludf.DUMMYFUNCTION("""COMPUTED_VALUE"""),2.0)</f>
        <v>2</v>
      </c>
      <c r="H472" s="121">
        <f>IFERROR(__xludf.DUMMYFUNCTION("""COMPUTED_VALUE"""),0.0)</f>
        <v>0</v>
      </c>
      <c r="I472" s="121">
        <f>IFERROR(__xludf.DUMMYFUNCTION("""COMPUTED_VALUE"""),2.0)</f>
        <v>2</v>
      </c>
      <c r="J472" s="121">
        <f>IFERROR(__xludf.DUMMYFUNCTION("""COMPUTED_VALUE"""),3.0)</f>
        <v>3</v>
      </c>
      <c r="K472" s="132" t="str">
        <f>IFERROR(__xludf.DUMMYFUNCTION("""COMPUTED_VALUE"""),"PH10380")</f>
        <v>PH10380</v>
      </c>
      <c r="L472" s="121" t="str">
        <f>IFERROR(__xludf.DUMMYFUNCTION("""COMPUTED_VALUE"""),"Dr.SELVAKUMAR K")</f>
        <v>Dr.SELVAKUMAR K</v>
      </c>
      <c r="M472" s="121" t="str">
        <f>IFERROR(__xludf.DUMMYFUNCTION("""COMPUTED_VALUE"""),"selvakumark@bitsathy.ac.in")</f>
        <v>selvakumark@bitsathy.ac.in</v>
      </c>
    </row>
    <row r="473" ht="49.5" customHeight="1">
      <c r="A473" s="121" t="str">
        <f>IFERROR(__xludf.DUMMYFUNCTION("""COMPUTED_VALUE"""),"EEE")</f>
        <v>EEE</v>
      </c>
      <c r="B473" s="121" t="str">
        <f>IFERROR(__xludf.DUMMYFUNCTION("""COMPUTED_VALUE"""),"S2")</f>
        <v>S2</v>
      </c>
      <c r="C473" s="121" t="str">
        <f>IFERROR(__xludf.DUMMYFUNCTION("""COMPUTED_VALUE"""),"CORE")</f>
        <v>CORE</v>
      </c>
      <c r="D473" s="121" t="str">
        <f>IFERROR(__xludf.DUMMYFUNCTION("""COMPUTED_VALUE"""),"22PH202")</f>
        <v>22PH202</v>
      </c>
      <c r="E473" s="131" t="str">
        <f>IFERROR(__xludf.DUMMYFUNCTION("""COMPUTED_VALUE"""),"ELECTROMAGNETISM AND MODERN PHYSICS")</f>
        <v>ELECTROMAGNETISM AND MODERN PHYSICS</v>
      </c>
      <c r="F473" s="121" t="str">
        <f>IFERROR(__xludf.DUMMYFUNCTION("""COMPUTED_VALUE"""),"THEORY WITH LAB")</f>
        <v>THEORY WITH LAB</v>
      </c>
      <c r="G473" s="121">
        <f>IFERROR(__xludf.DUMMYFUNCTION("""COMPUTED_VALUE"""),2.0)</f>
        <v>2</v>
      </c>
      <c r="H473" s="121">
        <f>IFERROR(__xludf.DUMMYFUNCTION("""COMPUTED_VALUE"""),0.0)</f>
        <v>0</v>
      </c>
      <c r="I473" s="121">
        <f>IFERROR(__xludf.DUMMYFUNCTION("""COMPUTED_VALUE"""),2.0)</f>
        <v>2</v>
      </c>
      <c r="J473" s="121">
        <f>IFERROR(__xludf.DUMMYFUNCTION("""COMPUTED_VALUE"""),3.0)</f>
        <v>3</v>
      </c>
      <c r="K473" s="132" t="str">
        <f>IFERROR(__xludf.DUMMYFUNCTION("""COMPUTED_VALUE"""),"PH10987")</f>
        <v>PH10987</v>
      </c>
      <c r="L473" s="121" t="str">
        <f>IFERROR(__xludf.DUMMYFUNCTION("""COMPUTED_VALUE"""),"Dr.ANANDHA BABU G")</f>
        <v>Dr.ANANDHA BABU G</v>
      </c>
      <c r="M473" s="133" t="str">
        <f>IFERROR(__xludf.DUMMYFUNCTION("""COMPUTED_VALUE"""),"anandhababug@bitsathy.ac.in")</f>
        <v>anandhababug@bitsathy.ac.in</v>
      </c>
    </row>
    <row r="474" ht="49.5" customHeight="1">
      <c r="A474" s="121" t="str">
        <f>IFERROR(__xludf.DUMMYFUNCTION("""COMPUTED_VALUE"""),"EEE")</f>
        <v>EEE</v>
      </c>
      <c r="B474" s="121" t="str">
        <f>IFERROR(__xludf.DUMMYFUNCTION("""COMPUTED_VALUE"""),"S2")</f>
        <v>S2</v>
      </c>
      <c r="C474" s="121" t="str">
        <f>IFERROR(__xludf.DUMMYFUNCTION("""COMPUTED_VALUE"""),"CORE")</f>
        <v>CORE</v>
      </c>
      <c r="D474" s="121" t="str">
        <f>IFERROR(__xludf.DUMMYFUNCTION("""COMPUTED_VALUE"""),"22CH203")</f>
        <v>22CH203</v>
      </c>
      <c r="E474" s="131" t="str">
        <f>IFERROR(__xludf.DUMMYFUNCTION("""COMPUTED_VALUE"""),"ENGINEERING CHEMISTRY II")</f>
        <v>ENGINEERING CHEMISTRY II</v>
      </c>
      <c r="F474" s="121" t="str">
        <f>IFERROR(__xludf.DUMMYFUNCTION("""COMPUTED_VALUE"""),"THEORY WITH LAB")</f>
        <v>THEORY WITH LAB</v>
      </c>
      <c r="G474" s="121">
        <f>IFERROR(__xludf.DUMMYFUNCTION("""COMPUTED_VALUE"""),2.0)</f>
        <v>2</v>
      </c>
      <c r="H474" s="121">
        <f>IFERROR(__xludf.DUMMYFUNCTION("""COMPUTED_VALUE"""),0.0)</f>
        <v>0</v>
      </c>
      <c r="I474" s="121">
        <f>IFERROR(__xludf.DUMMYFUNCTION("""COMPUTED_VALUE"""),2.0)</f>
        <v>2</v>
      </c>
      <c r="J474" s="121">
        <f>IFERROR(__xludf.DUMMYFUNCTION("""COMPUTED_VALUE"""),3.0)</f>
        <v>3</v>
      </c>
      <c r="K474" s="132" t="str">
        <f>IFERROR(__xludf.DUMMYFUNCTION("""COMPUTED_VALUE"""),"CH1578")</f>
        <v>CH1578</v>
      </c>
      <c r="L474" s="121" t="str">
        <f>IFERROR(__xludf.DUMMYFUNCTION("""COMPUTED_VALUE"""),"Dr.KAVITHA C")</f>
        <v>Dr.KAVITHA C</v>
      </c>
      <c r="M474" s="121" t="str">
        <f>IFERROR(__xludf.DUMMYFUNCTION("""COMPUTED_VALUE"""),"kavithac@bitsathy.ac.in")</f>
        <v>kavithac@bitsathy.ac.in</v>
      </c>
    </row>
    <row r="475" ht="49.5" customHeight="1">
      <c r="A475" s="121" t="str">
        <f>IFERROR(__xludf.DUMMYFUNCTION("""COMPUTED_VALUE"""),"EEE")</f>
        <v>EEE</v>
      </c>
      <c r="B475" s="121" t="str">
        <f>IFERROR(__xludf.DUMMYFUNCTION("""COMPUTED_VALUE"""),"S2")</f>
        <v>S2</v>
      </c>
      <c r="C475" s="121" t="str">
        <f>IFERROR(__xludf.DUMMYFUNCTION("""COMPUTED_VALUE"""),"CORE")</f>
        <v>CORE</v>
      </c>
      <c r="D475" s="121" t="str">
        <f>IFERROR(__xludf.DUMMYFUNCTION("""COMPUTED_VALUE"""),"22CH203")</f>
        <v>22CH203</v>
      </c>
      <c r="E475" s="131" t="str">
        <f>IFERROR(__xludf.DUMMYFUNCTION("""COMPUTED_VALUE"""),"ENGINEERING CHEMISTRY II")</f>
        <v>ENGINEERING CHEMISTRY II</v>
      </c>
      <c r="F475" s="121" t="str">
        <f>IFERROR(__xludf.DUMMYFUNCTION("""COMPUTED_VALUE"""),"THEORY WITH LAB")</f>
        <v>THEORY WITH LAB</v>
      </c>
      <c r="G475" s="121">
        <f>IFERROR(__xludf.DUMMYFUNCTION("""COMPUTED_VALUE"""),2.0)</f>
        <v>2</v>
      </c>
      <c r="H475" s="121">
        <f>IFERROR(__xludf.DUMMYFUNCTION("""COMPUTED_VALUE"""),0.0)</f>
        <v>0</v>
      </c>
      <c r="I475" s="121">
        <f>IFERROR(__xludf.DUMMYFUNCTION("""COMPUTED_VALUE"""),2.0)</f>
        <v>2</v>
      </c>
      <c r="J475" s="121">
        <f>IFERROR(__xludf.DUMMYFUNCTION("""COMPUTED_VALUE"""),3.0)</f>
        <v>3</v>
      </c>
      <c r="K475" s="132" t="str">
        <f>IFERROR(__xludf.DUMMYFUNCTION("""COMPUTED_VALUE"""),"CH11126")</f>
        <v>CH11126</v>
      </c>
      <c r="L475" s="121" t="str">
        <f>IFERROR(__xludf.DUMMYFUNCTION("""COMPUTED_VALUE"""),"Dr.JESIN BENETO A")</f>
        <v>Dr.JESIN BENETO A</v>
      </c>
      <c r="M475" s="121" t="str">
        <f>IFERROR(__xludf.DUMMYFUNCTION("""COMPUTED_VALUE"""),"jesinbeneto@bitsathy.ac.in")</f>
        <v>jesinbeneto@bitsathy.ac.in</v>
      </c>
    </row>
    <row r="476" ht="49.5" customHeight="1">
      <c r="A476" s="121" t="str">
        <f>IFERROR(__xludf.DUMMYFUNCTION("""COMPUTED_VALUE"""),"EEE")</f>
        <v>EEE</v>
      </c>
      <c r="B476" s="121" t="str">
        <f>IFERROR(__xludf.DUMMYFUNCTION("""COMPUTED_VALUE"""),"S2")</f>
        <v>S2</v>
      </c>
      <c r="C476" s="121" t="str">
        <f>IFERROR(__xludf.DUMMYFUNCTION("""COMPUTED_VALUE"""),"CORE")</f>
        <v>CORE</v>
      </c>
      <c r="D476" s="121" t="str">
        <f>IFERROR(__xludf.DUMMYFUNCTION("""COMPUTED_VALUE"""),"22GE002")</f>
        <v>22GE002</v>
      </c>
      <c r="E476" s="131" t="str">
        <f>IFERROR(__xludf.DUMMYFUNCTION("""COMPUTED_VALUE"""),"COMPUTATIONAL PROBLEM SOLVING")</f>
        <v>COMPUTATIONAL PROBLEM SOLVING</v>
      </c>
      <c r="F476" s="121" t="str">
        <f>IFERROR(__xludf.DUMMYFUNCTION("""COMPUTED_VALUE"""),"THEORY")</f>
        <v>THEORY</v>
      </c>
      <c r="G476" s="121">
        <f>IFERROR(__xludf.DUMMYFUNCTION("""COMPUTED_VALUE"""),3.0)</f>
        <v>3</v>
      </c>
      <c r="H476" s="121">
        <f>IFERROR(__xludf.DUMMYFUNCTION("""COMPUTED_VALUE"""),0.0)</f>
        <v>0</v>
      </c>
      <c r="I476" s="121">
        <f>IFERROR(__xludf.DUMMYFUNCTION("""COMPUTED_VALUE"""),0.0)</f>
        <v>0</v>
      </c>
      <c r="J476" s="121">
        <f>IFERROR(__xludf.DUMMYFUNCTION("""COMPUTED_VALUE"""),3.0)</f>
        <v>3</v>
      </c>
      <c r="K476" s="132" t="str">
        <f>IFERROR(__xludf.DUMMYFUNCTION("""COMPUTED_VALUE"""),"CS10906")</f>
        <v>CS10906</v>
      </c>
      <c r="L476" s="121" t="str">
        <f>IFERROR(__xludf.DUMMYFUNCTION("""COMPUTED_VALUE"""),"Dr.SARANYA K")</f>
        <v>Dr.SARANYA K</v>
      </c>
      <c r="M476" s="121" t="str">
        <f>IFERROR(__xludf.DUMMYFUNCTION("""COMPUTED_VALUE"""),"saranyaks@bitsathy.ac.in")</f>
        <v>saranyaks@bitsathy.ac.in</v>
      </c>
    </row>
    <row r="477" ht="49.5" customHeight="1">
      <c r="A477" s="121" t="str">
        <f>IFERROR(__xludf.DUMMYFUNCTION("""COMPUTED_VALUE"""),"EEE")</f>
        <v>EEE</v>
      </c>
      <c r="B477" s="121" t="str">
        <f>IFERROR(__xludf.DUMMYFUNCTION("""COMPUTED_VALUE"""),"S2")</f>
        <v>S2</v>
      </c>
      <c r="C477" s="121" t="str">
        <f>IFERROR(__xludf.DUMMYFUNCTION("""COMPUTED_VALUE"""),"CORE")</f>
        <v>CORE</v>
      </c>
      <c r="D477" s="121" t="str">
        <f>IFERROR(__xludf.DUMMYFUNCTION("""COMPUTED_VALUE"""),"22GE002")</f>
        <v>22GE002</v>
      </c>
      <c r="E477" s="131" t="str">
        <f>IFERROR(__xludf.DUMMYFUNCTION("""COMPUTED_VALUE"""),"COMPUTATIONAL PROBLEM SOLVING")</f>
        <v>COMPUTATIONAL PROBLEM SOLVING</v>
      </c>
      <c r="F477" s="121" t="str">
        <f>IFERROR(__xludf.DUMMYFUNCTION("""COMPUTED_VALUE"""),"THEORY")</f>
        <v>THEORY</v>
      </c>
      <c r="G477" s="121">
        <f>IFERROR(__xludf.DUMMYFUNCTION("""COMPUTED_VALUE"""),3.0)</f>
        <v>3</v>
      </c>
      <c r="H477" s="121">
        <f>IFERROR(__xludf.DUMMYFUNCTION("""COMPUTED_VALUE"""),0.0)</f>
        <v>0</v>
      </c>
      <c r="I477" s="121">
        <f>IFERROR(__xludf.DUMMYFUNCTION("""COMPUTED_VALUE"""),0.0)</f>
        <v>0</v>
      </c>
      <c r="J477" s="121">
        <f>IFERROR(__xludf.DUMMYFUNCTION("""COMPUTED_VALUE"""),3.0)</f>
        <v>3</v>
      </c>
      <c r="K477" s="132" t="str">
        <f>IFERROR(__xludf.DUMMYFUNCTION("""COMPUTED_VALUE"""),"CS11087")</f>
        <v>CS11087</v>
      </c>
      <c r="L477" s="121" t="str">
        <f>IFERROR(__xludf.DUMMYFUNCTION("""COMPUTED_VALUE"""),"Mrs.PRIYANGA M A")</f>
        <v>Mrs.PRIYANGA M A</v>
      </c>
      <c r="M477" s="121" t="str">
        <f>IFERROR(__xludf.DUMMYFUNCTION("""COMPUTED_VALUE"""),"priyanga@bitsathy.ac.in")</f>
        <v>priyanga@bitsathy.ac.in</v>
      </c>
    </row>
    <row r="478" ht="49.5" customHeight="1">
      <c r="A478" s="121" t="str">
        <f>IFERROR(__xludf.DUMMYFUNCTION("""COMPUTED_VALUE"""),"EEE")</f>
        <v>EEE</v>
      </c>
      <c r="B478" s="121" t="str">
        <f>IFERROR(__xludf.DUMMYFUNCTION("""COMPUTED_VALUE"""),"S2")</f>
        <v>S2</v>
      </c>
      <c r="C478" s="121" t="str">
        <f>IFERROR(__xludf.DUMMYFUNCTION("""COMPUTED_VALUE"""),"CORE")</f>
        <v>CORE</v>
      </c>
      <c r="D478" s="121" t="str">
        <f>IFERROR(__xludf.DUMMYFUNCTION("""COMPUTED_VALUE"""),"22GE004")</f>
        <v>22GE004</v>
      </c>
      <c r="E478" s="131" t="str">
        <f>IFERROR(__xludf.DUMMYFUNCTION("""COMPUTED_VALUE"""),"BASICS OF ELECTRONICS ENGINEERING")</f>
        <v>BASICS OF ELECTRONICS ENGINEERING</v>
      </c>
      <c r="F478" s="121" t="str">
        <f>IFERROR(__xludf.DUMMYFUNCTION("""COMPUTED_VALUE"""),"THEORY WITH LAB")</f>
        <v>THEORY WITH LAB</v>
      </c>
      <c r="G478" s="121">
        <f>IFERROR(__xludf.DUMMYFUNCTION("""COMPUTED_VALUE"""),2.0)</f>
        <v>2</v>
      </c>
      <c r="H478" s="121">
        <f>IFERROR(__xludf.DUMMYFUNCTION("""COMPUTED_VALUE"""),0.0)</f>
        <v>0</v>
      </c>
      <c r="I478" s="121">
        <f>IFERROR(__xludf.DUMMYFUNCTION("""COMPUTED_VALUE"""),2.0)</f>
        <v>2</v>
      </c>
      <c r="J478" s="121">
        <f>IFERROR(__xludf.DUMMYFUNCTION("""COMPUTED_VALUE"""),3.0)</f>
        <v>3</v>
      </c>
      <c r="K478" s="132" t="str">
        <f>IFERROR(__xludf.DUMMYFUNCTION("""COMPUTED_VALUE"""),"EC10229")</f>
        <v>EC10229</v>
      </c>
      <c r="L478" s="121" t="str">
        <f>IFERROR(__xludf.DUMMYFUNCTION("""COMPUTED_VALUE"""),"Mrs.SARANYA N")</f>
        <v>Mrs.SARANYA N</v>
      </c>
      <c r="M478" s="121" t="str">
        <f>IFERROR(__xludf.DUMMYFUNCTION("""COMPUTED_VALUE"""),"saranyan@bitsathy.ac.in")</f>
        <v>saranyan@bitsathy.ac.in</v>
      </c>
    </row>
    <row r="479" ht="49.5" customHeight="1">
      <c r="A479" s="121" t="str">
        <f>IFERROR(__xludf.DUMMYFUNCTION("""COMPUTED_VALUE"""),"EEE")</f>
        <v>EEE</v>
      </c>
      <c r="B479" s="121" t="str">
        <f>IFERROR(__xludf.DUMMYFUNCTION("""COMPUTED_VALUE"""),"S2")</f>
        <v>S2</v>
      </c>
      <c r="C479" s="121" t="str">
        <f>IFERROR(__xludf.DUMMYFUNCTION("""COMPUTED_VALUE"""),"CORE")</f>
        <v>CORE</v>
      </c>
      <c r="D479" s="121" t="str">
        <f>IFERROR(__xludf.DUMMYFUNCTION("""COMPUTED_VALUE"""),"22GE004")</f>
        <v>22GE004</v>
      </c>
      <c r="E479" s="131" t="str">
        <f>IFERROR(__xludf.DUMMYFUNCTION("""COMPUTED_VALUE"""),"BASICS OF ELECTRONICS ENGINEERING")</f>
        <v>BASICS OF ELECTRONICS ENGINEERING</v>
      </c>
      <c r="F479" s="121" t="str">
        <f>IFERROR(__xludf.DUMMYFUNCTION("""COMPUTED_VALUE"""),"THEORY WITH LAB")</f>
        <v>THEORY WITH LAB</v>
      </c>
      <c r="G479" s="121">
        <f>IFERROR(__xludf.DUMMYFUNCTION("""COMPUTED_VALUE"""),2.0)</f>
        <v>2</v>
      </c>
      <c r="H479" s="121">
        <f>IFERROR(__xludf.DUMMYFUNCTION("""COMPUTED_VALUE"""),0.0)</f>
        <v>0</v>
      </c>
      <c r="I479" s="121">
        <f>IFERROR(__xludf.DUMMYFUNCTION("""COMPUTED_VALUE"""),2.0)</f>
        <v>2</v>
      </c>
      <c r="J479" s="121">
        <f>IFERROR(__xludf.DUMMYFUNCTION("""COMPUTED_VALUE"""),3.0)</f>
        <v>3</v>
      </c>
      <c r="K479" s="132" t="str">
        <f>IFERROR(__xludf.DUMMYFUNCTION("""COMPUTED_VALUE"""),"EC10915")</f>
        <v>EC10915</v>
      </c>
      <c r="L479" s="121" t="str">
        <f>IFERROR(__xludf.DUMMYFUNCTION("""COMPUTED_VALUE"""),"Dr.STEPHEN SAGAYARAJ A")</f>
        <v>Dr.STEPHEN SAGAYARAJ A</v>
      </c>
      <c r="M479" s="121" t="str">
        <f>IFERROR(__xludf.DUMMYFUNCTION("""COMPUTED_VALUE"""),"stephensagayaraja@bitsathy.ac.in")</f>
        <v>stephensagayaraja@bitsathy.ac.in</v>
      </c>
    </row>
    <row r="480" ht="49.5" customHeight="1">
      <c r="A480" s="121" t="str">
        <f>IFERROR(__xludf.DUMMYFUNCTION("""COMPUTED_VALUE"""),"EEE")</f>
        <v>EEE</v>
      </c>
      <c r="B480" s="121" t="str">
        <f>IFERROR(__xludf.DUMMYFUNCTION("""COMPUTED_VALUE"""),"S2")</f>
        <v>S2</v>
      </c>
      <c r="C480" s="121" t="str">
        <f>IFERROR(__xludf.DUMMYFUNCTION("""COMPUTED_VALUE"""),"CORE")</f>
        <v>CORE</v>
      </c>
      <c r="D480" s="121" t="str">
        <f>IFERROR(__xludf.DUMMYFUNCTION("""COMPUTED_VALUE"""),"22GE005")</f>
        <v>22GE005</v>
      </c>
      <c r="E480" s="131" t="str">
        <f>IFERROR(__xludf.DUMMYFUNCTION("""COMPUTED_VALUE"""),"ENGINEERING DRAWING")</f>
        <v>ENGINEERING DRAWING</v>
      </c>
      <c r="F480" s="121" t="str">
        <f>IFERROR(__xludf.DUMMYFUNCTION("""COMPUTED_VALUE"""),"LAB")</f>
        <v>LAB</v>
      </c>
      <c r="G480" s="121">
        <f>IFERROR(__xludf.DUMMYFUNCTION("""COMPUTED_VALUE"""),1.0)</f>
        <v>1</v>
      </c>
      <c r="H480" s="121">
        <f>IFERROR(__xludf.DUMMYFUNCTION("""COMPUTED_VALUE"""),0.0)</f>
        <v>0</v>
      </c>
      <c r="I480" s="121">
        <f>IFERROR(__xludf.DUMMYFUNCTION("""COMPUTED_VALUE"""),2.0)</f>
        <v>2</v>
      </c>
      <c r="J480" s="121">
        <f>IFERROR(__xludf.DUMMYFUNCTION("""COMPUTED_VALUE"""),3.0)</f>
        <v>3</v>
      </c>
      <c r="K480" s="132" t="str">
        <f>IFERROR(__xludf.DUMMYFUNCTION("""COMPUTED_VALUE"""),"ME10328")</f>
        <v>ME10328</v>
      </c>
      <c r="L480" s="121" t="str">
        <f>IFERROR(__xludf.DUMMYFUNCTION("""COMPUTED_VALUE"""),"Mr.RAMACHANDRA RAJU K")</f>
        <v>Mr.RAMACHANDRA RAJU K</v>
      </c>
      <c r="M480" s="121" t="str">
        <f>IFERROR(__xludf.DUMMYFUNCTION("""COMPUTED_VALUE"""),"ramachandraraju@bitsathy.ac.in")</f>
        <v>ramachandraraju@bitsathy.ac.in</v>
      </c>
    </row>
    <row r="481" ht="49.5" customHeight="1">
      <c r="A481" s="121" t="str">
        <f>IFERROR(__xludf.DUMMYFUNCTION("""COMPUTED_VALUE"""),"EEE")</f>
        <v>EEE</v>
      </c>
      <c r="B481" s="121" t="str">
        <f>IFERROR(__xludf.DUMMYFUNCTION("""COMPUTED_VALUE"""),"S2")</f>
        <v>S2</v>
      </c>
      <c r="C481" s="121" t="str">
        <f>IFERROR(__xludf.DUMMYFUNCTION("""COMPUTED_VALUE"""),"CORE")</f>
        <v>CORE</v>
      </c>
      <c r="D481" s="121" t="str">
        <f>IFERROR(__xludf.DUMMYFUNCTION("""COMPUTED_VALUE"""),"22GE005")</f>
        <v>22GE005</v>
      </c>
      <c r="E481" s="131" t="str">
        <f>IFERROR(__xludf.DUMMYFUNCTION("""COMPUTED_VALUE"""),"ENGINEERING DRAWING")</f>
        <v>ENGINEERING DRAWING</v>
      </c>
      <c r="F481" s="121" t="str">
        <f>IFERROR(__xludf.DUMMYFUNCTION("""COMPUTED_VALUE"""),"LAB")</f>
        <v>LAB</v>
      </c>
      <c r="G481" s="121">
        <f>IFERROR(__xludf.DUMMYFUNCTION("""COMPUTED_VALUE"""),1.0)</f>
        <v>1</v>
      </c>
      <c r="H481" s="121">
        <f>IFERROR(__xludf.DUMMYFUNCTION("""COMPUTED_VALUE"""),0.0)</f>
        <v>0</v>
      </c>
      <c r="I481" s="121">
        <f>IFERROR(__xludf.DUMMYFUNCTION("""COMPUTED_VALUE"""),2.0)</f>
        <v>2</v>
      </c>
      <c r="J481" s="121">
        <f>IFERROR(__xludf.DUMMYFUNCTION("""COMPUTED_VALUE"""),3.0)</f>
        <v>3</v>
      </c>
      <c r="K481" s="132" t="str">
        <f>IFERROR(__xludf.DUMMYFUNCTION("""COMPUTED_VALUE"""),"ME1957")</f>
        <v>ME1957</v>
      </c>
      <c r="L481" s="121" t="str">
        <f>IFERROR(__xludf.DUMMYFUNCTION("""COMPUTED_VALUE"""),"Dr.SUNDARRAJU G")</f>
        <v>Dr.SUNDARRAJU G</v>
      </c>
      <c r="M481" s="121" t="str">
        <f>IFERROR(__xludf.DUMMYFUNCTION("""COMPUTED_VALUE"""),"sundarrajug@bitsathy.ac.in")</f>
        <v>sundarrajug@bitsathy.ac.in</v>
      </c>
    </row>
    <row r="482" ht="49.5" customHeight="1">
      <c r="A482" s="121" t="str">
        <f>IFERROR(__xludf.DUMMYFUNCTION("""COMPUTED_VALUE"""),"EEE")</f>
        <v>EEE</v>
      </c>
      <c r="B482" s="121" t="str">
        <f>IFERROR(__xludf.DUMMYFUNCTION("""COMPUTED_VALUE"""),"S2")</f>
        <v>S2</v>
      </c>
      <c r="C482" s="121" t="str">
        <f>IFERROR(__xludf.DUMMYFUNCTION("""COMPUTED_VALUE"""),"CORE")</f>
        <v>CORE</v>
      </c>
      <c r="D482" s="121" t="str">
        <f>IFERROR(__xludf.DUMMYFUNCTION("""COMPUTED_VALUE"""),"22HS006")</f>
        <v>22HS006</v>
      </c>
      <c r="E482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482" s="121" t="str">
        <f>IFERROR(__xludf.DUMMYFUNCTION("""COMPUTED_VALUE"""),"LAB")</f>
        <v>LAB</v>
      </c>
      <c r="G482" s="121">
        <f>IFERROR(__xludf.DUMMYFUNCTION("""COMPUTED_VALUE"""),1.0)</f>
        <v>1</v>
      </c>
      <c r="H482" s="121">
        <f>IFERROR(__xludf.DUMMYFUNCTION("""COMPUTED_VALUE"""),0.0)</f>
        <v>0</v>
      </c>
      <c r="I482" s="121">
        <f>IFERROR(__xludf.DUMMYFUNCTION("""COMPUTED_VALUE"""),0.0)</f>
        <v>0</v>
      </c>
      <c r="J482" s="121">
        <f>IFERROR(__xludf.DUMMYFUNCTION("""COMPUTED_VALUE"""),1.0)</f>
        <v>1</v>
      </c>
      <c r="K482" s="132" t="str">
        <f>IFERROR(__xludf.DUMMYFUNCTION("""COMPUTED_VALUE"""),"HU11154")</f>
        <v>HU11154</v>
      </c>
      <c r="L482" s="121" t="str">
        <f>IFERROR(__xludf.DUMMYFUNCTION("""COMPUTED_VALUE"""),"Mr.SHYAMSUNDAR S")</f>
        <v>Mr.SHYAMSUNDAR S</v>
      </c>
      <c r="M482" s="121" t="str">
        <f>IFERROR(__xludf.DUMMYFUNCTION("""COMPUTED_VALUE"""),"shyamsundar@bitsathy.ac.in")</f>
        <v>shyamsundar@bitsathy.ac.in</v>
      </c>
    </row>
    <row r="483" ht="49.5" customHeight="1">
      <c r="A483" s="121" t="str">
        <f>IFERROR(__xludf.DUMMYFUNCTION("""COMPUTED_VALUE"""),"EEE")</f>
        <v>EEE</v>
      </c>
      <c r="B483" s="121" t="str">
        <f>IFERROR(__xludf.DUMMYFUNCTION("""COMPUTED_VALUE"""),"S2")</f>
        <v>S2</v>
      </c>
      <c r="C483" s="121" t="str">
        <f>IFERROR(__xludf.DUMMYFUNCTION("""COMPUTED_VALUE"""),"CORE")</f>
        <v>CORE</v>
      </c>
      <c r="D483" s="121" t="str">
        <f>IFERROR(__xludf.DUMMYFUNCTION("""COMPUTED_VALUE"""),"22HS006")</f>
        <v>22HS006</v>
      </c>
      <c r="E483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483" s="121" t="str">
        <f>IFERROR(__xludf.DUMMYFUNCTION("""COMPUTED_VALUE"""),"LAB")</f>
        <v>LAB</v>
      </c>
      <c r="G483" s="121">
        <f>IFERROR(__xludf.DUMMYFUNCTION("""COMPUTED_VALUE"""),1.0)</f>
        <v>1</v>
      </c>
      <c r="H483" s="121">
        <f>IFERROR(__xludf.DUMMYFUNCTION("""COMPUTED_VALUE"""),0.0)</f>
        <v>0</v>
      </c>
      <c r="I483" s="121">
        <f>IFERROR(__xludf.DUMMYFUNCTION("""COMPUTED_VALUE"""),0.0)</f>
        <v>0</v>
      </c>
      <c r="J483" s="121">
        <f>IFERROR(__xludf.DUMMYFUNCTION("""COMPUTED_VALUE"""),1.0)</f>
        <v>1</v>
      </c>
      <c r="K483" s="132" t="str">
        <f>IFERROR(__xludf.DUMMYFUNCTION("""COMPUTED_VALUE"""),"HU11115")</f>
        <v>HU11115</v>
      </c>
      <c r="L483" s="121" t="str">
        <f>IFERROR(__xludf.DUMMYFUNCTION("""COMPUTED_VALUE"""),"Ms.KAMALI D")</f>
        <v>Ms.KAMALI D</v>
      </c>
      <c r="M483" s="121" t="str">
        <f>IFERROR(__xludf.DUMMYFUNCTION("""COMPUTED_VALUE"""),"kamali@bitsathy.ac.in")</f>
        <v>kamali@bitsathy.ac.in</v>
      </c>
    </row>
    <row r="484" ht="49.5" customHeight="1">
      <c r="A484" s="121" t="str">
        <f>IFERROR(__xludf.DUMMYFUNCTION("""COMPUTED_VALUE"""),"EEE")</f>
        <v>EEE</v>
      </c>
      <c r="B484" s="121" t="str">
        <f>IFERROR(__xludf.DUMMYFUNCTION("""COMPUTED_VALUE"""),"S2")</f>
        <v>S2</v>
      </c>
      <c r="C484" s="121" t="str">
        <f>IFERROR(__xludf.DUMMYFUNCTION("""COMPUTED_VALUE"""),"CORE")</f>
        <v>CORE</v>
      </c>
      <c r="D484" s="121" t="str">
        <f>IFERROR(__xludf.DUMMYFUNCTION("""COMPUTED_VALUE"""),"22HS009")</f>
        <v>22HS009</v>
      </c>
      <c r="E484" s="131" t="str">
        <f>IFERROR(__xludf.DUMMYFUNCTION("""COMPUTED_VALUE"""),"COCURRICULAR OR EXTRACURRICULAR ACTIVITY")</f>
        <v>COCURRICULAR OR EXTRACURRICULAR ACTIVITY</v>
      </c>
      <c r="F484" s="121"/>
      <c r="G484" s="121"/>
      <c r="H484" s="121"/>
      <c r="I484" s="121"/>
      <c r="J484" s="121"/>
      <c r="K484" s="132"/>
      <c r="L484" s="121"/>
      <c r="M484" s="121"/>
    </row>
    <row r="485" ht="49.5" customHeight="1">
      <c r="A485" s="121" t="str">
        <f>IFERROR(__xludf.DUMMYFUNCTION("""COMPUTED_VALUE"""),"EEE")</f>
        <v>EEE</v>
      </c>
      <c r="B485" s="121" t="str">
        <f>IFERROR(__xludf.DUMMYFUNCTION("""COMPUTED_VALUE"""),"S2")</f>
        <v>S2</v>
      </c>
      <c r="C485" s="121" t="str">
        <f>IFERROR(__xludf.DUMMYFUNCTION("""COMPUTED_VALUE"""),"LANGUAGE ELECTIVE")</f>
        <v>LANGUAGE ELECTIVE</v>
      </c>
      <c r="D485" s="121" t="str">
        <f>IFERROR(__xludf.DUMMYFUNCTION("""COMPUTED_VALUE"""),"22HS201")</f>
        <v>22HS201</v>
      </c>
      <c r="E485" s="131" t="str">
        <f>IFERROR(__xludf.DUMMYFUNCTION("""COMPUTED_VALUE""")," COMMUNICATIVE ENGLISH II")</f>
        <v> COMMUNICATIVE ENGLISH II</v>
      </c>
      <c r="F485" s="121" t="str">
        <f>IFERROR(__xludf.DUMMYFUNCTION("""COMPUTED_VALUE"""),"LAB")</f>
        <v>LAB</v>
      </c>
      <c r="G485" s="121">
        <f>IFERROR(__xludf.DUMMYFUNCTION("""COMPUTED_VALUE"""),1.0)</f>
        <v>1</v>
      </c>
      <c r="H485" s="121">
        <f>IFERROR(__xludf.DUMMYFUNCTION("""COMPUTED_VALUE"""),0.0)</f>
        <v>0</v>
      </c>
      <c r="I485" s="121">
        <f>IFERROR(__xludf.DUMMYFUNCTION("""COMPUTED_VALUE"""),2.0)</f>
        <v>2</v>
      </c>
      <c r="J485" s="121">
        <f>IFERROR(__xludf.DUMMYFUNCTION("""COMPUTED_VALUE"""),2.0)</f>
        <v>2</v>
      </c>
      <c r="K485" s="132" t="str">
        <f>IFERROR(__xludf.DUMMYFUNCTION("""COMPUTED_VALUE"""),"HU11159")</f>
        <v>HU11159</v>
      </c>
      <c r="L485" s="121" t="str">
        <f>IFERROR(__xludf.DUMMYFUNCTION("""COMPUTED_VALUE"""),"Dr.JAYA K")</f>
        <v>Dr.JAYA K</v>
      </c>
      <c r="M485" s="121" t="str">
        <f>IFERROR(__xludf.DUMMYFUNCTION("""COMPUTED_VALUE"""),"jayak@bitsathy.ac.in")</f>
        <v>jayak@bitsathy.ac.in</v>
      </c>
    </row>
    <row r="486" ht="49.5" customHeight="1">
      <c r="A486" s="121" t="str">
        <f>IFERROR(__xludf.DUMMYFUNCTION("""COMPUTED_VALUE"""),"EEE")</f>
        <v>EEE</v>
      </c>
      <c r="B486" s="121" t="str">
        <f>IFERROR(__xludf.DUMMYFUNCTION("""COMPUTED_VALUE"""),"S2")</f>
        <v>S2</v>
      </c>
      <c r="C486" s="121" t="str">
        <f>IFERROR(__xludf.DUMMYFUNCTION("""COMPUTED_VALUE"""),"LANGUAGE ELECTIVE")</f>
        <v>LANGUAGE ELECTIVE</v>
      </c>
      <c r="D486" s="121" t="str">
        <f>IFERROR(__xludf.DUMMYFUNCTION("""COMPUTED_VALUE"""),"22HSH01")</f>
        <v>22HSH01</v>
      </c>
      <c r="E486" s="131" t="str">
        <f>IFERROR(__xludf.DUMMYFUNCTION("""COMPUTED_VALUE"""),"HINDI")</f>
        <v>HINDI</v>
      </c>
      <c r="F486" s="121" t="str">
        <f>IFERROR(__xludf.DUMMYFUNCTION("""COMPUTED_VALUE"""),"LAB")</f>
        <v>LAB</v>
      </c>
      <c r="G486" s="121">
        <f>IFERROR(__xludf.DUMMYFUNCTION("""COMPUTED_VALUE"""),1.0)</f>
        <v>1</v>
      </c>
      <c r="H486" s="121">
        <f>IFERROR(__xludf.DUMMYFUNCTION("""COMPUTED_VALUE"""),0.0)</f>
        <v>0</v>
      </c>
      <c r="I486" s="121">
        <f>IFERROR(__xludf.DUMMYFUNCTION("""COMPUTED_VALUE"""),2.0)</f>
        <v>2</v>
      </c>
      <c r="J486" s="121">
        <f>IFERROR(__xludf.DUMMYFUNCTION("""COMPUTED_VALUE"""),2.0)</f>
        <v>2</v>
      </c>
      <c r="K486" s="132"/>
      <c r="L486" s="121"/>
      <c r="M486" s="121"/>
    </row>
    <row r="487" ht="49.5" customHeight="1">
      <c r="A487" s="121" t="str">
        <f>IFERROR(__xludf.DUMMYFUNCTION("""COMPUTED_VALUE"""),"EEE")</f>
        <v>EEE</v>
      </c>
      <c r="B487" s="121" t="str">
        <f>IFERROR(__xludf.DUMMYFUNCTION("""COMPUTED_VALUE"""),"S2")</f>
        <v>S2</v>
      </c>
      <c r="C487" s="121" t="str">
        <f>IFERROR(__xludf.DUMMYFUNCTION("""COMPUTED_VALUE"""),"LANGUAGE ELECTIVE")</f>
        <v>LANGUAGE ELECTIVE</v>
      </c>
      <c r="D487" s="121" t="str">
        <f>IFERROR(__xludf.DUMMYFUNCTION("""COMPUTED_VALUE"""),"22HSG01")</f>
        <v>22HSG01</v>
      </c>
      <c r="E487" s="131" t="str">
        <f>IFERROR(__xludf.DUMMYFUNCTION("""COMPUTED_VALUE"""),"GERMAN")</f>
        <v>GERMAN</v>
      </c>
      <c r="F487" s="121" t="str">
        <f>IFERROR(__xludf.DUMMYFUNCTION("""COMPUTED_VALUE"""),"LAB")</f>
        <v>LAB</v>
      </c>
      <c r="G487" s="121">
        <f>IFERROR(__xludf.DUMMYFUNCTION("""COMPUTED_VALUE"""),1.0)</f>
        <v>1</v>
      </c>
      <c r="H487" s="121">
        <f>IFERROR(__xludf.DUMMYFUNCTION("""COMPUTED_VALUE"""),0.0)</f>
        <v>0</v>
      </c>
      <c r="I487" s="121">
        <f>IFERROR(__xludf.DUMMYFUNCTION("""COMPUTED_VALUE"""),2.0)</f>
        <v>2</v>
      </c>
      <c r="J487" s="121">
        <f>IFERROR(__xludf.DUMMYFUNCTION("""COMPUTED_VALUE"""),2.0)</f>
        <v>2</v>
      </c>
      <c r="K487" s="132"/>
      <c r="L487" s="121"/>
      <c r="M487" s="121"/>
    </row>
    <row r="488" ht="49.5" customHeight="1">
      <c r="A488" s="121" t="str">
        <f>IFERROR(__xludf.DUMMYFUNCTION("""COMPUTED_VALUE"""),"EEE")</f>
        <v>EEE</v>
      </c>
      <c r="B488" s="121" t="str">
        <f>IFERROR(__xludf.DUMMYFUNCTION("""COMPUTED_VALUE"""),"S4")</f>
        <v>S4</v>
      </c>
      <c r="C488" s="121" t="str">
        <f>IFERROR(__xludf.DUMMYFUNCTION("""COMPUTED_VALUE"""),"CORE")</f>
        <v>CORE</v>
      </c>
      <c r="D488" s="121" t="str">
        <f>IFERROR(__xludf.DUMMYFUNCTION("""COMPUTED_VALUE"""),"22EE401")</f>
        <v>22EE401</v>
      </c>
      <c r="E488" s="131" t="str">
        <f>IFERROR(__xludf.DUMMYFUNCTION("""COMPUTED_VALUE"""),"POWER GENERATION, TRANSMISSION AND DISTRIBUTION")</f>
        <v>POWER GENERATION, TRANSMISSION AND DISTRIBUTION</v>
      </c>
      <c r="F488" s="121" t="str">
        <f>IFERROR(__xludf.DUMMYFUNCTION("""COMPUTED_VALUE"""),"THEORY")</f>
        <v>THEORY</v>
      </c>
      <c r="G488" s="121">
        <f>IFERROR(__xludf.DUMMYFUNCTION("""COMPUTED_VALUE"""),3.0)</f>
        <v>3</v>
      </c>
      <c r="H488" s="121">
        <f>IFERROR(__xludf.DUMMYFUNCTION("""COMPUTED_VALUE"""),1.0)</f>
        <v>1</v>
      </c>
      <c r="I488" s="121">
        <f>IFERROR(__xludf.DUMMYFUNCTION("""COMPUTED_VALUE"""),0.0)</f>
        <v>0</v>
      </c>
      <c r="J488" s="121">
        <f>IFERROR(__xludf.DUMMYFUNCTION("""COMPUTED_VALUE"""),4.0)</f>
        <v>4</v>
      </c>
      <c r="K488" s="132" t="str">
        <f>IFERROR(__xludf.DUMMYFUNCTION("""COMPUTED_VALUE"""),"EE10647")</f>
        <v>EE10647</v>
      </c>
      <c r="L488" s="121" t="str">
        <f>IFERROR(__xludf.DUMMYFUNCTION("""COMPUTED_VALUE"""),"Dr.SENTHIL KUMAR J")</f>
        <v>Dr.SENTHIL KUMAR J</v>
      </c>
      <c r="M488" s="121" t="str">
        <f>IFERROR(__xludf.DUMMYFUNCTION("""COMPUTED_VALUE"""),"senthilkumarj@bitsathy.ac.in")</f>
        <v>senthilkumarj@bitsathy.ac.in</v>
      </c>
    </row>
    <row r="489" ht="49.5" customHeight="1">
      <c r="A489" s="121" t="str">
        <f>IFERROR(__xludf.DUMMYFUNCTION("""COMPUTED_VALUE"""),"EEE")</f>
        <v>EEE</v>
      </c>
      <c r="B489" s="121" t="str">
        <f>IFERROR(__xludf.DUMMYFUNCTION("""COMPUTED_VALUE"""),"S4")</f>
        <v>S4</v>
      </c>
      <c r="C489" s="121" t="str">
        <f>IFERROR(__xludf.DUMMYFUNCTION("""COMPUTED_VALUE"""),"CORE")</f>
        <v>CORE</v>
      </c>
      <c r="D489" s="121" t="str">
        <f>IFERROR(__xludf.DUMMYFUNCTION("""COMPUTED_VALUE"""),"22EE401")</f>
        <v>22EE401</v>
      </c>
      <c r="E489" s="131" t="str">
        <f>IFERROR(__xludf.DUMMYFUNCTION("""COMPUTED_VALUE"""),"POWER GENERATION, TRANSMISSION AND DISTRIBUTION")</f>
        <v>POWER GENERATION, TRANSMISSION AND DISTRIBUTION</v>
      </c>
      <c r="F489" s="121" t="str">
        <f>IFERROR(__xludf.DUMMYFUNCTION("""COMPUTED_VALUE"""),"THEORY")</f>
        <v>THEORY</v>
      </c>
      <c r="G489" s="121">
        <f>IFERROR(__xludf.DUMMYFUNCTION("""COMPUTED_VALUE"""),3.0)</f>
        <v>3</v>
      </c>
      <c r="H489" s="121">
        <f>IFERROR(__xludf.DUMMYFUNCTION("""COMPUTED_VALUE"""),1.0)</f>
        <v>1</v>
      </c>
      <c r="I489" s="121">
        <f>IFERROR(__xludf.DUMMYFUNCTION("""COMPUTED_VALUE"""),0.0)</f>
        <v>0</v>
      </c>
      <c r="J489" s="121">
        <f>IFERROR(__xludf.DUMMYFUNCTION("""COMPUTED_VALUE"""),4.0)</f>
        <v>4</v>
      </c>
      <c r="K489" s="132" t="str">
        <f>IFERROR(__xludf.DUMMYFUNCTION("""COMPUTED_VALUE"""),"EE10873")</f>
        <v>EE10873</v>
      </c>
      <c r="L489" s="121" t="str">
        <f>IFERROR(__xludf.DUMMYFUNCTION("""COMPUTED_VALUE"""),"Dr.CHINNADURRAI CL")</f>
        <v>Dr.CHINNADURRAI CL</v>
      </c>
      <c r="M489" s="121" t="str">
        <f>IFERROR(__xludf.DUMMYFUNCTION("""COMPUTED_VALUE"""),"chinnadurraicl@bitsathy.ac.in")</f>
        <v>chinnadurraicl@bitsathy.ac.in</v>
      </c>
    </row>
    <row r="490" ht="49.5" customHeight="1">
      <c r="A490" s="121" t="str">
        <f>IFERROR(__xludf.DUMMYFUNCTION("""COMPUTED_VALUE"""),"EEE")</f>
        <v>EEE</v>
      </c>
      <c r="B490" s="121" t="str">
        <f>IFERROR(__xludf.DUMMYFUNCTION("""COMPUTED_VALUE"""),"S4")</f>
        <v>S4</v>
      </c>
      <c r="C490" s="121" t="str">
        <f>IFERROR(__xludf.DUMMYFUNCTION("""COMPUTED_VALUE"""),"CORE")</f>
        <v>CORE</v>
      </c>
      <c r="D490" s="121" t="str">
        <f>IFERROR(__xludf.DUMMYFUNCTION("""COMPUTED_VALUE"""),"22EE402")</f>
        <v>22EE402</v>
      </c>
      <c r="E490" s="131" t="str">
        <f>IFERROR(__xludf.DUMMYFUNCTION("""COMPUTED_VALUE"""),"ELECTRICAL MACHINES II")</f>
        <v>ELECTRICAL MACHINES II</v>
      </c>
      <c r="F490" s="121" t="str">
        <f>IFERROR(__xludf.DUMMYFUNCTION("""COMPUTED_VALUE"""),"THEORY")</f>
        <v>THEORY</v>
      </c>
      <c r="G490" s="121">
        <f>IFERROR(__xludf.DUMMYFUNCTION("""COMPUTED_VALUE"""),3.0)</f>
        <v>3</v>
      </c>
      <c r="H490" s="121">
        <f>IFERROR(__xludf.DUMMYFUNCTION("""COMPUTED_VALUE"""),0.0)</f>
        <v>0</v>
      </c>
      <c r="I490" s="121">
        <f>IFERROR(__xludf.DUMMYFUNCTION("""COMPUTED_VALUE"""),2.0)</f>
        <v>2</v>
      </c>
      <c r="J490" s="121">
        <f>IFERROR(__xludf.DUMMYFUNCTION("""COMPUTED_VALUE"""),4.0)</f>
        <v>4</v>
      </c>
      <c r="K490" s="132" t="str">
        <f>IFERROR(__xludf.DUMMYFUNCTION("""COMPUTED_VALUE"""),"EE1437")</f>
        <v>EE1437</v>
      </c>
      <c r="L490" s="121" t="str">
        <f>IFERROR(__xludf.DUMMYFUNCTION("""COMPUTED_VALUE"""),"Dr.VEERAKUMAR S")</f>
        <v>Dr.VEERAKUMAR S</v>
      </c>
      <c r="M490" s="133" t="str">
        <f>IFERROR(__xludf.DUMMYFUNCTION("""COMPUTED_VALUE"""),"veerakumars@bitsathy.ac.in")</f>
        <v>veerakumars@bitsathy.ac.in</v>
      </c>
    </row>
    <row r="491" ht="49.5" customHeight="1">
      <c r="A491" s="121" t="str">
        <f>IFERROR(__xludf.DUMMYFUNCTION("""COMPUTED_VALUE"""),"EEE")</f>
        <v>EEE</v>
      </c>
      <c r="B491" s="121" t="str">
        <f>IFERROR(__xludf.DUMMYFUNCTION("""COMPUTED_VALUE"""),"S4")</f>
        <v>S4</v>
      </c>
      <c r="C491" s="121" t="str">
        <f>IFERROR(__xludf.DUMMYFUNCTION("""COMPUTED_VALUE"""),"CORE")</f>
        <v>CORE</v>
      </c>
      <c r="D491" s="121" t="str">
        <f>IFERROR(__xludf.DUMMYFUNCTION("""COMPUTED_VALUE"""),"22EE402")</f>
        <v>22EE402</v>
      </c>
      <c r="E491" s="131" t="str">
        <f>IFERROR(__xludf.DUMMYFUNCTION("""COMPUTED_VALUE"""),"ELECTRICAL MACHINES II")</f>
        <v>ELECTRICAL MACHINES II</v>
      </c>
      <c r="F491" s="121" t="str">
        <f>IFERROR(__xludf.DUMMYFUNCTION("""COMPUTED_VALUE"""),"LAB")</f>
        <v>LAB</v>
      </c>
      <c r="G491" s="121">
        <f>IFERROR(__xludf.DUMMYFUNCTION("""COMPUTED_VALUE"""),3.0)</f>
        <v>3</v>
      </c>
      <c r="H491" s="121">
        <f>IFERROR(__xludf.DUMMYFUNCTION("""COMPUTED_VALUE"""),0.0)</f>
        <v>0</v>
      </c>
      <c r="I491" s="121">
        <f>IFERROR(__xludf.DUMMYFUNCTION("""COMPUTED_VALUE"""),2.0)</f>
        <v>2</v>
      </c>
      <c r="J491" s="121">
        <f>IFERROR(__xludf.DUMMYFUNCTION("""COMPUTED_VALUE"""),4.0)</f>
        <v>4</v>
      </c>
      <c r="K491" s="132" t="str">
        <f>IFERROR(__xludf.DUMMYFUNCTION("""COMPUTED_VALUE"""),"EE1695")</f>
        <v>EE1695</v>
      </c>
      <c r="L491" s="121" t="str">
        <f>IFERROR(__xludf.DUMMYFUNCTION("""COMPUTED_VALUE"""),"Dr.NANDHAKUMAR A")</f>
        <v>Dr.NANDHAKUMAR A</v>
      </c>
      <c r="M491" s="133" t="str">
        <f>IFERROR(__xludf.DUMMYFUNCTION("""COMPUTED_VALUE"""),"nandhakumara@bitsathy.ac.in")</f>
        <v>nandhakumara@bitsathy.ac.in</v>
      </c>
    </row>
    <row r="492" ht="49.5" customHeight="1">
      <c r="A492" s="121" t="str">
        <f>IFERROR(__xludf.DUMMYFUNCTION("""COMPUTED_VALUE"""),"EEE")</f>
        <v>EEE</v>
      </c>
      <c r="B492" s="121" t="str">
        <f>IFERROR(__xludf.DUMMYFUNCTION("""COMPUTED_VALUE"""),"S4")</f>
        <v>S4</v>
      </c>
      <c r="C492" s="121" t="str">
        <f>IFERROR(__xludf.DUMMYFUNCTION("""COMPUTED_VALUE"""),"CORE")</f>
        <v>CORE</v>
      </c>
      <c r="D492" s="121" t="str">
        <f>IFERROR(__xludf.DUMMYFUNCTION("""COMPUTED_VALUE"""),"22EE402")</f>
        <v>22EE402</v>
      </c>
      <c r="E492" s="131" t="str">
        <f>IFERROR(__xludf.DUMMYFUNCTION("""COMPUTED_VALUE"""),"ELECTRICAL MACHINES II")</f>
        <v>ELECTRICAL MACHINES II</v>
      </c>
      <c r="F492" s="121" t="str">
        <f>IFERROR(__xludf.DUMMYFUNCTION("""COMPUTED_VALUE"""),"THEORY")</f>
        <v>THEORY</v>
      </c>
      <c r="G492" s="121">
        <f>IFERROR(__xludf.DUMMYFUNCTION("""COMPUTED_VALUE"""),3.0)</f>
        <v>3</v>
      </c>
      <c r="H492" s="121">
        <f>IFERROR(__xludf.DUMMYFUNCTION("""COMPUTED_VALUE"""),0.0)</f>
        <v>0</v>
      </c>
      <c r="I492" s="121">
        <f>IFERROR(__xludf.DUMMYFUNCTION("""COMPUTED_VALUE"""),2.0)</f>
        <v>2</v>
      </c>
      <c r="J492" s="121">
        <f>IFERROR(__xludf.DUMMYFUNCTION("""COMPUTED_VALUE"""),4.0)</f>
        <v>4</v>
      </c>
      <c r="K492" s="132" t="str">
        <f>IFERROR(__xludf.DUMMYFUNCTION("""COMPUTED_VALUE"""),"EE1040")</f>
        <v>EE1040</v>
      </c>
      <c r="L492" s="121" t="str">
        <f>IFERROR(__xludf.DUMMYFUNCTION("""COMPUTED_VALUE"""),"Dr.BHARANI KUMAR R")</f>
        <v>Dr.BHARANI KUMAR R</v>
      </c>
      <c r="M492" s="133" t="str">
        <f>IFERROR(__xludf.DUMMYFUNCTION("""COMPUTED_VALUE"""),"bharanikumarr@bitsathy.ac.in")</f>
        <v>bharanikumarr@bitsathy.ac.in</v>
      </c>
    </row>
    <row r="493" ht="49.5" customHeight="1">
      <c r="A493" s="121" t="str">
        <f>IFERROR(__xludf.DUMMYFUNCTION("""COMPUTED_VALUE"""),"EEE")</f>
        <v>EEE</v>
      </c>
      <c r="B493" s="121" t="str">
        <f>IFERROR(__xludf.DUMMYFUNCTION("""COMPUTED_VALUE"""),"S4")</f>
        <v>S4</v>
      </c>
      <c r="C493" s="121" t="str">
        <f>IFERROR(__xludf.DUMMYFUNCTION("""COMPUTED_VALUE"""),"CORE")</f>
        <v>CORE</v>
      </c>
      <c r="D493" s="121" t="str">
        <f>IFERROR(__xludf.DUMMYFUNCTION("""COMPUTED_VALUE"""),"22EE402")</f>
        <v>22EE402</v>
      </c>
      <c r="E493" s="131" t="str">
        <f>IFERROR(__xludf.DUMMYFUNCTION("""COMPUTED_VALUE"""),"ELECTRICAL MACHINES II")</f>
        <v>ELECTRICAL MACHINES II</v>
      </c>
      <c r="F493" s="121" t="str">
        <f>IFERROR(__xludf.DUMMYFUNCTION("""COMPUTED_VALUE"""),"LAB")</f>
        <v>LAB</v>
      </c>
      <c r="G493" s="121">
        <f>IFERROR(__xludf.DUMMYFUNCTION("""COMPUTED_VALUE"""),3.0)</f>
        <v>3</v>
      </c>
      <c r="H493" s="121">
        <f>IFERROR(__xludf.DUMMYFUNCTION("""COMPUTED_VALUE"""),0.0)</f>
        <v>0</v>
      </c>
      <c r="I493" s="121">
        <f>IFERROR(__xludf.DUMMYFUNCTION("""COMPUTED_VALUE"""),2.0)</f>
        <v>2</v>
      </c>
      <c r="J493" s="121">
        <f>IFERROR(__xludf.DUMMYFUNCTION("""COMPUTED_VALUE"""),4.0)</f>
        <v>4</v>
      </c>
      <c r="K493" s="132" t="str">
        <f>IFERROR(__xludf.DUMMYFUNCTION("""COMPUTED_VALUE"""),"EE10317")</f>
        <v>EE10317</v>
      </c>
      <c r="L493" s="121" t="str">
        <f>IFERROR(__xludf.DUMMYFUNCTION("""COMPUTED_VALUE"""),"Mr.ARUN CHENDHURAN R")</f>
        <v>Mr.ARUN CHENDHURAN R</v>
      </c>
      <c r="M493" s="133" t="str">
        <f>IFERROR(__xludf.DUMMYFUNCTION("""COMPUTED_VALUE"""),"arunchendhuran@bitsathy.ac.in")</f>
        <v>arunchendhuran@bitsathy.ac.in</v>
      </c>
    </row>
    <row r="494" ht="49.5" customHeight="1">
      <c r="A494" s="121" t="str">
        <f>IFERROR(__xludf.DUMMYFUNCTION("""COMPUTED_VALUE"""),"EEE")</f>
        <v>EEE</v>
      </c>
      <c r="B494" s="121" t="str">
        <f>IFERROR(__xludf.DUMMYFUNCTION("""COMPUTED_VALUE"""),"S4")</f>
        <v>S4</v>
      </c>
      <c r="C494" s="121" t="str">
        <f>IFERROR(__xludf.DUMMYFUNCTION("""COMPUTED_VALUE"""),"CORE")</f>
        <v>CORE</v>
      </c>
      <c r="D494" s="121" t="str">
        <f>IFERROR(__xludf.DUMMYFUNCTION("""COMPUTED_VALUE"""),"22EE403")</f>
        <v>22EE403</v>
      </c>
      <c r="E494" s="131" t="str">
        <f>IFERROR(__xludf.DUMMYFUNCTION("""COMPUTED_VALUE"""),"MEASUREMENT AND INSTRUMENTATION")</f>
        <v>MEASUREMENT AND INSTRUMENTATION</v>
      </c>
      <c r="F494" s="121" t="str">
        <f>IFERROR(__xludf.DUMMYFUNCTION("""COMPUTED_VALUE"""),"THEORY WITH LAB")</f>
        <v>THEORY WITH LAB</v>
      </c>
      <c r="G494" s="121">
        <f>IFERROR(__xludf.DUMMYFUNCTION("""COMPUTED_VALUE"""),3.0)</f>
        <v>3</v>
      </c>
      <c r="H494" s="121">
        <f>IFERROR(__xludf.DUMMYFUNCTION("""COMPUTED_VALUE"""),0.0)</f>
        <v>0</v>
      </c>
      <c r="I494" s="121">
        <f>IFERROR(__xludf.DUMMYFUNCTION("""COMPUTED_VALUE"""),2.0)</f>
        <v>2</v>
      </c>
      <c r="J494" s="121">
        <f>IFERROR(__xludf.DUMMYFUNCTION("""COMPUTED_VALUE"""),4.0)</f>
        <v>4</v>
      </c>
      <c r="K494" s="132" t="str">
        <f>IFERROR(__xludf.DUMMYFUNCTION("""COMPUTED_VALUE"""),"EE1785")</f>
        <v>EE1785</v>
      </c>
      <c r="L494" s="121" t="str">
        <f>IFERROR(__xludf.DUMMYFUNCTION("""COMPUTED_VALUE"""),"Mrs.MOHANAPRIYA V")</f>
        <v>Mrs.MOHANAPRIYA V</v>
      </c>
      <c r="M494" s="121" t="str">
        <f>IFERROR(__xludf.DUMMYFUNCTION("""COMPUTED_VALUE"""),"mohanapriyav@bitsathy.ac.in")</f>
        <v>mohanapriyav@bitsathy.ac.in</v>
      </c>
    </row>
    <row r="495" ht="49.5" customHeight="1">
      <c r="A495" s="121" t="str">
        <f>IFERROR(__xludf.DUMMYFUNCTION("""COMPUTED_VALUE"""),"EEE")</f>
        <v>EEE</v>
      </c>
      <c r="B495" s="121" t="str">
        <f>IFERROR(__xludf.DUMMYFUNCTION("""COMPUTED_VALUE"""),"S4")</f>
        <v>S4</v>
      </c>
      <c r="C495" s="121" t="str">
        <f>IFERROR(__xludf.DUMMYFUNCTION("""COMPUTED_VALUE"""),"CORE")</f>
        <v>CORE</v>
      </c>
      <c r="D495" s="121" t="str">
        <f>IFERROR(__xludf.DUMMYFUNCTION("""COMPUTED_VALUE"""),"22EE403")</f>
        <v>22EE403</v>
      </c>
      <c r="E495" s="131" t="str">
        <f>IFERROR(__xludf.DUMMYFUNCTION("""COMPUTED_VALUE"""),"MEASUREMENT AND INSTRUMENTATION")</f>
        <v>MEASUREMENT AND INSTRUMENTATION</v>
      </c>
      <c r="F495" s="121" t="str">
        <f>IFERROR(__xludf.DUMMYFUNCTION("""COMPUTED_VALUE"""),"THEORY WITH LAB")</f>
        <v>THEORY WITH LAB</v>
      </c>
      <c r="G495" s="121">
        <f>IFERROR(__xludf.DUMMYFUNCTION("""COMPUTED_VALUE"""),3.0)</f>
        <v>3</v>
      </c>
      <c r="H495" s="121">
        <f>IFERROR(__xludf.DUMMYFUNCTION("""COMPUTED_VALUE"""),0.0)</f>
        <v>0</v>
      </c>
      <c r="I495" s="121">
        <f>IFERROR(__xludf.DUMMYFUNCTION("""COMPUTED_VALUE"""),2.0)</f>
        <v>2</v>
      </c>
      <c r="J495" s="121">
        <f>IFERROR(__xludf.DUMMYFUNCTION("""COMPUTED_VALUE"""),4.0)</f>
        <v>4</v>
      </c>
      <c r="K495" s="132" t="str">
        <f>IFERROR(__xludf.DUMMYFUNCTION("""COMPUTED_VALUE"""),"EE1908")</f>
        <v>EE1908</v>
      </c>
      <c r="L495" s="121" t="str">
        <f>IFERROR(__xludf.DUMMYFUNCTION("""COMPUTED_VALUE"""),"Mr.SUNDAR S")</f>
        <v>Mr.SUNDAR S</v>
      </c>
      <c r="M495" s="121" t="str">
        <f>IFERROR(__xludf.DUMMYFUNCTION("""COMPUTED_VALUE"""),"sundars@bitsathy.ac.in")</f>
        <v>sundars@bitsathy.ac.in</v>
      </c>
    </row>
    <row r="496" ht="49.5" customHeight="1">
      <c r="A496" s="121" t="str">
        <f>IFERROR(__xludf.DUMMYFUNCTION("""COMPUTED_VALUE"""),"EEE")</f>
        <v>EEE</v>
      </c>
      <c r="B496" s="121" t="str">
        <f>IFERROR(__xludf.DUMMYFUNCTION("""COMPUTED_VALUE"""),"S4")</f>
        <v>S4</v>
      </c>
      <c r="C496" s="121" t="str">
        <f>IFERROR(__xludf.DUMMYFUNCTION("""COMPUTED_VALUE"""),"CORE")</f>
        <v>CORE</v>
      </c>
      <c r="D496" s="121" t="str">
        <f>IFERROR(__xludf.DUMMYFUNCTION("""COMPUTED_VALUE"""),"22EE404")</f>
        <v>22EE404</v>
      </c>
      <c r="E496" s="131" t="str">
        <f>IFERROR(__xludf.DUMMYFUNCTION("""COMPUTED_VALUE"""),"DIGITAL LOGIC CIRCUIT DESIGN")</f>
        <v>DIGITAL LOGIC CIRCUIT DESIGN</v>
      </c>
      <c r="F496" s="121" t="str">
        <f>IFERROR(__xludf.DUMMYFUNCTION("""COMPUTED_VALUE"""),"THEORY WITH LAB")</f>
        <v>THEORY WITH LAB</v>
      </c>
      <c r="G496" s="121">
        <f>IFERROR(__xludf.DUMMYFUNCTION("""COMPUTED_VALUE"""),3.0)</f>
        <v>3</v>
      </c>
      <c r="H496" s="121">
        <f>IFERROR(__xludf.DUMMYFUNCTION("""COMPUTED_VALUE"""),0.0)</f>
        <v>0</v>
      </c>
      <c r="I496" s="121">
        <f>IFERROR(__xludf.DUMMYFUNCTION("""COMPUTED_VALUE"""),2.0)</f>
        <v>2</v>
      </c>
      <c r="J496" s="121">
        <f>IFERROR(__xludf.DUMMYFUNCTION("""COMPUTED_VALUE"""),4.0)</f>
        <v>4</v>
      </c>
      <c r="K496" s="132" t="str">
        <f>IFERROR(__xludf.DUMMYFUNCTION("""COMPUTED_VALUE"""),"EE1747")</f>
        <v>EE1747</v>
      </c>
      <c r="L496" s="121" t="str">
        <f>IFERROR(__xludf.DUMMYFUNCTION("""COMPUTED_VALUE"""),"Dr.SRITHA P")</f>
        <v>Dr.SRITHA P</v>
      </c>
      <c r="M496" s="121" t="str">
        <f>IFERROR(__xludf.DUMMYFUNCTION("""COMPUTED_VALUE"""),"srithap@bitsathy.ac.in")</f>
        <v>srithap@bitsathy.ac.in</v>
      </c>
    </row>
    <row r="497" ht="49.5" customHeight="1">
      <c r="A497" s="121" t="str">
        <f>IFERROR(__xludf.DUMMYFUNCTION("""COMPUTED_VALUE"""),"EEE")</f>
        <v>EEE</v>
      </c>
      <c r="B497" s="121" t="str">
        <f>IFERROR(__xludf.DUMMYFUNCTION("""COMPUTED_VALUE"""),"S4")</f>
        <v>S4</v>
      </c>
      <c r="C497" s="121" t="str">
        <f>IFERROR(__xludf.DUMMYFUNCTION("""COMPUTED_VALUE"""),"CORE")</f>
        <v>CORE</v>
      </c>
      <c r="D497" s="121" t="str">
        <f>IFERROR(__xludf.DUMMYFUNCTION("""COMPUTED_VALUE"""),"22EE404")</f>
        <v>22EE404</v>
      </c>
      <c r="E497" s="131" t="str">
        <f>IFERROR(__xludf.DUMMYFUNCTION("""COMPUTED_VALUE"""),"DIGITAL LOGIC CIRCUIT DESIGN")</f>
        <v>DIGITAL LOGIC CIRCUIT DESIGN</v>
      </c>
      <c r="F497" s="121" t="str">
        <f>IFERROR(__xludf.DUMMYFUNCTION("""COMPUTED_VALUE"""),"THEORY WITH LAB")</f>
        <v>THEORY WITH LAB</v>
      </c>
      <c r="G497" s="121">
        <f>IFERROR(__xludf.DUMMYFUNCTION("""COMPUTED_VALUE"""),3.0)</f>
        <v>3</v>
      </c>
      <c r="H497" s="121">
        <f>IFERROR(__xludf.DUMMYFUNCTION("""COMPUTED_VALUE"""),0.0)</f>
        <v>0</v>
      </c>
      <c r="I497" s="121">
        <f>IFERROR(__xludf.DUMMYFUNCTION("""COMPUTED_VALUE"""),2.0)</f>
        <v>2</v>
      </c>
      <c r="J497" s="121">
        <f>IFERROR(__xludf.DUMMYFUNCTION("""COMPUTED_VALUE"""),4.0)</f>
        <v>4</v>
      </c>
      <c r="K497" s="132" t="str">
        <f>IFERROR(__xludf.DUMMYFUNCTION("""COMPUTED_VALUE"""),"EE10721")</f>
        <v>EE10721</v>
      </c>
      <c r="L497" s="121" t="str">
        <f>IFERROR(__xludf.DUMMYFUNCTION("""COMPUTED_VALUE"""),"Mrs.GOPIKA N P")</f>
        <v>Mrs.GOPIKA N P</v>
      </c>
      <c r="M497" s="121" t="str">
        <f>IFERROR(__xludf.DUMMYFUNCTION("""COMPUTED_VALUE"""),"gopika@bitsathy.ac.in")</f>
        <v>gopika@bitsathy.ac.in</v>
      </c>
    </row>
    <row r="498" ht="49.5" customHeight="1">
      <c r="A498" s="121" t="str">
        <f>IFERROR(__xludf.DUMMYFUNCTION("""COMPUTED_VALUE"""),"EEE")</f>
        <v>EEE</v>
      </c>
      <c r="B498" s="121" t="str">
        <f>IFERROR(__xludf.DUMMYFUNCTION("""COMPUTED_VALUE"""),"S4")</f>
        <v>S4</v>
      </c>
      <c r="C498" s="121" t="str">
        <f>IFERROR(__xludf.DUMMYFUNCTION("""COMPUTED_VALUE"""),"CORE")</f>
        <v>CORE</v>
      </c>
      <c r="D498" s="121" t="str">
        <f>IFERROR(__xludf.DUMMYFUNCTION("""COMPUTED_VALUE"""),"22EE405")</f>
        <v>22EE405</v>
      </c>
      <c r="E498" s="131" t="str">
        <f>IFERROR(__xludf.DUMMYFUNCTION("""COMPUTED_VALUE"""),"EMBEDDED SYSTEMS")</f>
        <v>EMBEDDED SYSTEMS</v>
      </c>
      <c r="F498" s="121" t="str">
        <f>IFERROR(__xludf.DUMMYFUNCTION("""COMPUTED_VALUE"""),"THEORY")</f>
        <v>THEORY</v>
      </c>
      <c r="G498" s="121">
        <f>IFERROR(__xludf.DUMMYFUNCTION("""COMPUTED_VALUE"""),3.0)</f>
        <v>3</v>
      </c>
      <c r="H498" s="121">
        <f>IFERROR(__xludf.DUMMYFUNCTION("""COMPUTED_VALUE"""),0.0)</f>
        <v>0</v>
      </c>
      <c r="I498" s="121">
        <f>IFERROR(__xludf.DUMMYFUNCTION("""COMPUTED_VALUE"""),2.0)</f>
        <v>2</v>
      </c>
      <c r="J498" s="121">
        <f>IFERROR(__xludf.DUMMYFUNCTION("""COMPUTED_VALUE"""),4.0)</f>
        <v>4</v>
      </c>
      <c r="K498" s="132" t="str">
        <f>IFERROR(__xludf.DUMMYFUNCTION("""COMPUTED_VALUE"""),"EE10786")</f>
        <v>EE10786</v>
      </c>
      <c r="L498" s="121" t="str">
        <f>IFERROR(__xludf.DUMMYFUNCTION("""COMPUTED_VALUE"""),"Dr.MANOJKUMAR P")</f>
        <v>Dr.MANOJKUMAR P</v>
      </c>
      <c r="M498" s="121" t="str">
        <f>IFERROR(__xludf.DUMMYFUNCTION("""COMPUTED_VALUE"""),"manojkumarp@bitsathy.ac.in")</f>
        <v>manojkumarp@bitsathy.ac.in</v>
      </c>
    </row>
    <row r="499" ht="49.5" customHeight="1">
      <c r="A499" s="121" t="str">
        <f>IFERROR(__xludf.DUMMYFUNCTION("""COMPUTED_VALUE"""),"EEE")</f>
        <v>EEE</v>
      </c>
      <c r="B499" s="121" t="str">
        <f>IFERROR(__xludf.DUMMYFUNCTION("""COMPUTED_VALUE"""),"S4")</f>
        <v>S4</v>
      </c>
      <c r="C499" s="121" t="str">
        <f>IFERROR(__xludf.DUMMYFUNCTION("""COMPUTED_VALUE"""),"CORE")</f>
        <v>CORE</v>
      </c>
      <c r="D499" s="121" t="str">
        <f>IFERROR(__xludf.DUMMYFUNCTION("""COMPUTED_VALUE"""),"22EE405")</f>
        <v>22EE405</v>
      </c>
      <c r="E499" s="131" t="str">
        <f>IFERROR(__xludf.DUMMYFUNCTION("""COMPUTED_VALUE"""),"EMBEDDED SYSTEMS")</f>
        <v>EMBEDDED SYSTEMS</v>
      </c>
      <c r="F499" s="121" t="str">
        <f>IFERROR(__xludf.DUMMYFUNCTION("""COMPUTED_VALUE"""),"LAB")</f>
        <v>LAB</v>
      </c>
      <c r="G499" s="121">
        <f>IFERROR(__xludf.DUMMYFUNCTION("""COMPUTED_VALUE"""),3.0)</f>
        <v>3</v>
      </c>
      <c r="H499" s="121">
        <f>IFERROR(__xludf.DUMMYFUNCTION("""COMPUTED_VALUE"""),0.0)</f>
        <v>0</v>
      </c>
      <c r="I499" s="121">
        <f>IFERROR(__xludf.DUMMYFUNCTION("""COMPUTED_VALUE"""),2.0)</f>
        <v>2</v>
      </c>
      <c r="J499" s="121">
        <f>IFERROR(__xludf.DUMMYFUNCTION("""COMPUTED_VALUE"""),4.0)</f>
        <v>4</v>
      </c>
      <c r="K499" s="132" t="str">
        <f>IFERROR(__xludf.DUMMYFUNCTION("""COMPUTED_VALUE"""),"EE10616")</f>
        <v>EE10616</v>
      </c>
      <c r="L499" s="121" t="str">
        <f>IFERROR(__xludf.DUMMYFUNCTION("""COMPUTED_VALUE"""),"Mrs.NITHYA G")</f>
        <v>Mrs.NITHYA G</v>
      </c>
      <c r="M499" s="121" t="str">
        <f>IFERROR(__xludf.DUMMYFUNCTION("""COMPUTED_VALUE"""),"nithyag@bitsathy.ac.in")</f>
        <v>nithyag@bitsathy.ac.in</v>
      </c>
    </row>
    <row r="500" ht="49.5" customHeight="1">
      <c r="A500" s="121" t="str">
        <f>IFERROR(__xludf.DUMMYFUNCTION("""COMPUTED_VALUE"""),"EEE")</f>
        <v>EEE</v>
      </c>
      <c r="B500" s="121" t="str">
        <f>IFERROR(__xludf.DUMMYFUNCTION("""COMPUTED_VALUE"""),"S4")</f>
        <v>S4</v>
      </c>
      <c r="C500" s="121" t="str">
        <f>IFERROR(__xludf.DUMMYFUNCTION("""COMPUTED_VALUE"""),"CORE")</f>
        <v>CORE</v>
      </c>
      <c r="D500" s="121" t="str">
        <f>IFERROR(__xludf.DUMMYFUNCTION("""COMPUTED_VALUE"""),"22EE405")</f>
        <v>22EE405</v>
      </c>
      <c r="E500" s="131" t="str">
        <f>IFERROR(__xludf.DUMMYFUNCTION("""COMPUTED_VALUE"""),"EMBEDDED SYSTEMS")</f>
        <v>EMBEDDED SYSTEMS</v>
      </c>
      <c r="F500" s="121" t="str">
        <f>IFERROR(__xludf.DUMMYFUNCTION("""COMPUTED_VALUE"""),"THEORY")</f>
        <v>THEORY</v>
      </c>
      <c r="G500" s="121">
        <f>IFERROR(__xludf.DUMMYFUNCTION("""COMPUTED_VALUE"""),3.0)</f>
        <v>3</v>
      </c>
      <c r="H500" s="121">
        <f>IFERROR(__xludf.DUMMYFUNCTION("""COMPUTED_VALUE"""),0.0)</f>
        <v>0</v>
      </c>
      <c r="I500" s="121">
        <f>IFERROR(__xludf.DUMMYFUNCTION("""COMPUTED_VALUE"""),2.0)</f>
        <v>2</v>
      </c>
      <c r="J500" s="121">
        <f>IFERROR(__xludf.DUMMYFUNCTION("""COMPUTED_VALUE"""),4.0)</f>
        <v>4</v>
      </c>
      <c r="K500" s="132" t="str">
        <f>IFERROR(__xludf.DUMMYFUNCTION("""COMPUTED_VALUE"""),"EE10397")</f>
        <v>EE10397</v>
      </c>
      <c r="L500" s="121" t="str">
        <f>IFERROR(__xludf.DUMMYFUNCTION("""COMPUTED_VALUE"""),"Dr.SATHISHKUMAR S")</f>
        <v>Dr.SATHISHKUMAR S</v>
      </c>
      <c r="M500" s="121" t="str">
        <f>IFERROR(__xludf.DUMMYFUNCTION("""COMPUTED_VALUE"""),"sathishkumars@bitsathy.ac.in")</f>
        <v>sathishkumars@bitsathy.ac.in</v>
      </c>
    </row>
    <row r="501" ht="49.5" customHeight="1">
      <c r="A501" s="121" t="str">
        <f>IFERROR(__xludf.DUMMYFUNCTION("""COMPUTED_VALUE"""),"EEE")</f>
        <v>EEE</v>
      </c>
      <c r="B501" s="121" t="str">
        <f>IFERROR(__xludf.DUMMYFUNCTION("""COMPUTED_VALUE"""),"S4")</f>
        <v>S4</v>
      </c>
      <c r="C501" s="121" t="str">
        <f>IFERROR(__xludf.DUMMYFUNCTION("""COMPUTED_VALUE"""),"CORE")</f>
        <v>CORE</v>
      </c>
      <c r="D501" s="121" t="str">
        <f>IFERROR(__xludf.DUMMYFUNCTION("""COMPUTED_VALUE"""),"22EE405")</f>
        <v>22EE405</v>
      </c>
      <c r="E501" s="131" t="str">
        <f>IFERROR(__xludf.DUMMYFUNCTION("""COMPUTED_VALUE"""),"EMBEDDED SYSTEMS")</f>
        <v>EMBEDDED SYSTEMS</v>
      </c>
      <c r="F501" s="121" t="str">
        <f>IFERROR(__xludf.DUMMYFUNCTION("""COMPUTED_VALUE"""),"LAB")</f>
        <v>LAB</v>
      </c>
      <c r="G501" s="121">
        <f>IFERROR(__xludf.DUMMYFUNCTION("""COMPUTED_VALUE"""),3.0)</f>
        <v>3</v>
      </c>
      <c r="H501" s="121">
        <f>IFERROR(__xludf.DUMMYFUNCTION("""COMPUTED_VALUE"""),0.0)</f>
        <v>0</v>
      </c>
      <c r="I501" s="121">
        <f>IFERROR(__xludf.DUMMYFUNCTION("""COMPUTED_VALUE"""),2.0)</f>
        <v>2</v>
      </c>
      <c r="J501" s="121">
        <f>IFERROR(__xludf.DUMMYFUNCTION("""COMPUTED_VALUE"""),4.0)</f>
        <v>4</v>
      </c>
      <c r="K501" s="132" t="str">
        <f>IFERROR(__xludf.DUMMYFUNCTION("""COMPUTED_VALUE"""),"EE10647")</f>
        <v>EE10647</v>
      </c>
      <c r="L501" s="121" t="str">
        <f>IFERROR(__xludf.DUMMYFUNCTION("""COMPUTED_VALUE"""),"Dr.SENTHIL KUMAR J")</f>
        <v>Dr.SENTHIL KUMAR J</v>
      </c>
      <c r="M501" s="121" t="str">
        <f>IFERROR(__xludf.DUMMYFUNCTION("""COMPUTED_VALUE"""),"senthilkumarj@bitsathy.ac.in")</f>
        <v>senthilkumarj@bitsathy.ac.in</v>
      </c>
    </row>
    <row r="502" ht="49.5" customHeight="1">
      <c r="A502" s="121" t="str">
        <f>IFERROR(__xludf.DUMMYFUNCTION("""COMPUTED_VALUE"""),"EEE")</f>
        <v>EEE</v>
      </c>
      <c r="B502" s="121" t="str">
        <f>IFERROR(__xludf.DUMMYFUNCTION("""COMPUTED_VALUE"""),"S4")</f>
        <v>S4</v>
      </c>
      <c r="C502" s="121" t="str">
        <f>IFERROR(__xludf.DUMMYFUNCTION("""COMPUTED_VALUE"""),"ELECTIVE 1")</f>
        <v>ELECTIVE 1</v>
      </c>
      <c r="D502" s="121" t="str">
        <f>IFERROR(__xludf.DUMMYFUNCTION("""COMPUTED_VALUE"""),"22EE007")</f>
        <v>22EE007</v>
      </c>
      <c r="E502" s="131" t="str">
        <f>IFERROR(__xludf.DUMMYFUNCTION("""COMPUTED_VALUE"""),"ADVANCED POWER SEMICONDUCTOR DEVICES")</f>
        <v>ADVANCED POWER SEMICONDUCTOR DEVICES</v>
      </c>
      <c r="F502" s="121" t="str">
        <f>IFERROR(__xludf.DUMMYFUNCTION("""COMPUTED_VALUE"""),"THEORY")</f>
        <v>THEORY</v>
      </c>
      <c r="G502" s="121">
        <f>IFERROR(__xludf.DUMMYFUNCTION("""COMPUTED_VALUE"""),3.0)</f>
        <v>3</v>
      </c>
      <c r="H502" s="121">
        <f>IFERROR(__xludf.DUMMYFUNCTION("""COMPUTED_VALUE"""),0.0)</f>
        <v>0</v>
      </c>
      <c r="I502" s="121">
        <f>IFERROR(__xludf.DUMMYFUNCTION("""COMPUTED_VALUE"""),0.0)</f>
        <v>0</v>
      </c>
      <c r="J502" s="121">
        <f>IFERROR(__xludf.DUMMYFUNCTION("""COMPUTED_VALUE"""),3.0)</f>
        <v>3</v>
      </c>
      <c r="K502" s="132" t="str">
        <f>IFERROR(__xludf.DUMMYFUNCTION("""COMPUTED_VALUE"""),"EE10616")</f>
        <v>EE10616</v>
      </c>
      <c r="L502" s="121" t="str">
        <f>IFERROR(__xludf.DUMMYFUNCTION("""COMPUTED_VALUE"""),"Mrs.NITHYA G")</f>
        <v>Mrs.NITHYA G</v>
      </c>
      <c r="M502" s="133" t="str">
        <f>IFERROR(__xludf.DUMMYFUNCTION("""COMPUTED_VALUE"""),"nithyag@bitsathy.ac.in")</f>
        <v>nithyag@bitsathy.ac.in</v>
      </c>
    </row>
    <row r="503" ht="49.5" customHeight="1">
      <c r="A503" s="121" t="str">
        <f>IFERROR(__xludf.DUMMYFUNCTION("""COMPUTED_VALUE"""),"EEE")</f>
        <v>EEE</v>
      </c>
      <c r="B503" s="121" t="str">
        <f>IFERROR(__xludf.DUMMYFUNCTION("""COMPUTED_VALUE"""),"S4")</f>
        <v>S4</v>
      </c>
      <c r="C503" s="121" t="str">
        <f>IFERROR(__xludf.DUMMYFUNCTION("""COMPUTED_VALUE"""),"ELECTIVE 1")</f>
        <v>ELECTIVE 1</v>
      </c>
      <c r="D503" s="121" t="str">
        <f>IFERROR(__xludf.DUMMYFUNCTION("""COMPUTED_VALUE"""),"22EE007")</f>
        <v>22EE007</v>
      </c>
      <c r="E503" s="131" t="str">
        <f>IFERROR(__xludf.DUMMYFUNCTION("""COMPUTED_VALUE"""),"ADVANCED POWER SEMICONDUCTOR DEVICES")</f>
        <v>ADVANCED POWER SEMICONDUCTOR DEVICES</v>
      </c>
      <c r="F503" s="121" t="str">
        <f>IFERROR(__xludf.DUMMYFUNCTION("""COMPUTED_VALUE"""),"THEORY")</f>
        <v>THEORY</v>
      </c>
      <c r="G503" s="121">
        <f>IFERROR(__xludf.DUMMYFUNCTION("""COMPUTED_VALUE"""),3.0)</f>
        <v>3</v>
      </c>
      <c r="H503" s="121">
        <f>IFERROR(__xludf.DUMMYFUNCTION("""COMPUTED_VALUE"""),0.0)</f>
        <v>0</v>
      </c>
      <c r="I503" s="121">
        <f>IFERROR(__xludf.DUMMYFUNCTION("""COMPUTED_VALUE"""),0.0)</f>
        <v>0</v>
      </c>
      <c r="J503" s="121">
        <f>IFERROR(__xludf.DUMMYFUNCTION("""COMPUTED_VALUE"""),3.0)</f>
        <v>3</v>
      </c>
      <c r="K503" s="132" t="str">
        <f>IFERROR(__xludf.DUMMYFUNCTION("""COMPUTED_VALUE"""),"EE1682")</f>
        <v>EE1682</v>
      </c>
      <c r="L503" s="121" t="str">
        <f>IFERROR(__xludf.DUMMYFUNCTION("""COMPUTED_VALUE"""),"Dr.MAHESWARI K T")</f>
        <v>Dr.MAHESWARI K T</v>
      </c>
      <c r="M503" s="133" t="str">
        <f>IFERROR(__xludf.DUMMYFUNCTION("""COMPUTED_VALUE"""),"maheswarikt@bitsathy.ac.in")</f>
        <v>maheswarikt@bitsathy.ac.in</v>
      </c>
    </row>
    <row r="504" ht="49.5" customHeight="1">
      <c r="A504" s="121" t="str">
        <f>IFERROR(__xludf.DUMMYFUNCTION("""COMPUTED_VALUE"""),"EEE")</f>
        <v>EEE</v>
      </c>
      <c r="B504" s="121" t="str">
        <f>IFERROR(__xludf.DUMMYFUNCTION("""COMPUTED_VALUE"""),"S4")</f>
        <v>S4</v>
      </c>
      <c r="C504" s="121" t="str">
        <f>IFERROR(__xludf.DUMMYFUNCTION("""COMPUTED_VALUE"""),"ELECTIVE 1")</f>
        <v>ELECTIVE 1</v>
      </c>
      <c r="D504" s="121" t="str">
        <f>IFERROR(__xludf.DUMMYFUNCTION("""COMPUTED_VALUE"""),"22EE033")</f>
        <v>22EE033</v>
      </c>
      <c r="E504" s="131" t="str">
        <f>IFERROR(__xludf.DUMMYFUNCTION("""COMPUTED_VALUE"""),"ILLUMINATION ENGINEERING")</f>
        <v>ILLUMINATION ENGINEERING</v>
      </c>
      <c r="F504" s="121" t="str">
        <f>IFERROR(__xludf.DUMMYFUNCTION("""COMPUTED_VALUE"""),"THEORY")</f>
        <v>THEORY</v>
      </c>
      <c r="G504" s="121">
        <f>IFERROR(__xludf.DUMMYFUNCTION("""COMPUTED_VALUE"""),3.0)</f>
        <v>3</v>
      </c>
      <c r="H504" s="121">
        <f>IFERROR(__xludf.DUMMYFUNCTION("""COMPUTED_VALUE"""),0.0)</f>
        <v>0</v>
      </c>
      <c r="I504" s="121">
        <f>IFERROR(__xludf.DUMMYFUNCTION("""COMPUTED_VALUE"""),0.0)</f>
        <v>0</v>
      </c>
      <c r="J504" s="121">
        <f>IFERROR(__xludf.DUMMYFUNCTION("""COMPUTED_VALUE"""),3.0)</f>
        <v>3</v>
      </c>
      <c r="K504" s="132" t="str">
        <f>IFERROR(__xludf.DUMMYFUNCTION("""COMPUTED_VALUE"""),"EE1311")</f>
        <v>EE1311</v>
      </c>
      <c r="L504" s="121" t="str">
        <f>IFERROR(__xludf.DUMMYFUNCTION("""COMPUTED_VALUE"""),"Dr.SRINIVASAN M")</f>
        <v>Dr.SRINIVASAN M</v>
      </c>
      <c r="M504" s="133" t="str">
        <f>IFERROR(__xludf.DUMMYFUNCTION("""COMPUTED_VALUE"""),"srinivasanm@bitsathy.ac.in")</f>
        <v>srinivasanm@bitsathy.ac.in</v>
      </c>
    </row>
    <row r="505" ht="49.5" customHeight="1">
      <c r="A505" s="121" t="str">
        <f>IFERROR(__xludf.DUMMYFUNCTION("""COMPUTED_VALUE"""),"EEE")</f>
        <v>EEE</v>
      </c>
      <c r="B505" s="121" t="str">
        <f>IFERROR(__xludf.DUMMYFUNCTION("""COMPUTED_VALUE"""),"S4")</f>
        <v>S4</v>
      </c>
      <c r="C505" s="121" t="str">
        <f>IFERROR(__xludf.DUMMYFUNCTION("""COMPUTED_VALUE"""),"CORE")</f>
        <v>CORE</v>
      </c>
      <c r="D505" s="121" t="str">
        <f>IFERROR(__xludf.DUMMYFUNCTION("""COMPUTED_VALUE"""),"22HS007")</f>
        <v>22HS007</v>
      </c>
      <c r="E505" s="131" t="str">
        <f>IFERROR(__xludf.DUMMYFUNCTION("""COMPUTED_VALUE"""),"ENVIRONMENTAL SCIENCE")</f>
        <v>ENVIRONMENTAL SCIENCE</v>
      </c>
      <c r="F505" s="121" t="str">
        <f>IFERROR(__xludf.DUMMYFUNCTION("""COMPUTED_VALUE"""),"LAB")</f>
        <v>LAB</v>
      </c>
      <c r="G505" s="121">
        <f>IFERROR(__xludf.DUMMYFUNCTION("""COMPUTED_VALUE"""),2.0)</f>
        <v>2</v>
      </c>
      <c r="H505" s="121">
        <f>IFERROR(__xludf.DUMMYFUNCTION("""COMPUTED_VALUE"""),0.0)</f>
        <v>0</v>
      </c>
      <c r="I505" s="121">
        <f>IFERROR(__xludf.DUMMYFUNCTION("""COMPUTED_VALUE"""),0.0)</f>
        <v>0</v>
      </c>
      <c r="J505" s="121">
        <f>IFERROR(__xludf.DUMMYFUNCTION("""COMPUTED_VALUE"""),2.0)</f>
        <v>2</v>
      </c>
      <c r="K505" s="132" t="str">
        <f>IFERROR(__xludf.DUMMYFUNCTION("""COMPUTED_VALUE"""),"CH1493")</f>
        <v>CH1493</v>
      </c>
      <c r="L505" s="121" t="str">
        <f>IFERROR(__xludf.DUMMYFUNCTION("""COMPUTED_VALUE"""),"Dr.SUBHAPRIYA P")</f>
        <v>Dr.SUBHAPRIYA P</v>
      </c>
      <c r="M505" s="133" t="str">
        <f>IFERROR(__xludf.DUMMYFUNCTION("""COMPUTED_VALUE"""),"subhapriyap@bitsathy.ac.in")</f>
        <v>subhapriyap@bitsathy.ac.in</v>
      </c>
    </row>
    <row r="506" ht="49.5" customHeight="1">
      <c r="A506" s="121" t="str">
        <f>IFERROR(__xludf.DUMMYFUNCTION("""COMPUTED_VALUE"""),"EEE")</f>
        <v>EEE</v>
      </c>
      <c r="B506" s="121" t="str">
        <f>IFERROR(__xludf.DUMMYFUNCTION("""COMPUTED_VALUE"""),"S4")</f>
        <v>S4</v>
      </c>
      <c r="C506" s="121" t="str">
        <f>IFERROR(__xludf.DUMMYFUNCTION("""COMPUTED_VALUE"""),"CORE")</f>
        <v>CORE</v>
      </c>
      <c r="D506" s="121" t="str">
        <f>IFERROR(__xludf.DUMMYFUNCTION("""COMPUTED_VALUE"""),"22HS007")</f>
        <v>22HS007</v>
      </c>
      <c r="E506" s="131" t="str">
        <f>IFERROR(__xludf.DUMMYFUNCTION("""COMPUTED_VALUE"""),"ENVIRONMENTAL SCIENCE")</f>
        <v>ENVIRONMENTAL SCIENCE</v>
      </c>
      <c r="F506" s="121" t="str">
        <f>IFERROR(__xludf.DUMMYFUNCTION("""COMPUTED_VALUE"""),"LAB")</f>
        <v>LAB</v>
      </c>
      <c r="G506" s="121">
        <f>IFERROR(__xludf.DUMMYFUNCTION("""COMPUTED_VALUE"""),2.0)</f>
        <v>2</v>
      </c>
      <c r="H506" s="121">
        <f>IFERROR(__xludf.DUMMYFUNCTION("""COMPUTED_VALUE"""),0.0)</f>
        <v>0</v>
      </c>
      <c r="I506" s="121">
        <f>IFERROR(__xludf.DUMMYFUNCTION("""COMPUTED_VALUE"""),0.0)</f>
        <v>0</v>
      </c>
      <c r="J506" s="121">
        <f>IFERROR(__xludf.DUMMYFUNCTION("""COMPUTED_VALUE"""),2.0)</f>
        <v>2</v>
      </c>
      <c r="K506" s="132" t="str">
        <f>IFERROR(__xludf.DUMMYFUNCTION("""COMPUTED_VALUE"""),"CH10333")</f>
        <v>CH10333</v>
      </c>
      <c r="L506" s="121" t="str">
        <f>IFERROR(__xludf.DUMMYFUNCTION("""COMPUTED_VALUE"""),"Dr.MURALI KRISHNAN M")</f>
        <v>Dr.MURALI KRISHNAN M</v>
      </c>
      <c r="M506" s="121" t="str">
        <f>IFERROR(__xludf.DUMMYFUNCTION("""COMPUTED_VALUE"""),"muralikrishnan@bitsathy.ac.in")</f>
        <v>muralikrishnan@bitsathy.ac.in</v>
      </c>
    </row>
    <row r="507" ht="49.5" customHeight="1">
      <c r="A507" s="121" t="str">
        <f>IFERROR(__xludf.DUMMYFUNCTION("""COMPUTED_VALUE"""),"EEE")</f>
        <v>EEE</v>
      </c>
      <c r="B507" s="121" t="str">
        <f>IFERROR(__xludf.DUMMYFUNCTION("""COMPUTED_VALUE"""),"S4")</f>
        <v>S4</v>
      </c>
      <c r="C507" s="121" t="str">
        <f>IFERROR(__xludf.DUMMYFUNCTION("""COMPUTED_VALUE"""),"LAB")</f>
        <v>LAB</v>
      </c>
      <c r="D507" s="121" t="str">
        <f>IFERROR(__xludf.DUMMYFUNCTION("""COMPUTED_VALUE"""),"22HS008")</f>
        <v>22HS008</v>
      </c>
      <c r="E507" s="131" t="str">
        <f>IFERROR(__xludf.DUMMYFUNCTION("""COMPUTED_VALUE"""),"ADVANCED ENGLISH AND TECHNICAL EXPRESSION ")</f>
        <v>ADVANCED ENGLISH AND TECHNICAL EXPRESSION </v>
      </c>
      <c r="F507" s="121" t="str">
        <f>IFERROR(__xludf.DUMMYFUNCTION("""COMPUTED_VALUE"""),"LAB")</f>
        <v>LAB</v>
      </c>
      <c r="G507" s="121">
        <f>IFERROR(__xludf.DUMMYFUNCTION("""COMPUTED_VALUE"""),0.0)</f>
        <v>0</v>
      </c>
      <c r="H507" s="121">
        <f>IFERROR(__xludf.DUMMYFUNCTION("""COMPUTED_VALUE"""),0.0)</f>
        <v>0</v>
      </c>
      <c r="I507" s="121">
        <f>IFERROR(__xludf.DUMMYFUNCTION("""COMPUTED_VALUE"""),2.0)</f>
        <v>2</v>
      </c>
      <c r="J507" s="121">
        <f>IFERROR(__xludf.DUMMYFUNCTION("""COMPUTED_VALUE"""),1.0)</f>
        <v>1</v>
      </c>
      <c r="K507" s="132" t="str">
        <f>IFERROR(__xludf.DUMMYFUNCTION("""COMPUTED_VALUE"""),"HU11139")</f>
        <v>HU11139</v>
      </c>
      <c r="L507" s="121" t="str">
        <f>IFERROR(__xludf.DUMMYFUNCTION("""COMPUTED_VALUE"""),"Dr.ASLIN JERUSHA D")</f>
        <v>Dr.ASLIN JERUSHA D</v>
      </c>
      <c r="M507" s="133" t="str">
        <f>IFERROR(__xludf.DUMMYFUNCTION("""COMPUTED_VALUE"""),"aslinjerusha@bitsathy.ac.in")</f>
        <v>aslinjerusha@bitsathy.ac.in</v>
      </c>
    </row>
    <row r="508" ht="49.5" customHeight="1">
      <c r="A508" s="121" t="str">
        <f>IFERROR(__xludf.DUMMYFUNCTION("""COMPUTED_VALUE"""),"EEE")</f>
        <v>EEE</v>
      </c>
      <c r="B508" s="121" t="str">
        <f>IFERROR(__xludf.DUMMYFUNCTION("""COMPUTED_VALUE"""),"S4")</f>
        <v>S4</v>
      </c>
      <c r="C508" s="121" t="str">
        <f>IFERROR(__xludf.DUMMYFUNCTION("""COMPUTED_VALUE"""),"LAB")</f>
        <v>LAB</v>
      </c>
      <c r="D508" s="121" t="str">
        <f>IFERROR(__xludf.DUMMYFUNCTION("""COMPUTED_VALUE"""),"22HS008")</f>
        <v>22HS008</v>
      </c>
      <c r="E508" s="131" t="str">
        <f>IFERROR(__xludf.DUMMYFUNCTION("""COMPUTED_VALUE"""),"ADVANCED ENGLISH AND TECHNICAL EXPRESSION ")</f>
        <v>ADVANCED ENGLISH AND TECHNICAL EXPRESSION </v>
      </c>
      <c r="F508" s="121" t="str">
        <f>IFERROR(__xludf.DUMMYFUNCTION("""COMPUTED_VALUE"""),"LAB")</f>
        <v>LAB</v>
      </c>
      <c r="G508" s="121">
        <f>IFERROR(__xludf.DUMMYFUNCTION("""COMPUTED_VALUE"""),0.0)</f>
        <v>0</v>
      </c>
      <c r="H508" s="121">
        <f>IFERROR(__xludf.DUMMYFUNCTION("""COMPUTED_VALUE"""),0.0)</f>
        <v>0</v>
      </c>
      <c r="I508" s="121">
        <f>IFERROR(__xludf.DUMMYFUNCTION("""COMPUTED_VALUE"""),2.0)</f>
        <v>2</v>
      </c>
      <c r="J508" s="121">
        <f>IFERROR(__xludf.DUMMYFUNCTION("""COMPUTED_VALUE"""),1.0)</f>
        <v>1</v>
      </c>
      <c r="K508" s="132" t="str">
        <f>IFERROR(__xludf.DUMMYFUNCTION("""COMPUTED_VALUE"""),"HU11151")</f>
        <v>HU11151</v>
      </c>
      <c r="L508" s="121" t="str">
        <f>IFERROR(__xludf.DUMMYFUNCTION("""COMPUTED_VALUE"""),"Dr.NITHYA S")</f>
        <v>Dr.NITHYA S</v>
      </c>
      <c r="M508" s="133" t="str">
        <f>IFERROR(__xludf.DUMMYFUNCTION("""COMPUTED_VALUE"""),"nithyas@bitsathy.ac.in")</f>
        <v>nithyas@bitsathy.ac.in</v>
      </c>
    </row>
    <row r="509" ht="49.5" customHeight="1">
      <c r="A509" s="121" t="str">
        <f>IFERROR(__xludf.DUMMYFUNCTION("""COMPUTED_VALUE"""),"EEE")</f>
        <v>EEE</v>
      </c>
      <c r="B509" s="121" t="str">
        <f>IFERROR(__xludf.DUMMYFUNCTION("""COMPUTED_VALUE"""),"S6")</f>
        <v>S6</v>
      </c>
      <c r="C509" s="121" t="str">
        <f>IFERROR(__xludf.DUMMYFUNCTION("""COMPUTED_VALUE"""),"CORE")</f>
        <v>CORE</v>
      </c>
      <c r="D509" s="121" t="str">
        <f>IFERROR(__xludf.DUMMYFUNCTION("""COMPUTED_VALUE"""),"22EE601")</f>
        <v>22EE601</v>
      </c>
      <c r="E509" s="131" t="str">
        <f>IFERROR(__xludf.DUMMYFUNCTION("""COMPUTED_VALUE"""),"POWER SYSTEMS PROTECTION AND SWITCHGEAR")</f>
        <v>POWER SYSTEMS PROTECTION AND SWITCHGEAR</v>
      </c>
      <c r="F509" s="121" t="str">
        <f>IFERROR(__xludf.DUMMYFUNCTION("""COMPUTED_VALUE"""),"THEORY")</f>
        <v>THEORY</v>
      </c>
      <c r="G509" s="121">
        <f>IFERROR(__xludf.DUMMYFUNCTION("""COMPUTED_VALUE"""),3.0)</f>
        <v>3</v>
      </c>
      <c r="H509" s="121">
        <f>IFERROR(__xludf.DUMMYFUNCTION("""COMPUTED_VALUE"""),0.0)</f>
        <v>0</v>
      </c>
      <c r="I509" s="121">
        <f>IFERROR(__xludf.DUMMYFUNCTION("""COMPUTED_VALUE"""),0.0)</f>
        <v>0</v>
      </c>
      <c r="J509" s="121">
        <f>IFERROR(__xludf.DUMMYFUNCTION("""COMPUTED_VALUE"""),3.0)</f>
        <v>3</v>
      </c>
      <c r="K509" s="132" t="str">
        <f>IFERROR(__xludf.DUMMYFUNCTION("""COMPUTED_VALUE"""),"EE1695")</f>
        <v>EE1695</v>
      </c>
      <c r="L509" s="121" t="str">
        <f>IFERROR(__xludf.DUMMYFUNCTION("""COMPUTED_VALUE"""),"Dr.NANDHAKUMAR A")</f>
        <v>Dr.NANDHAKUMAR A</v>
      </c>
      <c r="M509" s="133" t="str">
        <f>IFERROR(__xludf.DUMMYFUNCTION("""COMPUTED_VALUE"""),"nandhakumara@bitsathy.ac.in")</f>
        <v>nandhakumara@bitsathy.ac.in</v>
      </c>
    </row>
    <row r="510" ht="49.5" customHeight="1">
      <c r="A510" s="121" t="str">
        <f>IFERROR(__xludf.DUMMYFUNCTION("""COMPUTED_VALUE"""),"EEE")</f>
        <v>EEE</v>
      </c>
      <c r="B510" s="121" t="str">
        <f>IFERROR(__xludf.DUMMYFUNCTION("""COMPUTED_VALUE"""),"S6")</f>
        <v>S6</v>
      </c>
      <c r="C510" s="121" t="str">
        <f>IFERROR(__xludf.DUMMYFUNCTION("""COMPUTED_VALUE"""),"CORE")</f>
        <v>CORE</v>
      </c>
      <c r="D510" s="121" t="str">
        <f>IFERROR(__xludf.DUMMYFUNCTION("""COMPUTED_VALUE"""),"22EE602")</f>
        <v>22EE602</v>
      </c>
      <c r="E510" s="131" t="str">
        <f>IFERROR(__xludf.DUMMYFUNCTION("""COMPUTED_VALUE"""),"DIGITAL SIGNAL PROCESSING")</f>
        <v>DIGITAL SIGNAL PROCESSING</v>
      </c>
      <c r="F510" s="121" t="str">
        <f>IFERROR(__xludf.DUMMYFUNCTION("""COMPUTED_VALUE"""),"THEORY")</f>
        <v>THEORY</v>
      </c>
      <c r="G510" s="121">
        <f>IFERROR(__xludf.DUMMYFUNCTION("""COMPUTED_VALUE"""),3.0)</f>
        <v>3</v>
      </c>
      <c r="H510" s="121">
        <f>IFERROR(__xludf.DUMMYFUNCTION("""COMPUTED_VALUE"""),1.0)</f>
        <v>1</v>
      </c>
      <c r="I510" s="121">
        <f>IFERROR(__xludf.DUMMYFUNCTION("""COMPUTED_VALUE"""),0.0)</f>
        <v>0</v>
      </c>
      <c r="J510" s="121">
        <f>IFERROR(__xludf.DUMMYFUNCTION("""COMPUTED_VALUE"""),4.0)</f>
        <v>4</v>
      </c>
      <c r="K510" s="132" t="str">
        <f>IFERROR(__xludf.DUMMYFUNCTION("""COMPUTED_VALUE"""),"EE1325")</f>
        <v>EE1325</v>
      </c>
      <c r="L510" s="121" t="str">
        <f>IFERROR(__xludf.DUMMYFUNCTION("""COMPUTED_VALUE"""),"Dr.RAJALASHMI K")</f>
        <v>Dr.RAJALASHMI K</v>
      </c>
      <c r="M510" s="133" t="str">
        <f>IFERROR(__xludf.DUMMYFUNCTION("""COMPUTED_VALUE"""),"rajalashmik@bitsathy.ac.in")</f>
        <v>rajalashmik@bitsathy.ac.in</v>
      </c>
    </row>
    <row r="511" ht="49.5" customHeight="1">
      <c r="A511" s="121" t="str">
        <f>IFERROR(__xludf.DUMMYFUNCTION("""COMPUTED_VALUE"""),"EEE")</f>
        <v>EEE</v>
      </c>
      <c r="B511" s="121" t="str">
        <f>IFERROR(__xludf.DUMMYFUNCTION("""COMPUTED_VALUE"""),"S6")</f>
        <v>S6</v>
      </c>
      <c r="C511" s="121" t="str">
        <f>IFERROR(__xludf.DUMMYFUNCTION("""COMPUTED_VALUE"""),"CORE")</f>
        <v>CORE</v>
      </c>
      <c r="D511" s="121" t="str">
        <f>IFERROR(__xludf.DUMMYFUNCTION("""COMPUTED_VALUE"""),"22EE603")</f>
        <v>22EE603</v>
      </c>
      <c r="E511" s="131" t="str">
        <f>IFERROR(__xludf.DUMMYFUNCTION("""COMPUTED_VALUE"""),"RENEWABLE AND DISTRIBUTED ENERGY SOURCES")</f>
        <v>RENEWABLE AND DISTRIBUTED ENERGY SOURCES</v>
      </c>
      <c r="F511" s="121" t="str">
        <f>IFERROR(__xludf.DUMMYFUNCTION("""COMPUTED_VALUE"""),"THEORY WITH LAB")</f>
        <v>THEORY WITH LAB</v>
      </c>
      <c r="G511" s="121">
        <f>IFERROR(__xludf.DUMMYFUNCTION("""COMPUTED_VALUE"""),2.0)</f>
        <v>2</v>
      </c>
      <c r="H511" s="121">
        <f>IFERROR(__xludf.DUMMYFUNCTION("""COMPUTED_VALUE"""),0.0)</f>
        <v>0</v>
      </c>
      <c r="I511" s="121">
        <f>IFERROR(__xludf.DUMMYFUNCTION("""COMPUTED_VALUE"""),2.0)</f>
        <v>2</v>
      </c>
      <c r="J511" s="121">
        <f>IFERROR(__xludf.DUMMYFUNCTION("""COMPUTED_VALUE"""),3.0)</f>
        <v>3</v>
      </c>
      <c r="K511" s="132" t="str">
        <f>IFERROR(__xludf.DUMMYFUNCTION("""COMPUTED_VALUE"""),"EE10883")</f>
        <v>EE10883</v>
      </c>
      <c r="L511" s="121" t="str">
        <f>IFERROR(__xludf.DUMMYFUNCTION("""COMPUTED_VALUE"""),"Dr.GOLDVIN SUGIRTHA DHAS B")</f>
        <v>Dr.GOLDVIN SUGIRTHA DHAS B</v>
      </c>
      <c r="M511" s="121" t="str">
        <f>IFERROR(__xludf.DUMMYFUNCTION("""COMPUTED_VALUE"""),"goldvinsugirthadhasb@bitsathy.ac.in")</f>
        <v>goldvinsugirthadhasb@bitsathy.ac.in</v>
      </c>
    </row>
    <row r="512" ht="49.5" customHeight="1">
      <c r="A512" s="121" t="str">
        <f>IFERROR(__xludf.DUMMYFUNCTION("""COMPUTED_VALUE"""),"EEE")</f>
        <v>EEE</v>
      </c>
      <c r="B512" s="121" t="str">
        <f>IFERROR(__xludf.DUMMYFUNCTION("""COMPUTED_VALUE"""),"S6")</f>
        <v>S6</v>
      </c>
      <c r="C512" s="121" t="str">
        <f>IFERROR(__xludf.DUMMYFUNCTION("""COMPUTED_VALUE"""),"ELECTIVE 3")</f>
        <v>ELECTIVE 3</v>
      </c>
      <c r="D512" s="121" t="str">
        <f>IFERROR(__xludf.DUMMYFUNCTION("""COMPUTED_VALUE"""),"22EE020")</f>
        <v>22EE020</v>
      </c>
      <c r="E512" s="131" t="str">
        <f>IFERROR(__xludf.DUMMYFUNCTION("""COMPUTED_VALUE"""),"WIND POWER TECHNOLOGY")</f>
        <v>WIND POWER TECHNOLOGY</v>
      </c>
      <c r="F512" s="121" t="str">
        <f>IFERROR(__xludf.DUMMYFUNCTION("""COMPUTED_VALUE"""),"THEORY")</f>
        <v>THEORY</v>
      </c>
      <c r="G512" s="121">
        <f>IFERROR(__xludf.DUMMYFUNCTION("""COMPUTED_VALUE"""),3.0)</f>
        <v>3</v>
      </c>
      <c r="H512" s="121">
        <f>IFERROR(__xludf.DUMMYFUNCTION("""COMPUTED_VALUE"""),0.0)</f>
        <v>0</v>
      </c>
      <c r="I512" s="121">
        <f>IFERROR(__xludf.DUMMYFUNCTION("""COMPUTED_VALUE"""),0.0)</f>
        <v>0</v>
      </c>
      <c r="J512" s="121">
        <f>IFERROR(__xludf.DUMMYFUNCTION("""COMPUTED_VALUE"""),3.0)</f>
        <v>3</v>
      </c>
      <c r="K512" s="132" t="str">
        <f>IFERROR(__xludf.DUMMYFUNCTION("""COMPUTED_VALUE"""),"EE10155")</f>
        <v>EE10155</v>
      </c>
      <c r="L512" s="121" t="str">
        <f>IFERROR(__xludf.DUMMYFUNCTION("""COMPUTED_VALUE"""),"Dr.ALEX STANLEY RAJA T")</f>
        <v>Dr.ALEX STANLEY RAJA T</v>
      </c>
      <c r="M512" s="121" t="str">
        <f>IFERROR(__xludf.DUMMYFUNCTION("""COMPUTED_VALUE"""),"alexstanleyraja@bitsathy.ac.in")</f>
        <v>alexstanleyraja@bitsathy.ac.in</v>
      </c>
    </row>
    <row r="513" ht="49.5" customHeight="1">
      <c r="A513" s="121" t="str">
        <f>IFERROR(__xludf.DUMMYFUNCTION("""COMPUTED_VALUE"""),"EEE")</f>
        <v>EEE</v>
      </c>
      <c r="B513" s="121" t="str">
        <f>IFERROR(__xludf.DUMMYFUNCTION("""COMPUTED_VALUE"""),"S6")</f>
        <v>S6</v>
      </c>
      <c r="C513" s="121" t="str">
        <f>IFERROR(__xludf.DUMMYFUNCTION("""COMPUTED_VALUE"""),"ELECTIVE 4")</f>
        <v>ELECTIVE 4</v>
      </c>
      <c r="D513" s="121" t="str">
        <f>IFERROR(__xludf.DUMMYFUNCTION("""COMPUTED_VALUE"""),"22EE035")</f>
        <v>22EE035</v>
      </c>
      <c r="E513" s="131" t="str">
        <f>IFERROR(__xludf.DUMMYFUNCTION("""COMPUTED_VALUE"""),"ENERGY AUDITING AND MANAGEMENT")</f>
        <v>ENERGY AUDITING AND MANAGEMENT</v>
      </c>
      <c r="F513" s="121" t="str">
        <f>IFERROR(__xludf.DUMMYFUNCTION("""COMPUTED_VALUE"""),"THEORY")</f>
        <v>THEORY</v>
      </c>
      <c r="G513" s="121">
        <f>IFERROR(__xludf.DUMMYFUNCTION("""COMPUTED_VALUE"""),3.0)</f>
        <v>3</v>
      </c>
      <c r="H513" s="121">
        <f>IFERROR(__xludf.DUMMYFUNCTION("""COMPUTED_VALUE"""),0.0)</f>
        <v>0</v>
      </c>
      <c r="I513" s="121">
        <f>IFERROR(__xludf.DUMMYFUNCTION("""COMPUTED_VALUE"""),0.0)</f>
        <v>0</v>
      </c>
      <c r="J513" s="121">
        <f>IFERROR(__xludf.DUMMYFUNCTION("""COMPUTED_VALUE"""),3.0)</f>
        <v>3</v>
      </c>
      <c r="K513" s="132" t="str">
        <f>IFERROR(__xludf.DUMMYFUNCTION("""COMPUTED_VALUE"""),"EE1329")</f>
        <v>EE1329</v>
      </c>
      <c r="L513" s="121" t="str">
        <f>IFERROR(__xludf.DUMMYFUNCTION("""COMPUTED_VALUE"""),"Dr.SIVARAMAN P")</f>
        <v>Dr.SIVARAMAN P</v>
      </c>
      <c r="M513" s="121" t="str">
        <f>IFERROR(__xludf.DUMMYFUNCTION("""COMPUTED_VALUE"""),"sivaramanpsr@bitsathy.ac.in")</f>
        <v>sivaramanpsr@bitsathy.ac.in</v>
      </c>
    </row>
    <row r="514" ht="49.5" customHeight="1">
      <c r="A514" s="121" t="str">
        <f>IFERROR(__xludf.DUMMYFUNCTION("""COMPUTED_VALUE"""),"EEE")</f>
        <v>EEE</v>
      </c>
      <c r="B514" s="121" t="str">
        <f>IFERROR(__xludf.DUMMYFUNCTION("""COMPUTED_VALUE"""),"S6")</f>
        <v>S6</v>
      </c>
      <c r="C514" s="121" t="str">
        <f>IFERROR(__xludf.DUMMYFUNCTION("""COMPUTED_VALUE"""),"ADD COURSE")</f>
        <v>ADD COURSE</v>
      </c>
      <c r="D514" s="121" t="str">
        <f>IFERROR(__xludf.DUMMYFUNCTION("""COMPUTED_VALUE"""),"22EE011")</f>
        <v>22EE011</v>
      </c>
      <c r="E514" s="131" t="str">
        <f>IFERROR(__xludf.DUMMYFUNCTION("""COMPUTED_VALUE"""),"ELECTRIC DRIVES AND CONTROL")</f>
        <v>ELECTRIC DRIVES AND CONTROL</v>
      </c>
      <c r="F514" s="121" t="str">
        <f>IFERROR(__xludf.DUMMYFUNCTION("""COMPUTED_VALUE"""),"THEORY")</f>
        <v>THEORY</v>
      </c>
      <c r="G514" s="121">
        <f>IFERROR(__xludf.DUMMYFUNCTION("""COMPUTED_VALUE"""),3.0)</f>
        <v>3</v>
      </c>
      <c r="H514" s="121">
        <f>IFERROR(__xludf.DUMMYFUNCTION("""COMPUTED_VALUE"""),0.0)</f>
        <v>0</v>
      </c>
      <c r="I514" s="121">
        <f>IFERROR(__xludf.DUMMYFUNCTION("""COMPUTED_VALUE"""),0.0)</f>
        <v>0</v>
      </c>
      <c r="J514" s="121">
        <f>IFERROR(__xludf.DUMMYFUNCTION("""COMPUTED_VALUE"""),3.0)</f>
        <v>3</v>
      </c>
      <c r="K514" s="132" t="str">
        <f>IFERROR(__xludf.DUMMYFUNCTION("""COMPUTED_VALUE"""),"EE1682")</f>
        <v>EE1682</v>
      </c>
      <c r="L514" s="121" t="str">
        <f>IFERROR(__xludf.DUMMYFUNCTION("""COMPUTED_VALUE"""),"Dr.MAHESWARI K T")</f>
        <v>Dr.MAHESWARI K T</v>
      </c>
      <c r="M514" s="121" t="str">
        <f>IFERROR(__xludf.DUMMYFUNCTION("""COMPUTED_VALUE"""),"maheswarikt@bitsathy.ac.in")</f>
        <v>maheswarikt@bitsathy.ac.in</v>
      </c>
    </row>
    <row r="515" ht="49.5" customHeight="1">
      <c r="A515" s="121" t="str">
        <f>IFERROR(__xludf.DUMMYFUNCTION("""COMPUTED_VALUE"""),"EEE")</f>
        <v>EEE</v>
      </c>
      <c r="B515" s="121" t="str">
        <f>IFERROR(__xludf.DUMMYFUNCTION("""COMPUTED_VALUE"""),"S6")</f>
        <v>S6</v>
      </c>
      <c r="C515" s="121" t="str">
        <f>IFERROR(__xludf.DUMMYFUNCTION("""COMPUTED_VALUE"""),"OPEN ELECTIVE")</f>
        <v>OPEN ELECTIVE</v>
      </c>
      <c r="D515" s="121" t="str">
        <f>IFERROR(__xludf.DUMMYFUNCTION("""COMPUTED_VALUE"""),"22OEE01")</f>
        <v>22OEE01</v>
      </c>
      <c r="E515" s="131" t="str">
        <f>IFERROR(__xludf.DUMMYFUNCTION("""COMPUTED_VALUE"""),"VALUE ENGINEERING")</f>
        <v>VALUE ENGINEERING</v>
      </c>
      <c r="F515" s="121" t="str">
        <f>IFERROR(__xludf.DUMMYFUNCTION("""COMPUTED_VALUE"""),"THEORY")</f>
        <v>THEORY</v>
      </c>
      <c r="G515" s="121">
        <f>IFERROR(__xludf.DUMMYFUNCTION("""COMPUTED_VALUE"""),3.0)</f>
        <v>3</v>
      </c>
      <c r="H515" s="121">
        <f>IFERROR(__xludf.DUMMYFUNCTION("""COMPUTED_VALUE"""),0.0)</f>
        <v>0</v>
      </c>
      <c r="I515" s="121">
        <f>IFERROR(__xludf.DUMMYFUNCTION("""COMPUTED_VALUE"""),0.0)</f>
        <v>0</v>
      </c>
      <c r="J515" s="121">
        <f>IFERROR(__xludf.DUMMYFUNCTION("""COMPUTED_VALUE"""),3.0)</f>
        <v>3</v>
      </c>
      <c r="K515" s="132" t="str">
        <f>IFERROR(__xludf.DUMMYFUNCTION("""COMPUTED_VALUE"""),"EE10647")</f>
        <v>EE10647</v>
      </c>
      <c r="L515" s="121" t="str">
        <f>IFERROR(__xludf.DUMMYFUNCTION("""COMPUTED_VALUE"""),"Dr.SENTHIL KUMAR J")</f>
        <v>Dr.SENTHIL KUMAR J</v>
      </c>
      <c r="M515" s="121" t="str">
        <f>IFERROR(__xludf.DUMMYFUNCTION("""COMPUTED_VALUE"""),"senthilkumarj@bitsathy.ac.in")</f>
        <v>senthilkumarj@bitsathy.ac.in</v>
      </c>
    </row>
    <row r="516" ht="49.5" customHeight="1">
      <c r="A516" s="121" t="str">
        <f>IFERROR(__xludf.DUMMYFUNCTION("""COMPUTED_VALUE"""),"EEE")</f>
        <v>EEE</v>
      </c>
      <c r="B516" s="121" t="str">
        <f>IFERROR(__xludf.DUMMYFUNCTION("""COMPUTED_VALUE"""),"S6")</f>
        <v>S6</v>
      </c>
      <c r="C516" s="121" t="str">
        <f>IFERROR(__xludf.DUMMYFUNCTION("""COMPUTED_VALUE"""),"HONOURS")</f>
        <v>HONOURS</v>
      </c>
      <c r="D516" s="121" t="str">
        <f>IFERROR(__xludf.DUMMYFUNCTION("""COMPUTED_VALUE"""),"22EEH15")</f>
        <v>22EEH15</v>
      </c>
      <c r="E516" s="131" t="str">
        <f>IFERROR(__xludf.DUMMYFUNCTION("""COMPUTED_VALUE"""),"ELECTRIC VEHICLE DESIGN, MECHANICS AND CONTROL")</f>
        <v>ELECTRIC VEHICLE DESIGN, MECHANICS AND CONTROL</v>
      </c>
      <c r="F516" s="121" t="str">
        <f>IFERROR(__xludf.DUMMYFUNCTION("""COMPUTED_VALUE"""),"THEORY")</f>
        <v>THEORY</v>
      </c>
      <c r="G516" s="121">
        <f>IFERROR(__xludf.DUMMYFUNCTION("""COMPUTED_VALUE"""),3.0)</f>
        <v>3</v>
      </c>
      <c r="H516" s="121">
        <f>IFERROR(__xludf.DUMMYFUNCTION("""COMPUTED_VALUE"""),0.0)</f>
        <v>0</v>
      </c>
      <c r="I516" s="121">
        <f>IFERROR(__xludf.DUMMYFUNCTION("""COMPUTED_VALUE"""),0.0)</f>
        <v>0</v>
      </c>
      <c r="J516" s="121">
        <f>IFERROR(__xludf.DUMMYFUNCTION("""COMPUTED_VALUE"""),3.0)</f>
        <v>3</v>
      </c>
      <c r="K516" s="132" t="str">
        <f>IFERROR(__xludf.DUMMYFUNCTION("""COMPUTED_VALUE"""),"EE10397")</f>
        <v>EE10397</v>
      </c>
      <c r="L516" s="121" t="str">
        <f>IFERROR(__xludf.DUMMYFUNCTION("""COMPUTED_VALUE"""),"Dr.SATHISHKUMAR S")</f>
        <v>Dr.SATHISHKUMAR S</v>
      </c>
      <c r="M516" s="121" t="str">
        <f>IFERROR(__xludf.DUMMYFUNCTION("""COMPUTED_VALUE"""),"sathishkumars@bitsathy.ac.in")</f>
        <v>sathishkumars@bitsathy.ac.in</v>
      </c>
    </row>
    <row r="517" ht="49.5" customHeight="1">
      <c r="A517" s="121" t="str">
        <f>IFERROR(__xludf.DUMMYFUNCTION("""COMPUTED_VALUE"""),"EEE")</f>
        <v>EEE</v>
      </c>
      <c r="B517" s="121" t="str">
        <f>IFERROR(__xludf.DUMMYFUNCTION("""COMPUTED_VALUE"""),"S6")</f>
        <v>S6</v>
      </c>
      <c r="C517" s="121" t="str">
        <f>IFERROR(__xludf.DUMMYFUNCTION("""COMPUTED_VALUE"""),"HONOURS")</f>
        <v>HONOURS</v>
      </c>
      <c r="D517" s="121" t="str">
        <f>IFERROR(__xludf.DUMMYFUNCTION("""COMPUTED_VALUE"""),"22EEH16")</f>
        <v>22EEH16</v>
      </c>
      <c r="E517" s="131" t="str">
        <f>IFERROR(__xludf.DUMMYFUNCTION("""COMPUTED_VALUE"""),"DESIGN OF ELECTRIC VEHICLE CHARGING SYSTEM")</f>
        <v>DESIGN OF ELECTRIC VEHICLE CHARGING SYSTEM</v>
      </c>
      <c r="F517" s="121" t="str">
        <f>IFERROR(__xludf.DUMMYFUNCTION("""COMPUTED_VALUE"""),"THEORY")</f>
        <v>THEORY</v>
      </c>
      <c r="G517" s="121">
        <f>IFERROR(__xludf.DUMMYFUNCTION("""COMPUTED_VALUE"""),3.0)</f>
        <v>3</v>
      </c>
      <c r="H517" s="121">
        <f>IFERROR(__xludf.DUMMYFUNCTION("""COMPUTED_VALUE"""),0.0)</f>
        <v>0</v>
      </c>
      <c r="I517" s="121">
        <f>IFERROR(__xludf.DUMMYFUNCTION("""COMPUTED_VALUE"""),0.0)</f>
        <v>0</v>
      </c>
      <c r="J517" s="121">
        <f>IFERROR(__xludf.DUMMYFUNCTION("""COMPUTED_VALUE"""),3.0)</f>
        <v>3</v>
      </c>
      <c r="K517" s="132" t="str">
        <f>IFERROR(__xludf.DUMMYFUNCTION("""COMPUTED_VALUE"""),"EE10317")</f>
        <v>EE10317</v>
      </c>
      <c r="L517" s="121" t="str">
        <f>IFERROR(__xludf.DUMMYFUNCTION("""COMPUTED_VALUE"""),"Mr.ARUN CHENDHURAN R")</f>
        <v>Mr.ARUN CHENDHURAN R</v>
      </c>
      <c r="M517" s="121" t="str">
        <f>IFERROR(__xludf.DUMMYFUNCTION("""COMPUTED_VALUE"""),"arunchendhuran@bitsathy.ac.in")</f>
        <v>arunchendhuran@bitsathy.ac.in</v>
      </c>
    </row>
    <row r="518" ht="49.5" customHeight="1">
      <c r="A518" s="121" t="str">
        <f>IFERROR(__xludf.DUMMYFUNCTION("""COMPUTED_VALUE"""),"EEE")</f>
        <v>EEE</v>
      </c>
      <c r="B518" s="121" t="str">
        <f>IFERROR(__xludf.DUMMYFUNCTION("""COMPUTED_VALUE"""),"S6")</f>
        <v>S6</v>
      </c>
      <c r="C518" s="121" t="str">
        <f>IFERROR(__xludf.DUMMYFUNCTION("""COMPUTED_VALUE"""),"MINI PROJECT")</f>
        <v>MINI PROJECT</v>
      </c>
      <c r="D518" s="121" t="str">
        <f>IFERROR(__xludf.DUMMYFUNCTION("""COMPUTED_VALUE"""),"22EE607")</f>
        <v>22EE607</v>
      </c>
      <c r="E518" s="131" t="str">
        <f>IFERROR(__xludf.DUMMYFUNCTION("""COMPUTED_VALUE"""),"MINI PROJECT II")</f>
        <v>MINI PROJECT II</v>
      </c>
      <c r="F518" s="121" t="str">
        <f>IFERROR(__xludf.DUMMYFUNCTION("""COMPUTED_VALUE"""),"LAB")</f>
        <v>LAB</v>
      </c>
      <c r="G518" s="121">
        <f>IFERROR(__xludf.DUMMYFUNCTION("""COMPUTED_VALUE"""),0.0)</f>
        <v>0</v>
      </c>
      <c r="H518" s="121">
        <f>IFERROR(__xludf.DUMMYFUNCTION("""COMPUTED_VALUE"""),0.0)</f>
        <v>0</v>
      </c>
      <c r="I518" s="121">
        <f>IFERROR(__xludf.DUMMYFUNCTION("""COMPUTED_VALUE"""),2.0)</f>
        <v>2</v>
      </c>
      <c r="J518" s="121">
        <f>IFERROR(__xludf.DUMMYFUNCTION("""COMPUTED_VALUE"""),1.0)</f>
        <v>1</v>
      </c>
      <c r="K518" s="132"/>
      <c r="L518" s="121"/>
      <c r="M518" s="121"/>
    </row>
    <row r="519" ht="49.5" customHeight="1">
      <c r="A519" s="121" t="str">
        <f>IFERROR(__xludf.DUMMYFUNCTION("""COMPUTED_VALUE"""),"EEE")</f>
        <v>EEE</v>
      </c>
      <c r="B519" s="121" t="str">
        <f>IFERROR(__xludf.DUMMYFUNCTION("""COMPUTED_VALUE"""),"S8")</f>
        <v>S8</v>
      </c>
      <c r="C519" s="121" t="str">
        <f>IFERROR(__xludf.DUMMYFUNCTION("""COMPUTED_VALUE"""),"PROJECT")</f>
        <v>PROJECT</v>
      </c>
      <c r="D519" s="121" t="str">
        <f>IFERROR(__xludf.DUMMYFUNCTION("""COMPUTED_VALUE"""),"22EE801")</f>
        <v>22EE801</v>
      </c>
      <c r="E519" s="131" t="str">
        <f>IFERROR(__xludf.DUMMYFUNCTION("""COMPUTED_VALUE"""),"PROJECT WORK II")</f>
        <v>PROJECT WORK II</v>
      </c>
      <c r="F519" s="121" t="str">
        <f>IFERROR(__xludf.DUMMYFUNCTION("""COMPUTED_VALUE"""),"LAB")</f>
        <v>LAB</v>
      </c>
      <c r="G519" s="121">
        <f>IFERROR(__xludf.DUMMYFUNCTION("""COMPUTED_VALUE"""),0.0)</f>
        <v>0</v>
      </c>
      <c r="H519" s="121">
        <f>IFERROR(__xludf.DUMMYFUNCTION("""COMPUTED_VALUE"""),0.0)</f>
        <v>0</v>
      </c>
      <c r="I519" s="121">
        <f>IFERROR(__xludf.DUMMYFUNCTION("""COMPUTED_VALUE"""),18.0)</f>
        <v>18</v>
      </c>
      <c r="J519" s="121">
        <f>IFERROR(__xludf.DUMMYFUNCTION("""COMPUTED_VALUE"""),9.0)</f>
        <v>9</v>
      </c>
      <c r="K519" s="132"/>
      <c r="L519" s="121"/>
      <c r="M519" s="121"/>
    </row>
    <row r="520" ht="49.5" customHeight="1">
      <c r="A520" s="121" t="str">
        <f>IFERROR(__xludf.DUMMYFUNCTION("""COMPUTED_VALUE"""),"ECE")</f>
        <v>ECE</v>
      </c>
      <c r="B520" s="121" t="str">
        <f>IFERROR(__xludf.DUMMYFUNCTION("""COMPUTED_VALUE"""),"S2")</f>
        <v>S2</v>
      </c>
      <c r="C520" s="121" t="str">
        <f>IFERROR(__xludf.DUMMYFUNCTION("""COMPUTED_VALUE"""),"CORE")</f>
        <v>CORE</v>
      </c>
      <c r="D520" s="121" t="str">
        <f>IFERROR(__xludf.DUMMYFUNCTION("""COMPUTED_VALUE"""),"22MA201")</f>
        <v>22MA201</v>
      </c>
      <c r="E520" s="131" t="str">
        <f>IFERROR(__xludf.DUMMYFUNCTION("""COMPUTED_VALUE"""),"ENGINEERING MATHEMATICS II")</f>
        <v>ENGINEERING MATHEMATICS II</v>
      </c>
      <c r="F520" s="121" t="str">
        <f>IFERROR(__xludf.DUMMYFUNCTION("""COMPUTED_VALUE"""),"THEORY")</f>
        <v>THEORY</v>
      </c>
      <c r="G520" s="121">
        <f>IFERROR(__xludf.DUMMYFUNCTION("""COMPUTED_VALUE"""),3.0)</f>
        <v>3</v>
      </c>
      <c r="H520" s="121">
        <f>IFERROR(__xludf.DUMMYFUNCTION("""COMPUTED_VALUE"""),1.0)</f>
        <v>1</v>
      </c>
      <c r="I520" s="121">
        <f>IFERROR(__xludf.DUMMYFUNCTION("""COMPUTED_VALUE"""),0.0)</f>
        <v>0</v>
      </c>
      <c r="J520" s="121">
        <f>IFERROR(__xludf.DUMMYFUNCTION("""COMPUTED_VALUE"""),4.0)</f>
        <v>4</v>
      </c>
      <c r="K520" s="132" t="str">
        <f>IFERROR(__xludf.DUMMYFUNCTION("""COMPUTED_VALUE"""),"MA1334")</f>
        <v>MA1334</v>
      </c>
      <c r="L520" s="121" t="str">
        <f>IFERROR(__xludf.DUMMYFUNCTION("""COMPUTED_VALUE"""),"Dr.PRABHAVATHI K")</f>
        <v>Dr.PRABHAVATHI K</v>
      </c>
      <c r="M520" s="121" t="str">
        <f>IFERROR(__xludf.DUMMYFUNCTION("""COMPUTED_VALUE"""),"prabhavathik@bitsathy.ac.in")</f>
        <v>prabhavathik@bitsathy.ac.in</v>
      </c>
    </row>
    <row r="521" ht="49.5" customHeight="1">
      <c r="A521" s="121" t="str">
        <f>IFERROR(__xludf.DUMMYFUNCTION("""COMPUTED_VALUE"""),"ECE")</f>
        <v>ECE</v>
      </c>
      <c r="B521" s="121" t="str">
        <f>IFERROR(__xludf.DUMMYFUNCTION("""COMPUTED_VALUE"""),"S2")</f>
        <v>S2</v>
      </c>
      <c r="C521" s="121" t="str">
        <f>IFERROR(__xludf.DUMMYFUNCTION("""COMPUTED_VALUE"""),"CORE")</f>
        <v>CORE</v>
      </c>
      <c r="D521" s="121" t="str">
        <f>IFERROR(__xludf.DUMMYFUNCTION("""COMPUTED_VALUE"""),"22MA201")</f>
        <v>22MA201</v>
      </c>
      <c r="E521" s="131" t="str">
        <f>IFERROR(__xludf.DUMMYFUNCTION("""COMPUTED_VALUE"""),"ENGINEERING MATHEMATICS II")</f>
        <v>ENGINEERING MATHEMATICS II</v>
      </c>
      <c r="F521" s="121" t="str">
        <f>IFERROR(__xludf.DUMMYFUNCTION("""COMPUTED_VALUE"""),"THEORY")</f>
        <v>THEORY</v>
      </c>
      <c r="G521" s="121">
        <f>IFERROR(__xludf.DUMMYFUNCTION("""COMPUTED_VALUE"""),3.0)</f>
        <v>3</v>
      </c>
      <c r="H521" s="121">
        <f>IFERROR(__xludf.DUMMYFUNCTION("""COMPUTED_VALUE"""),1.0)</f>
        <v>1</v>
      </c>
      <c r="I521" s="121">
        <f>IFERROR(__xludf.DUMMYFUNCTION("""COMPUTED_VALUE"""),0.0)</f>
        <v>0</v>
      </c>
      <c r="J521" s="121">
        <f>IFERROR(__xludf.DUMMYFUNCTION("""COMPUTED_VALUE"""),4.0)</f>
        <v>4</v>
      </c>
      <c r="K521" s="132" t="str">
        <f>IFERROR(__xludf.DUMMYFUNCTION("""COMPUTED_VALUE"""),"MA1465")</f>
        <v>MA1465</v>
      </c>
      <c r="L521" s="121" t="str">
        <f>IFERROR(__xludf.DUMMYFUNCTION("""COMPUTED_VALUE"""),"Dr.PRAKASH K")</f>
        <v>Dr.PRAKASH K</v>
      </c>
      <c r="M521" s="121" t="str">
        <f>IFERROR(__xludf.DUMMYFUNCTION("""COMPUTED_VALUE"""),"prakashk@bitsathy.ac.in")</f>
        <v>prakashk@bitsathy.ac.in</v>
      </c>
    </row>
    <row r="522" ht="49.5" customHeight="1">
      <c r="A522" s="121" t="str">
        <f>IFERROR(__xludf.DUMMYFUNCTION("""COMPUTED_VALUE"""),"ECE")</f>
        <v>ECE</v>
      </c>
      <c r="B522" s="121" t="str">
        <f>IFERROR(__xludf.DUMMYFUNCTION("""COMPUTED_VALUE"""),"S2")</f>
        <v>S2</v>
      </c>
      <c r="C522" s="121" t="str">
        <f>IFERROR(__xludf.DUMMYFUNCTION("""COMPUTED_VALUE"""),"CORE")</f>
        <v>CORE</v>
      </c>
      <c r="D522" s="121" t="str">
        <f>IFERROR(__xludf.DUMMYFUNCTION("""COMPUTED_VALUE"""),"22MA201")</f>
        <v>22MA201</v>
      </c>
      <c r="E522" s="131" t="str">
        <f>IFERROR(__xludf.DUMMYFUNCTION("""COMPUTED_VALUE"""),"ENGINEERING MATHEMATICS II")</f>
        <v>ENGINEERING MATHEMATICS II</v>
      </c>
      <c r="F522" s="121" t="str">
        <f>IFERROR(__xludf.DUMMYFUNCTION("""COMPUTED_VALUE"""),"THEORY")</f>
        <v>THEORY</v>
      </c>
      <c r="G522" s="121">
        <f>IFERROR(__xludf.DUMMYFUNCTION("""COMPUTED_VALUE"""),3.0)</f>
        <v>3</v>
      </c>
      <c r="H522" s="121">
        <f>IFERROR(__xludf.DUMMYFUNCTION("""COMPUTED_VALUE"""),1.0)</f>
        <v>1</v>
      </c>
      <c r="I522" s="121">
        <f>IFERROR(__xludf.DUMMYFUNCTION("""COMPUTED_VALUE"""),0.0)</f>
        <v>0</v>
      </c>
      <c r="J522" s="121">
        <f>IFERROR(__xludf.DUMMYFUNCTION("""COMPUTED_VALUE"""),4.0)</f>
        <v>4</v>
      </c>
      <c r="K522" s="132" t="str">
        <f>IFERROR(__xludf.DUMMYFUNCTION("""COMPUTED_VALUE"""),"MA1702")</f>
        <v>MA1702</v>
      </c>
      <c r="L522" s="121" t="str">
        <f>IFERROR(__xludf.DUMMYFUNCTION("""COMPUTED_VALUE"""),"Dr.UMAMAGESWARI D")</f>
        <v>Dr.UMAMAGESWARI D</v>
      </c>
      <c r="M522" s="133" t="str">
        <f>IFERROR(__xludf.DUMMYFUNCTION("""COMPUTED_VALUE"""),"umamageswarid@bitsathy.ac.in")</f>
        <v>umamageswarid@bitsathy.ac.in</v>
      </c>
    </row>
    <row r="523" ht="49.5" customHeight="1">
      <c r="A523" s="121" t="str">
        <f>IFERROR(__xludf.DUMMYFUNCTION("""COMPUTED_VALUE"""),"ECE")</f>
        <v>ECE</v>
      </c>
      <c r="B523" s="121" t="str">
        <f>IFERROR(__xludf.DUMMYFUNCTION("""COMPUTED_VALUE"""),"S2")</f>
        <v>S2</v>
      </c>
      <c r="C523" s="121" t="str">
        <f>IFERROR(__xludf.DUMMYFUNCTION("""COMPUTED_VALUE"""),"CORE")</f>
        <v>CORE</v>
      </c>
      <c r="D523" s="121" t="str">
        <f>IFERROR(__xludf.DUMMYFUNCTION("""COMPUTED_VALUE"""),"22MA201")</f>
        <v>22MA201</v>
      </c>
      <c r="E523" s="131" t="str">
        <f>IFERROR(__xludf.DUMMYFUNCTION("""COMPUTED_VALUE"""),"ENGINEERING MATHEMATICS II")</f>
        <v>ENGINEERING MATHEMATICS II</v>
      </c>
      <c r="F523" s="121" t="str">
        <f>IFERROR(__xludf.DUMMYFUNCTION("""COMPUTED_VALUE"""),"THEORY")</f>
        <v>THEORY</v>
      </c>
      <c r="G523" s="121">
        <f>IFERROR(__xludf.DUMMYFUNCTION("""COMPUTED_VALUE"""),3.0)</f>
        <v>3</v>
      </c>
      <c r="H523" s="121">
        <f>IFERROR(__xludf.DUMMYFUNCTION("""COMPUTED_VALUE"""),1.0)</f>
        <v>1</v>
      </c>
      <c r="I523" s="121">
        <f>IFERROR(__xludf.DUMMYFUNCTION("""COMPUTED_VALUE"""),0.0)</f>
        <v>0</v>
      </c>
      <c r="J523" s="121">
        <f>IFERROR(__xludf.DUMMYFUNCTION("""COMPUTED_VALUE"""),4.0)</f>
        <v>4</v>
      </c>
      <c r="K523" s="132" t="str">
        <f>IFERROR(__xludf.DUMMYFUNCTION("""COMPUTED_VALUE"""),"MA10071")</f>
        <v>MA10071</v>
      </c>
      <c r="L523" s="121" t="str">
        <f>IFERROR(__xludf.DUMMYFUNCTION("""COMPUTED_VALUE"""),"Mrs.PREETHA R")</f>
        <v>Mrs.PREETHA R</v>
      </c>
      <c r="M523" s="121" t="str">
        <f>IFERROR(__xludf.DUMMYFUNCTION("""COMPUTED_VALUE"""),"preetha@bitsathy.ac.in")</f>
        <v>preetha@bitsathy.ac.in</v>
      </c>
    </row>
    <row r="524" ht="49.5" customHeight="1">
      <c r="A524" s="121" t="str">
        <f>IFERROR(__xludf.DUMMYFUNCTION("""COMPUTED_VALUE"""),"ECE")</f>
        <v>ECE</v>
      </c>
      <c r="B524" s="121" t="str">
        <f>IFERROR(__xludf.DUMMYFUNCTION("""COMPUTED_VALUE"""),"S2")</f>
        <v>S2</v>
      </c>
      <c r="C524" s="121" t="str">
        <f>IFERROR(__xludf.DUMMYFUNCTION("""COMPUTED_VALUE"""),"CORE")</f>
        <v>CORE</v>
      </c>
      <c r="D524" s="121" t="str">
        <f>IFERROR(__xludf.DUMMYFUNCTION("""COMPUTED_VALUE"""),"22PH202")</f>
        <v>22PH202</v>
      </c>
      <c r="E524" s="131" t="str">
        <f>IFERROR(__xludf.DUMMYFUNCTION("""COMPUTED_VALUE"""),"ELECTROMAGNETISM AND MODERN PHYSICS")</f>
        <v>ELECTROMAGNETISM AND MODERN PHYSICS</v>
      </c>
      <c r="F524" s="121" t="str">
        <f>IFERROR(__xludf.DUMMYFUNCTION("""COMPUTED_VALUE"""),"THEORY WITH LAB")</f>
        <v>THEORY WITH LAB</v>
      </c>
      <c r="G524" s="121">
        <f>IFERROR(__xludf.DUMMYFUNCTION("""COMPUTED_VALUE"""),2.0)</f>
        <v>2</v>
      </c>
      <c r="H524" s="121">
        <f>IFERROR(__xludf.DUMMYFUNCTION("""COMPUTED_VALUE"""),0.0)</f>
        <v>0</v>
      </c>
      <c r="I524" s="121">
        <f>IFERROR(__xludf.DUMMYFUNCTION("""COMPUTED_VALUE"""),2.0)</f>
        <v>2</v>
      </c>
      <c r="J524" s="121">
        <f>IFERROR(__xludf.DUMMYFUNCTION("""COMPUTED_VALUE"""),3.0)</f>
        <v>3</v>
      </c>
      <c r="K524" s="132" t="str">
        <f>IFERROR(__xludf.DUMMYFUNCTION("""COMPUTED_VALUE"""),"PH1054")</f>
        <v>PH1054</v>
      </c>
      <c r="L524" s="121" t="str">
        <f>IFERROR(__xludf.DUMMYFUNCTION("""COMPUTED_VALUE"""),"Dr.SADASIVAM K")</f>
        <v>Dr.SADASIVAM K</v>
      </c>
      <c r="M524" s="121" t="str">
        <f>IFERROR(__xludf.DUMMYFUNCTION("""COMPUTED_VALUE"""),"sadasivamk@bitsathy.ac.in")</f>
        <v>sadasivamk@bitsathy.ac.in</v>
      </c>
    </row>
    <row r="525" ht="49.5" customHeight="1">
      <c r="A525" s="121" t="str">
        <f>IFERROR(__xludf.DUMMYFUNCTION("""COMPUTED_VALUE"""),"ECE")</f>
        <v>ECE</v>
      </c>
      <c r="B525" s="121" t="str">
        <f>IFERROR(__xludf.DUMMYFUNCTION("""COMPUTED_VALUE"""),"S2")</f>
        <v>S2</v>
      </c>
      <c r="C525" s="121" t="str">
        <f>IFERROR(__xludf.DUMMYFUNCTION("""COMPUTED_VALUE"""),"CORE")</f>
        <v>CORE</v>
      </c>
      <c r="D525" s="121" t="str">
        <f>IFERROR(__xludf.DUMMYFUNCTION("""COMPUTED_VALUE"""),"22PH202")</f>
        <v>22PH202</v>
      </c>
      <c r="E525" s="131" t="str">
        <f>IFERROR(__xludf.DUMMYFUNCTION("""COMPUTED_VALUE"""),"ELECTROMAGNETISM AND MODERN PHYSICS")</f>
        <v>ELECTROMAGNETISM AND MODERN PHYSICS</v>
      </c>
      <c r="F525" s="121" t="str">
        <f>IFERROR(__xludf.DUMMYFUNCTION("""COMPUTED_VALUE"""),"THEORY WITH LAB")</f>
        <v>THEORY WITH LAB</v>
      </c>
      <c r="G525" s="121">
        <f>IFERROR(__xludf.DUMMYFUNCTION("""COMPUTED_VALUE"""),2.0)</f>
        <v>2</v>
      </c>
      <c r="H525" s="121">
        <f>IFERROR(__xludf.DUMMYFUNCTION("""COMPUTED_VALUE"""),0.0)</f>
        <v>0</v>
      </c>
      <c r="I525" s="121">
        <f>IFERROR(__xludf.DUMMYFUNCTION("""COMPUTED_VALUE"""),2.0)</f>
        <v>2</v>
      </c>
      <c r="J525" s="121">
        <f>IFERROR(__xludf.DUMMYFUNCTION("""COMPUTED_VALUE"""),3.0)</f>
        <v>3</v>
      </c>
      <c r="K525" s="132" t="str">
        <f>IFERROR(__xludf.DUMMYFUNCTION("""COMPUTED_VALUE"""),"PH10981")</f>
        <v>PH10981</v>
      </c>
      <c r="L525" s="121" t="str">
        <f>IFERROR(__xludf.DUMMYFUNCTION("""COMPUTED_VALUE"""),"Dr.SUNDARAM S")</f>
        <v>Dr.SUNDARAM S</v>
      </c>
      <c r="M525" s="121" t="str">
        <f>IFERROR(__xludf.DUMMYFUNCTION("""COMPUTED_VALUE"""),"sundarams@bitsathy.ac.in")</f>
        <v>sundarams@bitsathy.ac.in</v>
      </c>
    </row>
    <row r="526" ht="49.5" customHeight="1">
      <c r="A526" s="121" t="str">
        <f>IFERROR(__xludf.DUMMYFUNCTION("""COMPUTED_VALUE"""),"ECE")</f>
        <v>ECE</v>
      </c>
      <c r="B526" s="121" t="str">
        <f>IFERROR(__xludf.DUMMYFUNCTION("""COMPUTED_VALUE"""),"S2")</f>
        <v>S2</v>
      </c>
      <c r="C526" s="121" t="str">
        <f>IFERROR(__xludf.DUMMYFUNCTION("""COMPUTED_VALUE"""),"CORE")</f>
        <v>CORE</v>
      </c>
      <c r="D526" s="121" t="str">
        <f>IFERROR(__xludf.DUMMYFUNCTION("""COMPUTED_VALUE"""),"22PH202")</f>
        <v>22PH202</v>
      </c>
      <c r="E526" s="131" t="str">
        <f>IFERROR(__xludf.DUMMYFUNCTION("""COMPUTED_VALUE"""),"ELECTROMAGNETISM AND MODERN PHYSICS")</f>
        <v>ELECTROMAGNETISM AND MODERN PHYSICS</v>
      </c>
      <c r="F526" s="121" t="str">
        <f>IFERROR(__xludf.DUMMYFUNCTION("""COMPUTED_VALUE"""),"THEORY WITH LAB")</f>
        <v>THEORY WITH LAB</v>
      </c>
      <c r="G526" s="121">
        <f>IFERROR(__xludf.DUMMYFUNCTION("""COMPUTED_VALUE"""),2.0)</f>
        <v>2</v>
      </c>
      <c r="H526" s="121">
        <f>IFERROR(__xludf.DUMMYFUNCTION("""COMPUTED_VALUE"""),0.0)</f>
        <v>0</v>
      </c>
      <c r="I526" s="121">
        <f>IFERROR(__xludf.DUMMYFUNCTION("""COMPUTED_VALUE"""),2.0)</f>
        <v>2</v>
      </c>
      <c r="J526" s="121">
        <f>IFERROR(__xludf.DUMMYFUNCTION("""COMPUTED_VALUE"""),3.0)</f>
        <v>3</v>
      </c>
      <c r="K526" s="132" t="str">
        <f>IFERROR(__xludf.DUMMYFUNCTION("""COMPUTED_VALUE"""),"PH1889")</f>
        <v>PH1889</v>
      </c>
      <c r="L526" s="121" t="str">
        <f>IFERROR(__xludf.DUMMYFUNCTION("""COMPUTED_VALUE"""),"Dr.ROHINI P")</f>
        <v>Dr.ROHINI P</v>
      </c>
      <c r="M526" s="121" t="str">
        <f>IFERROR(__xludf.DUMMYFUNCTION("""COMPUTED_VALUE"""),"rohinip@bitsathy.ac.in")</f>
        <v>rohinip@bitsathy.ac.in</v>
      </c>
    </row>
    <row r="527" ht="49.5" customHeight="1">
      <c r="A527" s="121" t="str">
        <f>IFERROR(__xludf.DUMMYFUNCTION("""COMPUTED_VALUE"""),"ECE")</f>
        <v>ECE</v>
      </c>
      <c r="B527" s="121" t="str">
        <f>IFERROR(__xludf.DUMMYFUNCTION("""COMPUTED_VALUE"""),"S2")</f>
        <v>S2</v>
      </c>
      <c r="C527" s="121" t="str">
        <f>IFERROR(__xludf.DUMMYFUNCTION("""COMPUTED_VALUE"""),"CORE")</f>
        <v>CORE</v>
      </c>
      <c r="D527" s="121" t="str">
        <f>IFERROR(__xludf.DUMMYFUNCTION("""COMPUTED_VALUE"""),"22PH202")</f>
        <v>22PH202</v>
      </c>
      <c r="E527" s="131" t="str">
        <f>IFERROR(__xludf.DUMMYFUNCTION("""COMPUTED_VALUE"""),"ELECTROMAGNETISM AND MODERN PHYSICS")</f>
        <v>ELECTROMAGNETISM AND MODERN PHYSICS</v>
      </c>
      <c r="F527" s="121" t="str">
        <f>IFERROR(__xludf.DUMMYFUNCTION("""COMPUTED_VALUE"""),"THEORY WITH LAB")</f>
        <v>THEORY WITH LAB</v>
      </c>
      <c r="G527" s="121">
        <f>IFERROR(__xludf.DUMMYFUNCTION("""COMPUTED_VALUE"""),2.0)</f>
        <v>2</v>
      </c>
      <c r="H527" s="121">
        <f>IFERROR(__xludf.DUMMYFUNCTION("""COMPUTED_VALUE"""),0.0)</f>
        <v>0</v>
      </c>
      <c r="I527" s="121">
        <f>IFERROR(__xludf.DUMMYFUNCTION("""COMPUTED_VALUE"""),2.0)</f>
        <v>2</v>
      </c>
      <c r="J527" s="121">
        <f>IFERROR(__xludf.DUMMYFUNCTION("""COMPUTED_VALUE"""),3.0)</f>
        <v>3</v>
      </c>
      <c r="K527" s="132" t="str">
        <f>IFERROR(__xludf.DUMMYFUNCTION("""COMPUTED_VALUE"""),"PH10204")</f>
        <v>PH10204</v>
      </c>
      <c r="L527" s="121" t="str">
        <f>IFERROR(__xludf.DUMMYFUNCTION("""COMPUTED_VALUE"""),"Dr.PARASURAMAN P")</f>
        <v>Dr.PARASURAMAN P</v>
      </c>
      <c r="M527" s="121" t="str">
        <f>IFERROR(__xludf.DUMMYFUNCTION("""COMPUTED_VALUE"""),"parasuraman@bitsathy.ac.in")</f>
        <v>parasuraman@bitsathy.ac.in</v>
      </c>
    </row>
    <row r="528" ht="49.5" customHeight="1">
      <c r="A528" s="121" t="str">
        <f>IFERROR(__xludf.DUMMYFUNCTION("""COMPUTED_VALUE"""),"ECE")</f>
        <v>ECE</v>
      </c>
      <c r="B528" s="121" t="str">
        <f>IFERROR(__xludf.DUMMYFUNCTION("""COMPUTED_VALUE"""),"S2")</f>
        <v>S2</v>
      </c>
      <c r="C528" s="121" t="str">
        <f>IFERROR(__xludf.DUMMYFUNCTION("""COMPUTED_VALUE"""),"CORE")</f>
        <v>CORE</v>
      </c>
      <c r="D528" s="121" t="str">
        <f>IFERROR(__xludf.DUMMYFUNCTION("""COMPUTED_VALUE"""),"22CH203")</f>
        <v>22CH203</v>
      </c>
      <c r="E528" s="131" t="str">
        <f>IFERROR(__xludf.DUMMYFUNCTION("""COMPUTED_VALUE"""),"ENGINEERING CHEMISTRY II")</f>
        <v>ENGINEERING CHEMISTRY II</v>
      </c>
      <c r="F528" s="121" t="str">
        <f>IFERROR(__xludf.DUMMYFUNCTION("""COMPUTED_VALUE"""),"THEORY WITH LAB")</f>
        <v>THEORY WITH LAB</v>
      </c>
      <c r="G528" s="121">
        <f>IFERROR(__xludf.DUMMYFUNCTION("""COMPUTED_VALUE"""),2.0)</f>
        <v>2</v>
      </c>
      <c r="H528" s="121">
        <f>IFERROR(__xludf.DUMMYFUNCTION("""COMPUTED_VALUE"""),0.0)</f>
        <v>0</v>
      </c>
      <c r="I528" s="121">
        <f>IFERROR(__xludf.DUMMYFUNCTION("""COMPUTED_VALUE"""),2.0)</f>
        <v>2</v>
      </c>
      <c r="J528" s="121">
        <f>IFERROR(__xludf.DUMMYFUNCTION("""COMPUTED_VALUE"""),3.0)</f>
        <v>3</v>
      </c>
      <c r="K528" s="132" t="str">
        <f>IFERROR(__xludf.DUMMYFUNCTION("""COMPUTED_VALUE"""),"CH1493")</f>
        <v>CH1493</v>
      </c>
      <c r="L528" s="121" t="str">
        <f>IFERROR(__xludf.DUMMYFUNCTION("""COMPUTED_VALUE"""),"Dr.SUBHAPRIYA P")</f>
        <v>Dr.SUBHAPRIYA P</v>
      </c>
      <c r="M528" s="121" t="str">
        <f>IFERROR(__xludf.DUMMYFUNCTION("""COMPUTED_VALUE"""),"subhapriyap@bitsathy.ac.in")</f>
        <v>subhapriyap@bitsathy.ac.in</v>
      </c>
    </row>
    <row r="529" ht="49.5" customHeight="1">
      <c r="A529" s="121" t="str">
        <f>IFERROR(__xludf.DUMMYFUNCTION("""COMPUTED_VALUE"""),"ECE")</f>
        <v>ECE</v>
      </c>
      <c r="B529" s="121" t="str">
        <f>IFERROR(__xludf.DUMMYFUNCTION("""COMPUTED_VALUE"""),"S2")</f>
        <v>S2</v>
      </c>
      <c r="C529" s="121" t="str">
        <f>IFERROR(__xludf.DUMMYFUNCTION("""COMPUTED_VALUE"""),"CORE")</f>
        <v>CORE</v>
      </c>
      <c r="D529" s="121" t="str">
        <f>IFERROR(__xludf.DUMMYFUNCTION("""COMPUTED_VALUE"""),"22CH203")</f>
        <v>22CH203</v>
      </c>
      <c r="E529" s="131" t="str">
        <f>IFERROR(__xludf.DUMMYFUNCTION("""COMPUTED_VALUE"""),"ENGINEERING CHEMISTRY II")</f>
        <v>ENGINEERING CHEMISTRY II</v>
      </c>
      <c r="F529" s="121" t="str">
        <f>IFERROR(__xludf.DUMMYFUNCTION("""COMPUTED_VALUE"""),"THEORY WITH LAB")</f>
        <v>THEORY WITH LAB</v>
      </c>
      <c r="G529" s="121">
        <f>IFERROR(__xludf.DUMMYFUNCTION("""COMPUTED_VALUE"""),2.0)</f>
        <v>2</v>
      </c>
      <c r="H529" s="121">
        <f>IFERROR(__xludf.DUMMYFUNCTION("""COMPUTED_VALUE"""),0.0)</f>
        <v>0</v>
      </c>
      <c r="I529" s="121">
        <f>IFERROR(__xludf.DUMMYFUNCTION("""COMPUTED_VALUE"""),2.0)</f>
        <v>2</v>
      </c>
      <c r="J529" s="121">
        <f>IFERROR(__xludf.DUMMYFUNCTION("""COMPUTED_VALUE"""),3.0)</f>
        <v>3</v>
      </c>
      <c r="K529" s="132" t="str">
        <f>IFERROR(__xludf.DUMMYFUNCTION("""COMPUTED_VALUE"""),"CH10314")</f>
        <v>CH10314</v>
      </c>
      <c r="L529" s="121" t="str">
        <f>IFERROR(__xludf.DUMMYFUNCTION("""COMPUTED_VALUE"""),"Dr.VISWANATHAN G")</f>
        <v>Dr.VISWANATHAN G</v>
      </c>
      <c r="M529" s="121" t="str">
        <f>IFERROR(__xludf.DUMMYFUNCTION("""COMPUTED_VALUE"""),"viswanathan@bitsathy.ac.in")</f>
        <v>viswanathan@bitsathy.ac.in</v>
      </c>
    </row>
    <row r="530" ht="49.5" customHeight="1">
      <c r="A530" s="121" t="str">
        <f>IFERROR(__xludf.DUMMYFUNCTION("""COMPUTED_VALUE"""),"ECE")</f>
        <v>ECE</v>
      </c>
      <c r="B530" s="121" t="str">
        <f>IFERROR(__xludf.DUMMYFUNCTION("""COMPUTED_VALUE"""),"S2")</f>
        <v>S2</v>
      </c>
      <c r="C530" s="121" t="str">
        <f>IFERROR(__xludf.DUMMYFUNCTION("""COMPUTED_VALUE"""),"CORE")</f>
        <v>CORE</v>
      </c>
      <c r="D530" s="121" t="str">
        <f>IFERROR(__xludf.DUMMYFUNCTION("""COMPUTED_VALUE"""),"22CH203")</f>
        <v>22CH203</v>
      </c>
      <c r="E530" s="131" t="str">
        <f>IFERROR(__xludf.DUMMYFUNCTION("""COMPUTED_VALUE"""),"ENGINEERING CHEMISTRY II")</f>
        <v>ENGINEERING CHEMISTRY II</v>
      </c>
      <c r="F530" s="121" t="str">
        <f>IFERROR(__xludf.DUMMYFUNCTION("""COMPUTED_VALUE"""),"THEORY WITH LAB")</f>
        <v>THEORY WITH LAB</v>
      </c>
      <c r="G530" s="121">
        <f>IFERROR(__xludf.DUMMYFUNCTION("""COMPUTED_VALUE"""),2.0)</f>
        <v>2</v>
      </c>
      <c r="H530" s="121">
        <f>IFERROR(__xludf.DUMMYFUNCTION("""COMPUTED_VALUE"""),0.0)</f>
        <v>0</v>
      </c>
      <c r="I530" s="121">
        <f>IFERROR(__xludf.DUMMYFUNCTION("""COMPUTED_VALUE"""),2.0)</f>
        <v>2</v>
      </c>
      <c r="J530" s="121">
        <f>IFERROR(__xludf.DUMMYFUNCTION("""COMPUTED_VALUE"""),3.0)</f>
        <v>3</v>
      </c>
      <c r="K530" s="132" t="str">
        <f>IFERROR(__xludf.DUMMYFUNCTION("""COMPUTED_VALUE"""),"CH1558")</f>
        <v>CH1558</v>
      </c>
      <c r="L530" s="121" t="str">
        <f>IFERROR(__xludf.DUMMYFUNCTION("""COMPUTED_VALUE"""),"Dr.PRAVEENA R")</f>
        <v>Dr.PRAVEENA R</v>
      </c>
      <c r="M530" s="121" t="str">
        <f>IFERROR(__xludf.DUMMYFUNCTION("""COMPUTED_VALUE"""),"praveenar@bitsathy.ac.in")</f>
        <v>praveenar@bitsathy.ac.in</v>
      </c>
    </row>
    <row r="531" ht="49.5" customHeight="1">
      <c r="A531" s="121" t="str">
        <f>IFERROR(__xludf.DUMMYFUNCTION("""COMPUTED_VALUE"""),"ECE")</f>
        <v>ECE</v>
      </c>
      <c r="B531" s="121" t="str">
        <f>IFERROR(__xludf.DUMMYFUNCTION("""COMPUTED_VALUE"""),"S2")</f>
        <v>S2</v>
      </c>
      <c r="C531" s="121" t="str">
        <f>IFERROR(__xludf.DUMMYFUNCTION("""COMPUTED_VALUE"""),"CORE")</f>
        <v>CORE</v>
      </c>
      <c r="D531" s="121" t="str">
        <f>IFERROR(__xludf.DUMMYFUNCTION("""COMPUTED_VALUE"""),"22CH203")</f>
        <v>22CH203</v>
      </c>
      <c r="E531" s="131" t="str">
        <f>IFERROR(__xludf.DUMMYFUNCTION("""COMPUTED_VALUE"""),"ENGINEERING CHEMISTRY II")</f>
        <v>ENGINEERING CHEMISTRY II</v>
      </c>
      <c r="F531" s="121" t="str">
        <f>IFERROR(__xludf.DUMMYFUNCTION("""COMPUTED_VALUE"""),"THEORY WITH LAB")</f>
        <v>THEORY WITH LAB</v>
      </c>
      <c r="G531" s="121">
        <f>IFERROR(__xludf.DUMMYFUNCTION("""COMPUTED_VALUE"""),2.0)</f>
        <v>2</v>
      </c>
      <c r="H531" s="121">
        <f>IFERROR(__xludf.DUMMYFUNCTION("""COMPUTED_VALUE"""),0.0)</f>
        <v>0</v>
      </c>
      <c r="I531" s="121">
        <f>IFERROR(__xludf.DUMMYFUNCTION("""COMPUTED_VALUE"""),2.0)</f>
        <v>2</v>
      </c>
      <c r="J531" s="121">
        <f>IFERROR(__xludf.DUMMYFUNCTION("""COMPUTED_VALUE"""),3.0)</f>
        <v>3</v>
      </c>
      <c r="K531" s="132" t="str">
        <f>IFERROR(__xludf.DUMMYFUNCTION("""COMPUTED_VALUE"""),"CH10225")</f>
        <v>CH10225</v>
      </c>
      <c r="L531" s="121" t="str">
        <f>IFERROR(__xludf.DUMMYFUNCTION("""COMPUTED_VALUE"""),"Dr.MUTHUKUMAR P")</f>
        <v>Dr.MUTHUKUMAR P</v>
      </c>
      <c r="M531" s="121" t="str">
        <f>IFERROR(__xludf.DUMMYFUNCTION("""COMPUTED_VALUE"""),"muthukumar@bitsathy.ac.in")</f>
        <v>muthukumar@bitsathy.ac.in</v>
      </c>
    </row>
    <row r="532" ht="49.5" customHeight="1">
      <c r="A532" s="121" t="str">
        <f>IFERROR(__xludf.DUMMYFUNCTION("""COMPUTED_VALUE"""),"ECE")</f>
        <v>ECE</v>
      </c>
      <c r="B532" s="121" t="str">
        <f>IFERROR(__xludf.DUMMYFUNCTION("""COMPUTED_VALUE"""),"S2")</f>
        <v>S2</v>
      </c>
      <c r="C532" s="121" t="str">
        <f>IFERROR(__xludf.DUMMYFUNCTION("""COMPUTED_VALUE"""),"CORE")</f>
        <v>CORE</v>
      </c>
      <c r="D532" s="121" t="str">
        <f>IFERROR(__xludf.DUMMYFUNCTION("""COMPUTED_VALUE"""),"22GE002")</f>
        <v>22GE002</v>
      </c>
      <c r="E532" s="131" t="str">
        <f>IFERROR(__xludf.DUMMYFUNCTION("""COMPUTED_VALUE"""),"COMPUTATIONAL PROBLEM SOLVING")</f>
        <v>COMPUTATIONAL PROBLEM SOLVING</v>
      </c>
      <c r="F532" s="121" t="str">
        <f>IFERROR(__xludf.DUMMYFUNCTION("""COMPUTED_VALUE"""),"THEORY")</f>
        <v>THEORY</v>
      </c>
      <c r="G532" s="121">
        <f>IFERROR(__xludf.DUMMYFUNCTION("""COMPUTED_VALUE"""),3.0)</f>
        <v>3</v>
      </c>
      <c r="H532" s="121">
        <f>IFERROR(__xludf.DUMMYFUNCTION("""COMPUTED_VALUE"""),0.0)</f>
        <v>0</v>
      </c>
      <c r="I532" s="121">
        <f>IFERROR(__xludf.DUMMYFUNCTION("""COMPUTED_VALUE"""),0.0)</f>
        <v>0</v>
      </c>
      <c r="J532" s="121">
        <f>IFERROR(__xludf.DUMMYFUNCTION("""COMPUTED_VALUE"""),3.0)</f>
        <v>3</v>
      </c>
      <c r="K532" s="132" t="str">
        <f>IFERROR(__xludf.DUMMYFUNCTION("""COMPUTED_VALUE"""),"CS11084")</f>
        <v>CS11084</v>
      </c>
      <c r="L532" s="121" t="str">
        <f>IFERROR(__xludf.DUMMYFUNCTION("""COMPUTED_VALUE"""),"Mrs.GUNAVARDINI V")</f>
        <v>Mrs.GUNAVARDINI V</v>
      </c>
      <c r="M532" s="121" t="str">
        <f>IFERROR(__xludf.DUMMYFUNCTION("""COMPUTED_VALUE"""),"gunavardini@bitsathy.ac.in")</f>
        <v>gunavardini@bitsathy.ac.in</v>
      </c>
    </row>
    <row r="533" ht="49.5" customHeight="1">
      <c r="A533" s="121" t="str">
        <f>IFERROR(__xludf.DUMMYFUNCTION("""COMPUTED_VALUE"""),"ECE")</f>
        <v>ECE</v>
      </c>
      <c r="B533" s="121" t="str">
        <f>IFERROR(__xludf.DUMMYFUNCTION("""COMPUTED_VALUE"""),"S2")</f>
        <v>S2</v>
      </c>
      <c r="C533" s="121" t="str">
        <f>IFERROR(__xludf.DUMMYFUNCTION("""COMPUTED_VALUE"""),"CORE")</f>
        <v>CORE</v>
      </c>
      <c r="D533" s="121" t="str">
        <f>IFERROR(__xludf.DUMMYFUNCTION("""COMPUTED_VALUE"""),"22GE002")</f>
        <v>22GE002</v>
      </c>
      <c r="E533" s="131" t="str">
        <f>IFERROR(__xludf.DUMMYFUNCTION("""COMPUTED_VALUE"""),"COMPUTATIONAL PROBLEM SOLVING")</f>
        <v>COMPUTATIONAL PROBLEM SOLVING</v>
      </c>
      <c r="F533" s="121" t="str">
        <f>IFERROR(__xludf.DUMMYFUNCTION("""COMPUTED_VALUE"""),"THEORY")</f>
        <v>THEORY</v>
      </c>
      <c r="G533" s="121">
        <f>IFERROR(__xludf.DUMMYFUNCTION("""COMPUTED_VALUE"""),3.0)</f>
        <v>3</v>
      </c>
      <c r="H533" s="121">
        <f>IFERROR(__xludf.DUMMYFUNCTION("""COMPUTED_VALUE"""),0.0)</f>
        <v>0</v>
      </c>
      <c r="I533" s="121">
        <f>IFERROR(__xludf.DUMMYFUNCTION("""COMPUTED_VALUE"""),0.0)</f>
        <v>0</v>
      </c>
      <c r="J533" s="121">
        <f>IFERROR(__xludf.DUMMYFUNCTION("""COMPUTED_VALUE"""),3.0)</f>
        <v>3</v>
      </c>
      <c r="K533" s="132" t="str">
        <f>IFERROR(__xludf.DUMMYFUNCTION("""COMPUTED_VALUE"""),"CS10825")</f>
        <v>CS10825</v>
      </c>
      <c r="L533" s="121" t="str">
        <f>IFERROR(__xludf.DUMMYFUNCTION("""COMPUTED_VALUE"""),"Ms.KIRUTHIKA V R")</f>
        <v>Ms.KIRUTHIKA V R</v>
      </c>
      <c r="M533" s="121" t="str">
        <f>IFERROR(__xludf.DUMMYFUNCTION("""COMPUTED_VALUE"""),"kiruthikavr@bitsathy.ac.in")</f>
        <v>kiruthikavr@bitsathy.ac.in</v>
      </c>
    </row>
    <row r="534" ht="49.5" customHeight="1">
      <c r="A534" s="121" t="str">
        <f>IFERROR(__xludf.DUMMYFUNCTION("""COMPUTED_VALUE"""),"ECE")</f>
        <v>ECE</v>
      </c>
      <c r="B534" s="121" t="str">
        <f>IFERROR(__xludf.DUMMYFUNCTION("""COMPUTED_VALUE"""),"S2")</f>
        <v>S2</v>
      </c>
      <c r="C534" s="121" t="str">
        <f>IFERROR(__xludf.DUMMYFUNCTION("""COMPUTED_VALUE"""),"CORE")</f>
        <v>CORE</v>
      </c>
      <c r="D534" s="121" t="str">
        <f>IFERROR(__xludf.DUMMYFUNCTION("""COMPUTED_VALUE"""),"22GE002")</f>
        <v>22GE002</v>
      </c>
      <c r="E534" s="131" t="str">
        <f>IFERROR(__xludf.DUMMYFUNCTION("""COMPUTED_VALUE"""),"COMPUTATIONAL PROBLEM SOLVING")</f>
        <v>COMPUTATIONAL PROBLEM SOLVING</v>
      </c>
      <c r="F534" s="121" t="str">
        <f>IFERROR(__xludf.DUMMYFUNCTION("""COMPUTED_VALUE"""),"THEORY")</f>
        <v>THEORY</v>
      </c>
      <c r="G534" s="121">
        <f>IFERROR(__xludf.DUMMYFUNCTION("""COMPUTED_VALUE"""),3.0)</f>
        <v>3</v>
      </c>
      <c r="H534" s="121">
        <f>IFERROR(__xludf.DUMMYFUNCTION("""COMPUTED_VALUE"""),0.0)</f>
        <v>0</v>
      </c>
      <c r="I534" s="121">
        <f>IFERROR(__xludf.DUMMYFUNCTION("""COMPUTED_VALUE"""),0.0)</f>
        <v>0</v>
      </c>
      <c r="J534" s="121">
        <f>IFERROR(__xludf.DUMMYFUNCTION("""COMPUTED_VALUE"""),3.0)</f>
        <v>3</v>
      </c>
      <c r="K534" s="132" t="str">
        <f>IFERROR(__xludf.DUMMYFUNCTION("""COMPUTED_VALUE"""),"CT10965")</f>
        <v>CT10965</v>
      </c>
      <c r="L534" s="121" t="str">
        <f>IFERROR(__xludf.DUMMYFUNCTION("""COMPUTED_VALUE"""),"Mr.GUNALAN K")</f>
        <v>Mr.GUNALAN K</v>
      </c>
      <c r="M534" s="121" t="str">
        <f>IFERROR(__xludf.DUMMYFUNCTION("""COMPUTED_VALUE"""),"gunalank@bitsathy.ac.in")</f>
        <v>gunalank@bitsathy.ac.in</v>
      </c>
    </row>
    <row r="535" ht="49.5" customHeight="1">
      <c r="A535" s="121" t="str">
        <f>IFERROR(__xludf.DUMMYFUNCTION("""COMPUTED_VALUE"""),"ECE")</f>
        <v>ECE</v>
      </c>
      <c r="B535" s="121" t="str">
        <f>IFERROR(__xludf.DUMMYFUNCTION("""COMPUTED_VALUE"""),"S2")</f>
        <v>S2</v>
      </c>
      <c r="C535" s="121" t="str">
        <f>IFERROR(__xludf.DUMMYFUNCTION("""COMPUTED_VALUE"""),"CORE")</f>
        <v>CORE</v>
      </c>
      <c r="D535" s="121" t="str">
        <f>IFERROR(__xludf.DUMMYFUNCTION("""COMPUTED_VALUE"""),"22GE002")</f>
        <v>22GE002</v>
      </c>
      <c r="E535" s="131" t="str">
        <f>IFERROR(__xludf.DUMMYFUNCTION("""COMPUTED_VALUE"""),"COMPUTATIONAL PROBLEM SOLVING")</f>
        <v>COMPUTATIONAL PROBLEM SOLVING</v>
      </c>
      <c r="F535" s="121" t="str">
        <f>IFERROR(__xludf.DUMMYFUNCTION("""COMPUTED_VALUE"""),"THEORY")</f>
        <v>THEORY</v>
      </c>
      <c r="G535" s="121">
        <f>IFERROR(__xludf.DUMMYFUNCTION("""COMPUTED_VALUE"""),3.0)</f>
        <v>3</v>
      </c>
      <c r="H535" s="121">
        <f>IFERROR(__xludf.DUMMYFUNCTION("""COMPUTED_VALUE"""),0.0)</f>
        <v>0</v>
      </c>
      <c r="I535" s="121">
        <f>IFERROR(__xludf.DUMMYFUNCTION("""COMPUTED_VALUE"""),0.0)</f>
        <v>0</v>
      </c>
      <c r="J535" s="121">
        <f>IFERROR(__xludf.DUMMYFUNCTION("""COMPUTED_VALUE"""),3.0)</f>
        <v>3</v>
      </c>
      <c r="K535" s="132" t="str">
        <f>IFERROR(__xludf.DUMMYFUNCTION("""COMPUTED_VALUE"""),"CS11064")</f>
        <v>CS11064</v>
      </c>
      <c r="L535" s="121" t="str">
        <f>IFERROR(__xludf.DUMMYFUNCTION("""COMPUTED_VALUE"""),"Mrs.MOHANAMBAL K")</f>
        <v>Mrs.MOHANAMBAL K</v>
      </c>
      <c r="M535" s="121" t="str">
        <f>IFERROR(__xludf.DUMMYFUNCTION("""COMPUTED_VALUE"""),"mohanambal@bitsathy.ac.in")</f>
        <v>mohanambal@bitsathy.ac.in</v>
      </c>
    </row>
    <row r="536" ht="49.5" customHeight="1">
      <c r="A536" s="121" t="str">
        <f>IFERROR(__xludf.DUMMYFUNCTION("""COMPUTED_VALUE"""),"ECE")</f>
        <v>ECE</v>
      </c>
      <c r="B536" s="121" t="str">
        <f>IFERROR(__xludf.DUMMYFUNCTION("""COMPUTED_VALUE"""),"S2")</f>
        <v>S2</v>
      </c>
      <c r="C536" s="121" t="str">
        <f>IFERROR(__xludf.DUMMYFUNCTION("""COMPUTED_VALUE"""),"CORE")</f>
        <v>CORE</v>
      </c>
      <c r="D536" s="121" t="str">
        <f>IFERROR(__xludf.DUMMYFUNCTION("""COMPUTED_VALUE"""),"22GE004")</f>
        <v>22GE004</v>
      </c>
      <c r="E536" s="131" t="str">
        <f>IFERROR(__xludf.DUMMYFUNCTION("""COMPUTED_VALUE"""),"BASICS OF ELECTRONICS ENGINEERING")</f>
        <v>BASICS OF ELECTRONICS ENGINEERING</v>
      </c>
      <c r="F536" s="121" t="str">
        <f>IFERROR(__xludf.DUMMYFUNCTION("""COMPUTED_VALUE"""),"THEORY WITH LAB")</f>
        <v>THEORY WITH LAB</v>
      </c>
      <c r="G536" s="121">
        <f>IFERROR(__xludf.DUMMYFUNCTION("""COMPUTED_VALUE"""),2.0)</f>
        <v>2</v>
      </c>
      <c r="H536" s="121">
        <f>IFERROR(__xludf.DUMMYFUNCTION("""COMPUTED_VALUE"""),0.0)</f>
        <v>0</v>
      </c>
      <c r="I536" s="121">
        <f>IFERROR(__xludf.DUMMYFUNCTION("""COMPUTED_VALUE"""),2.0)</f>
        <v>2</v>
      </c>
      <c r="J536" s="121">
        <f>IFERROR(__xludf.DUMMYFUNCTION("""COMPUTED_VALUE"""),3.0)</f>
        <v>3</v>
      </c>
      <c r="K536" s="132" t="str">
        <f>IFERROR(__xludf.DUMMYFUNCTION("""COMPUTED_VALUE"""),"EC11021")</f>
        <v>EC11021</v>
      </c>
      <c r="L536" s="121" t="str">
        <f>IFERROR(__xludf.DUMMYFUNCTION("""COMPUTED_VALUE"""),"Dr.SATHIYAMURTHI P")</f>
        <v>Dr.SATHIYAMURTHI P</v>
      </c>
      <c r="M536" s="121" t="str">
        <f>IFERROR(__xludf.DUMMYFUNCTION("""COMPUTED_VALUE"""),"sathiyamurthi@bitsathy.ac.in")</f>
        <v>sathiyamurthi@bitsathy.ac.in</v>
      </c>
    </row>
    <row r="537" ht="49.5" customHeight="1">
      <c r="A537" s="121" t="str">
        <f>IFERROR(__xludf.DUMMYFUNCTION("""COMPUTED_VALUE"""),"ECE")</f>
        <v>ECE</v>
      </c>
      <c r="B537" s="121" t="str">
        <f>IFERROR(__xludf.DUMMYFUNCTION("""COMPUTED_VALUE"""),"S2")</f>
        <v>S2</v>
      </c>
      <c r="C537" s="121" t="str">
        <f>IFERROR(__xludf.DUMMYFUNCTION("""COMPUTED_VALUE"""),"CORE")</f>
        <v>CORE</v>
      </c>
      <c r="D537" s="121" t="str">
        <f>IFERROR(__xludf.DUMMYFUNCTION("""COMPUTED_VALUE"""),"22GE004")</f>
        <v>22GE004</v>
      </c>
      <c r="E537" s="131" t="str">
        <f>IFERROR(__xludf.DUMMYFUNCTION("""COMPUTED_VALUE"""),"BASICS OF ELECTRONICS ENGINEERING")</f>
        <v>BASICS OF ELECTRONICS ENGINEERING</v>
      </c>
      <c r="F537" s="121" t="str">
        <f>IFERROR(__xludf.DUMMYFUNCTION("""COMPUTED_VALUE"""),"THEORY")</f>
        <v>THEORY</v>
      </c>
      <c r="G537" s="121">
        <f>IFERROR(__xludf.DUMMYFUNCTION("""COMPUTED_VALUE"""),2.0)</f>
        <v>2</v>
      </c>
      <c r="H537" s="121">
        <f>IFERROR(__xludf.DUMMYFUNCTION("""COMPUTED_VALUE"""),0.0)</f>
        <v>0</v>
      </c>
      <c r="I537" s="121">
        <f>IFERROR(__xludf.DUMMYFUNCTION("""COMPUTED_VALUE"""),2.0)</f>
        <v>2</v>
      </c>
      <c r="J537" s="121">
        <f>IFERROR(__xludf.DUMMYFUNCTION("""COMPUTED_VALUE"""),3.0)</f>
        <v>3</v>
      </c>
      <c r="K537" s="132" t="str">
        <f>IFERROR(__xludf.DUMMYFUNCTION("""COMPUTED_VALUE"""),"EC1912")</f>
        <v>EC1912</v>
      </c>
      <c r="L537" s="121" t="str">
        <f>IFERROR(__xludf.DUMMYFUNCTION("""COMPUTED_VALUE"""),"Dr.SAJAN P PHILIP")</f>
        <v>Dr.SAJAN P PHILIP</v>
      </c>
      <c r="M537" s="121" t="str">
        <f>IFERROR(__xludf.DUMMYFUNCTION("""COMPUTED_VALUE"""),"sajanpphilip@bitsathy.ac.in")</f>
        <v>sajanpphilip@bitsathy.ac.in</v>
      </c>
    </row>
    <row r="538" ht="49.5" customHeight="1">
      <c r="A538" s="121" t="str">
        <f>IFERROR(__xludf.DUMMYFUNCTION("""COMPUTED_VALUE"""),"ECE")</f>
        <v>ECE</v>
      </c>
      <c r="B538" s="121" t="str">
        <f>IFERROR(__xludf.DUMMYFUNCTION("""COMPUTED_VALUE"""),"S2")</f>
        <v>S2</v>
      </c>
      <c r="C538" s="121" t="str">
        <f>IFERROR(__xludf.DUMMYFUNCTION("""COMPUTED_VALUE"""),"CORE")</f>
        <v>CORE</v>
      </c>
      <c r="D538" s="121" t="str">
        <f>IFERROR(__xludf.DUMMYFUNCTION("""COMPUTED_VALUE"""),"22GE004")</f>
        <v>22GE004</v>
      </c>
      <c r="E538" s="131" t="str">
        <f>IFERROR(__xludf.DUMMYFUNCTION("""COMPUTED_VALUE"""),"BASICS OF ELECTRONICS ENGINEERING")</f>
        <v>BASICS OF ELECTRONICS ENGINEERING</v>
      </c>
      <c r="F538" s="121" t="str">
        <f>IFERROR(__xludf.DUMMYFUNCTION("""COMPUTED_VALUE"""),"LAB")</f>
        <v>LAB</v>
      </c>
      <c r="G538" s="121">
        <f>IFERROR(__xludf.DUMMYFUNCTION("""COMPUTED_VALUE"""),2.0)</f>
        <v>2</v>
      </c>
      <c r="H538" s="121">
        <f>IFERROR(__xludf.DUMMYFUNCTION("""COMPUTED_VALUE"""),0.0)</f>
        <v>0</v>
      </c>
      <c r="I538" s="121">
        <f>IFERROR(__xludf.DUMMYFUNCTION("""COMPUTED_VALUE"""),2.0)</f>
        <v>2</v>
      </c>
      <c r="J538" s="121">
        <f>IFERROR(__xludf.DUMMYFUNCTION("""COMPUTED_VALUE"""),3.0)</f>
        <v>3</v>
      </c>
      <c r="K538" s="132" t="str">
        <f>IFERROR(__xludf.DUMMYFUNCTION("""COMPUTED_VALUE"""),"EC11131")</f>
        <v>EC11131</v>
      </c>
      <c r="L538" s="121" t="str">
        <f>IFERROR(__xludf.DUMMYFUNCTION("""COMPUTED_VALUE"""),"Dr.SANKARANANTH S")</f>
        <v>Dr.SANKARANANTH S</v>
      </c>
      <c r="M538" s="121" t="str">
        <f>IFERROR(__xludf.DUMMYFUNCTION("""COMPUTED_VALUE"""),"sankarananth@bitsathy.ac.in")</f>
        <v>sankarananth@bitsathy.ac.in</v>
      </c>
    </row>
    <row r="539" ht="49.5" customHeight="1">
      <c r="A539" s="121" t="str">
        <f>IFERROR(__xludf.DUMMYFUNCTION("""COMPUTED_VALUE"""),"ECE")</f>
        <v>ECE</v>
      </c>
      <c r="B539" s="121" t="str">
        <f>IFERROR(__xludf.DUMMYFUNCTION("""COMPUTED_VALUE"""),"S2")</f>
        <v>S2</v>
      </c>
      <c r="C539" s="121" t="str">
        <f>IFERROR(__xludf.DUMMYFUNCTION("""COMPUTED_VALUE"""),"CORE")</f>
        <v>CORE</v>
      </c>
      <c r="D539" s="121" t="str">
        <f>IFERROR(__xludf.DUMMYFUNCTION("""COMPUTED_VALUE"""),"22GE004")</f>
        <v>22GE004</v>
      </c>
      <c r="E539" s="131" t="str">
        <f>IFERROR(__xludf.DUMMYFUNCTION("""COMPUTED_VALUE"""),"BASICS OF ELECTRONICS ENGINEERING")</f>
        <v>BASICS OF ELECTRONICS ENGINEERING</v>
      </c>
      <c r="F539" s="121" t="str">
        <f>IFERROR(__xludf.DUMMYFUNCTION("""COMPUTED_VALUE"""),"THEORY WITH LAB")</f>
        <v>THEORY WITH LAB</v>
      </c>
      <c r="G539" s="121">
        <f>IFERROR(__xludf.DUMMYFUNCTION("""COMPUTED_VALUE"""),2.0)</f>
        <v>2</v>
      </c>
      <c r="H539" s="121">
        <f>IFERROR(__xludf.DUMMYFUNCTION("""COMPUTED_VALUE"""),0.0)</f>
        <v>0</v>
      </c>
      <c r="I539" s="121">
        <f>IFERROR(__xludf.DUMMYFUNCTION("""COMPUTED_VALUE"""),2.0)</f>
        <v>2</v>
      </c>
      <c r="J539" s="121">
        <f>IFERROR(__xludf.DUMMYFUNCTION("""COMPUTED_VALUE"""),3.0)</f>
        <v>3</v>
      </c>
      <c r="K539" s="132" t="str">
        <f>IFERROR(__xludf.DUMMYFUNCTION("""COMPUTED_VALUE"""),"EC10969")</f>
        <v>EC10969</v>
      </c>
      <c r="L539" s="121" t="str">
        <f>IFERROR(__xludf.DUMMYFUNCTION("""COMPUTED_VALUE"""),"Dr.VENKATESHKUMAR U")</f>
        <v>Dr.VENKATESHKUMAR U</v>
      </c>
      <c r="M539" s="121" t="str">
        <f>IFERROR(__xludf.DUMMYFUNCTION("""COMPUTED_VALUE"""),"venkateshkumaru@bitsathy.ac.in")</f>
        <v>venkateshkumaru@bitsathy.ac.in</v>
      </c>
    </row>
    <row r="540" ht="49.5" customHeight="1">
      <c r="A540" s="121" t="str">
        <f>IFERROR(__xludf.DUMMYFUNCTION("""COMPUTED_VALUE"""),"ECE")</f>
        <v>ECE</v>
      </c>
      <c r="B540" s="121" t="str">
        <f>IFERROR(__xludf.DUMMYFUNCTION("""COMPUTED_VALUE"""),"S2")</f>
        <v>S2</v>
      </c>
      <c r="C540" s="121" t="str">
        <f>IFERROR(__xludf.DUMMYFUNCTION("""COMPUTED_VALUE"""),"CORE")</f>
        <v>CORE</v>
      </c>
      <c r="D540" s="121" t="str">
        <f>IFERROR(__xludf.DUMMYFUNCTION("""COMPUTED_VALUE"""),"22GE004")</f>
        <v>22GE004</v>
      </c>
      <c r="E540" s="131" t="str">
        <f>IFERROR(__xludf.DUMMYFUNCTION("""COMPUTED_VALUE"""),"BASICS OF ELECTRONICS ENGINEERING")</f>
        <v>BASICS OF ELECTRONICS ENGINEERING</v>
      </c>
      <c r="F540" s="121" t="str">
        <f>IFERROR(__xludf.DUMMYFUNCTION("""COMPUTED_VALUE"""),"THEORY WITH LAB")</f>
        <v>THEORY WITH LAB</v>
      </c>
      <c r="G540" s="121">
        <f>IFERROR(__xludf.DUMMYFUNCTION("""COMPUTED_VALUE"""),2.0)</f>
        <v>2</v>
      </c>
      <c r="H540" s="121">
        <f>IFERROR(__xludf.DUMMYFUNCTION("""COMPUTED_VALUE"""),0.0)</f>
        <v>0</v>
      </c>
      <c r="I540" s="121">
        <f>IFERROR(__xludf.DUMMYFUNCTION("""COMPUTED_VALUE"""),2.0)</f>
        <v>2</v>
      </c>
      <c r="J540" s="121">
        <f>IFERROR(__xludf.DUMMYFUNCTION("""COMPUTED_VALUE"""),3.0)</f>
        <v>3</v>
      </c>
      <c r="K540" s="132" t="str">
        <f>IFERROR(__xludf.DUMMYFUNCTION("""COMPUTED_VALUE"""),"EC10972")</f>
        <v>EC10972</v>
      </c>
      <c r="L540" s="121" t="str">
        <f>IFERROR(__xludf.DUMMYFUNCTION("""COMPUTED_VALUE"""),"Mr.VELLINGIRI A")</f>
        <v>Mr.VELLINGIRI A</v>
      </c>
      <c r="M540" s="121" t="str">
        <f>IFERROR(__xludf.DUMMYFUNCTION("""COMPUTED_VALUE"""),"vellingiria@bitsathy.ac.in")</f>
        <v>vellingiria@bitsathy.ac.in</v>
      </c>
    </row>
    <row r="541" ht="49.5" customHeight="1">
      <c r="A541" s="121" t="str">
        <f>IFERROR(__xludf.DUMMYFUNCTION("""COMPUTED_VALUE"""),"ECE")</f>
        <v>ECE</v>
      </c>
      <c r="B541" s="121" t="str">
        <f>IFERROR(__xludf.DUMMYFUNCTION("""COMPUTED_VALUE"""),"S2")</f>
        <v>S2</v>
      </c>
      <c r="C541" s="121" t="str">
        <f>IFERROR(__xludf.DUMMYFUNCTION("""COMPUTED_VALUE"""),"CORE")</f>
        <v>CORE</v>
      </c>
      <c r="D541" s="121" t="str">
        <f>IFERROR(__xludf.DUMMYFUNCTION("""COMPUTED_VALUE"""),"22GE005")</f>
        <v>22GE005</v>
      </c>
      <c r="E541" s="131" t="str">
        <f>IFERROR(__xludf.DUMMYFUNCTION("""COMPUTED_VALUE"""),"ENGINEERING DRAWING")</f>
        <v>ENGINEERING DRAWING</v>
      </c>
      <c r="F541" s="121" t="str">
        <f>IFERROR(__xludf.DUMMYFUNCTION("""COMPUTED_VALUE"""),"LAB")</f>
        <v>LAB</v>
      </c>
      <c r="G541" s="121">
        <f>IFERROR(__xludf.DUMMYFUNCTION("""COMPUTED_VALUE"""),1.0)</f>
        <v>1</v>
      </c>
      <c r="H541" s="121">
        <f>IFERROR(__xludf.DUMMYFUNCTION("""COMPUTED_VALUE"""),0.0)</f>
        <v>0</v>
      </c>
      <c r="I541" s="121">
        <f>IFERROR(__xludf.DUMMYFUNCTION("""COMPUTED_VALUE"""),2.0)</f>
        <v>2</v>
      </c>
      <c r="J541" s="121">
        <f>IFERROR(__xludf.DUMMYFUNCTION("""COMPUTED_VALUE"""),3.0)</f>
        <v>3</v>
      </c>
      <c r="K541" s="132" t="str">
        <f>IFERROR(__xludf.DUMMYFUNCTION("""COMPUTED_VALUE"""),"ME10273")</f>
        <v>ME10273</v>
      </c>
      <c r="L541" s="121" t="str">
        <f>IFERROR(__xludf.DUMMYFUNCTION("""COMPUTED_VALUE"""),"Dr.BHUVANESH N")</f>
        <v>Dr.BHUVANESH N</v>
      </c>
      <c r="M541" s="121" t="str">
        <f>IFERROR(__xludf.DUMMYFUNCTION("""COMPUTED_VALUE"""),"bhuvanesh@bitsathy.ac.in")</f>
        <v>bhuvanesh@bitsathy.ac.in</v>
      </c>
    </row>
    <row r="542" ht="49.5" customHeight="1">
      <c r="A542" s="121" t="str">
        <f>IFERROR(__xludf.DUMMYFUNCTION("""COMPUTED_VALUE"""),"ECE")</f>
        <v>ECE</v>
      </c>
      <c r="B542" s="121" t="str">
        <f>IFERROR(__xludf.DUMMYFUNCTION("""COMPUTED_VALUE"""),"S2")</f>
        <v>S2</v>
      </c>
      <c r="C542" s="121" t="str">
        <f>IFERROR(__xludf.DUMMYFUNCTION("""COMPUTED_VALUE"""),"CORE")</f>
        <v>CORE</v>
      </c>
      <c r="D542" s="121" t="str">
        <f>IFERROR(__xludf.DUMMYFUNCTION("""COMPUTED_VALUE"""),"22GE005")</f>
        <v>22GE005</v>
      </c>
      <c r="E542" s="131" t="str">
        <f>IFERROR(__xludf.DUMMYFUNCTION("""COMPUTED_VALUE"""),"ENGINEERING DRAWING")</f>
        <v>ENGINEERING DRAWING</v>
      </c>
      <c r="F542" s="121" t="str">
        <f>IFERROR(__xludf.DUMMYFUNCTION("""COMPUTED_VALUE"""),"LAB")</f>
        <v>LAB</v>
      </c>
      <c r="G542" s="121">
        <f>IFERROR(__xludf.DUMMYFUNCTION("""COMPUTED_VALUE"""),1.0)</f>
        <v>1</v>
      </c>
      <c r="H542" s="121">
        <f>IFERROR(__xludf.DUMMYFUNCTION("""COMPUTED_VALUE"""),0.0)</f>
        <v>0</v>
      </c>
      <c r="I542" s="121">
        <f>IFERROR(__xludf.DUMMYFUNCTION("""COMPUTED_VALUE"""),2.0)</f>
        <v>2</v>
      </c>
      <c r="J542" s="121">
        <f>IFERROR(__xludf.DUMMYFUNCTION("""COMPUTED_VALUE"""),3.0)</f>
        <v>3</v>
      </c>
      <c r="K542" s="132" t="str">
        <f>IFERROR(__xludf.DUMMYFUNCTION("""COMPUTED_VALUE"""),"ME10328")</f>
        <v>ME10328</v>
      </c>
      <c r="L542" s="121" t="str">
        <f>IFERROR(__xludf.DUMMYFUNCTION("""COMPUTED_VALUE"""),"Mr.RAMACHANDRA RAJU K")</f>
        <v>Mr.RAMACHANDRA RAJU K</v>
      </c>
      <c r="M542" s="121" t="str">
        <f>IFERROR(__xludf.DUMMYFUNCTION("""COMPUTED_VALUE"""),"ramachandraraju@bitsathy.ac.in")</f>
        <v>ramachandraraju@bitsathy.ac.in</v>
      </c>
    </row>
    <row r="543" ht="49.5" customHeight="1">
      <c r="A543" s="121" t="str">
        <f>IFERROR(__xludf.DUMMYFUNCTION("""COMPUTED_VALUE"""),"ECE")</f>
        <v>ECE</v>
      </c>
      <c r="B543" s="121" t="str">
        <f>IFERROR(__xludf.DUMMYFUNCTION("""COMPUTED_VALUE"""),"S2")</f>
        <v>S2</v>
      </c>
      <c r="C543" s="121" t="str">
        <f>IFERROR(__xludf.DUMMYFUNCTION("""COMPUTED_VALUE"""),"CORE")</f>
        <v>CORE</v>
      </c>
      <c r="D543" s="121" t="str">
        <f>IFERROR(__xludf.DUMMYFUNCTION("""COMPUTED_VALUE"""),"22GE005")</f>
        <v>22GE005</v>
      </c>
      <c r="E543" s="131" t="str">
        <f>IFERROR(__xludf.DUMMYFUNCTION("""COMPUTED_VALUE"""),"ENGINEERING DRAWING")</f>
        <v>ENGINEERING DRAWING</v>
      </c>
      <c r="F543" s="121" t="str">
        <f>IFERROR(__xludf.DUMMYFUNCTION("""COMPUTED_VALUE"""),"LAB")</f>
        <v>LAB</v>
      </c>
      <c r="G543" s="121">
        <f>IFERROR(__xludf.DUMMYFUNCTION("""COMPUTED_VALUE"""),1.0)</f>
        <v>1</v>
      </c>
      <c r="H543" s="121">
        <f>IFERROR(__xludf.DUMMYFUNCTION("""COMPUTED_VALUE"""),0.0)</f>
        <v>0</v>
      </c>
      <c r="I543" s="121">
        <f>IFERROR(__xludf.DUMMYFUNCTION("""COMPUTED_VALUE"""),2.0)</f>
        <v>2</v>
      </c>
      <c r="J543" s="121">
        <f>IFERROR(__xludf.DUMMYFUNCTION("""COMPUTED_VALUE"""),3.0)</f>
        <v>3</v>
      </c>
      <c r="K543" s="132" t="str">
        <f>IFERROR(__xludf.DUMMYFUNCTION("""COMPUTED_VALUE"""),"ME10098")</f>
        <v>ME10098</v>
      </c>
      <c r="L543" s="121" t="str">
        <f>IFERROR(__xludf.DUMMYFUNCTION("""COMPUTED_VALUE"""),"Dr.PRADEEP A D")</f>
        <v>Dr.PRADEEP A D</v>
      </c>
      <c r="M543" s="133" t="str">
        <f>IFERROR(__xludf.DUMMYFUNCTION("""COMPUTED_VALUE"""),"pradeep@bitsathy.ac.in")</f>
        <v>pradeep@bitsathy.ac.in</v>
      </c>
    </row>
    <row r="544" ht="49.5" customHeight="1">
      <c r="A544" s="121" t="str">
        <f>IFERROR(__xludf.DUMMYFUNCTION("""COMPUTED_VALUE"""),"ECE")</f>
        <v>ECE</v>
      </c>
      <c r="B544" s="121" t="str">
        <f>IFERROR(__xludf.DUMMYFUNCTION("""COMPUTED_VALUE"""),"S2")</f>
        <v>S2</v>
      </c>
      <c r="C544" s="121" t="str">
        <f>IFERROR(__xludf.DUMMYFUNCTION("""COMPUTED_VALUE"""),"CORE")</f>
        <v>CORE</v>
      </c>
      <c r="D544" s="121" t="str">
        <f>IFERROR(__xludf.DUMMYFUNCTION("""COMPUTED_VALUE"""),"22GE005")</f>
        <v>22GE005</v>
      </c>
      <c r="E544" s="131" t="str">
        <f>IFERROR(__xludf.DUMMYFUNCTION("""COMPUTED_VALUE"""),"ENGINEERING DRAWING")</f>
        <v>ENGINEERING DRAWING</v>
      </c>
      <c r="F544" s="121" t="str">
        <f>IFERROR(__xludf.DUMMYFUNCTION("""COMPUTED_VALUE"""),"LAB")</f>
        <v>LAB</v>
      </c>
      <c r="G544" s="121">
        <f>IFERROR(__xludf.DUMMYFUNCTION("""COMPUTED_VALUE"""),1.0)</f>
        <v>1</v>
      </c>
      <c r="H544" s="121">
        <f>IFERROR(__xludf.DUMMYFUNCTION("""COMPUTED_VALUE"""),0.0)</f>
        <v>0</v>
      </c>
      <c r="I544" s="121">
        <f>IFERROR(__xludf.DUMMYFUNCTION("""COMPUTED_VALUE"""),2.0)</f>
        <v>2</v>
      </c>
      <c r="J544" s="121">
        <f>IFERROR(__xludf.DUMMYFUNCTION("""COMPUTED_VALUE"""),3.0)</f>
        <v>3</v>
      </c>
      <c r="K544" s="132" t="str">
        <f>IFERROR(__xludf.DUMMYFUNCTION("""COMPUTED_VALUE"""),"ME1957")</f>
        <v>ME1957</v>
      </c>
      <c r="L544" s="121" t="str">
        <f>IFERROR(__xludf.DUMMYFUNCTION("""COMPUTED_VALUE"""),"Dr.SUNDARRAJU G")</f>
        <v>Dr.SUNDARRAJU G</v>
      </c>
      <c r="M544" s="133" t="str">
        <f>IFERROR(__xludf.DUMMYFUNCTION("""COMPUTED_VALUE"""),"sundarrajug@bitsathy.ac.in")</f>
        <v>sundarrajug@bitsathy.ac.in</v>
      </c>
    </row>
    <row r="545" ht="49.5" customHeight="1">
      <c r="A545" s="121" t="str">
        <f>IFERROR(__xludf.DUMMYFUNCTION("""COMPUTED_VALUE"""),"ECE")</f>
        <v>ECE</v>
      </c>
      <c r="B545" s="121" t="str">
        <f>IFERROR(__xludf.DUMMYFUNCTION("""COMPUTED_VALUE"""),"S2")</f>
        <v>S2</v>
      </c>
      <c r="C545" s="121" t="str">
        <f>IFERROR(__xludf.DUMMYFUNCTION("""COMPUTED_VALUE"""),"CORE")</f>
        <v>CORE</v>
      </c>
      <c r="D545" s="121" t="str">
        <f>IFERROR(__xludf.DUMMYFUNCTION("""COMPUTED_VALUE"""),"22HS006")</f>
        <v>22HS006</v>
      </c>
      <c r="E545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45" s="121" t="str">
        <f>IFERROR(__xludf.DUMMYFUNCTION("""COMPUTED_VALUE"""),"LAB")</f>
        <v>LAB</v>
      </c>
      <c r="G545" s="121">
        <f>IFERROR(__xludf.DUMMYFUNCTION("""COMPUTED_VALUE"""),1.0)</f>
        <v>1</v>
      </c>
      <c r="H545" s="121">
        <f>IFERROR(__xludf.DUMMYFUNCTION("""COMPUTED_VALUE"""),0.0)</f>
        <v>0</v>
      </c>
      <c r="I545" s="121">
        <f>IFERROR(__xludf.DUMMYFUNCTION("""COMPUTED_VALUE"""),0.0)</f>
        <v>0</v>
      </c>
      <c r="J545" s="121">
        <f>IFERROR(__xludf.DUMMYFUNCTION("""COMPUTED_VALUE"""),1.0)</f>
        <v>1</v>
      </c>
      <c r="K545" s="132" t="str">
        <f>IFERROR(__xludf.DUMMYFUNCTION("""COMPUTED_VALUE"""),"HU11085")</f>
        <v>HU11085</v>
      </c>
      <c r="L545" s="121" t="str">
        <f>IFERROR(__xludf.DUMMYFUNCTION("""COMPUTED_VALUE"""),"Dr.SAGUNTHALA DEVI P")</f>
        <v>Dr.SAGUNTHALA DEVI P</v>
      </c>
      <c r="M545" s="133" t="str">
        <f>IFERROR(__xludf.DUMMYFUNCTION("""COMPUTED_VALUE"""),"sagunthaladevi@bitsathy.ac.in")</f>
        <v>sagunthaladevi@bitsathy.ac.in</v>
      </c>
    </row>
    <row r="546" ht="49.5" customHeight="1">
      <c r="A546" s="121" t="str">
        <f>IFERROR(__xludf.DUMMYFUNCTION("""COMPUTED_VALUE"""),"ECE")</f>
        <v>ECE</v>
      </c>
      <c r="B546" s="121" t="str">
        <f>IFERROR(__xludf.DUMMYFUNCTION("""COMPUTED_VALUE"""),"S2")</f>
        <v>S2</v>
      </c>
      <c r="C546" s="121" t="str">
        <f>IFERROR(__xludf.DUMMYFUNCTION("""COMPUTED_VALUE"""),"CORE")</f>
        <v>CORE</v>
      </c>
      <c r="D546" s="121" t="str">
        <f>IFERROR(__xludf.DUMMYFUNCTION("""COMPUTED_VALUE"""),"22HS006")</f>
        <v>22HS006</v>
      </c>
      <c r="E546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46" s="121" t="str">
        <f>IFERROR(__xludf.DUMMYFUNCTION("""COMPUTED_VALUE"""),"LAB")</f>
        <v>LAB</v>
      </c>
      <c r="G546" s="121">
        <f>IFERROR(__xludf.DUMMYFUNCTION("""COMPUTED_VALUE"""),1.0)</f>
        <v>1</v>
      </c>
      <c r="H546" s="121">
        <f>IFERROR(__xludf.DUMMYFUNCTION("""COMPUTED_VALUE"""),0.0)</f>
        <v>0</v>
      </c>
      <c r="I546" s="121">
        <f>IFERROR(__xludf.DUMMYFUNCTION("""COMPUTED_VALUE"""),0.0)</f>
        <v>0</v>
      </c>
      <c r="J546" s="121">
        <f>IFERROR(__xludf.DUMMYFUNCTION("""COMPUTED_VALUE"""),1.0)</f>
        <v>1</v>
      </c>
      <c r="K546" s="132" t="str">
        <f>IFERROR(__xludf.DUMMYFUNCTION("""COMPUTED_VALUE"""),"HU11115")</f>
        <v>HU11115</v>
      </c>
      <c r="L546" s="121" t="str">
        <f>IFERROR(__xludf.DUMMYFUNCTION("""COMPUTED_VALUE"""),"Ms.KAMALI D")</f>
        <v>Ms.KAMALI D</v>
      </c>
      <c r="M546" s="133" t="str">
        <f>IFERROR(__xludf.DUMMYFUNCTION("""COMPUTED_VALUE"""),"kamali@bitsathy.ac.in")</f>
        <v>kamali@bitsathy.ac.in</v>
      </c>
    </row>
    <row r="547" ht="49.5" customHeight="1">
      <c r="A547" s="121" t="str">
        <f>IFERROR(__xludf.DUMMYFUNCTION("""COMPUTED_VALUE"""),"ECE")</f>
        <v>ECE</v>
      </c>
      <c r="B547" s="121" t="str">
        <f>IFERROR(__xludf.DUMMYFUNCTION("""COMPUTED_VALUE"""),"S2")</f>
        <v>S2</v>
      </c>
      <c r="C547" s="121" t="str">
        <f>IFERROR(__xludf.DUMMYFUNCTION("""COMPUTED_VALUE"""),"CORE")</f>
        <v>CORE</v>
      </c>
      <c r="D547" s="121" t="str">
        <f>IFERROR(__xludf.DUMMYFUNCTION("""COMPUTED_VALUE"""),"22HS006")</f>
        <v>22HS006</v>
      </c>
      <c r="E547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47" s="121" t="str">
        <f>IFERROR(__xludf.DUMMYFUNCTION("""COMPUTED_VALUE"""),"LAB")</f>
        <v>LAB</v>
      </c>
      <c r="G547" s="121">
        <f>IFERROR(__xludf.DUMMYFUNCTION("""COMPUTED_VALUE"""),1.0)</f>
        <v>1</v>
      </c>
      <c r="H547" s="121">
        <f>IFERROR(__xludf.DUMMYFUNCTION("""COMPUTED_VALUE"""),0.0)</f>
        <v>0</v>
      </c>
      <c r="I547" s="121">
        <f>IFERROR(__xludf.DUMMYFUNCTION("""COMPUTED_VALUE"""),0.0)</f>
        <v>0</v>
      </c>
      <c r="J547" s="121">
        <f>IFERROR(__xludf.DUMMYFUNCTION("""COMPUTED_VALUE"""),1.0)</f>
        <v>1</v>
      </c>
      <c r="K547" s="132" t="str">
        <f>IFERROR(__xludf.DUMMYFUNCTION("""COMPUTED_VALUE"""),"HU11154")</f>
        <v>HU11154</v>
      </c>
      <c r="L547" s="121" t="str">
        <f>IFERROR(__xludf.DUMMYFUNCTION("""COMPUTED_VALUE"""),"Mr.SHYAMSUNDAR S")</f>
        <v>Mr.SHYAMSUNDAR S</v>
      </c>
      <c r="M547" s="133" t="str">
        <f>IFERROR(__xludf.DUMMYFUNCTION("""COMPUTED_VALUE"""),"shyamsundar@bitsathy.ac.in")</f>
        <v>shyamsundar@bitsathy.ac.in</v>
      </c>
    </row>
    <row r="548" ht="49.5" customHeight="1">
      <c r="A548" s="121" t="str">
        <f>IFERROR(__xludf.DUMMYFUNCTION("""COMPUTED_VALUE"""),"ECE")</f>
        <v>ECE</v>
      </c>
      <c r="B548" s="121" t="str">
        <f>IFERROR(__xludf.DUMMYFUNCTION("""COMPUTED_VALUE"""),"S2")</f>
        <v>S2</v>
      </c>
      <c r="C548" s="121" t="str">
        <f>IFERROR(__xludf.DUMMYFUNCTION("""COMPUTED_VALUE"""),"CORE")</f>
        <v>CORE</v>
      </c>
      <c r="D548" s="121" t="str">
        <f>IFERROR(__xludf.DUMMYFUNCTION("""COMPUTED_VALUE"""),"22HS006")</f>
        <v>22HS006</v>
      </c>
      <c r="E548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48" s="121" t="str">
        <f>IFERROR(__xludf.DUMMYFUNCTION("""COMPUTED_VALUE"""),"LAB")</f>
        <v>LAB</v>
      </c>
      <c r="G548" s="121">
        <f>IFERROR(__xludf.DUMMYFUNCTION("""COMPUTED_VALUE"""),1.0)</f>
        <v>1</v>
      </c>
      <c r="H548" s="121">
        <f>IFERROR(__xludf.DUMMYFUNCTION("""COMPUTED_VALUE"""),0.0)</f>
        <v>0</v>
      </c>
      <c r="I548" s="121">
        <f>IFERROR(__xludf.DUMMYFUNCTION("""COMPUTED_VALUE"""),0.0)</f>
        <v>0</v>
      </c>
      <c r="J548" s="121">
        <f>IFERROR(__xludf.DUMMYFUNCTION("""COMPUTED_VALUE"""),1.0)</f>
        <v>1</v>
      </c>
      <c r="K548" s="132" t="str">
        <f>IFERROR(__xludf.DUMMYFUNCTION("""COMPUTED_VALUE"""),"HU11085")</f>
        <v>HU11085</v>
      </c>
      <c r="L548" s="121" t="str">
        <f>IFERROR(__xludf.DUMMYFUNCTION("""COMPUTED_VALUE"""),"Dr.SAGUNTHALA DEVI P")</f>
        <v>Dr.SAGUNTHALA DEVI P</v>
      </c>
      <c r="M548" s="121" t="str">
        <f>IFERROR(__xludf.DUMMYFUNCTION("""COMPUTED_VALUE"""),"sagunthaladevi@bitsathy.ac.in")</f>
        <v>sagunthaladevi@bitsathy.ac.in</v>
      </c>
    </row>
    <row r="549" ht="49.5" customHeight="1">
      <c r="A549" s="121" t="str">
        <f>IFERROR(__xludf.DUMMYFUNCTION("""COMPUTED_VALUE"""),"ECE")</f>
        <v>ECE</v>
      </c>
      <c r="B549" s="121" t="str">
        <f>IFERROR(__xludf.DUMMYFUNCTION("""COMPUTED_VALUE"""),"S2")</f>
        <v>S2</v>
      </c>
      <c r="C549" s="121" t="str">
        <f>IFERROR(__xludf.DUMMYFUNCTION("""COMPUTED_VALUE"""),"CORE")</f>
        <v>CORE</v>
      </c>
      <c r="D549" s="121" t="str">
        <f>IFERROR(__xludf.DUMMYFUNCTION("""COMPUTED_VALUE"""),"22HS009")</f>
        <v>22HS009</v>
      </c>
      <c r="E549" s="131" t="str">
        <f>IFERROR(__xludf.DUMMYFUNCTION("""COMPUTED_VALUE"""),"COCURRICULAR OR EXTRACURRICULAR ACTIVITY")</f>
        <v>COCURRICULAR OR EXTRACURRICULAR ACTIVITY</v>
      </c>
      <c r="F549" s="121"/>
      <c r="G549" s="121"/>
      <c r="H549" s="121"/>
      <c r="I549" s="121"/>
      <c r="J549" s="121"/>
      <c r="K549" s="132"/>
      <c r="L549" s="121"/>
      <c r="M549" s="121"/>
    </row>
    <row r="550" ht="49.5" customHeight="1">
      <c r="A550" s="121" t="str">
        <f>IFERROR(__xludf.DUMMYFUNCTION("""COMPUTED_VALUE"""),"ECE")</f>
        <v>ECE</v>
      </c>
      <c r="B550" s="121" t="str">
        <f>IFERROR(__xludf.DUMMYFUNCTION("""COMPUTED_VALUE"""),"S2")</f>
        <v>S2</v>
      </c>
      <c r="C550" s="121" t="str">
        <f>IFERROR(__xludf.DUMMYFUNCTION("""COMPUTED_VALUE"""),"LANGUAGE ELECTIVE")</f>
        <v>LANGUAGE ELECTIVE</v>
      </c>
      <c r="D550" s="121" t="str">
        <f>IFERROR(__xludf.DUMMYFUNCTION("""COMPUTED_VALUE"""),"22HS201")</f>
        <v>22HS201</v>
      </c>
      <c r="E550" s="131" t="str">
        <f>IFERROR(__xludf.DUMMYFUNCTION("""COMPUTED_VALUE""")," COMMUNICATIVE ENGLISH II")</f>
        <v> COMMUNICATIVE ENGLISH II</v>
      </c>
      <c r="F550" s="121" t="str">
        <f>IFERROR(__xludf.DUMMYFUNCTION("""COMPUTED_VALUE"""),"LAB")</f>
        <v>LAB</v>
      </c>
      <c r="G550" s="121">
        <f>IFERROR(__xludf.DUMMYFUNCTION("""COMPUTED_VALUE"""),1.0)</f>
        <v>1</v>
      </c>
      <c r="H550" s="121">
        <f>IFERROR(__xludf.DUMMYFUNCTION("""COMPUTED_VALUE"""),0.0)</f>
        <v>0</v>
      </c>
      <c r="I550" s="121">
        <f>IFERROR(__xludf.DUMMYFUNCTION("""COMPUTED_VALUE"""),2.0)</f>
        <v>2</v>
      </c>
      <c r="J550" s="121">
        <f>IFERROR(__xludf.DUMMYFUNCTION("""COMPUTED_VALUE"""),2.0)</f>
        <v>2</v>
      </c>
      <c r="K550" s="132" t="str">
        <f>IFERROR(__xludf.DUMMYFUNCTION("""COMPUTED_VALUE"""),"HU11125")</f>
        <v>HU11125</v>
      </c>
      <c r="L550" s="121" t="str">
        <f>IFERROR(__xludf.DUMMYFUNCTION("""COMPUTED_VALUE"""),"Dr.GAYATHRI G M")</f>
        <v>Dr.GAYATHRI G M</v>
      </c>
      <c r="M550" s="121" t="str">
        <f>IFERROR(__xludf.DUMMYFUNCTION("""COMPUTED_VALUE"""),"gayathri@bitsathy.ac.in")</f>
        <v>gayathri@bitsathy.ac.in</v>
      </c>
    </row>
    <row r="551" ht="49.5" customHeight="1">
      <c r="A551" s="121" t="str">
        <f>IFERROR(__xludf.DUMMYFUNCTION("""COMPUTED_VALUE"""),"ECE")</f>
        <v>ECE</v>
      </c>
      <c r="B551" s="121" t="str">
        <f>IFERROR(__xludf.DUMMYFUNCTION("""COMPUTED_VALUE"""),"S2")</f>
        <v>S2</v>
      </c>
      <c r="C551" s="121" t="str">
        <f>IFERROR(__xludf.DUMMYFUNCTION("""COMPUTED_VALUE"""),"LANGUAGE ELECTIVE")</f>
        <v>LANGUAGE ELECTIVE</v>
      </c>
      <c r="D551" s="121" t="str">
        <f>IFERROR(__xludf.DUMMYFUNCTION("""COMPUTED_VALUE"""),"22HS201")</f>
        <v>22HS201</v>
      </c>
      <c r="E551" s="131" t="str">
        <f>IFERROR(__xludf.DUMMYFUNCTION("""COMPUTED_VALUE""")," COMMUNICATIVE ENGLISH II")</f>
        <v> COMMUNICATIVE ENGLISH II</v>
      </c>
      <c r="F551" s="121" t="str">
        <f>IFERROR(__xludf.DUMMYFUNCTION("""COMPUTED_VALUE"""),"LAB")</f>
        <v>LAB</v>
      </c>
      <c r="G551" s="121">
        <f>IFERROR(__xludf.DUMMYFUNCTION("""COMPUTED_VALUE"""),1.0)</f>
        <v>1</v>
      </c>
      <c r="H551" s="121">
        <f>IFERROR(__xludf.DUMMYFUNCTION("""COMPUTED_VALUE"""),0.0)</f>
        <v>0</v>
      </c>
      <c r="I551" s="121">
        <f>IFERROR(__xludf.DUMMYFUNCTION("""COMPUTED_VALUE"""),2.0)</f>
        <v>2</v>
      </c>
      <c r="J551" s="121">
        <f>IFERROR(__xludf.DUMMYFUNCTION("""COMPUTED_VALUE"""),2.0)</f>
        <v>2</v>
      </c>
      <c r="K551" s="132" t="str">
        <f>IFERROR(__xludf.DUMMYFUNCTION("""COMPUTED_VALUE"""),"HU11139")</f>
        <v>HU11139</v>
      </c>
      <c r="L551" s="121" t="str">
        <f>IFERROR(__xludf.DUMMYFUNCTION("""COMPUTED_VALUE"""),"Dr.ASLIN JERUSHA D")</f>
        <v>Dr.ASLIN JERUSHA D</v>
      </c>
      <c r="M551" s="121" t="str">
        <f>IFERROR(__xludf.DUMMYFUNCTION("""COMPUTED_VALUE"""),"aslinjerusha@bitsathy.ac.in")</f>
        <v>aslinjerusha@bitsathy.ac.in</v>
      </c>
    </row>
    <row r="552" ht="49.5" customHeight="1">
      <c r="A552" s="121" t="str">
        <f>IFERROR(__xludf.DUMMYFUNCTION("""COMPUTED_VALUE"""),"ECE")</f>
        <v>ECE</v>
      </c>
      <c r="B552" s="121" t="str">
        <f>IFERROR(__xludf.DUMMYFUNCTION("""COMPUTED_VALUE"""),"S2")</f>
        <v>S2</v>
      </c>
      <c r="C552" s="121" t="str">
        <f>IFERROR(__xludf.DUMMYFUNCTION("""COMPUTED_VALUE"""),"LANGUAGE ELECTIVE")</f>
        <v>LANGUAGE ELECTIVE</v>
      </c>
      <c r="D552" s="121" t="str">
        <f>IFERROR(__xludf.DUMMYFUNCTION("""COMPUTED_VALUE"""),"22HSH01")</f>
        <v>22HSH01</v>
      </c>
      <c r="E552" s="131" t="str">
        <f>IFERROR(__xludf.DUMMYFUNCTION("""COMPUTED_VALUE"""),"HINDI")</f>
        <v>HINDI</v>
      </c>
      <c r="F552" s="121" t="str">
        <f>IFERROR(__xludf.DUMMYFUNCTION("""COMPUTED_VALUE"""),"LAB")</f>
        <v>LAB</v>
      </c>
      <c r="G552" s="121">
        <f>IFERROR(__xludf.DUMMYFUNCTION("""COMPUTED_VALUE"""),1.0)</f>
        <v>1</v>
      </c>
      <c r="H552" s="121">
        <f>IFERROR(__xludf.DUMMYFUNCTION("""COMPUTED_VALUE"""),0.0)</f>
        <v>0</v>
      </c>
      <c r="I552" s="121">
        <f>IFERROR(__xludf.DUMMYFUNCTION("""COMPUTED_VALUE"""),2.0)</f>
        <v>2</v>
      </c>
      <c r="J552" s="121">
        <f>IFERROR(__xludf.DUMMYFUNCTION("""COMPUTED_VALUE"""),2.0)</f>
        <v>2</v>
      </c>
      <c r="K552" s="132"/>
      <c r="L552" s="121"/>
      <c r="M552" s="121"/>
    </row>
    <row r="553" ht="49.5" customHeight="1">
      <c r="A553" s="121" t="str">
        <f>IFERROR(__xludf.DUMMYFUNCTION("""COMPUTED_VALUE"""),"ECE")</f>
        <v>ECE</v>
      </c>
      <c r="B553" s="121" t="str">
        <f>IFERROR(__xludf.DUMMYFUNCTION("""COMPUTED_VALUE"""),"S2")</f>
        <v>S2</v>
      </c>
      <c r="C553" s="121" t="str">
        <f>IFERROR(__xludf.DUMMYFUNCTION("""COMPUTED_VALUE"""),"LANGUAGE ELECTIVE")</f>
        <v>LANGUAGE ELECTIVE</v>
      </c>
      <c r="D553" s="121" t="str">
        <f>IFERROR(__xludf.DUMMYFUNCTION("""COMPUTED_VALUE"""),"22HSG01")</f>
        <v>22HSG01</v>
      </c>
      <c r="E553" s="131" t="str">
        <f>IFERROR(__xludf.DUMMYFUNCTION("""COMPUTED_VALUE"""),"GERMAN")</f>
        <v>GERMAN</v>
      </c>
      <c r="F553" s="121" t="str">
        <f>IFERROR(__xludf.DUMMYFUNCTION("""COMPUTED_VALUE"""),"LAB")</f>
        <v>LAB</v>
      </c>
      <c r="G553" s="121">
        <f>IFERROR(__xludf.DUMMYFUNCTION("""COMPUTED_VALUE"""),1.0)</f>
        <v>1</v>
      </c>
      <c r="H553" s="121">
        <f>IFERROR(__xludf.DUMMYFUNCTION("""COMPUTED_VALUE"""),0.0)</f>
        <v>0</v>
      </c>
      <c r="I553" s="121">
        <f>IFERROR(__xludf.DUMMYFUNCTION("""COMPUTED_VALUE"""),2.0)</f>
        <v>2</v>
      </c>
      <c r="J553" s="121">
        <f>IFERROR(__xludf.DUMMYFUNCTION("""COMPUTED_VALUE"""),2.0)</f>
        <v>2</v>
      </c>
      <c r="K553" s="132"/>
      <c r="L553" s="121"/>
      <c r="M553" s="121"/>
    </row>
    <row r="554" ht="49.5" customHeight="1">
      <c r="A554" s="121" t="str">
        <f>IFERROR(__xludf.DUMMYFUNCTION("""COMPUTED_VALUE"""),"ECE")</f>
        <v>ECE</v>
      </c>
      <c r="B554" s="121" t="str">
        <f>IFERROR(__xludf.DUMMYFUNCTION("""COMPUTED_VALUE"""),"S4")</f>
        <v>S4</v>
      </c>
      <c r="C554" s="121" t="str">
        <f>IFERROR(__xludf.DUMMYFUNCTION("""COMPUTED_VALUE"""),"CORE")</f>
        <v>CORE</v>
      </c>
      <c r="D554" s="121" t="str">
        <f>IFERROR(__xludf.DUMMYFUNCTION("""COMPUTED_VALUE"""),"22EC401")</f>
        <v>22EC401</v>
      </c>
      <c r="E554" s="131" t="str">
        <f>IFERROR(__xludf.DUMMYFUNCTION("""COMPUTED_VALUE"""),"SIGNALS AND SYSTEMS")</f>
        <v>SIGNALS AND SYSTEMS</v>
      </c>
      <c r="F554" s="121" t="str">
        <f>IFERROR(__xludf.DUMMYFUNCTION("""COMPUTED_VALUE"""),"THEORY")</f>
        <v>THEORY</v>
      </c>
      <c r="G554" s="121">
        <f>IFERROR(__xludf.DUMMYFUNCTION("""COMPUTED_VALUE"""),3.0)</f>
        <v>3</v>
      </c>
      <c r="H554" s="121">
        <f>IFERROR(__xludf.DUMMYFUNCTION("""COMPUTED_VALUE"""),1.0)</f>
        <v>1</v>
      </c>
      <c r="I554" s="121">
        <f>IFERROR(__xludf.DUMMYFUNCTION("""COMPUTED_VALUE"""),0.0)</f>
        <v>0</v>
      </c>
      <c r="J554" s="121">
        <f>IFERROR(__xludf.DUMMYFUNCTION("""COMPUTED_VALUE"""),4.0)</f>
        <v>4</v>
      </c>
      <c r="K554" s="132" t="str">
        <f>IFERROR(__xludf.DUMMYFUNCTION("""COMPUTED_VALUE"""),"BM1429")</f>
        <v>BM1429</v>
      </c>
      <c r="L554" s="121" t="str">
        <f>IFERROR(__xludf.DUMMYFUNCTION("""COMPUTED_VALUE"""),"Dr.DEEPA D")</f>
        <v>Dr.DEEPA D</v>
      </c>
      <c r="M554" s="121" t="str">
        <f>IFERROR(__xludf.DUMMYFUNCTION("""COMPUTED_VALUE"""),"ddeepa@bitsathy.ac.in")</f>
        <v>ddeepa@bitsathy.ac.in</v>
      </c>
    </row>
    <row r="555" ht="49.5" customHeight="1">
      <c r="A555" s="121" t="str">
        <f>IFERROR(__xludf.DUMMYFUNCTION("""COMPUTED_VALUE"""),"ECE")</f>
        <v>ECE</v>
      </c>
      <c r="B555" s="121" t="str">
        <f>IFERROR(__xludf.DUMMYFUNCTION("""COMPUTED_VALUE"""),"S4")</f>
        <v>S4</v>
      </c>
      <c r="C555" s="121" t="str">
        <f>IFERROR(__xludf.DUMMYFUNCTION("""COMPUTED_VALUE"""),"CORE")</f>
        <v>CORE</v>
      </c>
      <c r="D555" s="121" t="str">
        <f>IFERROR(__xludf.DUMMYFUNCTION("""COMPUTED_VALUE"""),"22EC401")</f>
        <v>22EC401</v>
      </c>
      <c r="E555" s="131" t="str">
        <f>IFERROR(__xludf.DUMMYFUNCTION("""COMPUTED_VALUE"""),"SIGNALS AND SYSTEMS")</f>
        <v>SIGNALS AND SYSTEMS</v>
      </c>
      <c r="F555" s="121" t="str">
        <f>IFERROR(__xludf.DUMMYFUNCTION("""COMPUTED_VALUE"""),"THEORY")</f>
        <v>THEORY</v>
      </c>
      <c r="G555" s="121">
        <f>IFERROR(__xludf.DUMMYFUNCTION("""COMPUTED_VALUE"""),3.0)</f>
        <v>3</v>
      </c>
      <c r="H555" s="121">
        <f>IFERROR(__xludf.DUMMYFUNCTION("""COMPUTED_VALUE"""),1.0)</f>
        <v>1</v>
      </c>
      <c r="I555" s="121">
        <f>IFERROR(__xludf.DUMMYFUNCTION("""COMPUTED_VALUE"""),0.0)</f>
        <v>0</v>
      </c>
      <c r="J555" s="121">
        <f>IFERROR(__xludf.DUMMYFUNCTION("""COMPUTED_VALUE"""),4.0)</f>
        <v>4</v>
      </c>
      <c r="K555" s="132" t="str">
        <f>IFERROR(__xludf.DUMMYFUNCTION("""COMPUTED_VALUE"""),"EC10005")</f>
        <v>EC10005</v>
      </c>
      <c r="L555" s="121" t="str">
        <f>IFERROR(__xludf.DUMMYFUNCTION("""COMPUTED_VALUE"""),"Dr.SANNASI CHAKRAVARTHY S R")</f>
        <v>Dr.SANNASI CHAKRAVARTHY S R</v>
      </c>
      <c r="M555" s="121" t="str">
        <f>IFERROR(__xludf.DUMMYFUNCTION("""COMPUTED_VALUE"""),"sannasi@bitsathy.ac.in")</f>
        <v>sannasi@bitsathy.ac.in</v>
      </c>
    </row>
    <row r="556" ht="49.5" customHeight="1">
      <c r="A556" s="121" t="str">
        <f>IFERROR(__xludf.DUMMYFUNCTION("""COMPUTED_VALUE"""),"ECE")</f>
        <v>ECE</v>
      </c>
      <c r="B556" s="121" t="str">
        <f>IFERROR(__xludf.DUMMYFUNCTION("""COMPUTED_VALUE"""),"S4")</f>
        <v>S4</v>
      </c>
      <c r="C556" s="121" t="str">
        <f>IFERROR(__xludf.DUMMYFUNCTION("""COMPUTED_VALUE"""),"CORE")</f>
        <v>CORE</v>
      </c>
      <c r="D556" s="121" t="str">
        <f>IFERROR(__xludf.DUMMYFUNCTION("""COMPUTED_VALUE"""),"22EC401")</f>
        <v>22EC401</v>
      </c>
      <c r="E556" s="131" t="str">
        <f>IFERROR(__xludf.DUMMYFUNCTION("""COMPUTED_VALUE"""),"SIGNALS AND SYSTEMS")</f>
        <v>SIGNALS AND SYSTEMS</v>
      </c>
      <c r="F556" s="121" t="str">
        <f>IFERROR(__xludf.DUMMYFUNCTION("""COMPUTED_VALUE"""),"THEORY")</f>
        <v>THEORY</v>
      </c>
      <c r="G556" s="121">
        <f>IFERROR(__xludf.DUMMYFUNCTION("""COMPUTED_VALUE"""),3.0)</f>
        <v>3</v>
      </c>
      <c r="H556" s="121">
        <f>IFERROR(__xludf.DUMMYFUNCTION("""COMPUTED_VALUE"""),1.0)</f>
        <v>1</v>
      </c>
      <c r="I556" s="121">
        <f>IFERROR(__xludf.DUMMYFUNCTION("""COMPUTED_VALUE"""),0.0)</f>
        <v>0</v>
      </c>
      <c r="J556" s="121">
        <f>IFERROR(__xludf.DUMMYFUNCTION("""COMPUTED_VALUE"""),4.0)</f>
        <v>4</v>
      </c>
      <c r="K556" s="132" t="str">
        <f>IFERROR(__xludf.DUMMYFUNCTION("""COMPUTED_VALUE"""),"EC1417")</f>
        <v>EC1417</v>
      </c>
      <c r="L556" s="121" t="str">
        <f>IFERROR(__xludf.DUMMYFUNCTION("""COMPUTED_VALUE"""),"Dr.HARIKUMAR R")</f>
        <v>Dr.HARIKUMAR R</v>
      </c>
      <c r="M556" s="121" t="str">
        <f>IFERROR(__xludf.DUMMYFUNCTION("""COMPUTED_VALUE"""),"harikumarr@bitsathy.ac.in")</f>
        <v>harikumarr@bitsathy.ac.in</v>
      </c>
    </row>
    <row r="557" ht="49.5" customHeight="1">
      <c r="A557" s="121" t="str">
        <f>IFERROR(__xludf.DUMMYFUNCTION("""COMPUTED_VALUE"""),"ECE")</f>
        <v>ECE</v>
      </c>
      <c r="B557" s="121" t="str">
        <f>IFERROR(__xludf.DUMMYFUNCTION("""COMPUTED_VALUE"""),"S4")</f>
        <v>S4</v>
      </c>
      <c r="C557" s="121" t="str">
        <f>IFERROR(__xludf.DUMMYFUNCTION("""COMPUTED_VALUE"""),"CORE")</f>
        <v>CORE</v>
      </c>
      <c r="D557" s="121" t="str">
        <f>IFERROR(__xludf.DUMMYFUNCTION("""COMPUTED_VALUE"""),"22EC401")</f>
        <v>22EC401</v>
      </c>
      <c r="E557" s="131" t="str">
        <f>IFERROR(__xludf.DUMMYFUNCTION("""COMPUTED_VALUE"""),"SIGNALS AND SYSTEMS")</f>
        <v>SIGNALS AND SYSTEMS</v>
      </c>
      <c r="F557" s="121" t="str">
        <f>IFERROR(__xludf.DUMMYFUNCTION("""COMPUTED_VALUE"""),"THEORY")</f>
        <v>THEORY</v>
      </c>
      <c r="G557" s="121">
        <f>IFERROR(__xludf.DUMMYFUNCTION("""COMPUTED_VALUE"""),3.0)</f>
        <v>3</v>
      </c>
      <c r="H557" s="121">
        <f>IFERROR(__xludf.DUMMYFUNCTION("""COMPUTED_VALUE"""),1.0)</f>
        <v>1</v>
      </c>
      <c r="I557" s="121">
        <f>IFERROR(__xludf.DUMMYFUNCTION("""COMPUTED_VALUE"""),0.0)</f>
        <v>0</v>
      </c>
      <c r="J557" s="121">
        <f>IFERROR(__xludf.DUMMYFUNCTION("""COMPUTED_VALUE"""),4.0)</f>
        <v>4</v>
      </c>
      <c r="K557" s="132" t="str">
        <f>IFERROR(__xludf.DUMMYFUNCTION("""COMPUTED_VALUE"""),"EC11131")</f>
        <v>EC11131</v>
      </c>
      <c r="L557" s="121" t="str">
        <f>IFERROR(__xludf.DUMMYFUNCTION("""COMPUTED_VALUE"""),"Dr.SANKARANANTH S")</f>
        <v>Dr.SANKARANANTH S</v>
      </c>
      <c r="M557" s="121" t="str">
        <f>IFERROR(__xludf.DUMMYFUNCTION("""COMPUTED_VALUE"""),"sankarananth@bitsathy.ac.in")</f>
        <v>sankarananth@bitsathy.ac.in</v>
      </c>
    </row>
    <row r="558" ht="49.5" customHeight="1">
      <c r="A558" s="121" t="str">
        <f>IFERROR(__xludf.DUMMYFUNCTION("""COMPUTED_VALUE"""),"ECE")</f>
        <v>ECE</v>
      </c>
      <c r="B558" s="121" t="str">
        <f>IFERROR(__xludf.DUMMYFUNCTION("""COMPUTED_VALUE"""),"S4")</f>
        <v>S4</v>
      </c>
      <c r="C558" s="121" t="str">
        <f>IFERROR(__xludf.DUMMYFUNCTION("""COMPUTED_VALUE"""),"CORE")</f>
        <v>CORE</v>
      </c>
      <c r="D558" s="121" t="str">
        <f>IFERROR(__xludf.DUMMYFUNCTION("""COMPUTED_VALUE"""),"22EC402")</f>
        <v>22EC402</v>
      </c>
      <c r="E558" s="131" t="str">
        <f>IFERROR(__xludf.DUMMYFUNCTION("""COMPUTED_VALUE"""),"ANALOG COMMUNICATION")</f>
        <v>ANALOG COMMUNICATION</v>
      </c>
      <c r="F558" s="121" t="str">
        <f>IFERROR(__xludf.DUMMYFUNCTION("""COMPUTED_VALUE"""),"THEORY")</f>
        <v>THEORY</v>
      </c>
      <c r="G558" s="121">
        <f>IFERROR(__xludf.DUMMYFUNCTION("""COMPUTED_VALUE"""),3.0)</f>
        <v>3</v>
      </c>
      <c r="H558" s="121">
        <f>IFERROR(__xludf.DUMMYFUNCTION("""COMPUTED_VALUE"""),0.0)</f>
        <v>0</v>
      </c>
      <c r="I558" s="121">
        <f>IFERROR(__xludf.DUMMYFUNCTION("""COMPUTED_VALUE"""),2.0)</f>
        <v>2</v>
      </c>
      <c r="J558" s="121">
        <f>IFERROR(__xludf.DUMMYFUNCTION("""COMPUTED_VALUE"""),4.0)</f>
        <v>4</v>
      </c>
      <c r="K558" s="132" t="str">
        <f>IFERROR(__xludf.DUMMYFUNCTION("""COMPUTED_VALUE"""),"EC1417")</f>
        <v>EC1417</v>
      </c>
      <c r="L558" s="121" t="str">
        <f>IFERROR(__xludf.DUMMYFUNCTION("""COMPUTED_VALUE"""),"Dr.HARIKUMAR R")</f>
        <v>Dr.HARIKUMAR R</v>
      </c>
      <c r="M558" s="121" t="str">
        <f>IFERROR(__xludf.DUMMYFUNCTION("""COMPUTED_VALUE"""),"harikumarr@bitsathy.ac.in")</f>
        <v>harikumarr@bitsathy.ac.in</v>
      </c>
    </row>
    <row r="559" ht="49.5" customHeight="1">
      <c r="A559" s="121" t="str">
        <f>IFERROR(__xludf.DUMMYFUNCTION("""COMPUTED_VALUE"""),"ECE")</f>
        <v>ECE</v>
      </c>
      <c r="B559" s="121" t="str">
        <f>IFERROR(__xludf.DUMMYFUNCTION("""COMPUTED_VALUE"""),"S4")</f>
        <v>S4</v>
      </c>
      <c r="C559" s="121" t="str">
        <f>IFERROR(__xludf.DUMMYFUNCTION("""COMPUTED_VALUE"""),"CORE")</f>
        <v>CORE</v>
      </c>
      <c r="D559" s="121" t="str">
        <f>IFERROR(__xludf.DUMMYFUNCTION("""COMPUTED_VALUE"""),"22EC402")</f>
        <v>22EC402</v>
      </c>
      <c r="E559" s="131" t="str">
        <f>IFERROR(__xludf.DUMMYFUNCTION("""COMPUTED_VALUE"""),"ANALOG COMMUNICATION")</f>
        <v>ANALOG COMMUNICATION</v>
      </c>
      <c r="F559" s="121" t="str">
        <f>IFERROR(__xludf.DUMMYFUNCTION("""COMPUTED_VALUE"""),"LAB")</f>
        <v>LAB</v>
      </c>
      <c r="G559" s="121">
        <f>IFERROR(__xludf.DUMMYFUNCTION("""COMPUTED_VALUE"""),3.0)</f>
        <v>3</v>
      </c>
      <c r="H559" s="121">
        <f>IFERROR(__xludf.DUMMYFUNCTION("""COMPUTED_VALUE"""),0.0)</f>
        <v>0</v>
      </c>
      <c r="I559" s="121">
        <f>IFERROR(__xludf.DUMMYFUNCTION("""COMPUTED_VALUE"""),2.0)</f>
        <v>2</v>
      </c>
      <c r="J559" s="121">
        <f>IFERROR(__xludf.DUMMYFUNCTION("""COMPUTED_VALUE"""),4.0)</f>
        <v>4</v>
      </c>
      <c r="K559" s="132" t="str">
        <f>IFERROR(__xludf.DUMMYFUNCTION("""COMPUTED_VALUE"""),"EC11044")</f>
        <v>EC11044</v>
      </c>
      <c r="L559" s="121" t="str">
        <f>IFERROR(__xludf.DUMMYFUNCTION("""COMPUTED_VALUE"""),"Mr.HARISH KUMAAR P")</f>
        <v>Mr.HARISH KUMAAR P</v>
      </c>
      <c r="M559" s="121" t="str">
        <f>IFERROR(__xludf.DUMMYFUNCTION("""COMPUTED_VALUE"""),"harishkumaarp@bitsathy.ac.in")</f>
        <v>harishkumaarp@bitsathy.ac.in</v>
      </c>
    </row>
    <row r="560" ht="49.5" customHeight="1">
      <c r="A560" s="121" t="str">
        <f>IFERROR(__xludf.DUMMYFUNCTION("""COMPUTED_VALUE"""),"ECE")</f>
        <v>ECE</v>
      </c>
      <c r="B560" s="121" t="str">
        <f>IFERROR(__xludf.DUMMYFUNCTION("""COMPUTED_VALUE"""),"S4")</f>
        <v>S4</v>
      </c>
      <c r="C560" s="121" t="str">
        <f>IFERROR(__xludf.DUMMYFUNCTION("""COMPUTED_VALUE"""),"CORE")</f>
        <v>CORE</v>
      </c>
      <c r="D560" s="121" t="str">
        <f>IFERROR(__xludf.DUMMYFUNCTION("""COMPUTED_VALUE"""),"22EC402")</f>
        <v>22EC402</v>
      </c>
      <c r="E560" s="131" t="str">
        <f>IFERROR(__xludf.DUMMYFUNCTION("""COMPUTED_VALUE"""),"ANALOG COMMUNICATION")</f>
        <v>ANALOG COMMUNICATION</v>
      </c>
      <c r="F560" s="121" t="str">
        <f>IFERROR(__xludf.DUMMYFUNCTION("""COMPUTED_VALUE"""),"THEORY WITH LAB")</f>
        <v>THEORY WITH LAB</v>
      </c>
      <c r="G560" s="121">
        <f>IFERROR(__xludf.DUMMYFUNCTION("""COMPUTED_VALUE"""),3.0)</f>
        <v>3</v>
      </c>
      <c r="H560" s="121">
        <f>IFERROR(__xludf.DUMMYFUNCTION("""COMPUTED_VALUE"""),0.0)</f>
        <v>0</v>
      </c>
      <c r="I560" s="121">
        <f>IFERROR(__xludf.DUMMYFUNCTION("""COMPUTED_VALUE"""),2.0)</f>
        <v>2</v>
      </c>
      <c r="J560" s="121">
        <f>IFERROR(__xludf.DUMMYFUNCTION("""COMPUTED_VALUE"""),4.0)</f>
        <v>4</v>
      </c>
      <c r="K560" s="132" t="str">
        <f>IFERROR(__xludf.DUMMYFUNCTION("""COMPUTED_VALUE"""),"EC10680")</f>
        <v>EC10680</v>
      </c>
      <c r="L560" s="121" t="str">
        <f>IFERROR(__xludf.DUMMYFUNCTION("""COMPUTED_VALUE"""),"Dr.PERARASI T")</f>
        <v>Dr.PERARASI T</v>
      </c>
      <c r="M560" s="121" t="str">
        <f>IFERROR(__xludf.DUMMYFUNCTION("""COMPUTED_VALUE"""),"perarasi@bitsathy.ac.in")</f>
        <v>perarasi@bitsathy.ac.in</v>
      </c>
    </row>
    <row r="561" ht="49.5" customHeight="1">
      <c r="A561" s="121" t="str">
        <f>IFERROR(__xludf.DUMMYFUNCTION("""COMPUTED_VALUE"""),"ECE")</f>
        <v>ECE</v>
      </c>
      <c r="B561" s="121" t="str">
        <f>IFERROR(__xludf.DUMMYFUNCTION("""COMPUTED_VALUE"""),"S4")</f>
        <v>S4</v>
      </c>
      <c r="C561" s="121" t="str">
        <f>IFERROR(__xludf.DUMMYFUNCTION("""COMPUTED_VALUE"""),"CORE")</f>
        <v>CORE</v>
      </c>
      <c r="D561" s="121" t="str">
        <f>IFERROR(__xludf.DUMMYFUNCTION("""COMPUTED_VALUE"""),"22EC402")</f>
        <v>22EC402</v>
      </c>
      <c r="E561" s="131" t="str">
        <f>IFERROR(__xludf.DUMMYFUNCTION("""COMPUTED_VALUE"""),"ANALOG COMMUNICATION")</f>
        <v>ANALOG COMMUNICATION</v>
      </c>
      <c r="F561" s="121" t="str">
        <f>IFERROR(__xludf.DUMMYFUNCTION("""COMPUTED_VALUE"""),"THEORY WITH LAB")</f>
        <v>THEORY WITH LAB</v>
      </c>
      <c r="G561" s="121">
        <f>IFERROR(__xludf.DUMMYFUNCTION("""COMPUTED_VALUE"""),3.0)</f>
        <v>3</v>
      </c>
      <c r="H561" s="121">
        <f>IFERROR(__xludf.DUMMYFUNCTION("""COMPUTED_VALUE"""),0.0)</f>
        <v>0</v>
      </c>
      <c r="I561" s="121">
        <f>IFERROR(__xludf.DUMMYFUNCTION("""COMPUTED_VALUE"""),2.0)</f>
        <v>2</v>
      </c>
      <c r="J561" s="121">
        <f>IFERROR(__xludf.DUMMYFUNCTION("""COMPUTED_VALUE"""),4.0)</f>
        <v>4</v>
      </c>
      <c r="K561" s="132" t="str">
        <f>IFERROR(__xludf.DUMMYFUNCTION("""COMPUTED_VALUE"""),"EC10678")</f>
        <v>EC10678</v>
      </c>
      <c r="L561" s="121" t="str">
        <f>IFERROR(__xludf.DUMMYFUNCTION("""COMPUTED_VALUE"""),"Dr.LEEBAN MOSES M")</f>
        <v>Dr.LEEBAN MOSES M</v>
      </c>
      <c r="M561" s="121" t="str">
        <f>IFERROR(__xludf.DUMMYFUNCTION("""COMPUTED_VALUE"""),"leebanmoses@bitsathy.ac.in")</f>
        <v>leebanmoses@bitsathy.ac.in</v>
      </c>
    </row>
    <row r="562" ht="49.5" customHeight="1">
      <c r="A562" s="121" t="str">
        <f>IFERROR(__xludf.DUMMYFUNCTION("""COMPUTED_VALUE"""),"ECE")</f>
        <v>ECE</v>
      </c>
      <c r="B562" s="121" t="str">
        <f>IFERROR(__xludf.DUMMYFUNCTION("""COMPUTED_VALUE"""),"S4")</f>
        <v>S4</v>
      </c>
      <c r="C562" s="121" t="str">
        <f>IFERROR(__xludf.DUMMYFUNCTION("""COMPUTED_VALUE"""),"CORE")</f>
        <v>CORE</v>
      </c>
      <c r="D562" s="121" t="str">
        <f>IFERROR(__xludf.DUMMYFUNCTION("""COMPUTED_VALUE"""),"22EC402")</f>
        <v>22EC402</v>
      </c>
      <c r="E562" s="131" t="str">
        <f>IFERROR(__xludf.DUMMYFUNCTION("""COMPUTED_VALUE"""),"ANALOG COMMUNICATION")</f>
        <v>ANALOG COMMUNICATION</v>
      </c>
      <c r="F562" s="121" t="str">
        <f>IFERROR(__xludf.DUMMYFUNCTION("""COMPUTED_VALUE"""),"THEORY WITH LAB")</f>
        <v>THEORY WITH LAB</v>
      </c>
      <c r="G562" s="121">
        <f>IFERROR(__xludf.DUMMYFUNCTION("""COMPUTED_VALUE"""),3.0)</f>
        <v>3</v>
      </c>
      <c r="H562" s="121">
        <f>IFERROR(__xludf.DUMMYFUNCTION("""COMPUTED_VALUE"""),0.0)</f>
        <v>0</v>
      </c>
      <c r="I562" s="121">
        <f>IFERROR(__xludf.DUMMYFUNCTION("""COMPUTED_VALUE"""),2.0)</f>
        <v>2</v>
      </c>
      <c r="J562" s="121">
        <f>IFERROR(__xludf.DUMMYFUNCTION("""COMPUTED_VALUE"""),4.0)</f>
        <v>4</v>
      </c>
      <c r="K562" s="132" t="str">
        <f>IFERROR(__xludf.DUMMYFUNCTION("""COMPUTED_VALUE"""),"EC10194")</f>
        <v>EC10194</v>
      </c>
      <c r="L562" s="121" t="str">
        <f>IFERROR(__xludf.DUMMYFUNCTION("""COMPUTED_VALUE"""),"Mr.KARTHIKEYAN S")</f>
        <v>Mr.KARTHIKEYAN S</v>
      </c>
      <c r="M562" s="121" t="str">
        <f>IFERROR(__xludf.DUMMYFUNCTION("""COMPUTED_VALUE"""),"karthikeyan@bitsathy.ac.in")</f>
        <v>karthikeyan@bitsathy.ac.in</v>
      </c>
    </row>
    <row r="563" ht="49.5" customHeight="1">
      <c r="A563" s="121" t="str">
        <f>IFERROR(__xludf.DUMMYFUNCTION("""COMPUTED_VALUE"""),"ECE")</f>
        <v>ECE</v>
      </c>
      <c r="B563" s="121" t="str">
        <f>IFERROR(__xludf.DUMMYFUNCTION("""COMPUTED_VALUE"""),"S4")</f>
        <v>S4</v>
      </c>
      <c r="C563" s="121" t="str">
        <f>IFERROR(__xludf.DUMMYFUNCTION("""COMPUTED_VALUE"""),"CORE")</f>
        <v>CORE</v>
      </c>
      <c r="D563" s="121" t="str">
        <f>IFERROR(__xludf.DUMMYFUNCTION("""COMPUTED_VALUE"""),"22EC403")</f>
        <v>22EC403</v>
      </c>
      <c r="E563" s="131" t="str">
        <f>IFERROR(__xludf.DUMMYFUNCTION("""COMPUTED_VALUE"""),"ELECTROMAGNETIC FIELDS AND WAVEGUIDES")</f>
        <v>ELECTROMAGNETIC FIELDS AND WAVEGUIDES</v>
      </c>
      <c r="F563" s="121" t="str">
        <f>IFERROR(__xludf.DUMMYFUNCTION("""COMPUTED_VALUE"""),"THEORY")</f>
        <v>THEORY</v>
      </c>
      <c r="G563" s="121">
        <f>IFERROR(__xludf.DUMMYFUNCTION("""COMPUTED_VALUE"""),3.0)</f>
        <v>3</v>
      </c>
      <c r="H563" s="121">
        <f>IFERROR(__xludf.DUMMYFUNCTION("""COMPUTED_VALUE"""),1.0)</f>
        <v>1</v>
      </c>
      <c r="I563" s="121">
        <f>IFERROR(__xludf.DUMMYFUNCTION("""COMPUTED_VALUE"""),0.0)</f>
        <v>0</v>
      </c>
      <c r="J563" s="121">
        <f>IFERROR(__xludf.DUMMYFUNCTION("""COMPUTED_VALUE"""),4.0)</f>
        <v>4</v>
      </c>
      <c r="K563" s="132" t="str">
        <f>IFERROR(__xludf.DUMMYFUNCTION("""COMPUTED_VALUE"""),"EC1072")</f>
        <v>EC1072</v>
      </c>
      <c r="L563" s="121" t="str">
        <f>IFERROR(__xludf.DUMMYFUNCTION("""COMPUTED_VALUE"""),"Dr.POONGODI C")</f>
        <v>Dr.POONGODI C</v>
      </c>
      <c r="M563" s="121" t="str">
        <f>IFERROR(__xludf.DUMMYFUNCTION("""COMPUTED_VALUE"""),"poongodic@bitsathy.ac.in")</f>
        <v>poongodic@bitsathy.ac.in</v>
      </c>
    </row>
    <row r="564" ht="49.5" customHeight="1">
      <c r="A564" s="121" t="str">
        <f>IFERROR(__xludf.DUMMYFUNCTION("""COMPUTED_VALUE"""),"ECE")</f>
        <v>ECE</v>
      </c>
      <c r="B564" s="121" t="str">
        <f>IFERROR(__xludf.DUMMYFUNCTION("""COMPUTED_VALUE"""),"S4")</f>
        <v>S4</v>
      </c>
      <c r="C564" s="121" t="str">
        <f>IFERROR(__xludf.DUMMYFUNCTION("""COMPUTED_VALUE"""),"CORE")</f>
        <v>CORE</v>
      </c>
      <c r="D564" s="121" t="str">
        <f>IFERROR(__xludf.DUMMYFUNCTION("""COMPUTED_VALUE"""),"22EC403")</f>
        <v>22EC403</v>
      </c>
      <c r="E564" s="131" t="str">
        <f>IFERROR(__xludf.DUMMYFUNCTION("""COMPUTED_VALUE"""),"ELECTROMAGNETIC FIELDS AND WAVEGUIDES")</f>
        <v>ELECTROMAGNETIC FIELDS AND WAVEGUIDES</v>
      </c>
      <c r="F564" s="121" t="str">
        <f>IFERROR(__xludf.DUMMYFUNCTION("""COMPUTED_VALUE"""),"THEORY")</f>
        <v>THEORY</v>
      </c>
      <c r="G564" s="121">
        <f>IFERROR(__xludf.DUMMYFUNCTION("""COMPUTED_VALUE"""),3.0)</f>
        <v>3</v>
      </c>
      <c r="H564" s="121">
        <f>IFERROR(__xludf.DUMMYFUNCTION("""COMPUTED_VALUE"""),1.0)</f>
        <v>1</v>
      </c>
      <c r="I564" s="121">
        <f>IFERROR(__xludf.DUMMYFUNCTION("""COMPUTED_VALUE"""),0.0)</f>
        <v>0</v>
      </c>
      <c r="J564" s="121">
        <f>IFERROR(__xludf.DUMMYFUNCTION("""COMPUTED_VALUE"""),4.0)</f>
        <v>4</v>
      </c>
      <c r="K564" s="132" t="str">
        <f>IFERROR(__xludf.DUMMYFUNCTION("""COMPUTED_VALUE"""),"EC10969")</f>
        <v>EC10969</v>
      </c>
      <c r="L564" s="121" t="str">
        <f>IFERROR(__xludf.DUMMYFUNCTION("""COMPUTED_VALUE"""),"Dr.VENKATESHKUMAR U")</f>
        <v>Dr.VENKATESHKUMAR U</v>
      </c>
      <c r="M564" s="121" t="str">
        <f>IFERROR(__xludf.DUMMYFUNCTION("""COMPUTED_VALUE"""),"venkateshkumaru@bitsathy.ac.in")</f>
        <v>venkateshkumaru@bitsathy.ac.in</v>
      </c>
    </row>
    <row r="565" ht="49.5" customHeight="1">
      <c r="A565" s="121" t="str">
        <f>IFERROR(__xludf.DUMMYFUNCTION("""COMPUTED_VALUE"""),"ECE")</f>
        <v>ECE</v>
      </c>
      <c r="B565" s="121" t="str">
        <f>IFERROR(__xludf.DUMMYFUNCTION("""COMPUTED_VALUE"""),"S4")</f>
        <v>S4</v>
      </c>
      <c r="C565" s="121" t="str">
        <f>IFERROR(__xludf.DUMMYFUNCTION("""COMPUTED_VALUE"""),"CORE")</f>
        <v>CORE</v>
      </c>
      <c r="D565" s="121" t="str">
        <f>IFERROR(__xludf.DUMMYFUNCTION("""COMPUTED_VALUE"""),"22EC403")</f>
        <v>22EC403</v>
      </c>
      <c r="E565" s="131" t="str">
        <f>IFERROR(__xludf.DUMMYFUNCTION("""COMPUTED_VALUE"""),"ELECTROMAGNETIC FIELDS AND WAVEGUIDES")</f>
        <v>ELECTROMAGNETIC FIELDS AND WAVEGUIDES</v>
      </c>
      <c r="F565" s="121" t="str">
        <f>IFERROR(__xludf.DUMMYFUNCTION("""COMPUTED_VALUE"""),"THEORY")</f>
        <v>THEORY</v>
      </c>
      <c r="G565" s="121">
        <f>IFERROR(__xludf.DUMMYFUNCTION("""COMPUTED_VALUE"""),3.0)</f>
        <v>3</v>
      </c>
      <c r="H565" s="121">
        <f>IFERROR(__xludf.DUMMYFUNCTION("""COMPUTED_VALUE"""),1.0)</f>
        <v>1</v>
      </c>
      <c r="I565" s="121">
        <f>IFERROR(__xludf.DUMMYFUNCTION("""COMPUTED_VALUE"""),0.0)</f>
        <v>0</v>
      </c>
      <c r="J565" s="121">
        <f>IFERROR(__xludf.DUMMYFUNCTION("""COMPUTED_VALUE"""),4.0)</f>
        <v>4</v>
      </c>
      <c r="K565" s="132" t="str">
        <f>IFERROR(__xludf.DUMMYFUNCTION("""COMPUTED_VALUE"""),"EC1744")</f>
        <v>EC1744</v>
      </c>
      <c r="L565" s="121" t="str">
        <f>IFERROR(__xludf.DUMMYFUNCTION("""COMPUTED_VALUE"""),"Dr.RAMYA P")</f>
        <v>Dr.RAMYA P</v>
      </c>
      <c r="M565" s="121" t="str">
        <f>IFERROR(__xludf.DUMMYFUNCTION("""COMPUTED_VALUE"""),"ramyap@bitsathy.ac.in")</f>
        <v>ramyap@bitsathy.ac.in</v>
      </c>
    </row>
    <row r="566" ht="49.5" customHeight="1">
      <c r="A566" s="121" t="str">
        <f>IFERROR(__xludf.DUMMYFUNCTION("""COMPUTED_VALUE"""),"ECE")</f>
        <v>ECE</v>
      </c>
      <c r="B566" s="121" t="str">
        <f>IFERROR(__xludf.DUMMYFUNCTION("""COMPUTED_VALUE"""),"S4")</f>
        <v>S4</v>
      </c>
      <c r="C566" s="121" t="str">
        <f>IFERROR(__xludf.DUMMYFUNCTION("""COMPUTED_VALUE"""),"CORE")</f>
        <v>CORE</v>
      </c>
      <c r="D566" s="121" t="str">
        <f>IFERROR(__xludf.DUMMYFUNCTION("""COMPUTED_VALUE"""),"22EC403")</f>
        <v>22EC403</v>
      </c>
      <c r="E566" s="131" t="str">
        <f>IFERROR(__xludf.DUMMYFUNCTION("""COMPUTED_VALUE"""),"ELECTROMAGNETIC FIELDS AND WAVEGUIDES")</f>
        <v>ELECTROMAGNETIC FIELDS AND WAVEGUIDES</v>
      </c>
      <c r="F566" s="121" t="str">
        <f>IFERROR(__xludf.DUMMYFUNCTION("""COMPUTED_VALUE"""),"THEORY")</f>
        <v>THEORY</v>
      </c>
      <c r="G566" s="121">
        <f>IFERROR(__xludf.DUMMYFUNCTION("""COMPUTED_VALUE"""),3.0)</f>
        <v>3</v>
      </c>
      <c r="H566" s="121">
        <f>IFERROR(__xludf.DUMMYFUNCTION("""COMPUTED_VALUE"""),1.0)</f>
        <v>1</v>
      </c>
      <c r="I566" s="121">
        <f>IFERROR(__xludf.DUMMYFUNCTION("""COMPUTED_VALUE"""),0.0)</f>
        <v>0</v>
      </c>
      <c r="J566" s="121">
        <f>IFERROR(__xludf.DUMMYFUNCTION("""COMPUTED_VALUE"""),4.0)</f>
        <v>4</v>
      </c>
      <c r="K566" s="132" t="str">
        <f>IFERROR(__xludf.DUMMYFUNCTION("""COMPUTED_VALUE"""),"EC11044")</f>
        <v>EC11044</v>
      </c>
      <c r="L566" s="121" t="str">
        <f>IFERROR(__xludf.DUMMYFUNCTION("""COMPUTED_VALUE"""),"Mr.HARISH KUMAAR P")</f>
        <v>Mr.HARISH KUMAAR P</v>
      </c>
      <c r="M566" s="121" t="str">
        <f>IFERROR(__xludf.DUMMYFUNCTION("""COMPUTED_VALUE"""),"harishkumaarp@bitsathy.ac.in")</f>
        <v>harishkumaarp@bitsathy.ac.in</v>
      </c>
    </row>
    <row r="567" ht="49.5" customHeight="1">
      <c r="A567" s="121" t="str">
        <f>IFERROR(__xludf.DUMMYFUNCTION("""COMPUTED_VALUE"""),"ECE")</f>
        <v>ECE</v>
      </c>
      <c r="B567" s="121" t="str">
        <f>IFERROR(__xludf.DUMMYFUNCTION("""COMPUTED_VALUE"""),"S4")</f>
        <v>S4</v>
      </c>
      <c r="C567" s="121" t="str">
        <f>IFERROR(__xludf.DUMMYFUNCTION("""COMPUTED_VALUE"""),"CORE")</f>
        <v>CORE</v>
      </c>
      <c r="D567" s="121" t="str">
        <f>IFERROR(__xludf.DUMMYFUNCTION("""COMPUTED_VALUE"""),"22EC404")</f>
        <v>22EC404</v>
      </c>
      <c r="E567" s="131" t="str">
        <f>IFERROR(__xludf.DUMMYFUNCTION("""COMPUTED_VALUE"""),"CMOS DIGITAL INTEGRATED CIRCUITS")</f>
        <v>CMOS DIGITAL INTEGRATED CIRCUITS</v>
      </c>
      <c r="F567" s="121" t="str">
        <f>IFERROR(__xludf.DUMMYFUNCTION("""COMPUTED_VALUE"""),"THEORY")</f>
        <v>THEORY</v>
      </c>
      <c r="G567" s="121">
        <f>IFERROR(__xludf.DUMMYFUNCTION("""COMPUTED_VALUE"""),3.0)</f>
        <v>3</v>
      </c>
      <c r="H567" s="121">
        <f>IFERROR(__xludf.DUMMYFUNCTION("""COMPUTED_VALUE"""),0.0)</f>
        <v>0</v>
      </c>
      <c r="I567" s="121">
        <f>IFERROR(__xludf.DUMMYFUNCTION("""COMPUTED_VALUE"""),2.0)</f>
        <v>2</v>
      </c>
      <c r="J567" s="121">
        <f>IFERROR(__xludf.DUMMYFUNCTION("""COMPUTED_VALUE"""),4.0)</f>
        <v>4</v>
      </c>
      <c r="K567" s="132" t="str">
        <f>IFERROR(__xludf.DUMMYFUNCTION("""COMPUTED_VALUE"""),"EC1453")</f>
        <v>EC1453</v>
      </c>
      <c r="L567" s="121" t="str">
        <f>IFERROR(__xludf.DUMMYFUNCTION("""COMPUTED_VALUE"""),"Dr.PRAKASH S P")</f>
        <v>Dr.PRAKASH S P</v>
      </c>
      <c r="M567" s="121" t="str">
        <f>IFERROR(__xludf.DUMMYFUNCTION("""COMPUTED_VALUE"""),"prakashsp@bitsathy.ac.in")</f>
        <v>prakashsp@bitsathy.ac.in</v>
      </c>
    </row>
    <row r="568" ht="49.5" customHeight="1">
      <c r="A568" s="121" t="str">
        <f>IFERROR(__xludf.DUMMYFUNCTION("""COMPUTED_VALUE"""),"ECE")</f>
        <v>ECE</v>
      </c>
      <c r="B568" s="121" t="str">
        <f>IFERROR(__xludf.DUMMYFUNCTION("""COMPUTED_VALUE"""),"S4")</f>
        <v>S4</v>
      </c>
      <c r="C568" s="121" t="str">
        <f>IFERROR(__xludf.DUMMYFUNCTION("""COMPUTED_VALUE"""),"CORE")</f>
        <v>CORE</v>
      </c>
      <c r="D568" s="121" t="str">
        <f>IFERROR(__xludf.DUMMYFUNCTION("""COMPUTED_VALUE"""),"22EC404")</f>
        <v>22EC404</v>
      </c>
      <c r="E568" s="131" t="str">
        <f>IFERROR(__xludf.DUMMYFUNCTION("""COMPUTED_VALUE"""),"CMOS DIGITAL INTEGRATED CIRCUITS")</f>
        <v>CMOS DIGITAL INTEGRATED CIRCUITS</v>
      </c>
      <c r="F568" s="121" t="str">
        <f>IFERROR(__xludf.DUMMYFUNCTION("""COMPUTED_VALUE"""),"LAB")</f>
        <v>LAB</v>
      </c>
      <c r="G568" s="121">
        <f>IFERROR(__xludf.DUMMYFUNCTION("""COMPUTED_VALUE"""),3.0)</f>
        <v>3</v>
      </c>
      <c r="H568" s="121">
        <f>IFERROR(__xludf.DUMMYFUNCTION("""COMPUTED_VALUE"""),0.0)</f>
        <v>0</v>
      </c>
      <c r="I568" s="121">
        <f>IFERROR(__xludf.DUMMYFUNCTION("""COMPUTED_VALUE"""),2.0)</f>
        <v>2</v>
      </c>
      <c r="J568" s="121">
        <f>IFERROR(__xludf.DUMMYFUNCTION("""COMPUTED_VALUE"""),4.0)</f>
        <v>4</v>
      </c>
      <c r="K568" s="132" t="str">
        <f>IFERROR(__xludf.DUMMYFUNCTION("""COMPUTED_VALUE"""),"EC11043")</f>
        <v>EC11043</v>
      </c>
      <c r="L568" s="121" t="str">
        <f>IFERROR(__xludf.DUMMYFUNCTION("""COMPUTED_VALUE"""),"Mrs.NIVETHA G")</f>
        <v>Mrs.NIVETHA G</v>
      </c>
      <c r="M568" s="121" t="str">
        <f>IFERROR(__xludf.DUMMYFUNCTION("""COMPUTED_VALUE"""),"nivethag@bitsathy.ac.in")</f>
        <v>nivethag@bitsathy.ac.in</v>
      </c>
    </row>
    <row r="569" ht="49.5" customHeight="1">
      <c r="A569" s="121" t="str">
        <f>IFERROR(__xludf.DUMMYFUNCTION("""COMPUTED_VALUE"""),"ECE")</f>
        <v>ECE</v>
      </c>
      <c r="B569" s="121" t="str">
        <f>IFERROR(__xludf.DUMMYFUNCTION("""COMPUTED_VALUE"""),"S4")</f>
        <v>S4</v>
      </c>
      <c r="C569" s="121" t="str">
        <f>IFERROR(__xludf.DUMMYFUNCTION("""COMPUTED_VALUE"""),"CORE")</f>
        <v>CORE</v>
      </c>
      <c r="D569" s="121" t="str">
        <f>IFERROR(__xludf.DUMMYFUNCTION("""COMPUTED_VALUE"""),"22EC404")</f>
        <v>22EC404</v>
      </c>
      <c r="E569" s="131" t="str">
        <f>IFERROR(__xludf.DUMMYFUNCTION("""COMPUTED_VALUE"""),"CMOS DIGITAL INTEGRATED CIRCUITS")</f>
        <v>CMOS DIGITAL INTEGRATED CIRCUITS</v>
      </c>
      <c r="F569" s="121" t="str">
        <f>IFERROR(__xludf.DUMMYFUNCTION("""COMPUTED_VALUE"""),"THEORY WITH LAB")</f>
        <v>THEORY WITH LAB</v>
      </c>
      <c r="G569" s="121">
        <f>IFERROR(__xludf.DUMMYFUNCTION("""COMPUTED_VALUE"""),3.0)</f>
        <v>3</v>
      </c>
      <c r="H569" s="121">
        <f>IFERROR(__xludf.DUMMYFUNCTION("""COMPUTED_VALUE"""),0.0)</f>
        <v>0</v>
      </c>
      <c r="I569" s="121">
        <f>IFERROR(__xludf.DUMMYFUNCTION("""COMPUTED_VALUE"""),2.0)</f>
        <v>2</v>
      </c>
      <c r="J569" s="121">
        <f>IFERROR(__xludf.DUMMYFUNCTION("""COMPUTED_VALUE"""),4.0)</f>
        <v>4</v>
      </c>
      <c r="K569" s="132" t="str">
        <f>IFERROR(__xludf.DUMMYFUNCTION("""COMPUTED_VALUE"""),"EC10739")</f>
        <v>EC10739</v>
      </c>
      <c r="L569" s="121" t="str">
        <f>IFERROR(__xludf.DUMMYFUNCTION("""COMPUTED_VALUE"""),"Dr.ARULMURUGAN L")</f>
        <v>Dr.ARULMURUGAN L</v>
      </c>
      <c r="M569" s="121" t="str">
        <f>IFERROR(__xludf.DUMMYFUNCTION("""COMPUTED_VALUE"""),"arulmurugan@bitsathy.ac.in")</f>
        <v>arulmurugan@bitsathy.ac.in</v>
      </c>
    </row>
    <row r="570" ht="49.5" customHeight="1">
      <c r="A570" s="121" t="str">
        <f>IFERROR(__xludf.DUMMYFUNCTION("""COMPUTED_VALUE"""),"ECE")</f>
        <v>ECE</v>
      </c>
      <c r="B570" s="121" t="str">
        <f>IFERROR(__xludf.DUMMYFUNCTION("""COMPUTED_VALUE"""),"S4")</f>
        <v>S4</v>
      </c>
      <c r="C570" s="121" t="str">
        <f>IFERROR(__xludf.DUMMYFUNCTION("""COMPUTED_VALUE"""),"CORE")</f>
        <v>CORE</v>
      </c>
      <c r="D570" s="121" t="str">
        <f>IFERROR(__xludf.DUMMYFUNCTION("""COMPUTED_VALUE"""),"22EC404")</f>
        <v>22EC404</v>
      </c>
      <c r="E570" s="131" t="str">
        <f>IFERROR(__xludf.DUMMYFUNCTION("""COMPUTED_VALUE"""),"CMOS DIGITAL INTEGRATED CIRCUITS")</f>
        <v>CMOS DIGITAL INTEGRATED CIRCUITS</v>
      </c>
      <c r="F570" s="121" t="str">
        <f>IFERROR(__xludf.DUMMYFUNCTION("""COMPUTED_VALUE"""),"THEORY WITH LAB")</f>
        <v>THEORY WITH LAB</v>
      </c>
      <c r="G570" s="121">
        <f>IFERROR(__xludf.DUMMYFUNCTION("""COMPUTED_VALUE"""),3.0)</f>
        <v>3</v>
      </c>
      <c r="H570" s="121">
        <f>IFERROR(__xludf.DUMMYFUNCTION("""COMPUTED_VALUE"""),0.0)</f>
        <v>0</v>
      </c>
      <c r="I570" s="121">
        <f>IFERROR(__xludf.DUMMYFUNCTION("""COMPUTED_VALUE"""),2.0)</f>
        <v>2</v>
      </c>
      <c r="J570" s="121">
        <f>IFERROR(__xludf.DUMMYFUNCTION("""COMPUTED_VALUE"""),4.0)</f>
        <v>4</v>
      </c>
      <c r="K570" s="132" t="str">
        <f>IFERROR(__xludf.DUMMYFUNCTION("""COMPUTED_VALUE"""),"EC10603")</f>
        <v>EC10603</v>
      </c>
      <c r="L570" s="121" t="str">
        <f>IFERROR(__xludf.DUMMYFUNCTION("""COMPUTED_VALUE"""),"Mr.RAJA SEKAR S")</f>
        <v>Mr.RAJA SEKAR S</v>
      </c>
      <c r="M570" s="121" t="str">
        <f>IFERROR(__xludf.DUMMYFUNCTION("""COMPUTED_VALUE"""),"rajasekar@bitsathy.ac.in")</f>
        <v>rajasekar@bitsathy.ac.in</v>
      </c>
    </row>
    <row r="571" ht="49.5" customHeight="1">
      <c r="A571" s="121" t="str">
        <f>IFERROR(__xludf.DUMMYFUNCTION("""COMPUTED_VALUE"""),"ECE")</f>
        <v>ECE</v>
      </c>
      <c r="B571" s="121" t="str">
        <f>IFERROR(__xludf.DUMMYFUNCTION("""COMPUTED_VALUE"""),"S4")</f>
        <v>S4</v>
      </c>
      <c r="C571" s="121" t="str">
        <f>IFERROR(__xludf.DUMMYFUNCTION("""COMPUTED_VALUE"""),"CORE")</f>
        <v>CORE</v>
      </c>
      <c r="D571" s="121" t="str">
        <f>IFERROR(__xludf.DUMMYFUNCTION("""COMPUTED_VALUE"""),"22EC404")</f>
        <v>22EC404</v>
      </c>
      <c r="E571" s="131" t="str">
        <f>IFERROR(__xludf.DUMMYFUNCTION("""COMPUTED_VALUE"""),"CMOS DIGITAL INTEGRATED CIRCUITS")</f>
        <v>CMOS DIGITAL INTEGRATED CIRCUITS</v>
      </c>
      <c r="F571" s="121" t="str">
        <f>IFERROR(__xludf.DUMMYFUNCTION("""COMPUTED_VALUE"""),"THEORY WITH LAB")</f>
        <v>THEORY WITH LAB</v>
      </c>
      <c r="G571" s="121">
        <f>IFERROR(__xludf.DUMMYFUNCTION("""COMPUTED_VALUE"""),3.0)</f>
        <v>3</v>
      </c>
      <c r="H571" s="121">
        <f>IFERROR(__xludf.DUMMYFUNCTION("""COMPUTED_VALUE"""),0.0)</f>
        <v>0</v>
      </c>
      <c r="I571" s="121">
        <f>IFERROR(__xludf.DUMMYFUNCTION("""COMPUTED_VALUE"""),2.0)</f>
        <v>2</v>
      </c>
      <c r="J571" s="121">
        <f>IFERROR(__xludf.DUMMYFUNCTION("""COMPUTED_VALUE"""),4.0)</f>
        <v>4</v>
      </c>
      <c r="K571" s="132" t="str">
        <f>IFERROR(__xludf.DUMMYFUNCTION("""COMPUTED_VALUE"""),"EC10774")</f>
        <v>EC10774</v>
      </c>
      <c r="L571" s="121" t="str">
        <f>IFERROR(__xludf.DUMMYFUNCTION("""COMPUTED_VALUE"""),"Mr.KRISHNARAJ R")</f>
        <v>Mr.KRISHNARAJ R</v>
      </c>
      <c r="M571" s="121" t="str">
        <f>IFERROR(__xludf.DUMMYFUNCTION("""COMPUTED_VALUE"""),"krishnarajr@bitsathy.ac.in")</f>
        <v>krishnarajr@bitsathy.ac.in</v>
      </c>
    </row>
    <row r="572" ht="49.5" customHeight="1">
      <c r="A572" s="121" t="str">
        <f>IFERROR(__xludf.DUMMYFUNCTION("""COMPUTED_VALUE"""),"ECE")</f>
        <v>ECE</v>
      </c>
      <c r="B572" s="121" t="str">
        <f>IFERROR(__xludf.DUMMYFUNCTION("""COMPUTED_VALUE"""),"S4")</f>
        <v>S4</v>
      </c>
      <c r="C572" s="121" t="str">
        <f>IFERROR(__xludf.DUMMYFUNCTION("""COMPUTED_VALUE"""),"CORE")</f>
        <v>CORE</v>
      </c>
      <c r="D572" s="121" t="str">
        <f>IFERROR(__xludf.DUMMYFUNCTION("""COMPUTED_VALUE"""),"22EC405")</f>
        <v>22EC405</v>
      </c>
      <c r="E572" s="131" t="str">
        <f>IFERROR(__xludf.DUMMYFUNCTION("""COMPUTED_VALUE"""),"EMBEDDED SYSTEMS")</f>
        <v>EMBEDDED SYSTEMS</v>
      </c>
      <c r="F572" s="121" t="str">
        <f>IFERROR(__xludf.DUMMYFUNCTION("""COMPUTED_VALUE"""),"THEORY")</f>
        <v>THEORY</v>
      </c>
      <c r="G572" s="121">
        <f>IFERROR(__xludf.DUMMYFUNCTION("""COMPUTED_VALUE"""),3.0)</f>
        <v>3</v>
      </c>
      <c r="H572" s="121">
        <f>IFERROR(__xludf.DUMMYFUNCTION("""COMPUTED_VALUE"""),0.0)</f>
        <v>0</v>
      </c>
      <c r="I572" s="121">
        <f>IFERROR(__xludf.DUMMYFUNCTION("""COMPUTED_VALUE"""),2.0)</f>
        <v>2</v>
      </c>
      <c r="J572" s="121">
        <f>IFERROR(__xludf.DUMMYFUNCTION("""COMPUTED_VALUE"""),4.0)</f>
        <v>4</v>
      </c>
      <c r="K572" s="132" t="str">
        <f>IFERROR(__xludf.DUMMYFUNCTION("""COMPUTED_VALUE"""),"EC1834")</f>
        <v>EC1834</v>
      </c>
      <c r="L572" s="121" t="str">
        <f>IFERROR(__xludf.DUMMYFUNCTION("""COMPUTED_VALUE"""),"Dr.SANJOY DEB")</f>
        <v>Dr.SANJOY DEB</v>
      </c>
      <c r="M572" s="121" t="str">
        <f>IFERROR(__xludf.DUMMYFUNCTION("""COMPUTED_VALUE"""),"sanjoydeb@bitsathy.ac.in")</f>
        <v>sanjoydeb@bitsathy.ac.in</v>
      </c>
    </row>
    <row r="573" ht="49.5" customHeight="1">
      <c r="A573" s="121" t="str">
        <f>IFERROR(__xludf.DUMMYFUNCTION("""COMPUTED_VALUE"""),"ECE")</f>
        <v>ECE</v>
      </c>
      <c r="B573" s="121" t="str">
        <f>IFERROR(__xludf.DUMMYFUNCTION("""COMPUTED_VALUE"""),"S4")</f>
        <v>S4</v>
      </c>
      <c r="C573" s="121" t="str">
        <f>IFERROR(__xludf.DUMMYFUNCTION("""COMPUTED_VALUE"""),"CORE")</f>
        <v>CORE</v>
      </c>
      <c r="D573" s="121" t="str">
        <f>IFERROR(__xludf.DUMMYFUNCTION("""COMPUTED_VALUE"""),"22EC405")</f>
        <v>22EC405</v>
      </c>
      <c r="E573" s="131" t="str">
        <f>IFERROR(__xludf.DUMMYFUNCTION("""COMPUTED_VALUE"""),"EMBEDDED SYSTEMS")</f>
        <v>EMBEDDED SYSTEMS</v>
      </c>
      <c r="F573" s="121" t="str">
        <f>IFERROR(__xludf.DUMMYFUNCTION("""COMPUTED_VALUE"""),"LAB")</f>
        <v>LAB</v>
      </c>
      <c r="G573" s="121">
        <f>IFERROR(__xludf.DUMMYFUNCTION("""COMPUTED_VALUE"""),3.0)</f>
        <v>3</v>
      </c>
      <c r="H573" s="121">
        <f>IFERROR(__xludf.DUMMYFUNCTION("""COMPUTED_VALUE"""),0.0)</f>
        <v>0</v>
      </c>
      <c r="I573" s="121">
        <f>IFERROR(__xludf.DUMMYFUNCTION("""COMPUTED_VALUE"""),2.0)</f>
        <v>2</v>
      </c>
      <c r="J573" s="121">
        <f>IFERROR(__xludf.DUMMYFUNCTION("""COMPUTED_VALUE"""),4.0)</f>
        <v>4</v>
      </c>
      <c r="K573" s="132" t="str">
        <f>IFERROR(__xludf.DUMMYFUNCTION("""COMPUTED_VALUE"""),"EC10229")</f>
        <v>EC10229</v>
      </c>
      <c r="L573" s="121" t="str">
        <f>IFERROR(__xludf.DUMMYFUNCTION("""COMPUTED_VALUE"""),"Mrs.SARANYA N")</f>
        <v>Mrs.SARANYA N</v>
      </c>
      <c r="M573" s="121" t="str">
        <f>IFERROR(__xludf.DUMMYFUNCTION("""COMPUTED_VALUE"""),"saranyan@bitsathy.ac.in")</f>
        <v>saranyan@bitsathy.ac.in</v>
      </c>
    </row>
    <row r="574" ht="49.5" customHeight="1">
      <c r="A574" s="121" t="str">
        <f>IFERROR(__xludf.DUMMYFUNCTION("""COMPUTED_VALUE"""),"ECE")</f>
        <v>ECE</v>
      </c>
      <c r="B574" s="121" t="str">
        <f>IFERROR(__xludf.DUMMYFUNCTION("""COMPUTED_VALUE"""),"S4")</f>
        <v>S4</v>
      </c>
      <c r="C574" s="121" t="str">
        <f>IFERROR(__xludf.DUMMYFUNCTION("""COMPUTED_VALUE"""),"CORE")</f>
        <v>CORE</v>
      </c>
      <c r="D574" s="121" t="str">
        <f>IFERROR(__xludf.DUMMYFUNCTION("""COMPUTED_VALUE"""),"22EC405")</f>
        <v>22EC405</v>
      </c>
      <c r="E574" s="131" t="str">
        <f>IFERROR(__xludf.DUMMYFUNCTION("""COMPUTED_VALUE"""),"EMBEDDED SYSTEMS")</f>
        <v>EMBEDDED SYSTEMS</v>
      </c>
      <c r="F574" s="121" t="str">
        <f>IFERROR(__xludf.DUMMYFUNCTION("""COMPUTED_VALUE"""),"THEORY")</f>
        <v>THEORY</v>
      </c>
      <c r="G574" s="121">
        <f>IFERROR(__xludf.DUMMYFUNCTION("""COMPUTED_VALUE"""),3.0)</f>
        <v>3</v>
      </c>
      <c r="H574" s="121">
        <f>IFERROR(__xludf.DUMMYFUNCTION("""COMPUTED_VALUE"""),0.0)</f>
        <v>0</v>
      </c>
      <c r="I574" s="121">
        <f>IFERROR(__xludf.DUMMYFUNCTION("""COMPUTED_VALUE"""),2.0)</f>
        <v>2</v>
      </c>
      <c r="J574" s="121">
        <f>IFERROR(__xludf.DUMMYFUNCTION("""COMPUTED_VALUE"""),4.0)</f>
        <v>4</v>
      </c>
      <c r="K574" s="132" t="str">
        <f>IFERROR(__xludf.DUMMYFUNCTION("""COMPUTED_VALUE"""),"EC1938")</f>
        <v>EC1938</v>
      </c>
      <c r="L574" s="121" t="str">
        <f>IFERROR(__xludf.DUMMYFUNCTION("""COMPUTED_VALUE"""),"Dr.RAMKUMAR R")</f>
        <v>Dr.RAMKUMAR R</v>
      </c>
      <c r="M574" s="121" t="str">
        <f>IFERROR(__xludf.DUMMYFUNCTION("""COMPUTED_VALUE"""),"ramkumarr@bitsathy.ac.in")</f>
        <v>ramkumarr@bitsathy.ac.in</v>
      </c>
    </row>
    <row r="575" ht="49.5" customHeight="1">
      <c r="A575" s="121" t="str">
        <f>IFERROR(__xludf.DUMMYFUNCTION("""COMPUTED_VALUE"""),"ECE")</f>
        <v>ECE</v>
      </c>
      <c r="B575" s="121" t="str">
        <f>IFERROR(__xludf.DUMMYFUNCTION("""COMPUTED_VALUE"""),"S4")</f>
        <v>S4</v>
      </c>
      <c r="C575" s="121" t="str">
        <f>IFERROR(__xludf.DUMMYFUNCTION("""COMPUTED_VALUE"""),"CORE")</f>
        <v>CORE</v>
      </c>
      <c r="D575" s="121" t="str">
        <f>IFERROR(__xludf.DUMMYFUNCTION("""COMPUTED_VALUE"""),"22EC405")</f>
        <v>22EC405</v>
      </c>
      <c r="E575" s="131" t="str">
        <f>IFERROR(__xludf.DUMMYFUNCTION("""COMPUTED_VALUE"""),"EMBEDDED SYSTEMS")</f>
        <v>EMBEDDED SYSTEMS</v>
      </c>
      <c r="F575" s="121" t="str">
        <f>IFERROR(__xludf.DUMMYFUNCTION("""COMPUTED_VALUE"""),"LAB")</f>
        <v>LAB</v>
      </c>
      <c r="G575" s="121">
        <f>IFERROR(__xludf.DUMMYFUNCTION("""COMPUTED_VALUE"""),3.0)</f>
        <v>3</v>
      </c>
      <c r="H575" s="121">
        <f>IFERROR(__xludf.DUMMYFUNCTION("""COMPUTED_VALUE"""),0.0)</f>
        <v>0</v>
      </c>
      <c r="I575" s="121">
        <f>IFERROR(__xludf.DUMMYFUNCTION("""COMPUTED_VALUE"""),2.0)</f>
        <v>2</v>
      </c>
      <c r="J575" s="121">
        <f>IFERROR(__xludf.DUMMYFUNCTION("""COMPUTED_VALUE"""),4.0)</f>
        <v>4</v>
      </c>
      <c r="K575" s="132" t="str">
        <f>IFERROR(__xludf.DUMMYFUNCTION("""COMPUTED_VALUE"""),"EC11045")</f>
        <v>EC11045</v>
      </c>
      <c r="L575" s="121" t="str">
        <f>IFERROR(__xludf.DUMMYFUNCTION("""COMPUTED_VALUE"""),"Mrs.DHANALAKSHMI S")</f>
        <v>Mrs.DHANALAKSHMI S</v>
      </c>
      <c r="M575" s="121" t="str">
        <f>IFERROR(__xludf.DUMMYFUNCTION("""COMPUTED_VALUE"""),"dhanalakshmis@bitsathy.ac.in")</f>
        <v>dhanalakshmis@bitsathy.ac.in</v>
      </c>
    </row>
    <row r="576" ht="49.5" customHeight="1">
      <c r="A576" s="121" t="str">
        <f>IFERROR(__xludf.DUMMYFUNCTION("""COMPUTED_VALUE"""),"ECE")</f>
        <v>ECE</v>
      </c>
      <c r="B576" s="121" t="str">
        <f>IFERROR(__xludf.DUMMYFUNCTION("""COMPUTED_VALUE"""),"S4")</f>
        <v>S4</v>
      </c>
      <c r="C576" s="121" t="str">
        <f>IFERROR(__xludf.DUMMYFUNCTION("""COMPUTED_VALUE"""),"CORE")</f>
        <v>CORE</v>
      </c>
      <c r="D576" s="121" t="str">
        <f>IFERROR(__xludf.DUMMYFUNCTION("""COMPUTED_VALUE"""),"22EC405")</f>
        <v>22EC405</v>
      </c>
      <c r="E576" s="131" t="str">
        <f>IFERROR(__xludf.DUMMYFUNCTION("""COMPUTED_VALUE"""),"EMBEDDED SYSTEMS")</f>
        <v>EMBEDDED SYSTEMS</v>
      </c>
      <c r="F576" s="121" t="str">
        <f>IFERROR(__xludf.DUMMYFUNCTION("""COMPUTED_VALUE"""),"THEORY WITH LAB")</f>
        <v>THEORY WITH LAB</v>
      </c>
      <c r="G576" s="121">
        <f>IFERROR(__xludf.DUMMYFUNCTION("""COMPUTED_VALUE"""),3.0)</f>
        <v>3</v>
      </c>
      <c r="H576" s="121">
        <f>IFERROR(__xludf.DUMMYFUNCTION("""COMPUTED_VALUE"""),0.0)</f>
        <v>0</v>
      </c>
      <c r="I576" s="121">
        <f>IFERROR(__xludf.DUMMYFUNCTION("""COMPUTED_VALUE"""),2.0)</f>
        <v>2</v>
      </c>
      <c r="J576" s="121">
        <f>IFERROR(__xludf.DUMMYFUNCTION("""COMPUTED_VALUE"""),4.0)</f>
        <v>4</v>
      </c>
      <c r="K576" s="132" t="str">
        <f>IFERROR(__xludf.DUMMYFUNCTION("""COMPUTED_VALUE"""),"EC10813")</f>
        <v>EC10813</v>
      </c>
      <c r="L576" s="121" t="str">
        <f>IFERROR(__xludf.DUMMYFUNCTION("""COMPUTED_VALUE"""),"Ms.SHARMILA A")</f>
        <v>Ms.SHARMILA A</v>
      </c>
      <c r="M576" s="121" t="str">
        <f>IFERROR(__xludf.DUMMYFUNCTION("""COMPUTED_VALUE"""),"sharmilaa@bitsathy.ac.in")</f>
        <v>sharmilaa@bitsathy.ac.in</v>
      </c>
    </row>
    <row r="577" ht="49.5" customHeight="1">
      <c r="A577" s="121" t="str">
        <f>IFERROR(__xludf.DUMMYFUNCTION("""COMPUTED_VALUE"""),"ECE")</f>
        <v>ECE</v>
      </c>
      <c r="B577" s="121" t="str">
        <f>IFERROR(__xludf.DUMMYFUNCTION("""COMPUTED_VALUE"""),"S4")</f>
        <v>S4</v>
      </c>
      <c r="C577" s="121" t="str">
        <f>IFERROR(__xludf.DUMMYFUNCTION("""COMPUTED_VALUE"""),"CORE")</f>
        <v>CORE</v>
      </c>
      <c r="D577" s="121" t="str">
        <f>IFERROR(__xludf.DUMMYFUNCTION("""COMPUTED_VALUE"""),"22EC405")</f>
        <v>22EC405</v>
      </c>
      <c r="E577" s="131" t="str">
        <f>IFERROR(__xludf.DUMMYFUNCTION("""COMPUTED_VALUE"""),"EMBEDDED SYSTEMS")</f>
        <v>EMBEDDED SYSTEMS</v>
      </c>
      <c r="F577" s="121" t="str">
        <f>IFERROR(__xludf.DUMMYFUNCTION("""COMPUTED_VALUE"""),"THEORY")</f>
        <v>THEORY</v>
      </c>
      <c r="G577" s="121">
        <f>IFERROR(__xludf.DUMMYFUNCTION("""COMPUTED_VALUE"""),3.0)</f>
        <v>3</v>
      </c>
      <c r="H577" s="121">
        <f>IFERROR(__xludf.DUMMYFUNCTION("""COMPUTED_VALUE"""),0.0)</f>
        <v>0</v>
      </c>
      <c r="I577" s="121">
        <f>IFERROR(__xludf.DUMMYFUNCTION("""COMPUTED_VALUE"""),2.0)</f>
        <v>2</v>
      </c>
      <c r="J577" s="121">
        <f>IFERROR(__xludf.DUMMYFUNCTION("""COMPUTED_VALUE"""),4.0)</f>
        <v>4</v>
      </c>
      <c r="K577" s="132" t="str">
        <f>IFERROR(__xludf.DUMMYFUNCTION("""COMPUTED_VALUE"""),"EC1911")</f>
        <v>EC1911</v>
      </c>
      <c r="L577" s="121" t="str">
        <f>IFERROR(__xludf.DUMMYFUNCTION("""COMPUTED_VALUE"""),"Dr.DANIEL RAJ A")</f>
        <v>Dr.DANIEL RAJ A</v>
      </c>
      <c r="M577" s="121" t="str">
        <f>IFERROR(__xludf.DUMMYFUNCTION("""COMPUTED_VALUE"""),"danielraja@bitsathy.ac.in")</f>
        <v>danielraja@bitsathy.ac.in</v>
      </c>
    </row>
    <row r="578" ht="49.5" customHeight="1">
      <c r="A578" s="121" t="str">
        <f>IFERROR(__xludf.DUMMYFUNCTION("""COMPUTED_VALUE"""),"ECE")</f>
        <v>ECE</v>
      </c>
      <c r="B578" s="121" t="str">
        <f>IFERROR(__xludf.DUMMYFUNCTION("""COMPUTED_VALUE"""),"S4")</f>
        <v>S4</v>
      </c>
      <c r="C578" s="121" t="str">
        <f>IFERROR(__xludf.DUMMYFUNCTION("""COMPUTED_VALUE"""),"CORE")</f>
        <v>CORE</v>
      </c>
      <c r="D578" s="121" t="str">
        <f>IFERROR(__xludf.DUMMYFUNCTION("""COMPUTED_VALUE"""),"22EC405")</f>
        <v>22EC405</v>
      </c>
      <c r="E578" s="131" t="str">
        <f>IFERROR(__xludf.DUMMYFUNCTION("""COMPUTED_VALUE"""),"EMBEDDED SYSTEMS")</f>
        <v>EMBEDDED SYSTEMS</v>
      </c>
      <c r="F578" s="121" t="str">
        <f>IFERROR(__xludf.DUMMYFUNCTION("""COMPUTED_VALUE"""),"LAB")</f>
        <v>LAB</v>
      </c>
      <c r="G578" s="121">
        <f>IFERROR(__xludf.DUMMYFUNCTION("""COMPUTED_VALUE"""),3.0)</f>
        <v>3</v>
      </c>
      <c r="H578" s="121">
        <f>IFERROR(__xludf.DUMMYFUNCTION("""COMPUTED_VALUE"""),0.0)</f>
        <v>0</v>
      </c>
      <c r="I578" s="121">
        <f>IFERROR(__xludf.DUMMYFUNCTION("""COMPUTED_VALUE"""),2.0)</f>
        <v>2</v>
      </c>
      <c r="J578" s="121">
        <f>IFERROR(__xludf.DUMMYFUNCTION("""COMPUTED_VALUE"""),4.0)</f>
        <v>4</v>
      </c>
      <c r="K578" s="132" t="str">
        <f>IFERROR(__xludf.DUMMYFUNCTION("""COMPUTED_VALUE"""),"EC11147")</f>
        <v>EC11147</v>
      </c>
      <c r="L578" s="121" t="str">
        <f>IFERROR(__xludf.DUMMYFUNCTION("""COMPUTED_VALUE"""),"Mrs.RAGAVI M")</f>
        <v>Mrs.RAGAVI M</v>
      </c>
      <c r="M578" s="121" t="str">
        <f>IFERROR(__xludf.DUMMYFUNCTION("""COMPUTED_VALUE"""),"ragavim@bitsathy.ac.in")</f>
        <v>ragavim@bitsathy.ac.in</v>
      </c>
    </row>
    <row r="579" ht="49.5" customHeight="1">
      <c r="A579" s="121" t="str">
        <f>IFERROR(__xludf.DUMMYFUNCTION("""COMPUTED_VALUE"""),"ECE")</f>
        <v>ECE</v>
      </c>
      <c r="B579" s="121" t="str">
        <f>IFERROR(__xludf.DUMMYFUNCTION("""COMPUTED_VALUE"""),"S4")</f>
        <v>S4</v>
      </c>
      <c r="C579" s="121" t="str">
        <f>IFERROR(__xludf.DUMMYFUNCTION("""COMPUTED_VALUE"""),"ELECTIVE 1")</f>
        <v>ELECTIVE 1</v>
      </c>
      <c r="D579" s="121" t="str">
        <f>IFERROR(__xludf.DUMMYFUNCTION("""COMPUTED_VALUE"""),"22EC001")</f>
        <v>22EC001</v>
      </c>
      <c r="E579" s="131" t="str">
        <f>IFERROR(__xludf.DUMMYFUNCTION("""COMPUTED_VALUE"""),"ADVANCED PROCESSOR ARCHITECTURES")</f>
        <v>ADVANCED PROCESSOR ARCHITECTURES</v>
      </c>
      <c r="F579" s="121" t="str">
        <f>IFERROR(__xludf.DUMMYFUNCTION("""COMPUTED_VALUE"""),"THEORY")</f>
        <v>THEORY</v>
      </c>
      <c r="G579" s="121">
        <f>IFERROR(__xludf.DUMMYFUNCTION("""COMPUTED_VALUE"""),3.0)</f>
        <v>3</v>
      </c>
      <c r="H579" s="121">
        <f>IFERROR(__xludf.DUMMYFUNCTION("""COMPUTED_VALUE"""),0.0)</f>
        <v>0</v>
      </c>
      <c r="I579" s="121">
        <f>IFERROR(__xludf.DUMMYFUNCTION("""COMPUTED_VALUE"""),0.0)</f>
        <v>0</v>
      </c>
      <c r="J579" s="121">
        <f>IFERROR(__xludf.DUMMYFUNCTION("""COMPUTED_VALUE"""),3.0)</f>
        <v>3</v>
      </c>
      <c r="K579" s="132" t="str">
        <f>IFERROR(__xludf.DUMMYFUNCTION("""COMPUTED_VALUE"""),"EC11043")</f>
        <v>EC11043</v>
      </c>
      <c r="L579" s="121" t="str">
        <f>IFERROR(__xludf.DUMMYFUNCTION("""COMPUTED_VALUE"""),"Mrs.NIVETHA G")</f>
        <v>Mrs.NIVETHA G</v>
      </c>
      <c r="M579" s="121" t="str">
        <f>IFERROR(__xludf.DUMMYFUNCTION("""COMPUTED_VALUE"""),"nivethag@bitsathy.ac.in")</f>
        <v>nivethag@bitsathy.ac.in</v>
      </c>
    </row>
    <row r="580" ht="49.5" customHeight="1">
      <c r="A580" s="121" t="str">
        <f>IFERROR(__xludf.DUMMYFUNCTION("""COMPUTED_VALUE"""),"ECE")</f>
        <v>ECE</v>
      </c>
      <c r="B580" s="121" t="str">
        <f>IFERROR(__xludf.DUMMYFUNCTION("""COMPUTED_VALUE"""),"S4")</f>
        <v>S4</v>
      </c>
      <c r="C580" s="121" t="str">
        <f>IFERROR(__xludf.DUMMYFUNCTION("""COMPUTED_VALUE"""),"ELECTIVE 1")</f>
        <v>ELECTIVE 1</v>
      </c>
      <c r="D580" s="121" t="str">
        <f>IFERROR(__xludf.DUMMYFUNCTION("""COMPUTED_VALUE"""),"22EC001")</f>
        <v>22EC001</v>
      </c>
      <c r="E580" s="131" t="str">
        <f>IFERROR(__xludf.DUMMYFUNCTION("""COMPUTED_VALUE"""),"ADVANCED PROCESSOR ARCHITECTURES")</f>
        <v>ADVANCED PROCESSOR ARCHITECTURES</v>
      </c>
      <c r="F580" s="121" t="str">
        <f>IFERROR(__xludf.DUMMYFUNCTION("""COMPUTED_VALUE"""),"THEORY")</f>
        <v>THEORY</v>
      </c>
      <c r="G580" s="121">
        <f>IFERROR(__xludf.DUMMYFUNCTION("""COMPUTED_VALUE"""),3.0)</f>
        <v>3</v>
      </c>
      <c r="H580" s="121">
        <f>IFERROR(__xludf.DUMMYFUNCTION("""COMPUTED_VALUE"""),0.0)</f>
        <v>0</v>
      </c>
      <c r="I580" s="121">
        <f>IFERROR(__xludf.DUMMYFUNCTION("""COMPUTED_VALUE"""),0.0)</f>
        <v>0</v>
      </c>
      <c r="J580" s="121">
        <f>IFERROR(__xludf.DUMMYFUNCTION("""COMPUTED_VALUE"""),3.0)</f>
        <v>3</v>
      </c>
      <c r="K580" s="132" t="str">
        <f>IFERROR(__xludf.DUMMYFUNCTION("""COMPUTED_VALUE"""),"EC11147")</f>
        <v>EC11147</v>
      </c>
      <c r="L580" s="121" t="str">
        <f>IFERROR(__xludf.DUMMYFUNCTION("""COMPUTED_VALUE"""),"Mrs.RAGAVI M")</f>
        <v>Mrs.RAGAVI M</v>
      </c>
      <c r="M580" s="133" t="str">
        <f>IFERROR(__xludf.DUMMYFUNCTION("""COMPUTED_VALUE"""),"ragavim@bitsathy.ac.in")</f>
        <v>ragavim@bitsathy.ac.in</v>
      </c>
    </row>
    <row r="581" ht="49.5" customHeight="1">
      <c r="A581" s="121" t="str">
        <f>IFERROR(__xludf.DUMMYFUNCTION("""COMPUTED_VALUE"""),"ECE")</f>
        <v>ECE</v>
      </c>
      <c r="B581" s="121" t="str">
        <f>IFERROR(__xludf.DUMMYFUNCTION("""COMPUTED_VALUE"""),"S4")</f>
        <v>S4</v>
      </c>
      <c r="C581" s="121" t="str">
        <f>IFERROR(__xludf.DUMMYFUNCTION("""COMPUTED_VALUE"""),"ELECTIVE 1")</f>
        <v>ELECTIVE 1</v>
      </c>
      <c r="D581" s="121" t="str">
        <f>IFERROR(__xludf.DUMMYFUNCTION("""COMPUTED_VALUE"""),"22EC001")</f>
        <v>22EC001</v>
      </c>
      <c r="E581" s="131" t="str">
        <f>IFERROR(__xludf.DUMMYFUNCTION("""COMPUTED_VALUE"""),"ADVANCED PROCESSOR ARCHITECTURES")</f>
        <v>ADVANCED PROCESSOR ARCHITECTURES</v>
      </c>
      <c r="F581" s="121" t="str">
        <f>IFERROR(__xludf.DUMMYFUNCTION("""COMPUTED_VALUE"""),"THEORY")</f>
        <v>THEORY</v>
      </c>
      <c r="G581" s="121">
        <f>IFERROR(__xludf.DUMMYFUNCTION("""COMPUTED_VALUE"""),3.0)</f>
        <v>3</v>
      </c>
      <c r="H581" s="121">
        <f>IFERROR(__xludf.DUMMYFUNCTION("""COMPUTED_VALUE"""),0.0)</f>
        <v>0</v>
      </c>
      <c r="I581" s="121">
        <f>IFERROR(__xludf.DUMMYFUNCTION("""COMPUTED_VALUE"""),0.0)</f>
        <v>0</v>
      </c>
      <c r="J581" s="121">
        <f>IFERROR(__xludf.DUMMYFUNCTION("""COMPUTED_VALUE"""),3.0)</f>
        <v>3</v>
      </c>
      <c r="K581" s="132" t="str">
        <f>IFERROR(__xludf.DUMMYFUNCTION("""COMPUTED_VALUE"""),"EC1893")</f>
        <v>EC1893</v>
      </c>
      <c r="L581" s="121" t="str">
        <f>IFERROR(__xludf.DUMMYFUNCTION("""COMPUTED_VALUE"""),"Dr.ELANGO S")</f>
        <v>Dr.ELANGO S</v>
      </c>
      <c r="M581" s="121" t="str">
        <f>IFERROR(__xludf.DUMMYFUNCTION("""COMPUTED_VALUE"""),"elangos@bitsathy.ac.in")</f>
        <v>elangos@bitsathy.ac.in</v>
      </c>
    </row>
    <row r="582" ht="49.5" customHeight="1">
      <c r="A582" s="121" t="str">
        <f>IFERROR(__xludf.DUMMYFUNCTION("""COMPUTED_VALUE"""),"ECE")</f>
        <v>ECE</v>
      </c>
      <c r="B582" s="121" t="str">
        <f>IFERROR(__xludf.DUMMYFUNCTION("""COMPUTED_VALUE"""),"S4")</f>
        <v>S4</v>
      </c>
      <c r="C582" s="121" t="str">
        <f>IFERROR(__xludf.DUMMYFUNCTION("""COMPUTED_VALUE"""),"ELECTIVE 1")</f>
        <v>ELECTIVE 1</v>
      </c>
      <c r="D582" s="121" t="str">
        <f>IFERROR(__xludf.DUMMYFUNCTION("""COMPUTED_VALUE"""),"22EC040")</f>
        <v>22EC040</v>
      </c>
      <c r="E582" s="131" t="str">
        <f>IFERROR(__xludf.DUMMYFUNCTION("""COMPUTED_VALUE"""),"PYTHON PROGRAMMING FOR AI AND ML")</f>
        <v>PYTHON PROGRAMMING FOR AI AND ML</v>
      </c>
      <c r="F582" s="121" t="str">
        <f>IFERROR(__xludf.DUMMYFUNCTION("""COMPUTED_VALUE"""),"THEORY")</f>
        <v>THEORY</v>
      </c>
      <c r="G582" s="121">
        <f>IFERROR(__xludf.DUMMYFUNCTION("""COMPUTED_VALUE"""),3.0)</f>
        <v>3</v>
      </c>
      <c r="H582" s="121">
        <f>IFERROR(__xludf.DUMMYFUNCTION("""COMPUTED_VALUE"""),0.0)</f>
        <v>0</v>
      </c>
      <c r="I582" s="121">
        <f>IFERROR(__xludf.DUMMYFUNCTION("""COMPUTED_VALUE"""),0.0)</f>
        <v>0</v>
      </c>
      <c r="J582" s="121">
        <f>IFERROR(__xludf.DUMMYFUNCTION("""COMPUTED_VALUE"""),3.0)</f>
        <v>3</v>
      </c>
      <c r="K582" s="132" t="str">
        <f>IFERROR(__xludf.DUMMYFUNCTION("""COMPUTED_VALUE"""),"IT11173")</f>
        <v>IT11173</v>
      </c>
      <c r="L582" s="121" t="str">
        <f>IFERROR(__xludf.DUMMYFUNCTION("""COMPUTED_VALUE"""),"Mrs.GAYATHRI D")</f>
        <v>Mrs.GAYATHRI D</v>
      </c>
      <c r="M582" s="121" t="str">
        <f>IFERROR(__xludf.DUMMYFUNCTION("""COMPUTED_VALUE"""),"gayathrid@bitsathy.ac.in")</f>
        <v>gayathrid@bitsathy.ac.in</v>
      </c>
    </row>
    <row r="583" ht="49.5" customHeight="1">
      <c r="A583" s="121" t="str">
        <f>IFERROR(__xludf.DUMMYFUNCTION("""COMPUTED_VALUE"""),"ECE")</f>
        <v>ECE</v>
      </c>
      <c r="B583" s="121" t="str">
        <f>IFERROR(__xludf.DUMMYFUNCTION("""COMPUTED_VALUE"""),"S4")</f>
        <v>S4</v>
      </c>
      <c r="C583" s="121" t="str">
        <f>IFERROR(__xludf.DUMMYFUNCTION("""COMPUTED_VALUE"""),"ELECTIVE 1")</f>
        <v>ELECTIVE 1</v>
      </c>
      <c r="D583" s="121" t="str">
        <f>IFERROR(__xludf.DUMMYFUNCTION("""COMPUTED_VALUE"""),"22EC040")</f>
        <v>22EC040</v>
      </c>
      <c r="E583" s="131" t="str">
        <f>IFERROR(__xludf.DUMMYFUNCTION("""COMPUTED_VALUE"""),"PYTHON PROGRAMMING FOR AI AND ML")</f>
        <v>PYTHON PROGRAMMING FOR AI AND ML</v>
      </c>
      <c r="F583" s="121" t="str">
        <f>IFERROR(__xludf.DUMMYFUNCTION("""COMPUTED_VALUE"""),"THEORY")</f>
        <v>THEORY</v>
      </c>
      <c r="G583" s="121">
        <f>IFERROR(__xludf.DUMMYFUNCTION("""COMPUTED_VALUE"""),3.0)</f>
        <v>3</v>
      </c>
      <c r="H583" s="121">
        <f>IFERROR(__xludf.DUMMYFUNCTION("""COMPUTED_VALUE"""),0.0)</f>
        <v>0</v>
      </c>
      <c r="I583" s="121">
        <f>IFERROR(__xludf.DUMMYFUNCTION("""COMPUTED_VALUE"""),0.0)</f>
        <v>0</v>
      </c>
      <c r="J583" s="121">
        <f>IFERROR(__xludf.DUMMYFUNCTION("""COMPUTED_VALUE"""),3.0)</f>
        <v>3</v>
      </c>
      <c r="K583" s="132" t="str">
        <f>IFERROR(__xludf.DUMMYFUNCTION("""COMPUTED_VALUE"""),"CD11174")</f>
        <v>CD11174</v>
      </c>
      <c r="L583" s="121" t="str">
        <f>IFERROR(__xludf.DUMMYFUNCTION("""COMPUTED_VALUE"""),"Ms.KIRUTHIKA S")</f>
        <v>Ms.KIRUTHIKA S</v>
      </c>
      <c r="M583" s="133" t="str">
        <f>IFERROR(__xludf.DUMMYFUNCTION("""COMPUTED_VALUE"""),"kiruthikas@bitsathy.ac.in")</f>
        <v>kiruthikas@bitsathy.ac.in</v>
      </c>
    </row>
    <row r="584" ht="49.5" customHeight="1">
      <c r="A584" s="121" t="str">
        <f>IFERROR(__xludf.DUMMYFUNCTION("""COMPUTED_VALUE"""),"ECE")</f>
        <v>ECE</v>
      </c>
      <c r="B584" s="121" t="str">
        <f>IFERROR(__xludf.DUMMYFUNCTION("""COMPUTED_VALUE"""),"S4")</f>
        <v>S4</v>
      </c>
      <c r="C584" s="135" t="str">
        <f>IFERROR(__xludf.DUMMYFUNCTION("""COMPUTED_VALUE"""),"CORE")</f>
        <v>CORE</v>
      </c>
      <c r="D584" s="135" t="str">
        <f>IFERROR(__xludf.DUMMYFUNCTION("""COMPUTED_VALUE"""),"22HS007")</f>
        <v>22HS007</v>
      </c>
      <c r="E584" s="136" t="str">
        <f>IFERROR(__xludf.DUMMYFUNCTION("""COMPUTED_VALUE"""),"ENVIRONMENTAL SCIENCE")</f>
        <v>ENVIRONMENTAL SCIENCE</v>
      </c>
      <c r="F584" s="121" t="str">
        <f>IFERROR(__xludf.DUMMYFUNCTION("""COMPUTED_VALUE"""),"LAB")</f>
        <v>LAB</v>
      </c>
      <c r="G584" s="121">
        <f>IFERROR(__xludf.DUMMYFUNCTION("""COMPUTED_VALUE"""),2.0)</f>
        <v>2</v>
      </c>
      <c r="H584" s="121">
        <f>IFERROR(__xludf.DUMMYFUNCTION("""COMPUTED_VALUE"""),0.0)</f>
        <v>0</v>
      </c>
      <c r="I584" s="121">
        <f>IFERROR(__xludf.DUMMYFUNCTION("""COMPUTED_VALUE"""),0.0)</f>
        <v>0</v>
      </c>
      <c r="J584" s="121">
        <f>IFERROR(__xludf.DUMMYFUNCTION("""COMPUTED_VALUE"""),2.0)</f>
        <v>2</v>
      </c>
      <c r="K584" s="132" t="str">
        <f>IFERROR(__xludf.DUMMYFUNCTION("""COMPUTED_VALUE"""),"CH10003")</f>
        <v>CH10003</v>
      </c>
      <c r="L584" s="121" t="str">
        <f>IFERROR(__xludf.DUMMYFUNCTION("""COMPUTED_VALUE"""),"Dr.SATHISH V")</f>
        <v>Dr.SATHISH V</v>
      </c>
      <c r="M584" s="121" t="str">
        <f>IFERROR(__xludf.DUMMYFUNCTION("""COMPUTED_VALUE"""),"sathishv@bitsathy.ac.in")</f>
        <v>sathishv@bitsathy.ac.in</v>
      </c>
    </row>
    <row r="585" ht="49.5" customHeight="1">
      <c r="A585" s="121" t="str">
        <f>IFERROR(__xludf.DUMMYFUNCTION("""COMPUTED_VALUE"""),"ECE")</f>
        <v>ECE</v>
      </c>
      <c r="B585" s="121" t="str">
        <f>IFERROR(__xludf.DUMMYFUNCTION("""COMPUTED_VALUE"""),"S4")</f>
        <v>S4</v>
      </c>
      <c r="C585" s="121" t="str">
        <f>IFERROR(__xludf.DUMMYFUNCTION("""COMPUTED_VALUE"""),"CORE")</f>
        <v>CORE</v>
      </c>
      <c r="D585" s="121" t="str">
        <f>IFERROR(__xludf.DUMMYFUNCTION("""COMPUTED_VALUE"""),"22HS007")</f>
        <v>22HS007</v>
      </c>
      <c r="E585" s="131" t="str">
        <f>IFERROR(__xludf.DUMMYFUNCTION("""COMPUTED_VALUE"""),"ENVIRONMENTAL SCIENCE")</f>
        <v>ENVIRONMENTAL SCIENCE</v>
      </c>
      <c r="F585" s="121" t="str">
        <f>IFERROR(__xludf.DUMMYFUNCTION("""COMPUTED_VALUE"""),"LAB")</f>
        <v>LAB</v>
      </c>
      <c r="G585" s="121">
        <f>IFERROR(__xludf.DUMMYFUNCTION("""COMPUTED_VALUE"""),2.0)</f>
        <v>2</v>
      </c>
      <c r="H585" s="121">
        <f>IFERROR(__xludf.DUMMYFUNCTION("""COMPUTED_VALUE"""),0.0)</f>
        <v>0</v>
      </c>
      <c r="I585" s="121">
        <f>IFERROR(__xludf.DUMMYFUNCTION("""COMPUTED_VALUE"""),0.0)</f>
        <v>0</v>
      </c>
      <c r="J585" s="121">
        <f>IFERROR(__xludf.DUMMYFUNCTION("""COMPUTED_VALUE"""),2.0)</f>
        <v>2</v>
      </c>
      <c r="K585" s="132" t="str">
        <f>IFERROR(__xludf.DUMMYFUNCTION("""COMPUTED_VALUE"""),"CH10372")</f>
        <v>CH10372</v>
      </c>
      <c r="L585" s="121" t="str">
        <f>IFERROR(__xludf.DUMMYFUNCTION("""COMPUTED_VALUE"""),"Dr.RAMESHKUMAR A")</f>
        <v>Dr.RAMESHKUMAR A</v>
      </c>
      <c r="M585" s="121" t="str">
        <f>IFERROR(__xludf.DUMMYFUNCTION("""COMPUTED_VALUE"""),"rameshkumar@bitsathy.ac.in")</f>
        <v>rameshkumar@bitsathy.ac.in</v>
      </c>
    </row>
    <row r="586" ht="49.5" customHeight="1">
      <c r="A586" s="121" t="str">
        <f>IFERROR(__xludf.DUMMYFUNCTION("""COMPUTED_VALUE"""),"ECE")</f>
        <v>ECE</v>
      </c>
      <c r="B586" s="121" t="str">
        <f>IFERROR(__xludf.DUMMYFUNCTION("""COMPUTED_VALUE"""),"S4")</f>
        <v>S4</v>
      </c>
      <c r="C586" s="121" t="str">
        <f>IFERROR(__xludf.DUMMYFUNCTION("""COMPUTED_VALUE"""),"CORE")</f>
        <v>CORE</v>
      </c>
      <c r="D586" s="121" t="str">
        <f>IFERROR(__xludf.DUMMYFUNCTION("""COMPUTED_VALUE"""),"22HS007")</f>
        <v>22HS007</v>
      </c>
      <c r="E586" s="131" t="str">
        <f>IFERROR(__xludf.DUMMYFUNCTION("""COMPUTED_VALUE"""),"ENVIRONMENTAL SCIENCE")</f>
        <v>ENVIRONMENTAL SCIENCE</v>
      </c>
      <c r="F586" s="121" t="str">
        <f>IFERROR(__xludf.DUMMYFUNCTION("""COMPUTED_VALUE"""),"LAB")</f>
        <v>LAB</v>
      </c>
      <c r="G586" s="121">
        <f>IFERROR(__xludf.DUMMYFUNCTION("""COMPUTED_VALUE"""),2.0)</f>
        <v>2</v>
      </c>
      <c r="H586" s="121">
        <f>IFERROR(__xludf.DUMMYFUNCTION("""COMPUTED_VALUE"""),0.0)</f>
        <v>0</v>
      </c>
      <c r="I586" s="121">
        <f>IFERROR(__xludf.DUMMYFUNCTION("""COMPUTED_VALUE"""),0.0)</f>
        <v>0</v>
      </c>
      <c r="J586" s="121">
        <f>IFERROR(__xludf.DUMMYFUNCTION("""COMPUTED_VALUE"""),2.0)</f>
        <v>2</v>
      </c>
      <c r="K586" s="132" t="str">
        <f>IFERROR(__xludf.DUMMYFUNCTION("""COMPUTED_VALUE"""),"CH11057")</f>
        <v>CH11057</v>
      </c>
      <c r="L586" s="121" t="str">
        <f>IFERROR(__xludf.DUMMYFUNCTION("""COMPUTED_VALUE"""),"Dr.KARUPPUSAMY S")</f>
        <v>Dr.KARUPPUSAMY S</v>
      </c>
      <c r="M586" s="121" t="str">
        <f>IFERROR(__xludf.DUMMYFUNCTION("""COMPUTED_VALUE"""),"karuppusamys@bitsathy.ac.in")</f>
        <v>karuppusamys@bitsathy.ac.in</v>
      </c>
    </row>
    <row r="587" ht="49.5" customHeight="1">
      <c r="A587" s="121" t="str">
        <f>IFERROR(__xludf.DUMMYFUNCTION("""COMPUTED_VALUE"""),"ECE")</f>
        <v>ECE</v>
      </c>
      <c r="B587" s="121" t="str">
        <f>IFERROR(__xludf.DUMMYFUNCTION("""COMPUTED_VALUE"""),"S4")</f>
        <v>S4</v>
      </c>
      <c r="C587" s="121" t="str">
        <f>IFERROR(__xludf.DUMMYFUNCTION("""COMPUTED_VALUE"""),"CORE")</f>
        <v>CORE</v>
      </c>
      <c r="D587" s="121" t="str">
        <f>IFERROR(__xludf.DUMMYFUNCTION("""COMPUTED_VALUE"""),"22HS007")</f>
        <v>22HS007</v>
      </c>
      <c r="E587" s="131" t="str">
        <f>IFERROR(__xludf.DUMMYFUNCTION("""COMPUTED_VALUE"""),"ENVIRONMENTAL SCIENCE")</f>
        <v>ENVIRONMENTAL SCIENCE</v>
      </c>
      <c r="F587" s="121" t="str">
        <f>IFERROR(__xludf.DUMMYFUNCTION("""COMPUTED_VALUE"""),"LAB")</f>
        <v>LAB</v>
      </c>
      <c r="G587" s="121">
        <f>IFERROR(__xludf.DUMMYFUNCTION("""COMPUTED_VALUE"""),2.0)</f>
        <v>2</v>
      </c>
      <c r="H587" s="121">
        <f>IFERROR(__xludf.DUMMYFUNCTION("""COMPUTED_VALUE"""),0.0)</f>
        <v>0</v>
      </c>
      <c r="I587" s="121">
        <f>IFERROR(__xludf.DUMMYFUNCTION("""COMPUTED_VALUE"""),0.0)</f>
        <v>0</v>
      </c>
      <c r="J587" s="121">
        <f>IFERROR(__xludf.DUMMYFUNCTION("""COMPUTED_VALUE"""),2.0)</f>
        <v>2</v>
      </c>
      <c r="K587" s="132" t="str">
        <f>IFERROR(__xludf.DUMMYFUNCTION("""COMPUTED_VALUE"""),"CH11156")</f>
        <v>CH11156</v>
      </c>
      <c r="L587" s="121" t="str">
        <f>IFERROR(__xludf.DUMMYFUNCTION("""COMPUTED_VALUE"""),"Dr.KASTHURI S")</f>
        <v>Dr.KASTHURI S</v>
      </c>
      <c r="M587" s="121" t="str">
        <f>IFERROR(__xludf.DUMMYFUNCTION("""COMPUTED_VALUE"""),"kasthuris@bitsathy.ac.in")</f>
        <v>kasthuris@bitsathy.ac.in</v>
      </c>
    </row>
    <row r="588" ht="49.5" customHeight="1">
      <c r="A588" s="121" t="str">
        <f>IFERROR(__xludf.DUMMYFUNCTION("""COMPUTED_VALUE"""),"ECE")</f>
        <v>ECE</v>
      </c>
      <c r="B588" s="121" t="str">
        <f>IFERROR(__xludf.DUMMYFUNCTION("""COMPUTED_VALUE"""),"S4")</f>
        <v>S4</v>
      </c>
      <c r="C588" s="121" t="str">
        <f>IFERROR(__xludf.DUMMYFUNCTION("""COMPUTED_VALUE"""),"CORE")</f>
        <v>CORE</v>
      </c>
      <c r="D588" s="121" t="str">
        <f>IFERROR(__xludf.DUMMYFUNCTION("""COMPUTED_VALUE"""),"22HS008")</f>
        <v>22HS008</v>
      </c>
      <c r="E588" s="131" t="str">
        <f>IFERROR(__xludf.DUMMYFUNCTION("""COMPUTED_VALUE"""),"ADVANCED ENGLISH AND TECHNICAL EXPRESSION ")</f>
        <v>ADVANCED ENGLISH AND TECHNICAL EXPRESSION </v>
      </c>
      <c r="F588" s="121" t="str">
        <f>IFERROR(__xludf.DUMMYFUNCTION("""COMPUTED_VALUE"""),"LAB")</f>
        <v>LAB</v>
      </c>
      <c r="G588" s="121">
        <f>IFERROR(__xludf.DUMMYFUNCTION("""COMPUTED_VALUE"""),0.0)</f>
        <v>0</v>
      </c>
      <c r="H588" s="121">
        <f>IFERROR(__xludf.DUMMYFUNCTION("""COMPUTED_VALUE"""),0.0)</f>
        <v>0</v>
      </c>
      <c r="I588" s="121">
        <f>IFERROR(__xludf.DUMMYFUNCTION("""COMPUTED_VALUE"""),2.0)</f>
        <v>2</v>
      </c>
      <c r="J588" s="121">
        <f>IFERROR(__xludf.DUMMYFUNCTION("""COMPUTED_VALUE"""),1.0)</f>
        <v>1</v>
      </c>
      <c r="K588" s="132" t="str">
        <f>IFERROR(__xludf.DUMMYFUNCTION("""COMPUTED_VALUE"""),"HU11141")</f>
        <v>HU11141</v>
      </c>
      <c r="L588" s="121" t="str">
        <f>IFERROR(__xludf.DUMMYFUNCTION("""COMPUTED_VALUE"""),"Dr.EZHIL G")</f>
        <v>Dr.EZHIL G</v>
      </c>
      <c r="M588" s="133" t="str">
        <f>IFERROR(__xludf.DUMMYFUNCTION("""COMPUTED_VALUE"""),"ezhil@bitsathy.ac.in")</f>
        <v>ezhil@bitsathy.ac.in</v>
      </c>
    </row>
    <row r="589" ht="49.5" customHeight="1">
      <c r="A589" s="121" t="str">
        <f>IFERROR(__xludf.DUMMYFUNCTION("""COMPUTED_VALUE"""),"ECE")</f>
        <v>ECE</v>
      </c>
      <c r="B589" s="121" t="str">
        <f>IFERROR(__xludf.DUMMYFUNCTION("""COMPUTED_VALUE"""),"S4")</f>
        <v>S4</v>
      </c>
      <c r="C589" s="121" t="str">
        <f>IFERROR(__xludf.DUMMYFUNCTION("""COMPUTED_VALUE"""),"CORE")</f>
        <v>CORE</v>
      </c>
      <c r="D589" s="121" t="str">
        <f>IFERROR(__xludf.DUMMYFUNCTION("""COMPUTED_VALUE"""),"22HS008")</f>
        <v>22HS008</v>
      </c>
      <c r="E589" s="131" t="str">
        <f>IFERROR(__xludf.DUMMYFUNCTION("""COMPUTED_VALUE"""),"ADVANCED ENGLISH AND TECHNICAL EXPRESSION ")</f>
        <v>ADVANCED ENGLISH AND TECHNICAL EXPRESSION </v>
      </c>
      <c r="F589" s="121" t="str">
        <f>IFERROR(__xludf.DUMMYFUNCTION("""COMPUTED_VALUE"""),"LAB")</f>
        <v>LAB</v>
      </c>
      <c r="G589" s="121">
        <f>IFERROR(__xludf.DUMMYFUNCTION("""COMPUTED_VALUE"""),0.0)</f>
        <v>0</v>
      </c>
      <c r="H589" s="121">
        <f>IFERROR(__xludf.DUMMYFUNCTION("""COMPUTED_VALUE"""),0.0)</f>
        <v>0</v>
      </c>
      <c r="I589" s="121">
        <f>IFERROR(__xludf.DUMMYFUNCTION("""COMPUTED_VALUE"""),2.0)</f>
        <v>2</v>
      </c>
      <c r="J589" s="121">
        <f>IFERROR(__xludf.DUMMYFUNCTION("""COMPUTED_VALUE"""),1.0)</f>
        <v>1</v>
      </c>
      <c r="K589" s="132" t="str">
        <f>IFERROR(__xludf.DUMMYFUNCTION("""COMPUTED_VALUE"""),"HU11151")</f>
        <v>HU11151</v>
      </c>
      <c r="L589" s="121" t="str">
        <f>IFERROR(__xludf.DUMMYFUNCTION("""COMPUTED_VALUE"""),"Dr.NITHYA S")</f>
        <v>Dr.NITHYA S</v>
      </c>
      <c r="M589" s="121" t="str">
        <f>IFERROR(__xludf.DUMMYFUNCTION("""COMPUTED_VALUE"""),"nithyas@bitsathy.ac.in")</f>
        <v>nithyas@bitsathy.ac.in</v>
      </c>
    </row>
    <row r="590" ht="49.5" customHeight="1">
      <c r="A590" s="121" t="str">
        <f>IFERROR(__xludf.DUMMYFUNCTION("""COMPUTED_VALUE"""),"ECE")</f>
        <v>ECE</v>
      </c>
      <c r="B590" s="121" t="str">
        <f>IFERROR(__xludf.DUMMYFUNCTION("""COMPUTED_VALUE"""),"S4")</f>
        <v>S4</v>
      </c>
      <c r="C590" s="121" t="str">
        <f>IFERROR(__xludf.DUMMYFUNCTION("""COMPUTED_VALUE"""),"CORE")</f>
        <v>CORE</v>
      </c>
      <c r="D590" s="121" t="str">
        <f>IFERROR(__xludf.DUMMYFUNCTION("""COMPUTED_VALUE"""),"22HS008")</f>
        <v>22HS008</v>
      </c>
      <c r="E590" s="131" t="str">
        <f>IFERROR(__xludf.DUMMYFUNCTION("""COMPUTED_VALUE"""),"ADVANCED ENGLISH AND TECHNICAL EXPRESSION ")</f>
        <v>ADVANCED ENGLISH AND TECHNICAL EXPRESSION </v>
      </c>
      <c r="F590" s="121" t="str">
        <f>IFERROR(__xludf.DUMMYFUNCTION("""COMPUTED_VALUE"""),"LAB")</f>
        <v>LAB</v>
      </c>
      <c r="G590" s="121">
        <f>IFERROR(__xludf.DUMMYFUNCTION("""COMPUTED_VALUE"""),0.0)</f>
        <v>0</v>
      </c>
      <c r="H590" s="121">
        <f>IFERROR(__xludf.DUMMYFUNCTION("""COMPUTED_VALUE"""),0.0)</f>
        <v>0</v>
      </c>
      <c r="I590" s="121">
        <f>IFERROR(__xludf.DUMMYFUNCTION("""COMPUTED_VALUE"""),2.0)</f>
        <v>2</v>
      </c>
      <c r="J590" s="121">
        <f>IFERROR(__xludf.DUMMYFUNCTION("""COMPUTED_VALUE"""),1.0)</f>
        <v>1</v>
      </c>
      <c r="K590" s="132" t="str">
        <f>IFERROR(__xludf.DUMMYFUNCTION("""COMPUTED_VALUE"""),"HU11159")</f>
        <v>HU11159</v>
      </c>
      <c r="L590" s="121" t="str">
        <f>IFERROR(__xludf.DUMMYFUNCTION("""COMPUTED_VALUE"""),"Dr.JAYA K")</f>
        <v>Dr.JAYA K</v>
      </c>
      <c r="M590" s="133" t="str">
        <f>IFERROR(__xludf.DUMMYFUNCTION("""COMPUTED_VALUE"""),"jayak@bitsathy.ac.in")</f>
        <v>jayak@bitsathy.ac.in</v>
      </c>
    </row>
    <row r="591" ht="49.5" customHeight="1">
      <c r="A591" s="121" t="str">
        <f>IFERROR(__xludf.DUMMYFUNCTION("""COMPUTED_VALUE"""),"ECE")</f>
        <v>ECE</v>
      </c>
      <c r="B591" s="121" t="str">
        <f>IFERROR(__xludf.DUMMYFUNCTION("""COMPUTED_VALUE"""),"S4")</f>
        <v>S4</v>
      </c>
      <c r="C591" s="121" t="str">
        <f>IFERROR(__xludf.DUMMYFUNCTION("""COMPUTED_VALUE"""),"CORE")</f>
        <v>CORE</v>
      </c>
      <c r="D591" s="121" t="str">
        <f>IFERROR(__xludf.DUMMYFUNCTION("""COMPUTED_VALUE"""),"22HS008")</f>
        <v>22HS008</v>
      </c>
      <c r="E591" s="131" t="str">
        <f>IFERROR(__xludf.DUMMYFUNCTION("""COMPUTED_VALUE"""),"ADVANCED ENGLISH AND TECHNICAL EXPRESSION ")</f>
        <v>ADVANCED ENGLISH AND TECHNICAL EXPRESSION </v>
      </c>
      <c r="F591" s="121" t="str">
        <f>IFERROR(__xludf.DUMMYFUNCTION("""COMPUTED_VALUE"""),"LAB")</f>
        <v>LAB</v>
      </c>
      <c r="G591" s="121">
        <f>IFERROR(__xludf.DUMMYFUNCTION("""COMPUTED_VALUE"""),0.0)</f>
        <v>0</v>
      </c>
      <c r="H591" s="121">
        <f>IFERROR(__xludf.DUMMYFUNCTION("""COMPUTED_VALUE"""),0.0)</f>
        <v>0</v>
      </c>
      <c r="I591" s="121">
        <f>IFERROR(__xludf.DUMMYFUNCTION("""COMPUTED_VALUE"""),2.0)</f>
        <v>2</v>
      </c>
      <c r="J591" s="121">
        <f>IFERROR(__xludf.DUMMYFUNCTION("""COMPUTED_VALUE"""),1.0)</f>
        <v>1</v>
      </c>
      <c r="K591" s="132" t="str">
        <f>IFERROR(__xludf.DUMMYFUNCTION("""COMPUTED_VALUE"""),"HU11125")</f>
        <v>HU11125</v>
      </c>
      <c r="L591" s="121" t="str">
        <f>IFERROR(__xludf.DUMMYFUNCTION("""COMPUTED_VALUE"""),"Dr.GAYATHRI G M")</f>
        <v>Dr.GAYATHRI G M</v>
      </c>
      <c r="M591" s="121" t="str">
        <f>IFERROR(__xludf.DUMMYFUNCTION("""COMPUTED_VALUE"""),"gayathri@bitsathy.ac.in")</f>
        <v>gayathri@bitsathy.ac.in</v>
      </c>
    </row>
    <row r="592" ht="49.5" customHeight="1">
      <c r="A592" s="121" t="str">
        <f>IFERROR(__xludf.DUMMYFUNCTION("""COMPUTED_VALUE"""),"ECE")</f>
        <v>ECE</v>
      </c>
      <c r="B592" s="121" t="str">
        <f>IFERROR(__xludf.DUMMYFUNCTION("""COMPUTED_VALUE"""),"S6")</f>
        <v>S6</v>
      </c>
      <c r="C592" s="121" t="str">
        <f>IFERROR(__xludf.DUMMYFUNCTION("""COMPUTED_VALUE"""),"CORE")</f>
        <v>CORE</v>
      </c>
      <c r="D592" s="121" t="str">
        <f>IFERROR(__xludf.DUMMYFUNCTION("""COMPUTED_VALUE"""),"22EC601")</f>
        <v>22EC601</v>
      </c>
      <c r="E592" s="131" t="str">
        <f>IFERROR(__xludf.DUMMYFUNCTION("""COMPUTED_VALUE"""),"COMPUTER NETWORKS ANDPROTOCOLS")</f>
        <v>COMPUTER NETWORKS ANDPROTOCOLS</v>
      </c>
      <c r="F592" s="121" t="str">
        <f>IFERROR(__xludf.DUMMYFUNCTION("""COMPUTED_VALUE"""),"THEORY")</f>
        <v>THEORY</v>
      </c>
      <c r="G592" s="121">
        <f>IFERROR(__xludf.DUMMYFUNCTION("""COMPUTED_VALUE"""),3.0)</f>
        <v>3</v>
      </c>
      <c r="H592" s="121">
        <f>IFERROR(__xludf.DUMMYFUNCTION("""COMPUTED_VALUE"""),0.0)</f>
        <v>0</v>
      </c>
      <c r="I592" s="121">
        <f>IFERROR(__xludf.DUMMYFUNCTION("""COMPUTED_VALUE"""),0.0)</f>
        <v>0</v>
      </c>
      <c r="J592" s="121">
        <f>IFERROR(__xludf.DUMMYFUNCTION("""COMPUTED_VALUE"""),3.0)</f>
        <v>3</v>
      </c>
      <c r="K592" s="132" t="str">
        <f>IFERROR(__xludf.DUMMYFUNCTION("""COMPUTED_VALUE"""),"EC10229")</f>
        <v>EC10229</v>
      </c>
      <c r="L592" s="121" t="str">
        <f>IFERROR(__xludf.DUMMYFUNCTION("""COMPUTED_VALUE"""),"Mrs.SARANYA N")</f>
        <v>Mrs.SARANYA N</v>
      </c>
      <c r="M592" s="121" t="str">
        <f>IFERROR(__xludf.DUMMYFUNCTION("""COMPUTED_VALUE"""),"saranyan@bitsathy.ac.in")</f>
        <v>saranyan@bitsathy.ac.in</v>
      </c>
    </row>
    <row r="593" ht="49.5" customHeight="1">
      <c r="A593" s="121" t="str">
        <f>IFERROR(__xludf.DUMMYFUNCTION("""COMPUTED_VALUE"""),"ECE")</f>
        <v>ECE</v>
      </c>
      <c r="B593" s="121" t="str">
        <f>IFERROR(__xludf.DUMMYFUNCTION("""COMPUTED_VALUE"""),"S6")</f>
        <v>S6</v>
      </c>
      <c r="C593" s="121" t="str">
        <f>IFERROR(__xludf.DUMMYFUNCTION("""COMPUTED_VALUE"""),"CORE")</f>
        <v>CORE</v>
      </c>
      <c r="D593" s="121" t="str">
        <f>IFERROR(__xludf.DUMMYFUNCTION("""COMPUTED_VALUE"""),"22EC601")</f>
        <v>22EC601</v>
      </c>
      <c r="E593" s="131" t="str">
        <f>IFERROR(__xludf.DUMMYFUNCTION("""COMPUTED_VALUE"""),"COMPUTER NETWORKS ANDPROTOCOLS")</f>
        <v>COMPUTER NETWORKS ANDPROTOCOLS</v>
      </c>
      <c r="F593" s="121" t="str">
        <f>IFERROR(__xludf.DUMMYFUNCTION("""COMPUTED_VALUE"""),"THEORY")</f>
        <v>THEORY</v>
      </c>
      <c r="G593" s="121">
        <f>IFERROR(__xludf.DUMMYFUNCTION("""COMPUTED_VALUE"""),3.0)</f>
        <v>3</v>
      </c>
      <c r="H593" s="121">
        <f>IFERROR(__xludf.DUMMYFUNCTION("""COMPUTED_VALUE"""),0.0)</f>
        <v>0</v>
      </c>
      <c r="I593" s="121">
        <f>IFERROR(__xludf.DUMMYFUNCTION("""COMPUTED_VALUE"""),0.0)</f>
        <v>0</v>
      </c>
      <c r="J593" s="121">
        <f>IFERROR(__xludf.DUMMYFUNCTION("""COMPUTED_VALUE"""),3.0)</f>
        <v>3</v>
      </c>
      <c r="K593" s="132" t="str">
        <f>IFERROR(__xludf.DUMMYFUNCTION("""COMPUTED_VALUE"""),"EC11045")</f>
        <v>EC11045</v>
      </c>
      <c r="L593" s="121" t="str">
        <f>IFERROR(__xludf.DUMMYFUNCTION("""COMPUTED_VALUE"""),"Mrs.DHANALAKSHMI S")</f>
        <v>Mrs.DHANALAKSHMI S</v>
      </c>
      <c r="M593" s="121" t="str">
        <f>IFERROR(__xludf.DUMMYFUNCTION("""COMPUTED_VALUE"""),"dhanalakshmis@bitsathy.ac.in")</f>
        <v>dhanalakshmis@bitsathy.ac.in</v>
      </c>
    </row>
    <row r="594" ht="49.5" customHeight="1">
      <c r="A594" s="121" t="str">
        <f>IFERROR(__xludf.DUMMYFUNCTION("""COMPUTED_VALUE"""),"ECE")</f>
        <v>ECE</v>
      </c>
      <c r="B594" s="121" t="str">
        <f>IFERROR(__xludf.DUMMYFUNCTION("""COMPUTED_VALUE"""),"S6")</f>
        <v>S6</v>
      </c>
      <c r="C594" s="121" t="str">
        <f>IFERROR(__xludf.DUMMYFUNCTION("""COMPUTED_VALUE"""),"CORE")</f>
        <v>CORE</v>
      </c>
      <c r="D594" s="121" t="str">
        <f>IFERROR(__xludf.DUMMYFUNCTION("""COMPUTED_VALUE"""),"22EC601")</f>
        <v>22EC601</v>
      </c>
      <c r="E594" s="131" t="str">
        <f>IFERROR(__xludf.DUMMYFUNCTION("""COMPUTED_VALUE"""),"COMPUTER NETWORKS ANDPROTOCOLS")</f>
        <v>COMPUTER NETWORKS ANDPROTOCOLS</v>
      </c>
      <c r="F594" s="121" t="str">
        <f>IFERROR(__xludf.DUMMYFUNCTION("""COMPUTED_VALUE"""),"THEORY")</f>
        <v>THEORY</v>
      </c>
      <c r="G594" s="121">
        <f>IFERROR(__xludf.DUMMYFUNCTION("""COMPUTED_VALUE"""),3.0)</f>
        <v>3</v>
      </c>
      <c r="H594" s="121">
        <f>IFERROR(__xludf.DUMMYFUNCTION("""COMPUTED_VALUE"""),0.0)</f>
        <v>0</v>
      </c>
      <c r="I594" s="121">
        <f>IFERROR(__xludf.DUMMYFUNCTION("""COMPUTED_VALUE"""),0.0)</f>
        <v>0</v>
      </c>
      <c r="J594" s="121">
        <f>IFERROR(__xludf.DUMMYFUNCTION("""COMPUTED_VALUE"""),3.0)</f>
        <v>3</v>
      </c>
      <c r="K594" s="132" t="str">
        <f>IFERROR(__xludf.DUMMYFUNCTION("""COMPUTED_VALUE"""),"EC10775")</f>
        <v>EC10775</v>
      </c>
      <c r="L594" s="121" t="str">
        <f>IFERROR(__xludf.DUMMYFUNCTION("""COMPUTED_VALUE"""),"Mrs.MYTHILI S")</f>
        <v>Mrs.MYTHILI S</v>
      </c>
      <c r="M594" s="121" t="str">
        <f>IFERROR(__xludf.DUMMYFUNCTION("""COMPUTED_VALUE"""),"mythilis@bitsathy.ac.in")</f>
        <v>mythilis@bitsathy.ac.in</v>
      </c>
    </row>
    <row r="595" ht="49.5" customHeight="1">
      <c r="A595" s="121" t="str">
        <f>IFERROR(__xludf.DUMMYFUNCTION("""COMPUTED_VALUE"""),"ECE")</f>
        <v>ECE</v>
      </c>
      <c r="B595" s="121" t="str">
        <f>IFERROR(__xludf.DUMMYFUNCTION("""COMPUTED_VALUE"""),"S6")</f>
        <v>S6</v>
      </c>
      <c r="C595" s="121" t="str">
        <f>IFERROR(__xludf.DUMMYFUNCTION("""COMPUTED_VALUE"""),"CORE")</f>
        <v>CORE</v>
      </c>
      <c r="D595" s="121" t="str">
        <f>IFERROR(__xludf.DUMMYFUNCTION("""COMPUTED_VALUE"""),"22EC601")</f>
        <v>22EC601</v>
      </c>
      <c r="E595" s="131" t="str">
        <f>IFERROR(__xludf.DUMMYFUNCTION("""COMPUTED_VALUE"""),"COMPUTER NETWORKS ANDPROTOCOLS")</f>
        <v>COMPUTER NETWORKS ANDPROTOCOLS</v>
      </c>
      <c r="F595" s="121" t="str">
        <f>IFERROR(__xludf.DUMMYFUNCTION("""COMPUTED_VALUE"""),"THEORY")</f>
        <v>THEORY</v>
      </c>
      <c r="G595" s="121">
        <f>IFERROR(__xludf.DUMMYFUNCTION("""COMPUTED_VALUE"""),3.0)</f>
        <v>3</v>
      </c>
      <c r="H595" s="121">
        <f>IFERROR(__xludf.DUMMYFUNCTION("""COMPUTED_VALUE"""),0.0)</f>
        <v>0</v>
      </c>
      <c r="I595" s="121">
        <f>IFERROR(__xludf.DUMMYFUNCTION("""COMPUTED_VALUE"""),0.0)</f>
        <v>0</v>
      </c>
      <c r="J595" s="121">
        <f>IFERROR(__xludf.DUMMYFUNCTION("""COMPUTED_VALUE"""),3.0)</f>
        <v>3</v>
      </c>
      <c r="K595" s="132" t="str">
        <f>IFERROR(__xludf.DUMMYFUNCTION("""COMPUTED_VALUE"""),"EC10186")</f>
        <v>EC10186</v>
      </c>
      <c r="L595" s="121" t="str">
        <f>IFERROR(__xludf.DUMMYFUNCTION("""COMPUTED_VALUE"""),"Dr.SAMPOORNAM K P")</f>
        <v>Dr.SAMPOORNAM K P</v>
      </c>
      <c r="M595" s="121" t="str">
        <f>IFERROR(__xludf.DUMMYFUNCTION("""COMPUTED_VALUE"""),"sampoornam@bitsathy.ac.in")</f>
        <v>sampoornam@bitsathy.ac.in</v>
      </c>
    </row>
    <row r="596" ht="49.5" customHeight="1">
      <c r="A596" s="121" t="str">
        <f>IFERROR(__xludf.DUMMYFUNCTION("""COMPUTED_VALUE"""),"ECE")</f>
        <v>ECE</v>
      </c>
      <c r="B596" s="121" t="str">
        <f>IFERROR(__xludf.DUMMYFUNCTION("""COMPUTED_VALUE"""),"S6")</f>
        <v>S6</v>
      </c>
      <c r="C596" s="121" t="str">
        <f>IFERROR(__xludf.DUMMYFUNCTION("""COMPUTED_VALUE"""),"CORE")</f>
        <v>CORE</v>
      </c>
      <c r="D596" s="121" t="str">
        <f>IFERROR(__xludf.DUMMYFUNCTION("""COMPUTED_VALUE"""),"22EC602")</f>
        <v>22EC602</v>
      </c>
      <c r="E596" s="131" t="str">
        <f>IFERROR(__xludf.DUMMYFUNCTION("""COMPUTED_VALUE"""),"DIGITAL SYSTEM DESIGN WITHFPGA")</f>
        <v>DIGITAL SYSTEM DESIGN WITHFPGA</v>
      </c>
      <c r="F596" s="121" t="str">
        <f>IFERROR(__xludf.DUMMYFUNCTION("""COMPUTED_VALUE"""),"THEORY WITH LAB")</f>
        <v>THEORY WITH LAB</v>
      </c>
      <c r="G596" s="121">
        <f>IFERROR(__xludf.DUMMYFUNCTION("""COMPUTED_VALUE"""),3.0)</f>
        <v>3</v>
      </c>
      <c r="H596" s="121">
        <f>IFERROR(__xludf.DUMMYFUNCTION("""COMPUTED_VALUE"""),0.0)</f>
        <v>0</v>
      </c>
      <c r="I596" s="121">
        <f>IFERROR(__xludf.DUMMYFUNCTION("""COMPUTED_VALUE"""),2.0)</f>
        <v>2</v>
      </c>
      <c r="J596" s="121">
        <f>IFERROR(__xludf.DUMMYFUNCTION("""COMPUTED_VALUE"""),4.0)</f>
        <v>4</v>
      </c>
      <c r="K596" s="132" t="str">
        <f>IFERROR(__xludf.DUMMYFUNCTION("""COMPUTED_VALUE"""),"EC1537")</f>
        <v>EC1537</v>
      </c>
      <c r="L596" s="121" t="str">
        <f>IFERROR(__xludf.DUMMYFUNCTION("""COMPUTED_VALUE"""),"Dr.PUSHPAVALLI M")</f>
        <v>Dr.PUSHPAVALLI M</v>
      </c>
      <c r="M596" s="133" t="str">
        <f>IFERROR(__xludf.DUMMYFUNCTION("""COMPUTED_VALUE"""),"pushpavallim@bitsathy.ac.in")</f>
        <v>pushpavallim@bitsathy.ac.in</v>
      </c>
    </row>
    <row r="597" ht="49.5" customHeight="1">
      <c r="A597" s="121" t="str">
        <f>IFERROR(__xludf.DUMMYFUNCTION("""COMPUTED_VALUE"""),"ECE")</f>
        <v>ECE</v>
      </c>
      <c r="B597" s="121" t="str">
        <f>IFERROR(__xludf.DUMMYFUNCTION("""COMPUTED_VALUE"""),"S6")</f>
        <v>S6</v>
      </c>
      <c r="C597" s="121" t="str">
        <f>IFERROR(__xludf.DUMMYFUNCTION("""COMPUTED_VALUE"""),"CORE")</f>
        <v>CORE</v>
      </c>
      <c r="D597" s="121" t="str">
        <f>IFERROR(__xludf.DUMMYFUNCTION("""COMPUTED_VALUE"""),"22EC602")</f>
        <v>22EC602</v>
      </c>
      <c r="E597" s="131" t="str">
        <f>IFERROR(__xludf.DUMMYFUNCTION("""COMPUTED_VALUE"""),"DIGITAL SYSTEM DESIGN WITHFPGA")</f>
        <v>DIGITAL SYSTEM DESIGN WITHFPGA</v>
      </c>
      <c r="F597" s="121" t="str">
        <f>IFERROR(__xludf.DUMMYFUNCTION("""COMPUTED_VALUE"""),"THEORY WITH LAB")</f>
        <v>THEORY WITH LAB</v>
      </c>
      <c r="G597" s="121">
        <f>IFERROR(__xludf.DUMMYFUNCTION("""COMPUTED_VALUE"""),3.0)</f>
        <v>3</v>
      </c>
      <c r="H597" s="121">
        <f>IFERROR(__xludf.DUMMYFUNCTION("""COMPUTED_VALUE"""),0.0)</f>
        <v>0</v>
      </c>
      <c r="I597" s="121">
        <f>IFERROR(__xludf.DUMMYFUNCTION("""COMPUTED_VALUE"""),2.0)</f>
        <v>2</v>
      </c>
      <c r="J597" s="121">
        <f>IFERROR(__xludf.DUMMYFUNCTION("""COMPUTED_VALUE"""),4.0)</f>
        <v>4</v>
      </c>
      <c r="K597" s="132" t="str">
        <f>IFERROR(__xludf.DUMMYFUNCTION("""COMPUTED_VALUE"""),"EC10581")</f>
        <v>EC10581</v>
      </c>
      <c r="L597" s="121" t="str">
        <f>IFERROR(__xludf.DUMMYFUNCTION("""COMPUTED_VALUE"""),"Mr.TAMILSELVAN S")</f>
        <v>Mr.TAMILSELVAN S</v>
      </c>
      <c r="M597" s="121" t="str">
        <f>IFERROR(__xludf.DUMMYFUNCTION("""COMPUTED_VALUE"""),"tamilselvans@bitsathy.ac.in")</f>
        <v>tamilselvans@bitsathy.ac.in</v>
      </c>
    </row>
    <row r="598" ht="49.5" customHeight="1">
      <c r="A598" s="121" t="str">
        <f>IFERROR(__xludf.DUMMYFUNCTION("""COMPUTED_VALUE"""),"ECE")</f>
        <v>ECE</v>
      </c>
      <c r="B598" s="121" t="str">
        <f>IFERROR(__xludf.DUMMYFUNCTION("""COMPUTED_VALUE"""),"S6")</f>
        <v>S6</v>
      </c>
      <c r="C598" s="121" t="str">
        <f>IFERROR(__xludf.DUMMYFUNCTION("""COMPUTED_VALUE"""),"CORE")</f>
        <v>CORE</v>
      </c>
      <c r="D598" s="121" t="str">
        <f>IFERROR(__xludf.DUMMYFUNCTION("""COMPUTED_VALUE"""),"22EC602")</f>
        <v>22EC602</v>
      </c>
      <c r="E598" s="131" t="str">
        <f>IFERROR(__xludf.DUMMYFUNCTION("""COMPUTED_VALUE"""),"DIGITAL SYSTEM DESIGN WITHFPGA")</f>
        <v>DIGITAL SYSTEM DESIGN WITHFPGA</v>
      </c>
      <c r="F598" s="121" t="str">
        <f>IFERROR(__xludf.DUMMYFUNCTION("""COMPUTED_VALUE"""),"THEORY WITH LAB")</f>
        <v>THEORY WITH LAB</v>
      </c>
      <c r="G598" s="121">
        <f>IFERROR(__xludf.DUMMYFUNCTION("""COMPUTED_VALUE"""),3.0)</f>
        <v>3</v>
      </c>
      <c r="H598" s="121">
        <f>IFERROR(__xludf.DUMMYFUNCTION("""COMPUTED_VALUE"""),0.0)</f>
        <v>0</v>
      </c>
      <c r="I598" s="121">
        <f>IFERROR(__xludf.DUMMYFUNCTION("""COMPUTED_VALUE"""),2.0)</f>
        <v>2</v>
      </c>
      <c r="J598" s="121">
        <f>IFERROR(__xludf.DUMMYFUNCTION("""COMPUTED_VALUE"""),4.0)</f>
        <v>4</v>
      </c>
      <c r="K598" s="132" t="str">
        <f>IFERROR(__xludf.DUMMYFUNCTION("""COMPUTED_VALUE"""),"EC10827")</f>
        <v>EC10827</v>
      </c>
      <c r="L598" s="121" t="str">
        <f>IFERROR(__xludf.DUMMYFUNCTION("""COMPUTED_VALUE"""),"Dr.MURUGAN K")</f>
        <v>Dr.MURUGAN K</v>
      </c>
      <c r="M598" s="121" t="str">
        <f>IFERROR(__xludf.DUMMYFUNCTION("""COMPUTED_VALUE"""),"murugank@bitsathy.ac.in")</f>
        <v>murugank@bitsathy.ac.in</v>
      </c>
    </row>
    <row r="599" ht="49.5" customHeight="1">
      <c r="A599" s="121" t="str">
        <f>IFERROR(__xludf.DUMMYFUNCTION("""COMPUTED_VALUE"""),"ECE")</f>
        <v>ECE</v>
      </c>
      <c r="B599" s="121" t="str">
        <f>IFERROR(__xludf.DUMMYFUNCTION("""COMPUTED_VALUE"""),"S6")</f>
        <v>S6</v>
      </c>
      <c r="C599" s="121" t="str">
        <f>IFERROR(__xludf.DUMMYFUNCTION("""COMPUTED_VALUE"""),"CORE")</f>
        <v>CORE</v>
      </c>
      <c r="D599" s="121" t="str">
        <f>IFERROR(__xludf.DUMMYFUNCTION("""COMPUTED_VALUE"""),"22EC602")</f>
        <v>22EC602</v>
      </c>
      <c r="E599" s="131" t="str">
        <f>IFERROR(__xludf.DUMMYFUNCTION("""COMPUTED_VALUE"""),"DIGITAL SYSTEM DESIGN WITHFPGA")</f>
        <v>DIGITAL SYSTEM DESIGN WITHFPGA</v>
      </c>
      <c r="F599" s="121" t="str">
        <f>IFERROR(__xludf.DUMMYFUNCTION("""COMPUTED_VALUE"""),"THEORY")</f>
        <v>THEORY</v>
      </c>
      <c r="G599" s="121">
        <f>IFERROR(__xludf.DUMMYFUNCTION("""COMPUTED_VALUE"""),3.0)</f>
        <v>3</v>
      </c>
      <c r="H599" s="121">
        <f>IFERROR(__xludf.DUMMYFUNCTION("""COMPUTED_VALUE"""),0.0)</f>
        <v>0</v>
      </c>
      <c r="I599" s="121">
        <f>IFERROR(__xludf.DUMMYFUNCTION("""COMPUTED_VALUE"""),2.0)</f>
        <v>2</v>
      </c>
      <c r="J599" s="121">
        <f>IFERROR(__xludf.DUMMYFUNCTION("""COMPUTED_VALUE"""),4.0)</f>
        <v>4</v>
      </c>
      <c r="K599" s="132" t="str">
        <f>IFERROR(__xludf.DUMMYFUNCTION("""COMPUTED_VALUE"""),"EC1893")</f>
        <v>EC1893</v>
      </c>
      <c r="L599" s="121" t="str">
        <f>IFERROR(__xludf.DUMMYFUNCTION("""COMPUTED_VALUE"""),"Dr.ELANGO S")</f>
        <v>Dr.ELANGO S</v>
      </c>
      <c r="M599" s="121" t="str">
        <f>IFERROR(__xludf.DUMMYFUNCTION("""COMPUTED_VALUE"""),"elangos@bitsathy.ac.in")</f>
        <v>elangos@bitsathy.ac.in</v>
      </c>
    </row>
    <row r="600" ht="49.5" customHeight="1">
      <c r="A600" s="121" t="str">
        <f>IFERROR(__xludf.DUMMYFUNCTION("""COMPUTED_VALUE"""),"ECE")</f>
        <v>ECE</v>
      </c>
      <c r="B600" s="121" t="str">
        <f>IFERROR(__xludf.DUMMYFUNCTION("""COMPUTED_VALUE"""),"S6")</f>
        <v>S6</v>
      </c>
      <c r="C600" s="121" t="str">
        <f>IFERROR(__xludf.DUMMYFUNCTION("""COMPUTED_VALUE"""),"CORE")</f>
        <v>CORE</v>
      </c>
      <c r="D600" s="121" t="str">
        <f>IFERROR(__xludf.DUMMYFUNCTION("""COMPUTED_VALUE"""),"22EC602")</f>
        <v>22EC602</v>
      </c>
      <c r="E600" s="131" t="str">
        <f>IFERROR(__xludf.DUMMYFUNCTION("""COMPUTED_VALUE"""),"DIGITAL SYSTEM DESIGN WITHFPGA")</f>
        <v>DIGITAL SYSTEM DESIGN WITHFPGA</v>
      </c>
      <c r="F600" s="121" t="str">
        <f>IFERROR(__xludf.DUMMYFUNCTION("""COMPUTED_VALUE"""),"LAB")</f>
        <v>LAB</v>
      </c>
      <c r="G600" s="121">
        <f>IFERROR(__xludf.DUMMYFUNCTION("""COMPUTED_VALUE"""),3.0)</f>
        <v>3</v>
      </c>
      <c r="H600" s="121">
        <f>IFERROR(__xludf.DUMMYFUNCTION("""COMPUTED_VALUE"""),0.0)</f>
        <v>0</v>
      </c>
      <c r="I600" s="121">
        <f>IFERROR(__xludf.DUMMYFUNCTION("""COMPUTED_VALUE"""),2.0)</f>
        <v>2</v>
      </c>
      <c r="J600" s="121">
        <f>IFERROR(__xludf.DUMMYFUNCTION("""COMPUTED_VALUE"""),4.0)</f>
        <v>4</v>
      </c>
      <c r="K600" s="132" t="str">
        <f>IFERROR(__xludf.DUMMYFUNCTION("""COMPUTED_VALUE"""),"EC11010")</f>
        <v>EC11010</v>
      </c>
      <c r="L600" s="121" t="str">
        <f>IFERROR(__xludf.DUMMYFUNCTION("""COMPUTED_VALUE"""),"Mrs.MARIAAMUTHA R")</f>
        <v>Mrs.MARIAAMUTHA R</v>
      </c>
      <c r="M600" s="121" t="str">
        <f>IFERROR(__xludf.DUMMYFUNCTION("""COMPUTED_VALUE"""),"mariaamuthar@bitsathy.ac.in")</f>
        <v>mariaamuthar@bitsathy.ac.in</v>
      </c>
    </row>
    <row r="601" ht="49.5" customHeight="1">
      <c r="A601" s="121" t="str">
        <f>IFERROR(__xludf.DUMMYFUNCTION("""COMPUTED_VALUE"""),"ECE")</f>
        <v>ECE</v>
      </c>
      <c r="B601" s="121" t="str">
        <f>IFERROR(__xludf.DUMMYFUNCTION("""COMPUTED_VALUE"""),"S6")</f>
        <v>S6</v>
      </c>
      <c r="C601" s="121" t="str">
        <f>IFERROR(__xludf.DUMMYFUNCTION("""COMPUTED_VALUE"""),"CORE")</f>
        <v>CORE</v>
      </c>
      <c r="D601" s="121" t="str">
        <f>IFERROR(__xludf.DUMMYFUNCTION("""COMPUTED_VALUE"""),"22EC603")</f>
        <v>22EC603</v>
      </c>
      <c r="E601" s="131" t="str">
        <f>IFERROR(__xludf.DUMMYFUNCTION("""COMPUTED_VALUE"""),"ARTIFICIAL INTELLIGENCE AND MACHINE LEARNING")</f>
        <v>ARTIFICIAL INTELLIGENCE AND MACHINE LEARNING</v>
      </c>
      <c r="F601" s="121" t="str">
        <f>IFERROR(__xludf.DUMMYFUNCTION("""COMPUTED_VALUE"""),"THEORY")</f>
        <v>THEORY</v>
      </c>
      <c r="G601" s="121">
        <f>IFERROR(__xludf.DUMMYFUNCTION("""COMPUTED_VALUE"""),3.0)</f>
        <v>3</v>
      </c>
      <c r="H601" s="121">
        <f>IFERROR(__xludf.DUMMYFUNCTION("""COMPUTED_VALUE"""),0.0)</f>
        <v>0</v>
      </c>
      <c r="I601" s="121">
        <f>IFERROR(__xludf.DUMMYFUNCTION("""COMPUTED_VALUE"""),2.0)</f>
        <v>2</v>
      </c>
      <c r="J601" s="121">
        <f>IFERROR(__xludf.DUMMYFUNCTION("""COMPUTED_VALUE"""),4.0)</f>
        <v>4</v>
      </c>
      <c r="K601" s="132" t="str">
        <f>IFERROR(__xludf.DUMMYFUNCTION("""COMPUTED_VALUE"""),"EC10194")</f>
        <v>EC10194</v>
      </c>
      <c r="L601" s="121" t="str">
        <f>IFERROR(__xludf.DUMMYFUNCTION("""COMPUTED_VALUE"""),"Mr.KARTHIKEYAN S")</f>
        <v>Mr.KARTHIKEYAN S</v>
      </c>
      <c r="M601" s="121" t="str">
        <f>IFERROR(__xludf.DUMMYFUNCTION("""COMPUTED_VALUE"""),"karthikeyan@bitsathy.ac.in")</f>
        <v>karthikeyan@bitsathy.ac.in</v>
      </c>
    </row>
    <row r="602" ht="49.5" customHeight="1">
      <c r="A602" s="121" t="str">
        <f>IFERROR(__xludf.DUMMYFUNCTION("""COMPUTED_VALUE"""),"ECE")</f>
        <v>ECE</v>
      </c>
      <c r="B602" s="121" t="str">
        <f>IFERROR(__xludf.DUMMYFUNCTION("""COMPUTED_VALUE"""),"S6")</f>
        <v>S6</v>
      </c>
      <c r="C602" s="121" t="str">
        <f>IFERROR(__xludf.DUMMYFUNCTION("""COMPUTED_VALUE"""),"CORE")</f>
        <v>CORE</v>
      </c>
      <c r="D602" s="121" t="str">
        <f>IFERROR(__xludf.DUMMYFUNCTION("""COMPUTED_VALUE"""),"22EC603")</f>
        <v>22EC603</v>
      </c>
      <c r="E602" s="131" t="str">
        <f>IFERROR(__xludf.DUMMYFUNCTION("""COMPUTED_VALUE"""),"ARTIFICIAL INTELLIGENCE AND MACHINE LEARNING")</f>
        <v>ARTIFICIAL INTELLIGENCE AND MACHINE LEARNING</v>
      </c>
      <c r="F602" s="121" t="str">
        <f>IFERROR(__xludf.DUMMYFUNCTION("""COMPUTED_VALUE"""),"LAB")</f>
        <v>LAB</v>
      </c>
      <c r="G602" s="121">
        <f>IFERROR(__xludf.DUMMYFUNCTION("""COMPUTED_VALUE"""),3.0)</f>
        <v>3</v>
      </c>
      <c r="H602" s="121">
        <f>IFERROR(__xludf.DUMMYFUNCTION("""COMPUTED_VALUE"""),0.0)</f>
        <v>0</v>
      </c>
      <c r="I602" s="121">
        <f>IFERROR(__xludf.DUMMYFUNCTION("""COMPUTED_VALUE"""),2.0)</f>
        <v>2</v>
      </c>
      <c r="J602" s="121">
        <f>IFERROR(__xludf.DUMMYFUNCTION("""COMPUTED_VALUE"""),4.0)</f>
        <v>4</v>
      </c>
      <c r="K602" s="132"/>
      <c r="L602" s="121"/>
      <c r="M602" s="133"/>
    </row>
    <row r="603" ht="49.5" customHeight="1">
      <c r="A603" s="121" t="str">
        <f>IFERROR(__xludf.DUMMYFUNCTION("""COMPUTED_VALUE"""),"ECE")</f>
        <v>ECE</v>
      </c>
      <c r="B603" s="121" t="str">
        <f>IFERROR(__xludf.DUMMYFUNCTION("""COMPUTED_VALUE"""),"S6")</f>
        <v>S6</v>
      </c>
      <c r="C603" s="121" t="str">
        <f>IFERROR(__xludf.DUMMYFUNCTION("""COMPUTED_VALUE"""),"CORE")</f>
        <v>CORE</v>
      </c>
      <c r="D603" s="121" t="str">
        <f>IFERROR(__xludf.DUMMYFUNCTION("""COMPUTED_VALUE"""),"22EC603")</f>
        <v>22EC603</v>
      </c>
      <c r="E603" s="131" t="str">
        <f>IFERROR(__xludf.DUMMYFUNCTION("""COMPUTED_VALUE"""),"ARTIFICIAL INTELLIGENCE AND MACHINE LEARNING")</f>
        <v>ARTIFICIAL INTELLIGENCE AND MACHINE LEARNING</v>
      </c>
      <c r="F603" s="121" t="str">
        <f>IFERROR(__xludf.DUMMYFUNCTION("""COMPUTED_VALUE"""),"THEORY WITH LAB")</f>
        <v>THEORY WITH LAB</v>
      </c>
      <c r="G603" s="121">
        <f>IFERROR(__xludf.DUMMYFUNCTION("""COMPUTED_VALUE"""),3.0)</f>
        <v>3</v>
      </c>
      <c r="H603" s="121">
        <f>IFERROR(__xludf.DUMMYFUNCTION("""COMPUTED_VALUE"""),0.0)</f>
        <v>0</v>
      </c>
      <c r="I603" s="121">
        <f>IFERROR(__xludf.DUMMYFUNCTION("""COMPUTED_VALUE"""),2.0)</f>
        <v>2</v>
      </c>
      <c r="J603" s="121">
        <f>IFERROR(__xludf.DUMMYFUNCTION("""COMPUTED_VALUE"""),4.0)</f>
        <v>4</v>
      </c>
      <c r="K603" s="132" t="str">
        <f>IFERROR(__xludf.DUMMYFUNCTION("""COMPUTED_VALUE"""),"EC10915")</f>
        <v>EC10915</v>
      </c>
      <c r="L603" s="121" t="str">
        <f>IFERROR(__xludf.DUMMYFUNCTION("""COMPUTED_VALUE"""),"Dr.STEPHEN SAGAYARAJ A")</f>
        <v>Dr.STEPHEN SAGAYARAJ A</v>
      </c>
      <c r="M603" s="121" t="str">
        <f>IFERROR(__xludf.DUMMYFUNCTION("""COMPUTED_VALUE"""),"stephensagayaraja@bitsathy.ac.in")</f>
        <v>stephensagayaraja@bitsathy.ac.in</v>
      </c>
    </row>
    <row r="604" ht="49.5" customHeight="1">
      <c r="A604" s="121" t="str">
        <f>IFERROR(__xludf.DUMMYFUNCTION("""COMPUTED_VALUE"""),"ECE")</f>
        <v>ECE</v>
      </c>
      <c r="B604" s="121" t="str">
        <f>IFERROR(__xludf.DUMMYFUNCTION("""COMPUTED_VALUE"""),"S6")</f>
        <v>S6</v>
      </c>
      <c r="C604" s="121" t="str">
        <f>IFERROR(__xludf.DUMMYFUNCTION("""COMPUTED_VALUE"""),"CORE")</f>
        <v>CORE</v>
      </c>
      <c r="D604" s="121" t="str">
        <f>IFERROR(__xludf.DUMMYFUNCTION("""COMPUTED_VALUE"""),"22EC603")</f>
        <v>22EC603</v>
      </c>
      <c r="E604" s="131" t="str">
        <f>IFERROR(__xludf.DUMMYFUNCTION("""COMPUTED_VALUE"""),"ARTIFICIAL INTELLIGENCE AND MACHINE LEARNING")</f>
        <v>ARTIFICIAL INTELLIGENCE AND MACHINE LEARNING</v>
      </c>
      <c r="F604" s="121" t="str">
        <f>IFERROR(__xludf.DUMMYFUNCTION("""COMPUTED_VALUE"""),"THEORY WITH LAB")</f>
        <v>THEORY WITH LAB</v>
      </c>
      <c r="G604" s="121">
        <f>IFERROR(__xludf.DUMMYFUNCTION("""COMPUTED_VALUE"""),3.0)</f>
        <v>3</v>
      </c>
      <c r="H604" s="121">
        <f>IFERROR(__xludf.DUMMYFUNCTION("""COMPUTED_VALUE"""),0.0)</f>
        <v>0</v>
      </c>
      <c r="I604" s="121">
        <f>IFERROR(__xludf.DUMMYFUNCTION("""COMPUTED_VALUE"""),2.0)</f>
        <v>2</v>
      </c>
      <c r="J604" s="121">
        <f>IFERROR(__xludf.DUMMYFUNCTION("""COMPUTED_VALUE"""),4.0)</f>
        <v>4</v>
      </c>
      <c r="K604" s="132" t="str">
        <f>IFERROR(__xludf.DUMMYFUNCTION("""COMPUTED_VALUE"""),"EC10764")</f>
        <v>EC10764</v>
      </c>
      <c r="L604" s="121" t="str">
        <f>IFERROR(__xludf.DUMMYFUNCTION("""COMPUTED_VALUE"""),"Mrs.SOUNDARYA B")</f>
        <v>Mrs.SOUNDARYA B</v>
      </c>
      <c r="M604" s="121" t="str">
        <f>IFERROR(__xludf.DUMMYFUNCTION("""COMPUTED_VALUE"""),"soundarya@bitsathy.ac.in")</f>
        <v>soundarya@bitsathy.ac.in</v>
      </c>
    </row>
    <row r="605" ht="49.5" customHeight="1">
      <c r="A605" s="121" t="str">
        <f>IFERROR(__xludf.DUMMYFUNCTION("""COMPUTED_VALUE"""),"ECE")</f>
        <v>ECE</v>
      </c>
      <c r="B605" s="121" t="str">
        <f>IFERROR(__xludf.DUMMYFUNCTION("""COMPUTED_VALUE"""),"S6")</f>
        <v>S6</v>
      </c>
      <c r="C605" s="121" t="str">
        <f>IFERROR(__xludf.DUMMYFUNCTION("""COMPUTED_VALUE"""),"CORE")</f>
        <v>CORE</v>
      </c>
      <c r="D605" s="121" t="str">
        <f>IFERROR(__xludf.DUMMYFUNCTION("""COMPUTED_VALUE"""),"22EC603")</f>
        <v>22EC603</v>
      </c>
      <c r="E605" s="131" t="str">
        <f>IFERROR(__xludf.DUMMYFUNCTION("""COMPUTED_VALUE"""),"ARTIFICIAL INTELLIGENCE AND MACHINE LEARNING")</f>
        <v>ARTIFICIAL INTELLIGENCE AND MACHINE LEARNING</v>
      </c>
      <c r="F605" s="121" t="str">
        <f>IFERROR(__xludf.DUMMYFUNCTION("""COMPUTED_VALUE"""),"THEORY")</f>
        <v>THEORY</v>
      </c>
      <c r="G605" s="121">
        <f>IFERROR(__xludf.DUMMYFUNCTION("""COMPUTED_VALUE"""),3.0)</f>
        <v>3</v>
      </c>
      <c r="H605" s="121">
        <f>IFERROR(__xludf.DUMMYFUNCTION("""COMPUTED_VALUE"""),0.0)</f>
        <v>0</v>
      </c>
      <c r="I605" s="121">
        <f>IFERROR(__xludf.DUMMYFUNCTION("""COMPUTED_VALUE"""),2.0)</f>
        <v>2</v>
      </c>
      <c r="J605" s="121">
        <f>IFERROR(__xludf.DUMMYFUNCTION("""COMPUTED_VALUE"""),4.0)</f>
        <v>4</v>
      </c>
      <c r="K605" s="132" t="str">
        <f>IFERROR(__xludf.DUMMYFUNCTION("""COMPUTED_VALUE"""),"EC10678")</f>
        <v>EC10678</v>
      </c>
      <c r="L605" s="121" t="str">
        <f>IFERROR(__xludf.DUMMYFUNCTION("""COMPUTED_VALUE"""),"Dr.LEEBAN MOSES M")</f>
        <v>Dr.LEEBAN MOSES M</v>
      </c>
      <c r="M605" s="121" t="str">
        <f>IFERROR(__xludf.DUMMYFUNCTION("""COMPUTED_VALUE"""),"leebanmoses@bitsathy.ac.in")</f>
        <v>leebanmoses@bitsathy.ac.in</v>
      </c>
    </row>
    <row r="606" ht="49.5" customHeight="1">
      <c r="A606" s="121" t="str">
        <f>IFERROR(__xludf.DUMMYFUNCTION("""COMPUTED_VALUE"""),"ECE")</f>
        <v>ECE</v>
      </c>
      <c r="B606" s="121" t="str">
        <f>IFERROR(__xludf.DUMMYFUNCTION("""COMPUTED_VALUE"""),"S6")</f>
        <v>S6</v>
      </c>
      <c r="C606" s="121" t="str">
        <f>IFERROR(__xludf.DUMMYFUNCTION("""COMPUTED_VALUE"""),"CORE")</f>
        <v>CORE</v>
      </c>
      <c r="D606" s="121" t="str">
        <f>IFERROR(__xludf.DUMMYFUNCTION("""COMPUTED_VALUE"""),"22EC603")</f>
        <v>22EC603</v>
      </c>
      <c r="E606" s="131" t="str">
        <f>IFERROR(__xludf.DUMMYFUNCTION("""COMPUTED_VALUE"""),"ARTIFICIAL INTELLIGENCE AND MACHINE LEARNING")</f>
        <v>ARTIFICIAL INTELLIGENCE AND MACHINE LEARNING</v>
      </c>
      <c r="F606" s="121" t="str">
        <f>IFERROR(__xludf.DUMMYFUNCTION("""COMPUTED_VALUE"""),"LAB")</f>
        <v>LAB</v>
      </c>
      <c r="G606" s="121">
        <f>IFERROR(__xludf.DUMMYFUNCTION("""COMPUTED_VALUE"""),3.0)</f>
        <v>3</v>
      </c>
      <c r="H606" s="121">
        <f>IFERROR(__xludf.DUMMYFUNCTION("""COMPUTED_VALUE"""),0.0)</f>
        <v>0</v>
      </c>
      <c r="I606" s="121">
        <f>IFERROR(__xludf.DUMMYFUNCTION("""COMPUTED_VALUE"""),2.0)</f>
        <v>2</v>
      </c>
      <c r="J606" s="121">
        <f>IFERROR(__xludf.DUMMYFUNCTION("""COMPUTED_VALUE"""),4.0)</f>
        <v>4</v>
      </c>
      <c r="K606" s="132"/>
      <c r="L606" s="121"/>
      <c r="M606" s="121"/>
    </row>
    <row r="607" ht="49.5" customHeight="1">
      <c r="A607" s="121" t="str">
        <f>IFERROR(__xludf.DUMMYFUNCTION("""COMPUTED_VALUE"""),"ECE")</f>
        <v>ECE</v>
      </c>
      <c r="B607" s="121" t="str">
        <f>IFERROR(__xludf.DUMMYFUNCTION("""COMPUTED_VALUE"""),"S6")</f>
        <v>S6</v>
      </c>
      <c r="C607" s="121" t="str">
        <f>IFERROR(__xludf.DUMMYFUNCTION("""COMPUTED_VALUE"""),"ELECTIVE 3")</f>
        <v>ELECTIVE 3</v>
      </c>
      <c r="D607" s="121" t="str">
        <f>IFERROR(__xludf.DUMMYFUNCTION("""COMPUTED_VALUE"""),"22EC046")</f>
        <v>22EC046</v>
      </c>
      <c r="E607" s="131" t="str">
        <f>IFERROR(__xludf.DUMMYFUNCTION("""COMPUTED_VALUE"""),"AUTOMOTIVE ELECTRONICS AND NETWORKING")</f>
        <v>AUTOMOTIVE ELECTRONICS AND NETWORKING</v>
      </c>
      <c r="F607" s="121" t="str">
        <f>IFERROR(__xludf.DUMMYFUNCTION("""COMPUTED_VALUE"""),"THEORY")</f>
        <v>THEORY</v>
      </c>
      <c r="G607" s="121">
        <f>IFERROR(__xludf.DUMMYFUNCTION("""COMPUTED_VALUE"""),3.0)</f>
        <v>3</v>
      </c>
      <c r="H607" s="121">
        <f>IFERROR(__xludf.DUMMYFUNCTION("""COMPUTED_VALUE"""),0.0)</f>
        <v>0</v>
      </c>
      <c r="I607" s="121">
        <f>IFERROR(__xludf.DUMMYFUNCTION("""COMPUTED_VALUE"""),0.0)</f>
        <v>0</v>
      </c>
      <c r="J607" s="121">
        <f>IFERROR(__xludf.DUMMYFUNCTION("""COMPUTED_VALUE"""),3.0)</f>
        <v>3</v>
      </c>
      <c r="K607" s="132" t="str">
        <f>IFERROR(__xludf.DUMMYFUNCTION("""COMPUTED_VALUE"""),"EC10186")</f>
        <v>EC10186</v>
      </c>
      <c r="L607" s="121" t="str">
        <f>IFERROR(__xludf.DUMMYFUNCTION("""COMPUTED_VALUE"""),"Dr.SAMPOORNAM K P")</f>
        <v>Dr.SAMPOORNAM K P</v>
      </c>
      <c r="M607" s="121" t="str">
        <f>IFERROR(__xludf.DUMMYFUNCTION("""COMPUTED_VALUE"""),"sampoornam@bitsathy.ac.in")</f>
        <v>sampoornam@bitsathy.ac.in</v>
      </c>
    </row>
    <row r="608" ht="49.5" customHeight="1">
      <c r="A608" s="121" t="str">
        <f>IFERROR(__xludf.DUMMYFUNCTION("""COMPUTED_VALUE"""),"ECE")</f>
        <v>ECE</v>
      </c>
      <c r="B608" s="121" t="str">
        <f>IFERROR(__xludf.DUMMYFUNCTION("""COMPUTED_VALUE"""),"S6")</f>
        <v>S6</v>
      </c>
      <c r="C608" s="121" t="str">
        <f>IFERROR(__xludf.DUMMYFUNCTION("""COMPUTED_VALUE"""),"ELECTIVE 3")</f>
        <v>ELECTIVE 3</v>
      </c>
      <c r="D608" s="121" t="str">
        <f>IFERROR(__xludf.DUMMYFUNCTION("""COMPUTED_VALUE"""),"22EC046")</f>
        <v>22EC046</v>
      </c>
      <c r="E608" s="131" t="str">
        <f>IFERROR(__xludf.DUMMYFUNCTION("""COMPUTED_VALUE"""),"AUTOMOTIVE ELECTRONICS AND NETWORKING")</f>
        <v>AUTOMOTIVE ELECTRONICS AND NETWORKING</v>
      </c>
      <c r="F608" s="121" t="str">
        <f>IFERROR(__xludf.DUMMYFUNCTION("""COMPUTED_VALUE"""),"THEORY")</f>
        <v>THEORY</v>
      </c>
      <c r="G608" s="121">
        <f>IFERROR(__xludf.DUMMYFUNCTION("""COMPUTED_VALUE"""),3.0)</f>
        <v>3</v>
      </c>
      <c r="H608" s="121">
        <f>IFERROR(__xludf.DUMMYFUNCTION("""COMPUTED_VALUE"""),0.0)</f>
        <v>0</v>
      </c>
      <c r="I608" s="121">
        <f>IFERROR(__xludf.DUMMYFUNCTION("""COMPUTED_VALUE"""),0.0)</f>
        <v>0</v>
      </c>
      <c r="J608" s="121">
        <f>IFERROR(__xludf.DUMMYFUNCTION("""COMPUTED_VALUE"""),3.0)</f>
        <v>3</v>
      </c>
      <c r="K608" s="132" t="str">
        <f>IFERROR(__xludf.DUMMYFUNCTION("""COMPUTED_VALUE"""),"EC11021")</f>
        <v>EC11021</v>
      </c>
      <c r="L608" s="121" t="str">
        <f>IFERROR(__xludf.DUMMYFUNCTION("""COMPUTED_VALUE"""),"Dr.SATHIYAMURTHI P")</f>
        <v>Dr.SATHIYAMURTHI P</v>
      </c>
      <c r="M608" s="121" t="str">
        <f>IFERROR(__xludf.DUMMYFUNCTION("""COMPUTED_VALUE"""),"sathiyamurthi@bitsathy.ac.in")</f>
        <v>sathiyamurthi@bitsathy.ac.in</v>
      </c>
    </row>
    <row r="609" ht="49.5" customHeight="1">
      <c r="A609" s="121" t="str">
        <f>IFERROR(__xludf.DUMMYFUNCTION("""COMPUTED_VALUE"""),"ECE")</f>
        <v>ECE</v>
      </c>
      <c r="B609" s="121" t="str">
        <f>IFERROR(__xludf.DUMMYFUNCTION("""COMPUTED_VALUE"""),"S6")</f>
        <v>S6</v>
      </c>
      <c r="C609" s="121" t="str">
        <f>IFERROR(__xludf.DUMMYFUNCTION("""COMPUTED_VALUE"""),"ELECTIVE 3")</f>
        <v>ELECTIVE 3</v>
      </c>
      <c r="D609" s="121" t="str">
        <f>IFERROR(__xludf.DUMMYFUNCTION("""COMPUTED_VALUE"""),"22EC046")</f>
        <v>22EC046</v>
      </c>
      <c r="E609" s="131" t="str">
        <f>IFERROR(__xludf.DUMMYFUNCTION("""COMPUTED_VALUE"""),"AUTOMOTIVE ELECTRONICS AND NETWORKING")</f>
        <v>AUTOMOTIVE ELECTRONICS AND NETWORKING</v>
      </c>
      <c r="F609" s="121" t="str">
        <f>IFERROR(__xludf.DUMMYFUNCTION("""COMPUTED_VALUE"""),"THEORY")</f>
        <v>THEORY</v>
      </c>
      <c r="G609" s="121">
        <f>IFERROR(__xludf.DUMMYFUNCTION("""COMPUTED_VALUE"""),3.0)</f>
        <v>3</v>
      </c>
      <c r="H609" s="121">
        <f>IFERROR(__xludf.DUMMYFUNCTION("""COMPUTED_VALUE"""),0.0)</f>
        <v>0</v>
      </c>
      <c r="I609" s="121">
        <f>IFERROR(__xludf.DUMMYFUNCTION("""COMPUTED_VALUE"""),0.0)</f>
        <v>0</v>
      </c>
      <c r="J609" s="121">
        <f>IFERROR(__xludf.DUMMYFUNCTION("""COMPUTED_VALUE"""),3.0)</f>
        <v>3</v>
      </c>
      <c r="K609" s="132" t="str">
        <f>IFERROR(__xludf.DUMMYFUNCTION("""COMPUTED_VALUE"""),"AU10440")</f>
        <v>AU10440</v>
      </c>
      <c r="L609" s="121" t="str">
        <f>IFERROR(__xludf.DUMMYFUNCTION("""COMPUTED_VALUE"""),"Mr.TAMILSELVAN A")</f>
        <v>Mr.TAMILSELVAN A</v>
      </c>
      <c r="M609" s="121" t="str">
        <f>IFERROR(__xludf.DUMMYFUNCTION("""COMPUTED_VALUE"""),"tamilselvan@bitsathy.ac.in")</f>
        <v>tamilselvan@bitsathy.ac.in</v>
      </c>
    </row>
    <row r="610" ht="49.5" customHeight="1">
      <c r="A610" s="121" t="str">
        <f>IFERROR(__xludf.DUMMYFUNCTION("""COMPUTED_VALUE"""),"ECE")</f>
        <v>ECE</v>
      </c>
      <c r="B610" s="121" t="str">
        <f>IFERROR(__xludf.DUMMYFUNCTION("""COMPUTED_VALUE"""),"S6")</f>
        <v>S6</v>
      </c>
      <c r="C610" s="121" t="str">
        <f>IFERROR(__xludf.DUMMYFUNCTION("""COMPUTED_VALUE"""),"ELECTIVE 3")</f>
        <v>ELECTIVE 3</v>
      </c>
      <c r="D610" s="121" t="str">
        <f>IFERROR(__xludf.DUMMYFUNCTION("""COMPUTED_VALUE"""),"22EC015")</f>
        <v>22EC015</v>
      </c>
      <c r="E610" s="131" t="str">
        <f>IFERROR(__xludf.DUMMYFUNCTION("""COMPUTED_VALUE"""),"ASIC DESIGN")</f>
        <v>ASIC DESIGN</v>
      </c>
      <c r="F610" s="121" t="str">
        <f>IFERROR(__xludf.DUMMYFUNCTION("""COMPUTED_VALUE"""),"THEORY")</f>
        <v>THEORY</v>
      </c>
      <c r="G610" s="121">
        <f>IFERROR(__xludf.DUMMYFUNCTION("""COMPUTED_VALUE"""),3.0)</f>
        <v>3</v>
      </c>
      <c r="H610" s="121">
        <f>IFERROR(__xludf.DUMMYFUNCTION("""COMPUTED_VALUE"""),0.0)</f>
        <v>0</v>
      </c>
      <c r="I610" s="121">
        <f>IFERROR(__xludf.DUMMYFUNCTION("""COMPUTED_VALUE"""),0.0)</f>
        <v>0</v>
      </c>
      <c r="J610" s="121">
        <f>IFERROR(__xludf.DUMMYFUNCTION("""COMPUTED_VALUE"""),3.0)</f>
        <v>3</v>
      </c>
      <c r="K610" s="132" t="str">
        <f>IFERROR(__xludf.DUMMYFUNCTION("""COMPUTED_VALUE"""),"EC10603")</f>
        <v>EC10603</v>
      </c>
      <c r="L610" s="121" t="str">
        <f>IFERROR(__xludf.DUMMYFUNCTION("""COMPUTED_VALUE"""),"Mr.RAJA SEKAR S")</f>
        <v>Mr.RAJA SEKAR S</v>
      </c>
      <c r="M610" s="121" t="str">
        <f>IFERROR(__xludf.DUMMYFUNCTION("""COMPUTED_VALUE"""),"rajasekar@bitsathy.ac.in")</f>
        <v>rajasekar@bitsathy.ac.in</v>
      </c>
    </row>
    <row r="611" ht="49.5" customHeight="1">
      <c r="A611" s="121" t="str">
        <f>IFERROR(__xludf.DUMMYFUNCTION("""COMPUTED_VALUE"""),"ECE")</f>
        <v>ECE</v>
      </c>
      <c r="B611" s="121" t="str">
        <f>IFERROR(__xludf.DUMMYFUNCTION("""COMPUTED_VALUE"""),"S6")</f>
        <v>S6</v>
      </c>
      <c r="C611" s="121" t="str">
        <f>IFERROR(__xludf.DUMMYFUNCTION("""COMPUTED_VALUE"""),"ELECTIVE 3")</f>
        <v>ELECTIVE 3</v>
      </c>
      <c r="D611" s="121" t="str">
        <f>IFERROR(__xludf.DUMMYFUNCTION("""COMPUTED_VALUE"""),"22EC015")</f>
        <v>22EC015</v>
      </c>
      <c r="E611" s="131" t="str">
        <f>IFERROR(__xludf.DUMMYFUNCTION("""COMPUTED_VALUE"""),"ASIC DESIGN")</f>
        <v>ASIC DESIGN</v>
      </c>
      <c r="F611" s="121" t="str">
        <f>IFERROR(__xludf.DUMMYFUNCTION("""COMPUTED_VALUE"""),"THEORY")</f>
        <v>THEORY</v>
      </c>
      <c r="G611" s="121">
        <f>IFERROR(__xludf.DUMMYFUNCTION("""COMPUTED_VALUE"""),3.0)</f>
        <v>3</v>
      </c>
      <c r="H611" s="121">
        <f>IFERROR(__xludf.DUMMYFUNCTION("""COMPUTED_VALUE"""),0.0)</f>
        <v>0</v>
      </c>
      <c r="I611" s="121">
        <f>IFERROR(__xludf.DUMMYFUNCTION("""COMPUTED_VALUE"""),0.0)</f>
        <v>0</v>
      </c>
      <c r="J611" s="121">
        <f>IFERROR(__xludf.DUMMYFUNCTION("""COMPUTED_VALUE"""),3.0)</f>
        <v>3</v>
      </c>
      <c r="K611" s="132" t="str">
        <f>IFERROR(__xludf.DUMMYFUNCTION("""COMPUTED_VALUE"""),"EC1537")</f>
        <v>EC1537</v>
      </c>
      <c r="L611" s="121" t="str">
        <f>IFERROR(__xludf.DUMMYFUNCTION("""COMPUTED_VALUE"""),"Dr.PUSHPAVALLI M")</f>
        <v>Dr.PUSHPAVALLI M</v>
      </c>
      <c r="M611" s="121" t="str">
        <f>IFERROR(__xludf.DUMMYFUNCTION("""COMPUTED_VALUE"""),"pushpavallim@bitsathy.ac.in")</f>
        <v>pushpavallim@bitsathy.ac.in</v>
      </c>
    </row>
    <row r="612" ht="49.5" customHeight="1">
      <c r="A612" s="121" t="str">
        <f>IFERROR(__xludf.DUMMYFUNCTION("""COMPUTED_VALUE"""),"ECE")</f>
        <v>ECE</v>
      </c>
      <c r="B612" s="121" t="str">
        <f>IFERROR(__xludf.DUMMYFUNCTION("""COMPUTED_VALUE"""),"S6")</f>
        <v>S6</v>
      </c>
      <c r="C612" s="121" t="str">
        <f>IFERROR(__xludf.DUMMYFUNCTION("""COMPUTED_VALUE"""),"ELECTIVE 4")</f>
        <v>ELECTIVE 4</v>
      </c>
      <c r="D612" s="121" t="str">
        <f>IFERROR(__xludf.DUMMYFUNCTION("""COMPUTED_VALUE"""),"22EC006")</f>
        <v>22EC006</v>
      </c>
      <c r="E612" s="131" t="str">
        <f>IFERROR(__xludf.DUMMYFUNCTION("""COMPUTED_VALUE"""),"VIRTUAL INSTRUMENTATION IN EMBEDDED SYSTEMS")</f>
        <v>VIRTUAL INSTRUMENTATION IN EMBEDDED SYSTEMS</v>
      </c>
      <c r="F612" s="121" t="str">
        <f>IFERROR(__xludf.DUMMYFUNCTION("""COMPUTED_VALUE"""),"THEORY")</f>
        <v>THEORY</v>
      </c>
      <c r="G612" s="121">
        <f>IFERROR(__xludf.DUMMYFUNCTION("""COMPUTED_VALUE"""),3.0)</f>
        <v>3</v>
      </c>
      <c r="H612" s="121">
        <f>IFERROR(__xludf.DUMMYFUNCTION("""COMPUTED_VALUE"""),0.0)</f>
        <v>0</v>
      </c>
      <c r="I612" s="121">
        <f>IFERROR(__xludf.DUMMYFUNCTION("""COMPUTED_VALUE"""),0.0)</f>
        <v>0</v>
      </c>
      <c r="J612" s="121">
        <f>IFERROR(__xludf.DUMMYFUNCTION("""COMPUTED_VALUE"""),3.0)</f>
        <v>3</v>
      </c>
      <c r="K612" s="132" t="str">
        <f>IFERROR(__xludf.DUMMYFUNCTION("""COMPUTED_VALUE"""),"EC11010")</f>
        <v>EC11010</v>
      </c>
      <c r="L612" s="121" t="str">
        <f>IFERROR(__xludf.DUMMYFUNCTION("""COMPUTED_VALUE"""),"Mrs.MARIAAMUTHA R")</f>
        <v>Mrs.MARIAAMUTHA R</v>
      </c>
      <c r="M612" s="121" t="str">
        <f>IFERROR(__xludf.DUMMYFUNCTION("""COMPUTED_VALUE"""),"mariaamuthar@bitsathy.ac.in")</f>
        <v>mariaamuthar@bitsathy.ac.in</v>
      </c>
    </row>
    <row r="613" ht="49.5" customHeight="1">
      <c r="A613" s="121" t="str">
        <f>IFERROR(__xludf.DUMMYFUNCTION("""COMPUTED_VALUE"""),"ECE")</f>
        <v>ECE</v>
      </c>
      <c r="B613" s="121" t="str">
        <f>IFERROR(__xludf.DUMMYFUNCTION("""COMPUTED_VALUE"""),"S6")</f>
        <v>S6</v>
      </c>
      <c r="C613" s="121" t="str">
        <f>IFERROR(__xludf.DUMMYFUNCTION("""COMPUTED_VALUE"""),"ELECTIVE 4")</f>
        <v>ELECTIVE 4</v>
      </c>
      <c r="D613" s="121" t="str">
        <f>IFERROR(__xludf.DUMMYFUNCTION("""COMPUTED_VALUE"""),"22EC004")</f>
        <v>22EC004</v>
      </c>
      <c r="E613" s="131" t="str">
        <f>IFERROR(__xludf.DUMMYFUNCTION("""COMPUTED_VALUE"""),"REAL-TIME OPERATING SYSTEMS")</f>
        <v>REAL-TIME OPERATING SYSTEMS</v>
      </c>
      <c r="F613" s="121" t="str">
        <f>IFERROR(__xludf.DUMMYFUNCTION("""COMPUTED_VALUE"""),"THEORY")</f>
        <v>THEORY</v>
      </c>
      <c r="G613" s="121">
        <f>IFERROR(__xludf.DUMMYFUNCTION("""COMPUTED_VALUE"""),3.0)</f>
        <v>3</v>
      </c>
      <c r="H613" s="121">
        <f>IFERROR(__xludf.DUMMYFUNCTION("""COMPUTED_VALUE"""),0.0)</f>
        <v>0</v>
      </c>
      <c r="I613" s="121">
        <f>IFERROR(__xludf.DUMMYFUNCTION("""COMPUTED_VALUE"""),0.0)</f>
        <v>0</v>
      </c>
      <c r="J613" s="121">
        <f>IFERROR(__xludf.DUMMYFUNCTION("""COMPUTED_VALUE"""),3.0)</f>
        <v>3</v>
      </c>
      <c r="K613" s="132" t="str">
        <f>IFERROR(__xludf.DUMMYFUNCTION("""COMPUTED_VALUE"""),"EC1938")</f>
        <v>EC1938</v>
      </c>
      <c r="L613" s="121" t="str">
        <f>IFERROR(__xludf.DUMMYFUNCTION("""COMPUTED_VALUE"""),"Dr.RAMKUMAR R")</f>
        <v>Dr.RAMKUMAR R</v>
      </c>
      <c r="M613" s="121" t="str">
        <f>IFERROR(__xludf.DUMMYFUNCTION("""COMPUTED_VALUE"""),"ramkumarr@bitsathy.ac.in")</f>
        <v>ramkumarr@bitsathy.ac.in</v>
      </c>
    </row>
    <row r="614" ht="49.5" customHeight="1">
      <c r="A614" s="121" t="str">
        <f>IFERROR(__xludf.DUMMYFUNCTION("""COMPUTED_VALUE"""),"ECE")</f>
        <v>ECE</v>
      </c>
      <c r="B614" s="121" t="str">
        <f>IFERROR(__xludf.DUMMYFUNCTION("""COMPUTED_VALUE"""),"S6")</f>
        <v>S6</v>
      </c>
      <c r="C614" s="121" t="str">
        <f>IFERROR(__xludf.DUMMYFUNCTION("""COMPUTED_VALUE"""),"ELECTIVE 4")</f>
        <v>ELECTIVE 4</v>
      </c>
      <c r="D614" s="121" t="str">
        <f>IFERROR(__xludf.DUMMYFUNCTION("""COMPUTED_VALUE"""),"22EC004")</f>
        <v>22EC004</v>
      </c>
      <c r="E614" s="131" t="str">
        <f>IFERROR(__xludf.DUMMYFUNCTION("""COMPUTED_VALUE"""),"REAL-TIME OPERATING SYSTEMS")</f>
        <v>REAL-TIME OPERATING SYSTEMS</v>
      </c>
      <c r="F614" s="121" t="str">
        <f>IFERROR(__xludf.DUMMYFUNCTION("""COMPUTED_VALUE"""),"THEORY")</f>
        <v>THEORY</v>
      </c>
      <c r="G614" s="121">
        <f>IFERROR(__xludf.DUMMYFUNCTION("""COMPUTED_VALUE"""),3.0)</f>
        <v>3</v>
      </c>
      <c r="H614" s="121">
        <f>IFERROR(__xludf.DUMMYFUNCTION("""COMPUTED_VALUE"""),0.0)</f>
        <v>0</v>
      </c>
      <c r="I614" s="121">
        <f>IFERROR(__xludf.DUMMYFUNCTION("""COMPUTED_VALUE"""),0.0)</f>
        <v>0</v>
      </c>
      <c r="J614" s="121">
        <f>IFERROR(__xludf.DUMMYFUNCTION("""COMPUTED_VALUE"""),3.0)</f>
        <v>3</v>
      </c>
      <c r="K614" s="132" t="str">
        <f>IFERROR(__xludf.DUMMYFUNCTION("""COMPUTED_VALUE"""),"EC11043")</f>
        <v>EC11043</v>
      </c>
      <c r="L614" s="121" t="str">
        <f>IFERROR(__xludf.DUMMYFUNCTION("""COMPUTED_VALUE"""),"Mrs.NIVETHA G")</f>
        <v>Mrs.NIVETHA G</v>
      </c>
      <c r="M614" s="121" t="str">
        <f>IFERROR(__xludf.DUMMYFUNCTION("""COMPUTED_VALUE"""),"nivethag@bitsathy.ac.in")</f>
        <v>nivethag@bitsathy.ac.in</v>
      </c>
    </row>
    <row r="615" ht="49.5" customHeight="1">
      <c r="A615" s="121" t="str">
        <f>IFERROR(__xludf.DUMMYFUNCTION("""COMPUTED_VALUE"""),"ECE")</f>
        <v>ECE</v>
      </c>
      <c r="B615" s="121" t="str">
        <f>IFERROR(__xludf.DUMMYFUNCTION("""COMPUTED_VALUE"""),"S6")</f>
        <v>S6</v>
      </c>
      <c r="C615" s="121" t="str">
        <f>IFERROR(__xludf.DUMMYFUNCTION("""COMPUTED_VALUE"""),"ELECTIVE 4")</f>
        <v>ELECTIVE 4</v>
      </c>
      <c r="D615" s="121" t="str">
        <f>IFERROR(__xludf.DUMMYFUNCTION("""COMPUTED_VALUE"""),"22EC004")</f>
        <v>22EC004</v>
      </c>
      <c r="E615" s="131" t="str">
        <f>IFERROR(__xludf.DUMMYFUNCTION("""COMPUTED_VALUE"""),"REAL-TIME OPERATING SYSTEMS")</f>
        <v>REAL-TIME OPERATING SYSTEMS</v>
      </c>
      <c r="F615" s="121" t="str">
        <f>IFERROR(__xludf.DUMMYFUNCTION("""COMPUTED_VALUE"""),"THEORY")</f>
        <v>THEORY</v>
      </c>
      <c r="G615" s="121">
        <f>IFERROR(__xludf.DUMMYFUNCTION("""COMPUTED_VALUE"""),3.0)</f>
        <v>3</v>
      </c>
      <c r="H615" s="121">
        <f>IFERROR(__xludf.DUMMYFUNCTION("""COMPUTED_VALUE"""),0.0)</f>
        <v>0</v>
      </c>
      <c r="I615" s="121">
        <f>IFERROR(__xludf.DUMMYFUNCTION("""COMPUTED_VALUE"""),0.0)</f>
        <v>0</v>
      </c>
      <c r="J615" s="121">
        <f>IFERROR(__xludf.DUMMYFUNCTION("""COMPUTED_VALUE"""),3.0)</f>
        <v>3</v>
      </c>
      <c r="K615" s="132"/>
      <c r="L615" s="121"/>
      <c r="M615" s="121"/>
    </row>
    <row r="616" ht="49.5" customHeight="1">
      <c r="A616" s="121" t="str">
        <f>IFERROR(__xludf.DUMMYFUNCTION("""COMPUTED_VALUE"""),"ECE")</f>
        <v>ECE</v>
      </c>
      <c r="B616" s="121" t="str">
        <f>IFERROR(__xludf.DUMMYFUNCTION("""COMPUTED_VALUE"""),"S6")</f>
        <v>S6</v>
      </c>
      <c r="C616" s="121" t="str">
        <f>IFERROR(__xludf.DUMMYFUNCTION("""COMPUTED_VALUE"""),"ELECTIVE 4")</f>
        <v>ELECTIVE 4</v>
      </c>
      <c r="D616" s="121" t="str">
        <f>IFERROR(__xludf.DUMMYFUNCTION("""COMPUTED_VALUE"""),"22EC004")</f>
        <v>22EC004</v>
      </c>
      <c r="E616" s="131" t="str">
        <f>IFERROR(__xludf.DUMMYFUNCTION("""COMPUTED_VALUE"""),"REAL-TIME OPERATING SYSTEMS")</f>
        <v>REAL-TIME OPERATING SYSTEMS</v>
      </c>
      <c r="F616" s="121" t="str">
        <f>IFERROR(__xludf.DUMMYFUNCTION("""COMPUTED_VALUE"""),"THEORY")</f>
        <v>THEORY</v>
      </c>
      <c r="G616" s="121">
        <f>IFERROR(__xludf.DUMMYFUNCTION("""COMPUTED_VALUE"""),3.0)</f>
        <v>3</v>
      </c>
      <c r="H616" s="121">
        <f>IFERROR(__xludf.DUMMYFUNCTION("""COMPUTED_VALUE"""),0.0)</f>
        <v>0</v>
      </c>
      <c r="I616" s="121">
        <f>IFERROR(__xludf.DUMMYFUNCTION("""COMPUTED_VALUE"""),0.0)</f>
        <v>0</v>
      </c>
      <c r="J616" s="121">
        <f>IFERROR(__xludf.DUMMYFUNCTION("""COMPUTED_VALUE"""),3.0)</f>
        <v>3</v>
      </c>
      <c r="K616" s="132" t="str">
        <f>IFERROR(__xludf.DUMMYFUNCTION("""COMPUTED_VALUE"""),"EC1911")</f>
        <v>EC1911</v>
      </c>
      <c r="L616" s="121" t="str">
        <f>IFERROR(__xludf.DUMMYFUNCTION("""COMPUTED_VALUE"""),"Dr.DANIEL RAJ A")</f>
        <v>Dr.DANIEL RAJ A</v>
      </c>
      <c r="M616" s="121" t="str">
        <f>IFERROR(__xludf.DUMMYFUNCTION("""COMPUTED_VALUE"""),"danielraja@bitsathy.ac.in")</f>
        <v>danielraja@bitsathy.ac.in</v>
      </c>
    </row>
    <row r="617" ht="49.5" customHeight="1">
      <c r="A617" s="121" t="str">
        <f>IFERROR(__xludf.DUMMYFUNCTION("""COMPUTED_VALUE"""),"ECE")</f>
        <v>ECE</v>
      </c>
      <c r="B617" s="121" t="str">
        <f>IFERROR(__xludf.DUMMYFUNCTION("""COMPUTED_VALUE"""),"S6")</f>
        <v>S6</v>
      </c>
      <c r="C617" s="121" t="str">
        <f>IFERROR(__xludf.DUMMYFUNCTION("""COMPUTED_VALUE"""),"ADD COURSE")</f>
        <v>ADD COURSE</v>
      </c>
      <c r="D617" s="121" t="str">
        <f>IFERROR(__xludf.DUMMYFUNCTION("""COMPUTED_VALUE"""),"22EC003")</f>
        <v>22EC003</v>
      </c>
      <c r="E617" s="131" t="str">
        <f>IFERROR(__xludf.DUMMYFUNCTION("""COMPUTED_VALUE"""),"EMBEDDED C PROGRAMMING")</f>
        <v>EMBEDDED C PROGRAMMING</v>
      </c>
      <c r="F617" s="121" t="str">
        <f>IFERROR(__xludf.DUMMYFUNCTION("""COMPUTED_VALUE"""),"THEORY")</f>
        <v>THEORY</v>
      </c>
      <c r="G617" s="121">
        <f>IFERROR(__xludf.DUMMYFUNCTION("""COMPUTED_VALUE"""),3.0)</f>
        <v>3</v>
      </c>
      <c r="H617" s="121">
        <f>IFERROR(__xludf.DUMMYFUNCTION("""COMPUTED_VALUE"""),0.0)</f>
        <v>0</v>
      </c>
      <c r="I617" s="121">
        <f>IFERROR(__xludf.DUMMYFUNCTION("""COMPUTED_VALUE"""),0.0)</f>
        <v>0</v>
      </c>
      <c r="J617" s="121">
        <f>IFERROR(__xludf.DUMMYFUNCTION("""COMPUTED_VALUE"""),3.0)</f>
        <v>3</v>
      </c>
      <c r="K617" s="132" t="str">
        <f>IFERROR(__xludf.DUMMYFUNCTION("""COMPUTED_VALUE"""),"EC1834")</f>
        <v>EC1834</v>
      </c>
      <c r="L617" s="121" t="str">
        <f>IFERROR(__xludf.DUMMYFUNCTION("""COMPUTED_VALUE"""),"Dr.SANJOY DEB")</f>
        <v>Dr.SANJOY DEB</v>
      </c>
      <c r="M617" s="121" t="str">
        <f>IFERROR(__xludf.DUMMYFUNCTION("""COMPUTED_VALUE"""),"sanjoydeb@bitsathy.ac.in")</f>
        <v>sanjoydeb@bitsathy.ac.in</v>
      </c>
    </row>
    <row r="618" ht="49.5" customHeight="1">
      <c r="A618" s="121" t="str">
        <f>IFERROR(__xludf.DUMMYFUNCTION("""COMPUTED_VALUE"""),"ECE")</f>
        <v>ECE</v>
      </c>
      <c r="B618" s="121" t="str">
        <f>IFERROR(__xludf.DUMMYFUNCTION("""COMPUTED_VALUE"""),"S6")</f>
        <v>S6</v>
      </c>
      <c r="C618" s="121" t="str">
        <f>IFERROR(__xludf.DUMMYFUNCTION("""COMPUTED_VALUE"""),"ADD COURSE")</f>
        <v>ADD COURSE</v>
      </c>
      <c r="D618" s="121" t="str">
        <f>IFERROR(__xludf.DUMMYFUNCTION("""COMPUTED_VALUE"""),"22EC003")</f>
        <v>22EC003</v>
      </c>
      <c r="E618" s="131" t="str">
        <f>IFERROR(__xludf.DUMMYFUNCTION("""COMPUTED_VALUE"""),"EMBEDDED C PROGRAMMING")</f>
        <v>EMBEDDED C PROGRAMMING</v>
      </c>
      <c r="F618" s="121" t="str">
        <f>IFERROR(__xludf.DUMMYFUNCTION("""COMPUTED_VALUE"""),"THEORY")</f>
        <v>THEORY</v>
      </c>
      <c r="G618" s="121">
        <f>IFERROR(__xludf.DUMMYFUNCTION("""COMPUTED_VALUE"""),3.0)</f>
        <v>3</v>
      </c>
      <c r="H618" s="121">
        <f>IFERROR(__xludf.DUMMYFUNCTION("""COMPUTED_VALUE"""),0.0)</f>
        <v>0</v>
      </c>
      <c r="I618" s="121">
        <f>IFERROR(__xludf.DUMMYFUNCTION("""COMPUTED_VALUE"""),0.0)</f>
        <v>0</v>
      </c>
      <c r="J618" s="121">
        <f>IFERROR(__xludf.DUMMYFUNCTION("""COMPUTED_VALUE"""),3.0)</f>
        <v>3</v>
      </c>
      <c r="K618" s="132" t="str">
        <f>IFERROR(__xludf.DUMMYFUNCTION("""COMPUTED_VALUE"""),"EC10813")</f>
        <v>EC10813</v>
      </c>
      <c r="L618" s="121" t="str">
        <f>IFERROR(__xludf.DUMMYFUNCTION("""COMPUTED_VALUE"""),"Ms.SHARMILA A")</f>
        <v>Ms.SHARMILA A</v>
      </c>
      <c r="M618" s="121" t="str">
        <f>IFERROR(__xludf.DUMMYFUNCTION("""COMPUTED_VALUE"""),"sharmilaa@bitsathy.ac.in")</f>
        <v>sharmilaa@bitsathy.ac.in</v>
      </c>
    </row>
    <row r="619" ht="49.5" customHeight="1">
      <c r="A619" s="121" t="str">
        <f>IFERROR(__xludf.DUMMYFUNCTION("""COMPUTED_VALUE"""),"ECE")</f>
        <v>ECE</v>
      </c>
      <c r="B619" s="121" t="str">
        <f>IFERROR(__xludf.DUMMYFUNCTION("""COMPUTED_VALUE"""),"S6")</f>
        <v>S6</v>
      </c>
      <c r="C619" s="121" t="str">
        <f>IFERROR(__xludf.DUMMYFUNCTION("""COMPUTED_VALUE"""),"ADD COURSE")</f>
        <v>ADD COURSE</v>
      </c>
      <c r="D619" s="121" t="str">
        <f>IFERROR(__xludf.DUMMYFUNCTION("""COMPUTED_VALUE"""),"22EC003")</f>
        <v>22EC003</v>
      </c>
      <c r="E619" s="131" t="str">
        <f>IFERROR(__xludf.DUMMYFUNCTION("""COMPUTED_VALUE"""),"EMBEDDED C PROGRAMMING")</f>
        <v>EMBEDDED C PROGRAMMING</v>
      </c>
      <c r="F619" s="121" t="str">
        <f>IFERROR(__xludf.DUMMYFUNCTION("""COMPUTED_VALUE"""),"THEORY")</f>
        <v>THEORY</v>
      </c>
      <c r="G619" s="121">
        <f>IFERROR(__xludf.DUMMYFUNCTION("""COMPUTED_VALUE"""),3.0)</f>
        <v>3</v>
      </c>
      <c r="H619" s="121">
        <f>IFERROR(__xludf.DUMMYFUNCTION("""COMPUTED_VALUE"""),0.0)</f>
        <v>0</v>
      </c>
      <c r="I619" s="121">
        <f>IFERROR(__xludf.DUMMYFUNCTION("""COMPUTED_VALUE"""),0.0)</f>
        <v>0</v>
      </c>
      <c r="J619" s="121">
        <f>IFERROR(__xludf.DUMMYFUNCTION("""COMPUTED_VALUE"""),3.0)</f>
        <v>3</v>
      </c>
      <c r="K619" s="132" t="str">
        <f>IFERROR(__xludf.DUMMYFUNCTION("""COMPUTED_VALUE"""),"EC11047")</f>
        <v>EC11047</v>
      </c>
      <c r="L619" s="121" t="str">
        <f>IFERROR(__xludf.DUMMYFUNCTION("""COMPUTED_VALUE"""),"Mr.RAMESH R")</f>
        <v>Mr.RAMESH R</v>
      </c>
      <c r="M619" s="121" t="str">
        <f>IFERROR(__xludf.DUMMYFUNCTION("""COMPUTED_VALUE"""),"rameshr@bitsathy.ac.in")</f>
        <v>rameshr@bitsathy.ac.in</v>
      </c>
    </row>
    <row r="620" ht="49.5" customHeight="1">
      <c r="A620" s="121" t="str">
        <f>IFERROR(__xludf.DUMMYFUNCTION("""COMPUTED_VALUE"""),"ECE")</f>
        <v>ECE</v>
      </c>
      <c r="B620" s="121" t="str">
        <f>IFERROR(__xludf.DUMMYFUNCTION("""COMPUTED_VALUE"""),"S6")</f>
        <v>S6</v>
      </c>
      <c r="C620" s="121" t="str">
        <f>IFERROR(__xludf.DUMMYFUNCTION("""COMPUTED_VALUE"""),"OPEN ELECTIVE")</f>
        <v>OPEN ELECTIVE</v>
      </c>
      <c r="D620" s="121" t="str">
        <f>IFERROR(__xludf.DUMMYFUNCTION("""COMPUTED_VALUE"""),"22OEC03")</f>
        <v>22OEC03</v>
      </c>
      <c r="E620" s="131" t="str">
        <f>IFERROR(__xludf.DUMMYFUNCTION("""COMPUTED_VALUE"""),"PRINCIPLES OF COMMUNICATION SYSTEMS")</f>
        <v>PRINCIPLES OF COMMUNICATION SYSTEMS</v>
      </c>
      <c r="F620" s="121" t="str">
        <f>IFERROR(__xludf.DUMMYFUNCTION("""COMPUTED_VALUE"""),"THEORY")</f>
        <v>THEORY</v>
      </c>
      <c r="G620" s="121">
        <f>IFERROR(__xludf.DUMMYFUNCTION("""COMPUTED_VALUE"""),3.0)</f>
        <v>3</v>
      </c>
      <c r="H620" s="121">
        <f>IFERROR(__xludf.DUMMYFUNCTION("""COMPUTED_VALUE"""),0.0)</f>
        <v>0</v>
      </c>
      <c r="I620" s="121">
        <f>IFERROR(__xludf.DUMMYFUNCTION("""COMPUTED_VALUE"""),0.0)</f>
        <v>0</v>
      </c>
      <c r="J620" s="121">
        <f>IFERROR(__xludf.DUMMYFUNCTION("""COMPUTED_VALUE"""),3.0)</f>
        <v>3</v>
      </c>
      <c r="K620" s="132" t="str">
        <f>IFERROR(__xludf.DUMMYFUNCTION("""COMPUTED_VALUE"""),"EC10443")</f>
        <v>EC10443</v>
      </c>
      <c r="L620" s="121" t="str">
        <f>IFERROR(__xludf.DUMMYFUNCTION("""COMPUTED_VALUE"""),"Mr.BARANIDHARAN V")</f>
        <v>Mr.BARANIDHARAN V</v>
      </c>
      <c r="M620" s="121" t="str">
        <f>IFERROR(__xludf.DUMMYFUNCTION("""COMPUTED_VALUE"""),"baranidharan@bitsathy.ac.in")</f>
        <v>baranidharan@bitsathy.ac.in</v>
      </c>
    </row>
    <row r="621" ht="49.5" customHeight="1">
      <c r="A621" s="121" t="str">
        <f>IFERROR(__xludf.DUMMYFUNCTION("""COMPUTED_VALUE"""),"ECE")</f>
        <v>ECE</v>
      </c>
      <c r="B621" s="121" t="str">
        <f>IFERROR(__xludf.DUMMYFUNCTION("""COMPUTED_VALUE"""),"S6")</f>
        <v>S6</v>
      </c>
      <c r="C621" s="121" t="str">
        <f>IFERROR(__xludf.DUMMYFUNCTION("""COMPUTED_VALUE"""),"HONOURS")</f>
        <v>HONOURS</v>
      </c>
      <c r="D621" s="121" t="str">
        <f>IFERROR(__xludf.DUMMYFUNCTION("""COMPUTED_VALUE"""),"22ECH09/22EIH04")</f>
        <v>22ECH09/22EIH04</v>
      </c>
      <c r="E621" s="131" t="str">
        <f>IFERROR(__xludf.DUMMYFUNCTION("""COMPUTED_VALUE"""),"IoT SYSTEM DESIGN")</f>
        <v>IoT SYSTEM DESIGN</v>
      </c>
      <c r="F621" s="121" t="str">
        <f>IFERROR(__xludf.DUMMYFUNCTION("""COMPUTED_VALUE"""),"THEORY")</f>
        <v>THEORY</v>
      </c>
      <c r="G621" s="121">
        <f>IFERROR(__xludf.DUMMYFUNCTION("""COMPUTED_VALUE"""),3.0)</f>
        <v>3</v>
      </c>
      <c r="H621" s="121">
        <f>IFERROR(__xludf.DUMMYFUNCTION("""COMPUTED_VALUE"""),0.0)</f>
        <v>0</v>
      </c>
      <c r="I621" s="121">
        <f>IFERROR(__xludf.DUMMYFUNCTION("""COMPUTED_VALUE"""),0.0)</f>
        <v>0</v>
      </c>
      <c r="J621" s="121">
        <f>IFERROR(__xludf.DUMMYFUNCTION("""COMPUTED_VALUE"""),3.0)</f>
        <v>3</v>
      </c>
      <c r="K621" s="132" t="str">
        <f>IFERROR(__xludf.DUMMYFUNCTION("""COMPUTED_VALUE"""),"EC11047")</f>
        <v>EC11047</v>
      </c>
      <c r="L621" s="121" t="str">
        <f>IFERROR(__xludf.DUMMYFUNCTION("""COMPUTED_VALUE"""),"Mr.RAMESH R")</f>
        <v>Mr.RAMESH R</v>
      </c>
      <c r="M621" s="121" t="str">
        <f>IFERROR(__xludf.DUMMYFUNCTION("""COMPUTED_VALUE"""),"rameshr@bitsathy.ac.in")</f>
        <v>rameshr@bitsathy.ac.in</v>
      </c>
    </row>
    <row r="622" ht="49.5" customHeight="1">
      <c r="A622" s="121" t="str">
        <f>IFERROR(__xludf.DUMMYFUNCTION("""COMPUTED_VALUE"""),"ECE")</f>
        <v>ECE</v>
      </c>
      <c r="B622" s="121" t="str">
        <f>IFERROR(__xludf.DUMMYFUNCTION("""COMPUTED_VALUE"""),"S6")</f>
        <v>S6</v>
      </c>
      <c r="C622" s="121" t="str">
        <f>IFERROR(__xludf.DUMMYFUNCTION("""COMPUTED_VALUE"""),"HONOURS")</f>
        <v>HONOURS</v>
      </c>
      <c r="D622" s="121" t="str">
        <f>IFERROR(__xludf.DUMMYFUNCTION("""COMPUTED_VALUE"""),"22ECH10/22EIH05")</f>
        <v>22ECH10/22EIH05</v>
      </c>
      <c r="E622" s="131" t="str">
        <f>IFERROR(__xludf.DUMMYFUNCTION("""COMPUTED_VALUE"""),"WIRELESS SENSOR NETWORK DESIGN")</f>
        <v>WIRELESS SENSOR NETWORK DESIGN</v>
      </c>
      <c r="F622" s="121" t="str">
        <f>IFERROR(__xludf.DUMMYFUNCTION("""COMPUTED_VALUE"""),"THEORY")</f>
        <v>THEORY</v>
      </c>
      <c r="G622" s="121">
        <f>IFERROR(__xludf.DUMMYFUNCTION("""COMPUTED_VALUE"""),3.0)</f>
        <v>3</v>
      </c>
      <c r="H622" s="121">
        <f>IFERROR(__xludf.DUMMYFUNCTION("""COMPUTED_VALUE"""),0.0)</f>
        <v>0</v>
      </c>
      <c r="I622" s="121">
        <f>IFERROR(__xludf.DUMMYFUNCTION("""COMPUTED_VALUE"""),0.0)</f>
        <v>0</v>
      </c>
      <c r="J622" s="121">
        <f>IFERROR(__xludf.DUMMYFUNCTION("""COMPUTED_VALUE"""),3.0)</f>
        <v>3</v>
      </c>
      <c r="K622" s="132" t="str">
        <f>IFERROR(__xludf.DUMMYFUNCTION("""COMPUTED_VALUE"""),"EC10775")</f>
        <v>EC10775</v>
      </c>
      <c r="L622" s="121" t="str">
        <f>IFERROR(__xludf.DUMMYFUNCTION("""COMPUTED_VALUE"""),"Mrs.MYTHILI S")</f>
        <v>Mrs.MYTHILI S</v>
      </c>
      <c r="M622" s="121" t="str">
        <f>IFERROR(__xludf.DUMMYFUNCTION("""COMPUTED_VALUE"""),"mythilis@bitsathy.ac.in")</f>
        <v>mythilis@bitsathy.ac.in</v>
      </c>
    </row>
    <row r="623" ht="49.5" customHeight="1">
      <c r="A623" s="121" t="str">
        <f>IFERROR(__xludf.DUMMYFUNCTION("""COMPUTED_VALUE"""),"ECE")</f>
        <v>ECE</v>
      </c>
      <c r="B623" s="121" t="str">
        <f>IFERROR(__xludf.DUMMYFUNCTION("""COMPUTED_VALUE"""),"S6")</f>
        <v>S6</v>
      </c>
      <c r="C623" s="121" t="str">
        <f>IFERROR(__xludf.DUMMYFUNCTION("""COMPUTED_VALUE"""),"MINI PROJECT")</f>
        <v>MINI PROJECT</v>
      </c>
      <c r="D623" s="121" t="str">
        <f>IFERROR(__xludf.DUMMYFUNCTION("""COMPUTED_VALUE"""),"22EC607")</f>
        <v>22EC607</v>
      </c>
      <c r="E623" s="131" t="str">
        <f>IFERROR(__xludf.DUMMYFUNCTION("""COMPUTED_VALUE"""),"MINI PROJECT II")</f>
        <v>MINI PROJECT II</v>
      </c>
      <c r="F623" s="121" t="str">
        <f>IFERROR(__xludf.DUMMYFUNCTION("""COMPUTED_VALUE"""),"LAB")</f>
        <v>LAB</v>
      </c>
      <c r="G623" s="121">
        <f>IFERROR(__xludf.DUMMYFUNCTION("""COMPUTED_VALUE"""),0.0)</f>
        <v>0</v>
      </c>
      <c r="H623" s="121">
        <f>IFERROR(__xludf.DUMMYFUNCTION("""COMPUTED_VALUE"""),0.0)</f>
        <v>0</v>
      </c>
      <c r="I623" s="121">
        <f>IFERROR(__xludf.DUMMYFUNCTION("""COMPUTED_VALUE"""),2.0)</f>
        <v>2</v>
      </c>
      <c r="J623" s="121">
        <f>IFERROR(__xludf.DUMMYFUNCTION("""COMPUTED_VALUE"""),1.0)</f>
        <v>1</v>
      </c>
      <c r="K623" s="132"/>
      <c r="L623" s="121"/>
      <c r="M623" s="121"/>
    </row>
    <row r="624" ht="49.5" customHeight="1">
      <c r="A624" s="121" t="str">
        <f>IFERROR(__xludf.DUMMYFUNCTION("""COMPUTED_VALUE"""),"ECE")</f>
        <v>ECE</v>
      </c>
      <c r="B624" s="121" t="str">
        <f>IFERROR(__xludf.DUMMYFUNCTION("""COMPUTED_VALUE"""),"S8")</f>
        <v>S8</v>
      </c>
      <c r="C624" s="121" t="str">
        <f>IFERROR(__xludf.DUMMYFUNCTION("""COMPUTED_VALUE"""),"CORE")</f>
        <v>CORE</v>
      </c>
      <c r="D624" s="121" t="str">
        <f>IFERROR(__xludf.DUMMYFUNCTION("""COMPUTED_VALUE"""),"22EC801")</f>
        <v>22EC801</v>
      </c>
      <c r="E624" s="131" t="str">
        <f>IFERROR(__xludf.DUMMYFUNCTION("""COMPUTED_VALUE"""),"PROJECT WORK II")</f>
        <v>PROJECT WORK II</v>
      </c>
      <c r="F624" s="121" t="str">
        <f>IFERROR(__xludf.DUMMYFUNCTION("""COMPUTED_VALUE"""),"LAB")</f>
        <v>LAB</v>
      </c>
      <c r="G624" s="121">
        <f>IFERROR(__xludf.DUMMYFUNCTION("""COMPUTED_VALUE"""),0.0)</f>
        <v>0</v>
      </c>
      <c r="H624" s="121">
        <f>IFERROR(__xludf.DUMMYFUNCTION("""COMPUTED_VALUE"""),0.0)</f>
        <v>0</v>
      </c>
      <c r="I624" s="121">
        <f>IFERROR(__xludf.DUMMYFUNCTION("""COMPUTED_VALUE"""),18.0)</f>
        <v>18</v>
      </c>
      <c r="J624" s="121">
        <f>IFERROR(__xludf.DUMMYFUNCTION("""COMPUTED_VALUE"""),9.0)</f>
        <v>9</v>
      </c>
      <c r="K624" s="132"/>
      <c r="L624" s="121"/>
      <c r="M624" s="133"/>
    </row>
    <row r="625" ht="49.5" customHeight="1">
      <c r="A625" s="121" t="str">
        <f>IFERROR(__xludf.DUMMYFUNCTION("""COMPUTED_VALUE"""),"EIE")</f>
        <v>EIE</v>
      </c>
      <c r="B625" s="121" t="str">
        <f>IFERROR(__xludf.DUMMYFUNCTION("""COMPUTED_VALUE"""),"S2")</f>
        <v>S2</v>
      </c>
      <c r="C625" s="121" t="str">
        <f>IFERROR(__xludf.DUMMYFUNCTION("""COMPUTED_VALUE"""),"CORE")</f>
        <v>CORE</v>
      </c>
      <c r="D625" s="121" t="str">
        <f>IFERROR(__xludf.DUMMYFUNCTION("""COMPUTED_VALUE"""),"22MA201")</f>
        <v>22MA201</v>
      </c>
      <c r="E625" s="131" t="str">
        <f>IFERROR(__xludf.DUMMYFUNCTION("""COMPUTED_VALUE"""),"ENGINEERING MATHEMATICS II")</f>
        <v>ENGINEERING MATHEMATICS II</v>
      </c>
      <c r="F625" s="121" t="str">
        <f>IFERROR(__xludf.DUMMYFUNCTION("""COMPUTED_VALUE"""),"THEORY")</f>
        <v>THEORY</v>
      </c>
      <c r="G625" s="121">
        <f>IFERROR(__xludf.DUMMYFUNCTION("""COMPUTED_VALUE"""),3.0)</f>
        <v>3</v>
      </c>
      <c r="H625" s="121">
        <f>IFERROR(__xludf.DUMMYFUNCTION("""COMPUTED_VALUE"""),1.0)</f>
        <v>1</v>
      </c>
      <c r="I625" s="121">
        <f>IFERROR(__xludf.DUMMYFUNCTION("""COMPUTED_VALUE"""),0.0)</f>
        <v>0</v>
      </c>
      <c r="J625" s="121">
        <f>IFERROR(__xludf.DUMMYFUNCTION("""COMPUTED_VALUE"""),4.0)</f>
        <v>4</v>
      </c>
      <c r="K625" s="132" t="str">
        <f>IFERROR(__xludf.DUMMYFUNCTION("""COMPUTED_VALUE"""),"MA10452")</f>
        <v>MA10452</v>
      </c>
      <c r="L625" s="121" t="str">
        <f>IFERROR(__xludf.DUMMYFUNCTION("""COMPUTED_VALUE"""),"Mr.KALAISELVAN S")</f>
        <v>Mr.KALAISELVAN S</v>
      </c>
      <c r="M625" s="121" t="str">
        <f>IFERROR(__xludf.DUMMYFUNCTION("""COMPUTED_VALUE"""),"kalaiselvan@bitsathy.ac.in")</f>
        <v>kalaiselvan@bitsathy.ac.in</v>
      </c>
    </row>
    <row r="626" ht="49.5" customHeight="1">
      <c r="A626" s="121" t="str">
        <f>IFERROR(__xludf.DUMMYFUNCTION("""COMPUTED_VALUE"""),"EIE")</f>
        <v>EIE</v>
      </c>
      <c r="B626" s="121" t="str">
        <f>IFERROR(__xludf.DUMMYFUNCTION("""COMPUTED_VALUE"""),"S2")</f>
        <v>S2</v>
      </c>
      <c r="C626" s="121" t="str">
        <f>IFERROR(__xludf.DUMMYFUNCTION("""COMPUTED_VALUE"""),"CORE")</f>
        <v>CORE</v>
      </c>
      <c r="D626" s="121" t="str">
        <f>IFERROR(__xludf.DUMMYFUNCTION("""COMPUTED_VALUE"""),"22PH202")</f>
        <v>22PH202</v>
      </c>
      <c r="E626" s="131" t="str">
        <f>IFERROR(__xludf.DUMMYFUNCTION("""COMPUTED_VALUE"""),"ELECTROMAGNETISM AND MODERN PHYSICS")</f>
        <v>ELECTROMAGNETISM AND MODERN PHYSICS</v>
      </c>
      <c r="F626" s="121" t="str">
        <f>IFERROR(__xludf.DUMMYFUNCTION("""COMPUTED_VALUE"""),"THEORY")</f>
        <v>THEORY</v>
      </c>
      <c r="G626" s="121">
        <f>IFERROR(__xludf.DUMMYFUNCTION("""COMPUTED_VALUE"""),2.0)</f>
        <v>2</v>
      </c>
      <c r="H626" s="121">
        <f>IFERROR(__xludf.DUMMYFUNCTION("""COMPUTED_VALUE"""),0.0)</f>
        <v>0</v>
      </c>
      <c r="I626" s="121">
        <f>IFERROR(__xludf.DUMMYFUNCTION("""COMPUTED_VALUE"""),2.0)</f>
        <v>2</v>
      </c>
      <c r="J626" s="121">
        <f>IFERROR(__xludf.DUMMYFUNCTION("""COMPUTED_VALUE"""),3.0)</f>
        <v>3</v>
      </c>
      <c r="K626" s="132" t="str">
        <f>IFERROR(__xludf.DUMMYFUNCTION("""COMPUTED_VALUE"""),"PH10218")</f>
        <v>PH10218</v>
      </c>
      <c r="L626" s="121" t="str">
        <f>IFERROR(__xludf.DUMMYFUNCTION("""COMPUTED_VALUE"""),"Dr.ASHOKAN S")</f>
        <v>Dr.ASHOKAN S</v>
      </c>
      <c r="M626" s="121" t="str">
        <f>IFERROR(__xludf.DUMMYFUNCTION("""COMPUTED_VALUE"""),"ashokan@bitsathy.ac.in")</f>
        <v>ashokan@bitsathy.ac.in</v>
      </c>
    </row>
    <row r="627" ht="49.5" customHeight="1">
      <c r="A627" s="121" t="str">
        <f>IFERROR(__xludf.DUMMYFUNCTION("""COMPUTED_VALUE"""),"EIE")</f>
        <v>EIE</v>
      </c>
      <c r="B627" s="121" t="str">
        <f>IFERROR(__xludf.DUMMYFUNCTION("""COMPUTED_VALUE"""),"S2")</f>
        <v>S2</v>
      </c>
      <c r="C627" s="121" t="str">
        <f>IFERROR(__xludf.DUMMYFUNCTION("""COMPUTED_VALUE"""),"CORE")</f>
        <v>CORE</v>
      </c>
      <c r="D627" s="121" t="str">
        <f>IFERROR(__xludf.DUMMYFUNCTION("""COMPUTED_VALUE"""),"22PH202")</f>
        <v>22PH202</v>
      </c>
      <c r="E627" s="131" t="str">
        <f>IFERROR(__xludf.DUMMYFUNCTION("""COMPUTED_VALUE"""),"ELECTROMAGNETISM AND MODERN PHYSICS")</f>
        <v>ELECTROMAGNETISM AND MODERN PHYSICS</v>
      </c>
      <c r="F627" s="121" t="str">
        <f>IFERROR(__xludf.DUMMYFUNCTION("""COMPUTED_VALUE"""),"LAB")</f>
        <v>LAB</v>
      </c>
      <c r="G627" s="121">
        <f>IFERROR(__xludf.DUMMYFUNCTION("""COMPUTED_VALUE"""),2.0)</f>
        <v>2</v>
      </c>
      <c r="H627" s="121">
        <f>IFERROR(__xludf.DUMMYFUNCTION("""COMPUTED_VALUE"""),0.0)</f>
        <v>0</v>
      </c>
      <c r="I627" s="121">
        <f>IFERROR(__xludf.DUMMYFUNCTION("""COMPUTED_VALUE"""),2.0)</f>
        <v>2</v>
      </c>
      <c r="J627" s="121">
        <f>IFERROR(__xludf.DUMMYFUNCTION("""COMPUTED_VALUE"""),3.0)</f>
        <v>3</v>
      </c>
      <c r="K627" s="132" t="str">
        <f>IFERROR(__xludf.DUMMYFUNCTION("""COMPUTED_VALUE"""),"PH11034")</f>
        <v>PH11034</v>
      </c>
      <c r="L627" s="121" t="str">
        <f>IFERROR(__xludf.DUMMYFUNCTION("""COMPUTED_VALUE"""),"Dr.SIVA G")</f>
        <v>Dr.SIVA G</v>
      </c>
      <c r="M627" s="121" t="str">
        <f>IFERROR(__xludf.DUMMYFUNCTION("""COMPUTED_VALUE"""),"sivag@bitsathy.ac.in")</f>
        <v>sivag@bitsathy.ac.in</v>
      </c>
    </row>
    <row r="628" ht="49.5" customHeight="1">
      <c r="A628" s="121" t="str">
        <f>IFERROR(__xludf.DUMMYFUNCTION("""COMPUTED_VALUE"""),"EIE")</f>
        <v>EIE</v>
      </c>
      <c r="B628" s="121" t="str">
        <f>IFERROR(__xludf.DUMMYFUNCTION("""COMPUTED_VALUE"""),"S2")</f>
        <v>S2</v>
      </c>
      <c r="C628" s="121" t="str">
        <f>IFERROR(__xludf.DUMMYFUNCTION("""COMPUTED_VALUE"""),"CORE")</f>
        <v>CORE</v>
      </c>
      <c r="D628" s="121" t="str">
        <f>IFERROR(__xludf.DUMMYFUNCTION("""COMPUTED_VALUE"""),"22CH203")</f>
        <v>22CH203</v>
      </c>
      <c r="E628" s="131" t="str">
        <f>IFERROR(__xludf.DUMMYFUNCTION("""COMPUTED_VALUE"""),"ENGINEERING CHEMISTRY II")</f>
        <v>ENGINEERING CHEMISTRY II</v>
      </c>
      <c r="F628" s="121" t="str">
        <f>IFERROR(__xludf.DUMMYFUNCTION("""COMPUTED_VALUE"""),"THEORY WITH LAB")</f>
        <v>THEORY WITH LAB</v>
      </c>
      <c r="G628" s="121">
        <f>IFERROR(__xludf.DUMMYFUNCTION("""COMPUTED_VALUE"""),2.0)</f>
        <v>2</v>
      </c>
      <c r="H628" s="121">
        <f>IFERROR(__xludf.DUMMYFUNCTION("""COMPUTED_VALUE"""),0.0)</f>
        <v>0</v>
      </c>
      <c r="I628" s="121">
        <f>IFERROR(__xludf.DUMMYFUNCTION("""COMPUTED_VALUE"""),2.0)</f>
        <v>2</v>
      </c>
      <c r="J628" s="121">
        <f>IFERROR(__xludf.DUMMYFUNCTION("""COMPUTED_VALUE"""),3.0)</f>
        <v>3</v>
      </c>
      <c r="K628" s="132" t="str">
        <f>IFERROR(__xludf.DUMMYFUNCTION("""COMPUTED_VALUE"""),"CH1894")</f>
        <v>CH1894</v>
      </c>
      <c r="L628" s="121" t="str">
        <f>IFERROR(__xludf.DUMMYFUNCTION("""COMPUTED_VALUE"""),"Dr.MALATHI MAHALINGAM")</f>
        <v>Dr.MALATHI MAHALINGAM</v>
      </c>
      <c r="M628" s="121" t="str">
        <f>IFERROR(__xludf.DUMMYFUNCTION("""COMPUTED_VALUE"""),"malathimahalingamm@bitsathy.ac.in")</f>
        <v>malathimahalingamm@bitsathy.ac.in</v>
      </c>
    </row>
    <row r="629" ht="49.5" customHeight="1">
      <c r="A629" s="121" t="str">
        <f>IFERROR(__xludf.DUMMYFUNCTION("""COMPUTED_VALUE"""),"EIE")</f>
        <v>EIE</v>
      </c>
      <c r="B629" s="121" t="str">
        <f>IFERROR(__xludf.DUMMYFUNCTION("""COMPUTED_VALUE"""),"S2")</f>
        <v>S2</v>
      </c>
      <c r="C629" s="121" t="str">
        <f>IFERROR(__xludf.DUMMYFUNCTION("""COMPUTED_VALUE"""),"CORE")</f>
        <v>CORE</v>
      </c>
      <c r="D629" s="121" t="str">
        <f>IFERROR(__xludf.DUMMYFUNCTION("""COMPUTED_VALUE"""),"22GE002")</f>
        <v>22GE002</v>
      </c>
      <c r="E629" s="131" t="str">
        <f>IFERROR(__xludf.DUMMYFUNCTION("""COMPUTED_VALUE"""),"COMPUTATIONAL PROBLEM SOLVING")</f>
        <v>COMPUTATIONAL PROBLEM SOLVING</v>
      </c>
      <c r="F629" s="121" t="str">
        <f>IFERROR(__xludf.DUMMYFUNCTION("""COMPUTED_VALUE"""),"THEORY")</f>
        <v>THEORY</v>
      </c>
      <c r="G629" s="121">
        <f>IFERROR(__xludf.DUMMYFUNCTION("""COMPUTED_VALUE"""),3.0)</f>
        <v>3</v>
      </c>
      <c r="H629" s="121">
        <f>IFERROR(__xludf.DUMMYFUNCTION("""COMPUTED_VALUE"""),0.0)</f>
        <v>0</v>
      </c>
      <c r="I629" s="121">
        <f>IFERROR(__xludf.DUMMYFUNCTION("""COMPUTED_VALUE"""),0.0)</f>
        <v>0</v>
      </c>
      <c r="J629" s="121">
        <f>IFERROR(__xludf.DUMMYFUNCTION("""COMPUTED_VALUE"""),3.0)</f>
        <v>3</v>
      </c>
      <c r="K629" s="132" t="str">
        <f>IFERROR(__xludf.DUMMYFUNCTION("""COMPUTED_VALUE"""),"CB10890")</f>
        <v>CB10890</v>
      </c>
      <c r="L629" s="121" t="str">
        <f>IFERROR(__xludf.DUMMYFUNCTION("""COMPUTED_VALUE"""),"Ms.YUVALATHA S")</f>
        <v>Ms.YUVALATHA S</v>
      </c>
      <c r="M629" s="121" t="str">
        <f>IFERROR(__xludf.DUMMYFUNCTION("""COMPUTED_VALUE"""),"yuvalathas@bitsathy.ac.in")</f>
        <v>yuvalathas@bitsathy.ac.in</v>
      </c>
    </row>
    <row r="630" ht="49.5" customHeight="1">
      <c r="A630" s="121" t="str">
        <f>IFERROR(__xludf.DUMMYFUNCTION("""COMPUTED_VALUE"""),"EIE")</f>
        <v>EIE</v>
      </c>
      <c r="B630" s="121" t="str">
        <f>IFERROR(__xludf.DUMMYFUNCTION("""COMPUTED_VALUE"""),"S2")</f>
        <v>S2</v>
      </c>
      <c r="C630" s="121" t="str">
        <f>IFERROR(__xludf.DUMMYFUNCTION("""COMPUTED_VALUE"""),"CORE")</f>
        <v>CORE</v>
      </c>
      <c r="D630" s="121" t="str">
        <f>IFERROR(__xludf.DUMMYFUNCTION("""COMPUTED_VALUE"""),"22GE004")</f>
        <v>22GE004</v>
      </c>
      <c r="E630" s="131" t="str">
        <f>IFERROR(__xludf.DUMMYFUNCTION("""COMPUTED_VALUE"""),"BASICS OF ELECTRONICS ENGINEERING")</f>
        <v>BASICS OF ELECTRONICS ENGINEERING</v>
      </c>
      <c r="F630" s="121" t="str">
        <f>IFERROR(__xludf.DUMMYFUNCTION("""COMPUTED_VALUE"""),"THEORY")</f>
        <v>THEORY</v>
      </c>
      <c r="G630" s="121">
        <f>IFERROR(__xludf.DUMMYFUNCTION("""COMPUTED_VALUE"""),2.0)</f>
        <v>2</v>
      </c>
      <c r="H630" s="121">
        <f>IFERROR(__xludf.DUMMYFUNCTION("""COMPUTED_VALUE"""),0.0)</f>
        <v>0</v>
      </c>
      <c r="I630" s="121">
        <f>IFERROR(__xludf.DUMMYFUNCTION("""COMPUTED_VALUE"""),2.0)</f>
        <v>2</v>
      </c>
      <c r="J630" s="121">
        <f>IFERROR(__xludf.DUMMYFUNCTION("""COMPUTED_VALUE"""),3.0)</f>
        <v>3</v>
      </c>
      <c r="K630" s="132" t="str">
        <f>IFERROR(__xludf.DUMMYFUNCTION("""COMPUTED_VALUE"""),"EI1276")</f>
        <v>EI1276</v>
      </c>
      <c r="L630" s="121" t="str">
        <f>IFERROR(__xludf.DUMMYFUNCTION("""COMPUTED_VALUE"""),"Dr.GANESH BABU C")</f>
        <v>Dr.GANESH BABU C</v>
      </c>
      <c r="M630" s="121" t="str">
        <f>IFERROR(__xludf.DUMMYFUNCTION("""COMPUTED_VALUE"""),"ganeshbabuc@bitsathy.ac.in")</f>
        <v>ganeshbabuc@bitsathy.ac.in</v>
      </c>
    </row>
    <row r="631" ht="49.5" customHeight="1">
      <c r="A631" s="121" t="str">
        <f>IFERROR(__xludf.DUMMYFUNCTION("""COMPUTED_VALUE"""),"EIE")</f>
        <v>EIE</v>
      </c>
      <c r="B631" s="121" t="str">
        <f>IFERROR(__xludf.DUMMYFUNCTION("""COMPUTED_VALUE"""),"S2")</f>
        <v>S2</v>
      </c>
      <c r="C631" s="121" t="str">
        <f>IFERROR(__xludf.DUMMYFUNCTION("""COMPUTED_VALUE"""),"CORE")</f>
        <v>CORE</v>
      </c>
      <c r="D631" s="121" t="str">
        <f>IFERROR(__xludf.DUMMYFUNCTION("""COMPUTED_VALUE"""),"22GE004")</f>
        <v>22GE004</v>
      </c>
      <c r="E631" s="131" t="str">
        <f>IFERROR(__xludf.DUMMYFUNCTION("""COMPUTED_VALUE"""),"BASICS OF ELECTRONICS ENGINEERING")</f>
        <v>BASICS OF ELECTRONICS ENGINEERING</v>
      </c>
      <c r="F631" s="121" t="str">
        <f>IFERROR(__xludf.DUMMYFUNCTION("""COMPUTED_VALUE"""),"LAB")</f>
        <v>LAB</v>
      </c>
      <c r="G631" s="121">
        <f>IFERROR(__xludf.DUMMYFUNCTION("""COMPUTED_VALUE"""),2.0)</f>
        <v>2</v>
      </c>
      <c r="H631" s="121">
        <f>IFERROR(__xludf.DUMMYFUNCTION("""COMPUTED_VALUE"""),0.0)</f>
        <v>0</v>
      </c>
      <c r="I631" s="121">
        <f>IFERROR(__xludf.DUMMYFUNCTION("""COMPUTED_VALUE"""),2.0)</f>
        <v>2</v>
      </c>
      <c r="J631" s="121">
        <f>IFERROR(__xludf.DUMMYFUNCTION("""COMPUTED_VALUE"""),3.0)</f>
        <v>3</v>
      </c>
      <c r="K631" s="132" t="str">
        <f>IFERROR(__xludf.DUMMYFUNCTION("""COMPUTED_VALUE"""),"EI10670")</f>
        <v>EI10670</v>
      </c>
      <c r="L631" s="121" t="str">
        <f>IFERROR(__xludf.DUMMYFUNCTION("""COMPUTED_VALUE"""),"Mr.PRATHAP M R")</f>
        <v>Mr.PRATHAP M R</v>
      </c>
      <c r="M631" s="121" t="str">
        <f>IFERROR(__xludf.DUMMYFUNCTION("""COMPUTED_VALUE"""),"prathap@bitsathy.ac.in")</f>
        <v>prathap@bitsathy.ac.in</v>
      </c>
    </row>
    <row r="632" ht="49.5" customHeight="1">
      <c r="A632" s="121" t="str">
        <f>IFERROR(__xludf.DUMMYFUNCTION("""COMPUTED_VALUE"""),"EIE")</f>
        <v>EIE</v>
      </c>
      <c r="B632" s="121" t="str">
        <f>IFERROR(__xludf.DUMMYFUNCTION("""COMPUTED_VALUE"""),"S2")</f>
        <v>S2</v>
      </c>
      <c r="C632" s="121" t="str">
        <f>IFERROR(__xludf.DUMMYFUNCTION("""COMPUTED_VALUE"""),"CORE")</f>
        <v>CORE</v>
      </c>
      <c r="D632" s="121" t="str">
        <f>IFERROR(__xludf.DUMMYFUNCTION("""COMPUTED_VALUE"""),"22GE005")</f>
        <v>22GE005</v>
      </c>
      <c r="E632" s="131" t="str">
        <f>IFERROR(__xludf.DUMMYFUNCTION("""COMPUTED_VALUE"""),"ENGINEERING DRAWING")</f>
        <v>ENGINEERING DRAWING</v>
      </c>
      <c r="F632" s="121" t="str">
        <f>IFERROR(__xludf.DUMMYFUNCTION("""COMPUTED_VALUE"""),"LAB")</f>
        <v>LAB</v>
      </c>
      <c r="G632" s="121">
        <f>IFERROR(__xludf.DUMMYFUNCTION("""COMPUTED_VALUE"""),1.0)</f>
        <v>1</v>
      </c>
      <c r="H632" s="121">
        <f>IFERROR(__xludf.DUMMYFUNCTION("""COMPUTED_VALUE"""),0.0)</f>
        <v>0</v>
      </c>
      <c r="I632" s="121">
        <f>IFERROR(__xludf.DUMMYFUNCTION("""COMPUTED_VALUE"""),2.0)</f>
        <v>2</v>
      </c>
      <c r="J632" s="121">
        <f>IFERROR(__xludf.DUMMYFUNCTION("""COMPUTED_VALUE"""),3.0)</f>
        <v>3</v>
      </c>
      <c r="K632" s="132" t="str">
        <f>IFERROR(__xludf.DUMMYFUNCTION("""COMPUTED_VALUE"""),"ME10416")</f>
        <v>ME10416</v>
      </c>
      <c r="L632" s="121" t="str">
        <f>IFERROR(__xludf.DUMMYFUNCTION("""COMPUTED_VALUE"""),"Mr.KAMAL BASHA K")</f>
        <v>Mr.KAMAL BASHA K</v>
      </c>
      <c r="M632" s="121" t="str">
        <f>IFERROR(__xludf.DUMMYFUNCTION("""COMPUTED_VALUE"""),"kamalbasha@bitsathy.ac.in")</f>
        <v>kamalbasha@bitsathy.ac.in</v>
      </c>
    </row>
    <row r="633" ht="49.5" customHeight="1">
      <c r="A633" s="121" t="str">
        <f>IFERROR(__xludf.DUMMYFUNCTION("""COMPUTED_VALUE"""),"EIE")</f>
        <v>EIE</v>
      </c>
      <c r="B633" s="121" t="str">
        <f>IFERROR(__xludf.DUMMYFUNCTION("""COMPUTED_VALUE"""),"S2")</f>
        <v>S2</v>
      </c>
      <c r="C633" s="121" t="str">
        <f>IFERROR(__xludf.DUMMYFUNCTION("""COMPUTED_VALUE"""),"CORE")</f>
        <v>CORE</v>
      </c>
      <c r="D633" s="121" t="str">
        <f>IFERROR(__xludf.DUMMYFUNCTION("""COMPUTED_VALUE"""),"22HS006")</f>
        <v>22HS006</v>
      </c>
      <c r="E633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33" s="121" t="str">
        <f>IFERROR(__xludf.DUMMYFUNCTION("""COMPUTED_VALUE"""),"LAB")</f>
        <v>LAB</v>
      </c>
      <c r="G633" s="121">
        <f>IFERROR(__xludf.DUMMYFUNCTION("""COMPUTED_VALUE"""),1.0)</f>
        <v>1</v>
      </c>
      <c r="H633" s="121">
        <f>IFERROR(__xludf.DUMMYFUNCTION("""COMPUTED_VALUE"""),0.0)</f>
        <v>0</v>
      </c>
      <c r="I633" s="121">
        <f>IFERROR(__xludf.DUMMYFUNCTION("""COMPUTED_VALUE"""),0.0)</f>
        <v>0</v>
      </c>
      <c r="J633" s="121">
        <f>IFERROR(__xludf.DUMMYFUNCTION("""COMPUTED_VALUE"""),1.0)</f>
        <v>1</v>
      </c>
      <c r="K633" s="132" t="str">
        <f>IFERROR(__xludf.DUMMYFUNCTION("""COMPUTED_VALUE"""),"HU11115")</f>
        <v>HU11115</v>
      </c>
      <c r="L633" s="121" t="str">
        <f>IFERROR(__xludf.DUMMYFUNCTION("""COMPUTED_VALUE"""),"Ms.KAMALI D")</f>
        <v>Ms.KAMALI D</v>
      </c>
      <c r="M633" s="121" t="str">
        <f>IFERROR(__xludf.DUMMYFUNCTION("""COMPUTED_VALUE"""),"kamali@bitsathy.ac.in")</f>
        <v>kamali@bitsathy.ac.in</v>
      </c>
    </row>
    <row r="634" ht="49.5" customHeight="1">
      <c r="A634" s="121" t="str">
        <f>IFERROR(__xludf.DUMMYFUNCTION("""COMPUTED_VALUE"""),"EIE")</f>
        <v>EIE</v>
      </c>
      <c r="B634" s="121" t="str">
        <f>IFERROR(__xludf.DUMMYFUNCTION("""COMPUTED_VALUE"""),"S2")</f>
        <v>S2</v>
      </c>
      <c r="C634" s="121" t="str">
        <f>IFERROR(__xludf.DUMMYFUNCTION("""COMPUTED_VALUE"""),"CORE")</f>
        <v>CORE</v>
      </c>
      <c r="D634" s="121" t="str">
        <f>IFERROR(__xludf.DUMMYFUNCTION("""COMPUTED_VALUE"""),"22HS009")</f>
        <v>22HS009</v>
      </c>
      <c r="E634" s="131" t="str">
        <f>IFERROR(__xludf.DUMMYFUNCTION("""COMPUTED_VALUE"""),"COCURRICULAR OR EXTRACURRICULAR ACTIVITY")</f>
        <v>COCURRICULAR OR EXTRACURRICULAR ACTIVITY</v>
      </c>
      <c r="F634" s="121"/>
      <c r="G634" s="121"/>
      <c r="H634" s="121"/>
      <c r="I634" s="121"/>
      <c r="J634" s="121"/>
      <c r="K634" s="132"/>
      <c r="L634" s="121"/>
      <c r="M634" s="121"/>
    </row>
    <row r="635" ht="49.5" customHeight="1">
      <c r="A635" s="121" t="str">
        <f>IFERROR(__xludf.DUMMYFUNCTION("""COMPUTED_VALUE"""),"EIE")</f>
        <v>EIE</v>
      </c>
      <c r="B635" s="121" t="str">
        <f>IFERROR(__xludf.DUMMYFUNCTION("""COMPUTED_VALUE"""),"S2")</f>
        <v>S2</v>
      </c>
      <c r="C635" s="121" t="str">
        <f>IFERROR(__xludf.DUMMYFUNCTION("""COMPUTED_VALUE"""),"LANGUAGE ELECTIVE")</f>
        <v>LANGUAGE ELECTIVE</v>
      </c>
      <c r="D635" s="121" t="str">
        <f>IFERROR(__xludf.DUMMYFUNCTION("""COMPUTED_VALUE"""),"22HS201")</f>
        <v>22HS201</v>
      </c>
      <c r="E635" s="131" t="str">
        <f>IFERROR(__xludf.DUMMYFUNCTION("""COMPUTED_VALUE""")," COMMUNICATIVE ENGLISH II")</f>
        <v> COMMUNICATIVE ENGLISH II</v>
      </c>
      <c r="F635" s="121" t="str">
        <f>IFERROR(__xludf.DUMMYFUNCTION("""COMPUTED_VALUE"""),"LAB")</f>
        <v>LAB</v>
      </c>
      <c r="G635" s="121">
        <f>IFERROR(__xludf.DUMMYFUNCTION("""COMPUTED_VALUE"""),1.0)</f>
        <v>1</v>
      </c>
      <c r="H635" s="121">
        <f>IFERROR(__xludf.DUMMYFUNCTION("""COMPUTED_VALUE"""),0.0)</f>
        <v>0</v>
      </c>
      <c r="I635" s="121">
        <f>IFERROR(__xludf.DUMMYFUNCTION("""COMPUTED_VALUE"""),2.0)</f>
        <v>2</v>
      </c>
      <c r="J635" s="121">
        <f>IFERROR(__xludf.DUMMYFUNCTION("""COMPUTED_VALUE"""),2.0)</f>
        <v>2</v>
      </c>
      <c r="K635" s="132" t="str">
        <f>IFERROR(__xludf.DUMMYFUNCTION("""COMPUTED_VALUE"""),"HU11159")</f>
        <v>HU11159</v>
      </c>
      <c r="L635" s="121" t="str">
        <f>IFERROR(__xludf.DUMMYFUNCTION("""COMPUTED_VALUE"""),"Dr.JAYA K")</f>
        <v>Dr.JAYA K</v>
      </c>
      <c r="M635" s="121" t="str">
        <f>IFERROR(__xludf.DUMMYFUNCTION("""COMPUTED_VALUE"""),"jayak@bitsathy.ac.in")</f>
        <v>jayak@bitsathy.ac.in</v>
      </c>
    </row>
    <row r="636" ht="49.5" customHeight="1">
      <c r="A636" s="121" t="str">
        <f>IFERROR(__xludf.DUMMYFUNCTION("""COMPUTED_VALUE"""),"EIE")</f>
        <v>EIE</v>
      </c>
      <c r="B636" s="121" t="str">
        <f>IFERROR(__xludf.DUMMYFUNCTION("""COMPUTED_VALUE"""),"S2")</f>
        <v>S2</v>
      </c>
      <c r="C636" s="121" t="str">
        <f>IFERROR(__xludf.DUMMYFUNCTION("""COMPUTED_VALUE"""),"LANGUAGE ELECTIVE")</f>
        <v>LANGUAGE ELECTIVE</v>
      </c>
      <c r="D636" s="121" t="str">
        <f>IFERROR(__xludf.DUMMYFUNCTION("""COMPUTED_VALUE"""),"22HSH01")</f>
        <v>22HSH01</v>
      </c>
      <c r="E636" s="131" t="str">
        <f>IFERROR(__xludf.DUMMYFUNCTION("""COMPUTED_VALUE"""),"HINDI")</f>
        <v>HINDI</v>
      </c>
      <c r="F636" s="121" t="str">
        <f>IFERROR(__xludf.DUMMYFUNCTION("""COMPUTED_VALUE"""),"LAB")</f>
        <v>LAB</v>
      </c>
      <c r="G636" s="121">
        <f>IFERROR(__xludf.DUMMYFUNCTION("""COMPUTED_VALUE"""),1.0)</f>
        <v>1</v>
      </c>
      <c r="H636" s="121">
        <f>IFERROR(__xludf.DUMMYFUNCTION("""COMPUTED_VALUE"""),0.0)</f>
        <v>0</v>
      </c>
      <c r="I636" s="121">
        <f>IFERROR(__xludf.DUMMYFUNCTION("""COMPUTED_VALUE"""),2.0)</f>
        <v>2</v>
      </c>
      <c r="J636" s="121">
        <f>IFERROR(__xludf.DUMMYFUNCTION("""COMPUTED_VALUE"""),2.0)</f>
        <v>2</v>
      </c>
      <c r="K636" s="132"/>
      <c r="L636" s="121"/>
      <c r="M636" s="121"/>
    </row>
    <row r="637" ht="49.5" customHeight="1">
      <c r="A637" s="121" t="str">
        <f>IFERROR(__xludf.DUMMYFUNCTION("""COMPUTED_VALUE"""),"EIE")</f>
        <v>EIE</v>
      </c>
      <c r="B637" s="121" t="str">
        <f>IFERROR(__xludf.DUMMYFUNCTION("""COMPUTED_VALUE"""),"S2")</f>
        <v>S2</v>
      </c>
      <c r="C637" s="121" t="str">
        <f>IFERROR(__xludf.DUMMYFUNCTION("""COMPUTED_VALUE"""),"LANGUAGE ELECTIVE")</f>
        <v>LANGUAGE ELECTIVE</v>
      </c>
      <c r="D637" s="121" t="str">
        <f>IFERROR(__xludf.DUMMYFUNCTION("""COMPUTED_VALUE"""),"22HSG01")</f>
        <v>22HSG01</v>
      </c>
      <c r="E637" s="131" t="str">
        <f>IFERROR(__xludf.DUMMYFUNCTION("""COMPUTED_VALUE"""),"GERMAN")</f>
        <v>GERMAN</v>
      </c>
      <c r="F637" s="121" t="str">
        <f>IFERROR(__xludf.DUMMYFUNCTION("""COMPUTED_VALUE"""),"LAB")</f>
        <v>LAB</v>
      </c>
      <c r="G637" s="121">
        <f>IFERROR(__xludf.DUMMYFUNCTION("""COMPUTED_VALUE"""),1.0)</f>
        <v>1</v>
      </c>
      <c r="H637" s="121">
        <f>IFERROR(__xludf.DUMMYFUNCTION("""COMPUTED_VALUE"""),0.0)</f>
        <v>0</v>
      </c>
      <c r="I637" s="121">
        <f>IFERROR(__xludf.DUMMYFUNCTION("""COMPUTED_VALUE"""),2.0)</f>
        <v>2</v>
      </c>
      <c r="J637" s="121">
        <f>IFERROR(__xludf.DUMMYFUNCTION("""COMPUTED_VALUE"""),2.0)</f>
        <v>2</v>
      </c>
      <c r="K637" s="132"/>
      <c r="L637" s="121"/>
      <c r="M637" s="121"/>
    </row>
    <row r="638" ht="49.5" customHeight="1">
      <c r="A638" s="121" t="str">
        <f>IFERROR(__xludf.DUMMYFUNCTION("""COMPUTED_VALUE"""),"EIE")</f>
        <v>EIE</v>
      </c>
      <c r="B638" s="121" t="str">
        <f>IFERROR(__xludf.DUMMYFUNCTION("""COMPUTED_VALUE"""),"S4")</f>
        <v>S4</v>
      </c>
      <c r="C638" s="121" t="str">
        <f>IFERROR(__xludf.DUMMYFUNCTION("""COMPUTED_VALUE"""),"CORE")</f>
        <v>CORE</v>
      </c>
      <c r="D638" s="121" t="str">
        <f>IFERROR(__xludf.DUMMYFUNCTION("""COMPUTED_VALUE"""),"22EI401")</f>
        <v>22EI401</v>
      </c>
      <c r="E638" s="131" t="str">
        <f>IFERROR(__xludf.DUMMYFUNCTION("""COMPUTED_VALUE"""),"PROBABILITY, STATISTICS AND
RANDOM PROCESS")</f>
        <v>PROBABILITY, STATISTICS AND
RANDOM PROCESS</v>
      </c>
      <c r="F638" s="121" t="str">
        <f>IFERROR(__xludf.DUMMYFUNCTION("""COMPUTED_VALUE"""),"THEORY")</f>
        <v>THEORY</v>
      </c>
      <c r="G638" s="121">
        <f>IFERROR(__xludf.DUMMYFUNCTION("""COMPUTED_VALUE"""),3.0)</f>
        <v>3</v>
      </c>
      <c r="H638" s="121">
        <f>IFERROR(__xludf.DUMMYFUNCTION("""COMPUTED_VALUE"""),1.0)</f>
        <v>1</v>
      </c>
      <c r="I638" s="121">
        <f>IFERROR(__xludf.DUMMYFUNCTION("""COMPUTED_VALUE"""),0.0)</f>
        <v>0</v>
      </c>
      <c r="J638" s="121">
        <f>IFERROR(__xludf.DUMMYFUNCTION("""COMPUTED_VALUE"""),4.0)</f>
        <v>4</v>
      </c>
      <c r="K638" s="132" t="str">
        <f>IFERROR(__xludf.DUMMYFUNCTION("""COMPUTED_VALUE"""),"MA1373")</f>
        <v>MA1373</v>
      </c>
      <c r="L638" s="121" t="str">
        <f>IFERROR(__xludf.DUMMYFUNCTION("""COMPUTED_VALUE"""),"Dr.SARAVANA MOORTHI P")</f>
        <v>Dr.SARAVANA MOORTHI P</v>
      </c>
      <c r="M638" s="121" t="str">
        <f>IFERROR(__xludf.DUMMYFUNCTION("""COMPUTED_VALUE"""),"saravanamoorthip@bitsathy.ac.in")</f>
        <v>saravanamoorthip@bitsathy.ac.in</v>
      </c>
    </row>
    <row r="639" ht="49.5" customHeight="1">
      <c r="A639" s="121" t="str">
        <f>IFERROR(__xludf.DUMMYFUNCTION("""COMPUTED_VALUE"""),"EIE")</f>
        <v>EIE</v>
      </c>
      <c r="B639" s="121" t="str">
        <f>IFERROR(__xludf.DUMMYFUNCTION("""COMPUTED_VALUE"""),"S4")</f>
        <v>S4</v>
      </c>
      <c r="C639" s="121" t="str">
        <f>IFERROR(__xludf.DUMMYFUNCTION("""COMPUTED_VALUE"""),"CORE")</f>
        <v>CORE</v>
      </c>
      <c r="D639" s="121" t="str">
        <f>IFERROR(__xludf.DUMMYFUNCTION("""COMPUTED_VALUE"""),"22EI402")</f>
        <v>22EI402</v>
      </c>
      <c r="E639" s="131" t="str">
        <f>IFERROR(__xludf.DUMMYFUNCTION("""COMPUTED_VALUE"""),"SENSORS AND TRANSDUCER")</f>
        <v>SENSORS AND TRANSDUCER</v>
      </c>
      <c r="F639" s="121" t="str">
        <f>IFERROR(__xludf.DUMMYFUNCTION("""COMPUTED_VALUE"""),"THEORY")</f>
        <v>THEORY</v>
      </c>
      <c r="G639" s="121">
        <f>IFERROR(__xludf.DUMMYFUNCTION("""COMPUTED_VALUE"""),3.0)</f>
        <v>3</v>
      </c>
      <c r="H639" s="121">
        <f>IFERROR(__xludf.DUMMYFUNCTION("""COMPUTED_VALUE"""),0.0)</f>
        <v>0</v>
      </c>
      <c r="I639" s="121">
        <f>IFERROR(__xludf.DUMMYFUNCTION("""COMPUTED_VALUE"""),2.0)</f>
        <v>2</v>
      </c>
      <c r="J639" s="121">
        <f>IFERROR(__xludf.DUMMYFUNCTION("""COMPUTED_VALUE"""),4.0)</f>
        <v>4</v>
      </c>
      <c r="K639" s="132" t="str">
        <f>IFERROR(__xludf.DUMMYFUNCTION("""COMPUTED_VALUE"""),"EI1996")</f>
        <v>EI1996</v>
      </c>
      <c r="L639" s="121" t="str">
        <f>IFERROR(__xludf.DUMMYFUNCTION("""COMPUTED_VALUE"""),"Dr.ARUN JAYAKAR S")</f>
        <v>Dr.ARUN JAYAKAR S</v>
      </c>
      <c r="M639" s="121" t="str">
        <f>IFERROR(__xludf.DUMMYFUNCTION("""COMPUTED_VALUE"""),"arunjayakars@bitsathy.ac.in")</f>
        <v>arunjayakars@bitsathy.ac.in</v>
      </c>
    </row>
    <row r="640" ht="49.5" customHeight="1">
      <c r="A640" s="121" t="str">
        <f>IFERROR(__xludf.DUMMYFUNCTION("""COMPUTED_VALUE"""),"EIE")</f>
        <v>EIE</v>
      </c>
      <c r="B640" s="121" t="str">
        <f>IFERROR(__xludf.DUMMYFUNCTION("""COMPUTED_VALUE"""),"S4")</f>
        <v>S4</v>
      </c>
      <c r="C640" s="121" t="str">
        <f>IFERROR(__xludf.DUMMYFUNCTION("""COMPUTED_VALUE"""),"CORE")</f>
        <v>CORE</v>
      </c>
      <c r="D640" s="121" t="str">
        <f>IFERROR(__xludf.DUMMYFUNCTION("""COMPUTED_VALUE"""),"22EI402")</f>
        <v>22EI402</v>
      </c>
      <c r="E640" s="131" t="str">
        <f>IFERROR(__xludf.DUMMYFUNCTION("""COMPUTED_VALUE"""),"SENSORS AND TRANSDUCER")</f>
        <v>SENSORS AND TRANSDUCER</v>
      </c>
      <c r="F640" s="121" t="str">
        <f>IFERROR(__xludf.DUMMYFUNCTION("""COMPUTED_VALUE"""),"LAB")</f>
        <v>LAB</v>
      </c>
      <c r="G640" s="121">
        <f>IFERROR(__xludf.DUMMYFUNCTION("""COMPUTED_VALUE"""),3.0)</f>
        <v>3</v>
      </c>
      <c r="H640" s="121">
        <f>IFERROR(__xludf.DUMMYFUNCTION("""COMPUTED_VALUE"""),0.0)</f>
        <v>0</v>
      </c>
      <c r="I640" s="121">
        <f>IFERROR(__xludf.DUMMYFUNCTION("""COMPUTED_VALUE"""),2.0)</f>
        <v>2</v>
      </c>
      <c r="J640" s="121">
        <f>IFERROR(__xludf.DUMMYFUNCTION("""COMPUTED_VALUE"""),4.0)</f>
        <v>4</v>
      </c>
      <c r="K640" s="132" t="str">
        <f>IFERROR(__xludf.DUMMYFUNCTION("""COMPUTED_VALUE"""),"EI1688")</f>
        <v>EI1688</v>
      </c>
      <c r="L640" s="121" t="str">
        <f>IFERROR(__xludf.DUMMYFUNCTION("""COMPUTED_VALUE"""),"Dr.SUDHAHAR S")</f>
        <v>Dr.SUDHAHAR S</v>
      </c>
      <c r="M640" s="121" t="str">
        <f>IFERROR(__xludf.DUMMYFUNCTION("""COMPUTED_VALUE"""),"sudhahars@bitsathy.ac.in")</f>
        <v>sudhahars@bitsathy.ac.in</v>
      </c>
    </row>
    <row r="641" ht="49.5" customHeight="1">
      <c r="A641" s="121" t="str">
        <f>IFERROR(__xludf.DUMMYFUNCTION("""COMPUTED_VALUE"""),"EIE")</f>
        <v>EIE</v>
      </c>
      <c r="B641" s="121" t="str">
        <f>IFERROR(__xludf.DUMMYFUNCTION("""COMPUTED_VALUE"""),"S4")</f>
        <v>S4</v>
      </c>
      <c r="C641" s="121" t="str">
        <f>IFERROR(__xludf.DUMMYFUNCTION("""COMPUTED_VALUE"""),"CORE")</f>
        <v>CORE</v>
      </c>
      <c r="D641" s="121" t="str">
        <f>IFERROR(__xludf.DUMMYFUNCTION("""COMPUTED_VALUE"""),"22EI403")</f>
        <v>22EI403</v>
      </c>
      <c r="E641" s="131" t="str">
        <f>IFERROR(__xludf.DUMMYFUNCTION("""COMPUTED_VALUE"""),"ANALOG ELECTRONICS AND INTEGRATED CIRCUITS")</f>
        <v>ANALOG ELECTRONICS AND INTEGRATED CIRCUITS</v>
      </c>
      <c r="F641" s="121" t="str">
        <f>IFERROR(__xludf.DUMMYFUNCTION("""COMPUTED_VALUE"""),"THEORY")</f>
        <v>THEORY</v>
      </c>
      <c r="G641" s="121">
        <f>IFERROR(__xludf.DUMMYFUNCTION("""COMPUTED_VALUE"""),3.0)</f>
        <v>3</v>
      </c>
      <c r="H641" s="121">
        <f>IFERROR(__xludf.DUMMYFUNCTION("""COMPUTED_VALUE"""),0.0)</f>
        <v>0</v>
      </c>
      <c r="I641" s="121">
        <f>IFERROR(__xludf.DUMMYFUNCTION("""COMPUTED_VALUE"""),2.0)</f>
        <v>2</v>
      </c>
      <c r="J641" s="121">
        <f>IFERROR(__xludf.DUMMYFUNCTION("""COMPUTED_VALUE"""),4.0)</f>
        <v>4</v>
      </c>
      <c r="K641" s="132" t="str">
        <f>IFERROR(__xludf.DUMMYFUNCTION("""COMPUTED_VALUE"""),"EI10459")</f>
        <v>EI10459</v>
      </c>
      <c r="L641" s="121" t="str">
        <f>IFERROR(__xludf.DUMMYFUNCTION("""COMPUTED_VALUE"""),"Mr.PRAVIN SAVARIDASS M")</f>
        <v>Mr.PRAVIN SAVARIDASS M</v>
      </c>
      <c r="M641" s="121" t="str">
        <f>IFERROR(__xludf.DUMMYFUNCTION("""COMPUTED_VALUE"""),"pravinsavaridass@bitsathy.ac.in")</f>
        <v>pravinsavaridass@bitsathy.ac.in</v>
      </c>
    </row>
    <row r="642" ht="49.5" customHeight="1">
      <c r="A642" s="121" t="str">
        <f>IFERROR(__xludf.DUMMYFUNCTION("""COMPUTED_VALUE"""),"EIE")</f>
        <v>EIE</v>
      </c>
      <c r="B642" s="121" t="str">
        <f>IFERROR(__xludf.DUMMYFUNCTION("""COMPUTED_VALUE"""),"S4")</f>
        <v>S4</v>
      </c>
      <c r="C642" s="121" t="str">
        <f>IFERROR(__xludf.DUMMYFUNCTION("""COMPUTED_VALUE"""),"CORE")</f>
        <v>CORE</v>
      </c>
      <c r="D642" s="121" t="str">
        <f>IFERROR(__xludf.DUMMYFUNCTION("""COMPUTED_VALUE"""),"22EI403")</f>
        <v>22EI403</v>
      </c>
      <c r="E642" s="131" t="str">
        <f>IFERROR(__xludf.DUMMYFUNCTION("""COMPUTED_VALUE"""),"ANALOG ELECTRONICS AND INTEGRATED CIRCUITS")</f>
        <v>ANALOG ELECTRONICS AND INTEGRATED CIRCUITS</v>
      </c>
      <c r="F642" s="121" t="str">
        <f>IFERROR(__xludf.DUMMYFUNCTION("""COMPUTED_VALUE"""),"LAB")</f>
        <v>LAB</v>
      </c>
      <c r="G642" s="121">
        <f>IFERROR(__xludf.DUMMYFUNCTION("""COMPUTED_VALUE"""),3.0)</f>
        <v>3</v>
      </c>
      <c r="H642" s="121">
        <f>IFERROR(__xludf.DUMMYFUNCTION("""COMPUTED_VALUE"""),0.0)</f>
        <v>0</v>
      </c>
      <c r="I642" s="121">
        <f>IFERROR(__xludf.DUMMYFUNCTION("""COMPUTED_VALUE"""),2.0)</f>
        <v>2</v>
      </c>
      <c r="J642" s="121">
        <f>IFERROR(__xludf.DUMMYFUNCTION("""COMPUTED_VALUE"""),4.0)</f>
        <v>4</v>
      </c>
      <c r="K642" s="132" t="str">
        <f>IFERROR(__xludf.DUMMYFUNCTION("""COMPUTED_VALUE"""),"BM11175")</f>
        <v>BM11175</v>
      </c>
      <c r="L642" s="121" t="str">
        <f>IFERROR(__xludf.DUMMYFUNCTION("""COMPUTED_VALUE"""),"Ms.SREENIVEATHA P")</f>
        <v>Ms.SREENIVEATHA P</v>
      </c>
      <c r="M642" s="133" t="str">
        <f>IFERROR(__xludf.DUMMYFUNCTION("""COMPUTED_VALUE"""),"sreeniveathap@bitsathy.ac.in")</f>
        <v>sreeniveathap@bitsathy.ac.in</v>
      </c>
    </row>
    <row r="643" ht="49.5" customHeight="1">
      <c r="A643" s="121" t="str">
        <f>IFERROR(__xludf.DUMMYFUNCTION("""COMPUTED_VALUE"""),"EIE")</f>
        <v>EIE</v>
      </c>
      <c r="B643" s="121" t="str">
        <f>IFERROR(__xludf.DUMMYFUNCTION("""COMPUTED_VALUE"""),"S4")</f>
        <v>S4</v>
      </c>
      <c r="C643" s="121" t="str">
        <f>IFERROR(__xludf.DUMMYFUNCTION("""COMPUTED_VALUE"""),"CORE")</f>
        <v>CORE</v>
      </c>
      <c r="D643" s="121" t="str">
        <f>IFERROR(__xludf.DUMMYFUNCTION("""COMPUTED_VALUE"""),"22EI404")</f>
        <v>22EI404</v>
      </c>
      <c r="E643" s="131" t="str">
        <f>IFERROR(__xludf.DUMMYFUNCTION("""COMPUTED_VALUE"""),"COMMUNICATION ENGINEERING")</f>
        <v>COMMUNICATION ENGINEERING</v>
      </c>
      <c r="F643" s="121" t="str">
        <f>IFERROR(__xludf.DUMMYFUNCTION("""COMPUTED_VALUE"""),"THEORY")</f>
        <v>THEORY</v>
      </c>
      <c r="G643" s="121">
        <f>IFERROR(__xludf.DUMMYFUNCTION("""COMPUTED_VALUE"""),3.0)</f>
        <v>3</v>
      </c>
      <c r="H643" s="121">
        <f>IFERROR(__xludf.DUMMYFUNCTION("""COMPUTED_VALUE"""),0.0)</f>
        <v>0</v>
      </c>
      <c r="I643" s="121">
        <f>IFERROR(__xludf.DUMMYFUNCTION("""COMPUTED_VALUE"""),0.0)</f>
        <v>0</v>
      </c>
      <c r="J643" s="121">
        <f>IFERROR(__xludf.DUMMYFUNCTION("""COMPUTED_VALUE"""),3.0)</f>
        <v>3</v>
      </c>
      <c r="K643" s="132" t="str">
        <f>IFERROR(__xludf.DUMMYFUNCTION("""COMPUTED_VALUE"""),"EI1276")</f>
        <v>EI1276</v>
      </c>
      <c r="L643" s="121" t="str">
        <f>IFERROR(__xludf.DUMMYFUNCTION("""COMPUTED_VALUE"""),"Dr.GANESH BABU C")</f>
        <v>Dr.GANESH BABU C</v>
      </c>
      <c r="M643" s="121" t="str">
        <f>IFERROR(__xludf.DUMMYFUNCTION("""COMPUTED_VALUE"""),"ganeshbabuc@bitsathy.ac.in")</f>
        <v>ganeshbabuc@bitsathy.ac.in</v>
      </c>
    </row>
    <row r="644" ht="49.5" customHeight="1">
      <c r="A644" s="121" t="str">
        <f>IFERROR(__xludf.DUMMYFUNCTION("""COMPUTED_VALUE"""),"EIE")</f>
        <v>EIE</v>
      </c>
      <c r="B644" s="121" t="str">
        <f>IFERROR(__xludf.DUMMYFUNCTION("""COMPUTED_VALUE"""),"S4")</f>
        <v>S4</v>
      </c>
      <c r="C644" s="121" t="str">
        <f>IFERROR(__xludf.DUMMYFUNCTION("""COMPUTED_VALUE"""),"CORE")</f>
        <v>CORE</v>
      </c>
      <c r="D644" s="121" t="str">
        <f>IFERROR(__xludf.DUMMYFUNCTION("""COMPUTED_VALUE"""),"22EI405")</f>
        <v>22EI405</v>
      </c>
      <c r="E644" s="131" t="str">
        <f>IFERROR(__xludf.DUMMYFUNCTION("""COMPUTED_VALUE"""),"EMBEDDED SYSTEMS")</f>
        <v>EMBEDDED SYSTEMS</v>
      </c>
      <c r="F644" s="121" t="str">
        <f>IFERROR(__xludf.DUMMYFUNCTION("""COMPUTED_VALUE"""),"THEORY")</f>
        <v>THEORY</v>
      </c>
      <c r="G644" s="121">
        <f>IFERROR(__xludf.DUMMYFUNCTION("""COMPUTED_VALUE"""),3.0)</f>
        <v>3</v>
      </c>
      <c r="H644" s="121">
        <f>IFERROR(__xludf.DUMMYFUNCTION("""COMPUTED_VALUE"""),0.0)</f>
        <v>0</v>
      </c>
      <c r="I644" s="121">
        <f>IFERROR(__xludf.DUMMYFUNCTION("""COMPUTED_VALUE"""),2.0)</f>
        <v>2</v>
      </c>
      <c r="J644" s="121">
        <f>IFERROR(__xludf.DUMMYFUNCTION("""COMPUTED_VALUE"""),4.0)</f>
        <v>4</v>
      </c>
      <c r="K644" s="132" t="str">
        <f>IFERROR(__xludf.DUMMYFUNCTION("""COMPUTED_VALUE"""),"EI10266")</f>
        <v>EI10266</v>
      </c>
      <c r="L644" s="121" t="str">
        <f>IFERROR(__xludf.DUMMYFUNCTION("""COMPUTED_VALUE"""),"Dr.HARITHA J")</f>
        <v>Dr.HARITHA J</v>
      </c>
      <c r="M644" s="121" t="str">
        <f>IFERROR(__xludf.DUMMYFUNCTION("""COMPUTED_VALUE"""),"haritha@bitsathy.ac.in")</f>
        <v>haritha@bitsathy.ac.in</v>
      </c>
    </row>
    <row r="645" ht="49.5" customHeight="1">
      <c r="A645" s="121" t="str">
        <f>IFERROR(__xludf.DUMMYFUNCTION("""COMPUTED_VALUE"""),"EIE")</f>
        <v>EIE</v>
      </c>
      <c r="B645" s="121" t="str">
        <f>IFERROR(__xludf.DUMMYFUNCTION("""COMPUTED_VALUE"""),"S4")</f>
        <v>S4</v>
      </c>
      <c r="C645" s="121" t="str">
        <f>IFERROR(__xludf.DUMMYFUNCTION("""COMPUTED_VALUE"""),"CORE")</f>
        <v>CORE</v>
      </c>
      <c r="D645" s="121" t="str">
        <f>IFERROR(__xludf.DUMMYFUNCTION("""COMPUTED_VALUE"""),"22EI405")</f>
        <v>22EI405</v>
      </c>
      <c r="E645" s="131" t="str">
        <f>IFERROR(__xludf.DUMMYFUNCTION("""COMPUTED_VALUE"""),"EMBEDDED SYSTEMS")</f>
        <v>EMBEDDED SYSTEMS</v>
      </c>
      <c r="F645" s="121" t="str">
        <f>IFERROR(__xludf.DUMMYFUNCTION("""COMPUTED_VALUE"""),"LAB")</f>
        <v>LAB</v>
      </c>
      <c r="G645" s="121">
        <f>IFERROR(__xludf.DUMMYFUNCTION("""COMPUTED_VALUE"""),3.0)</f>
        <v>3</v>
      </c>
      <c r="H645" s="121">
        <f>IFERROR(__xludf.DUMMYFUNCTION("""COMPUTED_VALUE"""),0.0)</f>
        <v>0</v>
      </c>
      <c r="I645" s="121">
        <f>IFERROR(__xludf.DUMMYFUNCTION("""COMPUTED_VALUE"""),2.0)</f>
        <v>2</v>
      </c>
      <c r="J645" s="121">
        <f>IFERROR(__xludf.DUMMYFUNCTION("""COMPUTED_VALUE"""),4.0)</f>
        <v>4</v>
      </c>
      <c r="K645" s="132" t="str">
        <f>IFERROR(__xludf.DUMMYFUNCTION("""COMPUTED_VALUE"""),"BM11176")</f>
        <v>BM11176</v>
      </c>
      <c r="L645" s="121" t="str">
        <f>IFERROR(__xludf.DUMMYFUNCTION("""COMPUTED_VALUE"""),"Ms.PRATHEEBHA G")</f>
        <v>Ms.PRATHEEBHA G</v>
      </c>
      <c r="M645" s="121" t="str">
        <f>IFERROR(__xludf.DUMMYFUNCTION("""COMPUTED_VALUE"""),"pratheebhag@bitsathy.ac.in")</f>
        <v>pratheebhag@bitsathy.ac.in</v>
      </c>
    </row>
    <row r="646" ht="49.5" customHeight="1">
      <c r="A646" s="121" t="str">
        <f>IFERROR(__xludf.DUMMYFUNCTION("""COMPUTED_VALUE"""),"EIE")</f>
        <v>EIE</v>
      </c>
      <c r="B646" s="121" t="str">
        <f>IFERROR(__xludf.DUMMYFUNCTION("""COMPUTED_VALUE"""),"S4")</f>
        <v>S4</v>
      </c>
      <c r="C646" s="121" t="str">
        <f>IFERROR(__xludf.DUMMYFUNCTION("""COMPUTED_VALUE"""),"ELECTIVE 1")</f>
        <v>ELECTIVE 1</v>
      </c>
      <c r="D646" s="121" t="str">
        <f>IFERROR(__xludf.DUMMYFUNCTION("""COMPUTED_VALUE"""),"22EI014")</f>
        <v>22EI014</v>
      </c>
      <c r="E646" s="131" t="str">
        <f>IFERROR(__xludf.DUMMYFUNCTION("""COMPUTED_VALUE"""),"ANALYTICAL INSTRUMENTS")</f>
        <v>ANALYTICAL INSTRUMENTS</v>
      </c>
      <c r="F646" s="121" t="str">
        <f>IFERROR(__xludf.DUMMYFUNCTION("""COMPUTED_VALUE"""),"THEORY")</f>
        <v>THEORY</v>
      </c>
      <c r="G646" s="121">
        <f>IFERROR(__xludf.DUMMYFUNCTION("""COMPUTED_VALUE"""),3.0)</f>
        <v>3</v>
      </c>
      <c r="H646" s="121">
        <f>IFERROR(__xludf.DUMMYFUNCTION("""COMPUTED_VALUE"""),0.0)</f>
        <v>0</v>
      </c>
      <c r="I646" s="121">
        <f>IFERROR(__xludf.DUMMYFUNCTION("""COMPUTED_VALUE"""),0.0)</f>
        <v>0</v>
      </c>
      <c r="J646" s="121">
        <f>IFERROR(__xludf.DUMMYFUNCTION("""COMPUTED_VALUE"""),3.0)</f>
        <v>3</v>
      </c>
      <c r="K646" s="132" t="str">
        <f>IFERROR(__xludf.DUMMYFUNCTION("""COMPUTED_VALUE"""),"EI10249")</f>
        <v>EI10249</v>
      </c>
      <c r="L646" s="121" t="str">
        <f>IFERROR(__xludf.DUMMYFUNCTION("""COMPUTED_VALUE"""),"Dr.DHANASEKAR R")</f>
        <v>Dr.DHANASEKAR R</v>
      </c>
      <c r="M646" s="121" t="str">
        <f>IFERROR(__xludf.DUMMYFUNCTION("""COMPUTED_VALUE"""),"dhanasekar@bitsathy.ac.in")</f>
        <v>dhanasekar@bitsathy.ac.in</v>
      </c>
    </row>
    <row r="647" ht="49.5" customHeight="1">
      <c r="A647" s="121" t="str">
        <f>IFERROR(__xludf.DUMMYFUNCTION("""COMPUTED_VALUE"""),"EIE")</f>
        <v>EIE</v>
      </c>
      <c r="B647" s="121" t="str">
        <f>IFERROR(__xludf.DUMMYFUNCTION("""COMPUTED_VALUE"""),"S4")</f>
        <v>S4</v>
      </c>
      <c r="C647" s="121" t="str">
        <f>IFERROR(__xludf.DUMMYFUNCTION("""COMPUTED_VALUE"""),"CORE")</f>
        <v>CORE</v>
      </c>
      <c r="D647" s="121" t="str">
        <f>IFERROR(__xludf.DUMMYFUNCTION("""COMPUTED_VALUE"""),"22HS007")</f>
        <v>22HS007</v>
      </c>
      <c r="E647" s="131" t="str">
        <f>IFERROR(__xludf.DUMMYFUNCTION("""COMPUTED_VALUE"""),"ENVIRONMENTAL SCIENCE")</f>
        <v>ENVIRONMENTAL SCIENCE</v>
      </c>
      <c r="F647" s="121" t="str">
        <f>IFERROR(__xludf.DUMMYFUNCTION("""COMPUTED_VALUE"""),"LAB")</f>
        <v>LAB</v>
      </c>
      <c r="G647" s="121">
        <f>IFERROR(__xludf.DUMMYFUNCTION("""COMPUTED_VALUE"""),2.0)</f>
        <v>2</v>
      </c>
      <c r="H647" s="121">
        <f>IFERROR(__xludf.DUMMYFUNCTION("""COMPUTED_VALUE"""),0.0)</f>
        <v>0</v>
      </c>
      <c r="I647" s="121">
        <f>IFERROR(__xludf.DUMMYFUNCTION("""COMPUTED_VALUE"""),0.0)</f>
        <v>0</v>
      </c>
      <c r="J647" s="121">
        <f>IFERROR(__xludf.DUMMYFUNCTION("""COMPUTED_VALUE"""),2.0)</f>
        <v>2</v>
      </c>
      <c r="K647" s="132" t="str">
        <f>IFERROR(__xludf.DUMMYFUNCTION("""COMPUTED_VALUE"""),"CH1557")</f>
        <v>CH1557</v>
      </c>
      <c r="L647" s="121" t="str">
        <f>IFERROR(__xludf.DUMMYFUNCTION("""COMPUTED_VALUE"""),"Dr.VIJAYANAND P S")</f>
        <v>Dr.VIJAYANAND P S</v>
      </c>
      <c r="M647" s="121" t="str">
        <f>IFERROR(__xludf.DUMMYFUNCTION("""COMPUTED_VALUE"""),"vijayanandps@bitsathy.ac.in")</f>
        <v>vijayanandps@bitsathy.ac.in</v>
      </c>
    </row>
    <row r="648" ht="49.5" customHeight="1">
      <c r="A648" s="121" t="str">
        <f>IFERROR(__xludf.DUMMYFUNCTION("""COMPUTED_VALUE"""),"EIE")</f>
        <v>EIE</v>
      </c>
      <c r="B648" s="121" t="str">
        <f>IFERROR(__xludf.DUMMYFUNCTION("""COMPUTED_VALUE"""),"S4")</f>
        <v>S4</v>
      </c>
      <c r="C648" s="121" t="str">
        <f>IFERROR(__xludf.DUMMYFUNCTION("""COMPUTED_VALUE"""),"CORE")</f>
        <v>CORE</v>
      </c>
      <c r="D648" s="121" t="str">
        <f>IFERROR(__xludf.DUMMYFUNCTION("""COMPUTED_VALUE"""),"22HS008")</f>
        <v>22HS008</v>
      </c>
      <c r="E648" s="131" t="str">
        <f>IFERROR(__xludf.DUMMYFUNCTION("""COMPUTED_VALUE"""),"ADVANCED ENGLISH AND TECHNICAL EXPRESSION ")</f>
        <v>ADVANCED ENGLISH AND TECHNICAL EXPRESSION </v>
      </c>
      <c r="F648" s="121" t="str">
        <f>IFERROR(__xludf.DUMMYFUNCTION("""COMPUTED_VALUE"""),"LAB")</f>
        <v>LAB</v>
      </c>
      <c r="G648" s="121">
        <f>IFERROR(__xludf.DUMMYFUNCTION("""COMPUTED_VALUE"""),0.0)</f>
        <v>0</v>
      </c>
      <c r="H648" s="121">
        <f>IFERROR(__xludf.DUMMYFUNCTION("""COMPUTED_VALUE"""),0.0)</f>
        <v>0</v>
      </c>
      <c r="I648" s="121">
        <f>IFERROR(__xludf.DUMMYFUNCTION("""COMPUTED_VALUE"""),2.0)</f>
        <v>2</v>
      </c>
      <c r="J648" s="121">
        <f>IFERROR(__xludf.DUMMYFUNCTION("""COMPUTED_VALUE"""),1.0)</f>
        <v>1</v>
      </c>
      <c r="K648" s="132" t="str">
        <f>IFERROR(__xludf.DUMMYFUNCTION("""COMPUTED_VALUE"""),"HU11151")</f>
        <v>HU11151</v>
      </c>
      <c r="L648" s="121" t="str">
        <f>IFERROR(__xludf.DUMMYFUNCTION("""COMPUTED_VALUE"""),"Dr.NITHYA S")</f>
        <v>Dr.NITHYA S</v>
      </c>
      <c r="M648" s="121" t="str">
        <f>IFERROR(__xludf.DUMMYFUNCTION("""COMPUTED_VALUE"""),"nithyas@bitsathy.ac.in")</f>
        <v>nithyas@bitsathy.ac.in</v>
      </c>
    </row>
    <row r="649" ht="49.5" customHeight="1">
      <c r="A649" s="121" t="str">
        <f>IFERROR(__xludf.DUMMYFUNCTION("""COMPUTED_VALUE"""),"EIE")</f>
        <v>EIE</v>
      </c>
      <c r="B649" s="121" t="str">
        <f>IFERROR(__xludf.DUMMYFUNCTION("""COMPUTED_VALUE"""),"S6")</f>
        <v>S6</v>
      </c>
      <c r="C649" s="121" t="str">
        <f>IFERROR(__xludf.DUMMYFUNCTION("""COMPUTED_VALUE"""),"CORE")</f>
        <v>CORE</v>
      </c>
      <c r="D649" s="121" t="str">
        <f>IFERROR(__xludf.DUMMYFUNCTION("""COMPUTED_VALUE"""),"22EI601")</f>
        <v>22EI601</v>
      </c>
      <c r="E649" s="131" t="str">
        <f>IFERROR(__xludf.DUMMYFUNCTION("""COMPUTED_VALUE"""),"PROCESS CONTROL")</f>
        <v>PROCESS CONTROL</v>
      </c>
      <c r="F649" s="121" t="str">
        <f>IFERROR(__xludf.DUMMYFUNCTION("""COMPUTED_VALUE"""),"THEORY")</f>
        <v>THEORY</v>
      </c>
      <c r="G649" s="121">
        <f>IFERROR(__xludf.DUMMYFUNCTION("""COMPUTED_VALUE"""),3.0)</f>
        <v>3</v>
      </c>
      <c r="H649" s="121">
        <f>IFERROR(__xludf.DUMMYFUNCTION("""COMPUTED_VALUE"""),0.0)</f>
        <v>0</v>
      </c>
      <c r="I649" s="121">
        <f>IFERROR(__xludf.DUMMYFUNCTION("""COMPUTED_VALUE"""),2.0)</f>
        <v>2</v>
      </c>
      <c r="J649" s="121">
        <f>IFERROR(__xludf.DUMMYFUNCTION("""COMPUTED_VALUE"""),4.0)</f>
        <v>4</v>
      </c>
      <c r="K649" s="132" t="str">
        <f>IFERROR(__xludf.DUMMYFUNCTION("""COMPUTED_VALUE"""),"EI1438")</f>
        <v>EI1438</v>
      </c>
      <c r="L649" s="121" t="str">
        <f>IFERROR(__xludf.DUMMYFUNCTION("""COMPUTED_VALUE"""),"Dr.VAIRAVEL K S")</f>
        <v>Dr.VAIRAVEL K S</v>
      </c>
      <c r="M649" s="121" t="str">
        <f>IFERROR(__xludf.DUMMYFUNCTION("""COMPUTED_VALUE"""),"vairavelks@bitsathy.ac.in")</f>
        <v>vairavelks@bitsathy.ac.in</v>
      </c>
    </row>
    <row r="650" ht="49.5" customHeight="1">
      <c r="A650" s="121" t="str">
        <f>IFERROR(__xludf.DUMMYFUNCTION("""COMPUTED_VALUE"""),"EIE")</f>
        <v>EIE</v>
      </c>
      <c r="B650" s="121" t="str">
        <f>IFERROR(__xludf.DUMMYFUNCTION("""COMPUTED_VALUE"""),"S6")</f>
        <v>S6</v>
      </c>
      <c r="C650" s="121" t="str">
        <f>IFERROR(__xludf.DUMMYFUNCTION("""COMPUTED_VALUE"""),"CORE")</f>
        <v>CORE</v>
      </c>
      <c r="D650" s="121" t="str">
        <f>IFERROR(__xludf.DUMMYFUNCTION("""COMPUTED_VALUE"""),"22EI601")</f>
        <v>22EI601</v>
      </c>
      <c r="E650" s="131" t="str">
        <f>IFERROR(__xludf.DUMMYFUNCTION("""COMPUTED_VALUE"""),"PROCESS CONTROL")</f>
        <v>PROCESS CONTROL</v>
      </c>
      <c r="F650" s="121" t="str">
        <f>IFERROR(__xludf.DUMMYFUNCTION("""COMPUTED_VALUE"""),"LAB")</f>
        <v>LAB</v>
      </c>
      <c r="G650" s="121">
        <f>IFERROR(__xludf.DUMMYFUNCTION("""COMPUTED_VALUE"""),3.0)</f>
        <v>3</v>
      </c>
      <c r="H650" s="121">
        <f>IFERROR(__xludf.DUMMYFUNCTION("""COMPUTED_VALUE"""),0.0)</f>
        <v>0</v>
      </c>
      <c r="I650" s="121">
        <f>IFERROR(__xludf.DUMMYFUNCTION("""COMPUTED_VALUE"""),2.0)</f>
        <v>2</v>
      </c>
      <c r="J650" s="121">
        <f>IFERROR(__xludf.DUMMYFUNCTION("""COMPUTED_VALUE"""),4.0)</f>
        <v>4</v>
      </c>
      <c r="K650" s="132" t="str">
        <f>IFERROR(__xludf.DUMMYFUNCTION("""COMPUTED_VALUE"""),"EI10459")</f>
        <v>EI10459</v>
      </c>
      <c r="L650" s="121" t="str">
        <f>IFERROR(__xludf.DUMMYFUNCTION("""COMPUTED_VALUE"""),"Mr.PRAVIN SAVARIDASS M")</f>
        <v>Mr.PRAVIN SAVARIDASS M</v>
      </c>
      <c r="M650" s="121" t="str">
        <f>IFERROR(__xludf.DUMMYFUNCTION("""COMPUTED_VALUE"""),"pravinsavaridass@bitsathy.ac.in")</f>
        <v>pravinsavaridass@bitsathy.ac.in</v>
      </c>
    </row>
    <row r="651" ht="49.5" customHeight="1">
      <c r="A651" s="121" t="str">
        <f>IFERROR(__xludf.DUMMYFUNCTION("""COMPUTED_VALUE"""),"EIE")</f>
        <v>EIE</v>
      </c>
      <c r="B651" s="121" t="str">
        <f>IFERROR(__xludf.DUMMYFUNCTION("""COMPUTED_VALUE"""),"S6")</f>
        <v>S6</v>
      </c>
      <c r="C651" s="121" t="str">
        <f>IFERROR(__xludf.DUMMYFUNCTION("""COMPUTED_VALUE"""),"CORE")</f>
        <v>CORE</v>
      </c>
      <c r="D651" s="121" t="str">
        <f>IFERROR(__xludf.DUMMYFUNCTION("""COMPUTED_VALUE"""),"22EI602")</f>
        <v>22EI602</v>
      </c>
      <c r="E651" s="131" t="str">
        <f>IFERROR(__xludf.DUMMYFUNCTION("""COMPUTED_VALUE"""),"DIGITAL SIGNAL PROCESSING")</f>
        <v>DIGITAL SIGNAL PROCESSING</v>
      </c>
      <c r="F651" s="121" t="str">
        <f>IFERROR(__xludf.DUMMYFUNCTION("""COMPUTED_VALUE"""),"THEORY")</f>
        <v>THEORY</v>
      </c>
      <c r="G651" s="121">
        <f>IFERROR(__xludf.DUMMYFUNCTION("""COMPUTED_VALUE"""),3.0)</f>
        <v>3</v>
      </c>
      <c r="H651" s="121">
        <f>IFERROR(__xludf.DUMMYFUNCTION("""COMPUTED_VALUE"""),1.0)</f>
        <v>1</v>
      </c>
      <c r="I651" s="121">
        <f>IFERROR(__xludf.DUMMYFUNCTION("""COMPUTED_VALUE"""),0.0)</f>
        <v>0</v>
      </c>
      <c r="J651" s="121">
        <f>IFERROR(__xludf.DUMMYFUNCTION("""COMPUTED_VALUE"""),4.0)</f>
        <v>4</v>
      </c>
      <c r="K651" s="132" t="str">
        <f>IFERROR(__xludf.DUMMYFUNCTION("""COMPUTED_VALUE"""),"EI1688")</f>
        <v>EI1688</v>
      </c>
      <c r="L651" s="121" t="str">
        <f>IFERROR(__xludf.DUMMYFUNCTION("""COMPUTED_VALUE"""),"Dr.SUDHAHAR S")</f>
        <v>Dr.SUDHAHAR S</v>
      </c>
      <c r="M651" s="121" t="str">
        <f>IFERROR(__xludf.DUMMYFUNCTION("""COMPUTED_VALUE"""),"sudhahars@bitsathy.ac.in")</f>
        <v>sudhahars@bitsathy.ac.in</v>
      </c>
    </row>
    <row r="652" ht="49.5" customHeight="1">
      <c r="A652" s="121" t="str">
        <f>IFERROR(__xludf.DUMMYFUNCTION("""COMPUTED_VALUE"""),"EIE")</f>
        <v>EIE</v>
      </c>
      <c r="B652" s="121" t="str">
        <f>IFERROR(__xludf.DUMMYFUNCTION("""COMPUTED_VALUE"""),"S6")</f>
        <v>S6</v>
      </c>
      <c r="C652" s="121" t="str">
        <f>IFERROR(__xludf.DUMMYFUNCTION("""COMPUTED_VALUE"""),"CORE")</f>
        <v>CORE</v>
      </c>
      <c r="D652" s="121" t="str">
        <f>IFERROR(__xludf.DUMMYFUNCTION("""COMPUTED_VALUE"""),"22EI603")</f>
        <v>22EI603</v>
      </c>
      <c r="E652" s="131" t="str">
        <f>IFERROR(__xludf.DUMMYFUNCTION("""COMPUTED_VALUE"""),"ARTIFICIAL INTELLIGENCE AND MACHINE LEARNING")</f>
        <v>ARTIFICIAL INTELLIGENCE AND MACHINE LEARNING</v>
      </c>
      <c r="F652" s="121" t="str">
        <f>IFERROR(__xludf.DUMMYFUNCTION("""COMPUTED_VALUE"""),"THEORY")</f>
        <v>THEORY</v>
      </c>
      <c r="G652" s="121">
        <f>IFERROR(__xludf.DUMMYFUNCTION("""COMPUTED_VALUE"""),3.0)</f>
        <v>3</v>
      </c>
      <c r="H652" s="121">
        <f>IFERROR(__xludf.DUMMYFUNCTION("""COMPUTED_VALUE"""),0.0)</f>
        <v>0</v>
      </c>
      <c r="I652" s="121">
        <f>IFERROR(__xludf.DUMMYFUNCTION("""COMPUTED_VALUE"""),2.0)</f>
        <v>2</v>
      </c>
      <c r="J652" s="121">
        <f>IFERROR(__xludf.DUMMYFUNCTION("""COMPUTED_VALUE"""),4.0)</f>
        <v>4</v>
      </c>
      <c r="K652" s="132" t="str">
        <f>IFERROR(__xludf.DUMMYFUNCTION("""COMPUTED_VALUE"""),"EI10187")</f>
        <v>EI10187</v>
      </c>
      <c r="L652" s="121" t="str">
        <f>IFERROR(__xludf.DUMMYFUNCTION("""COMPUTED_VALUE"""),"Dr.BALAMURUGAN V T")</f>
        <v>Dr.BALAMURUGAN V T</v>
      </c>
      <c r="M652" s="121" t="str">
        <f>IFERROR(__xludf.DUMMYFUNCTION("""COMPUTED_VALUE"""),"balamurugan@bitsathy.ac.in")</f>
        <v>balamurugan@bitsathy.ac.in</v>
      </c>
    </row>
    <row r="653" ht="49.5" customHeight="1">
      <c r="A653" s="121" t="str">
        <f>IFERROR(__xludf.DUMMYFUNCTION("""COMPUTED_VALUE"""),"EIE")</f>
        <v>EIE</v>
      </c>
      <c r="B653" s="121" t="str">
        <f>IFERROR(__xludf.DUMMYFUNCTION("""COMPUTED_VALUE"""),"S6")</f>
        <v>S6</v>
      </c>
      <c r="C653" s="121" t="str">
        <f>IFERROR(__xludf.DUMMYFUNCTION("""COMPUTED_VALUE"""),"CORE")</f>
        <v>CORE</v>
      </c>
      <c r="D653" s="121" t="str">
        <f>IFERROR(__xludf.DUMMYFUNCTION("""COMPUTED_VALUE"""),"22EI603")</f>
        <v>22EI603</v>
      </c>
      <c r="E653" s="131" t="str">
        <f>IFERROR(__xludf.DUMMYFUNCTION("""COMPUTED_VALUE"""),"ARTIFICIAL INTELLIGENCE AND MACHINE LEARNING")</f>
        <v>ARTIFICIAL INTELLIGENCE AND MACHINE LEARNING</v>
      </c>
      <c r="F653" s="121" t="str">
        <f>IFERROR(__xludf.DUMMYFUNCTION("""COMPUTED_VALUE"""),"LAB")</f>
        <v>LAB</v>
      </c>
      <c r="G653" s="121">
        <f>IFERROR(__xludf.DUMMYFUNCTION("""COMPUTED_VALUE"""),3.0)</f>
        <v>3</v>
      </c>
      <c r="H653" s="121">
        <f>IFERROR(__xludf.DUMMYFUNCTION("""COMPUTED_VALUE"""),0.0)</f>
        <v>0</v>
      </c>
      <c r="I653" s="121">
        <f>IFERROR(__xludf.DUMMYFUNCTION("""COMPUTED_VALUE"""),2.0)</f>
        <v>2</v>
      </c>
      <c r="J653" s="121">
        <f>IFERROR(__xludf.DUMMYFUNCTION("""COMPUTED_VALUE"""),4.0)</f>
        <v>4</v>
      </c>
      <c r="K653" s="132" t="str">
        <f>IFERROR(__xludf.DUMMYFUNCTION("""COMPUTED_VALUE"""),"AD11169")</f>
        <v>AD11169</v>
      </c>
      <c r="L653" s="121" t="str">
        <f>IFERROR(__xludf.DUMMYFUNCTION("""COMPUTED_VALUE"""),"Mrs.MANOCHITRA A S")</f>
        <v>Mrs.MANOCHITRA A S</v>
      </c>
      <c r="M653" s="121" t="str">
        <f>IFERROR(__xludf.DUMMYFUNCTION("""COMPUTED_VALUE"""),"manochitra@bitsathy.ac.in")</f>
        <v>manochitra@bitsathy.ac.in</v>
      </c>
    </row>
    <row r="654" ht="49.5" customHeight="1">
      <c r="A654" s="121" t="str">
        <f>IFERROR(__xludf.DUMMYFUNCTION("""COMPUTED_VALUE"""),"EIE")</f>
        <v>EIE</v>
      </c>
      <c r="B654" s="121" t="str">
        <f>IFERROR(__xludf.DUMMYFUNCTION("""COMPUTED_VALUE"""),"S6")</f>
        <v>S6</v>
      </c>
      <c r="C654" s="121" t="str">
        <f>IFERROR(__xludf.DUMMYFUNCTION("""COMPUTED_VALUE"""),"ELECTIVE 3")</f>
        <v>ELECTIVE 3</v>
      </c>
      <c r="D654" s="121" t="str">
        <f>IFERROR(__xludf.DUMMYFUNCTION("""COMPUTED_VALUE"""),"22EI016")</f>
        <v>22EI016</v>
      </c>
      <c r="E654" s="131" t="str">
        <f>IFERROR(__xludf.DUMMYFUNCTION("""COMPUTED_VALUE"""),"INSTRUMENTATION IN PETROCHEMICAL INDUSTRIES")</f>
        <v>INSTRUMENTATION IN PETROCHEMICAL INDUSTRIES</v>
      </c>
      <c r="F654" s="121" t="str">
        <f>IFERROR(__xludf.DUMMYFUNCTION("""COMPUTED_VALUE"""),"THEORY")</f>
        <v>THEORY</v>
      </c>
      <c r="G654" s="121">
        <f>IFERROR(__xludf.DUMMYFUNCTION("""COMPUTED_VALUE"""),3.0)</f>
        <v>3</v>
      </c>
      <c r="H654" s="121">
        <f>IFERROR(__xludf.DUMMYFUNCTION("""COMPUTED_VALUE"""),0.0)</f>
        <v>0</v>
      </c>
      <c r="I654" s="121">
        <f>IFERROR(__xludf.DUMMYFUNCTION("""COMPUTED_VALUE"""),0.0)</f>
        <v>0</v>
      </c>
      <c r="J654" s="121">
        <f>IFERROR(__xludf.DUMMYFUNCTION("""COMPUTED_VALUE"""),3.0)</f>
        <v>3</v>
      </c>
      <c r="K654" s="132" t="str">
        <f>IFERROR(__xludf.DUMMYFUNCTION("""COMPUTED_VALUE"""),"EI10670")</f>
        <v>EI10670</v>
      </c>
      <c r="L654" s="121" t="str">
        <f>IFERROR(__xludf.DUMMYFUNCTION("""COMPUTED_VALUE"""),"Mr.PRATHAP M R")</f>
        <v>Mr.PRATHAP M R</v>
      </c>
      <c r="M654" s="121" t="str">
        <f>IFERROR(__xludf.DUMMYFUNCTION("""COMPUTED_VALUE"""),"prathap@bitsathy.ac.in")</f>
        <v>prathap@bitsathy.ac.in</v>
      </c>
    </row>
    <row r="655" ht="49.5" customHeight="1">
      <c r="A655" s="121" t="str">
        <f>IFERROR(__xludf.DUMMYFUNCTION("""COMPUTED_VALUE"""),"EIE")</f>
        <v>EIE</v>
      </c>
      <c r="B655" s="121" t="str">
        <f>IFERROR(__xludf.DUMMYFUNCTION("""COMPUTED_VALUE"""),"S6")</f>
        <v>S6</v>
      </c>
      <c r="C655" s="121" t="str">
        <f>IFERROR(__xludf.DUMMYFUNCTION("""COMPUTED_VALUE"""),"ELECTIVE 4")</f>
        <v>ELECTIVE 4</v>
      </c>
      <c r="D655" s="121" t="str">
        <f>IFERROR(__xludf.DUMMYFUNCTION("""COMPUTED_VALUE"""),"22EI017")</f>
        <v>22EI017</v>
      </c>
      <c r="E655" s="131" t="str">
        <f>IFERROR(__xludf.DUMMYFUNCTION("""COMPUTED_VALUE"""),"FIBER OPTICS AND LASER INSTRUMENTATION")</f>
        <v>FIBER OPTICS AND LASER INSTRUMENTATION</v>
      </c>
      <c r="F655" s="121" t="str">
        <f>IFERROR(__xludf.DUMMYFUNCTION("""COMPUTED_VALUE"""),"THEORY")</f>
        <v>THEORY</v>
      </c>
      <c r="G655" s="121">
        <f>IFERROR(__xludf.DUMMYFUNCTION("""COMPUTED_VALUE"""),3.0)</f>
        <v>3</v>
      </c>
      <c r="H655" s="121">
        <f>IFERROR(__xludf.DUMMYFUNCTION("""COMPUTED_VALUE"""),0.0)</f>
        <v>0</v>
      </c>
      <c r="I655" s="121">
        <f>IFERROR(__xludf.DUMMYFUNCTION("""COMPUTED_VALUE"""),0.0)</f>
        <v>0</v>
      </c>
      <c r="J655" s="121">
        <f>IFERROR(__xludf.DUMMYFUNCTION("""COMPUTED_VALUE"""),3.0)</f>
        <v>3</v>
      </c>
      <c r="K655" s="132" t="str">
        <f>IFERROR(__xludf.DUMMYFUNCTION("""COMPUTED_VALUE"""),"EI1688")</f>
        <v>EI1688</v>
      </c>
      <c r="L655" s="121" t="str">
        <f>IFERROR(__xludf.DUMMYFUNCTION("""COMPUTED_VALUE"""),"Dr.SUDHAHAR S")</f>
        <v>Dr.SUDHAHAR S</v>
      </c>
      <c r="M655" s="121" t="str">
        <f>IFERROR(__xludf.DUMMYFUNCTION("""COMPUTED_VALUE"""),"sudhahars@bitsathy.ac.in")</f>
        <v>sudhahars@bitsathy.ac.in</v>
      </c>
    </row>
    <row r="656" ht="49.5" customHeight="1">
      <c r="A656" s="121" t="str">
        <f>IFERROR(__xludf.DUMMYFUNCTION("""COMPUTED_VALUE"""),"EIE")</f>
        <v>EIE</v>
      </c>
      <c r="B656" s="121" t="str">
        <f>IFERROR(__xludf.DUMMYFUNCTION("""COMPUTED_VALUE"""),"S6")</f>
        <v>S6</v>
      </c>
      <c r="C656" s="121" t="str">
        <f>IFERROR(__xludf.DUMMYFUNCTION("""COMPUTED_VALUE"""),"ELECTIVE 5")</f>
        <v>ELECTIVE 5</v>
      </c>
      <c r="D656" s="121" t="str">
        <f>IFERROR(__xludf.DUMMYFUNCTION("""COMPUTED_VALUE"""),"22EI018")</f>
        <v>22EI018</v>
      </c>
      <c r="E656" s="131" t="str">
        <f>IFERROR(__xludf.DUMMYFUNCTION("""COMPUTED_VALUE"""),"POWER PLANT INSTRUMENTATION AND CONTROL")</f>
        <v>POWER PLANT INSTRUMENTATION AND CONTROL</v>
      </c>
      <c r="F656" s="121" t="str">
        <f>IFERROR(__xludf.DUMMYFUNCTION("""COMPUTED_VALUE"""),"THEORY")</f>
        <v>THEORY</v>
      </c>
      <c r="G656" s="121">
        <f>IFERROR(__xludf.DUMMYFUNCTION("""COMPUTED_VALUE"""),3.0)</f>
        <v>3</v>
      </c>
      <c r="H656" s="121">
        <f>IFERROR(__xludf.DUMMYFUNCTION("""COMPUTED_VALUE"""),0.0)</f>
        <v>0</v>
      </c>
      <c r="I656" s="121">
        <f>IFERROR(__xludf.DUMMYFUNCTION("""COMPUTED_VALUE"""),0.0)</f>
        <v>0</v>
      </c>
      <c r="J656" s="121">
        <f>IFERROR(__xludf.DUMMYFUNCTION("""COMPUTED_VALUE"""),3.0)</f>
        <v>3</v>
      </c>
      <c r="K656" s="132" t="str">
        <f>IFERROR(__xludf.DUMMYFUNCTION("""COMPUTED_VALUE"""),"EI11048")</f>
        <v>EI11048</v>
      </c>
      <c r="L656" s="121" t="str">
        <f>IFERROR(__xludf.DUMMYFUNCTION("""COMPUTED_VALUE"""),"Mr.KUMARESAN K")</f>
        <v>Mr.KUMARESAN K</v>
      </c>
      <c r="M656" s="121" t="str">
        <f>IFERROR(__xludf.DUMMYFUNCTION("""COMPUTED_VALUE"""),"kumaresank@bitsathy.ac.in")</f>
        <v>kumaresank@bitsathy.ac.in</v>
      </c>
    </row>
    <row r="657" ht="49.5" customHeight="1">
      <c r="A657" s="121" t="str">
        <f>IFERROR(__xludf.DUMMYFUNCTION("""COMPUTED_VALUE"""),"EIE")</f>
        <v>EIE</v>
      </c>
      <c r="B657" s="121" t="str">
        <f>IFERROR(__xludf.DUMMYFUNCTION("""COMPUTED_VALUE"""),"S6")</f>
        <v>S6</v>
      </c>
      <c r="C657" s="121" t="str">
        <f>IFERROR(__xludf.DUMMYFUNCTION("""COMPUTED_VALUE"""),"ADD COURSE")</f>
        <v>ADD COURSE</v>
      </c>
      <c r="D657" s="121" t="str">
        <f>IFERROR(__xludf.DUMMYFUNCTION("""COMPUTED_VALUE"""),"22EI009")</f>
        <v>22EI009</v>
      </c>
      <c r="E657" s="131" t="str">
        <f>IFERROR(__xludf.DUMMYFUNCTION("""COMPUTED_VALUE"""),"BUILDING AUTOMATION")</f>
        <v>BUILDING AUTOMATION</v>
      </c>
      <c r="F657" s="121" t="str">
        <f>IFERROR(__xludf.DUMMYFUNCTION("""COMPUTED_VALUE"""),"THEORY")</f>
        <v>THEORY</v>
      </c>
      <c r="G657" s="121">
        <f>IFERROR(__xludf.DUMMYFUNCTION("""COMPUTED_VALUE"""),3.0)</f>
        <v>3</v>
      </c>
      <c r="H657" s="121">
        <f>IFERROR(__xludf.DUMMYFUNCTION("""COMPUTED_VALUE"""),0.0)</f>
        <v>0</v>
      </c>
      <c r="I657" s="121">
        <f>IFERROR(__xludf.DUMMYFUNCTION("""COMPUTED_VALUE"""),0.0)</f>
        <v>0</v>
      </c>
      <c r="J657" s="121">
        <f>IFERROR(__xludf.DUMMYFUNCTION("""COMPUTED_VALUE"""),3.0)</f>
        <v>3</v>
      </c>
      <c r="K657" s="132" t="str">
        <f>IFERROR(__xludf.DUMMYFUNCTION("""COMPUTED_VALUE"""),"EI10670")</f>
        <v>EI10670</v>
      </c>
      <c r="L657" s="121" t="str">
        <f>IFERROR(__xludf.DUMMYFUNCTION("""COMPUTED_VALUE"""),"Mr.PRATHAP M R")</f>
        <v>Mr.PRATHAP M R</v>
      </c>
      <c r="M657" s="121" t="str">
        <f>IFERROR(__xludf.DUMMYFUNCTION("""COMPUTED_VALUE"""),"prathap@bitsathy.ac.in")</f>
        <v>prathap@bitsathy.ac.in</v>
      </c>
    </row>
    <row r="658" ht="49.5" customHeight="1">
      <c r="A658" s="121" t="str">
        <f>IFERROR(__xludf.DUMMYFUNCTION("""COMPUTED_VALUE"""),"EIE")</f>
        <v>EIE</v>
      </c>
      <c r="B658" s="121" t="str">
        <f>IFERROR(__xludf.DUMMYFUNCTION("""COMPUTED_VALUE"""),"S6")</f>
        <v>S6</v>
      </c>
      <c r="C658" s="121" t="str">
        <f>IFERROR(__xludf.DUMMYFUNCTION("""COMPUTED_VALUE"""),"OPEN ELECTIVE")</f>
        <v>OPEN ELECTIVE</v>
      </c>
      <c r="D658" s="121" t="str">
        <f>IFERROR(__xludf.DUMMYFUNCTION("""COMPUTED_VALUE"""),"22OEI01")</f>
        <v>22OEI01</v>
      </c>
      <c r="E658" s="131" t="str">
        <f>IFERROR(__xludf.DUMMYFUNCTION("""COMPUTED_VALUE"""),"PROGRAMMABLE LOGIC CONTROLLER")</f>
        <v>PROGRAMMABLE LOGIC CONTROLLER</v>
      </c>
      <c r="F658" s="121" t="str">
        <f>IFERROR(__xludf.DUMMYFUNCTION("""COMPUTED_VALUE"""),"THEORY")</f>
        <v>THEORY</v>
      </c>
      <c r="G658" s="121">
        <f>IFERROR(__xludf.DUMMYFUNCTION("""COMPUTED_VALUE"""),3.0)</f>
        <v>3</v>
      </c>
      <c r="H658" s="121">
        <f>IFERROR(__xludf.DUMMYFUNCTION("""COMPUTED_VALUE"""),0.0)</f>
        <v>0</v>
      </c>
      <c r="I658" s="121">
        <f>IFERROR(__xludf.DUMMYFUNCTION("""COMPUTED_VALUE"""),0.0)</f>
        <v>0</v>
      </c>
      <c r="J658" s="121">
        <f>IFERROR(__xludf.DUMMYFUNCTION("""COMPUTED_VALUE"""),3.0)</f>
        <v>3</v>
      </c>
      <c r="K658" s="132" t="str">
        <f>IFERROR(__xludf.DUMMYFUNCTION("""COMPUTED_VALUE"""),"EI10459")</f>
        <v>EI10459</v>
      </c>
      <c r="L658" s="121" t="str">
        <f>IFERROR(__xludf.DUMMYFUNCTION("""COMPUTED_VALUE"""),"Mr.PRAVIN SAVARIDASS M")</f>
        <v>Mr.PRAVIN SAVARIDASS M</v>
      </c>
      <c r="M658" s="121" t="str">
        <f>IFERROR(__xludf.DUMMYFUNCTION("""COMPUTED_VALUE"""),"pravinsavaridass@bitsathy.ac.in")</f>
        <v>pravinsavaridass@bitsathy.ac.in</v>
      </c>
    </row>
    <row r="659" ht="49.5" customHeight="1">
      <c r="A659" s="121" t="str">
        <f>IFERROR(__xludf.DUMMYFUNCTION("""COMPUTED_VALUE"""),"EIE")</f>
        <v>EIE</v>
      </c>
      <c r="B659" s="121" t="str">
        <f>IFERROR(__xludf.DUMMYFUNCTION("""COMPUTED_VALUE"""),"S6")</f>
        <v>S6</v>
      </c>
      <c r="C659" s="121" t="str">
        <f>IFERROR(__xludf.DUMMYFUNCTION("""COMPUTED_VALUE"""),"MINI PROJECT")</f>
        <v>MINI PROJECT</v>
      </c>
      <c r="D659" s="121" t="str">
        <f>IFERROR(__xludf.DUMMYFUNCTION("""COMPUTED_VALUE"""),"22EI607")</f>
        <v>22EI607</v>
      </c>
      <c r="E659" s="131" t="str">
        <f>IFERROR(__xludf.DUMMYFUNCTION("""COMPUTED_VALUE"""),"MINI PROJECT II")</f>
        <v>MINI PROJECT II</v>
      </c>
      <c r="F659" s="121" t="str">
        <f>IFERROR(__xludf.DUMMYFUNCTION("""COMPUTED_VALUE"""),"LAB")</f>
        <v>LAB</v>
      </c>
      <c r="G659" s="121">
        <f>IFERROR(__xludf.DUMMYFUNCTION("""COMPUTED_VALUE"""),0.0)</f>
        <v>0</v>
      </c>
      <c r="H659" s="121">
        <f>IFERROR(__xludf.DUMMYFUNCTION("""COMPUTED_VALUE"""),0.0)</f>
        <v>0</v>
      </c>
      <c r="I659" s="121">
        <f>IFERROR(__xludf.DUMMYFUNCTION("""COMPUTED_VALUE"""),2.0)</f>
        <v>2</v>
      </c>
      <c r="J659" s="121">
        <f>IFERROR(__xludf.DUMMYFUNCTION("""COMPUTED_VALUE"""),1.0)</f>
        <v>1</v>
      </c>
      <c r="K659" s="132"/>
      <c r="L659" s="121"/>
      <c r="M659" s="121"/>
    </row>
    <row r="660" ht="49.5" customHeight="1">
      <c r="A660" s="121" t="str">
        <f>IFERROR(__xludf.DUMMYFUNCTION("""COMPUTED_VALUE"""),"EIE")</f>
        <v>EIE</v>
      </c>
      <c r="B660" s="121" t="str">
        <f>IFERROR(__xludf.DUMMYFUNCTION("""COMPUTED_VALUE"""),"S8")</f>
        <v>S8</v>
      </c>
      <c r="C660" s="121" t="str">
        <f>IFERROR(__xludf.DUMMYFUNCTION("""COMPUTED_VALUE"""),"CORE")</f>
        <v>CORE</v>
      </c>
      <c r="D660" s="121" t="str">
        <f>IFERROR(__xludf.DUMMYFUNCTION("""COMPUTED_VALUE"""),"22EI801")</f>
        <v>22EI801</v>
      </c>
      <c r="E660" s="131" t="str">
        <f>IFERROR(__xludf.DUMMYFUNCTION("""COMPUTED_VALUE"""),"PROJECT WORK II")</f>
        <v>PROJECT WORK II</v>
      </c>
      <c r="F660" s="121" t="str">
        <f>IFERROR(__xludf.DUMMYFUNCTION("""COMPUTED_VALUE"""),"LAB")</f>
        <v>LAB</v>
      </c>
      <c r="G660" s="121">
        <f>IFERROR(__xludf.DUMMYFUNCTION("""COMPUTED_VALUE"""),0.0)</f>
        <v>0</v>
      </c>
      <c r="H660" s="121">
        <f>IFERROR(__xludf.DUMMYFUNCTION("""COMPUTED_VALUE"""),0.0)</f>
        <v>0</v>
      </c>
      <c r="I660" s="121">
        <f>IFERROR(__xludf.DUMMYFUNCTION("""COMPUTED_VALUE"""),18.0)</f>
        <v>18</v>
      </c>
      <c r="J660" s="121">
        <f>IFERROR(__xludf.DUMMYFUNCTION("""COMPUTED_VALUE"""),9.0)</f>
        <v>9</v>
      </c>
      <c r="K660" s="132"/>
      <c r="L660" s="121"/>
      <c r="M660" s="121"/>
    </row>
    <row r="661" ht="49.5" customHeight="1">
      <c r="A661" s="121" t="str">
        <f>IFERROR(__xludf.DUMMYFUNCTION("""COMPUTED_VALUE"""),"FT")</f>
        <v>FT</v>
      </c>
      <c r="B661" s="121" t="str">
        <f>IFERROR(__xludf.DUMMYFUNCTION("""COMPUTED_VALUE"""),"S6")</f>
        <v>S6</v>
      </c>
      <c r="C661" s="121" t="str">
        <f>IFERROR(__xludf.DUMMYFUNCTION("""COMPUTED_VALUE"""),"CORE")</f>
        <v>CORE</v>
      </c>
      <c r="D661" s="121" t="str">
        <f>IFERROR(__xludf.DUMMYFUNCTION("""COMPUTED_VALUE"""),"22FT601")</f>
        <v>22FT601</v>
      </c>
      <c r="E661" s="131" t="str">
        <f>IFERROR(__xludf.DUMMYFUNCTION("""COMPUTED_VALUE"""),"APPAREL PRODUCTION PLANNING AND CONTROL")</f>
        <v>APPAREL PRODUCTION PLANNING AND CONTROL</v>
      </c>
      <c r="F661" s="121" t="str">
        <f>IFERROR(__xludf.DUMMYFUNCTION("""COMPUTED_VALUE"""),"THEORY")</f>
        <v>THEORY</v>
      </c>
      <c r="G661" s="121">
        <f>IFERROR(__xludf.DUMMYFUNCTION("""COMPUTED_VALUE"""),3.0)</f>
        <v>3</v>
      </c>
      <c r="H661" s="121">
        <f>IFERROR(__xludf.DUMMYFUNCTION("""COMPUTED_VALUE"""),0.0)</f>
        <v>0</v>
      </c>
      <c r="I661" s="121">
        <f>IFERROR(__xludf.DUMMYFUNCTION("""COMPUTED_VALUE"""),0.0)</f>
        <v>0</v>
      </c>
      <c r="J661" s="121">
        <f>IFERROR(__xludf.DUMMYFUNCTION("""COMPUTED_VALUE"""),3.0)</f>
        <v>3</v>
      </c>
      <c r="K661" s="132" t="str">
        <f>IFERROR(__xludf.DUMMYFUNCTION("""COMPUTED_VALUE"""),"FT10224")</f>
        <v>FT10224</v>
      </c>
      <c r="L661" s="121" t="str">
        <f>IFERROR(__xludf.DUMMYFUNCTION("""COMPUTED_VALUE"""),"Mrs.SARANYA D V")</f>
        <v>Mrs.SARANYA D V</v>
      </c>
      <c r="M661" s="121" t="str">
        <f>IFERROR(__xludf.DUMMYFUNCTION("""COMPUTED_VALUE"""),"saranyadv@bitsathy.ac.in")</f>
        <v>saranyadv@bitsathy.ac.in</v>
      </c>
    </row>
    <row r="662" ht="49.5" customHeight="1">
      <c r="A662" s="121" t="str">
        <f>IFERROR(__xludf.DUMMYFUNCTION("""COMPUTED_VALUE"""),"FT")</f>
        <v>FT</v>
      </c>
      <c r="B662" s="121" t="str">
        <f>IFERROR(__xludf.DUMMYFUNCTION("""COMPUTED_VALUE"""),"S6")</f>
        <v>S6</v>
      </c>
      <c r="C662" s="121" t="str">
        <f>IFERROR(__xludf.DUMMYFUNCTION("""COMPUTED_VALUE"""),"CORE")</f>
        <v>CORE</v>
      </c>
      <c r="D662" s="121" t="str">
        <f>IFERROR(__xludf.DUMMYFUNCTION("""COMPUTED_VALUE"""),"22FT602")</f>
        <v>22FT602</v>
      </c>
      <c r="E662" s="131" t="str">
        <f>IFERROR(__xludf.DUMMYFUNCTION("""COMPUTED_VALUE"""),"FASHION RETAIL MANAGEMENT")</f>
        <v>FASHION RETAIL MANAGEMENT</v>
      </c>
      <c r="F662" s="121" t="str">
        <f>IFERROR(__xludf.DUMMYFUNCTION("""COMPUTED_VALUE"""),"THEORY")</f>
        <v>THEORY</v>
      </c>
      <c r="G662" s="121">
        <f>IFERROR(__xludf.DUMMYFUNCTION("""COMPUTED_VALUE"""),3.0)</f>
        <v>3</v>
      </c>
      <c r="H662" s="121">
        <f>IFERROR(__xludf.DUMMYFUNCTION("""COMPUTED_VALUE"""),0.0)</f>
        <v>0</v>
      </c>
      <c r="I662" s="121">
        <f>IFERROR(__xludf.DUMMYFUNCTION("""COMPUTED_VALUE"""),0.0)</f>
        <v>0</v>
      </c>
      <c r="J662" s="121">
        <f>IFERROR(__xludf.DUMMYFUNCTION("""COMPUTED_VALUE"""),3.0)</f>
        <v>3</v>
      </c>
      <c r="K662" s="132" t="str">
        <f>IFERROR(__xludf.DUMMYFUNCTION("""COMPUTED_VALUE"""),"TT10607")</f>
        <v>TT10607</v>
      </c>
      <c r="L662" s="121" t="str">
        <f>IFERROR(__xludf.DUMMYFUNCTION("""COMPUTED_VALUE"""),"Dr.JANARTHANAN M")</f>
        <v>Dr.JANARTHANAN M</v>
      </c>
      <c r="M662" s="133" t="str">
        <f>IFERROR(__xludf.DUMMYFUNCTION("""COMPUTED_VALUE"""),"janarthanan@bitsathy.ac.in")</f>
        <v>janarthanan@bitsathy.ac.in</v>
      </c>
    </row>
    <row r="663" ht="49.5" customHeight="1">
      <c r="A663" s="121" t="str">
        <f>IFERROR(__xludf.DUMMYFUNCTION("""COMPUTED_VALUE"""),"FT")</f>
        <v>FT</v>
      </c>
      <c r="B663" s="121" t="str">
        <f>IFERROR(__xludf.DUMMYFUNCTION("""COMPUTED_VALUE"""),"S6")</f>
        <v>S6</v>
      </c>
      <c r="C663" s="121" t="str">
        <f>IFERROR(__xludf.DUMMYFUNCTION("""COMPUTED_VALUE"""),"CORE")</f>
        <v>CORE</v>
      </c>
      <c r="D663" s="121" t="str">
        <f>IFERROR(__xludf.DUMMYFUNCTION("""COMPUTED_VALUE"""),"22FT603")</f>
        <v>22FT603</v>
      </c>
      <c r="E663" s="131" t="str">
        <f>IFERROR(__xludf.DUMMYFUNCTION("""COMPUTED_VALUE"""),"QUALITY ASSURANCE IN GARMENT PRODUCTION")</f>
        <v>QUALITY ASSURANCE IN GARMENT PRODUCTION</v>
      </c>
      <c r="F663" s="121" t="str">
        <f>IFERROR(__xludf.DUMMYFUNCTION("""COMPUTED_VALUE"""),"THEORY")</f>
        <v>THEORY</v>
      </c>
      <c r="G663" s="121">
        <f>IFERROR(__xludf.DUMMYFUNCTION("""COMPUTED_VALUE"""),3.0)</f>
        <v>3</v>
      </c>
      <c r="H663" s="121">
        <f>IFERROR(__xludf.DUMMYFUNCTION("""COMPUTED_VALUE"""),1.0)</f>
        <v>1</v>
      </c>
      <c r="I663" s="121">
        <f>IFERROR(__xludf.DUMMYFUNCTION("""COMPUTED_VALUE"""),0.0)</f>
        <v>0</v>
      </c>
      <c r="J663" s="121">
        <f>IFERROR(__xludf.DUMMYFUNCTION("""COMPUTED_VALUE"""),4.0)</f>
        <v>4</v>
      </c>
      <c r="K663" s="132" t="str">
        <f>IFERROR(__xludf.DUMMYFUNCTION("""COMPUTED_VALUE"""),"TT11184")</f>
        <v>TT11184</v>
      </c>
      <c r="L663" s="121" t="str">
        <f>IFERROR(__xludf.DUMMYFUNCTION("""COMPUTED_VALUE"""),"Mrs.GAYATHRI R")</f>
        <v>Mrs.GAYATHRI R</v>
      </c>
      <c r="M663" s="121" t="str">
        <f>IFERROR(__xludf.DUMMYFUNCTION("""COMPUTED_VALUE"""),"gayathrirtxt@bitsathy.ac.in")</f>
        <v>gayathrirtxt@bitsathy.ac.in</v>
      </c>
    </row>
    <row r="664" ht="49.5" customHeight="1">
      <c r="A664" s="121" t="str">
        <f>IFERROR(__xludf.DUMMYFUNCTION("""COMPUTED_VALUE"""),"FT")</f>
        <v>FT</v>
      </c>
      <c r="B664" s="121" t="str">
        <f>IFERROR(__xludf.DUMMYFUNCTION("""COMPUTED_VALUE"""),"S6")</f>
        <v>S6</v>
      </c>
      <c r="C664" s="121" t="str">
        <f>IFERROR(__xludf.DUMMYFUNCTION("""COMPUTED_VALUE"""),"ELECTIVE 3")</f>
        <v>ELECTIVE 3</v>
      </c>
      <c r="D664" s="121" t="str">
        <f>IFERROR(__xludf.DUMMYFUNCTION("""COMPUTED_VALUE"""),"22FT007")</f>
        <v>22FT007</v>
      </c>
      <c r="E664" s="131" t="str">
        <f>IFERROR(__xludf.DUMMYFUNCTION("""COMPUTED_VALUE"""),"KNIT WEAR DEVELOPMENT")</f>
        <v>KNIT WEAR DEVELOPMENT</v>
      </c>
      <c r="F664" s="121" t="str">
        <f>IFERROR(__xludf.DUMMYFUNCTION("""COMPUTED_VALUE"""),"THEORY")</f>
        <v>THEORY</v>
      </c>
      <c r="G664" s="121">
        <f>IFERROR(__xludf.DUMMYFUNCTION("""COMPUTED_VALUE"""),3.0)</f>
        <v>3</v>
      </c>
      <c r="H664" s="121">
        <f>IFERROR(__xludf.DUMMYFUNCTION("""COMPUTED_VALUE"""),0.0)</f>
        <v>0</v>
      </c>
      <c r="I664" s="121">
        <f>IFERROR(__xludf.DUMMYFUNCTION("""COMPUTED_VALUE"""),0.0)</f>
        <v>0</v>
      </c>
      <c r="J664" s="121">
        <f>IFERROR(__xludf.DUMMYFUNCTION("""COMPUTED_VALUE"""),3.0)</f>
        <v>3</v>
      </c>
      <c r="K664" s="132" t="str">
        <f>IFERROR(__xludf.DUMMYFUNCTION("""COMPUTED_VALUE"""),"TT10938")</f>
        <v>TT10938</v>
      </c>
      <c r="L664" s="121" t="str">
        <f>IFERROR(__xludf.DUMMYFUNCTION("""COMPUTED_VALUE"""),"Mrs.MOUNIKA S")</f>
        <v>Mrs.MOUNIKA S</v>
      </c>
      <c r="M664" s="121" t="str">
        <f>IFERROR(__xludf.DUMMYFUNCTION("""COMPUTED_VALUE"""),"mounikas@bitsathy.ac.in")</f>
        <v>mounikas@bitsathy.ac.in</v>
      </c>
    </row>
    <row r="665" ht="49.5" customHeight="1">
      <c r="A665" s="121" t="str">
        <f>IFERROR(__xludf.DUMMYFUNCTION("""COMPUTED_VALUE"""),"FT")</f>
        <v>FT</v>
      </c>
      <c r="B665" s="121" t="str">
        <f>IFERROR(__xludf.DUMMYFUNCTION("""COMPUTED_VALUE"""),"S6")</f>
        <v>S6</v>
      </c>
      <c r="C665" s="121" t="str">
        <f>IFERROR(__xludf.DUMMYFUNCTION("""COMPUTED_VALUE"""),"ELECTIVE 4")</f>
        <v>ELECTIVE 4</v>
      </c>
      <c r="D665" s="121" t="str">
        <f>IFERROR(__xludf.DUMMYFUNCTION("""COMPUTED_VALUE"""),"22FT022")</f>
        <v>22FT022</v>
      </c>
      <c r="E665" s="131" t="str">
        <f>IFERROR(__xludf.DUMMYFUNCTION("""COMPUTED_VALUE"""),"INTERNATIONAL BUSINESS IN APPAREL INDUSTRY")</f>
        <v>INTERNATIONAL BUSINESS IN APPAREL INDUSTRY</v>
      </c>
      <c r="F665" s="121" t="str">
        <f>IFERROR(__xludf.DUMMYFUNCTION("""COMPUTED_VALUE"""),"THEORY")</f>
        <v>THEORY</v>
      </c>
      <c r="G665" s="121">
        <f>IFERROR(__xludf.DUMMYFUNCTION("""COMPUTED_VALUE"""),3.0)</f>
        <v>3</v>
      </c>
      <c r="H665" s="121">
        <f>IFERROR(__xludf.DUMMYFUNCTION("""COMPUTED_VALUE"""),0.0)</f>
        <v>0</v>
      </c>
      <c r="I665" s="121">
        <f>IFERROR(__xludf.DUMMYFUNCTION("""COMPUTED_VALUE"""),0.0)</f>
        <v>0</v>
      </c>
      <c r="J665" s="121">
        <f>IFERROR(__xludf.DUMMYFUNCTION("""COMPUTED_VALUE"""),3.0)</f>
        <v>3</v>
      </c>
      <c r="K665" s="132" t="str">
        <f>IFERROR(__xludf.DUMMYFUNCTION("""COMPUTED_VALUE"""),"FT10809")</f>
        <v>FT10809</v>
      </c>
      <c r="L665" s="121" t="str">
        <f>IFERROR(__xludf.DUMMYFUNCTION("""COMPUTED_VALUE"""),"Dr.MOHAN BHARATHI C")</f>
        <v>Dr.MOHAN BHARATHI C</v>
      </c>
      <c r="M665" s="121" t="str">
        <f>IFERROR(__xludf.DUMMYFUNCTION("""COMPUTED_VALUE"""),"mohanbharathic@bitsathy.ac.in")</f>
        <v>mohanbharathic@bitsathy.ac.in</v>
      </c>
    </row>
    <row r="666" ht="49.5" customHeight="1">
      <c r="A666" s="121" t="str">
        <f>IFERROR(__xludf.DUMMYFUNCTION("""COMPUTED_VALUE"""),"FT")</f>
        <v>FT</v>
      </c>
      <c r="B666" s="121" t="str">
        <f>IFERROR(__xludf.DUMMYFUNCTION("""COMPUTED_VALUE"""),"S6")</f>
        <v>S6</v>
      </c>
      <c r="C666" s="121" t="str">
        <f>IFERROR(__xludf.DUMMYFUNCTION("""COMPUTED_VALUE"""),"ELECTIVE 5")</f>
        <v>ELECTIVE 5</v>
      </c>
      <c r="D666" s="121" t="str">
        <f>IFERROR(__xludf.DUMMYFUNCTION("""COMPUTED_VALUE"""),"22FT028")</f>
        <v>22FT028</v>
      </c>
      <c r="E666" s="131" t="str">
        <f>IFERROR(__xludf.DUMMYFUNCTION("""COMPUTED_VALUE"""),"INTIMATE APPARELS")</f>
        <v>INTIMATE APPARELS</v>
      </c>
      <c r="F666" s="121" t="str">
        <f>IFERROR(__xludf.DUMMYFUNCTION("""COMPUTED_VALUE"""),"THEORY")</f>
        <v>THEORY</v>
      </c>
      <c r="G666" s="121">
        <f>IFERROR(__xludf.DUMMYFUNCTION("""COMPUTED_VALUE"""),3.0)</f>
        <v>3</v>
      </c>
      <c r="H666" s="121">
        <f>IFERROR(__xludf.DUMMYFUNCTION("""COMPUTED_VALUE"""),0.0)</f>
        <v>0</v>
      </c>
      <c r="I666" s="121">
        <f>IFERROR(__xludf.DUMMYFUNCTION("""COMPUTED_VALUE"""),0.0)</f>
        <v>0</v>
      </c>
      <c r="J666" s="121">
        <f>IFERROR(__xludf.DUMMYFUNCTION("""COMPUTED_VALUE"""),3.0)</f>
        <v>3</v>
      </c>
      <c r="K666" s="132" t="str">
        <f>IFERROR(__xludf.DUMMYFUNCTION("""COMPUTED_VALUE"""),"FT10427")</f>
        <v>FT10427</v>
      </c>
      <c r="L666" s="121" t="str">
        <f>IFERROR(__xludf.DUMMYFUNCTION("""COMPUTED_VALUE"""),"Mrs.MEKALA N")</f>
        <v>Mrs.MEKALA N</v>
      </c>
      <c r="M666" s="121" t="str">
        <f>IFERROR(__xludf.DUMMYFUNCTION("""COMPUTED_VALUE"""),"mekalan@bitsathy.ac.in")</f>
        <v>mekalan@bitsathy.ac.in</v>
      </c>
    </row>
    <row r="667" ht="49.5" customHeight="1">
      <c r="A667" s="121" t="str">
        <f>IFERROR(__xludf.DUMMYFUNCTION("""COMPUTED_VALUE"""),"FT")</f>
        <v>FT</v>
      </c>
      <c r="B667" s="121" t="str">
        <f>IFERROR(__xludf.DUMMYFUNCTION("""COMPUTED_VALUE"""),"S6")</f>
        <v>S6</v>
      </c>
      <c r="C667" s="121" t="str">
        <f>IFERROR(__xludf.DUMMYFUNCTION("""COMPUTED_VALUE"""),"HONOURS")</f>
        <v>HONOURS</v>
      </c>
      <c r="D667" s="121" t="str">
        <f>IFERROR(__xludf.DUMMYFUNCTION("""COMPUTED_VALUE"""),"22FTH15")</f>
        <v>22FTH15</v>
      </c>
      <c r="E667" s="131" t="str">
        <f>IFERROR(__xludf.DUMMYFUNCTION("""COMPUTED_VALUE"""),"LEAN MANUFACTURING")</f>
        <v>LEAN MANUFACTURING</v>
      </c>
      <c r="F667" s="121" t="str">
        <f>IFERROR(__xludf.DUMMYFUNCTION("""COMPUTED_VALUE"""),"THEORY")</f>
        <v>THEORY</v>
      </c>
      <c r="G667" s="121">
        <f>IFERROR(__xludf.DUMMYFUNCTION("""COMPUTED_VALUE"""),3.0)</f>
        <v>3</v>
      </c>
      <c r="H667" s="121">
        <f>IFERROR(__xludf.DUMMYFUNCTION("""COMPUTED_VALUE"""),0.0)</f>
        <v>0</v>
      </c>
      <c r="I667" s="121">
        <f>IFERROR(__xludf.DUMMYFUNCTION("""COMPUTED_VALUE"""),0.0)</f>
        <v>0</v>
      </c>
      <c r="J667" s="121">
        <f>IFERROR(__xludf.DUMMYFUNCTION("""COMPUTED_VALUE"""),3.0)</f>
        <v>3</v>
      </c>
      <c r="K667" s="132" t="str">
        <f>IFERROR(__xludf.DUMMYFUNCTION("""COMPUTED_VALUE"""),"FT10427")</f>
        <v>FT10427</v>
      </c>
      <c r="L667" s="121" t="str">
        <f>IFERROR(__xludf.DUMMYFUNCTION("""COMPUTED_VALUE"""),"Mrs.MEKALA N")</f>
        <v>Mrs.MEKALA N</v>
      </c>
      <c r="M667" s="121" t="str">
        <f>IFERROR(__xludf.DUMMYFUNCTION("""COMPUTED_VALUE"""),"mekalan@bitsathy.ac.in")</f>
        <v>mekalan@bitsathy.ac.in</v>
      </c>
    </row>
    <row r="668" ht="49.5" customHeight="1">
      <c r="A668" s="121" t="str">
        <f>IFERROR(__xludf.DUMMYFUNCTION("""COMPUTED_VALUE"""),"FT")</f>
        <v>FT</v>
      </c>
      <c r="B668" s="121" t="str">
        <f>IFERROR(__xludf.DUMMYFUNCTION("""COMPUTED_VALUE"""),"S6")</f>
        <v>S6</v>
      </c>
      <c r="C668" s="121" t="str">
        <f>IFERROR(__xludf.DUMMYFUNCTION("""COMPUTED_VALUE"""),"HONOURS")</f>
        <v>HONOURS</v>
      </c>
      <c r="D668" s="121" t="str">
        <f>IFERROR(__xludf.DUMMYFUNCTION("""COMPUTED_VALUE"""),"22FTH16")</f>
        <v>22FTH16</v>
      </c>
      <c r="E668" s="131" t="str">
        <f>IFERROR(__xludf.DUMMYFUNCTION("""COMPUTED_VALUE"""),"SOCIAL COMPLIANCES AND QUALITY ASSURANCE IN APPAREL INDUSTRY")</f>
        <v>SOCIAL COMPLIANCES AND QUALITY ASSURANCE IN APPAREL INDUSTRY</v>
      </c>
      <c r="F668" s="121" t="str">
        <f>IFERROR(__xludf.DUMMYFUNCTION("""COMPUTED_VALUE"""),"THEORY")</f>
        <v>THEORY</v>
      </c>
      <c r="G668" s="121">
        <f>IFERROR(__xludf.DUMMYFUNCTION("""COMPUTED_VALUE"""),3.0)</f>
        <v>3</v>
      </c>
      <c r="H668" s="121">
        <f>IFERROR(__xludf.DUMMYFUNCTION("""COMPUTED_VALUE"""),0.0)</f>
        <v>0</v>
      </c>
      <c r="I668" s="121">
        <f>IFERROR(__xludf.DUMMYFUNCTION("""COMPUTED_VALUE"""),0.0)</f>
        <v>0</v>
      </c>
      <c r="J668" s="121">
        <f>IFERROR(__xludf.DUMMYFUNCTION("""COMPUTED_VALUE"""),3.0)</f>
        <v>3</v>
      </c>
      <c r="K668" s="132" t="str">
        <f>IFERROR(__xludf.DUMMYFUNCTION("""COMPUTED_VALUE"""),"FT10809")</f>
        <v>FT10809</v>
      </c>
      <c r="L668" s="121" t="str">
        <f>IFERROR(__xludf.DUMMYFUNCTION("""COMPUTED_VALUE"""),"Dr.MOHAN BHARATHI C")</f>
        <v>Dr.MOHAN BHARATHI C</v>
      </c>
      <c r="M668" s="121" t="str">
        <f>IFERROR(__xludf.DUMMYFUNCTION("""COMPUTED_VALUE"""),"mohanbharathic@bitsathy.ac.in")</f>
        <v>mohanbharathic@bitsathy.ac.in</v>
      </c>
    </row>
    <row r="669" ht="49.5" customHeight="1">
      <c r="A669" s="121" t="str">
        <f>IFERROR(__xludf.DUMMYFUNCTION("""COMPUTED_VALUE"""),"FT")</f>
        <v>FT</v>
      </c>
      <c r="B669" s="121" t="str">
        <f>IFERROR(__xludf.DUMMYFUNCTION("""COMPUTED_VALUE"""),"S6")</f>
        <v>S6</v>
      </c>
      <c r="C669" s="121" t="str">
        <f>IFERROR(__xludf.DUMMYFUNCTION("""COMPUTED_VALUE"""),"MINI PROJECT")</f>
        <v>MINI PROJECT</v>
      </c>
      <c r="D669" s="121" t="str">
        <f>IFERROR(__xludf.DUMMYFUNCTION("""COMPUTED_VALUE"""),"22FT607 ")</f>
        <v>22FT607 </v>
      </c>
      <c r="E669" s="131" t="str">
        <f>IFERROR(__xludf.DUMMYFUNCTION("""COMPUTED_VALUE"""),"MINI PROJECT II")</f>
        <v>MINI PROJECT II</v>
      </c>
      <c r="F669" s="121" t="str">
        <f>IFERROR(__xludf.DUMMYFUNCTION("""COMPUTED_VALUE"""),"LAB")</f>
        <v>LAB</v>
      </c>
      <c r="G669" s="121">
        <f>IFERROR(__xludf.DUMMYFUNCTION("""COMPUTED_VALUE"""),0.0)</f>
        <v>0</v>
      </c>
      <c r="H669" s="121">
        <f>IFERROR(__xludf.DUMMYFUNCTION("""COMPUTED_VALUE"""),0.0)</f>
        <v>0</v>
      </c>
      <c r="I669" s="121">
        <f>IFERROR(__xludf.DUMMYFUNCTION("""COMPUTED_VALUE"""),2.0)</f>
        <v>2</v>
      </c>
      <c r="J669" s="121">
        <f>IFERROR(__xludf.DUMMYFUNCTION("""COMPUTED_VALUE"""),1.0)</f>
        <v>1</v>
      </c>
      <c r="K669" s="132"/>
      <c r="L669" s="121"/>
      <c r="M669" s="121"/>
    </row>
    <row r="670" ht="49.5" customHeight="1">
      <c r="A670" s="121" t="str">
        <f>IFERROR(__xludf.DUMMYFUNCTION("""COMPUTED_VALUE"""),"FT")</f>
        <v>FT</v>
      </c>
      <c r="B670" s="121" t="str">
        <f>IFERROR(__xludf.DUMMYFUNCTION("""COMPUTED_VALUE"""),"S8")</f>
        <v>S8</v>
      </c>
      <c r="C670" s="121" t="str">
        <f>IFERROR(__xludf.DUMMYFUNCTION("""COMPUTED_VALUE"""),"CORE")</f>
        <v>CORE</v>
      </c>
      <c r="D670" s="121" t="str">
        <f>IFERROR(__xludf.DUMMYFUNCTION("""COMPUTED_VALUE"""),"22FT801")</f>
        <v>22FT801</v>
      </c>
      <c r="E670" s="131" t="str">
        <f>IFERROR(__xludf.DUMMYFUNCTION("""COMPUTED_VALUE"""),"PROJECT WORK II")</f>
        <v>PROJECT WORK II</v>
      </c>
      <c r="F670" s="121" t="str">
        <f>IFERROR(__xludf.DUMMYFUNCTION("""COMPUTED_VALUE"""),"LAB")</f>
        <v>LAB</v>
      </c>
      <c r="G670" s="121">
        <f>IFERROR(__xludf.DUMMYFUNCTION("""COMPUTED_VALUE"""),0.0)</f>
        <v>0</v>
      </c>
      <c r="H670" s="121">
        <f>IFERROR(__xludf.DUMMYFUNCTION("""COMPUTED_VALUE"""),0.0)</f>
        <v>0</v>
      </c>
      <c r="I670" s="121">
        <f>IFERROR(__xludf.DUMMYFUNCTION("""COMPUTED_VALUE"""),18.0)</f>
        <v>18</v>
      </c>
      <c r="J670" s="121">
        <f>IFERROR(__xludf.DUMMYFUNCTION("""COMPUTED_VALUE"""),9.0)</f>
        <v>9</v>
      </c>
      <c r="K670" s="132"/>
      <c r="L670" s="121"/>
      <c r="M670" s="121"/>
    </row>
    <row r="671" ht="49.5" customHeight="1">
      <c r="A671" s="121" t="str">
        <f>IFERROR(__xludf.DUMMYFUNCTION("""COMPUTED_VALUE"""),"FD")</f>
        <v>FD</v>
      </c>
      <c r="B671" s="121" t="str">
        <f>IFERROR(__xludf.DUMMYFUNCTION("""COMPUTED_VALUE"""),"S6")</f>
        <v>S6</v>
      </c>
      <c r="C671" s="121" t="str">
        <f>IFERROR(__xludf.DUMMYFUNCTION("""COMPUTED_VALUE"""),"CORE")</f>
        <v>CORE</v>
      </c>
      <c r="D671" s="121" t="str">
        <f>IFERROR(__xludf.DUMMYFUNCTION("""COMPUTED_VALUE"""),"22FD601")</f>
        <v>22FD601</v>
      </c>
      <c r="E671" s="131" t="str">
        <f>IFERROR(__xludf.DUMMYFUNCTION("""COMPUTED_VALUE"""),"FOOD PROCESSING PLANT DESIGN ANDLAYOUT")</f>
        <v>FOOD PROCESSING PLANT DESIGN ANDLAYOUT</v>
      </c>
      <c r="F671" s="121" t="str">
        <f>IFERROR(__xludf.DUMMYFUNCTION("""COMPUTED_VALUE"""),"THEORY WITH LAB")</f>
        <v>THEORY WITH LAB</v>
      </c>
      <c r="G671" s="121">
        <f>IFERROR(__xludf.DUMMYFUNCTION("""COMPUTED_VALUE"""),3.0)</f>
        <v>3</v>
      </c>
      <c r="H671" s="121">
        <f>IFERROR(__xludf.DUMMYFUNCTION("""COMPUTED_VALUE"""),0.0)</f>
        <v>0</v>
      </c>
      <c r="I671" s="121">
        <f>IFERROR(__xludf.DUMMYFUNCTION("""COMPUTED_VALUE"""),2.0)</f>
        <v>2</v>
      </c>
      <c r="J671" s="121">
        <f>IFERROR(__xludf.DUMMYFUNCTION("""COMPUTED_VALUE"""),4.0)</f>
        <v>4</v>
      </c>
      <c r="K671" s="132" t="str">
        <f>IFERROR(__xludf.DUMMYFUNCTION("""COMPUTED_VALUE"""),"FD11137")</f>
        <v>FD11137</v>
      </c>
      <c r="L671" s="121" t="str">
        <f>IFERROR(__xludf.DUMMYFUNCTION("""COMPUTED_VALUE"""),"Mr.EDAMAKANTI RAMANJI REDDY")</f>
        <v>Mr.EDAMAKANTI RAMANJI REDDY</v>
      </c>
      <c r="M671" s="121" t="str">
        <f>IFERROR(__xludf.DUMMYFUNCTION("""COMPUTED_VALUE"""),"edamakantiramanjireddy@bitsathy.ac.in")</f>
        <v>edamakantiramanjireddy@bitsathy.ac.in</v>
      </c>
    </row>
    <row r="672" ht="49.5" customHeight="1">
      <c r="A672" s="121" t="str">
        <f>IFERROR(__xludf.DUMMYFUNCTION("""COMPUTED_VALUE"""),"FD")</f>
        <v>FD</v>
      </c>
      <c r="B672" s="121" t="str">
        <f>IFERROR(__xludf.DUMMYFUNCTION("""COMPUTED_VALUE"""),"S6")</f>
        <v>S6</v>
      </c>
      <c r="C672" s="121" t="str">
        <f>IFERROR(__xludf.DUMMYFUNCTION("""COMPUTED_VALUE"""),"CORE")</f>
        <v>CORE</v>
      </c>
      <c r="D672" s="121" t="str">
        <f>IFERROR(__xludf.DUMMYFUNCTION("""COMPUTED_VALUE"""),"22FD602")</f>
        <v>22FD602</v>
      </c>
      <c r="E672" s="131" t="str">
        <f>IFERROR(__xludf.DUMMYFUNCTION("""COMPUTED_VALUE"""),"FOOD EQUIPMENT DESIGN")</f>
        <v>FOOD EQUIPMENT DESIGN</v>
      </c>
      <c r="F672" s="121" t="str">
        <f>IFERROR(__xludf.DUMMYFUNCTION("""COMPUTED_VALUE"""),"THEORY")</f>
        <v>THEORY</v>
      </c>
      <c r="G672" s="121">
        <f>IFERROR(__xludf.DUMMYFUNCTION("""COMPUTED_VALUE"""),3.0)</f>
        <v>3</v>
      </c>
      <c r="H672" s="121">
        <f>IFERROR(__xludf.DUMMYFUNCTION("""COMPUTED_VALUE"""),1.0)</f>
        <v>1</v>
      </c>
      <c r="I672" s="121">
        <f>IFERROR(__xludf.DUMMYFUNCTION("""COMPUTED_VALUE"""),0.0)</f>
        <v>0</v>
      </c>
      <c r="J672" s="121">
        <f>IFERROR(__xludf.DUMMYFUNCTION("""COMPUTED_VALUE"""),4.0)</f>
        <v>4</v>
      </c>
      <c r="K672" s="132" t="str">
        <f>IFERROR(__xludf.DUMMYFUNCTION("""COMPUTED_VALUE"""),"FD10999")</f>
        <v>FD10999</v>
      </c>
      <c r="L672" s="121" t="str">
        <f>IFERROR(__xludf.DUMMYFUNCTION("""COMPUTED_VALUE"""),"Dr.ARUNASREE TNA")</f>
        <v>Dr.ARUNASREE TNA</v>
      </c>
      <c r="M672" s="121" t="str">
        <f>IFERROR(__xludf.DUMMYFUNCTION("""COMPUTED_VALUE"""),"arunasreetna@bitsathy.ac.in")</f>
        <v>arunasreetna@bitsathy.ac.in</v>
      </c>
    </row>
    <row r="673" ht="49.5" customHeight="1">
      <c r="A673" s="121" t="str">
        <f>IFERROR(__xludf.DUMMYFUNCTION("""COMPUTED_VALUE"""),"FD")</f>
        <v>FD</v>
      </c>
      <c r="B673" s="121" t="str">
        <f>IFERROR(__xludf.DUMMYFUNCTION("""COMPUTED_VALUE"""),"S6")</f>
        <v>S6</v>
      </c>
      <c r="C673" s="121" t="str">
        <f>IFERROR(__xludf.DUMMYFUNCTION("""COMPUTED_VALUE"""),"CORE")</f>
        <v>CORE</v>
      </c>
      <c r="D673" s="121" t="str">
        <f>IFERROR(__xludf.DUMMYFUNCTION("""COMPUTED_VALUE"""),"22FD603")</f>
        <v>22FD603</v>
      </c>
      <c r="E673" s="131" t="str">
        <f>IFERROR(__xludf.DUMMYFUNCTION("""COMPUTED_VALUE"""),"FOOD INSTRUMENTATION AND ANALYSIS")</f>
        <v>FOOD INSTRUMENTATION AND ANALYSIS</v>
      </c>
      <c r="F673" s="121" t="str">
        <f>IFERROR(__xludf.DUMMYFUNCTION("""COMPUTED_VALUE"""),"THEORY")</f>
        <v>THEORY</v>
      </c>
      <c r="G673" s="121">
        <f>IFERROR(__xludf.DUMMYFUNCTION("""COMPUTED_VALUE"""),3.0)</f>
        <v>3</v>
      </c>
      <c r="H673" s="121">
        <f>IFERROR(__xludf.DUMMYFUNCTION("""COMPUTED_VALUE"""),0.0)</f>
        <v>0</v>
      </c>
      <c r="I673" s="121">
        <f>IFERROR(__xludf.DUMMYFUNCTION("""COMPUTED_VALUE"""),2.0)</f>
        <v>2</v>
      </c>
      <c r="J673" s="121">
        <f>IFERROR(__xludf.DUMMYFUNCTION("""COMPUTED_VALUE"""),4.0)</f>
        <v>4</v>
      </c>
      <c r="K673" s="132" t="str">
        <f>IFERROR(__xludf.DUMMYFUNCTION("""COMPUTED_VALUE"""),"FD10755")</f>
        <v>FD10755</v>
      </c>
      <c r="L673" s="121" t="str">
        <f>IFERROR(__xludf.DUMMYFUNCTION("""COMPUTED_VALUE"""),"Mr.GOWRISHANKAR L")</f>
        <v>Mr.GOWRISHANKAR L</v>
      </c>
      <c r="M673" s="121" t="str">
        <f>IFERROR(__xludf.DUMMYFUNCTION("""COMPUTED_VALUE"""),"gowrishankar@bitsathy.ac.in")</f>
        <v>gowrishankar@bitsathy.ac.in</v>
      </c>
    </row>
    <row r="674" ht="49.5" customHeight="1">
      <c r="A674" s="121" t="str">
        <f>IFERROR(__xludf.DUMMYFUNCTION("""COMPUTED_VALUE"""),"FD")</f>
        <v>FD</v>
      </c>
      <c r="B674" s="121" t="str">
        <f>IFERROR(__xludf.DUMMYFUNCTION("""COMPUTED_VALUE"""),"S6")</f>
        <v>S6</v>
      </c>
      <c r="C674" s="121" t="str">
        <f>IFERROR(__xludf.DUMMYFUNCTION("""COMPUTED_VALUE"""),"CORE")</f>
        <v>CORE</v>
      </c>
      <c r="D674" s="121" t="str">
        <f>IFERROR(__xludf.DUMMYFUNCTION("""COMPUTED_VALUE"""),"22FD603")</f>
        <v>22FD603</v>
      </c>
      <c r="E674" s="131" t="str">
        <f>IFERROR(__xludf.DUMMYFUNCTION("""COMPUTED_VALUE"""),"FOOD INSTRUMENTATION AND ANALYSIS")</f>
        <v>FOOD INSTRUMENTATION AND ANALYSIS</v>
      </c>
      <c r="F674" s="121" t="str">
        <f>IFERROR(__xludf.DUMMYFUNCTION("""COMPUTED_VALUE"""),"LAB")</f>
        <v>LAB</v>
      </c>
      <c r="G674" s="121">
        <f>IFERROR(__xludf.DUMMYFUNCTION("""COMPUTED_VALUE"""),3.0)</f>
        <v>3</v>
      </c>
      <c r="H674" s="121">
        <f>IFERROR(__xludf.DUMMYFUNCTION("""COMPUTED_VALUE"""),0.0)</f>
        <v>0</v>
      </c>
      <c r="I674" s="121">
        <f>IFERROR(__xludf.DUMMYFUNCTION("""COMPUTED_VALUE"""),2.0)</f>
        <v>2</v>
      </c>
      <c r="J674" s="121">
        <f>IFERROR(__xludf.DUMMYFUNCTION("""COMPUTED_VALUE"""),4.0)</f>
        <v>4</v>
      </c>
      <c r="K674" s="132" t="str">
        <f>IFERROR(__xludf.DUMMYFUNCTION("""COMPUTED_VALUE"""),"FD10966")</f>
        <v>FD10966</v>
      </c>
      <c r="L674" s="121" t="str">
        <f>IFERROR(__xludf.DUMMYFUNCTION("""COMPUTED_VALUE"""),"Ms.NITHIYA PRIYA B T")</f>
        <v>Ms.NITHIYA PRIYA B T</v>
      </c>
      <c r="M674" s="121" t="str">
        <f>IFERROR(__xludf.DUMMYFUNCTION("""COMPUTED_VALUE"""),"nithiyapriyabt@bitsathy.ac.in")</f>
        <v>nithiyapriyabt@bitsathy.ac.in</v>
      </c>
    </row>
    <row r="675" ht="49.5" customHeight="1">
      <c r="A675" s="121" t="str">
        <f>IFERROR(__xludf.DUMMYFUNCTION("""COMPUTED_VALUE"""),"FD")</f>
        <v>FD</v>
      </c>
      <c r="B675" s="121" t="str">
        <f>IFERROR(__xludf.DUMMYFUNCTION("""COMPUTED_VALUE"""),"S6")</f>
        <v>S6</v>
      </c>
      <c r="C675" s="121" t="str">
        <f>IFERROR(__xludf.DUMMYFUNCTION("""COMPUTED_VALUE"""),"ELECTIVE 3")</f>
        <v>ELECTIVE 3</v>
      </c>
      <c r="D675" s="121" t="str">
        <f>IFERROR(__xludf.DUMMYFUNCTION("""COMPUTED_VALUE"""),"22FD040")</f>
        <v>22FD040</v>
      </c>
      <c r="E675" s="131" t="str">
        <f>IFERROR(__xludf.DUMMYFUNCTION("""COMPUTED_VALUE""")," BEVERAGE TECHNOLOGY")</f>
        <v> BEVERAGE TECHNOLOGY</v>
      </c>
      <c r="F675" s="121" t="str">
        <f>IFERROR(__xludf.DUMMYFUNCTION("""COMPUTED_VALUE"""),"THEORY")</f>
        <v>THEORY</v>
      </c>
      <c r="G675" s="121">
        <f>IFERROR(__xludf.DUMMYFUNCTION("""COMPUTED_VALUE"""),3.0)</f>
        <v>3</v>
      </c>
      <c r="H675" s="121">
        <f>IFERROR(__xludf.DUMMYFUNCTION("""COMPUTED_VALUE"""),0.0)</f>
        <v>0</v>
      </c>
      <c r="I675" s="121">
        <f>IFERROR(__xludf.DUMMYFUNCTION("""COMPUTED_VALUE"""),0.0)</f>
        <v>0</v>
      </c>
      <c r="J675" s="121">
        <f>IFERROR(__xludf.DUMMYFUNCTION("""COMPUTED_VALUE"""),3.0)</f>
        <v>3</v>
      </c>
      <c r="K675" s="132" t="str">
        <f>IFERROR(__xludf.DUMMYFUNCTION("""COMPUTED_VALUE"""),"FD10959")</f>
        <v>FD10959</v>
      </c>
      <c r="L675" s="121" t="str">
        <f>IFERROR(__xludf.DUMMYFUNCTION("""COMPUTED_VALUE"""),"Ms.PIDATHALA SAHITYA")</f>
        <v>Ms.PIDATHALA SAHITYA</v>
      </c>
      <c r="M675" s="121" t="str">
        <f>IFERROR(__xludf.DUMMYFUNCTION("""COMPUTED_VALUE"""),"pidathalasahitya@bitsathy.ac.in")</f>
        <v>pidathalasahitya@bitsathy.ac.in</v>
      </c>
    </row>
    <row r="676" ht="49.5" customHeight="1">
      <c r="A676" s="121" t="str">
        <f>IFERROR(__xludf.DUMMYFUNCTION("""COMPUTED_VALUE"""),"FD")</f>
        <v>FD</v>
      </c>
      <c r="B676" s="121" t="str">
        <f>IFERROR(__xludf.DUMMYFUNCTION("""COMPUTED_VALUE"""),"S6")</f>
        <v>S6</v>
      </c>
      <c r="C676" s="121" t="str">
        <f>IFERROR(__xludf.DUMMYFUNCTION("""COMPUTED_VALUE"""),"ELECTIVE 5")</f>
        <v>ELECTIVE 5</v>
      </c>
      <c r="D676" s="121" t="str">
        <f>IFERROR(__xludf.DUMMYFUNCTION("""COMPUTED_VALUE"""),"22FD008")</f>
        <v>22FD008</v>
      </c>
      <c r="E676" s="131" t="str">
        <f>IFERROR(__xludf.DUMMYFUNCTION("""COMPUTED_VALUE"""),"NON THERMAL PROCESSING TECHNIQUES")</f>
        <v>NON THERMAL PROCESSING TECHNIQUES</v>
      </c>
      <c r="F676" s="121" t="str">
        <f>IFERROR(__xludf.DUMMYFUNCTION("""COMPUTED_VALUE"""),"THEORY")</f>
        <v>THEORY</v>
      </c>
      <c r="G676" s="121">
        <f>IFERROR(__xludf.DUMMYFUNCTION("""COMPUTED_VALUE"""),3.0)</f>
        <v>3</v>
      </c>
      <c r="H676" s="121">
        <f>IFERROR(__xludf.DUMMYFUNCTION("""COMPUTED_VALUE"""),0.0)</f>
        <v>0</v>
      </c>
      <c r="I676" s="121">
        <f>IFERROR(__xludf.DUMMYFUNCTION("""COMPUTED_VALUE"""),0.0)</f>
        <v>0</v>
      </c>
      <c r="J676" s="121">
        <f>IFERROR(__xludf.DUMMYFUNCTION("""COMPUTED_VALUE"""),3.0)</f>
        <v>3</v>
      </c>
      <c r="K676" s="132" t="str">
        <f>IFERROR(__xludf.DUMMYFUNCTION("""COMPUTED_VALUE"""),"FD10966")</f>
        <v>FD10966</v>
      </c>
      <c r="L676" s="121" t="str">
        <f>IFERROR(__xludf.DUMMYFUNCTION("""COMPUTED_VALUE"""),"Ms.NITHIYA PRIYA B T")</f>
        <v>Ms.NITHIYA PRIYA B T</v>
      </c>
      <c r="M676" s="121" t="str">
        <f>IFERROR(__xludf.DUMMYFUNCTION("""COMPUTED_VALUE"""),"nithiyapriyabt@bitsathy.ac.in")</f>
        <v>nithiyapriyabt@bitsathy.ac.in</v>
      </c>
    </row>
    <row r="677" ht="49.5" customHeight="1">
      <c r="A677" s="121" t="str">
        <f>IFERROR(__xludf.DUMMYFUNCTION("""COMPUTED_VALUE"""),"FD")</f>
        <v>FD</v>
      </c>
      <c r="B677" s="121" t="str">
        <f>IFERROR(__xludf.DUMMYFUNCTION("""COMPUTED_VALUE"""),"S6")</f>
        <v>S6</v>
      </c>
      <c r="C677" s="121" t="str">
        <f>IFERROR(__xludf.DUMMYFUNCTION("""COMPUTED_VALUE"""),"ELECTIVE 4")</f>
        <v>ELECTIVE 4</v>
      </c>
      <c r="D677" s="121" t="str">
        <f>IFERROR(__xludf.DUMMYFUNCTION("""COMPUTED_VALUE"""),"22FD009")</f>
        <v>22FD009</v>
      </c>
      <c r="E677" s="131" t="str">
        <f>IFERROR(__xludf.DUMMYFUNCTION("""COMPUTED_VALUE"""),"THERMAL PROCESSING TECHNIQUES")</f>
        <v>THERMAL PROCESSING TECHNIQUES</v>
      </c>
      <c r="F677" s="121" t="str">
        <f>IFERROR(__xludf.DUMMYFUNCTION("""COMPUTED_VALUE"""),"THEORY")</f>
        <v>THEORY</v>
      </c>
      <c r="G677" s="121">
        <f>IFERROR(__xludf.DUMMYFUNCTION("""COMPUTED_VALUE"""),3.0)</f>
        <v>3</v>
      </c>
      <c r="H677" s="121">
        <f>IFERROR(__xludf.DUMMYFUNCTION("""COMPUTED_VALUE"""),0.0)</f>
        <v>0</v>
      </c>
      <c r="I677" s="121">
        <f>IFERROR(__xludf.DUMMYFUNCTION("""COMPUTED_VALUE"""),0.0)</f>
        <v>0</v>
      </c>
      <c r="J677" s="121">
        <f>IFERROR(__xludf.DUMMYFUNCTION("""COMPUTED_VALUE"""),3.0)</f>
        <v>3</v>
      </c>
      <c r="K677" s="132" t="str">
        <f>IFERROR(__xludf.DUMMYFUNCTION("""COMPUTED_VALUE"""),"FD10959")</f>
        <v>FD10959</v>
      </c>
      <c r="L677" s="121" t="str">
        <f>IFERROR(__xludf.DUMMYFUNCTION("""COMPUTED_VALUE"""),"Ms.PIDATHALA SAHITYA")</f>
        <v>Ms.PIDATHALA SAHITYA</v>
      </c>
      <c r="M677" s="121" t="str">
        <f>IFERROR(__xludf.DUMMYFUNCTION("""COMPUTED_VALUE"""),"pidathalasahitya@bitsathy.ac.in")</f>
        <v>pidathalasahitya@bitsathy.ac.in</v>
      </c>
    </row>
    <row r="678" ht="49.5" customHeight="1">
      <c r="A678" s="121" t="str">
        <f>IFERROR(__xludf.DUMMYFUNCTION("""COMPUTED_VALUE"""),"FD")</f>
        <v>FD</v>
      </c>
      <c r="B678" s="121" t="str">
        <f>IFERROR(__xludf.DUMMYFUNCTION("""COMPUTED_VALUE"""),"S6")</f>
        <v>S6</v>
      </c>
      <c r="C678" s="121" t="str">
        <f>IFERROR(__xludf.DUMMYFUNCTION("""COMPUTED_VALUE"""),"ADD COURSE")</f>
        <v>ADD COURSE</v>
      </c>
      <c r="D678" s="121" t="str">
        <f>IFERROR(__xludf.DUMMYFUNCTION("""COMPUTED_VALUE"""),"22FD035")</f>
        <v>22FD035</v>
      </c>
      <c r="E678" s="131" t="str">
        <f>IFERROR(__xludf.DUMMYFUNCTION("""COMPUTED_VALUE"""),"FOOD FERMENTATION TECHNOLOGY")</f>
        <v>FOOD FERMENTATION TECHNOLOGY</v>
      </c>
      <c r="F678" s="121" t="str">
        <f>IFERROR(__xludf.DUMMYFUNCTION("""COMPUTED_VALUE"""),"THEORY")</f>
        <v>THEORY</v>
      </c>
      <c r="G678" s="121">
        <f>IFERROR(__xludf.DUMMYFUNCTION("""COMPUTED_VALUE"""),3.0)</f>
        <v>3</v>
      </c>
      <c r="H678" s="121">
        <f>IFERROR(__xludf.DUMMYFUNCTION("""COMPUTED_VALUE"""),0.0)</f>
        <v>0</v>
      </c>
      <c r="I678" s="121">
        <f>IFERROR(__xludf.DUMMYFUNCTION("""COMPUTED_VALUE"""),0.0)</f>
        <v>0</v>
      </c>
      <c r="J678" s="121">
        <f>IFERROR(__xludf.DUMMYFUNCTION("""COMPUTED_VALUE"""),3.0)</f>
        <v>3</v>
      </c>
      <c r="K678" s="132" t="str">
        <f>IFERROR(__xludf.DUMMYFUNCTION("""COMPUTED_VALUE"""),"FD11130")</f>
        <v>FD11130</v>
      </c>
      <c r="L678" s="121" t="str">
        <f>IFERROR(__xludf.DUMMYFUNCTION("""COMPUTED_VALUE"""),"Ms.SIVARAHINI K")</f>
        <v>Ms.SIVARAHINI K</v>
      </c>
      <c r="M678" s="121" t="str">
        <f>IFERROR(__xludf.DUMMYFUNCTION("""COMPUTED_VALUE"""),"sivarahini@bitsathy.ac.in")</f>
        <v>sivarahini@bitsathy.ac.in</v>
      </c>
    </row>
    <row r="679" ht="49.5" customHeight="1">
      <c r="A679" s="121" t="str">
        <f>IFERROR(__xludf.DUMMYFUNCTION("""COMPUTED_VALUE"""),"FD")</f>
        <v>FD</v>
      </c>
      <c r="B679" s="121" t="str">
        <f>IFERROR(__xludf.DUMMYFUNCTION("""COMPUTED_VALUE"""),"S6")</f>
        <v>S6</v>
      </c>
      <c r="C679" s="121" t="str">
        <f>IFERROR(__xludf.DUMMYFUNCTION("""COMPUTED_VALUE"""),"HONOURS")</f>
        <v>HONOURS</v>
      </c>
      <c r="D679" s="121" t="str">
        <f>IFERROR(__xludf.DUMMYFUNCTION("""COMPUTED_VALUE"""),"22FDH03")</f>
        <v>22FDH03</v>
      </c>
      <c r="E679" s="131" t="str">
        <f>IFERROR(__xludf.DUMMYFUNCTION("""COMPUTED_VALUE"""),"DIVERSE MATERIALS IN FOOD PACKAGING")</f>
        <v>DIVERSE MATERIALS IN FOOD PACKAGING</v>
      </c>
      <c r="F679" s="121" t="str">
        <f>IFERROR(__xludf.DUMMYFUNCTION("""COMPUTED_VALUE"""),"THEORY")</f>
        <v>THEORY</v>
      </c>
      <c r="G679" s="121">
        <f>IFERROR(__xludf.DUMMYFUNCTION("""COMPUTED_VALUE"""),3.0)</f>
        <v>3</v>
      </c>
      <c r="H679" s="121">
        <f>IFERROR(__xludf.DUMMYFUNCTION("""COMPUTED_VALUE"""),0.0)</f>
        <v>0</v>
      </c>
      <c r="I679" s="121">
        <f>IFERROR(__xludf.DUMMYFUNCTION("""COMPUTED_VALUE"""),0.0)</f>
        <v>0</v>
      </c>
      <c r="J679" s="121">
        <f>IFERROR(__xludf.DUMMYFUNCTION("""COMPUTED_VALUE"""),3.0)</f>
        <v>3</v>
      </c>
      <c r="K679" s="132" t="str">
        <f>IFERROR(__xludf.DUMMYFUNCTION("""COMPUTED_VALUE"""),"FD11130")</f>
        <v>FD11130</v>
      </c>
      <c r="L679" s="121" t="str">
        <f>IFERROR(__xludf.DUMMYFUNCTION("""COMPUTED_VALUE"""),"Ms.SIVARAHINI K")</f>
        <v>Ms.SIVARAHINI K</v>
      </c>
      <c r="M679" s="133" t="str">
        <f>IFERROR(__xludf.DUMMYFUNCTION("""COMPUTED_VALUE"""),"sivarahini@bitsathy.ac.in")</f>
        <v>sivarahini@bitsathy.ac.in</v>
      </c>
    </row>
    <row r="680" ht="49.5" customHeight="1">
      <c r="A680" s="121" t="str">
        <f>IFERROR(__xludf.DUMMYFUNCTION("""COMPUTED_VALUE"""),"FD")</f>
        <v>FD</v>
      </c>
      <c r="B680" s="121" t="str">
        <f>IFERROR(__xludf.DUMMYFUNCTION("""COMPUTED_VALUE"""),"S6")</f>
        <v>S6</v>
      </c>
      <c r="C680" s="121" t="str">
        <f>IFERROR(__xludf.DUMMYFUNCTION("""COMPUTED_VALUE"""),"HONOURS")</f>
        <v>HONOURS</v>
      </c>
      <c r="D680" s="121" t="str">
        <f>IFERROR(__xludf.DUMMYFUNCTION("""COMPUTED_VALUE"""),"22FDH04")</f>
        <v>22FDH04</v>
      </c>
      <c r="E680" s="131" t="str">
        <f>IFERROR(__xludf.DUMMYFUNCTION("""COMPUTED_VALUE"""),"EMERGING TRENDS AND INNOVATION IN PACKAGING TECHNOLOGY")</f>
        <v>EMERGING TRENDS AND INNOVATION IN PACKAGING TECHNOLOGY</v>
      </c>
      <c r="F680" s="121" t="str">
        <f>IFERROR(__xludf.DUMMYFUNCTION("""COMPUTED_VALUE"""),"THEORY")</f>
        <v>THEORY</v>
      </c>
      <c r="G680" s="121">
        <f>IFERROR(__xludf.DUMMYFUNCTION("""COMPUTED_VALUE"""),3.0)</f>
        <v>3</v>
      </c>
      <c r="H680" s="121">
        <f>IFERROR(__xludf.DUMMYFUNCTION("""COMPUTED_VALUE"""),0.0)</f>
        <v>0</v>
      </c>
      <c r="I680" s="121">
        <f>IFERROR(__xludf.DUMMYFUNCTION("""COMPUTED_VALUE"""),0.0)</f>
        <v>0</v>
      </c>
      <c r="J680" s="121">
        <f>IFERROR(__xludf.DUMMYFUNCTION("""COMPUTED_VALUE"""),3.0)</f>
        <v>3</v>
      </c>
      <c r="K680" s="132" t="str">
        <f>IFERROR(__xludf.DUMMYFUNCTION("""COMPUTED_VALUE"""),"FD10966")</f>
        <v>FD10966</v>
      </c>
      <c r="L680" s="121" t="str">
        <f>IFERROR(__xludf.DUMMYFUNCTION("""COMPUTED_VALUE"""),"Ms.NITHIYA PRIYA B T")</f>
        <v>Ms.NITHIYA PRIYA B T</v>
      </c>
      <c r="M680" s="121" t="str">
        <f>IFERROR(__xludf.DUMMYFUNCTION("""COMPUTED_VALUE"""),"nithiyapriyabt@bitsathy.ac.in")</f>
        <v>nithiyapriyabt@bitsathy.ac.in</v>
      </c>
    </row>
    <row r="681" ht="49.5" customHeight="1">
      <c r="A681" s="121" t="str">
        <f>IFERROR(__xludf.DUMMYFUNCTION("""COMPUTED_VALUE"""),"FD")</f>
        <v>FD</v>
      </c>
      <c r="B681" s="121" t="str">
        <f>IFERROR(__xludf.DUMMYFUNCTION("""COMPUTED_VALUE"""),"S6")</f>
        <v>S6</v>
      </c>
      <c r="C681" s="121" t="str">
        <f>IFERROR(__xludf.DUMMYFUNCTION("""COMPUTED_VALUE"""),"CORE")</f>
        <v>CORE</v>
      </c>
      <c r="D681" s="121" t="str">
        <f>IFERROR(__xludf.DUMMYFUNCTION("""COMPUTED_VALUE"""),"22FD607")</f>
        <v>22FD607</v>
      </c>
      <c r="E681" s="131" t="str">
        <f>IFERROR(__xludf.DUMMYFUNCTION("""COMPUTED_VALUE"""),"MINI PROJECT II")</f>
        <v>MINI PROJECT II</v>
      </c>
      <c r="F681" s="121" t="str">
        <f>IFERROR(__xludf.DUMMYFUNCTION("""COMPUTED_VALUE"""),"LAB")</f>
        <v>LAB</v>
      </c>
      <c r="G681" s="121">
        <f>IFERROR(__xludf.DUMMYFUNCTION("""COMPUTED_VALUE"""),0.0)</f>
        <v>0</v>
      </c>
      <c r="H681" s="121">
        <f>IFERROR(__xludf.DUMMYFUNCTION("""COMPUTED_VALUE"""),0.0)</f>
        <v>0</v>
      </c>
      <c r="I681" s="121">
        <f>IFERROR(__xludf.DUMMYFUNCTION("""COMPUTED_VALUE"""),2.0)</f>
        <v>2</v>
      </c>
      <c r="J681" s="121">
        <f>IFERROR(__xludf.DUMMYFUNCTION("""COMPUTED_VALUE"""),1.0)</f>
        <v>1</v>
      </c>
      <c r="K681" s="132"/>
      <c r="L681" s="121"/>
      <c r="M681" s="121"/>
    </row>
    <row r="682" ht="49.5" customHeight="1">
      <c r="A682" s="121" t="str">
        <f>IFERROR(__xludf.DUMMYFUNCTION("""COMPUTED_VALUE"""),"FD")</f>
        <v>FD</v>
      </c>
      <c r="B682" s="121" t="str">
        <f>IFERROR(__xludf.DUMMYFUNCTION("""COMPUTED_VALUE"""),"S8")</f>
        <v>S8</v>
      </c>
      <c r="C682" s="121" t="str">
        <f>IFERROR(__xludf.DUMMYFUNCTION("""COMPUTED_VALUE"""),"CORE")</f>
        <v>CORE</v>
      </c>
      <c r="D682" s="121" t="str">
        <f>IFERROR(__xludf.DUMMYFUNCTION("""COMPUTED_VALUE"""),"22FD801")</f>
        <v>22FD801</v>
      </c>
      <c r="E682" s="131" t="str">
        <f>IFERROR(__xludf.DUMMYFUNCTION("""COMPUTED_VALUE"""),"PROJECT WORK II")</f>
        <v>PROJECT WORK II</v>
      </c>
      <c r="F682" s="121" t="str">
        <f>IFERROR(__xludf.DUMMYFUNCTION("""COMPUTED_VALUE"""),"LAB")</f>
        <v>LAB</v>
      </c>
      <c r="G682" s="121">
        <f>IFERROR(__xludf.DUMMYFUNCTION("""COMPUTED_VALUE"""),0.0)</f>
        <v>0</v>
      </c>
      <c r="H682" s="121">
        <f>IFERROR(__xludf.DUMMYFUNCTION("""COMPUTED_VALUE"""),0.0)</f>
        <v>0</v>
      </c>
      <c r="I682" s="121">
        <f>IFERROR(__xludf.DUMMYFUNCTION("""COMPUTED_VALUE"""),18.0)</f>
        <v>18</v>
      </c>
      <c r="J682" s="121">
        <f>IFERROR(__xludf.DUMMYFUNCTION("""COMPUTED_VALUE"""),9.0)</f>
        <v>9</v>
      </c>
      <c r="K682" s="132"/>
      <c r="L682" s="121"/>
      <c r="M682" s="133"/>
    </row>
    <row r="683" ht="49.5" customHeight="1">
      <c r="A683" s="121" t="str">
        <f>IFERROR(__xludf.DUMMYFUNCTION("""COMPUTED_VALUE"""),"ISE")</f>
        <v>ISE</v>
      </c>
      <c r="B683" s="121" t="str">
        <f>IFERROR(__xludf.DUMMYFUNCTION("""COMPUTED_VALUE"""),"S6")</f>
        <v>S6</v>
      </c>
      <c r="C683" s="121" t="str">
        <f>IFERROR(__xludf.DUMMYFUNCTION("""COMPUTED_VALUE"""),"CORE")</f>
        <v>CORE</v>
      </c>
      <c r="D683" s="121" t="str">
        <f>IFERROR(__xludf.DUMMYFUNCTION("""COMPUTED_VALUE"""),"22IS601")</f>
        <v>22IS601</v>
      </c>
      <c r="E683" s="131" t="str">
        <f>IFERROR(__xludf.DUMMYFUNCTION("""COMPUTED_VALUE"""),"NATURAL LANGUAGE PROCESSING TECHNIQUES")</f>
        <v>NATURAL LANGUAGE PROCESSING TECHNIQUES</v>
      </c>
      <c r="F683" s="121" t="str">
        <f>IFERROR(__xludf.DUMMYFUNCTION("""COMPUTED_VALUE"""),"THEORY")</f>
        <v>THEORY</v>
      </c>
      <c r="G683" s="121">
        <f>IFERROR(__xludf.DUMMYFUNCTION("""COMPUTED_VALUE"""),3.0)</f>
        <v>3</v>
      </c>
      <c r="H683" s="121">
        <f>IFERROR(__xludf.DUMMYFUNCTION("""COMPUTED_VALUE"""),0.0)</f>
        <v>0</v>
      </c>
      <c r="I683" s="121">
        <f>IFERROR(__xludf.DUMMYFUNCTION("""COMPUTED_VALUE"""),0.0)</f>
        <v>0</v>
      </c>
      <c r="J683" s="121">
        <f>IFERROR(__xludf.DUMMYFUNCTION("""COMPUTED_VALUE"""),3.0)</f>
        <v>3</v>
      </c>
      <c r="K683" s="132" t="str">
        <f>IFERROR(__xludf.DUMMYFUNCTION("""COMPUTED_VALUE"""),"CD11177")</f>
        <v>CD11177</v>
      </c>
      <c r="L683" s="121" t="str">
        <f>IFERROR(__xludf.DUMMYFUNCTION("""COMPUTED_VALUE"""),"Ms.MADHUMATHI S")</f>
        <v>Ms.MADHUMATHI S</v>
      </c>
      <c r="M683" s="121" t="str">
        <f>IFERROR(__xludf.DUMMYFUNCTION("""COMPUTED_VALUE"""),"madhumathis@bitsathy.ac.in")</f>
        <v>madhumathis@bitsathy.ac.in</v>
      </c>
    </row>
    <row r="684" ht="49.5" customHeight="1">
      <c r="A684" s="121" t="str">
        <f>IFERROR(__xludf.DUMMYFUNCTION("""COMPUTED_VALUE"""),"ISE")</f>
        <v>ISE</v>
      </c>
      <c r="B684" s="121" t="str">
        <f>IFERROR(__xludf.DUMMYFUNCTION("""COMPUTED_VALUE"""),"S6")</f>
        <v>S6</v>
      </c>
      <c r="C684" s="121" t="str">
        <f>IFERROR(__xludf.DUMMYFUNCTION("""COMPUTED_VALUE"""),"CORE")</f>
        <v>CORE</v>
      </c>
      <c r="D684" s="121" t="str">
        <f>IFERROR(__xludf.DUMMYFUNCTION("""COMPUTED_VALUE"""),"22IS602")</f>
        <v>22IS602</v>
      </c>
      <c r="E684" s="131" t="str">
        <f>IFERROR(__xludf.DUMMYFUNCTION("""COMPUTED_VALUE"""),"CRYPTOGRAPHY AND INFORMATION SECURITY")</f>
        <v>CRYPTOGRAPHY AND INFORMATION SECURITY</v>
      </c>
      <c r="F684" s="121" t="str">
        <f>IFERROR(__xludf.DUMMYFUNCTION("""COMPUTED_VALUE"""),"THEORY")</f>
        <v>THEORY</v>
      </c>
      <c r="G684" s="121">
        <f>IFERROR(__xludf.DUMMYFUNCTION("""COMPUTED_VALUE"""),3.0)</f>
        <v>3</v>
      </c>
      <c r="H684" s="121">
        <f>IFERROR(__xludf.DUMMYFUNCTION("""COMPUTED_VALUE"""),0.0)</f>
        <v>0</v>
      </c>
      <c r="I684" s="121">
        <f>IFERROR(__xludf.DUMMYFUNCTION("""COMPUTED_VALUE"""),0.0)</f>
        <v>0</v>
      </c>
      <c r="J684" s="121">
        <f>IFERROR(__xludf.DUMMYFUNCTION("""COMPUTED_VALUE"""),3.0)</f>
        <v>3</v>
      </c>
      <c r="K684" s="132" t="str">
        <f>IFERROR(__xludf.DUMMYFUNCTION("""COMPUTED_VALUE"""),"CT10935")</f>
        <v>CT10935</v>
      </c>
      <c r="L684" s="121" t="str">
        <f>IFERROR(__xludf.DUMMYFUNCTION("""COMPUTED_VALUE"""),"Ms.NITHYA M")</f>
        <v>Ms.NITHYA M</v>
      </c>
      <c r="M684" s="133" t="str">
        <f>IFERROR(__xludf.DUMMYFUNCTION("""COMPUTED_VALUE"""),"nithyam@bitsathy.ac.in")</f>
        <v>nithyam@bitsathy.ac.in</v>
      </c>
    </row>
    <row r="685" ht="49.5" customHeight="1">
      <c r="A685" s="121" t="str">
        <f>IFERROR(__xludf.DUMMYFUNCTION("""COMPUTED_VALUE"""),"ISE")</f>
        <v>ISE</v>
      </c>
      <c r="B685" s="121" t="str">
        <f>IFERROR(__xludf.DUMMYFUNCTION("""COMPUTED_VALUE"""),"S6")</f>
        <v>S6</v>
      </c>
      <c r="C685" s="121" t="str">
        <f>IFERROR(__xludf.DUMMYFUNCTION("""COMPUTED_VALUE"""),"CORE")</f>
        <v>CORE</v>
      </c>
      <c r="D685" s="121" t="str">
        <f>IFERROR(__xludf.DUMMYFUNCTION("""COMPUTED_VALUE"""),"22IS603")</f>
        <v>22IS603</v>
      </c>
      <c r="E685" s="131" t="str">
        <f>IFERROR(__xludf.DUMMYFUNCTION("""COMPUTED_VALUE"""),"INFORMATION CODING TECHNIQUES")</f>
        <v>INFORMATION CODING TECHNIQUES</v>
      </c>
      <c r="F685" s="121" t="str">
        <f>IFERROR(__xludf.DUMMYFUNCTION("""COMPUTED_VALUE"""),"THEORY")</f>
        <v>THEORY</v>
      </c>
      <c r="G685" s="121">
        <f>IFERROR(__xludf.DUMMYFUNCTION("""COMPUTED_VALUE"""),3.0)</f>
        <v>3</v>
      </c>
      <c r="H685" s="121">
        <f>IFERROR(__xludf.DUMMYFUNCTION("""COMPUTED_VALUE"""),1.0)</f>
        <v>1</v>
      </c>
      <c r="I685" s="121">
        <f>IFERROR(__xludf.DUMMYFUNCTION("""COMPUTED_VALUE"""),0.0)</f>
        <v>0</v>
      </c>
      <c r="J685" s="121">
        <f>IFERROR(__xludf.DUMMYFUNCTION("""COMPUTED_VALUE"""),4.0)</f>
        <v>4</v>
      </c>
      <c r="K685" s="132" t="str">
        <f>IFERROR(__xludf.DUMMYFUNCTION("""COMPUTED_VALUE"""),"CS11086")</f>
        <v>CS11086</v>
      </c>
      <c r="L685" s="121" t="str">
        <f>IFERROR(__xludf.DUMMYFUNCTION("""COMPUTED_VALUE"""),"Mrs.GAYATHRI S")</f>
        <v>Mrs.GAYATHRI S</v>
      </c>
      <c r="M685" s="121" t="str">
        <f>IFERROR(__xludf.DUMMYFUNCTION("""COMPUTED_VALUE"""),"gayathris@bitsathy.ac.in")</f>
        <v>gayathris@bitsathy.ac.in</v>
      </c>
    </row>
    <row r="686" ht="49.5" customHeight="1">
      <c r="A686" s="121" t="str">
        <f>IFERROR(__xludf.DUMMYFUNCTION("""COMPUTED_VALUE"""),"ISE")</f>
        <v>ISE</v>
      </c>
      <c r="B686" s="121" t="str">
        <f>IFERROR(__xludf.DUMMYFUNCTION("""COMPUTED_VALUE"""),"S6")</f>
        <v>S6</v>
      </c>
      <c r="C686" s="121" t="str">
        <f>IFERROR(__xludf.DUMMYFUNCTION("""COMPUTED_VALUE"""),"ELECTIVE 3")</f>
        <v>ELECTIVE 3</v>
      </c>
      <c r="D686" s="121" t="str">
        <f>IFERROR(__xludf.DUMMYFUNCTION("""COMPUTED_VALUE"""),"22IS013")</f>
        <v>22IS013</v>
      </c>
      <c r="E686" s="131" t="str">
        <f>IFERROR(__xludf.DUMMYFUNCTION("""COMPUTED_VALUE"""),"CYBER SECURITY")</f>
        <v>CYBER SECURITY</v>
      </c>
      <c r="F686" s="121" t="str">
        <f>IFERROR(__xludf.DUMMYFUNCTION("""COMPUTED_VALUE"""),"THEORY")</f>
        <v>THEORY</v>
      </c>
      <c r="G686" s="121">
        <f>IFERROR(__xludf.DUMMYFUNCTION("""COMPUTED_VALUE"""),3.0)</f>
        <v>3</v>
      </c>
      <c r="H686" s="121">
        <f>IFERROR(__xludf.DUMMYFUNCTION("""COMPUTED_VALUE"""),0.0)</f>
        <v>0</v>
      </c>
      <c r="I686" s="121">
        <f>IFERROR(__xludf.DUMMYFUNCTION("""COMPUTED_VALUE"""),0.0)</f>
        <v>0</v>
      </c>
      <c r="J686" s="121">
        <f>IFERROR(__xludf.DUMMYFUNCTION("""COMPUTED_VALUE"""),3.0)</f>
        <v>3</v>
      </c>
      <c r="K686" s="132" t="str">
        <f>IFERROR(__xludf.DUMMYFUNCTION("""COMPUTED_VALUE"""),"CS11171")</f>
        <v>CS11171</v>
      </c>
      <c r="L686" s="121" t="str">
        <f>IFERROR(__xludf.DUMMYFUNCTION("""COMPUTED_VALUE"""),"Mr.JACKSON J")</f>
        <v>Mr.JACKSON J</v>
      </c>
      <c r="M686" s="121" t="str">
        <f>IFERROR(__xludf.DUMMYFUNCTION("""COMPUTED_VALUE"""),"jacksonj@bitsathy.ac.in")</f>
        <v>jacksonj@bitsathy.ac.in</v>
      </c>
    </row>
    <row r="687" ht="49.5" customHeight="1">
      <c r="A687" s="121" t="str">
        <f>IFERROR(__xludf.DUMMYFUNCTION("""COMPUTED_VALUE"""),"ISE")</f>
        <v>ISE</v>
      </c>
      <c r="B687" s="121" t="str">
        <f>IFERROR(__xludf.DUMMYFUNCTION("""COMPUTED_VALUE"""),"S6")</f>
        <v>S6</v>
      </c>
      <c r="C687" s="121" t="str">
        <f>IFERROR(__xludf.DUMMYFUNCTION("""COMPUTED_VALUE"""),"ELECTIVE 4")</f>
        <v>ELECTIVE 4</v>
      </c>
      <c r="D687" s="121" t="str">
        <f>IFERROR(__xludf.DUMMYFUNCTION("""COMPUTED_VALUE"""),"22IS001")</f>
        <v>22IS001</v>
      </c>
      <c r="E687" s="131" t="str">
        <f>IFERROR(__xludf.DUMMYFUNCTION("""COMPUTED_VALUE"""),"INFORMATION STORAGE AND MANAGEMENT")</f>
        <v>INFORMATION STORAGE AND MANAGEMENT</v>
      </c>
      <c r="F687" s="121" t="str">
        <f>IFERROR(__xludf.DUMMYFUNCTION("""COMPUTED_VALUE"""),"THEORY")</f>
        <v>THEORY</v>
      </c>
      <c r="G687" s="121">
        <f>IFERROR(__xludf.DUMMYFUNCTION("""COMPUTED_VALUE"""),3.0)</f>
        <v>3</v>
      </c>
      <c r="H687" s="121">
        <f>IFERROR(__xludf.DUMMYFUNCTION("""COMPUTED_VALUE"""),0.0)</f>
        <v>0</v>
      </c>
      <c r="I687" s="121">
        <f>IFERROR(__xludf.DUMMYFUNCTION("""COMPUTED_VALUE"""),0.0)</f>
        <v>0</v>
      </c>
      <c r="J687" s="121">
        <f>IFERROR(__xludf.DUMMYFUNCTION("""COMPUTED_VALUE"""),3.0)</f>
        <v>3</v>
      </c>
      <c r="K687" s="132" t="str">
        <f>IFERROR(__xludf.DUMMYFUNCTION("""COMPUTED_VALUE"""),"CS10880")</f>
        <v>CS10880</v>
      </c>
      <c r="L687" s="121" t="str">
        <f>IFERROR(__xludf.DUMMYFUNCTION("""COMPUTED_VALUE"""),"Mrs.KALAIVANI E")</f>
        <v>Mrs.KALAIVANI E</v>
      </c>
      <c r="M687" s="121" t="str">
        <f>IFERROR(__xludf.DUMMYFUNCTION("""COMPUTED_VALUE"""),"kalaivanie@bitsathy.ac.in")</f>
        <v>kalaivanie@bitsathy.ac.in</v>
      </c>
    </row>
    <row r="688" ht="49.5" customHeight="1">
      <c r="A688" s="121" t="str">
        <f>IFERROR(__xludf.DUMMYFUNCTION("""COMPUTED_VALUE"""),"ISE")</f>
        <v>ISE</v>
      </c>
      <c r="B688" s="121" t="str">
        <f>IFERROR(__xludf.DUMMYFUNCTION("""COMPUTED_VALUE"""),"S6")</f>
        <v>S6</v>
      </c>
      <c r="C688" s="121" t="str">
        <f>IFERROR(__xludf.DUMMYFUNCTION("""COMPUTED_VALUE"""),"ELECTIVE 5")</f>
        <v>ELECTIVE 5</v>
      </c>
      <c r="D688" s="121" t="str">
        <f>IFERROR(__xludf.DUMMYFUNCTION("""COMPUTED_VALUE"""),"22IS006")</f>
        <v>22IS006</v>
      </c>
      <c r="E688" s="131" t="str">
        <f>IFERROR(__xludf.DUMMYFUNCTION("""COMPUTED_VALUE"""),"BUSINESS INTELLIGENCE")</f>
        <v>BUSINESS INTELLIGENCE</v>
      </c>
      <c r="F688" s="121" t="str">
        <f>IFERROR(__xludf.DUMMYFUNCTION("""COMPUTED_VALUE"""),"THEORY")</f>
        <v>THEORY</v>
      </c>
      <c r="G688" s="121">
        <f>IFERROR(__xludf.DUMMYFUNCTION("""COMPUTED_VALUE"""),3.0)</f>
        <v>3</v>
      </c>
      <c r="H688" s="121">
        <f>IFERROR(__xludf.DUMMYFUNCTION("""COMPUTED_VALUE"""),0.0)</f>
        <v>0</v>
      </c>
      <c r="I688" s="121">
        <f>IFERROR(__xludf.DUMMYFUNCTION("""COMPUTED_VALUE"""),0.0)</f>
        <v>0</v>
      </c>
      <c r="J688" s="121">
        <f>IFERROR(__xludf.DUMMYFUNCTION("""COMPUTED_VALUE"""),3.0)</f>
        <v>3</v>
      </c>
      <c r="K688" s="132" t="str">
        <f>IFERROR(__xludf.DUMMYFUNCTION("""COMPUTED_VALUE"""),"AD10838")</f>
        <v>AD10838</v>
      </c>
      <c r="L688" s="121" t="str">
        <f>IFERROR(__xludf.DUMMYFUNCTION("""COMPUTED_VALUE"""),"Mrs.NITHYAPRIYA S")</f>
        <v>Mrs.NITHYAPRIYA S</v>
      </c>
      <c r="M688" s="133" t="str">
        <f>IFERROR(__xludf.DUMMYFUNCTION("""COMPUTED_VALUE"""),"nithyapriyas@bitsathy.ac.in")</f>
        <v>nithyapriyas@bitsathy.ac.in</v>
      </c>
    </row>
    <row r="689" ht="49.5" customHeight="1">
      <c r="A689" s="121" t="str">
        <f>IFERROR(__xludf.DUMMYFUNCTION("""COMPUTED_VALUE"""),"ISE")</f>
        <v>ISE</v>
      </c>
      <c r="B689" s="121" t="str">
        <f>IFERROR(__xludf.DUMMYFUNCTION("""COMPUTED_VALUE"""),"S6")</f>
        <v>S6</v>
      </c>
      <c r="C689" s="121" t="str">
        <f>IFERROR(__xludf.DUMMYFUNCTION("""COMPUTED_VALUE"""),"ADD COURSE")</f>
        <v>ADD COURSE</v>
      </c>
      <c r="D689" s="121" t="str">
        <f>IFERROR(__xludf.DUMMYFUNCTION("""COMPUTED_VALUE"""),"22IS041")</f>
        <v>22IS041</v>
      </c>
      <c r="E689" s="131" t="str">
        <f>IFERROR(__xludf.DUMMYFUNCTION("""COMPUTED_VALUE"""),"INTERNET MARKETING")</f>
        <v>INTERNET MARKETING</v>
      </c>
      <c r="F689" s="121" t="str">
        <f>IFERROR(__xludf.DUMMYFUNCTION("""COMPUTED_VALUE"""),"THEORY")</f>
        <v>THEORY</v>
      </c>
      <c r="G689" s="121">
        <f>IFERROR(__xludf.DUMMYFUNCTION("""COMPUTED_VALUE"""),3.0)</f>
        <v>3</v>
      </c>
      <c r="H689" s="121">
        <f>IFERROR(__xludf.DUMMYFUNCTION("""COMPUTED_VALUE"""),0.0)</f>
        <v>0</v>
      </c>
      <c r="I689" s="121">
        <f>IFERROR(__xludf.DUMMYFUNCTION("""COMPUTED_VALUE"""),0.0)</f>
        <v>0</v>
      </c>
      <c r="J689" s="121">
        <f>IFERROR(__xludf.DUMMYFUNCTION("""COMPUTED_VALUE"""),3.0)</f>
        <v>3</v>
      </c>
      <c r="K689" s="132" t="str">
        <f>IFERROR(__xludf.DUMMYFUNCTION("""COMPUTED_VALUE"""),"IS10829")</f>
        <v>IS10829</v>
      </c>
      <c r="L689" s="121" t="str">
        <f>IFERROR(__xludf.DUMMYFUNCTION("""COMPUTED_VALUE"""),"Mr.PANDIYAN M")</f>
        <v>Mr.PANDIYAN M</v>
      </c>
      <c r="M689" s="133" t="str">
        <f>IFERROR(__xludf.DUMMYFUNCTION("""COMPUTED_VALUE"""),"pandiyanm@bitsathy.ac.in")</f>
        <v>pandiyanm@bitsathy.ac.in</v>
      </c>
    </row>
    <row r="690" ht="49.5" customHeight="1">
      <c r="A690" s="121" t="str">
        <f>IFERROR(__xludf.DUMMYFUNCTION("""COMPUTED_VALUE"""),"ISE")</f>
        <v>ISE</v>
      </c>
      <c r="B690" s="121" t="str">
        <f>IFERROR(__xludf.DUMMYFUNCTION("""COMPUTED_VALUE"""),"S6")</f>
        <v>S6</v>
      </c>
      <c r="C690" s="121" t="str">
        <f>IFERROR(__xludf.DUMMYFUNCTION("""COMPUTED_VALUE"""),"HONOURS")</f>
        <v>HONOURS</v>
      </c>
      <c r="D690" s="121" t="str">
        <f>IFERROR(__xludf.DUMMYFUNCTION("""COMPUTED_VALUE"""),"22ISH27")</f>
        <v>22ISH27</v>
      </c>
      <c r="E690" s="131" t="str">
        <f>IFERROR(__xludf.DUMMYFUNCTION("""COMPUTED_VALUE"""),"DATA MINING")</f>
        <v>DATA MINING</v>
      </c>
      <c r="F690" s="121" t="str">
        <f>IFERROR(__xludf.DUMMYFUNCTION("""COMPUTED_VALUE"""),"THEORY")</f>
        <v>THEORY</v>
      </c>
      <c r="G690" s="121">
        <f>IFERROR(__xludf.DUMMYFUNCTION("""COMPUTED_VALUE"""),3.0)</f>
        <v>3</v>
      </c>
      <c r="H690" s="121">
        <f>IFERROR(__xludf.DUMMYFUNCTION("""COMPUTED_VALUE"""),0.0)</f>
        <v>0</v>
      </c>
      <c r="I690" s="121">
        <f>IFERROR(__xludf.DUMMYFUNCTION("""COMPUTED_VALUE"""),0.0)</f>
        <v>0</v>
      </c>
      <c r="J690" s="121">
        <f>IFERROR(__xludf.DUMMYFUNCTION("""COMPUTED_VALUE"""),3.0)</f>
        <v>3</v>
      </c>
      <c r="K690" s="132" t="str">
        <f>IFERROR(__xludf.DUMMYFUNCTION("""COMPUTED_VALUE"""),"IS1899")</f>
        <v>IS1899</v>
      </c>
      <c r="L690" s="121" t="str">
        <f>IFERROR(__xludf.DUMMYFUNCTION("""COMPUTED_VALUE"""),"Dr.ANANDAKUMAR K")</f>
        <v>Dr.ANANDAKUMAR K</v>
      </c>
      <c r="M690" s="133" t="str">
        <f>IFERROR(__xludf.DUMMYFUNCTION("""COMPUTED_VALUE"""),"anandakumark@bitsathy.ac.in")</f>
        <v>anandakumark@bitsathy.ac.in</v>
      </c>
    </row>
    <row r="691" ht="49.5" customHeight="1">
      <c r="A691" s="121" t="str">
        <f>IFERROR(__xludf.DUMMYFUNCTION("""COMPUTED_VALUE"""),"ISE")</f>
        <v>ISE</v>
      </c>
      <c r="B691" s="121" t="str">
        <f>IFERROR(__xludf.DUMMYFUNCTION("""COMPUTED_VALUE"""),"S6")</f>
        <v>S6</v>
      </c>
      <c r="C691" s="121" t="str">
        <f>IFERROR(__xludf.DUMMYFUNCTION("""COMPUTED_VALUE"""),"MINI PROJECT")</f>
        <v>MINI PROJECT</v>
      </c>
      <c r="D691" s="121" t="str">
        <f>IFERROR(__xludf.DUMMYFUNCTION("""COMPUTED_VALUE"""),"22IS607")</f>
        <v>22IS607</v>
      </c>
      <c r="E691" s="131" t="str">
        <f>IFERROR(__xludf.DUMMYFUNCTION("""COMPUTED_VALUE"""),"MINI PROJECT II")</f>
        <v>MINI PROJECT II</v>
      </c>
      <c r="F691" s="121" t="str">
        <f>IFERROR(__xludf.DUMMYFUNCTION("""COMPUTED_VALUE"""),"LAB")</f>
        <v>LAB</v>
      </c>
      <c r="G691" s="121">
        <f>IFERROR(__xludf.DUMMYFUNCTION("""COMPUTED_VALUE"""),0.0)</f>
        <v>0</v>
      </c>
      <c r="H691" s="121">
        <f>IFERROR(__xludf.DUMMYFUNCTION("""COMPUTED_VALUE"""),0.0)</f>
        <v>0</v>
      </c>
      <c r="I691" s="121">
        <f>IFERROR(__xludf.DUMMYFUNCTION("""COMPUTED_VALUE"""),2.0)</f>
        <v>2</v>
      </c>
      <c r="J691" s="121">
        <f>IFERROR(__xludf.DUMMYFUNCTION("""COMPUTED_VALUE"""),1.0)</f>
        <v>1</v>
      </c>
      <c r="K691" s="132"/>
      <c r="L691" s="121"/>
      <c r="M691" s="133"/>
    </row>
    <row r="692" ht="49.5" customHeight="1">
      <c r="A692" s="121" t="str">
        <f>IFERROR(__xludf.DUMMYFUNCTION("""COMPUTED_VALUE"""),"ISE")</f>
        <v>ISE</v>
      </c>
      <c r="B692" s="121" t="str">
        <f>IFERROR(__xludf.DUMMYFUNCTION("""COMPUTED_VALUE"""),"S8")</f>
        <v>S8</v>
      </c>
      <c r="C692" s="121" t="str">
        <f>IFERROR(__xludf.DUMMYFUNCTION("""COMPUTED_VALUE"""),"CORE")</f>
        <v>CORE</v>
      </c>
      <c r="D692" s="121" t="str">
        <f>IFERROR(__xludf.DUMMYFUNCTION("""COMPUTED_VALUE"""),"22IS801")</f>
        <v>22IS801</v>
      </c>
      <c r="E692" s="131" t="str">
        <f>IFERROR(__xludf.DUMMYFUNCTION("""COMPUTED_VALUE"""),"PROJECT WORK II")</f>
        <v>PROJECT WORK II</v>
      </c>
      <c r="F692" s="121" t="str">
        <f>IFERROR(__xludf.DUMMYFUNCTION("""COMPUTED_VALUE"""),"LAB")</f>
        <v>LAB</v>
      </c>
      <c r="G692" s="121">
        <f>IFERROR(__xludf.DUMMYFUNCTION("""COMPUTED_VALUE"""),0.0)</f>
        <v>0</v>
      </c>
      <c r="H692" s="121">
        <f>IFERROR(__xludf.DUMMYFUNCTION("""COMPUTED_VALUE"""),0.0)</f>
        <v>0</v>
      </c>
      <c r="I692" s="121">
        <f>IFERROR(__xludf.DUMMYFUNCTION("""COMPUTED_VALUE"""),18.0)</f>
        <v>18</v>
      </c>
      <c r="J692" s="121">
        <f>IFERROR(__xludf.DUMMYFUNCTION("""COMPUTED_VALUE"""),9.0)</f>
        <v>9</v>
      </c>
      <c r="K692" s="132"/>
      <c r="L692" s="121"/>
      <c r="M692" s="121"/>
    </row>
    <row r="693" ht="49.5" customHeight="1">
      <c r="A693" s="121" t="str">
        <f>IFERROR(__xludf.DUMMYFUNCTION("""COMPUTED_VALUE"""),"IT")</f>
        <v>IT</v>
      </c>
      <c r="B693" s="121" t="str">
        <f>IFERROR(__xludf.DUMMYFUNCTION("""COMPUTED_VALUE"""),"S2")</f>
        <v>S2</v>
      </c>
      <c r="C693" s="121" t="str">
        <f>IFERROR(__xludf.DUMMYFUNCTION("""COMPUTED_VALUE"""),"CORE")</f>
        <v>CORE</v>
      </c>
      <c r="D693" s="121" t="str">
        <f>IFERROR(__xludf.DUMMYFUNCTION("""COMPUTED_VALUE"""),"22MA201")</f>
        <v>22MA201</v>
      </c>
      <c r="E693" s="131" t="str">
        <f>IFERROR(__xludf.DUMMYFUNCTION("""COMPUTED_VALUE"""),"ENGINEERING MATHEMATICS II")</f>
        <v>ENGINEERING MATHEMATICS II</v>
      </c>
      <c r="F693" s="121" t="str">
        <f>IFERROR(__xludf.DUMMYFUNCTION("""COMPUTED_VALUE"""),"THEORY")</f>
        <v>THEORY</v>
      </c>
      <c r="G693" s="121">
        <f>IFERROR(__xludf.DUMMYFUNCTION("""COMPUTED_VALUE"""),3.0)</f>
        <v>3</v>
      </c>
      <c r="H693" s="121">
        <f>IFERROR(__xludf.DUMMYFUNCTION("""COMPUTED_VALUE"""),1.0)</f>
        <v>1</v>
      </c>
      <c r="I693" s="121">
        <f>IFERROR(__xludf.DUMMYFUNCTION("""COMPUTED_VALUE"""),0.0)</f>
        <v>0</v>
      </c>
      <c r="J693" s="121">
        <f>IFERROR(__xludf.DUMMYFUNCTION("""COMPUTED_VALUE"""),4.0)</f>
        <v>4</v>
      </c>
      <c r="K693" s="132" t="str">
        <f>IFERROR(__xludf.DUMMYFUNCTION("""COMPUTED_VALUE"""),"MA1342")</f>
        <v>MA1342</v>
      </c>
      <c r="L693" s="121" t="str">
        <f>IFERROR(__xludf.DUMMYFUNCTION("""COMPUTED_VALUE"""),"Dr.VINOTHINI V R")</f>
        <v>Dr.VINOTHINI V R</v>
      </c>
      <c r="M693" s="121" t="str">
        <f>IFERROR(__xludf.DUMMYFUNCTION("""COMPUTED_VALUE"""),"vinothinivr@bitsathy.ac.in")</f>
        <v>vinothinivr@bitsathy.ac.in</v>
      </c>
    </row>
    <row r="694" ht="49.5" customHeight="1">
      <c r="A694" s="121" t="str">
        <f>IFERROR(__xludf.DUMMYFUNCTION("""COMPUTED_VALUE"""),"IT")</f>
        <v>IT</v>
      </c>
      <c r="B694" s="121" t="str">
        <f>IFERROR(__xludf.DUMMYFUNCTION("""COMPUTED_VALUE"""),"S2")</f>
        <v>S2</v>
      </c>
      <c r="C694" s="121" t="str">
        <f>IFERROR(__xludf.DUMMYFUNCTION("""COMPUTED_VALUE"""),"CORE")</f>
        <v>CORE</v>
      </c>
      <c r="D694" s="121" t="str">
        <f>IFERROR(__xludf.DUMMYFUNCTION("""COMPUTED_VALUE"""),"22MA201")</f>
        <v>22MA201</v>
      </c>
      <c r="E694" s="131" t="str">
        <f>IFERROR(__xludf.DUMMYFUNCTION("""COMPUTED_VALUE"""),"ENGINEERING MATHEMATICS II")</f>
        <v>ENGINEERING MATHEMATICS II</v>
      </c>
      <c r="F694" s="121" t="str">
        <f>IFERROR(__xludf.DUMMYFUNCTION("""COMPUTED_VALUE"""),"THEORY")</f>
        <v>THEORY</v>
      </c>
      <c r="G694" s="121">
        <f>IFERROR(__xludf.DUMMYFUNCTION("""COMPUTED_VALUE"""),3.0)</f>
        <v>3</v>
      </c>
      <c r="H694" s="121">
        <f>IFERROR(__xludf.DUMMYFUNCTION("""COMPUTED_VALUE"""),1.0)</f>
        <v>1</v>
      </c>
      <c r="I694" s="121">
        <f>IFERROR(__xludf.DUMMYFUNCTION("""COMPUTED_VALUE"""),0.0)</f>
        <v>0</v>
      </c>
      <c r="J694" s="121">
        <f>IFERROR(__xludf.DUMMYFUNCTION("""COMPUTED_VALUE"""),4.0)</f>
        <v>4</v>
      </c>
      <c r="K694" s="132" t="str">
        <f>IFERROR(__xludf.DUMMYFUNCTION("""COMPUTED_VALUE"""),"MA1465")</f>
        <v>MA1465</v>
      </c>
      <c r="L694" s="121" t="str">
        <f>IFERROR(__xludf.DUMMYFUNCTION("""COMPUTED_VALUE"""),"Dr.PRAKASH K")</f>
        <v>Dr.PRAKASH K</v>
      </c>
      <c r="M694" s="121" t="str">
        <f>IFERROR(__xludf.DUMMYFUNCTION("""COMPUTED_VALUE"""),"prakashk@bitsathy.ac.in")</f>
        <v>prakashk@bitsathy.ac.in</v>
      </c>
    </row>
    <row r="695" ht="49.5" customHeight="1">
      <c r="A695" s="121" t="str">
        <f>IFERROR(__xludf.DUMMYFUNCTION("""COMPUTED_VALUE"""),"IT")</f>
        <v>IT</v>
      </c>
      <c r="B695" s="121" t="str">
        <f>IFERROR(__xludf.DUMMYFUNCTION("""COMPUTED_VALUE"""),"S2")</f>
        <v>S2</v>
      </c>
      <c r="C695" s="121" t="str">
        <f>IFERROR(__xludf.DUMMYFUNCTION("""COMPUTED_VALUE"""),"CORE")</f>
        <v>CORE</v>
      </c>
      <c r="D695" s="121" t="str">
        <f>IFERROR(__xludf.DUMMYFUNCTION("""COMPUTED_VALUE"""),"22MA201")</f>
        <v>22MA201</v>
      </c>
      <c r="E695" s="131" t="str">
        <f>IFERROR(__xludf.DUMMYFUNCTION("""COMPUTED_VALUE"""),"ENGINEERING MATHEMATICS II")</f>
        <v>ENGINEERING MATHEMATICS II</v>
      </c>
      <c r="F695" s="121" t="str">
        <f>IFERROR(__xludf.DUMMYFUNCTION("""COMPUTED_VALUE"""),"THEORY")</f>
        <v>THEORY</v>
      </c>
      <c r="G695" s="121">
        <f>IFERROR(__xludf.DUMMYFUNCTION("""COMPUTED_VALUE"""),3.0)</f>
        <v>3</v>
      </c>
      <c r="H695" s="121">
        <f>IFERROR(__xludf.DUMMYFUNCTION("""COMPUTED_VALUE"""),1.0)</f>
        <v>1</v>
      </c>
      <c r="I695" s="121">
        <f>IFERROR(__xludf.DUMMYFUNCTION("""COMPUTED_VALUE"""),0.0)</f>
        <v>0</v>
      </c>
      <c r="J695" s="121">
        <f>IFERROR(__xludf.DUMMYFUNCTION("""COMPUTED_VALUE"""),4.0)</f>
        <v>4</v>
      </c>
      <c r="K695" s="132" t="str">
        <f>IFERROR(__xludf.DUMMYFUNCTION("""COMPUTED_VALUE"""),"MA10119")</f>
        <v>MA10119</v>
      </c>
      <c r="L695" s="121" t="str">
        <f>IFERROR(__xludf.DUMMYFUNCTION("""COMPUTED_VALUE"""),"Dr.SARANYA D")</f>
        <v>Dr.SARANYA D</v>
      </c>
      <c r="M695" s="121" t="str">
        <f>IFERROR(__xludf.DUMMYFUNCTION("""COMPUTED_VALUE"""),"saranyad@bitsathy.ac.in")</f>
        <v>saranyad@bitsathy.ac.in</v>
      </c>
    </row>
    <row r="696" ht="49.5" customHeight="1">
      <c r="A696" s="121" t="str">
        <f>IFERROR(__xludf.DUMMYFUNCTION("""COMPUTED_VALUE"""),"IT")</f>
        <v>IT</v>
      </c>
      <c r="B696" s="121" t="str">
        <f>IFERROR(__xludf.DUMMYFUNCTION("""COMPUTED_VALUE"""),"S2")</f>
        <v>S2</v>
      </c>
      <c r="C696" s="121" t="str">
        <f>IFERROR(__xludf.DUMMYFUNCTION("""COMPUTED_VALUE"""),"CORE")</f>
        <v>CORE</v>
      </c>
      <c r="D696" s="121" t="str">
        <f>IFERROR(__xludf.DUMMYFUNCTION("""COMPUTED_VALUE"""),"22MA201")</f>
        <v>22MA201</v>
      </c>
      <c r="E696" s="131" t="str">
        <f>IFERROR(__xludf.DUMMYFUNCTION("""COMPUTED_VALUE"""),"ENGINEERING MATHEMATICS II")</f>
        <v>ENGINEERING MATHEMATICS II</v>
      </c>
      <c r="F696" s="121" t="str">
        <f>IFERROR(__xludf.DUMMYFUNCTION("""COMPUTED_VALUE"""),"THEORY")</f>
        <v>THEORY</v>
      </c>
      <c r="G696" s="121">
        <f>IFERROR(__xludf.DUMMYFUNCTION("""COMPUTED_VALUE"""),3.0)</f>
        <v>3</v>
      </c>
      <c r="H696" s="121">
        <f>IFERROR(__xludf.DUMMYFUNCTION("""COMPUTED_VALUE"""),1.0)</f>
        <v>1</v>
      </c>
      <c r="I696" s="121">
        <f>IFERROR(__xludf.DUMMYFUNCTION("""COMPUTED_VALUE"""),0.0)</f>
        <v>0</v>
      </c>
      <c r="J696" s="121">
        <f>IFERROR(__xludf.DUMMYFUNCTION("""COMPUTED_VALUE"""),4.0)</f>
        <v>4</v>
      </c>
      <c r="K696" s="132" t="str">
        <f>IFERROR(__xludf.DUMMYFUNCTION("""COMPUTED_VALUE"""),"MA10986")</f>
        <v>MA10986</v>
      </c>
      <c r="L696" s="121" t="str">
        <f>IFERROR(__xludf.DUMMYFUNCTION("""COMPUTED_VALUE"""),"Dr.GOMATHI M")</f>
        <v>Dr.GOMATHI M</v>
      </c>
      <c r="M696" s="133" t="str">
        <f>IFERROR(__xludf.DUMMYFUNCTION("""COMPUTED_VALUE"""),"gomathim@bitsathy.ac.in")</f>
        <v>gomathim@bitsathy.ac.in</v>
      </c>
    </row>
    <row r="697" ht="49.5" customHeight="1">
      <c r="A697" s="121" t="str">
        <f>IFERROR(__xludf.DUMMYFUNCTION("""COMPUTED_VALUE"""),"IT")</f>
        <v>IT</v>
      </c>
      <c r="B697" s="121" t="str">
        <f>IFERROR(__xludf.DUMMYFUNCTION("""COMPUTED_VALUE"""),"S2")</f>
        <v>S2</v>
      </c>
      <c r="C697" s="121" t="str">
        <f>IFERROR(__xludf.DUMMYFUNCTION("""COMPUTED_VALUE"""),"CORE")</f>
        <v>CORE</v>
      </c>
      <c r="D697" s="121" t="str">
        <f>IFERROR(__xludf.DUMMYFUNCTION("""COMPUTED_VALUE"""),"22MA201")</f>
        <v>22MA201</v>
      </c>
      <c r="E697" s="131" t="str">
        <f>IFERROR(__xludf.DUMMYFUNCTION("""COMPUTED_VALUE"""),"ENGINEERING MATHEMATICS II")</f>
        <v>ENGINEERING MATHEMATICS II</v>
      </c>
      <c r="F697" s="121" t="str">
        <f>IFERROR(__xludf.DUMMYFUNCTION("""COMPUTED_VALUE"""),"THEORY")</f>
        <v>THEORY</v>
      </c>
      <c r="G697" s="121">
        <f>IFERROR(__xludf.DUMMYFUNCTION("""COMPUTED_VALUE"""),3.0)</f>
        <v>3</v>
      </c>
      <c r="H697" s="121">
        <f>IFERROR(__xludf.DUMMYFUNCTION("""COMPUTED_VALUE"""),1.0)</f>
        <v>1</v>
      </c>
      <c r="I697" s="121">
        <f>IFERROR(__xludf.DUMMYFUNCTION("""COMPUTED_VALUE"""),0.0)</f>
        <v>0</v>
      </c>
      <c r="J697" s="121">
        <f>IFERROR(__xludf.DUMMYFUNCTION("""COMPUTED_VALUE"""),4.0)</f>
        <v>4</v>
      </c>
      <c r="K697" s="132" t="str">
        <f>IFERROR(__xludf.DUMMYFUNCTION("""COMPUTED_VALUE"""),"MA11122")</f>
        <v>MA11122</v>
      </c>
      <c r="L697" s="121" t="str">
        <f>IFERROR(__xludf.DUMMYFUNCTION("""COMPUTED_VALUE"""),"Dr.AKALYADEVI K")</f>
        <v>Dr.AKALYADEVI K</v>
      </c>
      <c r="M697" s="133" t="str">
        <f>IFERROR(__xludf.DUMMYFUNCTION("""COMPUTED_VALUE"""),"akalyadevi@bitsathy.ac.in")</f>
        <v>akalyadevi@bitsathy.ac.in</v>
      </c>
    </row>
    <row r="698" ht="49.5" customHeight="1">
      <c r="A698" s="121" t="str">
        <f>IFERROR(__xludf.DUMMYFUNCTION("""COMPUTED_VALUE"""),"IT")</f>
        <v>IT</v>
      </c>
      <c r="B698" s="121" t="str">
        <f>IFERROR(__xludf.DUMMYFUNCTION("""COMPUTED_VALUE"""),"S2")</f>
        <v>S2</v>
      </c>
      <c r="C698" s="121" t="str">
        <f>IFERROR(__xludf.DUMMYFUNCTION("""COMPUTED_VALUE"""),"CORE")</f>
        <v>CORE</v>
      </c>
      <c r="D698" s="121" t="str">
        <f>IFERROR(__xludf.DUMMYFUNCTION("""COMPUTED_VALUE"""),"22PH202")</f>
        <v>22PH202</v>
      </c>
      <c r="E698" s="131" t="str">
        <f>IFERROR(__xludf.DUMMYFUNCTION("""COMPUTED_VALUE"""),"ELECTROMAGNETISM AND MODERN PHYSICS")</f>
        <v>ELECTROMAGNETISM AND MODERN PHYSICS</v>
      </c>
      <c r="F698" s="121" t="str">
        <f>IFERROR(__xludf.DUMMYFUNCTION("""COMPUTED_VALUE"""),"THEORY WITH LAB")</f>
        <v>THEORY WITH LAB</v>
      </c>
      <c r="G698" s="121">
        <f>IFERROR(__xludf.DUMMYFUNCTION("""COMPUTED_VALUE"""),2.0)</f>
        <v>2</v>
      </c>
      <c r="H698" s="121">
        <f>IFERROR(__xludf.DUMMYFUNCTION("""COMPUTED_VALUE"""),0.0)</f>
        <v>0</v>
      </c>
      <c r="I698" s="121">
        <f>IFERROR(__xludf.DUMMYFUNCTION("""COMPUTED_VALUE"""),2.0)</f>
        <v>2</v>
      </c>
      <c r="J698" s="121">
        <f>IFERROR(__xludf.DUMMYFUNCTION("""COMPUTED_VALUE"""),3.0)</f>
        <v>3</v>
      </c>
      <c r="K698" s="132" t="str">
        <f>IFERROR(__xludf.DUMMYFUNCTION("""COMPUTED_VALUE"""),"PH1407")</f>
        <v>PH1407</v>
      </c>
      <c r="L698" s="121" t="str">
        <f>IFERROR(__xludf.DUMMYFUNCTION("""COMPUTED_VALUE"""),"Dr.VIJAYAKUMAR V N")</f>
        <v>Dr.VIJAYAKUMAR V N</v>
      </c>
      <c r="M698" s="133" t="str">
        <f>IFERROR(__xludf.DUMMYFUNCTION("""COMPUTED_VALUE"""),"vijayakumarvn@bitsathy.ac.in")</f>
        <v>vijayakumarvn@bitsathy.ac.in</v>
      </c>
    </row>
    <row r="699" ht="49.5" customHeight="1">
      <c r="A699" s="121" t="str">
        <f>IFERROR(__xludf.DUMMYFUNCTION("""COMPUTED_VALUE"""),"IT")</f>
        <v>IT</v>
      </c>
      <c r="B699" s="121" t="str">
        <f>IFERROR(__xludf.DUMMYFUNCTION("""COMPUTED_VALUE"""),"S2")</f>
        <v>S2</v>
      </c>
      <c r="C699" s="121" t="str">
        <f>IFERROR(__xludf.DUMMYFUNCTION("""COMPUTED_VALUE"""),"CORE")</f>
        <v>CORE</v>
      </c>
      <c r="D699" s="121" t="str">
        <f>IFERROR(__xludf.DUMMYFUNCTION("""COMPUTED_VALUE"""),"22PH202")</f>
        <v>22PH202</v>
      </c>
      <c r="E699" s="131" t="str">
        <f>IFERROR(__xludf.DUMMYFUNCTION("""COMPUTED_VALUE"""),"ELECTROMAGNETISM AND MODERN PHYSICS")</f>
        <v>ELECTROMAGNETISM AND MODERN PHYSICS</v>
      </c>
      <c r="F699" s="121" t="str">
        <f>IFERROR(__xludf.DUMMYFUNCTION("""COMPUTED_VALUE"""),"THEORY WITH LAB")</f>
        <v>THEORY WITH LAB</v>
      </c>
      <c r="G699" s="121">
        <f>IFERROR(__xludf.DUMMYFUNCTION("""COMPUTED_VALUE"""),2.0)</f>
        <v>2</v>
      </c>
      <c r="H699" s="121">
        <f>IFERROR(__xludf.DUMMYFUNCTION("""COMPUTED_VALUE"""),0.0)</f>
        <v>0</v>
      </c>
      <c r="I699" s="121">
        <f>IFERROR(__xludf.DUMMYFUNCTION("""COMPUTED_VALUE"""),2.0)</f>
        <v>2</v>
      </c>
      <c r="J699" s="121">
        <f>IFERROR(__xludf.DUMMYFUNCTION("""COMPUTED_VALUE"""),3.0)</f>
        <v>3</v>
      </c>
      <c r="K699" s="132" t="str">
        <f>IFERROR(__xludf.DUMMYFUNCTION("""COMPUTED_VALUE"""),"PH10870")</f>
        <v>PH10870</v>
      </c>
      <c r="L699" s="121" t="str">
        <f>IFERROR(__xludf.DUMMYFUNCTION("""COMPUTED_VALUE"""),"Dr.VANITHA K")</f>
        <v>Dr.VANITHA K</v>
      </c>
      <c r="M699" s="133" t="str">
        <f>IFERROR(__xludf.DUMMYFUNCTION("""COMPUTED_VALUE"""),"vanithak@bitsathy.ac.in")</f>
        <v>vanithak@bitsathy.ac.in</v>
      </c>
    </row>
    <row r="700" ht="49.5" customHeight="1">
      <c r="A700" s="121" t="str">
        <f>IFERROR(__xludf.DUMMYFUNCTION("""COMPUTED_VALUE"""),"IT")</f>
        <v>IT</v>
      </c>
      <c r="B700" s="121" t="str">
        <f>IFERROR(__xludf.DUMMYFUNCTION("""COMPUTED_VALUE"""),"S2")</f>
        <v>S2</v>
      </c>
      <c r="C700" s="121" t="str">
        <f>IFERROR(__xludf.DUMMYFUNCTION("""COMPUTED_VALUE"""),"CORE")</f>
        <v>CORE</v>
      </c>
      <c r="D700" s="121" t="str">
        <f>IFERROR(__xludf.DUMMYFUNCTION("""COMPUTED_VALUE"""),"22PH202")</f>
        <v>22PH202</v>
      </c>
      <c r="E700" s="131" t="str">
        <f>IFERROR(__xludf.DUMMYFUNCTION("""COMPUTED_VALUE"""),"ELECTROMAGNETISM AND MODERN PHYSICS")</f>
        <v>ELECTROMAGNETISM AND MODERN PHYSICS</v>
      </c>
      <c r="F700" s="121" t="str">
        <f>IFERROR(__xludf.DUMMYFUNCTION("""COMPUTED_VALUE"""),"THEORY WITH LAB")</f>
        <v>THEORY WITH LAB</v>
      </c>
      <c r="G700" s="121">
        <f>IFERROR(__xludf.DUMMYFUNCTION("""COMPUTED_VALUE"""),2.0)</f>
        <v>2</v>
      </c>
      <c r="H700" s="121">
        <f>IFERROR(__xludf.DUMMYFUNCTION("""COMPUTED_VALUE"""),0.0)</f>
        <v>0</v>
      </c>
      <c r="I700" s="121">
        <f>IFERROR(__xludf.DUMMYFUNCTION("""COMPUTED_VALUE"""),2.0)</f>
        <v>2</v>
      </c>
      <c r="J700" s="121">
        <f>IFERROR(__xludf.DUMMYFUNCTION("""COMPUTED_VALUE"""),3.0)</f>
        <v>3</v>
      </c>
      <c r="K700" s="132" t="str">
        <f>IFERROR(__xludf.DUMMYFUNCTION("""COMPUTED_VALUE"""),"PH10981")</f>
        <v>PH10981</v>
      </c>
      <c r="L700" s="121" t="str">
        <f>IFERROR(__xludf.DUMMYFUNCTION("""COMPUTED_VALUE"""),"Dr.SUNDARAM S")</f>
        <v>Dr.SUNDARAM S</v>
      </c>
      <c r="M700" s="121" t="str">
        <f>IFERROR(__xludf.DUMMYFUNCTION("""COMPUTED_VALUE"""),"sundarams@bitsathy.ac.in")</f>
        <v>sundarams@bitsathy.ac.in</v>
      </c>
    </row>
    <row r="701" ht="49.5" customHeight="1">
      <c r="A701" s="121" t="str">
        <f>IFERROR(__xludf.DUMMYFUNCTION("""COMPUTED_VALUE"""),"IT")</f>
        <v>IT</v>
      </c>
      <c r="B701" s="121" t="str">
        <f>IFERROR(__xludf.DUMMYFUNCTION("""COMPUTED_VALUE"""),"S2")</f>
        <v>S2</v>
      </c>
      <c r="C701" s="121" t="str">
        <f>IFERROR(__xludf.DUMMYFUNCTION("""COMPUTED_VALUE"""),"CORE")</f>
        <v>CORE</v>
      </c>
      <c r="D701" s="121" t="str">
        <f>IFERROR(__xludf.DUMMYFUNCTION("""COMPUTED_VALUE"""),"22PH202")</f>
        <v>22PH202</v>
      </c>
      <c r="E701" s="131" t="str">
        <f>IFERROR(__xludf.DUMMYFUNCTION("""COMPUTED_VALUE"""),"ELECTROMAGNETISM AND MODERN PHYSICS")</f>
        <v>ELECTROMAGNETISM AND MODERN PHYSICS</v>
      </c>
      <c r="F701" s="121" t="str">
        <f>IFERROR(__xludf.DUMMYFUNCTION("""COMPUTED_VALUE"""),"THEORY WITH LAB")</f>
        <v>THEORY WITH LAB</v>
      </c>
      <c r="G701" s="121">
        <f>IFERROR(__xludf.DUMMYFUNCTION("""COMPUTED_VALUE"""),2.0)</f>
        <v>2</v>
      </c>
      <c r="H701" s="121">
        <f>IFERROR(__xludf.DUMMYFUNCTION("""COMPUTED_VALUE"""),0.0)</f>
        <v>0</v>
      </c>
      <c r="I701" s="121">
        <f>IFERROR(__xludf.DUMMYFUNCTION("""COMPUTED_VALUE"""),2.0)</f>
        <v>2</v>
      </c>
      <c r="J701" s="121">
        <f>IFERROR(__xludf.DUMMYFUNCTION("""COMPUTED_VALUE"""),3.0)</f>
        <v>3</v>
      </c>
      <c r="K701" s="132" t="str">
        <f>IFERROR(__xludf.DUMMYFUNCTION("""COMPUTED_VALUE"""),"PH11034")</f>
        <v>PH11034</v>
      </c>
      <c r="L701" s="121" t="str">
        <f>IFERROR(__xludf.DUMMYFUNCTION("""COMPUTED_VALUE"""),"Dr.SIVA G")</f>
        <v>Dr.SIVA G</v>
      </c>
      <c r="M701" s="121" t="str">
        <f>IFERROR(__xludf.DUMMYFUNCTION("""COMPUTED_VALUE"""),"sivag@bitsathy.ac.in")</f>
        <v>sivag@bitsathy.ac.in</v>
      </c>
    </row>
    <row r="702" ht="49.5" customHeight="1">
      <c r="A702" s="121" t="str">
        <f>IFERROR(__xludf.DUMMYFUNCTION("""COMPUTED_VALUE"""),"IT")</f>
        <v>IT</v>
      </c>
      <c r="B702" s="121" t="str">
        <f>IFERROR(__xludf.DUMMYFUNCTION("""COMPUTED_VALUE"""),"S2")</f>
        <v>S2</v>
      </c>
      <c r="C702" s="121" t="str">
        <f>IFERROR(__xludf.DUMMYFUNCTION("""COMPUTED_VALUE"""),"CORE")</f>
        <v>CORE</v>
      </c>
      <c r="D702" s="121" t="str">
        <f>IFERROR(__xludf.DUMMYFUNCTION("""COMPUTED_VALUE"""),"22PH202")</f>
        <v>22PH202</v>
      </c>
      <c r="E702" s="131" t="str">
        <f>IFERROR(__xludf.DUMMYFUNCTION("""COMPUTED_VALUE"""),"ELECTROMAGNETISM AND MODERN PHYSICS")</f>
        <v>ELECTROMAGNETISM AND MODERN PHYSICS</v>
      </c>
      <c r="F702" s="121" t="str">
        <f>IFERROR(__xludf.DUMMYFUNCTION("""COMPUTED_VALUE"""),"THEORY WITH LAB")</f>
        <v>THEORY WITH LAB</v>
      </c>
      <c r="G702" s="121">
        <f>IFERROR(__xludf.DUMMYFUNCTION("""COMPUTED_VALUE"""),2.0)</f>
        <v>2</v>
      </c>
      <c r="H702" s="121">
        <f>IFERROR(__xludf.DUMMYFUNCTION("""COMPUTED_VALUE"""),0.0)</f>
        <v>0</v>
      </c>
      <c r="I702" s="121">
        <f>IFERROR(__xludf.DUMMYFUNCTION("""COMPUTED_VALUE"""),2.0)</f>
        <v>2</v>
      </c>
      <c r="J702" s="121">
        <f>IFERROR(__xludf.DUMMYFUNCTION("""COMPUTED_VALUE"""),3.0)</f>
        <v>3</v>
      </c>
      <c r="K702" s="132" t="str">
        <f>IFERROR(__xludf.DUMMYFUNCTION("""COMPUTED_VALUE"""),"PH1889")</f>
        <v>PH1889</v>
      </c>
      <c r="L702" s="121" t="str">
        <f>IFERROR(__xludf.DUMMYFUNCTION("""COMPUTED_VALUE"""),"Dr.ROHINI P")</f>
        <v>Dr.ROHINI P</v>
      </c>
      <c r="M702" s="121" t="str">
        <f>IFERROR(__xludf.DUMMYFUNCTION("""COMPUTED_VALUE"""),"rohinip@bitsathy.ac.in")</f>
        <v>rohinip@bitsathy.ac.in</v>
      </c>
    </row>
    <row r="703" ht="49.5" customHeight="1">
      <c r="A703" s="121" t="str">
        <f>IFERROR(__xludf.DUMMYFUNCTION("""COMPUTED_VALUE"""),"IT")</f>
        <v>IT</v>
      </c>
      <c r="B703" s="121" t="str">
        <f>IFERROR(__xludf.DUMMYFUNCTION("""COMPUTED_VALUE"""),"S2")</f>
        <v>S2</v>
      </c>
      <c r="C703" s="121" t="str">
        <f>IFERROR(__xludf.DUMMYFUNCTION("""COMPUTED_VALUE"""),"CORE")</f>
        <v>CORE</v>
      </c>
      <c r="D703" s="121" t="str">
        <f>IFERROR(__xludf.DUMMYFUNCTION("""COMPUTED_VALUE"""),"22CH203")</f>
        <v>22CH203</v>
      </c>
      <c r="E703" s="131" t="str">
        <f>IFERROR(__xludf.DUMMYFUNCTION("""COMPUTED_VALUE"""),"ENGINEERING CHEMISTRY II")</f>
        <v>ENGINEERING CHEMISTRY II</v>
      </c>
      <c r="F703" s="121" t="str">
        <f>IFERROR(__xludf.DUMMYFUNCTION("""COMPUTED_VALUE"""),"THEORY WITH LAB")</f>
        <v>THEORY WITH LAB</v>
      </c>
      <c r="G703" s="121">
        <f>IFERROR(__xludf.DUMMYFUNCTION("""COMPUTED_VALUE"""),2.0)</f>
        <v>2</v>
      </c>
      <c r="H703" s="121">
        <f>IFERROR(__xludf.DUMMYFUNCTION("""COMPUTED_VALUE"""),0.0)</f>
        <v>0</v>
      </c>
      <c r="I703" s="121">
        <f>IFERROR(__xludf.DUMMYFUNCTION("""COMPUTED_VALUE"""),2.0)</f>
        <v>2</v>
      </c>
      <c r="J703" s="121">
        <f>IFERROR(__xludf.DUMMYFUNCTION("""COMPUTED_VALUE"""),3.0)</f>
        <v>3</v>
      </c>
      <c r="K703" s="132" t="str">
        <f>IFERROR(__xludf.DUMMYFUNCTION("""COMPUTED_VALUE"""),"CH1578")</f>
        <v>CH1578</v>
      </c>
      <c r="L703" s="121" t="str">
        <f>IFERROR(__xludf.DUMMYFUNCTION("""COMPUTED_VALUE"""),"Dr.KAVITHA C")</f>
        <v>Dr.KAVITHA C</v>
      </c>
      <c r="M703" s="121" t="str">
        <f>IFERROR(__xludf.DUMMYFUNCTION("""COMPUTED_VALUE"""),"kavithac@bitsathy.ac.in")</f>
        <v>kavithac@bitsathy.ac.in</v>
      </c>
    </row>
    <row r="704" ht="49.5" customHeight="1">
      <c r="A704" s="121" t="str">
        <f>IFERROR(__xludf.DUMMYFUNCTION("""COMPUTED_VALUE"""),"IT")</f>
        <v>IT</v>
      </c>
      <c r="B704" s="121" t="str">
        <f>IFERROR(__xludf.DUMMYFUNCTION("""COMPUTED_VALUE"""),"S2")</f>
        <v>S2</v>
      </c>
      <c r="C704" s="121" t="str">
        <f>IFERROR(__xludf.DUMMYFUNCTION("""COMPUTED_VALUE"""),"CORE")</f>
        <v>CORE</v>
      </c>
      <c r="D704" s="121" t="str">
        <f>IFERROR(__xludf.DUMMYFUNCTION("""COMPUTED_VALUE"""),"22CH203")</f>
        <v>22CH203</v>
      </c>
      <c r="E704" s="131" t="str">
        <f>IFERROR(__xludf.DUMMYFUNCTION("""COMPUTED_VALUE"""),"ENGINEERING CHEMISTRY II")</f>
        <v>ENGINEERING CHEMISTRY II</v>
      </c>
      <c r="F704" s="121" t="str">
        <f>IFERROR(__xludf.DUMMYFUNCTION("""COMPUTED_VALUE"""),"THEORY WITH LAB")</f>
        <v>THEORY WITH LAB</v>
      </c>
      <c r="G704" s="121">
        <f>IFERROR(__xludf.DUMMYFUNCTION("""COMPUTED_VALUE"""),2.0)</f>
        <v>2</v>
      </c>
      <c r="H704" s="121">
        <f>IFERROR(__xludf.DUMMYFUNCTION("""COMPUTED_VALUE"""),0.0)</f>
        <v>0</v>
      </c>
      <c r="I704" s="121">
        <f>IFERROR(__xludf.DUMMYFUNCTION("""COMPUTED_VALUE"""),2.0)</f>
        <v>2</v>
      </c>
      <c r="J704" s="121">
        <f>IFERROR(__xludf.DUMMYFUNCTION("""COMPUTED_VALUE"""),3.0)</f>
        <v>3</v>
      </c>
      <c r="K704" s="132" t="str">
        <f>IFERROR(__xludf.DUMMYFUNCTION("""COMPUTED_VALUE"""),"CH10372")</f>
        <v>CH10372</v>
      </c>
      <c r="L704" s="121" t="str">
        <f>IFERROR(__xludf.DUMMYFUNCTION("""COMPUTED_VALUE"""),"Dr.RAMESHKUMAR A")</f>
        <v>Dr.RAMESHKUMAR A</v>
      </c>
      <c r="M704" s="121" t="str">
        <f>IFERROR(__xludf.DUMMYFUNCTION("""COMPUTED_VALUE"""),"rameshkumar@bitsathy.ac.in")</f>
        <v>rameshkumar@bitsathy.ac.in</v>
      </c>
    </row>
    <row r="705" ht="49.5" customHeight="1">
      <c r="A705" s="121" t="str">
        <f>IFERROR(__xludf.DUMMYFUNCTION("""COMPUTED_VALUE"""),"IT")</f>
        <v>IT</v>
      </c>
      <c r="B705" s="121" t="str">
        <f>IFERROR(__xludf.DUMMYFUNCTION("""COMPUTED_VALUE"""),"S2")</f>
        <v>S2</v>
      </c>
      <c r="C705" s="121" t="str">
        <f>IFERROR(__xludf.DUMMYFUNCTION("""COMPUTED_VALUE"""),"CORE")</f>
        <v>CORE</v>
      </c>
      <c r="D705" s="121" t="str">
        <f>IFERROR(__xludf.DUMMYFUNCTION("""COMPUTED_VALUE"""),"22CH203")</f>
        <v>22CH203</v>
      </c>
      <c r="E705" s="131" t="str">
        <f>IFERROR(__xludf.DUMMYFUNCTION("""COMPUTED_VALUE"""),"ENGINEERING CHEMISTRY II")</f>
        <v>ENGINEERING CHEMISTRY II</v>
      </c>
      <c r="F705" s="121" t="str">
        <f>IFERROR(__xludf.DUMMYFUNCTION("""COMPUTED_VALUE"""),"THEORY WITH LAB")</f>
        <v>THEORY WITH LAB</v>
      </c>
      <c r="G705" s="121">
        <f>IFERROR(__xludf.DUMMYFUNCTION("""COMPUTED_VALUE"""),2.0)</f>
        <v>2</v>
      </c>
      <c r="H705" s="121">
        <f>IFERROR(__xludf.DUMMYFUNCTION("""COMPUTED_VALUE"""),0.0)</f>
        <v>0</v>
      </c>
      <c r="I705" s="121">
        <f>IFERROR(__xludf.DUMMYFUNCTION("""COMPUTED_VALUE"""),2.0)</f>
        <v>2</v>
      </c>
      <c r="J705" s="121">
        <f>IFERROR(__xludf.DUMMYFUNCTION("""COMPUTED_VALUE"""),3.0)</f>
        <v>3</v>
      </c>
      <c r="K705" s="132" t="str">
        <f>IFERROR(__xludf.DUMMYFUNCTION("""COMPUTED_VALUE"""),"CH11127")</f>
        <v>CH11127</v>
      </c>
      <c r="L705" s="121" t="str">
        <f>IFERROR(__xludf.DUMMYFUNCTION("""COMPUTED_VALUE"""),"Dr.MANIGANDAN S")</f>
        <v>Dr.MANIGANDAN S</v>
      </c>
      <c r="M705" s="121" t="str">
        <f>IFERROR(__xludf.DUMMYFUNCTION("""COMPUTED_VALUE"""),"manigandan@bitsathy.ac.in")</f>
        <v>manigandan@bitsathy.ac.in</v>
      </c>
    </row>
    <row r="706" ht="49.5" customHeight="1">
      <c r="A706" s="121" t="str">
        <f>IFERROR(__xludf.DUMMYFUNCTION("""COMPUTED_VALUE"""),"IT")</f>
        <v>IT</v>
      </c>
      <c r="B706" s="121" t="str">
        <f>IFERROR(__xludf.DUMMYFUNCTION("""COMPUTED_VALUE"""),"S2")</f>
        <v>S2</v>
      </c>
      <c r="C706" s="121" t="str">
        <f>IFERROR(__xludf.DUMMYFUNCTION("""COMPUTED_VALUE"""),"CORE")</f>
        <v>CORE</v>
      </c>
      <c r="D706" s="121" t="str">
        <f>IFERROR(__xludf.DUMMYFUNCTION("""COMPUTED_VALUE"""),"22CH203")</f>
        <v>22CH203</v>
      </c>
      <c r="E706" s="131" t="str">
        <f>IFERROR(__xludf.DUMMYFUNCTION("""COMPUTED_VALUE"""),"ENGINEERING CHEMISTRY II")</f>
        <v>ENGINEERING CHEMISTRY II</v>
      </c>
      <c r="F706" s="121" t="str">
        <f>IFERROR(__xludf.DUMMYFUNCTION("""COMPUTED_VALUE"""),"THEORY WITH LAB")</f>
        <v>THEORY WITH LAB</v>
      </c>
      <c r="G706" s="121">
        <f>IFERROR(__xludf.DUMMYFUNCTION("""COMPUTED_VALUE"""),2.0)</f>
        <v>2</v>
      </c>
      <c r="H706" s="121">
        <f>IFERROR(__xludf.DUMMYFUNCTION("""COMPUTED_VALUE"""),0.0)</f>
        <v>0</v>
      </c>
      <c r="I706" s="121">
        <f>IFERROR(__xludf.DUMMYFUNCTION("""COMPUTED_VALUE"""),2.0)</f>
        <v>2</v>
      </c>
      <c r="J706" s="121">
        <f>IFERROR(__xludf.DUMMYFUNCTION("""COMPUTED_VALUE"""),3.0)</f>
        <v>3</v>
      </c>
      <c r="K706" s="132" t="str">
        <f>IFERROR(__xludf.DUMMYFUNCTION("""COMPUTED_VALUE"""),"CH11156")</f>
        <v>CH11156</v>
      </c>
      <c r="L706" s="121" t="str">
        <f>IFERROR(__xludf.DUMMYFUNCTION("""COMPUTED_VALUE"""),"Dr.KASTHURI S")</f>
        <v>Dr.KASTHURI S</v>
      </c>
      <c r="M706" s="133" t="str">
        <f>IFERROR(__xludf.DUMMYFUNCTION("""COMPUTED_VALUE"""),"kasthuris@bitsathy.ac.in")</f>
        <v>kasthuris@bitsathy.ac.in</v>
      </c>
    </row>
    <row r="707" ht="49.5" customHeight="1">
      <c r="A707" s="121" t="str">
        <f>IFERROR(__xludf.DUMMYFUNCTION("""COMPUTED_VALUE"""),"IT")</f>
        <v>IT</v>
      </c>
      <c r="B707" s="121" t="str">
        <f>IFERROR(__xludf.DUMMYFUNCTION("""COMPUTED_VALUE"""),"S2")</f>
        <v>S2</v>
      </c>
      <c r="C707" s="121" t="str">
        <f>IFERROR(__xludf.DUMMYFUNCTION("""COMPUTED_VALUE"""),"CORE")</f>
        <v>CORE</v>
      </c>
      <c r="D707" s="121" t="str">
        <f>IFERROR(__xludf.DUMMYFUNCTION("""COMPUTED_VALUE"""),"22CH203")</f>
        <v>22CH203</v>
      </c>
      <c r="E707" s="131" t="str">
        <f>IFERROR(__xludf.DUMMYFUNCTION("""COMPUTED_VALUE"""),"ENGINEERING CHEMISTRY II")</f>
        <v>ENGINEERING CHEMISTRY II</v>
      </c>
      <c r="F707" s="121" t="str">
        <f>IFERROR(__xludf.DUMMYFUNCTION("""COMPUTED_VALUE"""),"THEORY WITH LAB")</f>
        <v>THEORY WITH LAB</v>
      </c>
      <c r="G707" s="121">
        <f>IFERROR(__xludf.DUMMYFUNCTION("""COMPUTED_VALUE"""),2.0)</f>
        <v>2</v>
      </c>
      <c r="H707" s="121">
        <f>IFERROR(__xludf.DUMMYFUNCTION("""COMPUTED_VALUE"""),0.0)</f>
        <v>0</v>
      </c>
      <c r="I707" s="121">
        <f>IFERROR(__xludf.DUMMYFUNCTION("""COMPUTED_VALUE"""),2.0)</f>
        <v>2</v>
      </c>
      <c r="J707" s="121">
        <f>IFERROR(__xludf.DUMMYFUNCTION("""COMPUTED_VALUE"""),3.0)</f>
        <v>3</v>
      </c>
      <c r="K707" s="132" t="str">
        <f>IFERROR(__xludf.DUMMYFUNCTION("""COMPUTED_VALUE"""),"CH11057")</f>
        <v>CH11057</v>
      </c>
      <c r="L707" s="121" t="str">
        <f>IFERROR(__xludf.DUMMYFUNCTION("""COMPUTED_VALUE"""),"Dr.KARUPPUSAMY S")</f>
        <v>Dr.KARUPPUSAMY S</v>
      </c>
      <c r="M707" s="121" t="str">
        <f>IFERROR(__xludf.DUMMYFUNCTION("""COMPUTED_VALUE"""),"karuppusamys@bitsathy.ac.in")</f>
        <v>karuppusamys@bitsathy.ac.in</v>
      </c>
    </row>
    <row r="708" ht="49.5" customHeight="1">
      <c r="A708" s="121" t="str">
        <f>IFERROR(__xludf.DUMMYFUNCTION("""COMPUTED_VALUE"""),"IT")</f>
        <v>IT</v>
      </c>
      <c r="B708" s="121" t="str">
        <f>IFERROR(__xludf.DUMMYFUNCTION("""COMPUTED_VALUE"""),"S2")</f>
        <v>S2</v>
      </c>
      <c r="C708" s="121" t="str">
        <f>IFERROR(__xludf.DUMMYFUNCTION("""COMPUTED_VALUE"""),"CORE")</f>
        <v>CORE</v>
      </c>
      <c r="D708" s="121" t="str">
        <f>IFERROR(__xludf.DUMMYFUNCTION("""COMPUTED_VALUE"""),"22GE002")</f>
        <v>22GE002</v>
      </c>
      <c r="E708" s="131" t="str">
        <f>IFERROR(__xludf.DUMMYFUNCTION("""COMPUTED_VALUE"""),"COMPUTATIONAL PROBLEM SOLVING")</f>
        <v>COMPUTATIONAL PROBLEM SOLVING</v>
      </c>
      <c r="F708" s="121" t="str">
        <f>IFERROR(__xludf.DUMMYFUNCTION("""COMPUTED_VALUE"""),"THEORY")</f>
        <v>THEORY</v>
      </c>
      <c r="G708" s="121">
        <f>IFERROR(__xludf.DUMMYFUNCTION("""COMPUTED_VALUE"""),3.0)</f>
        <v>3</v>
      </c>
      <c r="H708" s="121">
        <f>IFERROR(__xludf.DUMMYFUNCTION("""COMPUTED_VALUE"""),0.0)</f>
        <v>0</v>
      </c>
      <c r="I708" s="121">
        <f>IFERROR(__xludf.DUMMYFUNCTION("""COMPUTED_VALUE"""),0.0)</f>
        <v>0</v>
      </c>
      <c r="J708" s="121">
        <f>IFERROR(__xludf.DUMMYFUNCTION("""COMPUTED_VALUE"""),3.0)</f>
        <v>3</v>
      </c>
      <c r="K708" s="132" t="str">
        <f>IFERROR(__xludf.DUMMYFUNCTION("""COMPUTED_VALUE"""),"IT10803")</f>
        <v>IT10803</v>
      </c>
      <c r="L708" s="121" t="str">
        <f>IFERROR(__xludf.DUMMYFUNCTION("""COMPUTED_VALUE"""),"Mrs.PRIYA L")</f>
        <v>Mrs.PRIYA L</v>
      </c>
      <c r="M708" s="121" t="str">
        <f>IFERROR(__xludf.DUMMYFUNCTION("""COMPUTED_VALUE"""),"priyal@bitsathy.ac.in")</f>
        <v>priyal@bitsathy.ac.in</v>
      </c>
    </row>
    <row r="709" ht="49.5" customHeight="1">
      <c r="A709" s="121" t="str">
        <f>IFERROR(__xludf.DUMMYFUNCTION("""COMPUTED_VALUE"""),"IT")</f>
        <v>IT</v>
      </c>
      <c r="B709" s="121" t="str">
        <f>IFERROR(__xludf.DUMMYFUNCTION("""COMPUTED_VALUE"""),"S2")</f>
        <v>S2</v>
      </c>
      <c r="C709" s="121" t="str">
        <f>IFERROR(__xludf.DUMMYFUNCTION("""COMPUTED_VALUE"""),"CORE")</f>
        <v>CORE</v>
      </c>
      <c r="D709" s="121" t="str">
        <f>IFERROR(__xludf.DUMMYFUNCTION("""COMPUTED_VALUE"""),"22GE002")</f>
        <v>22GE002</v>
      </c>
      <c r="E709" s="131" t="str">
        <f>IFERROR(__xludf.DUMMYFUNCTION("""COMPUTED_VALUE"""),"COMPUTATIONAL PROBLEM SOLVING")</f>
        <v>COMPUTATIONAL PROBLEM SOLVING</v>
      </c>
      <c r="F709" s="121" t="str">
        <f>IFERROR(__xludf.DUMMYFUNCTION("""COMPUTED_VALUE"""),"THEORY")</f>
        <v>THEORY</v>
      </c>
      <c r="G709" s="121">
        <f>IFERROR(__xludf.DUMMYFUNCTION("""COMPUTED_VALUE"""),3.0)</f>
        <v>3</v>
      </c>
      <c r="H709" s="121">
        <f>IFERROR(__xludf.DUMMYFUNCTION("""COMPUTED_VALUE"""),0.0)</f>
        <v>0</v>
      </c>
      <c r="I709" s="121">
        <f>IFERROR(__xludf.DUMMYFUNCTION("""COMPUTED_VALUE"""),0.0)</f>
        <v>0</v>
      </c>
      <c r="J709" s="121">
        <f>IFERROR(__xludf.DUMMYFUNCTION("""COMPUTED_VALUE"""),3.0)</f>
        <v>3</v>
      </c>
      <c r="K709" s="132" t="str">
        <f>IFERROR(__xludf.DUMMYFUNCTION("""COMPUTED_VALUE"""),"IS1899")</f>
        <v>IS1899</v>
      </c>
      <c r="L709" s="121" t="str">
        <f>IFERROR(__xludf.DUMMYFUNCTION("""COMPUTED_VALUE"""),"Dr.ANANDAKUMAR K")</f>
        <v>Dr.ANANDAKUMAR K</v>
      </c>
      <c r="M709" s="121" t="str">
        <f>IFERROR(__xludf.DUMMYFUNCTION("""COMPUTED_VALUE"""),"anandakumark@bitsathy.ac.in")</f>
        <v>anandakumark@bitsathy.ac.in</v>
      </c>
    </row>
    <row r="710" ht="49.5" customHeight="1">
      <c r="A710" s="121" t="str">
        <f>IFERROR(__xludf.DUMMYFUNCTION("""COMPUTED_VALUE"""),"IT")</f>
        <v>IT</v>
      </c>
      <c r="B710" s="121" t="str">
        <f>IFERROR(__xludf.DUMMYFUNCTION("""COMPUTED_VALUE"""),"S2")</f>
        <v>S2</v>
      </c>
      <c r="C710" s="121" t="str">
        <f>IFERROR(__xludf.DUMMYFUNCTION("""COMPUTED_VALUE"""),"CORE")</f>
        <v>CORE</v>
      </c>
      <c r="D710" s="121" t="str">
        <f>IFERROR(__xludf.DUMMYFUNCTION("""COMPUTED_VALUE"""),"22GE002")</f>
        <v>22GE002</v>
      </c>
      <c r="E710" s="131" t="str">
        <f>IFERROR(__xludf.DUMMYFUNCTION("""COMPUTED_VALUE"""),"COMPUTATIONAL PROBLEM SOLVING")</f>
        <v>COMPUTATIONAL PROBLEM SOLVING</v>
      </c>
      <c r="F710" s="121" t="str">
        <f>IFERROR(__xludf.DUMMYFUNCTION("""COMPUTED_VALUE"""),"THEORY")</f>
        <v>THEORY</v>
      </c>
      <c r="G710" s="121">
        <f>IFERROR(__xludf.DUMMYFUNCTION("""COMPUTED_VALUE"""),3.0)</f>
        <v>3</v>
      </c>
      <c r="H710" s="121">
        <f>IFERROR(__xludf.DUMMYFUNCTION("""COMPUTED_VALUE"""),0.0)</f>
        <v>0</v>
      </c>
      <c r="I710" s="121">
        <f>IFERROR(__xludf.DUMMYFUNCTION("""COMPUTED_VALUE"""),0.0)</f>
        <v>0</v>
      </c>
      <c r="J710" s="121">
        <f>IFERROR(__xludf.DUMMYFUNCTION("""COMPUTED_VALUE"""),3.0)</f>
        <v>3</v>
      </c>
      <c r="K710" s="132" t="str">
        <f>IFERROR(__xludf.DUMMYFUNCTION("""COMPUTED_VALUE"""),"IT11124")</f>
        <v>IT11124</v>
      </c>
      <c r="L710" s="121" t="str">
        <f>IFERROR(__xludf.DUMMYFUNCTION("""COMPUTED_VALUE"""),"Ms.MUTHUMEENA S")</f>
        <v>Ms.MUTHUMEENA S</v>
      </c>
      <c r="M710" s="121" t="str">
        <f>IFERROR(__xludf.DUMMYFUNCTION("""COMPUTED_VALUE"""),"muthumeena@bitsathy.ac.in")</f>
        <v>muthumeena@bitsathy.ac.in</v>
      </c>
    </row>
    <row r="711" ht="49.5" customHeight="1">
      <c r="A711" s="121" t="str">
        <f>IFERROR(__xludf.DUMMYFUNCTION("""COMPUTED_VALUE"""),"IT")</f>
        <v>IT</v>
      </c>
      <c r="B711" s="121" t="str">
        <f>IFERROR(__xludf.DUMMYFUNCTION("""COMPUTED_VALUE"""),"S2")</f>
        <v>S2</v>
      </c>
      <c r="C711" s="121" t="str">
        <f>IFERROR(__xludf.DUMMYFUNCTION("""COMPUTED_VALUE"""),"CORE")</f>
        <v>CORE</v>
      </c>
      <c r="D711" s="121" t="str">
        <f>IFERROR(__xludf.DUMMYFUNCTION("""COMPUTED_VALUE"""),"22GE002")</f>
        <v>22GE002</v>
      </c>
      <c r="E711" s="131" t="str">
        <f>IFERROR(__xludf.DUMMYFUNCTION("""COMPUTED_VALUE"""),"COMPUTATIONAL PROBLEM SOLVING")</f>
        <v>COMPUTATIONAL PROBLEM SOLVING</v>
      </c>
      <c r="F711" s="121" t="str">
        <f>IFERROR(__xludf.DUMMYFUNCTION("""COMPUTED_VALUE"""),"THEORY")</f>
        <v>THEORY</v>
      </c>
      <c r="G711" s="121">
        <f>IFERROR(__xludf.DUMMYFUNCTION("""COMPUTED_VALUE"""),3.0)</f>
        <v>3</v>
      </c>
      <c r="H711" s="121">
        <f>IFERROR(__xludf.DUMMYFUNCTION("""COMPUTED_VALUE"""),0.0)</f>
        <v>0</v>
      </c>
      <c r="I711" s="121">
        <f>IFERROR(__xludf.DUMMYFUNCTION("""COMPUTED_VALUE"""),0.0)</f>
        <v>0</v>
      </c>
      <c r="J711" s="121">
        <f>IFERROR(__xludf.DUMMYFUNCTION("""COMPUTED_VALUE"""),3.0)</f>
        <v>3</v>
      </c>
      <c r="K711" s="132" t="str">
        <f>IFERROR(__xludf.DUMMYFUNCTION("""COMPUTED_VALUE"""),"IT11146")</f>
        <v>IT11146</v>
      </c>
      <c r="L711" s="121" t="str">
        <f>IFERROR(__xludf.DUMMYFUNCTION("""COMPUTED_VALUE"""),"Ms.INDHU BHASHINI V")</f>
        <v>Ms.INDHU BHASHINI V</v>
      </c>
      <c r="M711" s="121" t="str">
        <f>IFERROR(__xludf.DUMMYFUNCTION("""COMPUTED_VALUE"""),"indhubhashiniv@bitsathy.ac.in")</f>
        <v>indhubhashiniv@bitsathy.ac.in</v>
      </c>
    </row>
    <row r="712" ht="49.5" customHeight="1">
      <c r="A712" s="121" t="str">
        <f>IFERROR(__xludf.DUMMYFUNCTION("""COMPUTED_VALUE"""),"IT")</f>
        <v>IT</v>
      </c>
      <c r="B712" s="121" t="str">
        <f>IFERROR(__xludf.DUMMYFUNCTION("""COMPUTED_VALUE"""),"S2")</f>
        <v>S2</v>
      </c>
      <c r="C712" s="121" t="str">
        <f>IFERROR(__xludf.DUMMYFUNCTION("""COMPUTED_VALUE"""),"CORE")</f>
        <v>CORE</v>
      </c>
      <c r="D712" s="121" t="str">
        <f>IFERROR(__xludf.DUMMYFUNCTION("""COMPUTED_VALUE"""),"22GE002")</f>
        <v>22GE002</v>
      </c>
      <c r="E712" s="131" t="str">
        <f>IFERROR(__xludf.DUMMYFUNCTION("""COMPUTED_VALUE"""),"COMPUTATIONAL PROBLEM SOLVING")</f>
        <v>COMPUTATIONAL PROBLEM SOLVING</v>
      </c>
      <c r="F712" s="121" t="str">
        <f>IFERROR(__xludf.DUMMYFUNCTION("""COMPUTED_VALUE"""),"THEORY")</f>
        <v>THEORY</v>
      </c>
      <c r="G712" s="121">
        <f>IFERROR(__xludf.DUMMYFUNCTION("""COMPUTED_VALUE"""),3.0)</f>
        <v>3</v>
      </c>
      <c r="H712" s="121">
        <f>IFERROR(__xludf.DUMMYFUNCTION("""COMPUTED_VALUE"""),0.0)</f>
        <v>0</v>
      </c>
      <c r="I712" s="121">
        <f>IFERROR(__xludf.DUMMYFUNCTION("""COMPUTED_VALUE"""),0.0)</f>
        <v>0</v>
      </c>
      <c r="J712" s="121">
        <f>IFERROR(__xludf.DUMMYFUNCTION("""COMPUTED_VALUE"""),3.0)</f>
        <v>3</v>
      </c>
      <c r="K712" s="132" t="str">
        <f>IFERROR(__xludf.DUMMYFUNCTION("""COMPUTED_VALUE"""),"IT11056")</f>
        <v>IT11056</v>
      </c>
      <c r="L712" s="121" t="str">
        <f>IFERROR(__xludf.DUMMYFUNCTION("""COMPUTED_VALUE"""),"Dr.SADHASIVAM N")</f>
        <v>Dr.SADHASIVAM N</v>
      </c>
      <c r="M712" s="121" t="str">
        <f>IFERROR(__xludf.DUMMYFUNCTION("""COMPUTED_VALUE"""),"sadhasivamn@bitsathy.ac.in")</f>
        <v>sadhasivamn@bitsathy.ac.in</v>
      </c>
    </row>
    <row r="713" ht="49.5" customHeight="1">
      <c r="A713" s="121" t="str">
        <f>IFERROR(__xludf.DUMMYFUNCTION("""COMPUTED_VALUE"""),"IT")</f>
        <v>IT</v>
      </c>
      <c r="B713" s="121" t="str">
        <f>IFERROR(__xludf.DUMMYFUNCTION("""COMPUTED_VALUE"""),"S2")</f>
        <v>S2</v>
      </c>
      <c r="C713" s="121" t="str">
        <f>IFERROR(__xludf.DUMMYFUNCTION("""COMPUTED_VALUE"""),"CORE")</f>
        <v>CORE</v>
      </c>
      <c r="D713" s="121" t="str">
        <f>IFERROR(__xludf.DUMMYFUNCTION("""COMPUTED_VALUE"""),"22GE003")</f>
        <v>22GE003</v>
      </c>
      <c r="E713" s="131" t="str">
        <f>IFERROR(__xludf.DUMMYFUNCTION("""COMPUTED_VALUE"""),"BASICS OF ELECTRICAL ENGINEERING")</f>
        <v>BASICS OF ELECTRICAL ENGINEERING</v>
      </c>
      <c r="F713" s="121" t="str">
        <f>IFERROR(__xludf.DUMMYFUNCTION("""COMPUTED_VALUE"""),"THEORY WITH LAB")</f>
        <v>THEORY WITH LAB</v>
      </c>
      <c r="G713" s="121">
        <f>IFERROR(__xludf.DUMMYFUNCTION("""COMPUTED_VALUE"""),2.0)</f>
        <v>2</v>
      </c>
      <c r="H713" s="121">
        <f>IFERROR(__xludf.DUMMYFUNCTION("""COMPUTED_VALUE"""),0.0)</f>
        <v>0</v>
      </c>
      <c r="I713" s="121">
        <f>IFERROR(__xludf.DUMMYFUNCTION("""COMPUTED_VALUE"""),2.0)</f>
        <v>2</v>
      </c>
      <c r="J713" s="121">
        <f>IFERROR(__xludf.DUMMYFUNCTION("""COMPUTED_VALUE"""),3.0)</f>
        <v>3</v>
      </c>
      <c r="K713" s="132" t="str">
        <f>IFERROR(__xludf.DUMMYFUNCTION("""COMPUTED_VALUE"""),"EE1695")</f>
        <v>EE1695</v>
      </c>
      <c r="L713" s="121" t="str">
        <f>IFERROR(__xludf.DUMMYFUNCTION("""COMPUTED_VALUE"""),"Dr.NANDHAKUMAR A")</f>
        <v>Dr.NANDHAKUMAR A</v>
      </c>
      <c r="M713" s="121" t="str">
        <f>IFERROR(__xludf.DUMMYFUNCTION("""COMPUTED_VALUE"""),"nandhakumara@bitsathy.ac.in")</f>
        <v>nandhakumara@bitsathy.ac.in</v>
      </c>
    </row>
    <row r="714" ht="49.5" customHeight="1">
      <c r="A714" s="121" t="str">
        <f>IFERROR(__xludf.DUMMYFUNCTION("""COMPUTED_VALUE"""),"IT")</f>
        <v>IT</v>
      </c>
      <c r="B714" s="121" t="str">
        <f>IFERROR(__xludf.DUMMYFUNCTION("""COMPUTED_VALUE"""),"S2")</f>
        <v>S2</v>
      </c>
      <c r="C714" s="121" t="str">
        <f>IFERROR(__xludf.DUMMYFUNCTION("""COMPUTED_VALUE"""),"CORE")</f>
        <v>CORE</v>
      </c>
      <c r="D714" s="121" t="str">
        <f>IFERROR(__xludf.DUMMYFUNCTION("""COMPUTED_VALUE"""),"22GE003")</f>
        <v>22GE003</v>
      </c>
      <c r="E714" s="131" t="str">
        <f>IFERROR(__xludf.DUMMYFUNCTION("""COMPUTED_VALUE"""),"BASICS OF ELECTRICAL ENGINEERING")</f>
        <v>BASICS OF ELECTRICAL ENGINEERING</v>
      </c>
      <c r="F714" s="121" t="str">
        <f>IFERROR(__xludf.DUMMYFUNCTION("""COMPUTED_VALUE"""),"THEORY WITH LAB")</f>
        <v>THEORY WITH LAB</v>
      </c>
      <c r="G714" s="121">
        <f>IFERROR(__xludf.DUMMYFUNCTION("""COMPUTED_VALUE"""),2.0)</f>
        <v>2</v>
      </c>
      <c r="H714" s="121">
        <f>IFERROR(__xludf.DUMMYFUNCTION("""COMPUTED_VALUE"""),0.0)</f>
        <v>0</v>
      </c>
      <c r="I714" s="121">
        <f>IFERROR(__xludf.DUMMYFUNCTION("""COMPUTED_VALUE"""),2.0)</f>
        <v>2</v>
      </c>
      <c r="J714" s="121">
        <f>IFERROR(__xludf.DUMMYFUNCTION("""COMPUTED_VALUE"""),3.0)</f>
        <v>3</v>
      </c>
      <c r="K714" s="132" t="str">
        <f>IFERROR(__xludf.DUMMYFUNCTION("""COMPUTED_VALUE"""),"EE1785")</f>
        <v>EE1785</v>
      </c>
      <c r="L714" s="121" t="str">
        <f>IFERROR(__xludf.DUMMYFUNCTION("""COMPUTED_VALUE"""),"Mrs.MOHANAPRIYA V")</f>
        <v>Mrs.MOHANAPRIYA V</v>
      </c>
      <c r="M714" s="121" t="str">
        <f>IFERROR(__xludf.DUMMYFUNCTION("""COMPUTED_VALUE"""),"mohanapriyav@bitsathy.ac.in")</f>
        <v>mohanapriyav@bitsathy.ac.in</v>
      </c>
    </row>
    <row r="715" ht="49.5" customHeight="1">
      <c r="A715" s="121" t="str">
        <f>IFERROR(__xludf.DUMMYFUNCTION("""COMPUTED_VALUE"""),"IT")</f>
        <v>IT</v>
      </c>
      <c r="B715" s="121" t="str">
        <f>IFERROR(__xludf.DUMMYFUNCTION("""COMPUTED_VALUE"""),"S2")</f>
        <v>S2</v>
      </c>
      <c r="C715" s="121" t="str">
        <f>IFERROR(__xludf.DUMMYFUNCTION("""COMPUTED_VALUE"""),"CORE")</f>
        <v>CORE</v>
      </c>
      <c r="D715" s="121" t="str">
        <f>IFERROR(__xludf.DUMMYFUNCTION("""COMPUTED_VALUE"""),"22GE003")</f>
        <v>22GE003</v>
      </c>
      <c r="E715" s="131" t="str">
        <f>IFERROR(__xludf.DUMMYFUNCTION("""COMPUTED_VALUE"""),"BASICS OF ELECTRICAL ENGINEERING")</f>
        <v>BASICS OF ELECTRICAL ENGINEERING</v>
      </c>
      <c r="F715" s="121" t="str">
        <f>IFERROR(__xludf.DUMMYFUNCTION("""COMPUTED_VALUE"""),"THEORY WITH LAB")</f>
        <v>THEORY WITH LAB</v>
      </c>
      <c r="G715" s="121">
        <f>IFERROR(__xludf.DUMMYFUNCTION("""COMPUTED_VALUE"""),2.0)</f>
        <v>2</v>
      </c>
      <c r="H715" s="121">
        <f>IFERROR(__xludf.DUMMYFUNCTION("""COMPUTED_VALUE"""),0.0)</f>
        <v>0</v>
      </c>
      <c r="I715" s="121">
        <f>IFERROR(__xludf.DUMMYFUNCTION("""COMPUTED_VALUE"""),2.0)</f>
        <v>2</v>
      </c>
      <c r="J715" s="121">
        <f>IFERROR(__xludf.DUMMYFUNCTION("""COMPUTED_VALUE"""),3.0)</f>
        <v>3</v>
      </c>
      <c r="K715" s="132" t="str">
        <f>IFERROR(__xludf.DUMMYFUNCTION("""COMPUTED_VALUE"""),"EE1325")</f>
        <v>EE1325</v>
      </c>
      <c r="L715" s="121" t="str">
        <f>IFERROR(__xludf.DUMMYFUNCTION("""COMPUTED_VALUE"""),"Dr.RAJALASHMI K")</f>
        <v>Dr.RAJALASHMI K</v>
      </c>
      <c r="M715" s="121" t="str">
        <f>IFERROR(__xludf.DUMMYFUNCTION("""COMPUTED_VALUE"""),"rajalashmik@bitsathy.ac.in")</f>
        <v>rajalashmik@bitsathy.ac.in</v>
      </c>
    </row>
    <row r="716" ht="49.5" customHeight="1">
      <c r="A716" s="121" t="str">
        <f>IFERROR(__xludf.DUMMYFUNCTION("""COMPUTED_VALUE"""),"IT")</f>
        <v>IT</v>
      </c>
      <c r="B716" s="121" t="str">
        <f>IFERROR(__xludf.DUMMYFUNCTION("""COMPUTED_VALUE"""),"S2")</f>
        <v>S2</v>
      </c>
      <c r="C716" s="121" t="str">
        <f>IFERROR(__xludf.DUMMYFUNCTION("""COMPUTED_VALUE"""),"CORE")</f>
        <v>CORE</v>
      </c>
      <c r="D716" s="121" t="str">
        <f>IFERROR(__xludf.DUMMYFUNCTION("""COMPUTED_VALUE"""),"22GE003")</f>
        <v>22GE003</v>
      </c>
      <c r="E716" s="131" t="str">
        <f>IFERROR(__xludf.DUMMYFUNCTION("""COMPUTED_VALUE"""),"BASICS OF ELECTRICAL ENGINEERING")</f>
        <v>BASICS OF ELECTRICAL ENGINEERING</v>
      </c>
      <c r="F716" s="121" t="str">
        <f>IFERROR(__xludf.DUMMYFUNCTION("""COMPUTED_VALUE"""),"THEORY WITH LAB")</f>
        <v>THEORY WITH LAB</v>
      </c>
      <c r="G716" s="121">
        <f>IFERROR(__xludf.DUMMYFUNCTION("""COMPUTED_VALUE"""),2.0)</f>
        <v>2</v>
      </c>
      <c r="H716" s="121">
        <f>IFERROR(__xludf.DUMMYFUNCTION("""COMPUTED_VALUE"""),0.0)</f>
        <v>0</v>
      </c>
      <c r="I716" s="121">
        <f>IFERROR(__xludf.DUMMYFUNCTION("""COMPUTED_VALUE"""),2.0)</f>
        <v>2</v>
      </c>
      <c r="J716" s="121">
        <f>IFERROR(__xludf.DUMMYFUNCTION("""COMPUTED_VALUE"""),3.0)</f>
        <v>3</v>
      </c>
      <c r="K716" s="137" t="str">
        <f>IFERROR(__xludf.DUMMYFUNCTION("""COMPUTED_VALUE"""),"EE10652")</f>
        <v>EE10652</v>
      </c>
      <c r="L716" s="138" t="str">
        <f>IFERROR(__xludf.DUMMYFUNCTION("""COMPUTED_VALUE"""),"Mr.RISHIKESH N")</f>
        <v>Mr.RISHIKESH N</v>
      </c>
      <c r="M716" s="138" t="str">
        <f>IFERROR(__xludf.DUMMYFUNCTION("""COMPUTED_VALUE"""),"rishikesh@bitsathy.ac.in")</f>
        <v>rishikesh@bitsathy.ac.in</v>
      </c>
    </row>
    <row r="717" ht="49.5" customHeight="1">
      <c r="A717" s="121" t="str">
        <f>IFERROR(__xludf.DUMMYFUNCTION("""COMPUTED_VALUE"""),"IT")</f>
        <v>IT</v>
      </c>
      <c r="B717" s="121" t="str">
        <f>IFERROR(__xludf.DUMMYFUNCTION("""COMPUTED_VALUE"""),"S2")</f>
        <v>S2</v>
      </c>
      <c r="C717" s="121" t="str">
        <f>IFERROR(__xludf.DUMMYFUNCTION("""COMPUTED_VALUE"""),"CORE")</f>
        <v>CORE</v>
      </c>
      <c r="D717" s="121" t="str">
        <f>IFERROR(__xludf.DUMMYFUNCTION("""COMPUTED_VALUE"""),"22GE003")</f>
        <v>22GE003</v>
      </c>
      <c r="E717" s="131" t="str">
        <f>IFERROR(__xludf.DUMMYFUNCTION("""COMPUTED_VALUE"""),"BASICS OF ELECTRICAL ENGINEERING")</f>
        <v>BASICS OF ELECTRICAL ENGINEERING</v>
      </c>
      <c r="F717" s="121" t="str">
        <f>IFERROR(__xludf.DUMMYFUNCTION("""COMPUTED_VALUE"""),"THEORY WITH LAB")</f>
        <v>THEORY WITH LAB</v>
      </c>
      <c r="G717" s="121">
        <f>IFERROR(__xludf.DUMMYFUNCTION("""COMPUTED_VALUE"""),2.0)</f>
        <v>2</v>
      </c>
      <c r="H717" s="121">
        <f>IFERROR(__xludf.DUMMYFUNCTION("""COMPUTED_VALUE"""),0.0)</f>
        <v>0</v>
      </c>
      <c r="I717" s="121">
        <f>IFERROR(__xludf.DUMMYFUNCTION("""COMPUTED_VALUE"""),2.0)</f>
        <v>2</v>
      </c>
      <c r="J717" s="121">
        <f>IFERROR(__xludf.DUMMYFUNCTION("""COMPUTED_VALUE"""),3.0)</f>
        <v>3</v>
      </c>
      <c r="K717" s="132" t="str">
        <f>IFERROR(__xludf.DUMMYFUNCTION("""COMPUTED_VALUE"""),"EE1695")</f>
        <v>EE1695</v>
      </c>
      <c r="L717" s="121" t="str">
        <f>IFERROR(__xludf.DUMMYFUNCTION("""COMPUTED_VALUE"""),"Dr.NANDHAKUMAR A")</f>
        <v>Dr.NANDHAKUMAR A</v>
      </c>
      <c r="M717" s="121" t="str">
        <f>IFERROR(__xludf.DUMMYFUNCTION("""COMPUTED_VALUE"""),"nandhakumara@bitsathy.ac.in")</f>
        <v>nandhakumara@bitsathy.ac.in</v>
      </c>
    </row>
    <row r="718" ht="49.5" customHeight="1">
      <c r="A718" s="121" t="str">
        <f>IFERROR(__xludf.DUMMYFUNCTION("""COMPUTED_VALUE"""),"IT")</f>
        <v>IT</v>
      </c>
      <c r="B718" s="121" t="str">
        <f>IFERROR(__xludf.DUMMYFUNCTION("""COMPUTED_VALUE"""),"S2")</f>
        <v>S2</v>
      </c>
      <c r="C718" s="121" t="str">
        <f>IFERROR(__xludf.DUMMYFUNCTION("""COMPUTED_VALUE"""),"CORE")</f>
        <v>CORE</v>
      </c>
      <c r="D718" s="121" t="str">
        <f>IFERROR(__xludf.DUMMYFUNCTION("""COMPUTED_VALUE"""),"22IT206")</f>
        <v>22IT206</v>
      </c>
      <c r="E718" s="131" t="str">
        <f>IFERROR(__xludf.DUMMYFUNCTION("""COMPUTED_VALUE"""),"DIGITAL COMPUTER ELECTRONICS ")</f>
        <v>DIGITAL COMPUTER ELECTRONICS </v>
      </c>
      <c r="F718" s="121" t="str">
        <f>IFERROR(__xludf.DUMMYFUNCTION("""COMPUTED_VALUE"""),"THEORY WITH LAB")</f>
        <v>THEORY WITH LAB</v>
      </c>
      <c r="G718" s="121">
        <f>IFERROR(__xludf.DUMMYFUNCTION("""COMPUTED_VALUE"""),3.0)</f>
        <v>3</v>
      </c>
      <c r="H718" s="121">
        <f>IFERROR(__xludf.DUMMYFUNCTION("""COMPUTED_VALUE"""),0.0)</f>
        <v>0</v>
      </c>
      <c r="I718" s="121">
        <f>IFERROR(__xludf.DUMMYFUNCTION("""COMPUTED_VALUE"""),2.0)</f>
        <v>2</v>
      </c>
      <c r="J718" s="121">
        <f>IFERROR(__xludf.DUMMYFUNCTION("""COMPUTED_VALUE"""),4.0)</f>
        <v>4</v>
      </c>
      <c r="K718" s="132" t="str">
        <f>IFERROR(__xludf.DUMMYFUNCTION("""COMPUTED_VALUE"""),"IT11173")</f>
        <v>IT11173</v>
      </c>
      <c r="L718" s="121" t="str">
        <f>IFERROR(__xludf.DUMMYFUNCTION("""COMPUTED_VALUE"""),"Mrs.GAYATHRI D")</f>
        <v>Mrs.GAYATHRI D</v>
      </c>
      <c r="M718" s="121" t="str">
        <f>IFERROR(__xludf.DUMMYFUNCTION("""COMPUTED_VALUE"""),"gayathrid@bitsathy.ac.in")</f>
        <v>gayathrid@bitsathy.ac.in</v>
      </c>
    </row>
    <row r="719" ht="49.5" customHeight="1">
      <c r="A719" s="121" t="str">
        <f>IFERROR(__xludf.DUMMYFUNCTION("""COMPUTED_VALUE"""),"IT")</f>
        <v>IT</v>
      </c>
      <c r="B719" s="121" t="str">
        <f>IFERROR(__xludf.DUMMYFUNCTION("""COMPUTED_VALUE"""),"S2")</f>
        <v>S2</v>
      </c>
      <c r="C719" s="121" t="str">
        <f>IFERROR(__xludf.DUMMYFUNCTION("""COMPUTED_VALUE"""),"CORE")</f>
        <v>CORE</v>
      </c>
      <c r="D719" s="121" t="str">
        <f>IFERROR(__xludf.DUMMYFUNCTION("""COMPUTED_VALUE"""),"22IT206")</f>
        <v>22IT206</v>
      </c>
      <c r="E719" s="131" t="str">
        <f>IFERROR(__xludf.DUMMYFUNCTION("""COMPUTED_VALUE"""),"DIGITAL COMPUTER ELECTRONICS ")</f>
        <v>DIGITAL COMPUTER ELECTRONICS </v>
      </c>
      <c r="F719" s="121" t="str">
        <f>IFERROR(__xludf.DUMMYFUNCTION("""COMPUTED_VALUE"""),"THEORY WITH LAB")</f>
        <v>THEORY WITH LAB</v>
      </c>
      <c r="G719" s="121">
        <f>IFERROR(__xludf.DUMMYFUNCTION("""COMPUTED_VALUE"""),3.0)</f>
        <v>3</v>
      </c>
      <c r="H719" s="121">
        <f>IFERROR(__xludf.DUMMYFUNCTION("""COMPUTED_VALUE"""),0.0)</f>
        <v>0</v>
      </c>
      <c r="I719" s="121">
        <f>IFERROR(__xludf.DUMMYFUNCTION("""COMPUTED_VALUE"""),2.0)</f>
        <v>2</v>
      </c>
      <c r="J719" s="121">
        <f>IFERROR(__xludf.DUMMYFUNCTION("""COMPUTED_VALUE"""),4.0)</f>
        <v>4</v>
      </c>
      <c r="K719" s="132" t="str">
        <f>IFERROR(__xludf.DUMMYFUNCTION("""COMPUTED_VALUE"""),"EC10581")</f>
        <v>EC10581</v>
      </c>
      <c r="L719" s="121" t="str">
        <f>IFERROR(__xludf.DUMMYFUNCTION("""COMPUTED_VALUE"""),"Mr.TAMILSELVAN S")</f>
        <v>Mr.TAMILSELVAN S</v>
      </c>
      <c r="M719" s="121" t="str">
        <f>IFERROR(__xludf.DUMMYFUNCTION("""COMPUTED_VALUE"""),"tamilselvans@bitsathy.ac.in")</f>
        <v>tamilselvans@bitsathy.ac.in</v>
      </c>
    </row>
    <row r="720" ht="49.5" customHeight="1">
      <c r="A720" s="121" t="str">
        <f>IFERROR(__xludf.DUMMYFUNCTION("""COMPUTED_VALUE"""),"IT")</f>
        <v>IT</v>
      </c>
      <c r="B720" s="121" t="str">
        <f>IFERROR(__xludf.DUMMYFUNCTION("""COMPUTED_VALUE"""),"S2")</f>
        <v>S2</v>
      </c>
      <c r="C720" s="121" t="str">
        <f>IFERROR(__xludf.DUMMYFUNCTION("""COMPUTED_VALUE"""),"CORE")</f>
        <v>CORE</v>
      </c>
      <c r="D720" s="121" t="str">
        <f>IFERROR(__xludf.DUMMYFUNCTION("""COMPUTED_VALUE"""),"22IT206")</f>
        <v>22IT206</v>
      </c>
      <c r="E720" s="131" t="str">
        <f>IFERROR(__xludf.DUMMYFUNCTION("""COMPUTED_VALUE"""),"DIGITAL COMPUTER ELECTRONICS ")</f>
        <v>DIGITAL COMPUTER ELECTRONICS </v>
      </c>
      <c r="F720" s="121" t="str">
        <f>IFERROR(__xludf.DUMMYFUNCTION("""COMPUTED_VALUE"""),"THEORY WITH LAB")</f>
        <v>THEORY WITH LAB</v>
      </c>
      <c r="G720" s="121">
        <f>IFERROR(__xludf.DUMMYFUNCTION("""COMPUTED_VALUE"""),3.0)</f>
        <v>3</v>
      </c>
      <c r="H720" s="121">
        <f>IFERROR(__xludf.DUMMYFUNCTION("""COMPUTED_VALUE"""),0.0)</f>
        <v>0</v>
      </c>
      <c r="I720" s="121">
        <f>IFERROR(__xludf.DUMMYFUNCTION("""COMPUTED_VALUE"""),2.0)</f>
        <v>2</v>
      </c>
      <c r="J720" s="121">
        <f>IFERROR(__xludf.DUMMYFUNCTION("""COMPUTED_VALUE"""),4.0)</f>
        <v>4</v>
      </c>
      <c r="K720" s="132" t="str">
        <f>IFERROR(__xludf.DUMMYFUNCTION("""COMPUTED_VALUE"""),"EC11045")</f>
        <v>EC11045</v>
      </c>
      <c r="L720" s="121" t="str">
        <f>IFERROR(__xludf.DUMMYFUNCTION("""COMPUTED_VALUE"""),"Mrs.DHANALAKSHMI S")</f>
        <v>Mrs.DHANALAKSHMI S</v>
      </c>
      <c r="M720" s="133" t="str">
        <f>IFERROR(__xludf.DUMMYFUNCTION("""COMPUTED_VALUE"""),"dhanalakshmis@bitsathy.ac.in")</f>
        <v>dhanalakshmis@bitsathy.ac.in</v>
      </c>
    </row>
    <row r="721" ht="49.5" customHeight="1">
      <c r="A721" s="121" t="str">
        <f>IFERROR(__xludf.DUMMYFUNCTION("""COMPUTED_VALUE"""),"IT")</f>
        <v>IT</v>
      </c>
      <c r="B721" s="121" t="str">
        <f>IFERROR(__xludf.DUMMYFUNCTION("""COMPUTED_VALUE"""),"S2")</f>
        <v>S2</v>
      </c>
      <c r="C721" s="121" t="str">
        <f>IFERROR(__xludf.DUMMYFUNCTION("""COMPUTED_VALUE"""),"CORE")</f>
        <v>CORE</v>
      </c>
      <c r="D721" s="121" t="str">
        <f>IFERROR(__xludf.DUMMYFUNCTION("""COMPUTED_VALUE"""),"22IT206")</f>
        <v>22IT206</v>
      </c>
      <c r="E721" s="131" t="str">
        <f>IFERROR(__xludf.DUMMYFUNCTION("""COMPUTED_VALUE"""),"DIGITAL COMPUTER ELECTRONICS ")</f>
        <v>DIGITAL COMPUTER ELECTRONICS </v>
      </c>
      <c r="F721" s="121" t="str">
        <f>IFERROR(__xludf.DUMMYFUNCTION("""COMPUTED_VALUE"""),"THEORY WITH LAB")</f>
        <v>THEORY WITH LAB</v>
      </c>
      <c r="G721" s="121">
        <f>IFERROR(__xludf.DUMMYFUNCTION("""COMPUTED_VALUE"""),3.0)</f>
        <v>3</v>
      </c>
      <c r="H721" s="121">
        <f>IFERROR(__xludf.DUMMYFUNCTION("""COMPUTED_VALUE"""),0.0)</f>
        <v>0</v>
      </c>
      <c r="I721" s="121">
        <f>IFERROR(__xludf.DUMMYFUNCTION("""COMPUTED_VALUE"""),2.0)</f>
        <v>2</v>
      </c>
      <c r="J721" s="121">
        <f>IFERROR(__xludf.DUMMYFUNCTION("""COMPUTED_VALUE"""),4.0)</f>
        <v>4</v>
      </c>
      <c r="K721" s="132" t="str">
        <f>IFERROR(__xludf.DUMMYFUNCTION("""COMPUTED_VALUE"""),"EC10692")</f>
        <v>EC10692</v>
      </c>
      <c r="L721" s="121" t="str">
        <f>IFERROR(__xludf.DUMMYFUNCTION("""COMPUTED_VALUE"""),"Mrs.GAYATHRI R")</f>
        <v>Mrs.GAYATHRI R</v>
      </c>
      <c r="M721" s="133" t="str">
        <f>IFERROR(__xludf.DUMMYFUNCTION("""COMPUTED_VALUE"""),"gayathrir@bitsathy.ac.in")</f>
        <v>gayathrir@bitsathy.ac.in</v>
      </c>
    </row>
    <row r="722" ht="49.5" customHeight="1">
      <c r="A722" s="121" t="str">
        <f>IFERROR(__xludf.DUMMYFUNCTION("""COMPUTED_VALUE"""),"IT")</f>
        <v>IT</v>
      </c>
      <c r="B722" s="121" t="str">
        <f>IFERROR(__xludf.DUMMYFUNCTION("""COMPUTED_VALUE"""),"S2")</f>
        <v>S2</v>
      </c>
      <c r="C722" s="121" t="str">
        <f>IFERROR(__xludf.DUMMYFUNCTION("""COMPUTED_VALUE"""),"CORE")</f>
        <v>CORE</v>
      </c>
      <c r="D722" s="121" t="str">
        <f>IFERROR(__xludf.DUMMYFUNCTION("""COMPUTED_VALUE"""),"22IT206")</f>
        <v>22IT206</v>
      </c>
      <c r="E722" s="131" t="str">
        <f>IFERROR(__xludf.DUMMYFUNCTION("""COMPUTED_VALUE"""),"DIGITAL COMPUTER ELECTRONICS ")</f>
        <v>DIGITAL COMPUTER ELECTRONICS </v>
      </c>
      <c r="F722" s="121" t="str">
        <f>IFERROR(__xludf.DUMMYFUNCTION("""COMPUTED_VALUE"""),"THEORY")</f>
        <v>THEORY</v>
      </c>
      <c r="G722" s="121">
        <f>IFERROR(__xludf.DUMMYFUNCTION("""COMPUTED_VALUE"""),3.0)</f>
        <v>3</v>
      </c>
      <c r="H722" s="121">
        <f>IFERROR(__xludf.DUMMYFUNCTION("""COMPUTED_VALUE"""),0.0)</f>
        <v>0</v>
      </c>
      <c r="I722" s="121">
        <f>IFERROR(__xludf.DUMMYFUNCTION("""COMPUTED_VALUE"""),2.0)</f>
        <v>2</v>
      </c>
      <c r="J722" s="121">
        <f>IFERROR(__xludf.DUMMYFUNCTION("""COMPUTED_VALUE"""),4.0)</f>
        <v>4</v>
      </c>
      <c r="K722" s="132" t="str">
        <f>IFERROR(__xludf.DUMMYFUNCTION("""COMPUTED_VALUE"""),"EC11010")</f>
        <v>EC11010</v>
      </c>
      <c r="L722" s="121" t="str">
        <f>IFERROR(__xludf.DUMMYFUNCTION("""COMPUTED_VALUE"""),"Mrs.MARIAAMUTHA R")</f>
        <v>Mrs.MARIAAMUTHA R</v>
      </c>
      <c r="M722" s="133" t="str">
        <f>IFERROR(__xludf.DUMMYFUNCTION("""COMPUTED_VALUE"""),"mariaamuthar@bitsathy.ac.in")</f>
        <v>mariaamuthar@bitsathy.ac.in</v>
      </c>
    </row>
    <row r="723" ht="49.5" customHeight="1">
      <c r="A723" s="121" t="str">
        <f>IFERROR(__xludf.DUMMYFUNCTION("""COMPUTED_VALUE"""),"IT")</f>
        <v>IT</v>
      </c>
      <c r="B723" s="121" t="str">
        <f>IFERROR(__xludf.DUMMYFUNCTION("""COMPUTED_VALUE"""),"S2")</f>
        <v>S2</v>
      </c>
      <c r="C723" s="121" t="str">
        <f>IFERROR(__xludf.DUMMYFUNCTION("""COMPUTED_VALUE"""),"CORE")</f>
        <v>CORE</v>
      </c>
      <c r="D723" s="121" t="str">
        <f>IFERROR(__xludf.DUMMYFUNCTION("""COMPUTED_VALUE"""),"22IT206")</f>
        <v>22IT206</v>
      </c>
      <c r="E723" s="131" t="str">
        <f>IFERROR(__xludf.DUMMYFUNCTION("""COMPUTED_VALUE"""),"DIGITAL COMPUTER ELECTRONICS ")</f>
        <v>DIGITAL COMPUTER ELECTRONICS </v>
      </c>
      <c r="F723" s="121" t="str">
        <f>IFERROR(__xludf.DUMMYFUNCTION("""COMPUTED_VALUE"""),"LAB")</f>
        <v>LAB</v>
      </c>
      <c r="G723" s="121">
        <f>IFERROR(__xludf.DUMMYFUNCTION("""COMPUTED_VALUE"""),3.0)</f>
        <v>3</v>
      </c>
      <c r="H723" s="121">
        <f>IFERROR(__xludf.DUMMYFUNCTION("""COMPUTED_VALUE"""),0.0)</f>
        <v>0</v>
      </c>
      <c r="I723" s="121">
        <f>IFERROR(__xludf.DUMMYFUNCTION("""COMPUTED_VALUE"""),2.0)</f>
        <v>2</v>
      </c>
      <c r="J723" s="121">
        <f>IFERROR(__xludf.DUMMYFUNCTION("""COMPUTED_VALUE"""),4.0)</f>
        <v>4</v>
      </c>
      <c r="K723" s="132" t="str">
        <f>IFERROR(__xludf.DUMMYFUNCTION("""COMPUTED_VALUE"""),"EC11043")</f>
        <v>EC11043</v>
      </c>
      <c r="L723" s="121" t="str">
        <f>IFERROR(__xludf.DUMMYFUNCTION("""COMPUTED_VALUE"""),"Mrs.NIVETHA G")</f>
        <v>Mrs.NIVETHA G</v>
      </c>
      <c r="M723" s="133" t="str">
        <f>IFERROR(__xludf.DUMMYFUNCTION("""COMPUTED_VALUE"""),"nivethag@bitsathy.ac.in")</f>
        <v>nivethag@bitsathy.ac.in</v>
      </c>
    </row>
    <row r="724" ht="49.5" customHeight="1">
      <c r="A724" s="121" t="str">
        <f>IFERROR(__xludf.DUMMYFUNCTION("""COMPUTED_VALUE"""),"IT")</f>
        <v>IT</v>
      </c>
      <c r="B724" s="121" t="str">
        <f>IFERROR(__xludf.DUMMYFUNCTION("""COMPUTED_VALUE"""),"S2")</f>
        <v>S2</v>
      </c>
      <c r="C724" s="121" t="str">
        <f>IFERROR(__xludf.DUMMYFUNCTION("""COMPUTED_VALUE"""),"CORE")</f>
        <v>CORE</v>
      </c>
      <c r="D724" s="121" t="str">
        <f>IFERROR(__xludf.DUMMYFUNCTION("""COMPUTED_VALUE"""),"22HS006")</f>
        <v>22HS006</v>
      </c>
      <c r="E724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4" s="121" t="str">
        <f>IFERROR(__xludf.DUMMYFUNCTION("""COMPUTED_VALUE"""),"LAB")</f>
        <v>LAB</v>
      </c>
      <c r="G724" s="121">
        <f>IFERROR(__xludf.DUMMYFUNCTION("""COMPUTED_VALUE"""),1.0)</f>
        <v>1</v>
      </c>
      <c r="H724" s="121">
        <f>IFERROR(__xludf.DUMMYFUNCTION("""COMPUTED_VALUE"""),0.0)</f>
        <v>0</v>
      </c>
      <c r="I724" s="121">
        <f>IFERROR(__xludf.DUMMYFUNCTION("""COMPUTED_VALUE"""),0.0)</f>
        <v>0</v>
      </c>
      <c r="J724" s="121">
        <f>IFERROR(__xludf.DUMMYFUNCTION("""COMPUTED_VALUE"""),1.0)</f>
        <v>1</v>
      </c>
      <c r="K724" s="132" t="str">
        <f>IFERROR(__xludf.DUMMYFUNCTION("""COMPUTED_VALUE"""),"HU11085")</f>
        <v>HU11085</v>
      </c>
      <c r="L724" s="121" t="str">
        <f>IFERROR(__xludf.DUMMYFUNCTION("""COMPUTED_VALUE"""),"Dr.SAGUNTHALA DEVI P")</f>
        <v>Dr.SAGUNTHALA DEVI P</v>
      </c>
      <c r="M724" s="121" t="str">
        <f>IFERROR(__xludf.DUMMYFUNCTION("""COMPUTED_VALUE"""),"sagunthaladevi@bitsathy.ac.in")</f>
        <v>sagunthaladevi@bitsathy.ac.in</v>
      </c>
    </row>
    <row r="725" ht="49.5" customHeight="1">
      <c r="A725" s="121" t="str">
        <f>IFERROR(__xludf.DUMMYFUNCTION("""COMPUTED_VALUE"""),"IT")</f>
        <v>IT</v>
      </c>
      <c r="B725" s="121" t="str">
        <f>IFERROR(__xludf.DUMMYFUNCTION("""COMPUTED_VALUE"""),"S2")</f>
        <v>S2</v>
      </c>
      <c r="C725" s="121" t="str">
        <f>IFERROR(__xludf.DUMMYFUNCTION("""COMPUTED_VALUE"""),"CORE")</f>
        <v>CORE</v>
      </c>
      <c r="D725" s="121" t="str">
        <f>IFERROR(__xludf.DUMMYFUNCTION("""COMPUTED_VALUE"""),"22HS006")</f>
        <v>22HS006</v>
      </c>
      <c r="E725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5" s="121" t="str">
        <f>IFERROR(__xludf.DUMMYFUNCTION("""COMPUTED_VALUE"""),"LAB")</f>
        <v>LAB</v>
      </c>
      <c r="G725" s="121">
        <f>IFERROR(__xludf.DUMMYFUNCTION("""COMPUTED_VALUE"""),1.0)</f>
        <v>1</v>
      </c>
      <c r="H725" s="121">
        <f>IFERROR(__xludf.DUMMYFUNCTION("""COMPUTED_VALUE"""),0.0)</f>
        <v>0</v>
      </c>
      <c r="I725" s="121">
        <f>IFERROR(__xludf.DUMMYFUNCTION("""COMPUTED_VALUE"""),0.0)</f>
        <v>0</v>
      </c>
      <c r="J725" s="121">
        <f>IFERROR(__xludf.DUMMYFUNCTION("""COMPUTED_VALUE"""),1.0)</f>
        <v>1</v>
      </c>
      <c r="K725" s="132" t="str">
        <f>IFERROR(__xludf.DUMMYFUNCTION("""COMPUTED_VALUE"""),"HU11115")</f>
        <v>HU11115</v>
      </c>
      <c r="L725" s="121" t="str">
        <f>IFERROR(__xludf.DUMMYFUNCTION("""COMPUTED_VALUE"""),"Ms.KAMALI D")</f>
        <v>Ms.KAMALI D</v>
      </c>
      <c r="M725" s="121" t="str">
        <f>IFERROR(__xludf.DUMMYFUNCTION("""COMPUTED_VALUE"""),"kamali@bitsathy.ac.in")</f>
        <v>kamali@bitsathy.ac.in</v>
      </c>
    </row>
    <row r="726" ht="49.5" customHeight="1">
      <c r="A726" s="121" t="str">
        <f>IFERROR(__xludf.DUMMYFUNCTION("""COMPUTED_VALUE"""),"IT")</f>
        <v>IT</v>
      </c>
      <c r="B726" s="121" t="str">
        <f>IFERROR(__xludf.DUMMYFUNCTION("""COMPUTED_VALUE"""),"S2")</f>
        <v>S2</v>
      </c>
      <c r="C726" s="121" t="str">
        <f>IFERROR(__xludf.DUMMYFUNCTION("""COMPUTED_VALUE"""),"CORE")</f>
        <v>CORE</v>
      </c>
      <c r="D726" s="121" t="str">
        <f>IFERROR(__xludf.DUMMYFUNCTION("""COMPUTED_VALUE"""),"22HS006")</f>
        <v>22HS006</v>
      </c>
      <c r="E726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6" s="121" t="str">
        <f>IFERROR(__xludf.DUMMYFUNCTION("""COMPUTED_VALUE"""),"LAB")</f>
        <v>LAB</v>
      </c>
      <c r="G726" s="121">
        <f>IFERROR(__xludf.DUMMYFUNCTION("""COMPUTED_VALUE"""),1.0)</f>
        <v>1</v>
      </c>
      <c r="H726" s="121">
        <f>IFERROR(__xludf.DUMMYFUNCTION("""COMPUTED_VALUE"""),0.0)</f>
        <v>0</v>
      </c>
      <c r="I726" s="121">
        <f>IFERROR(__xludf.DUMMYFUNCTION("""COMPUTED_VALUE"""),0.0)</f>
        <v>0</v>
      </c>
      <c r="J726" s="121">
        <f>IFERROR(__xludf.DUMMYFUNCTION("""COMPUTED_VALUE"""),1.0)</f>
        <v>1</v>
      </c>
      <c r="K726" s="132" t="str">
        <f>IFERROR(__xludf.DUMMYFUNCTION("""COMPUTED_VALUE"""),"HU11154")</f>
        <v>HU11154</v>
      </c>
      <c r="L726" s="121" t="str">
        <f>IFERROR(__xludf.DUMMYFUNCTION("""COMPUTED_VALUE"""),"Mr.SHYAMSUNDAR S")</f>
        <v>Mr.SHYAMSUNDAR S</v>
      </c>
      <c r="M726" s="121" t="str">
        <f>IFERROR(__xludf.DUMMYFUNCTION("""COMPUTED_VALUE"""),"shyamsundar@bitsathy.ac.in")</f>
        <v>shyamsundar@bitsathy.ac.in</v>
      </c>
    </row>
    <row r="727" ht="49.5" customHeight="1">
      <c r="A727" s="121" t="str">
        <f>IFERROR(__xludf.DUMMYFUNCTION("""COMPUTED_VALUE"""),"IT")</f>
        <v>IT</v>
      </c>
      <c r="B727" s="121" t="str">
        <f>IFERROR(__xludf.DUMMYFUNCTION("""COMPUTED_VALUE"""),"S2")</f>
        <v>S2</v>
      </c>
      <c r="C727" s="121" t="str">
        <f>IFERROR(__xludf.DUMMYFUNCTION("""COMPUTED_VALUE"""),"CORE")</f>
        <v>CORE</v>
      </c>
      <c r="D727" s="121" t="str">
        <f>IFERROR(__xludf.DUMMYFUNCTION("""COMPUTED_VALUE"""),"22HS006")</f>
        <v>22HS006</v>
      </c>
      <c r="E727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7" s="121" t="str">
        <f>IFERROR(__xludf.DUMMYFUNCTION("""COMPUTED_VALUE"""),"LAB")</f>
        <v>LAB</v>
      </c>
      <c r="G727" s="121">
        <f>IFERROR(__xludf.DUMMYFUNCTION("""COMPUTED_VALUE"""),1.0)</f>
        <v>1</v>
      </c>
      <c r="H727" s="121">
        <f>IFERROR(__xludf.DUMMYFUNCTION("""COMPUTED_VALUE"""),0.0)</f>
        <v>0</v>
      </c>
      <c r="I727" s="121">
        <f>IFERROR(__xludf.DUMMYFUNCTION("""COMPUTED_VALUE"""),0.0)</f>
        <v>0</v>
      </c>
      <c r="J727" s="121">
        <f>IFERROR(__xludf.DUMMYFUNCTION("""COMPUTED_VALUE"""),1.0)</f>
        <v>1</v>
      </c>
      <c r="K727" s="132" t="str">
        <f>IFERROR(__xludf.DUMMYFUNCTION("""COMPUTED_VALUE"""),"HU11085")</f>
        <v>HU11085</v>
      </c>
      <c r="L727" s="121" t="str">
        <f>IFERROR(__xludf.DUMMYFUNCTION("""COMPUTED_VALUE"""),"Dr.SAGUNTHALA DEVI P")</f>
        <v>Dr.SAGUNTHALA DEVI P</v>
      </c>
      <c r="M727" s="121" t="str">
        <f>IFERROR(__xludf.DUMMYFUNCTION("""COMPUTED_VALUE"""),"sagunthaladevi@bitsathy.ac.in")</f>
        <v>sagunthaladevi@bitsathy.ac.in</v>
      </c>
    </row>
    <row r="728" ht="49.5" customHeight="1">
      <c r="A728" s="121" t="str">
        <f>IFERROR(__xludf.DUMMYFUNCTION("""COMPUTED_VALUE"""),"IT")</f>
        <v>IT</v>
      </c>
      <c r="B728" s="121" t="str">
        <f>IFERROR(__xludf.DUMMYFUNCTION("""COMPUTED_VALUE"""),"S2")</f>
        <v>S2</v>
      </c>
      <c r="C728" s="121" t="str">
        <f>IFERROR(__xludf.DUMMYFUNCTION("""COMPUTED_VALUE"""),"CORE")</f>
        <v>CORE</v>
      </c>
      <c r="D728" s="121" t="str">
        <f>IFERROR(__xludf.DUMMYFUNCTION("""COMPUTED_VALUE"""),"22HS006")</f>
        <v>22HS006</v>
      </c>
      <c r="E728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28" s="121" t="str">
        <f>IFERROR(__xludf.DUMMYFUNCTION("""COMPUTED_VALUE"""),"LAB")</f>
        <v>LAB</v>
      </c>
      <c r="G728" s="121">
        <f>IFERROR(__xludf.DUMMYFUNCTION("""COMPUTED_VALUE"""),1.0)</f>
        <v>1</v>
      </c>
      <c r="H728" s="121">
        <f>IFERROR(__xludf.DUMMYFUNCTION("""COMPUTED_VALUE"""),0.0)</f>
        <v>0</v>
      </c>
      <c r="I728" s="121">
        <f>IFERROR(__xludf.DUMMYFUNCTION("""COMPUTED_VALUE"""),0.0)</f>
        <v>0</v>
      </c>
      <c r="J728" s="121">
        <f>IFERROR(__xludf.DUMMYFUNCTION("""COMPUTED_VALUE"""),1.0)</f>
        <v>1</v>
      </c>
      <c r="K728" s="132" t="str">
        <f>IFERROR(__xludf.DUMMYFUNCTION("""COMPUTED_VALUE"""),"HU11115")</f>
        <v>HU11115</v>
      </c>
      <c r="L728" s="121" t="str">
        <f>IFERROR(__xludf.DUMMYFUNCTION("""COMPUTED_VALUE"""),"Ms.KAMALI D")</f>
        <v>Ms.KAMALI D</v>
      </c>
      <c r="M728" s="121" t="str">
        <f>IFERROR(__xludf.DUMMYFUNCTION("""COMPUTED_VALUE"""),"kamali@bitsathy.ac.in")</f>
        <v>kamali@bitsathy.ac.in</v>
      </c>
    </row>
    <row r="729" ht="49.5" customHeight="1">
      <c r="A729" s="121" t="str">
        <f>IFERROR(__xludf.DUMMYFUNCTION("""COMPUTED_VALUE"""),"IT")</f>
        <v>IT</v>
      </c>
      <c r="B729" s="121" t="str">
        <f>IFERROR(__xludf.DUMMYFUNCTION("""COMPUTED_VALUE"""),"S2")</f>
        <v>S2</v>
      </c>
      <c r="C729" s="121" t="str">
        <f>IFERROR(__xludf.DUMMYFUNCTION("""COMPUTED_VALUE"""),"CORE")</f>
        <v>CORE</v>
      </c>
      <c r="D729" s="121" t="str">
        <f>IFERROR(__xludf.DUMMYFUNCTION("""COMPUTED_VALUE"""),"22HS009")</f>
        <v>22HS009</v>
      </c>
      <c r="E729" s="131" t="str">
        <f>IFERROR(__xludf.DUMMYFUNCTION("""COMPUTED_VALUE"""),"COCURRICULAR OR EXTRACURRICULAR ACTIVITY")</f>
        <v>COCURRICULAR OR EXTRACURRICULAR ACTIVITY</v>
      </c>
      <c r="F729" s="121"/>
      <c r="G729" s="121"/>
      <c r="H729" s="121"/>
      <c r="I729" s="121"/>
      <c r="J729" s="121"/>
      <c r="K729" s="132"/>
      <c r="L729" s="121"/>
      <c r="M729" s="121"/>
    </row>
    <row r="730" ht="49.5" customHeight="1">
      <c r="A730" s="121" t="str">
        <f>IFERROR(__xludf.DUMMYFUNCTION("""COMPUTED_VALUE"""),"IT")</f>
        <v>IT</v>
      </c>
      <c r="B730" s="121" t="str">
        <f>IFERROR(__xludf.DUMMYFUNCTION("""COMPUTED_VALUE"""),"S2")</f>
        <v>S2</v>
      </c>
      <c r="C730" s="121" t="str">
        <f>IFERROR(__xludf.DUMMYFUNCTION("""COMPUTED_VALUE"""),"CORE")</f>
        <v>CORE</v>
      </c>
      <c r="D730" s="121" t="str">
        <f>IFERROR(__xludf.DUMMYFUNCTION("""COMPUTED_VALUE"""),"22HS009")</f>
        <v>22HS009</v>
      </c>
      <c r="E730" s="131" t="str">
        <f>IFERROR(__xludf.DUMMYFUNCTION("""COMPUTED_VALUE"""),"COCURRICULAR OR EXTRACURRICULAR ACTIVITY")</f>
        <v>COCURRICULAR OR EXTRACURRICULAR ACTIVITY</v>
      </c>
      <c r="F730" s="121"/>
      <c r="G730" s="121"/>
      <c r="H730" s="121"/>
      <c r="I730" s="121"/>
      <c r="J730" s="121"/>
      <c r="K730" s="132"/>
      <c r="L730" s="121"/>
      <c r="M730" s="121"/>
    </row>
    <row r="731" ht="49.5" customHeight="1">
      <c r="A731" s="121" t="str">
        <f>IFERROR(__xludf.DUMMYFUNCTION("""COMPUTED_VALUE"""),"IT")</f>
        <v>IT</v>
      </c>
      <c r="B731" s="121" t="str">
        <f>IFERROR(__xludf.DUMMYFUNCTION("""COMPUTED_VALUE"""),"S4")</f>
        <v>S4</v>
      </c>
      <c r="C731" s="121" t="str">
        <f>IFERROR(__xludf.DUMMYFUNCTION("""COMPUTED_VALUE"""),"CORE")</f>
        <v>CORE</v>
      </c>
      <c r="D731" s="121" t="str">
        <f>IFERROR(__xludf.DUMMYFUNCTION("""COMPUTED_VALUE"""),"22IT401")</f>
        <v>22IT401</v>
      </c>
      <c r="E731" s="131" t="str">
        <f>IFERROR(__xludf.DUMMYFUNCTION("""COMPUTED_VALUE"""),"DISCRETE MATHEMATICS")</f>
        <v>DISCRETE MATHEMATICS</v>
      </c>
      <c r="F731" s="121" t="str">
        <f>IFERROR(__xludf.DUMMYFUNCTION("""COMPUTED_VALUE"""),"THEORY")</f>
        <v>THEORY</v>
      </c>
      <c r="G731" s="121">
        <f>IFERROR(__xludf.DUMMYFUNCTION("""COMPUTED_VALUE"""),3.0)</f>
        <v>3</v>
      </c>
      <c r="H731" s="121">
        <f>IFERROR(__xludf.DUMMYFUNCTION("""COMPUTED_VALUE"""),1.0)</f>
        <v>1</v>
      </c>
      <c r="I731" s="121">
        <f>IFERROR(__xludf.DUMMYFUNCTION("""COMPUTED_VALUE"""),0.0)</f>
        <v>0</v>
      </c>
      <c r="J731" s="121">
        <f>IFERROR(__xludf.DUMMYFUNCTION("""COMPUTED_VALUE"""),4.0)</f>
        <v>4</v>
      </c>
      <c r="K731" s="132" t="str">
        <f>IFERROR(__xludf.DUMMYFUNCTION("""COMPUTED_VALUE"""),"MA1303")</f>
        <v>MA1303</v>
      </c>
      <c r="L731" s="121" t="str">
        <f>IFERROR(__xludf.DUMMYFUNCTION("""COMPUTED_VALUE"""),"Dr.INDIRANI C")</f>
        <v>Dr.INDIRANI C</v>
      </c>
      <c r="M731" s="121" t="str">
        <f>IFERROR(__xludf.DUMMYFUNCTION("""COMPUTED_VALUE"""),"indiranic@bitsathy.ac.in")</f>
        <v>indiranic@bitsathy.ac.in</v>
      </c>
    </row>
    <row r="732" ht="49.5" customHeight="1">
      <c r="A732" s="121" t="str">
        <f>IFERROR(__xludf.DUMMYFUNCTION("""COMPUTED_VALUE"""),"IT")</f>
        <v>IT</v>
      </c>
      <c r="B732" s="121" t="str">
        <f>IFERROR(__xludf.DUMMYFUNCTION("""COMPUTED_VALUE"""),"S4")</f>
        <v>S4</v>
      </c>
      <c r="C732" s="121" t="str">
        <f>IFERROR(__xludf.DUMMYFUNCTION("""COMPUTED_VALUE"""),"CORE")</f>
        <v>CORE</v>
      </c>
      <c r="D732" s="121" t="str">
        <f>IFERROR(__xludf.DUMMYFUNCTION("""COMPUTED_VALUE"""),"22IT401")</f>
        <v>22IT401</v>
      </c>
      <c r="E732" s="131" t="str">
        <f>IFERROR(__xludf.DUMMYFUNCTION("""COMPUTED_VALUE"""),"DISCRETE MATHEMATICS")</f>
        <v>DISCRETE MATHEMATICS</v>
      </c>
      <c r="F732" s="121" t="str">
        <f>IFERROR(__xludf.DUMMYFUNCTION("""COMPUTED_VALUE"""),"THEORY")</f>
        <v>THEORY</v>
      </c>
      <c r="G732" s="121">
        <f>IFERROR(__xludf.DUMMYFUNCTION("""COMPUTED_VALUE"""),3.0)</f>
        <v>3</v>
      </c>
      <c r="H732" s="121">
        <f>IFERROR(__xludf.DUMMYFUNCTION("""COMPUTED_VALUE"""),1.0)</f>
        <v>1</v>
      </c>
      <c r="I732" s="121">
        <f>IFERROR(__xludf.DUMMYFUNCTION("""COMPUTED_VALUE"""),0.0)</f>
        <v>0</v>
      </c>
      <c r="J732" s="121">
        <f>IFERROR(__xludf.DUMMYFUNCTION("""COMPUTED_VALUE"""),4.0)</f>
        <v>4</v>
      </c>
      <c r="K732" s="132" t="str">
        <f>IFERROR(__xludf.DUMMYFUNCTION("""COMPUTED_VALUE"""),"MA10452")</f>
        <v>MA10452</v>
      </c>
      <c r="L732" s="121" t="str">
        <f>IFERROR(__xludf.DUMMYFUNCTION("""COMPUTED_VALUE"""),"Mr.KALAISELVAN S")</f>
        <v>Mr.KALAISELVAN S</v>
      </c>
      <c r="M732" s="121" t="str">
        <f>IFERROR(__xludf.DUMMYFUNCTION("""COMPUTED_VALUE"""),"kalaiselvan@bitsathy.ac.in")</f>
        <v>kalaiselvan@bitsathy.ac.in</v>
      </c>
    </row>
    <row r="733" ht="49.5" customHeight="1">
      <c r="A733" s="121" t="str">
        <f>IFERROR(__xludf.DUMMYFUNCTION("""COMPUTED_VALUE"""),"IT")</f>
        <v>IT</v>
      </c>
      <c r="B733" s="121" t="str">
        <f>IFERROR(__xludf.DUMMYFUNCTION("""COMPUTED_VALUE"""),"S4")</f>
        <v>S4</v>
      </c>
      <c r="C733" s="121" t="str">
        <f>IFERROR(__xludf.DUMMYFUNCTION("""COMPUTED_VALUE"""),"CORE")</f>
        <v>CORE</v>
      </c>
      <c r="D733" s="121" t="str">
        <f>IFERROR(__xludf.DUMMYFUNCTION("""COMPUTED_VALUE"""),"22IT401")</f>
        <v>22IT401</v>
      </c>
      <c r="E733" s="131" t="str">
        <f>IFERROR(__xludf.DUMMYFUNCTION("""COMPUTED_VALUE"""),"DISCRETE MATHEMATICS")</f>
        <v>DISCRETE MATHEMATICS</v>
      </c>
      <c r="F733" s="121" t="str">
        <f>IFERROR(__xludf.DUMMYFUNCTION("""COMPUTED_VALUE"""),"THEORY")</f>
        <v>THEORY</v>
      </c>
      <c r="G733" s="121">
        <f>IFERROR(__xludf.DUMMYFUNCTION("""COMPUTED_VALUE"""),3.0)</f>
        <v>3</v>
      </c>
      <c r="H733" s="121">
        <f>IFERROR(__xludf.DUMMYFUNCTION("""COMPUTED_VALUE"""),1.0)</f>
        <v>1</v>
      </c>
      <c r="I733" s="121">
        <f>IFERROR(__xludf.DUMMYFUNCTION("""COMPUTED_VALUE"""),0.0)</f>
        <v>0</v>
      </c>
      <c r="J733" s="121">
        <f>IFERROR(__xludf.DUMMYFUNCTION("""COMPUTED_VALUE"""),4.0)</f>
        <v>4</v>
      </c>
      <c r="K733" s="132" t="str">
        <f>IFERROR(__xludf.DUMMYFUNCTION("""COMPUTED_VALUE"""),"MA10518")</f>
        <v>MA10518</v>
      </c>
      <c r="L733" s="121" t="str">
        <f>IFERROR(__xludf.DUMMYFUNCTION("""COMPUTED_VALUE"""),"Dr.PRABAKARAN P")</f>
        <v>Dr.PRABAKARAN P</v>
      </c>
      <c r="M733" s="121" t="str">
        <f>IFERROR(__xludf.DUMMYFUNCTION("""COMPUTED_VALUE"""),"prabakaran@bitsathy.ac.in")</f>
        <v>prabakaran@bitsathy.ac.in</v>
      </c>
    </row>
    <row r="734" ht="49.5" customHeight="1">
      <c r="A734" s="121" t="str">
        <f>IFERROR(__xludf.DUMMYFUNCTION("""COMPUTED_VALUE"""),"IT")</f>
        <v>IT</v>
      </c>
      <c r="B734" s="121" t="str">
        <f>IFERROR(__xludf.DUMMYFUNCTION("""COMPUTED_VALUE"""),"S4")</f>
        <v>S4</v>
      </c>
      <c r="C734" s="121" t="str">
        <f>IFERROR(__xludf.DUMMYFUNCTION("""COMPUTED_VALUE"""),"CORE")</f>
        <v>CORE</v>
      </c>
      <c r="D734" s="121" t="str">
        <f>IFERROR(__xludf.DUMMYFUNCTION("""COMPUTED_VALUE"""),"22IT401")</f>
        <v>22IT401</v>
      </c>
      <c r="E734" s="131" t="str">
        <f>IFERROR(__xludf.DUMMYFUNCTION("""COMPUTED_VALUE"""),"DISCRETE MATHEMATICS")</f>
        <v>DISCRETE MATHEMATICS</v>
      </c>
      <c r="F734" s="121" t="str">
        <f>IFERROR(__xludf.DUMMYFUNCTION("""COMPUTED_VALUE"""),"THEORY")</f>
        <v>THEORY</v>
      </c>
      <c r="G734" s="121">
        <f>IFERROR(__xludf.DUMMYFUNCTION("""COMPUTED_VALUE"""),3.0)</f>
        <v>3</v>
      </c>
      <c r="H734" s="121">
        <f>IFERROR(__xludf.DUMMYFUNCTION("""COMPUTED_VALUE"""),1.0)</f>
        <v>1</v>
      </c>
      <c r="I734" s="121">
        <f>IFERROR(__xludf.DUMMYFUNCTION("""COMPUTED_VALUE"""),0.0)</f>
        <v>0</v>
      </c>
      <c r="J734" s="121">
        <f>IFERROR(__xludf.DUMMYFUNCTION("""COMPUTED_VALUE"""),4.0)</f>
        <v>4</v>
      </c>
      <c r="K734" s="132" t="str">
        <f>IFERROR(__xludf.DUMMYFUNCTION("""COMPUTED_VALUE"""),"MA11070")</f>
        <v>MA11070</v>
      </c>
      <c r="L734" s="121" t="str">
        <f>IFERROR(__xludf.DUMMYFUNCTION("""COMPUTED_VALUE"""),"Dr.MALATHI M")</f>
        <v>Dr.MALATHI M</v>
      </c>
      <c r="M734" s="121" t="str">
        <f>IFERROR(__xludf.DUMMYFUNCTION("""COMPUTED_VALUE"""),"malathim@bitsathy.ac.in")</f>
        <v>malathim@bitsathy.ac.in</v>
      </c>
    </row>
    <row r="735" ht="49.5" customHeight="1">
      <c r="A735" s="121" t="str">
        <f>IFERROR(__xludf.DUMMYFUNCTION("""COMPUTED_VALUE"""),"IT")</f>
        <v>IT</v>
      </c>
      <c r="B735" s="121" t="str">
        <f>IFERROR(__xludf.DUMMYFUNCTION("""COMPUTED_VALUE"""),"S4")</f>
        <v>S4</v>
      </c>
      <c r="C735" s="121" t="str">
        <f>IFERROR(__xludf.DUMMYFUNCTION("""COMPUTED_VALUE"""),"CORE")</f>
        <v>CORE</v>
      </c>
      <c r="D735" s="121" t="str">
        <f>IFERROR(__xludf.DUMMYFUNCTION("""COMPUTED_VALUE"""),"22IT402")</f>
        <v>22IT402</v>
      </c>
      <c r="E735" s="131" t="str">
        <f>IFERROR(__xludf.DUMMYFUNCTION("""COMPUTED_VALUE"""),"DATA STRUCTURES II")</f>
        <v>DATA STRUCTURES II</v>
      </c>
      <c r="F735" s="121" t="str">
        <f>IFERROR(__xludf.DUMMYFUNCTION("""COMPUTED_VALUE"""),"THEORY WITH LAB")</f>
        <v>THEORY WITH LAB</v>
      </c>
      <c r="G735" s="121">
        <f>IFERROR(__xludf.DUMMYFUNCTION("""COMPUTED_VALUE"""),3.0)</f>
        <v>3</v>
      </c>
      <c r="H735" s="121">
        <f>IFERROR(__xludf.DUMMYFUNCTION("""COMPUTED_VALUE"""),0.0)</f>
        <v>0</v>
      </c>
      <c r="I735" s="121">
        <f>IFERROR(__xludf.DUMMYFUNCTION("""COMPUTED_VALUE"""),2.0)</f>
        <v>2</v>
      </c>
      <c r="J735" s="121">
        <f>IFERROR(__xludf.DUMMYFUNCTION("""COMPUTED_VALUE"""),4.0)</f>
        <v>4</v>
      </c>
      <c r="K735" s="132" t="str">
        <f>IFERROR(__xludf.DUMMYFUNCTION("""COMPUTED_VALUE"""),"CD11179")</f>
        <v>CD11179</v>
      </c>
      <c r="L735" s="121" t="str">
        <f>IFERROR(__xludf.DUMMYFUNCTION("""COMPUTED_VALUE"""),"Mrs.SUBHASHREE P")</f>
        <v>Mrs.SUBHASHREE P</v>
      </c>
      <c r="M735" s="121" t="str">
        <f>IFERROR(__xludf.DUMMYFUNCTION("""COMPUTED_VALUE"""),"subhashreep@bitsathy.ac.in")</f>
        <v>subhashreep@bitsathy.ac.in</v>
      </c>
    </row>
    <row r="736" ht="49.5" customHeight="1">
      <c r="A736" s="121" t="str">
        <f>IFERROR(__xludf.DUMMYFUNCTION("""COMPUTED_VALUE"""),"IT")</f>
        <v>IT</v>
      </c>
      <c r="B736" s="121" t="str">
        <f>IFERROR(__xludf.DUMMYFUNCTION("""COMPUTED_VALUE"""),"S4")</f>
        <v>S4</v>
      </c>
      <c r="C736" s="121" t="str">
        <f>IFERROR(__xludf.DUMMYFUNCTION("""COMPUTED_VALUE"""),"CORE")</f>
        <v>CORE</v>
      </c>
      <c r="D736" s="121" t="str">
        <f>IFERROR(__xludf.DUMMYFUNCTION("""COMPUTED_VALUE"""),"22IT402")</f>
        <v>22IT402</v>
      </c>
      <c r="E736" s="131" t="str">
        <f>IFERROR(__xludf.DUMMYFUNCTION("""COMPUTED_VALUE"""),"DATA STRUCTURES II")</f>
        <v>DATA STRUCTURES II</v>
      </c>
      <c r="F736" s="121" t="str">
        <f>IFERROR(__xludf.DUMMYFUNCTION("""COMPUTED_VALUE"""),"THEORY WITH LAB")</f>
        <v>THEORY WITH LAB</v>
      </c>
      <c r="G736" s="121">
        <f>IFERROR(__xludf.DUMMYFUNCTION("""COMPUTED_VALUE"""),3.0)</f>
        <v>3</v>
      </c>
      <c r="H736" s="121">
        <f>IFERROR(__xludf.DUMMYFUNCTION("""COMPUTED_VALUE"""),0.0)</f>
        <v>0</v>
      </c>
      <c r="I736" s="121">
        <f>IFERROR(__xludf.DUMMYFUNCTION("""COMPUTED_VALUE"""),2.0)</f>
        <v>2</v>
      </c>
      <c r="J736" s="121">
        <f>IFERROR(__xludf.DUMMYFUNCTION("""COMPUTED_VALUE"""),4.0)</f>
        <v>4</v>
      </c>
      <c r="K736" s="132" t="str">
        <f>IFERROR(__xludf.DUMMYFUNCTION("""COMPUTED_VALUE"""),"IT11040")</f>
        <v>IT11040</v>
      </c>
      <c r="L736" s="121" t="str">
        <f>IFERROR(__xludf.DUMMYFUNCTION("""COMPUTED_VALUE"""),"Dr.PRIYA J")</f>
        <v>Dr.PRIYA J</v>
      </c>
      <c r="M736" s="121" t="str">
        <f>IFERROR(__xludf.DUMMYFUNCTION("""COMPUTED_VALUE"""),"priyajn@bitsathy.ac.in")</f>
        <v>priyajn@bitsathy.ac.in</v>
      </c>
    </row>
    <row r="737" ht="49.5" customHeight="1">
      <c r="A737" s="121" t="str">
        <f>IFERROR(__xludf.DUMMYFUNCTION("""COMPUTED_VALUE"""),"IT")</f>
        <v>IT</v>
      </c>
      <c r="B737" s="121" t="str">
        <f>IFERROR(__xludf.DUMMYFUNCTION("""COMPUTED_VALUE"""),"S4")</f>
        <v>S4</v>
      </c>
      <c r="C737" s="121" t="str">
        <f>IFERROR(__xludf.DUMMYFUNCTION("""COMPUTED_VALUE"""),"CORE")</f>
        <v>CORE</v>
      </c>
      <c r="D737" s="121" t="str">
        <f>IFERROR(__xludf.DUMMYFUNCTION("""COMPUTED_VALUE"""),"22IT402")</f>
        <v>22IT402</v>
      </c>
      <c r="E737" s="131" t="str">
        <f>IFERROR(__xludf.DUMMYFUNCTION("""COMPUTED_VALUE"""),"DATA STRUCTURES II")</f>
        <v>DATA STRUCTURES II</v>
      </c>
      <c r="F737" s="121" t="str">
        <f>IFERROR(__xludf.DUMMYFUNCTION("""COMPUTED_VALUE"""),"THEORY WITH LAB")</f>
        <v>THEORY WITH LAB</v>
      </c>
      <c r="G737" s="121">
        <f>IFERROR(__xludf.DUMMYFUNCTION("""COMPUTED_VALUE"""),3.0)</f>
        <v>3</v>
      </c>
      <c r="H737" s="121">
        <f>IFERROR(__xludf.DUMMYFUNCTION("""COMPUTED_VALUE"""),0.0)</f>
        <v>0</v>
      </c>
      <c r="I737" s="121">
        <f>IFERROR(__xludf.DUMMYFUNCTION("""COMPUTED_VALUE"""),2.0)</f>
        <v>2</v>
      </c>
      <c r="J737" s="121">
        <f>IFERROR(__xludf.DUMMYFUNCTION("""COMPUTED_VALUE"""),4.0)</f>
        <v>4</v>
      </c>
      <c r="K737" s="132" t="str">
        <f>IFERROR(__xludf.DUMMYFUNCTION("""COMPUTED_VALUE"""),"IT10262")</f>
        <v>IT10262</v>
      </c>
      <c r="L737" s="121" t="str">
        <f>IFERROR(__xludf.DUMMYFUNCTION("""COMPUTED_VALUE"""),"Ms.SABARMATHI K R")</f>
        <v>Ms.SABARMATHI K R</v>
      </c>
      <c r="M737" s="121" t="str">
        <f>IFERROR(__xludf.DUMMYFUNCTION("""COMPUTED_VALUE"""),"sabarmathi@bitsathy.ac.in")</f>
        <v>sabarmathi@bitsathy.ac.in</v>
      </c>
    </row>
    <row r="738" ht="49.5" customHeight="1">
      <c r="A738" s="121" t="str">
        <f>IFERROR(__xludf.DUMMYFUNCTION("""COMPUTED_VALUE"""),"IT")</f>
        <v>IT</v>
      </c>
      <c r="B738" s="121" t="str">
        <f>IFERROR(__xludf.DUMMYFUNCTION("""COMPUTED_VALUE"""),"S4")</f>
        <v>S4</v>
      </c>
      <c r="C738" s="121" t="str">
        <f>IFERROR(__xludf.DUMMYFUNCTION("""COMPUTED_VALUE"""),"CORE")</f>
        <v>CORE</v>
      </c>
      <c r="D738" s="121" t="str">
        <f>IFERROR(__xludf.DUMMYFUNCTION("""COMPUTED_VALUE"""),"22IT402")</f>
        <v>22IT402</v>
      </c>
      <c r="E738" s="131" t="str">
        <f>IFERROR(__xludf.DUMMYFUNCTION("""COMPUTED_VALUE"""),"DATA STRUCTURES II")</f>
        <v>DATA STRUCTURES II</v>
      </c>
      <c r="F738" s="121" t="str">
        <f>IFERROR(__xludf.DUMMYFUNCTION("""COMPUTED_VALUE"""),"THEORY WITH LAB")</f>
        <v>THEORY WITH LAB</v>
      </c>
      <c r="G738" s="121">
        <f>IFERROR(__xludf.DUMMYFUNCTION("""COMPUTED_VALUE"""),3.0)</f>
        <v>3</v>
      </c>
      <c r="H738" s="121">
        <f>IFERROR(__xludf.DUMMYFUNCTION("""COMPUTED_VALUE"""),0.0)</f>
        <v>0</v>
      </c>
      <c r="I738" s="121">
        <f>IFERROR(__xludf.DUMMYFUNCTION("""COMPUTED_VALUE"""),2.0)</f>
        <v>2</v>
      </c>
      <c r="J738" s="121">
        <f>IFERROR(__xludf.DUMMYFUNCTION("""COMPUTED_VALUE"""),4.0)</f>
        <v>4</v>
      </c>
      <c r="K738" s="132" t="str">
        <f>IFERROR(__xludf.DUMMYFUNCTION("""COMPUTED_VALUE"""),"CT11030")</f>
        <v>CT11030</v>
      </c>
      <c r="L738" s="121" t="str">
        <f>IFERROR(__xludf.DUMMYFUNCTION("""COMPUTED_VALUE"""),"Mrs.SAVEETHA R")</f>
        <v>Mrs.SAVEETHA R</v>
      </c>
      <c r="M738" s="121" t="str">
        <f>IFERROR(__xludf.DUMMYFUNCTION("""COMPUTED_VALUE"""),"saveethar@bitsathy.ac.in")</f>
        <v>saveethar@bitsathy.ac.in</v>
      </c>
    </row>
    <row r="739" ht="49.5" customHeight="1">
      <c r="A739" s="121" t="str">
        <f>IFERROR(__xludf.DUMMYFUNCTION("""COMPUTED_VALUE"""),"IT")</f>
        <v>IT</v>
      </c>
      <c r="B739" s="121" t="str">
        <f>IFERROR(__xludf.DUMMYFUNCTION("""COMPUTED_VALUE"""),"S4")</f>
        <v>S4</v>
      </c>
      <c r="C739" s="121" t="str">
        <f>IFERROR(__xludf.DUMMYFUNCTION("""COMPUTED_VALUE"""),"CORE")</f>
        <v>CORE</v>
      </c>
      <c r="D739" s="121" t="str">
        <f>IFERROR(__xludf.DUMMYFUNCTION("""COMPUTED_VALUE"""),"22IT403")</f>
        <v>22IT403</v>
      </c>
      <c r="E739" s="131" t="str">
        <f>IFERROR(__xludf.DUMMYFUNCTION("""COMPUTED_VALUE"""),"OPERATING SYSTEMS")</f>
        <v>OPERATING SYSTEMS</v>
      </c>
      <c r="F739" s="121" t="str">
        <f>IFERROR(__xludf.DUMMYFUNCTION("""COMPUTED_VALUE"""),"THEORY")</f>
        <v>THEORY</v>
      </c>
      <c r="G739" s="121">
        <f>IFERROR(__xludf.DUMMYFUNCTION("""COMPUTED_VALUE"""),3.0)</f>
        <v>3</v>
      </c>
      <c r="H739" s="121">
        <f>IFERROR(__xludf.DUMMYFUNCTION("""COMPUTED_VALUE"""),1.0)</f>
        <v>1</v>
      </c>
      <c r="I739" s="121">
        <f>IFERROR(__xludf.DUMMYFUNCTION("""COMPUTED_VALUE"""),0.0)</f>
        <v>0</v>
      </c>
      <c r="J739" s="121">
        <f>IFERROR(__xludf.DUMMYFUNCTION("""COMPUTED_VALUE"""),4.0)</f>
        <v>4</v>
      </c>
      <c r="K739" s="132" t="str">
        <f>IFERROR(__xludf.DUMMYFUNCTION("""COMPUTED_VALUE"""),"IT10395")</f>
        <v>IT10395</v>
      </c>
      <c r="L739" s="121" t="str">
        <f>IFERROR(__xludf.DUMMYFUNCTION("""COMPUTED_VALUE"""),"Dr.SRI VINITHA V")</f>
        <v>Dr.SRI VINITHA V</v>
      </c>
      <c r="M739" s="133" t="str">
        <f>IFERROR(__xludf.DUMMYFUNCTION("""COMPUTED_VALUE"""),"srivinitha@bitsathy.ac.in")</f>
        <v>srivinitha@bitsathy.ac.in</v>
      </c>
    </row>
    <row r="740" ht="49.5" customHeight="1">
      <c r="A740" s="121" t="str">
        <f>IFERROR(__xludf.DUMMYFUNCTION("""COMPUTED_VALUE"""),"IT")</f>
        <v>IT</v>
      </c>
      <c r="B740" s="121" t="str">
        <f>IFERROR(__xludf.DUMMYFUNCTION("""COMPUTED_VALUE"""),"S4")</f>
        <v>S4</v>
      </c>
      <c r="C740" s="121" t="str">
        <f>IFERROR(__xludf.DUMMYFUNCTION("""COMPUTED_VALUE"""),"CORE")</f>
        <v>CORE</v>
      </c>
      <c r="D740" s="121" t="str">
        <f>IFERROR(__xludf.DUMMYFUNCTION("""COMPUTED_VALUE"""),"22IT403")</f>
        <v>22IT403</v>
      </c>
      <c r="E740" s="131" t="str">
        <f>IFERROR(__xludf.DUMMYFUNCTION("""COMPUTED_VALUE"""),"OPERATING SYSTEMS")</f>
        <v>OPERATING SYSTEMS</v>
      </c>
      <c r="F740" s="121" t="str">
        <f>IFERROR(__xludf.DUMMYFUNCTION("""COMPUTED_VALUE"""),"THEORY")</f>
        <v>THEORY</v>
      </c>
      <c r="G740" s="121">
        <f>IFERROR(__xludf.DUMMYFUNCTION("""COMPUTED_VALUE"""),3.0)</f>
        <v>3</v>
      </c>
      <c r="H740" s="121">
        <f>IFERROR(__xludf.DUMMYFUNCTION("""COMPUTED_VALUE"""),1.0)</f>
        <v>1</v>
      </c>
      <c r="I740" s="121">
        <f>IFERROR(__xludf.DUMMYFUNCTION("""COMPUTED_VALUE"""),0.0)</f>
        <v>0</v>
      </c>
      <c r="J740" s="121">
        <f>IFERROR(__xludf.DUMMYFUNCTION("""COMPUTED_VALUE"""),4.0)</f>
        <v>4</v>
      </c>
      <c r="K740" s="132" t="str">
        <f>IFERROR(__xludf.DUMMYFUNCTION("""COMPUTED_VALUE"""),"CS10843")</f>
        <v>CS10843</v>
      </c>
      <c r="L740" s="121" t="str">
        <f>IFERROR(__xludf.DUMMYFUNCTION("""COMPUTED_VALUE"""),"Mrs.NITHYA R")</f>
        <v>Mrs.NITHYA R</v>
      </c>
      <c r="M740" s="121" t="str">
        <f>IFERROR(__xludf.DUMMYFUNCTION("""COMPUTED_VALUE"""),"nithyars@bitsathy.ac.in")</f>
        <v>nithyars@bitsathy.ac.in</v>
      </c>
    </row>
    <row r="741" ht="49.5" customHeight="1">
      <c r="A741" s="121" t="str">
        <f>IFERROR(__xludf.DUMMYFUNCTION("""COMPUTED_VALUE"""),"IT")</f>
        <v>IT</v>
      </c>
      <c r="B741" s="121" t="str">
        <f>IFERROR(__xludf.DUMMYFUNCTION("""COMPUTED_VALUE"""),"S4")</f>
        <v>S4</v>
      </c>
      <c r="C741" s="121" t="str">
        <f>IFERROR(__xludf.DUMMYFUNCTION("""COMPUTED_VALUE"""),"CORE")</f>
        <v>CORE</v>
      </c>
      <c r="D741" s="121" t="str">
        <f>IFERROR(__xludf.DUMMYFUNCTION("""COMPUTED_VALUE"""),"22IT403")</f>
        <v>22IT403</v>
      </c>
      <c r="E741" s="131" t="str">
        <f>IFERROR(__xludf.DUMMYFUNCTION("""COMPUTED_VALUE"""),"OPERATING SYSTEMS")</f>
        <v>OPERATING SYSTEMS</v>
      </c>
      <c r="F741" s="121" t="str">
        <f>IFERROR(__xludf.DUMMYFUNCTION("""COMPUTED_VALUE"""),"THEORY")</f>
        <v>THEORY</v>
      </c>
      <c r="G741" s="121">
        <f>IFERROR(__xludf.DUMMYFUNCTION("""COMPUTED_VALUE"""),3.0)</f>
        <v>3</v>
      </c>
      <c r="H741" s="121">
        <f>IFERROR(__xludf.DUMMYFUNCTION("""COMPUTED_VALUE"""),1.0)</f>
        <v>1</v>
      </c>
      <c r="I741" s="121">
        <f>IFERROR(__xludf.DUMMYFUNCTION("""COMPUTED_VALUE"""),0.0)</f>
        <v>0</v>
      </c>
      <c r="J741" s="121">
        <f>IFERROR(__xludf.DUMMYFUNCTION("""COMPUTED_VALUE"""),4.0)</f>
        <v>4</v>
      </c>
      <c r="K741" s="132" t="str">
        <f>IFERROR(__xludf.DUMMYFUNCTION("""COMPUTED_VALUE"""),"IT11144")</f>
        <v>IT11144</v>
      </c>
      <c r="L741" s="121" t="str">
        <f>IFERROR(__xludf.DUMMYFUNCTION("""COMPUTED_VALUE"""),"Mrs.SHANGARA NARAYANEE N P")</f>
        <v>Mrs.SHANGARA NARAYANEE N P</v>
      </c>
      <c r="M741" s="121" t="str">
        <f>IFERROR(__xludf.DUMMYFUNCTION("""COMPUTED_VALUE"""),"shangaranarayanee@bitsathy.ac.in")</f>
        <v>shangaranarayanee@bitsathy.ac.in</v>
      </c>
    </row>
    <row r="742" ht="49.5" customHeight="1">
      <c r="A742" s="121" t="str">
        <f>IFERROR(__xludf.DUMMYFUNCTION("""COMPUTED_VALUE"""),"IT")</f>
        <v>IT</v>
      </c>
      <c r="B742" s="121" t="str">
        <f>IFERROR(__xludf.DUMMYFUNCTION("""COMPUTED_VALUE"""),"S4")</f>
        <v>S4</v>
      </c>
      <c r="C742" s="121" t="str">
        <f>IFERROR(__xludf.DUMMYFUNCTION("""COMPUTED_VALUE"""),"CORE")</f>
        <v>CORE</v>
      </c>
      <c r="D742" s="121" t="str">
        <f>IFERROR(__xludf.DUMMYFUNCTION("""COMPUTED_VALUE"""),"22IT403")</f>
        <v>22IT403</v>
      </c>
      <c r="E742" s="131" t="str">
        <f>IFERROR(__xludf.DUMMYFUNCTION("""COMPUTED_VALUE"""),"OPERATING SYSTEMS")</f>
        <v>OPERATING SYSTEMS</v>
      </c>
      <c r="F742" s="121" t="str">
        <f>IFERROR(__xludf.DUMMYFUNCTION("""COMPUTED_VALUE"""),"THEORY")</f>
        <v>THEORY</v>
      </c>
      <c r="G742" s="121">
        <f>IFERROR(__xludf.DUMMYFUNCTION("""COMPUTED_VALUE"""),3.0)</f>
        <v>3</v>
      </c>
      <c r="H742" s="121">
        <f>IFERROR(__xludf.DUMMYFUNCTION("""COMPUTED_VALUE"""),1.0)</f>
        <v>1</v>
      </c>
      <c r="I742" s="121">
        <f>IFERROR(__xludf.DUMMYFUNCTION("""COMPUTED_VALUE"""),0.0)</f>
        <v>0</v>
      </c>
      <c r="J742" s="121">
        <f>IFERROR(__xludf.DUMMYFUNCTION("""COMPUTED_VALUE"""),4.0)</f>
        <v>4</v>
      </c>
      <c r="K742" s="132" t="str">
        <f>IFERROR(__xludf.DUMMYFUNCTION("""COMPUTED_VALUE"""),"IT11155")</f>
        <v>IT11155</v>
      </c>
      <c r="L742" s="121" t="str">
        <f>IFERROR(__xludf.DUMMYFUNCTION("""COMPUTED_VALUE"""),"Mrs.DEEPA SUMATHI M")</f>
        <v>Mrs.DEEPA SUMATHI M</v>
      </c>
      <c r="M742" s="121" t="str">
        <f>IFERROR(__xludf.DUMMYFUNCTION("""COMPUTED_VALUE"""),"deepasumathim@bitsathy.ac.in")</f>
        <v>deepasumathim@bitsathy.ac.in</v>
      </c>
    </row>
    <row r="743" ht="49.5" customHeight="1">
      <c r="A743" s="121" t="str">
        <f>IFERROR(__xludf.DUMMYFUNCTION("""COMPUTED_VALUE"""),"IT")</f>
        <v>IT</v>
      </c>
      <c r="B743" s="121" t="str">
        <f>IFERROR(__xludf.DUMMYFUNCTION("""COMPUTED_VALUE"""),"S4")</f>
        <v>S4</v>
      </c>
      <c r="C743" s="121" t="str">
        <f>IFERROR(__xludf.DUMMYFUNCTION("""COMPUTED_VALUE"""),"CORE")</f>
        <v>CORE</v>
      </c>
      <c r="D743" s="121" t="str">
        <f>IFERROR(__xludf.DUMMYFUNCTION("""COMPUTED_VALUE"""),"22IT404")</f>
        <v>22IT404</v>
      </c>
      <c r="E743" s="131" t="str">
        <f>IFERROR(__xludf.DUMMYFUNCTION("""COMPUTED_VALUE"""),"WEB TECHNOLOGY AND FRAMEWORKS")</f>
        <v>WEB TECHNOLOGY AND FRAMEWORKS</v>
      </c>
      <c r="F743" s="121" t="str">
        <f>IFERROR(__xludf.DUMMYFUNCTION("""COMPUTED_VALUE"""),"THEORY WITH LAB")</f>
        <v>THEORY WITH LAB</v>
      </c>
      <c r="G743" s="121">
        <f>IFERROR(__xludf.DUMMYFUNCTION("""COMPUTED_VALUE"""),2.0)</f>
        <v>2</v>
      </c>
      <c r="H743" s="121">
        <f>IFERROR(__xludf.DUMMYFUNCTION("""COMPUTED_VALUE"""),0.0)</f>
        <v>0</v>
      </c>
      <c r="I743" s="121">
        <f>IFERROR(__xludf.DUMMYFUNCTION("""COMPUTED_VALUE"""),2.0)</f>
        <v>2</v>
      </c>
      <c r="J743" s="121">
        <f>IFERROR(__xludf.DUMMYFUNCTION("""COMPUTED_VALUE"""),3.0)</f>
        <v>3</v>
      </c>
      <c r="K743" s="132" t="str">
        <f>IFERROR(__xludf.DUMMYFUNCTION("""COMPUTED_VALUE"""),"IT10824")</f>
        <v>IT10824</v>
      </c>
      <c r="L743" s="121" t="str">
        <f>IFERROR(__xludf.DUMMYFUNCTION("""COMPUTED_VALUE"""),"Dr.CHANDRAPRABHA K")</f>
        <v>Dr.CHANDRAPRABHA K</v>
      </c>
      <c r="M743" s="121" t="str">
        <f>IFERROR(__xludf.DUMMYFUNCTION("""COMPUTED_VALUE"""),"chandraprabhak@bitsathy.ac.in")</f>
        <v>chandraprabhak@bitsathy.ac.in</v>
      </c>
    </row>
    <row r="744" ht="49.5" customHeight="1">
      <c r="A744" s="121" t="str">
        <f>IFERROR(__xludf.DUMMYFUNCTION("""COMPUTED_VALUE"""),"IT")</f>
        <v>IT</v>
      </c>
      <c r="B744" s="121" t="str">
        <f>IFERROR(__xludf.DUMMYFUNCTION("""COMPUTED_VALUE"""),"S4")</f>
        <v>S4</v>
      </c>
      <c r="C744" s="121" t="str">
        <f>IFERROR(__xludf.DUMMYFUNCTION("""COMPUTED_VALUE"""),"CORE")</f>
        <v>CORE</v>
      </c>
      <c r="D744" s="121" t="str">
        <f>IFERROR(__xludf.DUMMYFUNCTION("""COMPUTED_VALUE"""),"22IT404")</f>
        <v>22IT404</v>
      </c>
      <c r="E744" s="131" t="str">
        <f>IFERROR(__xludf.DUMMYFUNCTION("""COMPUTED_VALUE"""),"WEB TECHNOLOGY AND FRAMEWORKS")</f>
        <v>WEB TECHNOLOGY AND FRAMEWORKS</v>
      </c>
      <c r="F744" s="121" t="str">
        <f>IFERROR(__xludf.DUMMYFUNCTION("""COMPUTED_VALUE"""),"THEORY WITH LAB")</f>
        <v>THEORY WITH LAB</v>
      </c>
      <c r="G744" s="121">
        <f>IFERROR(__xludf.DUMMYFUNCTION("""COMPUTED_VALUE"""),2.0)</f>
        <v>2</v>
      </c>
      <c r="H744" s="121">
        <f>IFERROR(__xludf.DUMMYFUNCTION("""COMPUTED_VALUE"""),0.0)</f>
        <v>0</v>
      </c>
      <c r="I744" s="121">
        <f>IFERROR(__xludf.DUMMYFUNCTION("""COMPUTED_VALUE"""),2.0)</f>
        <v>2</v>
      </c>
      <c r="J744" s="121">
        <f>IFERROR(__xludf.DUMMYFUNCTION("""COMPUTED_VALUE"""),3.0)</f>
        <v>3</v>
      </c>
      <c r="K744" s="132" t="str">
        <f>IFERROR(__xludf.DUMMYFUNCTION("""COMPUTED_VALUE"""),"IT10736")</f>
        <v>IT10736</v>
      </c>
      <c r="L744" s="121" t="str">
        <f>IFERROR(__xludf.DUMMYFUNCTION("""COMPUTED_VALUE"""),"Mrs.JANANI T")</f>
        <v>Mrs.JANANI T</v>
      </c>
      <c r="M744" s="121" t="str">
        <f>IFERROR(__xludf.DUMMYFUNCTION("""COMPUTED_VALUE"""),"jananit@bitsathy.ac.in")</f>
        <v>jananit@bitsathy.ac.in</v>
      </c>
    </row>
    <row r="745" ht="49.5" customHeight="1">
      <c r="A745" s="121" t="str">
        <f>IFERROR(__xludf.DUMMYFUNCTION("""COMPUTED_VALUE"""),"IT")</f>
        <v>IT</v>
      </c>
      <c r="B745" s="121" t="str">
        <f>IFERROR(__xludf.DUMMYFUNCTION("""COMPUTED_VALUE"""),"S4")</f>
        <v>S4</v>
      </c>
      <c r="C745" s="121" t="str">
        <f>IFERROR(__xludf.DUMMYFUNCTION("""COMPUTED_VALUE"""),"CORE")</f>
        <v>CORE</v>
      </c>
      <c r="D745" s="121" t="str">
        <f>IFERROR(__xludf.DUMMYFUNCTION("""COMPUTED_VALUE"""),"22IT404")</f>
        <v>22IT404</v>
      </c>
      <c r="E745" s="131" t="str">
        <f>IFERROR(__xludf.DUMMYFUNCTION("""COMPUTED_VALUE"""),"WEB TECHNOLOGY AND FRAMEWORKS")</f>
        <v>WEB TECHNOLOGY AND FRAMEWORKS</v>
      </c>
      <c r="F745" s="121" t="str">
        <f>IFERROR(__xludf.DUMMYFUNCTION("""COMPUTED_VALUE"""),"THEORY WITH LAB")</f>
        <v>THEORY WITH LAB</v>
      </c>
      <c r="G745" s="121">
        <f>IFERROR(__xludf.DUMMYFUNCTION("""COMPUTED_VALUE"""),2.0)</f>
        <v>2</v>
      </c>
      <c r="H745" s="121">
        <f>IFERROR(__xludf.DUMMYFUNCTION("""COMPUTED_VALUE"""),0.0)</f>
        <v>0</v>
      </c>
      <c r="I745" s="121">
        <f>IFERROR(__xludf.DUMMYFUNCTION("""COMPUTED_VALUE"""),2.0)</f>
        <v>2</v>
      </c>
      <c r="J745" s="121">
        <f>IFERROR(__xludf.DUMMYFUNCTION("""COMPUTED_VALUE"""),3.0)</f>
        <v>3</v>
      </c>
      <c r="K745" s="132" t="str">
        <f>IFERROR(__xludf.DUMMYFUNCTION("""COMPUTED_VALUE"""),"IT10846")</f>
        <v>IT10846</v>
      </c>
      <c r="L745" s="121" t="str">
        <f>IFERROR(__xludf.DUMMYFUNCTION("""COMPUTED_VALUE"""),"Mr.SELVAKUMAR M")</f>
        <v>Mr.SELVAKUMAR M</v>
      </c>
      <c r="M745" s="121" t="str">
        <f>IFERROR(__xludf.DUMMYFUNCTION("""COMPUTED_VALUE"""),"selvakumarm@bitsathy.ac.in")</f>
        <v>selvakumarm@bitsathy.ac.in</v>
      </c>
    </row>
    <row r="746" ht="49.5" customHeight="1">
      <c r="A746" s="121" t="str">
        <f>IFERROR(__xludf.DUMMYFUNCTION("""COMPUTED_VALUE"""),"IT")</f>
        <v>IT</v>
      </c>
      <c r="B746" s="121" t="str">
        <f>IFERROR(__xludf.DUMMYFUNCTION("""COMPUTED_VALUE"""),"S4")</f>
        <v>S4</v>
      </c>
      <c r="C746" s="121" t="str">
        <f>IFERROR(__xludf.DUMMYFUNCTION("""COMPUTED_VALUE"""),"CORE")</f>
        <v>CORE</v>
      </c>
      <c r="D746" s="121" t="str">
        <f>IFERROR(__xludf.DUMMYFUNCTION("""COMPUTED_VALUE"""),"22IT404")</f>
        <v>22IT404</v>
      </c>
      <c r="E746" s="131" t="str">
        <f>IFERROR(__xludf.DUMMYFUNCTION("""COMPUTED_VALUE"""),"WEB TECHNOLOGY AND FRAMEWORKS")</f>
        <v>WEB TECHNOLOGY AND FRAMEWORKS</v>
      </c>
      <c r="F746" s="121" t="str">
        <f>IFERROR(__xludf.DUMMYFUNCTION("""COMPUTED_VALUE"""),"THEORY WITH LAB")</f>
        <v>THEORY WITH LAB</v>
      </c>
      <c r="G746" s="121">
        <f>IFERROR(__xludf.DUMMYFUNCTION("""COMPUTED_VALUE"""),2.0)</f>
        <v>2</v>
      </c>
      <c r="H746" s="121">
        <f>IFERROR(__xludf.DUMMYFUNCTION("""COMPUTED_VALUE"""),0.0)</f>
        <v>0</v>
      </c>
      <c r="I746" s="121">
        <f>IFERROR(__xludf.DUMMYFUNCTION("""COMPUTED_VALUE"""),2.0)</f>
        <v>2</v>
      </c>
      <c r="J746" s="121">
        <f>IFERROR(__xludf.DUMMYFUNCTION("""COMPUTED_VALUE"""),3.0)</f>
        <v>3</v>
      </c>
      <c r="K746" s="132" t="str">
        <f>IFERROR(__xludf.DUMMYFUNCTION("""COMPUTED_VALUE"""),"IT11160")</f>
        <v>IT11160</v>
      </c>
      <c r="L746" s="121" t="str">
        <f>IFERROR(__xludf.DUMMYFUNCTION("""COMPUTED_VALUE"""),"Mrs.ELAVARASI T")</f>
        <v>Mrs.ELAVARASI T</v>
      </c>
      <c r="M746" s="121" t="str">
        <f>IFERROR(__xludf.DUMMYFUNCTION("""COMPUTED_VALUE"""),"elavarasit@bitsathy.ac.in")</f>
        <v>elavarasit@bitsathy.ac.in</v>
      </c>
    </row>
    <row r="747" ht="49.5" customHeight="1">
      <c r="A747" s="121" t="str">
        <f>IFERROR(__xludf.DUMMYFUNCTION("""COMPUTED_VALUE"""),"IT")</f>
        <v>IT</v>
      </c>
      <c r="B747" s="121" t="str">
        <f>IFERROR(__xludf.DUMMYFUNCTION("""COMPUTED_VALUE"""),"S4")</f>
        <v>S4</v>
      </c>
      <c r="C747" s="121" t="str">
        <f>IFERROR(__xludf.DUMMYFUNCTION("""COMPUTED_VALUE"""),"CORE")</f>
        <v>CORE</v>
      </c>
      <c r="D747" s="121" t="str">
        <f>IFERROR(__xludf.DUMMYFUNCTION("""COMPUTED_VALUE"""),"22IT405")</f>
        <v>22IT405</v>
      </c>
      <c r="E747" s="131" t="str">
        <f>IFERROR(__xludf.DUMMYFUNCTION("""COMPUTED_VALUE"""),"DATABASE MANAGEMENT SYSTEM")</f>
        <v>DATABASE MANAGEMENT SYSTEM</v>
      </c>
      <c r="F747" s="121" t="str">
        <f>IFERROR(__xludf.DUMMYFUNCTION("""COMPUTED_VALUE"""),"THEORY WITH LAB")</f>
        <v>THEORY WITH LAB</v>
      </c>
      <c r="G747" s="121">
        <f>IFERROR(__xludf.DUMMYFUNCTION("""COMPUTED_VALUE"""),3.0)</f>
        <v>3</v>
      </c>
      <c r="H747" s="121">
        <f>IFERROR(__xludf.DUMMYFUNCTION("""COMPUTED_VALUE"""),0.0)</f>
        <v>0</v>
      </c>
      <c r="I747" s="121">
        <f>IFERROR(__xludf.DUMMYFUNCTION("""COMPUTED_VALUE"""),2.0)</f>
        <v>2</v>
      </c>
      <c r="J747" s="121">
        <f>IFERROR(__xludf.DUMMYFUNCTION("""COMPUTED_VALUE"""),4.0)</f>
        <v>4</v>
      </c>
      <c r="K747" s="132" t="str">
        <f>IFERROR(__xludf.DUMMYFUNCTION("""COMPUTED_VALUE"""),"IT11132")</f>
        <v>IT11132</v>
      </c>
      <c r="L747" s="121" t="str">
        <f>IFERROR(__xludf.DUMMYFUNCTION("""COMPUTED_VALUE"""),"Mrs.KAVITHA V")</f>
        <v>Mrs.KAVITHA V</v>
      </c>
      <c r="M747" s="121" t="str">
        <f>IFERROR(__xludf.DUMMYFUNCTION("""COMPUTED_VALUE"""),"kavitha@bitsathy.ac.in")</f>
        <v>kavitha@bitsathy.ac.in</v>
      </c>
    </row>
    <row r="748" ht="49.5" customHeight="1">
      <c r="A748" s="121" t="str">
        <f>IFERROR(__xludf.DUMMYFUNCTION("""COMPUTED_VALUE"""),"IT")</f>
        <v>IT</v>
      </c>
      <c r="B748" s="121" t="str">
        <f>IFERROR(__xludf.DUMMYFUNCTION("""COMPUTED_VALUE"""),"S4")</f>
        <v>S4</v>
      </c>
      <c r="C748" s="121" t="str">
        <f>IFERROR(__xludf.DUMMYFUNCTION("""COMPUTED_VALUE"""),"CORE")</f>
        <v>CORE</v>
      </c>
      <c r="D748" s="121" t="str">
        <f>IFERROR(__xludf.DUMMYFUNCTION("""COMPUTED_VALUE"""),"22IT405")</f>
        <v>22IT405</v>
      </c>
      <c r="E748" s="131" t="str">
        <f>IFERROR(__xludf.DUMMYFUNCTION("""COMPUTED_VALUE"""),"DATABASE MANAGEMENT SYSTEM")</f>
        <v>DATABASE MANAGEMENT SYSTEM</v>
      </c>
      <c r="F748" s="121" t="str">
        <f>IFERROR(__xludf.DUMMYFUNCTION("""COMPUTED_VALUE"""),"THEORY WITH LAB")</f>
        <v>THEORY WITH LAB</v>
      </c>
      <c r="G748" s="121">
        <f>IFERROR(__xludf.DUMMYFUNCTION("""COMPUTED_VALUE"""),3.0)</f>
        <v>3</v>
      </c>
      <c r="H748" s="121">
        <f>IFERROR(__xludf.DUMMYFUNCTION("""COMPUTED_VALUE"""),0.0)</f>
        <v>0</v>
      </c>
      <c r="I748" s="121">
        <f>IFERROR(__xludf.DUMMYFUNCTION("""COMPUTED_VALUE"""),2.0)</f>
        <v>2</v>
      </c>
      <c r="J748" s="121">
        <f>IFERROR(__xludf.DUMMYFUNCTION("""COMPUTED_VALUE"""),4.0)</f>
        <v>4</v>
      </c>
      <c r="K748" s="132" t="str">
        <f>IFERROR(__xludf.DUMMYFUNCTION("""COMPUTED_VALUE"""),"IT11146")</f>
        <v>IT11146</v>
      </c>
      <c r="L748" s="121" t="str">
        <f>IFERROR(__xludf.DUMMYFUNCTION("""COMPUTED_VALUE"""),"Ms.INDHU BHASHINI V")</f>
        <v>Ms.INDHU BHASHINI V</v>
      </c>
      <c r="M748" s="121" t="str">
        <f>IFERROR(__xludf.DUMMYFUNCTION("""COMPUTED_VALUE"""),"indhubhashiniv@bitsathy.ac.in")</f>
        <v>indhubhashiniv@bitsathy.ac.in</v>
      </c>
    </row>
    <row r="749" ht="49.5" customHeight="1">
      <c r="A749" s="121" t="str">
        <f>IFERROR(__xludf.DUMMYFUNCTION("""COMPUTED_VALUE"""),"IT")</f>
        <v>IT</v>
      </c>
      <c r="B749" s="121" t="str">
        <f>IFERROR(__xludf.DUMMYFUNCTION("""COMPUTED_VALUE"""),"S4")</f>
        <v>S4</v>
      </c>
      <c r="C749" s="121" t="str">
        <f>IFERROR(__xludf.DUMMYFUNCTION("""COMPUTED_VALUE"""),"CORE")</f>
        <v>CORE</v>
      </c>
      <c r="D749" s="121" t="str">
        <f>IFERROR(__xludf.DUMMYFUNCTION("""COMPUTED_VALUE"""),"22IT405")</f>
        <v>22IT405</v>
      </c>
      <c r="E749" s="131" t="str">
        <f>IFERROR(__xludf.DUMMYFUNCTION("""COMPUTED_VALUE"""),"DATABASE MANAGEMENT SYSTEM")</f>
        <v>DATABASE MANAGEMENT SYSTEM</v>
      </c>
      <c r="F749" s="121" t="str">
        <f>IFERROR(__xludf.DUMMYFUNCTION("""COMPUTED_VALUE"""),"THEORY WITH LAB")</f>
        <v>THEORY WITH LAB</v>
      </c>
      <c r="G749" s="121">
        <f>IFERROR(__xludf.DUMMYFUNCTION("""COMPUTED_VALUE"""),3.0)</f>
        <v>3</v>
      </c>
      <c r="H749" s="121">
        <f>IFERROR(__xludf.DUMMYFUNCTION("""COMPUTED_VALUE"""),0.0)</f>
        <v>0</v>
      </c>
      <c r="I749" s="121">
        <f>IFERROR(__xludf.DUMMYFUNCTION("""COMPUTED_VALUE"""),2.0)</f>
        <v>2</v>
      </c>
      <c r="J749" s="121">
        <f>IFERROR(__xludf.DUMMYFUNCTION("""COMPUTED_VALUE"""),4.0)</f>
        <v>4</v>
      </c>
      <c r="K749" s="132" t="str">
        <f>IFERROR(__xludf.DUMMYFUNCTION("""COMPUTED_VALUE"""),"IT11124")</f>
        <v>IT11124</v>
      </c>
      <c r="L749" s="121" t="str">
        <f>IFERROR(__xludf.DUMMYFUNCTION("""COMPUTED_VALUE"""),"Ms.MUTHUMEENA S")</f>
        <v>Ms.MUTHUMEENA S</v>
      </c>
      <c r="M749" s="121" t="str">
        <f>IFERROR(__xludf.DUMMYFUNCTION("""COMPUTED_VALUE"""),"muthumeena@bitsathy.ac.in")</f>
        <v>muthumeena@bitsathy.ac.in</v>
      </c>
    </row>
    <row r="750" ht="49.5" customHeight="1">
      <c r="A750" s="121" t="str">
        <f>IFERROR(__xludf.DUMMYFUNCTION("""COMPUTED_VALUE"""),"IT")</f>
        <v>IT</v>
      </c>
      <c r="B750" s="121" t="str">
        <f>IFERROR(__xludf.DUMMYFUNCTION("""COMPUTED_VALUE"""),"S4")</f>
        <v>S4</v>
      </c>
      <c r="C750" s="121" t="str">
        <f>IFERROR(__xludf.DUMMYFUNCTION("""COMPUTED_VALUE"""),"CORE")</f>
        <v>CORE</v>
      </c>
      <c r="D750" s="121" t="str">
        <f>IFERROR(__xludf.DUMMYFUNCTION("""COMPUTED_VALUE"""),"22IT405")</f>
        <v>22IT405</v>
      </c>
      <c r="E750" s="131" t="str">
        <f>IFERROR(__xludf.DUMMYFUNCTION("""COMPUTED_VALUE"""),"DATABASE MANAGEMENT SYSTEM")</f>
        <v>DATABASE MANAGEMENT SYSTEM</v>
      </c>
      <c r="F750" s="121" t="str">
        <f>IFERROR(__xludf.DUMMYFUNCTION("""COMPUTED_VALUE"""),"THEORY WITH LAB")</f>
        <v>THEORY WITH LAB</v>
      </c>
      <c r="G750" s="121">
        <f>IFERROR(__xludf.DUMMYFUNCTION("""COMPUTED_VALUE"""),3.0)</f>
        <v>3</v>
      </c>
      <c r="H750" s="121">
        <f>IFERROR(__xludf.DUMMYFUNCTION("""COMPUTED_VALUE"""),0.0)</f>
        <v>0</v>
      </c>
      <c r="I750" s="121">
        <f>IFERROR(__xludf.DUMMYFUNCTION("""COMPUTED_VALUE"""),2.0)</f>
        <v>2</v>
      </c>
      <c r="J750" s="121">
        <f>IFERROR(__xludf.DUMMYFUNCTION("""COMPUTED_VALUE"""),4.0)</f>
        <v>4</v>
      </c>
      <c r="K750" s="132" t="str">
        <f>IFERROR(__xludf.DUMMYFUNCTION("""COMPUTED_VALUE"""),"IT11155")</f>
        <v>IT11155</v>
      </c>
      <c r="L750" s="121" t="str">
        <f>IFERROR(__xludf.DUMMYFUNCTION("""COMPUTED_VALUE"""),"Mrs.DEEPA SUMATHI M")</f>
        <v>Mrs.DEEPA SUMATHI M</v>
      </c>
      <c r="M750" s="121" t="str">
        <f>IFERROR(__xludf.DUMMYFUNCTION("""COMPUTED_VALUE"""),"deepasumathim@bitsathy.ac.in")</f>
        <v>deepasumathim@bitsathy.ac.in</v>
      </c>
    </row>
    <row r="751" ht="49.5" customHeight="1">
      <c r="A751" s="121" t="str">
        <f>IFERROR(__xludf.DUMMYFUNCTION("""COMPUTED_VALUE"""),"IT")</f>
        <v>IT</v>
      </c>
      <c r="B751" s="121" t="str">
        <f>IFERROR(__xludf.DUMMYFUNCTION("""COMPUTED_VALUE"""),"S4")</f>
        <v>S4</v>
      </c>
      <c r="C751" s="121" t="str">
        <f>IFERROR(__xludf.DUMMYFUNCTION("""COMPUTED_VALUE"""),"ELECTIVE 1")</f>
        <v>ELECTIVE 1</v>
      </c>
      <c r="D751" s="121" t="str">
        <f>IFERROR(__xludf.DUMMYFUNCTION("""COMPUTED_VALUE"""),"22IT007")</f>
        <v>22IT007</v>
      </c>
      <c r="E751" s="131" t="str">
        <f>IFERROR(__xludf.DUMMYFUNCTION("""COMPUTED_VALUE"""),"AGILE SOFTWARE DEVELOPMENT")</f>
        <v>AGILE SOFTWARE DEVELOPMENT</v>
      </c>
      <c r="F751" s="121" t="str">
        <f>IFERROR(__xludf.DUMMYFUNCTION("""COMPUTED_VALUE"""),"THEORY")</f>
        <v>THEORY</v>
      </c>
      <c r="G751" s="121">
        <f>IFERROR(__xludf.DUMMYFUNCTION("""COMPUTED_VALUE"""),3.0)</f>
        <v>3</v>
      </c>
      <c r="H751" s="121">
        <f>IFERROR(__xludf.DUMMYFUNCTION("""COMPUTED_VALUE"""),0.0)</f>
        <v>0</v>
      </c>
      <c r="I751" s="121">
        <f>IFERROR(__xludf.DUMMYFUNCTION("""COMPUTED_VALUE"""),0.0)</f>
        <v>0</v>
      </c>
      <c r="J751" s="121">
        <f>IFERROR(__xludf.DUMMYFUNCTION("""COMPUTED_VALUE"""),3.0)</f>
        <v>3</v>
      </c>
      <c r="K751" s="132" t="str">
        <f>IFERROR(__xludf.DUMMYFUNCTION("""COMPUTED_VALUE"""),"IT1846")</f>
        <v>IT1846</v>
      </c>
      <c r="L751" s="121" t="str">
        <f>IFERROR(__xludf.DUMMYFUNCTION("""COMPUTED_VALUE"""),"Dr.NAVEENA S")</f>
        <v>Dr.NAVEENA S</v>
      </c>
      <c r="M751" s="121" t="str">
        <f>IFERROR(__xludf.DUMMYFUNCTION("""COMPUTED_VALUE"""),"naveena@bitsathy.ac.in")</f>
        <v>naveena@bitsathy.ac.in</v>
      </c>
    </row>
    <row r="752" ht="49.5" customHeight="1">
      <c r="A752" s="121" t="str">
        <f>IFERROR(__xludf.DUMMYFUNCTION("""COMPUTED_VALUE"""),"IT")</f>
        <v>IT</v>
      </c>
      <c r="B752" s="121" t="str">
        <f>IFERROR(__xludf.DUMMYFUNCTION("""COMPUTED_VALUE"""),"S4")</f>
        <v>S4</v>
      </c>
      <c r="C752" s="121" t="str">
        <f>IFERROR(__xludf.DUMMYFUNCTION("""COMPUTED_VALUE"""),"ELECTIVE 1")</f>
        <v>ELECTIVE 1</v>
      </c>
      <c r="D752" s="121" t="str">
        <f>IFERROR(__xludf.DUMMYFUNCTION("""COMPUTED_VALUE"""),"22IT008")</f>
        <v>22IT008</v>
      </c>
      <c r="E752" s="131" t="str">
        <f>IFERROR(__xludf.DUMMYFUNCTION("""COMPUTED_VALUE"""),"UI AND UX DESIGN")</f>
        <v>UI AND UX DESIGN</v>
      </c>
      <c r="F752" s="121" t="str">
        <f>IFERROR(__xludf.DUMMYFUNCTION("""COMPUTED_VALUE"""),"THEORY")</f>
        <v>THEORY</v>
      </c>
      <c r="G752" s="121">
        <f>IFERROR(__xludf.DUMMYFUNCTION("""COMPUTED_VALUE"""),3.0)</f>
        <v>3</v>
      </c>
      <c r="H752" s="121">
        <f>IFERROR(__xludf.DUMMYFUNCTION("""COMPUTED_VALUE"""),0.0)</f>
        <v>0</v>
      </c>
      <c r="I752" s="121">
        <f>IFERROR(__xludf.DUMMYFUNCTION("""COMPUTED_VALUE"""),0.0)</f>
        <v>0</v>
      </c>
      <c r="J752" s="121">
        <f>IFERROR(__xludf.DUMMYFUNCTION("""COMPUTED_VALUE"""),3.0)</f>
        <v>3</v>
      </c>
      <c r="K752" s="132" t="str">
        <f>IFERROR(__xludf.DUMMYFUNCTION("""COMPUTED_VALUE"""),"IT1764")</f>
        <v>IT1764</v>
      </c>
      <c r="L752" s="121" t="str">
        <f>IFERROR(__xludf.DUMMYFUNCTION("""COMPUTED_VALUE"""),"Dr.SATHIS KUMAR K")</f>
        <v>Dr.SATHIS KUMAR K</v>
      </c>
      <c r="M752" s="121" t="str">
        <f>IFERROR(__xludf.DUMMYFUNCTION("""COMPUTED_VALUE"""),"sathiskumark@bitsathy.ac.in")</f>
        <v>sathiskumark@bitsathy.ac.in</v>
      </c>
    </row>
    <row r="753" ht="49.5" customHeight="1">
      <c r="A753" s="121" t="str">
        <f>IFERROR(__xludf.DUMMYFUNCTION("""COMPUTED_VALUE"""),"IT")</f>
        <v>IT</v>
      </c>
      <c r="B753" s="121" t="str">
        <f>IFERROR(__xludf.DUMMYFUNCTION("""COMPUTED_VALUE"""),"S4")</f>
        <v>S4</v>
      </c>
      <c r="C753" s="121" t="str">
        <f>IFERROR(__xludf.DUMMYFUNCTION("""COMPUTED_VALUE"""),"ELECTIVE 1")</f>
        <v>ELECTIVE 1</v>
      </c>
      <c r="D753" s="121" t="str">
        <f>IFERROR(__xludf.DUMMYFUNCTION("""COMPUTED_VALUE"""),"22IT008")</f>
        <v>22IT008</v>
      </c>
      <c r="E753" s="131" t="str">
        <f>IFERROR(__xludf.DUMMYFUNCTION("""COMPUTED_VALUE"""),"UI AND UX DESIGN")</f>
        <v>UI AND UX DESIGN</v>
      </c>
      <c r="F753" s="121" t="str">
        <f>IFERROR(__xludf.DUMMYFUNCTION("""COMPUTED_VALUE"""),"THEORY")</f>
        <v>THEORY</v>
      </c>
      <c r="G753" s="121">
        <f>IFERROR(__xludf.DUMMYFUNCTION("""COMPUTED_VALUE"""),3.0)</f>
        <v>3</v>
      </c>
      <c r="H753" s="121">
        <f>IFERROR(__xludf.DUMMYFUNCTION("""COMPUTED_VALUE"""),0.0)</f>
        <v>0</v>
      </c>
      <c r="I753" s="121">
        <f>IFERROR(__xludf.DUMMYFUNCTION("""COMPUTED_VALUE"""),0.0)</f>
        <v>0</v>
      </c>
      <c r="J753" s="121">
        <f>IFERROR(__xludf.DUMMYFUNCTION("""COMPUTED_VALUE"""),3.0)</f>
        <v>3</v>
      </c>
      <c r="K753" s="132" t="str">
        <f>IFERROR(__xludf.DUMMYFUNCTION("""COMPUTED_VALUE"""),"IT10262")</f>
        <v>IT10262</v>
      </c>
      <c r="L753" s="121" t="str">
        <f>IFERROR(__xludf.DUMMYFUNCTION("""COMPUTED_VALUE"""),"Ms.SABARMATHI K R")</f>
        <v>Ms.SABARMATHI K R</v>
      </c>
      <c r="M753" s="121" t="str">
        <f>IFERROR(__xludf.DUMMYFUNCTION("""COMPUTED_VALUE"""),"sabarmathi@bitsathy.ac.in")</f>
        <v>sabarmathi@bitsathy.ac.in</v>
      </c>
    </row>
    <row r="754" ht="49.5" customHeight="1">
      <c r="A754" s="121" t="str">
        <f>IFERROR(__xludf.DUMMYFUNCTION("""COMPUTED_VALUE"""),"IT")</f>
        <v>IT</v>
      </c>
      <c r="B754" s="121" t="str">
        <f>IFERROR(__xludf.DUMMYFUNCTION("""COMPUTED_VALUE"""),"S4")</f>
        <v>S4</v>
      </c>
      <c r="C754" s="121" t="str">
        <f>IFERROR(__xludf.DUMMYFUNCTION("""COMPUTED_VALUE"""),"ELECTIVE 1")</f>
        <v>ELECTIVE 1</v>
      </c>
      <c r="D754" s="121" t="str">
        <f>IFERROR(__xludf.DUMMYFUNCTION("""COMPUTED_VALUE"""),"22IT008")</f>
        <v>22IT008</v>
      </c>
      <c r="E754" s="131" t="str">
        <f>IFERROR(__xludf.DUMMYFUNCTION("""COMPUTED_VALUE"""),"UI AND UX DESIGN")</f>
        <v>UI AND UX DESIGN</v>
      </c>
      <c r="F754" s="121" t="str">
        <f>IFERROR(__xludf.DUMMYFUNCTION("""COMPUTED_VALUE"""),"THEORY")</f>
        <v>THEORY</v>
      </c>
      <c r="G754" s="121">
        <f>IFERROR(__xludf.DUMMYFUNCTION("""COMPUTED_VALUE"""),3.0)</f>
        <v>3</v>
      </c>
      <c r="H754" s="121">
        <f>IFERROR(__xludf.DUMMYFUNCTION("""COMPUTED_VALUE"""),0.0)</f>
        <v>0</v>
      </c>
      <c r="I754" s="121">
        <f>IFERROR(__xludf.DUMMYFUNCTION("""COMPUTED_VALUE"""),0.0)</f>
        <v>0</v>
      </c>
      <c r="J754" s="121">
        <f>IFERROR(__xludf.DUMMYFUNCTION("""COMPUTED_VALUE"""),3.0)</f>
        <v>3</v>
      </c>
      <c r="K754" s="132" t="str">
        <f>IFERROR(__xludf.DUMMYFUNCTION("""COMPUTED_VALUE"""),"IT11105")</f>
        <v>IT11105</v>
      </c>
      <c r="L754" s="121" t="str">
        <f>IFERROR(__xludf.DUMMYFUNCTION("""COMPUTED_VALUE"""),"Mrs.SANTHIYA B")</f>
        <v>Mrs.SANTHIYA B</v>
      </c>
      <c r="M754" s="133" t="str">
        <f>IFERROR(__xludf.DUMMYFUNCTION("""COMPUTED_VALUE"""),"santhiyab@bitsathy.ac.in")</f>
        <v>santhiyab@bitsathy.ac.in</v>
      </c>
    </row>
    <row r="755" ht="49.5" customHeight="1">
      <c r="A755" s="121" t="str">
        <f>IFERROR(__xludf.DUMMYFUNCTION("""COMPUTED_VALUE"""),"IT")</f>
        <v>IT</v>
      </c>
      <c r="B755" s="121" t="str">
        <f>IFERROR(__xludf.DUMMYFUNCTION("""COMPUTED_VALUE"""),"S4")</f>
        <v>S4</v>
      </c>
      <c r="C755" s="121" t="str">
        <f>IFERROR(__xludf.DUMMYFUNCTION("""COMPUTED_VALUE"""),"ELECTIVE 1")</f>
        <v>ELECTIVE 1</v>
      </c>
      <c r="D755" s="121" t="str">
        <f>IFERROR(__xludf.DUMMYFUNCTION("""COMPUTED_VALUE"""),"22IT008")</f>
        <v>22IT008</v>
      </c>
      <c r="E755" s="131" t="str">
        <f>IFERROR(__xludf.DUMMYFUNCTION("""COMPUTED_VALUE"""),"UI AND UX DESIGN")</f>
        <v>UI AND UX DESIGN</v>
      </c>
      <c r="F755" s="121" t="str">
        <f>IFERROR(__xludf.DUMMYFUNCTION("""COMPUTED_VALUE"""),"THEORY")</f>
        <v>THEORY</v>
      </c>
      <c r="G755" s="121">
        <f>IFERROR(__xludf.DUMMYFUNCTION("""COMPUTED_VALUE"""),3.0)</f>
        <v>3</v>
      </c>
      <c r="H755" s="121">
        <f>IFERROR(__xludf.DUMMYFUNCTION("""COMPUTED_VALUE"""),0.0)</f>
        <v>0</v>
      </c>
      <c r="I755" s="121">
        <f>IFERROR(__xludf.DUMMYFUNCTION("""COMPUTED_VALUE"""),0.0)</f>
        <v>0</v>
      </c>
      <c r="J755" s="121">
        <f>IFERROR(__xludf.DUMMYFUNCTION("""COMPUTED_VALUE"""),3.0)</f>
        <v>3</v>
      </c>
      <c r="K755" s="132" t="str">
        <f>IFERROR(__xludf.DUMMYFUNCTION("""COMPUTED_VALUE"""),"CT10933")</f>
        <v>CT10933</v>
      </c>
      <c r="L755" s="121" t="str">
        <f>IFERROR(__xludf.DUMMYFUNCTION("""COMPUTED_VALUE"""),"Mrs.SWEETY PRASANNA KIRUBA G")</f>
        <v>Mrs.SWEETY PRASANNA KIRUBA G</v>
      </c>
      <c r="M755" s="121" t="str">
        <f>IFERROR(__xludf.DUMMYFUNCTION("""COMPUTED_VALUE"""),"prasannakiruba@bitsathy.ac.in")</f>
        <v>prasannakiruba@bitsathy.ac.in</v>
      </c>
    </row>
    <row r="756" ht="49.5" customHeight="1">
      <c r="A756" s="121" t="str">
        <f>IFERROR(__xludf.DUMMYFUNCTION("""COMPUTED_VALUE"""),"IT")</f>
        <v>IT</v>
      </c>
      <c r="B756" s="121" t="str">
        <f>IFERROR(__xludf.DUMMYFUNCTION("""COMPUTED_VALUE"""),"S4")</f>
        <v>S4</v>
      </c>
      <c r="C756" s="121" t="str">
        <f>IFERROR(__xludf.DUMMYFUNCTION("""COMPUTED_VALUE"""),"CORE")</f>
        <v>CORE</v>
      </c>
      <c r="D756" s="121" t="str">
        <f>IFERROR(__xludf.DUMMYFUNCTION("""COMPUTED_VALUE"""),"22HS007")</f>
        <v>22HS007</v>
      </c>
      <c r="E756" s="131" t="str">
        <f>IFERROR(__xludf.DUMMYFUNCTION("""COMPUTED_VALUE"""),"ENVIRONMENTAL SCIENCE")</f>
        <v>ENVIRONMENTAL SCIENCE</v>
      </c>
      <c r="F756" s="121" t="str">
        <f>IFERROR(__xludf.DUMMYFUNCTION("""COMPUTED_VALUE"""),"LAB")</f>
        <v>LAB</v>
      </c>
      <c r="G756" s="121">
        <f>IFERROR(__xludf.DUMMYFUNCTION("""COMPUTED_VALUE"""),2.0)</f>
        <v>2</v>
      </c>
      <c r="H756" s="121">
        <f>IFERROR(__xludf.DUMMYFUNCTION("""COMPUTED_VALUE"""),0.0)</f>
        <v>0</v>
      </c>
      <c r="I756" s="121">
        <f>IFERROR(__xludf.DUMMYFUNCTION("""COMPUTED_VALUE"""),0.0)</f>
        <v>0</v>
      </c>
      <c r="J756" s="121">
        <f>IFERROR(__xludf.DUMMYFUNCTION("""COMPUTED_VALUE"""),2.0)</f>
        <v>2</v>
      </c>
      <c r="K756" s="132" t="str">
        <f>IFERROR(__xludf.DUMMYFUNCTION("""COMPUTED_VALUE"""),"CH1578")</f>
        <v>CH1578</v>
      </c>
      <c r="L756" s="121" t="str">
        <f>IFERROR(__xludf.DUMMYFUNCTION("""COMPUTED_VALUE"""),"Dr.KAVITHA C")</f>
        <v>Dr.KAVITHA C</v>
      </c>
      <c r="M756" s="121" t="str">
        <f>IFERROR(__xludf.DUMMYFUNCTION("""COMPUTED_VALUE"""),"kavithac@bitsathy.ac.in")</f>
        <v>kavithac@bitsathy.ac.in</v>
      </c>
    </row>
    <row r="757" ht="49.5" customHeight="1">
      <c r="A757" s="121" t="str">
        <f>IFERROR(__xludf.DUMMYFUNCTION("""COMPUTED_VALUE"""),"IT")</f>
        <v>IT</v>
      </c>
      <c r="B757" s="121" t="str">
        <f>IFERROR(__xludf.DUMMYFUNCTION("""COMPUTED_VALUE"""),"S4")</f>
        <v>S4</v>
      </c>
      <c r="C757" s="121" t="str">
        <f>IFERROR(__xludf.DUMMYFUNCTION("""COMPUTED_VALUE"""),"CORE")</f>
        <v>CORE</v>
      </c>
      <c r="D757" s="121" t="str">
        <f>IFERROR(__xludf.DUMMYFUNCTION("""COMPUTED_VALUE"""),"22HS007")</f>
        <v>22HS007</v>
      </c>
      <c r="E757" s="131" t="str">
        <f>IFERROR(__xludf.DUMMYFUNCTION("""COMPUTED_VALUE"""),"ENVIRONMENTAL SCIENCE")</f>
        <v>ENVIRONMENTAL SCIENCE</v>
      </c>
      <c r="F757" s="121" t="str">
        <f>IFERROR(__xludf.DUMMYFUNCTION("""COMPUTED_VALUE"""),"LAB")</f>
        <v>LAB</v>
      </c>
      <c r="G757" s="121">
        <f>IFERROR(__xludf.DUMMYFUNCTION("""COMPUTED_VALUE"""),2.0)</f>
        <v>2</v>
      </c>
      <c r="H757" s="121">
        <f>IFERROR(__xludf.DUMMYFUNCTION("""COMPUTED_VALUE"""),0.0)</f>
        <v>0</v>
      </c>
      <c r="I757" s="121">
        <f>IFERROR(__xludf.DUMMYFUNCTION("""COMPUTED_VALUE"""),0.0)</f>
        <v>0</v>
      </c>
      <c r="J757" s="121">
        <f>IFERROR(__xludf.DUMMYFUNCTION("""COMPUTED_VALUE"""),2.0)</f>
        <v>2</v>
      </c>
      <c r="K757" s="132" t="str">
        <f>IFERROR(__xludf.DUMMYFUNCTION("""COMPUTED_VALUE"""),"CH1894")</f>
        <v>CH1894</v>
      </c>
      <c r="L757" s="121" t="str">
        <f>IFERROR(__xludf.DUMMYFUNCTION("""COMPUTED_VALUE"""),"Dr.MALATHI MAHALINGAM")</f>
        <v>Dr.MALATHI MAHALINGAM</v>
      </c>
      <c r="M757" s="121" t="str">
        <f>IFERROR(__xludf.DUMMYFUNCTION("""COMPUTED_VALUE"""),"malathimahalingamm@bitsathy.ac.in")</f>
        <v>malathimahalingamm@bitsathy.ac.in</v>
      </c>
    </row>
    <row r="758" ht="49.5" customHeight="1">
      <c r="A758" s="121" t="str">
        <f>IFERROR(__xludf.DUMMYFUNCTION("""COMPUTED_VALUE"""),"IT")</f>
        <v>IT</v>
      </c>
      <c r="B758" s="121" t="str">
        <f>IFERROR(__xludf.DUMMYFUNCTION("""COMPUTED_VALUE"""),"S4")</f>
        <v>S4</v>
      </c>
      <c r="C758" s="121" t="str">
        <f>IFERROR(__xludf.DUMMYFUNCTION("""COMPUTED_VALUE"""),"CORE")</f>
        <v>CORE</v>
      </c>
      <c r="D758" s="121" t="str">
        <f>IFERROR(__xludf.DUMMYFUNCTION("""COMPUTED_VALUE"""),"22HS007")</f>
        <v>22HS007</v>
      </c>
      <c r="E758" s="131" t="str">
        <f>IFERROR(__xludf.DUMMYFUNCTION("""COMPUTED_VALUE"""),"ENVIRONMENTAL SCIENCE")</f>
        <v>ENVIRONMENTAL SCIENCE</v>
      </c>
      <c r="F758" s="121" t="str">
        <f>IFERROR(__xludf.DUMMYFUNCTION("""COMPUTED_VALUE"""),"LAB")</f>
        <v>LAB</v>
      </c>
      <c r="G758" s="121">
        <f>IFERROR(__xludf.DUMMYFUNCTION("""COMPUTED_VALUE"""),2.0)</f>
        <v>2</v>
      </c>
      <c r="H758" s="121">
        <f>IFERROR(__xludf.DUMMYFUNCTION("""COMPUTED_VALUE"""),0.0)</f>
        <v>0</v>
      </c>
      <c r="I758" s="121">
        <f>IFERROR(__xludf.DUMMYFUNCTION("""COMPUTED_VALUE"""),0.0)</f>
        <v>0</v>
      </c>
      <c r="J758" s="121">
        <f>IFERROR(__xludf.DUMMYFUNCTION("""COMPUTED_VALUE"""),2.0)</f>
        <v>2</v>
      </c>
      <c r="K758" s="132" t="str">
        <f>IFERROR(__xludf.DUMMYFUNCTION("""COMPUTED_VALUE"""),"CH10333")</f>
        <v>CH10333</v>
      </c>
      <c r="L758" s="121" t="str">
        <f>IFERROR(__xludf.DUMMYFUNCTION("""COMPUTED_VALUE"""),"Dr.MURALI KRISHNAN M")</f>
        <v>Dr.MURALI KRISHNAN M</v>
      </c>
      <c r="M758" s="121" t="str">
        <f>IFERROR(__xludf.DUMMYFUNCTION("""COMPUTED_VALUE"""),"muralikrishnan@bitsathy.ac.in")</f>
        <v>muralikrishnan@bitsathy.ac.in</v>
      </c>
    </row>
    <row r="759" ht="49.5" customHeight="1">
      <c r="A759" s="121" t="str">
        <f>IFERROR(__xludf.DUMMYFUNCTION("""COMPUTED_VALUE"""),"IT")</f>
        <v>IT</v>
      </c>
      <c r="B759" s="121" t="str">
        <f>IFERROR(__xludf.DUMMYFUNCTION("""COMPUTED_VALUE"""),"S4")</f>
        <v>S4</v>
      </c>
      <c r="C759" s="121" t="str">
        <f>IFERROR(__xludf.DUMMYFUNCTION("""COMPUTED_VALUE"""),"CORE")</f>
        <v>CORE</v>
      </c>
      <c r="D759" s="121" t="str">
        <f>IFERROR(__xludf.DUMMYFUNCTION("""COMPUTED_VALUE"""),"22HS007")</f>
        <v>22HS007</v>
      </c>
      <c r="E759" s="131" t="str">
        <f>IFERROR(__xludf.DUMMYFUNCTION("""COMPUTED_VALUE"""),"ENVIRONMENTAL SCIENCE")</f>
        <v>ENVIRONMENTAL SCIENCE</v>
      </c>
      <c r="F759" s="121" t="str">
        <f>IFERROR(__xludf.DUMMYFUNCTION("""COMPUTED_VALUE"""),"LAB")</f>
        <v>LAB</v>
      </c>
      <c r="G759" s="121">
        <f>IFERROR(__xludf.DUMMYFUNCTION("""COMPUTED_VALUE"""),2.0)</f>
        <v>2</v>
      </c>
      <c r="H759" s="121">
        <f>IFERROR(__xludf.DUMMYFUNCTION("""COMPUTED_VALUE"""),0.0)</f>
        <v>0</v>
      </c>
      <c r="I759" s="121">
        <f>IFERROR(__xludf.DUMMYFUNCTION("""COMPUTED_VALUE"""),0.0)</f>
        <v>0</v>
      </c>
      <c r="J759" s="121">
        <f>IFERROR(__xludf.DUMMYFUNCTION("""COMPUTED_VALUE"""),2.0)</f>
        <v>2</v>
      </c>
      <c r="K759" s="132" t="str">
        <f>IFERROR(__xludf.DUMMYFUNCTION("""COMPUTED_VALUE"""),"CH11126")</f>
        <v>CH11126</v>
      </c>
      <c r="L759" s="121" t="str">
        <f>IFERROR(__xludf.DUMMYFUNCTION("""COMPUTED_VALUE"""),"Dr.JESIN BENETO A")</f>
        <v>Dr.JESIN BENETO A</v>
      </c>
      <c r="M759" s="121" t="str">
        <f>IFERROR(__xludf.DUMMYFUNCTION("""COMPUTED_VALUE"""),"jesinbeneto@bitsathy.ac.in")</f>
        <v>jesinbeneto@bitsathy.ac.in</v>
      </c>
    </row>
    <row r="760" ht="49.5" customHeight="1">
      <c r="A760" s="121" t="str">
        <f>IFERROR(__xludf.DUMMYFUNCTION("""COMPUTED_VALUE"""),"IT")</f>
        <v>IT</v>
      </c>
      <c r="B760" s="121" t="str">
        <f>IFERROR(__xludf.DUMMYFUNCTION("""COMPUTED_VALUE"""),"S4")</f>
        <v>S4</v>
      </c>
      <c r="C760" s="121" t="str">
        <f>IFERROR(__xludf.DUMMYFUNCTION("""COMPUTED_VALUE"""),"LAB")</f>
        <v>LAB</v>
      </c>
      <c r="D760" s="121" t="str">
        <f>IFERROR(__xludf.DUMMYFUNCTION("""COMPUTED_VALUE"""),"22HS008")</f>
        <v>22HS008</v>
      </c>
      <c r="E760" s="131" t="str">
        <f>IFERROR(__xludf.DUMMYFUNCTION("""COMPUTED_VALUE"""),"ADVANCED ENGLISH AND TECHNICAL EXPRESSION ")</f>
        <v>ADVANCED ENGLISH AND TECHNICAL EXPRESSION </v>
      </c>
      <c r="F760" s="121" t="str">
        <f>IFERROR(__xludf.DUMMYFUNCTION("""COMPUTED_VALUE"""),"LAB")</f>
        <v>LAB</v>
      </c>
      <c r="G760" s="121">
        <f>IFERROR(__xludf.DUMMYFUNCTION("""COMPUTED_VALUE"""),0.0)</f>
        <v>0</v>
      </c>
      <c r="H760" s="121">
        <f>IFERROR(__xludf.DUMMYFUNCTION("""COMPUTED_VALUE"""),0.0)</f>
        <v>0</v>
      </c>
      <c r="I760" s="121">
        <f>IFERROR(__xludf.DUMMYFUNCTION("""COMPUTED_VALUE"""),2.0)</f>
        <v>2</v>
      </c>
      <c r="J760" s="121">
        <f>IFERROR(__xludf.DUMMYFUNCTION("""COMPUTED_VALUE"""),2.0)</f>
        <v>2</v>
      </c>
      <c r="K760" s="132" t="str">
        <f>IFERROR(__xludf.DUMMYFUNCTION("""COMPUTED_VALUE"""),"HU11125")</f>
        <v>HU11125</v>
      </c>
      <c r="L760" s="121" t="str">
        <f>IFERROR(__xludf.DUMMYFUNCTION("""COMPUTED_VALUE"""),"Dr.GAYATHRI G M")</f>
        <v>Dr.GAYATHRI G M</v>
      </c>
      <c r="M760" s="121" t="str">
        <f>IFERROR(__xludf.DUMMYFUNCTION("""COMPUTED_VALUE"""),"gayathri@bitsathy.ac.in")</f>
        <v>gayathri@bitsathy.ac.in</v>
      </c>
    </row>
    <row r="761" ht="49.5" customHeight="1">
      <c r="A761" s="121" t="str">
        <f>IFERROR(__xludf.DUMMYFUNCTION("""COMPUTED_VALUE"""),"IT")</f>
        <v>IT</v>
      </c>
      <c r="B761" s="121" t="str">
        <f>IFERROR(__xludf.DUMMYFUNCTION("""COMPUTED_VALUE"""),"S4")</f>
        <v>S4</v>
      </c>
      <c r="C761" s="121" t="str">
        <f>IFERROR(__xludf.DUMMYFUNCTION("""COMPUTED_VALUE"""),"LAB")</f>
        <v>LAB</v>
      </c>
      <c r="D761" s="121" t="str">
        <f>IFERROR(__xludf.DUMMYFUNCTION("""COMPUTED_VALUE"""),"22HS008")</f>
        <v>22HS008</v>
      </c>
      <c r="E761" s="131" t="str">
        <f>IFERROR(__xludf.DUMMYFUNCTION("""COMPUTED_VALUE"""),"ADVANCED ENGLISH AND TECHNICAL EXPRESSION ")</f>
        <v>ADVANCED ENGLISH AND TECHNICAL EXPRESSION </v>
      </c>
      <c r="F761" s="121" t="str">
        <f>IFERROR(__xludf.DUMMYFUNCTION("""COMPUTED_VALUE"""),"LAB")</f>
        <v>LAB</v>
      </c>
      <c r="G761" s="121">
        <f>IFERROR(__xludf.DUMMYFUNCTION("""COMPUTED_VALUE"""),0.0)</f>
        <v>0</v>
      </c>
      <c r="H761" s="121">
        <f>IFERROR(__xludf.DUMMYFUNCTION("""COMPUTED_VALUE"""),0.0)</f>
        <v>0</v>
      </c>
      <c r="I761" s="121">
        <f>IFERROR(__xludf.DUMMYFUNCTION("""COMPUTED_VALUE"""),2.0)</f>
        <v>2</v>
      </c>
      <c r="J761" s="121">
        <f>IFERROR(__xludf.DUMMYFUNCTION("""COMPUTED_VALUE"""),2.0)</f>
        <v>2</v>
      </c>
      <c r="K761" s="132" t="str">
        <f>IFERROR(__xludf.DUMMYFUNCTION("""COMPUTED_VALUE"""),"HU11139")</f>
        <v>HU11139</v>
      </c>
      <c r="L761" s="121" t="str">
        <f>IFERROR(__xludf.DUMMYFUNCTION("""COMPUTED_VALUE"""),"Dr.ASLIN JERUSHA D")</f>
        <v>Dr.ASLIN JERUSHA D</v>
      </c>
      <c r="M761" s="133" t="str">
        <f>IFERROR(__xludf.DUMMYFUNCTION("""COMPUTED_VALUE"""),"aslinjerusha@bitsathy.ac.in")</f>
        <v>aslinjerusha@bitsathy.ac.in</v>
      </c>
    </row>
    <row r="762" ht="49.5" customHeight="1">
      <c r="A762" s="121" t="str">
        <f>IFERROR(__xludf.DUMMYFUNCTION("""COMPUTED_VALUE"""),"IT")</f>
        <v>IT</v>
      </c>
      <c r="B762" s="121" t="str">
        <f>IFERROR(__xludf.DUMMYFUNCTION("""COMPUTED_VALUE"""),"S4")</f>
        <v>S4</v>
      </c>
      <c r="C762" s="121" t="str">
        <f>IFERROR(__xludf.DUMMYFUNCTION("""COMPUTED_VALUE"""),"LAB")</f>
        <v>LAB</v>
      </c>
      <c r="D762" s="121" t="str">
        <f>IFERROR(__xludf.DUMMYFUNCTION("""COMPUTED_VALUE"""),"22HS008")</f>
        <v>22HS008</v>
      </c>
      <c r="E762" s="131" t="str">
        <f>IFERROR(__xludf.DUMMYFUNCTION("""COMPUTED_VALUE"""),"ADVANCED ENGLISH AND TECHNICAL EXPRESSION ")</f>
        <v>ADVANCED ENGLISH AND TECHNICAL EXPRESSION </v>
      </c>
      <c r="F762" s="121" t="str">
        <f>IFERROR(__xludf.DUMMYFUNCTION("""COMPUTED_VALUE"""),"LAB")</f>
        <v>LAB</v>
      </c>
      <c r="G762" s="121">
        <f>IFERROR(__xludf.DUMMYFUNCTION("""COMPUTED_VALUE"""),0.0)</f>
        <v>0</v>
      </c>
      <c r="H762" s="121">
        <f>IFERROR(__xludf.DUMMYFUNCTION("""COMPUTED_VALUE"""),0.0)</f>
        <v>0</v>
      </c>
      <c r="I762" s="121">
        <f>IFERROR(__xludf.DUMMYFUNCTION("""COMPUTED_VALUE"""),2.0)</f>
        <v>2</v>
      </c>
      <c r="J762" s="121">
        <f>IFERROR(__xludf.DUMMYFUNCTION("""COMPUTED_VALUE"""),2.0)</f>
        <v>2</v>
      </c>
      <c r="K762" s="132" t="str">
        <f>IFERROR(__xludf.DUMMYFUNCTION("""COMPUTED_VALUE"""),"HU11141")</f>
        <v>HU11141</v>
      </c>
      <c r="L762" s="121" t="str">
        <f>IFERROR(__xludf.DUMMYFUNCTION("""COMPUTED_VALUE"""),"Dr.EZHIL G")</f>
        <v>Dr.EZHIL G</v>
      </c>
      <c r="M762" s="121" t="str">
        <f>IFERROR(__xludf.DUMMYFUNCTION("""COMPUTED_VALUE"""),"ezhil@bitsathy.ac.in")</f>
        <v>ezhil@bitsathy.ac.in</v>
      </c>
    </row>
    <row r="763" ht="49.5" customHeight="1">
      <c r="A763" s="121" t="str">
        <f>IFERROR(__xludf.DUMMYFUNCTION("""COMPUTED_VALUE"""),"IT")</f>
        <v>IT</v>
      </c>
      <c r="B763" s="121" t="str">
        <f>IFERROR(__xludf.DUMMYFUNCTION("""COMPUTED_VALUE"""),"S4")</f>
        <v>S4</v>
      </c>
      <c r="C763" s="121" t="str">
        <f>IFERROR(__xludf.DUMMYFUNCTION("""COMPUTED_VALUE"""),"LAB")</f>
        <v>LAB</v>
      </c>
      <c r="D763" s="121" t="str">
        <f>IFERROR(__xludf.DUMMYFUNCTION("""COMPUTED_VALUE"""),"22HS008")</f>
        <v>22HS008</v>
      </c>
      <c r="E763" s="131" t="str">
        <f>IFERROR(__xludf.DUMMYFUNCTION("""COMPUTED_VALUE"""),"ADVANCED ENGLISH AND TECHNICAL EXPRESSION ")</f>
        <v>ADVANCED ENGLISH AND TECHNICAL EXPRESSION </v>
      </c>
      <c r="F763" s="121" t="str">
        <f>IFERROR(__xludf.DUMMYFUNCTION("""COMPUTED_VALUE"""),"LAB")</f>
        <v>LAB</v>
      </c>
      <c r="G763" s="121">
        <f>IFERROR(__xludf.DUMMYFUNCTION("""COMPUTED_VALUE"""),0.0)</f>
        <v>0</v>
      </c>
      <c r="H763" s="121">
        <f>IFERROR(__xludf.DUMMYFUNCTION("""COMPUTED_VALUE"""),0.0)</f>
        <v>0</v>
      </c>
      <c r="I763" s="121">
        <f>IFERROR(__xludf.DUMMYFUNCTION("""COMPUTED_VALUE"""),2.0)</f>
        <v>2</v>
      </c>
      <c r="J763" s="121">
        <f>IFERROR(__xludf.DUMMYFUNCTION("""COMPUTED_VALUE"""),2.0)</f>
        <v>2</v>
      </c>
      <c r="K763" s="132" t="str">
        <f>IFERROR(__xludf.DUMMYFUNCTION("""COMPUTED_VALUE"""),"HU11151")</f>
        <v>HU11151</v>
      </c>
      <c r="L763" s="121" t="str">
        <f>IFERROR(__xludf.DUMMYFUNCTION("""COMPUTED_VALUE"""),"Dr.NITHYA S")</f>
        <v>Dr.NITHYA S</v>
      </c>
      <c r="M763" s="121" t="str">
        <f>IFERROR(__xludf.DUMMYFUNCTION("""COMPUTED_VALUE"""),"nithyas@bitsathy.ac.in")</f>
        <v>nithyas@bitsathy.ac.in</v>
      </c>
    </row>
    <row r="764" ht="49.5" customHeight="1">
      <c r="A764" s="121" t="str">
        <f>IFERROR(__xludf.DUMMYFUNCTION("""COMPUTED_VALUE"""),"IT")</f>
        <v>IT</v>
      </c>
      <c r="B764" s="121" t="str">
        <f>IFERROR(__xludf.DUMMYFUNCTION("""COMPUTED_VALUE"""),"S6")</f>
        <v>S6</v>
      </c>
      <c r="C764" s="121" t="str">
        <f>IFERROR(__xludf.DUMMYFUNCTION("""COMPUTED_VALUE"""),"CORE")</f>
        <v>CORE</v>
      </c>
      <c r="D764" s="121" t="str">
        <f>IFERROR(__xludf.DUMMYFUNCTION("""COMPUTED_VALUE"""),"22IT601")</f>
        <v>22IT601</v>
      </c>
      <c r="E764" s="131" t="str">
        <f>IFERROR(__xludf.DUMMYFUNCTION("""COMPUTED_VALUE"""),"DATA MINING AND WAREHOUSING")</f>
        <v>DATA MINING AND WAREHOUSING</v>
      </c>
      <c r="F764" s="121" t="str">
        <f>IFERROR(__xludf.DUMMYFUNCTION("""COMPUTED_VALUE"""),"THEORY WITH LAB")</f>
        <v>THEORY WITH LAB</v>
      </c>
      <c r="G764" s="121">
        <f>IFERROR(__xludf.DUMMYFUNCTION("""COMPUTED_VALUE"""),3.0)</f>
        <v>3</v>
      </c>
      <c r="H764" s="121">
        <f>IFERROR(__xludf.DUMMYFUNCTION("""COMPUTED_VALUE"""),0.0)</f>
        <v>0</v>
      </c>
      <c r="I764" s="121">
        <f>IFERROR(__xludf.DUMMYFUNCTION("""COMPUTED_VALUE"""),2.0)</f>
        <v>2</v>
      </c>
      <c r="J764" s="121">
        <f>IFERROR(__xludf.DUMMYFUNCTION("""COMPUTED_VALUE"""),4.0)</f>
        <v>4</v>
      </c>
      <c r="K764" s="132" t="str">
        <f>IFERROR(__xludf.DUMMYFUNCTION("""COMPUTED_VALUE"""),"IT10395")</f>
        <v>IT10395</v>
      </c>
      <c r="L764" s="121" t="str">
        <f>IFERROR(__xludf.DUMMYFUNCTION("""COMPUTED_VALUE"""),"Dr.SRI VINITHA V")</f>
        <v>Dr.SRI VINITHA V</v>
      </c>
      <c r="M764" s="121" t="str">
        <f>IFERROR(__xludf.DUMMYFUNCTION("""COMPUTED_VALUE"""),"srivinitha@bitsathy.ac.in")</f>
        <v>srivinitha@bitsathy.ac.in</v>
      </c>
    </row>
    <row r="765" ht="49.5" customHeight="1">
      <c r="A765" s="121" t="str">
        <f>IFERROR(__xludf.DUMMYFUNCTION("""COMPUTED_VALUE"""),"IT")</f>
        <v>IT</v>
      </c>
      <c r="B765" s="121" t="str">
        <f>IFERROR(__xludf.DUMMYFUNCTION("""COMPUTED_VALUE"""),"S6")</f>
        <v>S6</v>
      </c>
      <c r="C765" s="121" t="str">
        <f>IFERROR(__xludf.DUMMYFUNCTION("""COMPUTED_VALUE"""),"CORE")</f>
        <v>CORE</v>
      </c>
      <c r="D765" s="121" t="str">
        <f>IFERROR(__xludf.DUMMYFUNCTION("""COMPUTED_VALUE"""),"22IT601")</f>
        <v>22IT601</v>
      </c>
      <c r="E765" s="131" t="str">
        <f>IFERROR(__xludf.DUMMYFUNCTION("""COMPUTED_VALUE"""),"DATA MINING AND WAREHOUSING")</f>
        <v>DATA MINING AND WAREHOUSING</v>
      </c>
      <c r="F765" s="121" t="str">
        <f>IFERROR(__xludf.DUMMYFUNCTION("""COMPUTED_VALUE"""),"THEORY WITH LAB")</f>
        <v>THEORY WITH LAB</v>
      </c>
      <c r="G765" s="121">
        <f>IFERROR(__xludf.DUMMYFUNCTION("""COMPUTED_VALUE"""),3.0)</f>
        <v>3</v>
      </c>
      <c r="H765" s="121">
        <f>IFERROR(__xludf.DUMMYFUNCTION("""COMPUTED_VALUE"""),0.0)</f>
        <v>0</v>
      </c>
      <c r="I765" s="121">
        <f>IFERROR(__xludf.DUMMYFUNCTION("""COMPUTED_VALUE"""),2.0)</f>
        <v>2</v>
      </c>
      <c r="J765" s="121">
        <f>IFERROR(__xludf.DUMMYFUNCTION("""COMPUTED_VALUE"""),4.0)</f>
        <v>4</v>
      </c>
      <c r="K765" s="132" t="str">
        <f>IFERROR(__xludf.DUMMYFUNCTION("""COMPUTED_VALUE"""),"IT11140")</f>
        <v>IT11140</v>
      </c>
      <c r="L765" s="121" t="str">
        <f>IFERROR(__xludf.DUMMYFUNCTION("""COMPUTED_VALUE"""),"Mrs.PRIYA A")</f>
        <v>Mrs.PRIYA A</v>
      </c>
      <c r="M765" s="121" t="str">
        <f>IFERROR(__xludf.DUMMYFUNCTION("""COMPUTED_VALUE"""),"priyaa@bitsathy.ac.in")</f>
        <v>priyaa@bitsathy.ac.in</v>
      </c>
    </row>
    <row r="766" ht="49.5" customHeight="1">
      <c r="A766" s="121" t="str">
        <f>IFERROR(__xludf.DUMMYFUNCTION("""COMPUTED_VALUE"""),"IT")</f>
        <v>IT</v>
      </c>
      <c r="B766" s="121" t="str">
        <f>IFERROR(__xludf.DUMMYFUNCTION("""COMPUTED_VALUE"""),"S6")</f>
        <v>S6</v>
      </c>
      <c r="C766" s="121" t="str">
        <f>IFERROR(__xludf.DUMMYFUNCTION("""COMPUTED_VALUE"""),"CORE")</f>
        <v>CORE</v>
      </c>
      <c r="D766" s="121" t="str">
        <f>IFERROR(__xludf.DUMMYFUNCTION("""COMPUTED_VALUE"""),"22IT601")</f>
        <v>22IT601</v>
      </c>
      <c r="E766" s="131" t="str">
        <f>IFERROR(__xludf.DUMMYFUNCTION("""COMPUTED_VALUE"""),"DATA MINING AND WAREHOUSING")</f>
        <v>DATA MINING AND WAREHOUSING</v>
      </c>
      <c r="F766" s="121" t="str">
        <f>IFERROR(__xludf.DUMMYFUNCTION("""COMPUTED_VALUE"""),"THEORY WITH LAB")</f>
        <v>THEORY WITH LAB</v>
      </c>
      <c r="G766" s="121">
        <f>IFERROR(__xludf.DUMMYFUNCTION("""COMPUTED_VALUE"""),3.0)</f>
        <v>3</v>
      </c>
      <c r="H766" s="121">
        <f>IFERROR(__xludf.DUMMYFUNCTION("""COMPUTED_VALUE"""),0.0)</f>
        <v>0</v>
      </c>
      <c r="I766" s="121">
        <f>IFERROR(__xludf.DUMMYFUNCTION("""COMPUTED_VALUE"""),2.0)</f>
        <v>2</v>
      </c>
      <c r="J766" s="121">
        <f>IFERROR(__xludf.DUMMYFUNCTION("""COMPUTED_VALUE"""),4.0)</f>
        <v>4</v>
      </c>
      <c r="K766" s="132" t="str">
        <f>IFERROR(__xludf.DUMMYFUNCTION("""COMPUTED_VALUE"""),"IT11144")</f>
        <v>IT11144</v>
      </c>
      <c r="L766" s="121" t="str">
        <f>IFERROR(__xludf.DUMMYFUNCTION("""COMPUTED_VALUE"""),"Mrs.SHANGARA NARAYANEE N P")</f>
        <v>Mrs.SHANGARA NARAYANEE N P</v>
      </c>
      <c r="M766" s="133" t="str">
        <f>IFERROR(__xludf.DUMMYFUNCTION("""COMPUTED_VALUE"""),"shangaranarayanee@bitsathy.ac.in")</f>
        <v>shangaranarayanee@bitsathy.ac.in</v>
      </c>
    </row>
    <row r="767" ht="49.5" customHeight="1">
      <c r="A767" s="121" t="str">
        <f>IFERROR(__xludf.DUMMYFUNCTION("""COMPUTED_VALUE"""),"IT")</f>
        <v>IT</v>
      </c>
      <c r="B767" s="121" t="str">
        <f>IFERROR(__xludf.DUMMYFUNCTION("""COMPUTED_VALUE"""),"S6")</f>
        <v>S6</v>
      </c>
      <c r="C767" s="121" t="str">
        <f>IFERROR(__xludf.DUMMYFUNCTION("""COMPUTED_VALUE"""),"CORE")</f>
        <v>CORE</v>
      </c>
      <c r="D767" s="121" t="str">
        <f>IFERROR(__xludf.DUMMYFUNCTION("""COMPUTED_VALUE"""),"22IT602")</f>
        <v>22IT602</v>
      </c>
      <c r="E767" s="131" t="str">
        <f>IFERROR(__xludf.DUMMYFUNCTION("""COMPUTED_VALUE"""),"PRINCIPLES OF COMPILER DESIGN")</f>
        <v>PRINCIPLES OF COMPILER DESIGN</v>
      </c>
      <c r="F767" s="121" t="str">
        <f>IFERROR(__xludf.DUMMYFUNCTION("""COMPUTED_VALUE"""),"THEORY")</f>
        <v>THEORY</v>
      </c>
      <c r="G767" s="121">
        <f>IFERROR(__xludf.DUMMYFUNCTION("""COMPUTED_VALUE"""),3.0)</f>
        <v>3</v>
      </c>
      <c r="H767" s="121">
        <f>IFERROR(__xludf.DUMMYFUNCTION("""COMPUTED_VALUE"""),1.0)</f>
        <v>1</v>
      </c>
      <c r="I767" s="121">
        <f>IFERROR(__xludf.DUMMYFUNCTION("""COMPUTED_VALUE"""),0.0)</f>
        <v>0</v>
      </c>
      <c r="J767" s="121">
        <f>IFERROR(__xludf.DUMMYFUNCTION("""COMPUTED_VALUE"""),4.0)</f>
        <v>4</v>
      </c>
      <c r="K767" s="132" t="str">
        <f>IFERROR(__xludf.DUMMYFUNCTION("""COMPUTED_VALUE"""),"IT10845")</f>
        <v>IT10845</v>
      </c>
      <c r="L767" s="121" t="str">
        <f>IFERROR(__xludf.DUMMYFUNCTION("""COMPUTED_VALUE"""),"Dr.VENKATESAN R")</f>
        <v>Dr.VENKATESAN R</v>
      </c>
      <c r="M767" s="133" t="str">
        <f>IFERROR(__xludf.DUMMYFUNCTION("""COMPUTED_VALUE"""),"venkatesanr@bitsathy.ac.in")</f>
        <v>venkatesanr@bitsathy.ac.in</v>
      </c>
    </row>
    <row r="768" ht="49.5" customHeight="1">
      <c r="A768" s="121" t="str">
        <f>IFERROR(__xludf.DUMMYFUNCTION("""COMPUTED_VALUE"""),"IT")</f>
        <v>IT</v>
      </c>
      <c r="B768" s="121" t="str">
        <f>IFERROR(__xludf.DUMMYFUNCTION("""COMPUTED_VALUE"""),"S6")</f>
        <v>S6</v>
      </c>
      <c r="C768" s="121" t="str">
        <f>IFERROR(__xludf.DUMMYFUNCTION("""COMPUTED_VALUE"""),"CORE")</f>
        <v>CORE</v>
      </c>
      <c r="D768" s="121" t="str">
        <f>IFERROR(__xludf.DUMMYFUNCTION("""COMPUTED_VALUE"""),"22IT602")</f>
        <v>22IT602</v>
      </c>
      <c r="E768" s="131" t="str">
        <f>IFERROR(__xludf.DUMMYFUNCTION("""COMPUTED_VALUE"""),"PRINCIPLES OF COMPILER DESIGN")</f>
        <v>PRINCIPLES OF COMPILER DESIGN</v>
      </c>
      <c r="F768" s="121" t="str">
        <f>IFERROR(__xludf.DUMMYFUNCTION("""COMPUTED_VALUE"""),"THEORY")</f>
        <v>THEORY</v>
      </c>
      <c r="G768" s="121">
        <f>IFERROR(__xludf.DUMMYFUNCTION("""COMPUTED_VALUE"""),3.0)</f>
        <v>3</v>
      </c>
      <c r="H768" s="121">
        <f>IFERROR(__xludf.DUMMYFUNCTION("""COMPUTED_VALUE"""),1.0)</f>
        <v>1</v>
      </c>
      <c r="I768" s="121">
        <f>IFERROR(__xludf.DUMMYFUNCTION("""COMPUTED_VALUE"""),0.0)</f>
        <v>0</v>
      </c>
      <c r="J768" s="121">
        <f>IFERROR(__xludf.DUMMYFUNCTION("""COMPUTED_VALUE"""),4.0)</f>
        <v>4</v>
      </c>
      <c r="K768" s="132" t="str">
        <f>IFERROR(__xludf.DUMMYFUNCTION("""COMPUTED_VALUE"""),"IT10846")</f>
        <v>IT10846</v>
      </c>
      <c r="L768" s="121" t="str">
        <f>IFERROR(__xludf.DUMMYFUNCTION("""COMPUTED_VALUE"""),"Mr.SELVAKUMAR M")</f>
        <v>Mr.SELVAKUMAR M</v>
      </c>
      <c r="M768" s="133" t="str">
        <f>IFERROR(__xludf.DUMMYFUNCTION("""COMPUTED_VALUE"""),"selvakumarm@bitsathy.ac.in")</f>
        <v>selvakumarm@bitsathy.ac.in</v>
      </c>
    </row>
    <row r="769" ht="49.5" customHeight="1">
      <c r="A769" s="121" t="str">
        <f>IFERROR(__xludf.DUMMYFUNCTION("""COMPUTED_VALUE"""),"IT")</f>
        <v>IT</v>
      </c>
      <c r="B769" s="121" t="str">
        <f>IFERROR(__xludf.DUMMYFUNCTION("""COMPUTED_VALUE"""),"S6")</f>
        <v>S6</v>
      </c>
      <c r="C769" s="121" t="str">
        <f>IFERROR(__xludf.DUMMYFUNCTION("""COMPUTED_VALUE"""),"CORE")</f>
        <v>CORE</v>
      </c>
      <c r="D769" s="121" t="str">
        <f>IFERROR(__xludf.DUMMYFUNCTION("""COMPUTED_VALUE"""),"22IT602")</f>
        <v>22IT602</v>
      </c>
      <c r="E769" s="131" t="str">
        <f>IFERROR(__xludf.DUMMYFUNCTION("""COMPUTED_VALUE"""),"PRINCIPLES OF COMPILER DESIGN")</f>
        <v>PRINCIPLES OF COMPILER DESIGN</v>
      </c>
      <c r="F769" s="121" t="str">
        <f>IFERROR(__xludf.DUMMYFUNCTION("""COMPUTED_VALUE"""),"THEORY")</f>
        <v>THEORY</v>
      </c>
      <c r="G769" s="121">
        <f>IFERROR(__xludf.DUMMYFUNCTION("""COMPUTED_VALUE"""),3.0)</f>
        <v>3</v>
      </c>
      <c r="H769" s="121">
        <f>IFERROR(__xludf.DUMMYFUNCTION("""COMPUTED_VALUE"""),1.0)</f>
        <v>1</v>
      </c>
      <c r="I769" s="121">
        <f>IFERROR(__xludf.DUMMYFUNCTION("""COMPUTED_VALUE"""),0.0)</f>
        <v>0</v>
      </c>
      <c r="J769" s="121">
        <f>IFERROR(__xludf.DUMMYFUNCTION("""COMPUTED_VALUE"""),4.0)</f>
        <v>4</v>
      </c>
      <c r="K769" s="132" t="str">
        <f>IFERROR(__xludf.DUMMYFUNCTION("""COMPUTED_VALUE"""),"AM11110")</f>
        <v>AM11110</v>
      </c>
      <c r="L769" s="121" t="str">
        <f>IFERROR(__xludf.DUMMYFUNCTION("""COMPUTED_VALUE"""),"Ms.SASITHRA S")</f>
        <v>Ms.SASITHRA S</v>
      </c>
      <c r="M769" s="121" t="str">
        <f>IFERROR(__xludf.DUMMYFUNCTION("""COMPUTED_VALUE"""),"sasithra@bitsathy.ac.in")</f>
        <v>sasithra@bitsathy.ac.in</v>
      </c>
    </row>
    <row r="770" ht="49.5" customHeight="1">
      <c r="A770" s="121" t="str">
        <f>IFERROR(__xludf.DUMMYFUNCTION("""COMPUTED_VALUE"""),"IT")</f>
        <v>IT</v>
      </c>
      <c r="B770" s="121" t="str">
        <f>IFERROR(__xludf.DUMMYFUNCTION("""COMPUTED_VALUE"""),"S6")</f>
        <v>S6</v>
      </c>
      <c r="C770" s="121" t="str">
        <f>IFERROR(__xludf.DUMMYFUNCTION("""COMPUTED_VALUE"""),"CORE")</f>
        <v>CORE</v>
      </c>
      <c r="D770" s="121" t="str">
        <f>IFERROR(__xludf.DUMMYFUNCTION("""COMPUTED_VALUE"""),"22IT603")</f>
        <v>22IT603</v>
      </c>
      <c r="E770" s="131" t="str">
        <f>IFERROR(__xludf.DUMMYFUNCTION("""COMPUTED_VALUE"""),"CLOUD COMPUTING")</f>
        <v>CLOUD COMPUTING</v>
      </c>
      <c r="F770" s="121" t="str">
        <f>IFERROR(__xludf.DUMMYFUNCTION("""COMPUTED_VALUE"""),"THEORY WITH LAB")</f>
        <v>THEORY WITH LAB</v>
      </c>
      <c r="G770" s="121">
        <f>IFERROR(__xludf.DUMMYFUNCTION("""COMPUTED_VALUE"""),3.0)</f>
        <v>3</v>
      </c>
      <c r="H770" s="121">
        <f>IFERROR(__xludf.DUMMYFUNCTION("""COMPUTED_VALUE"""),0.0)</f>
        <v>0</v>
      </c>
      <c r="I770" s="121">
        <f>IFERROR(__xludf.DUMMYFUNCTION("""COMPUTED_VALUE"""),2.0)</f>
        <v>2</v>
      </c>
      <c r="J770" s="121">
        <f>IFERROR(__xludf.DUMMYFUNCTION("""COMPUTED_VALUE"""),4.0)</f>
        <v>4</v>
      </c>
      <c r="K770" s="132" t="str">
        <f>IFERROR(__xludf.DUMMYFUNCTION("""COMPUTED_VALUE"""),"IT11129")</f>
        <v>IT11129</v>
      </c>
      <c r="L770" s="121" t="str">
        <f>IFERROR(__xludf.DUMMYFUNCTION("""COMPUTED_VALUE"""),"Dr.NIVEDHA S")</f>
        <v>Dr.NIVEDHA S</v>
      </c>
      <c r="M770" s="121" t="str">
        <f>IFERROR(__xludf.DUMMYFUNCTION("""COMPUTED_VALUE"""),"nivedha@bitsathy.ac.in")</f>
        <v>nivedha@bitsathy.ac.in</v>
      </c>
    </row>
    <row r="771" ht="49.5" customHeight="1">
      <c r="A771" s="121" t="str">
        <f>IFERROR(__xludf.DUMMYFUNCTION("""COMPUTED_VALUE"""),"IT")</f>
        <v>IT</v>
      </c>
      <c r="B771" s="121" t="str">
        <f>IFERROR(__xludf.DUMMYFUNCTION("""COMPUTED_VALUE"""),"S6")</f>
        <v>S6</v>
      </c>
      <c r="C771" s="121" t="str">
        <f>IFERROR(__xludf.DUMMYFUNCTION("""COMPUTED_VALUE"""),"CORE")</f>
        <v>CORE</v>
      </c>
      <c r="D771" s="121" t="str">
        <f>IFERROR(__xludf.DUMMYFUNCTION("""COMPUTED_VALUE"""),"22IT603")</f>
        <v>22IT603</v>
      </c>
      <c r="E771" s="131" t="str">
        <f>IFERROR(__xludf.DUMMYFUNCTION("""COMPUTED_VALUE"""),"CLOUD COMPUTING")</f>
        <v>CLOUD COMPUTING</v>
      </c>
      <c r="F771" s="121" t="str">
        <f>IFERROR(__xludf.DUMMYFUNCTION("""COMPUTED_VALUE"""),"THEORY WITH LAB")</f>
        <v>THEORY WITH LAB</v>
      </c>
      <c r="G771" s="121">
        <f>IFERROR(__xludf.DUMMYFUNCTION("""COMPUTED_VALUE"""),3.0)</f>
        <v>3</v>
      </c>
      <c r="H771" s="121">
        <f>IFERROR(__xludf.DUMMYFUNCTION("""COMPUTED_VALUE"""),0.0)</f>
        <v>0</v>
      </c>
      <c r="I771" s="121">
        <f>IFERROR(__xludf.DUMMYFUNCTION("""COMPUTED_VALUE"""),2.0)</f>
        <v>2</v>
      </c>
      <c r="J771" s="121">
        <f>IFERROR(__xludf.DUMMYFUNCTION("""COMPUTED_VALUE"""),4.0)</f>
        <v>4</v>
      </c>
      <c r="K771" s="132" t="str">
        <f>IFERROR(__xludf.DUMMYFUNCTION("""COMPUTED_VALUE"""),"IT11148")</f>
        <v>IT11148</v>
      </c>
      <c r="L771" s="121" t="str">
        <f>IFERROR(__xludf.DUMMYFUNCTION("""COMPUTED_VALUE"""),"Mr.MOHEMMED YOUSUF")</f>
        <v>Mr.MOHEMMED YOUSUF</v>
      </c>
      <c r="M771" s="121" t="str">
        <f>IFERROR(__xludf.DUMMYFUNCTION("""COMPUTED_VALUE"""),"mohemmedyousuf@bitsathy.ac.in")</f>
        <v>mohemmedyousuf@bitsathy.ac.in</v>
      </c>
    </row>
    <row r="772" ht="49.5" customHeight="1">
      <c r="A772" s="121" t="str">
        <f>IFERROR(__xludf.DUMMYFUNCTION("""COMPUTED_VALUE"""),"IT")</f>
        <v>IT</v>
      </c>
      <c r="B772" s="121" t="str">
        <f>IFERROR(__xludf.DUMMYFUNCTION("""COMPUTED_VALUE"""),"S6")</f>
        <v>S6</v>
      </c>
      <c r="C772" s="121" t="str">
        <f>IFERROR(__xludf.DUMMYFUNCTION("""COMPUTED_VALUE"""),"CORE")</f>
        <v>CORE</v>
      </c>
      <c r="D772" s="121" t="str">
        <f>IFERROR(__xludf.DUMMYFUNCTION("""COMPUTED_VALUE"""),"22IT603")</f>
        <v>22IT603</v>
      </c>
      <c r="E772" s="131" t="str">
        <f>IFERROR(__xludf.DUMMYFUNCTION("""COMPUTED_VALUE"""),"CLOUD COMPUTING")</f>
        <v>CLOUD COMPUTING</v>
      </c>
      <c r="F772" s="121" t="str">
        <f>IFERROR(__xludf.DUMMYFUNCTION("""COMPUTED_VALUE"""),"THEORY WITH LAB")</f>
        <v>THEORY WITH LAB</v>
      </c>
      <c r="G772" s="121">
        <f>IFERROR(__xludf.DUMMYFUNCTION("""COMPUTED_VALUE"""),3.0)</f>
        <v>3</v>
      </c>
      <c r="H772" s="121">
        <f>IFERROR(__xludf.DUMMYFUNCTION("""COMPUTED_VALUE"""),0.0)</f>
        <v>0</v>
      </c>
      <c r="I772" s="121">
        <f>IFERROR(__xludf.DUMMYFUNCTION("""COMPUTED_VALUE"""),2.0)</f>
        <v>2</v>
      </c>
      <c r="J772" s="121">
        <f>IFERROR(__xludf.DUMMYFUNCTION("""COMPUTED_VALUE"""),4.0)</f>
        <v>4</v>
      </c>
      <c r="K772" s="132" t="str">
        <f>IFERROR(__xludf.DUMMYFUNCTION("""COMPUTED_VALUE"""),"IT11149")</f>
        <v>IT11149</v>
      </c>
      <c r="L772" s="121" t="str">
        <f>IFERROR(__xludf.DUMMYFUNCTION("""COMPUTED_VALUE"""),"Mr.SENTHILNATHAN S")</f>
        <v>Mr.SENTHILNATHAN S</v>
      </c>
      <c r="M772" s="121" t="str">
        <f>IFERROR(__xludf.DUMMYFUNCTION("""COMPUTED_VALUE"""),"senthilnathans@bitsathy.ac.in")</f>
        <v>senthilnathans@bitsathy.ac.in</v>
      </c>
    </row>
    <row r="773" ht="49.5" customHeight="1">
      <c r="A773" s="121" t="str">
        <f>IFERROR(__xludf.DUMMYFUNCTION("""COMPUTED_VALUE"""),"IT")</f>
        <v>IT</v>
      </c>
      <c r="B773" s="121" t="str">
        <f>IFERROR(__xludf.DUMMYFUNCTION("""COMPUTED_VALUE"""),"S6")</f>
        <v>S6</v>
      </c>
      <c r="C773" s="121" t="str">
        <f>IFERROR(__xludf.DUMMYFUNCTION("""COMPUTED_VALUE"""),"ELECTIVE 3")</f>
        <v>ELECTIVE 3</v>
      </c>
      <c r="D773" s="121" t="str">
        <f>IFERROR(__xludf.DUMMYFUNCTION("""COMPUTED_VALUE"""),"22IT011")</f>
        <v>22IT011</v>
      </c>
      <c r="E773" s="131" t="str">
        <f>IFERROR(__xludf.DUMMYFUNCTION("""COMPUTED_VALUE"""),"SOFTWARE TESTING AND AUTOMATION")</f>
        <v>SOFTWARE TESTING AND AUTOMATION</v>
      </c>
      <c r="F773" s="121" t="str">
        <f>IFERROR(__xludf.DUMMYFUNCTION("""COMPUTED_VALUE"""),"THEORY")</f>
        <v>THEORY</v>
      </c>
      <c r="G773" s="121">
        <f>IFERROR(__xludf.DUMMYFUNCTION("""COMPUTED_VALUE"""),3.0)</f>
        <v>3</v>
      </c>
      <c r="H773" s="121">
        <f>IFERROR(__xludf.DUMMYFUNCTION("""COMPUTED_VALUE"""),0.0)</f>
        <v>0</v>
      </c>
      <c r="I773" s="121">
        <f>IFERROR(__xludf.DUMMYFUNCTION("""COMPUTED_VALUE"""),0.0)</f>
        <v>0</v>
      </c>
      <c r="J773" s="121">
        <f>IFERROR(__xludf.DUMMYFUNCTION("""COMPUTED_VALUE"""),3.0)</f>
        <v>3</v>
      </c>
      <c r="K773" s="132" t="str">
        <f>IFERROR(__xludf.DUMMYFUNCTION("""COMPUTED_VALUE"""),"IT10571")</f>
        <v>IT10571</v>
      </c>
      <c r="L773" s="121" t="str">
        <f>IFERROR(__xludf.DUMMYFUNCTION("""COMPUTED_VALUE"""),"Mrs.SOBIYAA P")</f>
        <v>Mrs.SOBIYAA P</v>
      </c>
      <c r="M773" s="121" t="str">
        <f>IFERROR(__xludf.DUMMYFUNCTION("""COMPUTED_VALUE"""),"sobiyaa@bitsathy.ac.in")</f>
        <v>sobiyaa@bitsathy.ac.in</v>
      </c>
    </row>
    <row r="774" ht="49.5" customHeight="1">
      <c r="A774" s="121" t="str">
        <f>IFERROR(__xludf.DUMMYFUNCTION("""COMPUTED_VALUE"""),"IT")</f>
        <v>IT</v>
      </c>
      <c r="B774" s="121" t="str">
        <f>IFERROR(__xludf.DUMMYFUNCTION("""COMPUTED_VALUE"""),"S6")</f>
        <v>S6</v>
      </c>
      <c r="C774" s="121" t="str">
        <f>IFERROR(__xludf.DUMMYFUNCTION("""COMPUTED_VALUE"""),"ELECTIVE 3")</f>
        <v>ELECTIVE 3</v>
      </c>
      <c r="D774" s="121" t="str">
        <f>IFERROR(__xludf.DUMMYFUNCTION("""COMPUTED_VALUE"""),"22IT011")</f>
        <v>22IT011</v>
      </c>
      <c r="E774" s="131" t="str">
        <f>IFERROR(__xludf.DUMMYFUNCTION("""COMPUTED_VALUE"""),"SOFTWARE TESTING AND AUTOMATION")</f>
        <v>SOFTWARE TESTING AND AUTOMATION</v>
      </c>
      <c r="F774" s="121" t="str">
        <f>IFERROR(__xludf.DUMMYFUNCTION("""COMPUTED_VALUE"""),"THEORY")</f>
        <v>THEORY</v>
      </c>
      <c r="G774" s="121">
        <f>IFERROR(__xludf.DUMMYFUNCTION("""COMPUTED_VALUE"""),3.0)</f>
        <v>3</v>
      </c>
      <c r="H774" s="121">
        <f>IFERROR(__xludf.DUMMYFUNCTION("""COMPUTED_VALUE"""),0.0)</f>
        <v>0</v>
      </c>
      <c r="I774" s="121">
        <f>IFERROR(__xludf.DUMMYFUNCTION("""COMPUTED_VALUE"""),0.0)</f>
        <v>0</v>
      </c>
      <c r="J774" s="121">
        <f>IFERROR(__xludf.DUMMYFUNCTION("""COMPUTED_VALUE"""),3.0)</f>
        <v>3</v>
      </c>
      <c r="K774" s="132" t="str">
        <f>IFERROR(__xludf.DUMMYFUNCTION("""COMPUTED_VALUE"""),"IT10941")</f>
        <v>IT10941</v>
      </c>
      <c r="L774" s="121" t="str">
        <f>IFERROR(__xludf.DUMMYFUNCTION("""COMPUTED_VALUE"""),"Ms.NIKITHA M")</f>
        <v>Ms.NIKITHA M</v>
      </c>
      <c r="M774" s="121" t="str">
        <f>IFERROR(__xludf.DUMMYFUNCTION("""COMPUTED_VALUE"""),"nikitham@bitsathy.ac.in")</f>
        <v>nikitham@bitsathy.ac.in</v>
      </c>
    </row>
    <row r="775" ht="49.5" customHeight="1">
      <c r="A775" s="121" t="str">
        <f>IFERROR(__xludf.DUMMYFUNCTION("""COMPUTED_VALUE"""),"IT")</f>
        <v>IT</v>
      </c>
      <c r="B775" s="121" t="str">
        <f>IFERROR(__xludf.DUMMYFUNCTION("""COMPUTED_VALUE"""),"S6")</f>
        <v>S6</v>
      </c>
      <c r="C775" s="121" t="str">
        <f>IFERROR(__xludf.DUMMYFUNCTION("""COMPUTED_VALUE"""),"ELECTIVE 3")</f>
        <v>ELECTIVE 3</v>
      </c>
      <c r="D775" s="121" t="str">
        <f>IFERROR(__xludf.DUMMYFUNCTION("""COMPUTED_VALUE"""),"22IT019")</f>
        <v>22IT019</v>
      </c>
      <c r="E775" s="131" t="str">
        <f>IFERROR(__xludf.DUMMYFUNCTION("""COMPUTED_VALUE"""),"CYBER SECURITY")</f>
        <v>CYBER SECURITY</v>
      </c>
      <c r="F775" s="121" t="str">
        <f>IFERROR(__xludf.DUMMYFUNCTION("""COMPUTED_VALUE"""),"THEORY")</f>
        <v>THEORY</v>
      </c>
      <c r="G775" s="121">
        <f>IFERROR(__xludf.DUMMYFUNCTION("""COMPUTED_VALUE"""),3.0)</f>
        <v>3</v>
      </c>
      <c r="H775" s="121">
        <f>IFERROR(__xludf.DUMMYFUNCTION("""COMPUTED_VALUE"""),0.0)</f>
        <v>0</v>
      </c>
      <c r="I775" s="121">
        <f>IFERROR(__xludf.DUMMYFUNCTION("""COMPUTED_VALUE"""),0.0)</f>
        <v>0</v>
      </c>
      <c r="J775" s="121">
        <f>IFERROR(__xludf.DUMMYFUNCTION("""COMPUTED_VALUE"""),3.0)</f>
        <v>3</v>
      </c>
      <c r="K775" s="132" t="str">
        <f>IFERROR(__xludf.DUMMYFUNCTION("""COMPUTED_VALUE"""),"IT11040")</f>
        <v>IT11040</v>
      </c>
      <c r="L775" s="121" t="str">
        <f>IFERROR(__xludf.DUMMYFUNCTION("""COMPUTED_VALUE"""),"Dr.PRIYA J")</f>
        <v>Dr.PRIYA J</v>
      </c>
      <c r="M775" s="121" t="str">
        <f>IFERROR(__xludf.DUMMYFUNCTION("""COMPUTED_VALUE"""),"priyajn@bitsathy.ac.in")</f>
        <v>priyajn@bitsathy.ac.in</v>
      </c>
    </row>
    <row r="776" ht="49.5" customHeight="1">
      <c r="A776" s="121" t="str">
        <f>IFERROR(__xludf.DUMMYFUNCTION("""COMPUTED_VALUE"""),"IT")</f>
        <v>IT</v>
      </c>
      <c r="B776" s="121" t="str">
        <f>IFERROR(__xludf.DUMMYFUNCTION("""COMPUTED_VALUE"""),"S6")</f>
        <v>S6</v>
      </c>
      <c r="C776" s="121" t="str">
        <f>IFERROR(__xludf.DUMMYFUNCTION("""COMPUTED_VALUE"""),"ELECTIVE 3")</f>
        <v>ELECTIVE 3</v>
      </c>
      <c r="D776" s="121" t="str">
        <f>IFERROR(__xludf.DUMMYFUNCTION("""COMPUTED_VALUE"""),"22IT019")</f>
        <v>22IT019</v>
      </c>
      <c r="E776" s="131" t="str">
        <f>IFERROR(__xludf.DUMMYFUNCTION("""COMPUTED_VALUE"""),"CYBER SECURITY")</f>
        <v>CYBER SECURITY</v>
      </c>
      <c r="F776" s="121" t="str">
        <f>IFERROR(__xludf.DUMMYFUNCTION("""COMPUTED_VALUE"""),"THEORY")</f>
        <v>THEORY</v>
      </c>
      <c r="G776" s="121">
        <f>IFERROR(__xludf.DUMMYFUNCTION("""COMPUTED_VALUE"""),3.0)</f>
        <v>3</v>
      </c>
      <c r="H776" s="121">
        <f>IFERROR(__xludf.DUMMYFUNCTION("""COMPUTED_VALUE"""),0.0)</f>
        <v>0</v>
      </c>
      <c r="I776" s="121">
        <f>IFERROR(__xludf.DUMMYFUNCTION("""COMPUTED_VALUE"""),0.0)</f>
        <v>0</v>
      </c>
      <c r="J776" s="121">
        <f>IFERROR(__xludf.DUMMYFUNCTION("""COMPUTED_VALUE"""),3.0)</f>
        <v>3</v>
      </c>
      <c r="K776" s="132" t="str">
        <f>IFERROR(__xludf.DUMMYFUNCTION("""COMPUTED_VALUE"""),"IT10824")</f>
        <v>IT10824</v>
      </c>
      <c r="L776" s="121" t="str">
        <f>IFERROR(__xludf.DUMMYFUNCTION("""COMPUTED_VALUE"""),"Dr.CHANDRAPRABHA K")</f>
        <v>Dr.CHANDRAPRABHA K</v>
      </c>
      <c r="M776" s="121" t="str">
        <f>IFERROR(__xludf.DUMMYFUNCTION("""COMPUTED_VALUE"""),"chandraprabhak@bitsathy.ac.in")</f>
        <v>chandraprabhak@bitsathy.ac.in</v>
      </c>
    </row>
    <row r="777" ht="49.5" customHeight="1">
      <c r="A777" s="121" t="str">
        <f>IFERROR(__xludf.DUMMYFUNCTION("""COMPUTED_VALUE"""),"IT")</f>
        <v>IT</v>
      </c>
      <c r="B777" s="121" t="str">
        <f>IFERROR(__xludf.DUMMYFUNCTION("""COMPUTED_VALUE"""),"S6")</f>
        <v>S6</v>
      </c>
      <c r="C777" s="121" t="str">
        <f>IFERROR(__xludf.DUMMYFUNCTION("""COMPUTED_VALUE"""),"ELECTIVE 4")</f>
        <v>ELECTIVE 4</v>
      </c>
      <c r="D777" s="121" t="str">
        <f>IFERROR(__xludf.DUMMYFUNCTION("""COMPUTED_VALUE"""),"22IT002")</f>
        <v>22IT002</v>
      </c>
      <c r="E777" s="131" t="str">
        <f>IFERROR(__xludf.DUMMYFUNCTION("""COMPUTED_VALUE"""),"RECOMMENDER SYSTEMS")</f>
        <v>RECOMMENDER SYSTEMS</v>
      </c>
      <c r="F777" s="121" t="str">
        <f>IFERROR(__xludf.DUMMYFUNCTION("""COMPUTED_VALUE"""),"THEORY")</f>
        <v>THEORY</v>
      </c>
      <c r="G777" s="121">
        <f>IFERROR(__xludf.DUMMYFUNCTION("""COMPUTED_VALUE"""),3.0)</f>
        <v>3</v>
      </c>
      <c r="H777" s="121">
        <f>IFERROR(__xludf.DUMMYFUNCTION("""COMPUTED_VALUE"""),0.0)</f>
        <v>0</v>
      </c>
      <c r="I777" s="121">
        <f>IFERROR(__xludf.DUMMYFUNCTION("""COMPUTED_VALUE"""),0.0)</f>
        <v>0</v>
      </c>
      <c r="J777" s="121">
        <f>IFERROR(__xludf.DUMMYFUNCTION("""COMPUTED_VALUE"""),3.0)</f>
        <v>3</v>
      </c>
      <c r="K777" s="132" t="str">
        <f>IFERROR(__xludf.DUMMYFUNCTION("""COMPUTED_VALUE"""),"IT11160")</f>
        <v>IT11160</v>
      </c>
      <c r="L777" s="121" t="str">
        <f>IFERROR(__xludf.DUMMYFUNCTION("""COMPUTED_VALUE"""),"Mrs.ELAVARASI T")</f>
        <v>Mrs.ELAVARASI T</v>
      </c>
      <c r="M777" s="121" t="str">
        <f>IFERROR(__xludf.DUMMYFUNCTION("""COMPUTED_VALUE"""),"elavarasit@bitsathy.ac.in")</f>
        <v>elavarasit@bitsathy.ac.in</v>
      </c>
    </row>
    <row r="778" ht="49.5" customHeight="1">
      <c r="A778" s="121" t="str">
        <f>IFERROR(__xludf.DUMMYFUNCTION("""COMPUTED_VALUE"""),"IT")</f>
        <v>IT</v>
      </c>
      <c r="B778" s="121" t="str">
        <f>IFERROR(__xludf.DUMMYFUNCTION("""COMPUTED_VALUE"""),"S6")</f>
        <v>S6</v>
      </c>
      <c r="C778" s="121" t="str">
        <f>IFERROR(__xludf.DUMMYFUNCTION("""COMPUTED_VALUE"""),"ELECTIVE 4")</f>
        <v>ELECTIVE 4</v>
      </c>
      <c r="D778" s="121" t="str">
        <f>IFERROR(__xludf.DUMMYFUNCTION("""COMPUTED_VALUE"""),"22IT002")</f>
        <v>22IT002</v>
      </c>
      <c r="E778" s="131" t="str">
        <f>IFERROR(__xludf.DUMMYFUNCTION("""COMPUTED_VALUE"""),"RECOMMENDER SYSTEMS")</f>
        <v>RECOMMENDER SYSTEMS</v>
      </c>
      <c r="F778" s="121" t="str">
        <f>IFERROR(__xludf.DUMMYFUNCTION("""COMPUTED_VALUE"""),"THEORY")</f>
        <v>THEORY</v>
      </c>
      <c r="G778" s="121">
        <f>IFERROR(__xludf.DUMMYFUNCTION("""COMPUTED_VALUE"""),3.0)</f>
        <v>3</v>
      </c>
      <c r="H778" s="121">
        <f>IFERROR(__xludf.DUMMYFUNCTION("""COMPUTED_VALUE"""),0.0)</f>
        <v>0</v>
      </c>
      <c r="I778" s="121">
        <f>IFERROR(__xludf.DUMMYFUNCTION("""COMPUTED_VALUE"""),0.0)</f>
        <v>0</v>
      </c>
      <c r="J778" s="121">
        <f>IFERROR(__xludf.DUMMYFUNCTION("""COMPUTED_VALUE"""),3.0)</f>
        <v>3</v>
      </c>
      <c r="K778" s="132" t="str">
        <f>IFERROR(__xludf.DUMMYFUNCTION("""COMPUTED_VALUE"""),"IT2078")</f>
        <v>IT2078</v>
      </c>
      <c r="L778" s="121" t="str">
        <f>IFERROR(__xludf.DUMMYFUNCTION("""COMPUTED_VALUE"""),"Mr.PRABHU P S")</f>
        <v>Mr.PRABHU P S</v>
      </c>
      <c r="M778" s="133" t="str">
        <f>IFERROR(__xludf.DUMMYFUNCTION("""COMPUTED_VALUE"""),"prabhups@bitsathy.ac.in")</f>
        <v>prabhups@bitsathy.ac.in</v>
      </c>
    </row>
    <row r="779" ht="49.5" customHeight="1">
      <c r="A779" s="121" t="str">
        <f>IFERROR(__xludf.DUMMYFUNCTION("""COMPUTED_VALUE"""),"IT")</f>
        <v>IT</v>
      </c>
      <c r="B779" s="121" t="str">
        <f>IFERROR(__xludf.DUMMYFUNCTION("""COMPUTED_VALUE"""),"S6")</f>
        <v>S6</v>
      </c>
      <c r="C779" s="121" t="str">
        <f>IFERROR(__xludf.DUMMYFUNCTION("""COMPUTED_VALUE"""),"ELECTIVE 4")</f>
        <v>ELECTIVE 4</v>
      </c>
      <c r="D779" s="121" t="str">
        <f>IFERROR(__xludf.DUMMYFUNCTION("""COMPUTED_VALUE"""),"22IT002")</f>
        <v>22IT002</v>
      </c>
      <c r="E779" s="131" t="str">
        <f>IFERROR(__xludf.DUMMYFUNCTION("""COMPUTED_VALUE"""),"RECOMMENDER SYSTEMS")</f>
        <v>RECOMMENDER SYSTEMS</v>
      </c>
      <c r="F779" s="121" t="str">
        <f>IFERROR(__xludf.DUMMYFUNCTION("""COMPUTED_VALUE"""),"THEORY")</f>
        <v>THEORY</v>
      </c>
      <c r="G779" s="121">
        <f>IFERROR(__xludf.DUMMYFUNCTION("""COMPUTED_VALUE"""),3.0)</f>
        <v>3</v>
      </c>
      <c r="H779" s="121">
        <f>IFERROR(__xludf.DUMMYFUNCTION("""COMPUTED_VALUE"""),0.0)</f>
        <v>0</v>
      </c>
      <c r="I779" s="121">
        <f>IFERROR(__xludf.DUMMYFUNCTION("""COMPUTED_VALUE"""),0.0)</f>
        <v>0</v>
      </c>
      <c r="J779" s="121">
        <f>IFERROR(__xludf.DUMMYFUNCTION("""COMPUTED_VALUE"""),3.0)</f>
        <v>3</v>
      </c>
      <c r="K779" s="132" t="str">
        <f>IFERROR(__xludf.DUMMYFUNCTION("""COMPUTED_VALUE"""),"AD11104")</f>
        <v>AD11104</v>
      </c>
      <c r="L779" s="121" t="str">
        <f>IFERROR(__xludf.DUMMYFUNCTION("""COMPUTED_VALUE"""),"Mrs.KALPANA R")</f>
        <v>Mrs.KALPANA R</v>
      </c>
      <c r="M779" s="133" t="str">
        <f>IFERROR(__xludf.DUMMYFUNCTION("""COMPUTED_VALUE"""),"kalpana@bitsathy.ac.in")</f>
        <v>kalpana@bitsathy.ac.in</v>
      </c>
    </row>
    <row r="780" ht="49.5" customHeight="1">
      <c r="A780" s="121" t="str">
        <f>IFERROR(__xludf.DUMMYFUNCTION("""COMPUTED_VALUE"""),"IT")</f>
        <v>IT</v>
      </c>
      <c r="B780" s="121" t="str">
        <f>IFERROR(__xludf.DUMMYFUNCTION("""COMPUTED_VALUE"""),"S6")</f>
        <v>S6</v>
      </c>
      <c r="C780" s="121" t="str">
        <f>IFERROR(__xludf.DUMMYFUNCTION("""COMPUTED_VALUE"""),"ELECTIVE 4")</f>
        <v>ELECTIVE 4</v>
      </c>
      <c r="D780" s="121" t="str">
        <f>IFERROR(__xludf.DUMMYFUNCTION("""COMPUTED_VALUE"""),"22IT020")</f>
        <v>22IT020</v>
      </c>
      <c r="E780" s="131" t="str">
        <f>IFERROR(__xludf.DUMMYFUNCTION("""COMPUTED_VALUE"""),"MODERN CRYPTOGRAPHY")</f>
        <v>MODERN CRYPTOGRAPHY</v>
      </c>
      <c r="F780" s="121" t="str">
        <f>IFERROR(__xludf.DUMMYFUNCTION("""COMPUTED_VALUE"""),"THEORY")</f>
        <v>THEORY</v>
      </c>
      <c r="G780" s="121">
        <f>IFERROR(__xludf.DUMMYFUNCTION("""COMPUTED_VALUE"""),3.0)</f>
        <v>3</v>
      </c>
      <c r="H780" s="121">
        <f>IFERROR(__xludf.DUMMYFUNCTION("""COMPUTED_VALUE"""),0.0)</f>
        <v>0</v>
      </c>
      <c r="I780" s="121">
        <f>IFERROR(__xludf.DUMMYFUNCTION("""COMPUTED_VALUE"""),0.0)</f>
        <v>0</v>
      </c>
      <c r="J780" s="121">
        <f>IFERROR(__xludf.DUMMYFUNCTION("""COMPUTED_VALUE"""),3.0)</f>
        <v>3</v>
      </c>
      <c r="K780" s="132" t="str">
        <f>IFERROR(__xludf.DUMMYFUNCTION("""COMPUTED_VALUE"""),"IT11132")</f>
        <v>IT11132</v>
      </c>
      <c r="L780" s="121" t="str">
        <f>IFERROR(__xludf.DUMMYFUNCTION("""COMPUTED_VALUE"""),"Mrs.KAVITHA V")</f>
        <v>Mrs.KAVITHA V</v>
      </c>
      <c r="M780" s="121" t="str">
        <f>IFERROR(__xludf.DUMMYFUNCTION("""COMPUTED_VALUE"""),"kavitha@bitsathy.ac.in")</f>
        <v>kavitha@bitsathy.ac.in</v>
      </c>
    </row>
    <row r="781" ht="49.5" customHeight="1">
      <c r="A781" s="121" t="str">
        <f>IFERROR(__xludf.DUMMYFUNCTION("""COMPUTED_VALUE"""),"IT")</f>
        <v>IT</v>
      </c>
      <c r="B781" s="121" t="str">
        <f>IFERROR(__xludf.DUMMYFUNCTION("""COMPUTED_VALUE"""),"S6")</f>
        <v>S6</v>
      </c>
      <c r="C781" s="121" t="str">
        <f>IFERROR(__xludf.DUMMYFUNCTION("""COMPUTED_VALUE"""),"ELECTIVE 4")</f>
        <v>ELECTIVE 4</v>
      </c>
      <c r="D781" s="121" t="str">
        <f>IFERROR(__xludf.DUMMYFUNCTION("""COMPUTED_VALUE"""),"22IT020")</f>
        <v>22IT020</v>
      </c>
      <c r="E781" s="131" t="str">
        <f>IFERROR(__xludf.DUMMYFUNCTION("""COMPUTED_VALUE"""),"MODERN CRYPTOGRAPHY")</f>
        <v>MODERN CRYPTOGRAPHY</v>
      </c>
      <c r="F781" s="121" t="str">
        <f>IFERROR(__xludf.DUMMYFUNCTION("""COMPUTED_VALUE"""),"THEORY WITH LAB")</f>
        <v>THEORY WITH LAB</v>
      </c>
      <c r="G781" s="121">
        <f>IFERROR(__xludf.DUMMYFUNCTION("""COMPUTED_VALUE"""),2.0)</f>
        <v>2</v>
      </c>
      <c r="H781" s="121">
        <f>IFERROR(__xludf.DUMMYFUNCTION("""COMPUTED_VALUE"""),0.0)</f>
        <v>0</v>
      </c>
      <c r="I781" s="121">
        <f>IFERROR(__xludf.DUMMYFUNCTION("""COMPUTED_VALUE"""),2.0)</f>
        <v>2</v>
      </c>
      <c r="J781" s="121">
        <f>IFERROR(__xludf.DUMMYFUNCTION("""COMPUTED_VALUE"""),3.0)</f>
        <v>3</v>
      </c>
      <c r="K781" s="132" t="str">
        <f>IFERROR(__xludf.DUMMYFUNCTION("""COMPUTED_VALUE"""),"IT11140")</f>
        <v>IT11140</v>
      </c>
      <c r="L781" s="121" t="str">
        <f>IFERROR(__xludf.DUMMYFUNCTION("""COMPUTED_VALUE"""),"Mrs.PRIYA A")</f>
        <v>Mrs.PRIYA A</v>
      </c>
      <c r="M781" s="121" t="str">
        <f>IFERROR(__xludf.DUMMYFUNCTION("""COMPUTED_VALUE"""),"priyaa@bitsathy.ac.in")</f>
        <v>priyaa@bitsathy.ac.in</v>
      </c>
    </row>
    <row r="782" ht="49.5" customHeight="1">
      <c r="A782" s="121" t="str">
        <f>IFERROR(__xludf.DUMMYFUNCTION("""COMPUTED_VALUE"""),"IT")</f>
        <v>IT</v>
      </c>
      <c r="B782" s="121" t="str">
        <f>IFERROR(__xludf.DUMMYFUNCTION("""COMPUTED_VALUE"""),"S6")</f>
        <v>S6</v>
      </c>
      <c r="C782" s="121" t="str">
        <f>IFERROR(__xludf.DUMMYFUNCTION("""COMPUTED_VALUE"""),"ELECTIVE 5")</f>
        <v>ELECTIVE 5</v>
      </c>
      <c r="D782" s="121" t="str">
        <f>IFERROR(__xludf.DUMMYFUNCTION("""COMPUTED_VALUE"""),"22IT050")</f>
        <v>22IT050</v>
      </c>
      <c r="E782" s="131" t="str">
        <f>IFERROR(__xludf.DUMMYFUNCTION("""COMPUTED_VALUE"""),"IT INFRASTRUCTURE DESIGN")</f>
        <v>IT INFRASTRUCTURE DESIGN</v>
      </c>
      <c r="F782" s="121" t="str">
        <f>IFERROR(__xludf.DUMMYFUNCTION("""COMPUTED_VALUE"""),"THEORY")</f>
        <v>THEORY</v>
      </c>
      <c r="G782" s="121">
        <f>IFERROR(__xludf.DUMMYFUNCTION("""COMPUTED_VALUE"""),3.0)</f>
        <v>3</v>
      </c>
      <c r="H782" s="121">
        <f>IFERROR(__xludf.DUMMYFUNCTION("""COMPUTED_VALUE"""),0.0)</f>
        <v>0</v>
      </c>
      <c r="I782" s="121">
        <f>IFERROR(__xludf.DUMMYFUNCTION("""COMPUTED_VALUE"""),0.0)</f>
        <v>0</v>
      </c>
      <c r="J782" s="121">
        <f>IFERROR(__xludf.DUMMYFUNCTION("""COMPUTED_VALUE"""),3.0)</f>
        <v>3</v>
      </c>
      <c r="K782" s="132" t="str">
        <f>IFERROR(__xludf.DUMMYFUNCTION("""COMPUTED_VALUE"""),"IT11149")</f>
        <v>IT11149</v>
      </c>
      <c r="L782" s="121" t="str">
        <f>IFERROR(__xludf.DUMMYFUNCTION("""COMPUTED_VALUE"""),"Mr.SENTHILNATHAN S")</f>
        <v>Mr.SENTHILNATHAN S</v>
      </c>
      <c r="M782" s="133" t="str">
        <f>IFERROR(__xludf.DUMMYFUNCTION("""COMPUTED_VALUE"""),"senthilnathans@bitsathy.ac.in")</f>
        <v>senthilnathans@bitsathy.ac.in</v>
      </c>
    </row>
    <row r="783" ht="49.5" customHeight="1">
      <c r="A783" s="121" t="str">
        <f>IFERROR(__xludf.DUMMYFUNCTION("""COMPUTED_VALUE"""),"IT")</f>
        <v>IT</v>
      </c>
      <c r="B783" s="121" t="str">
        <f>IFERROR(__xludf.DUMMYFUNCTION("""COMPUTED_VALUE"""),"S6")</f>
        <v>S6</v>
      </c>
      <c r="C783" s="121" t="str">
        <f>IFERROR(__xludf.DUMMYFUNCTION("""COMPUTED_VALUE"""),"ELECTIVE 5")</f>
        <v>ELECTIVE 5</v>
      </c>
      <c r="D783" s="121" t="str">
        <f>IFERROR(__xludf.DUMMYFUNCTION("""COMPUTED_VALUE"""),"22IT029")</f>
        <v>22IT029</v>
      </c>
      <c r="E783" s="131" t="str">
        <f>IFERROR(__xludf.DUMMYFUNCTION("""COMPUTED_VALUE"""),"DIGITAL MARKETING")</f>
        <v>DIGITAL MARKETING</v>
      </c>
      <c r="F783" s="121" t="str">
        <f>IFERROR(__xludf.DUMMYFUNCTION("""COMPUTED_VALUE"""),"THEORY")</f>
        <v>THEORY</v>
      </c>
      <c r="G783" s="121">
        <f>IFERROR(__xludf.DUMMYFUNCTION("""COMPUTED_VALUE"""),3.0)</f>
        <v>3</v>
      </c>
      <c r="H783" s="121">
        <f>IFERROR(__xludf.DUMMYFUNCTION("""COMPUTED_VALUE"""),0.0)</f>
        <v>0</v>
      </c>
      <c r="I783" s="121">
        <f>IFERROR(__xludf.DUMMYFUNCTION("""COMPUTED_VALUE"""),0.0)</f>
        <v>0</v>
      </c>
      <c r="J783" s="121">
        <f>IFERROR(__xludf.DUMMYFUNCTION("""COMPUTED_VALUE"""),3.0)</f>
        <v>3</v>
      </c>
      <c r="K783" s="132" t="str">
        <f>IFERROR(__xludf.DUMMYFUNCTION("""COMPUTED_VALUE"""),"IT11148")</f>
        <v>IT11148</v>
      </c>
      <c r="L783" s="121" t="str">
        <f>IFERROR(__xludf.DUMMYFUNCTION("""COMPUTED_VALUE"""),"Mr.MOHEMMED YOUSUF")</f>
        <v>Mr.MOHEMMED YOUSUF</v>
      </c>
      <c r="M783" s="133" t="str">
        <f>IFERROR(__xludf.DUMMYFUNCTION("""COMPUTED_VALUE"""),"mohemmedyousuf@bitsathy.ac.in")</f>
        <v>mohemmedyousuf@bitsathy.ac.in</v>
      </c>
    </row>
    <row r="784" ht="49.5" customHeight="1">
      <c r="A784" s="121" t="str">
        <f>IFERROR(__xludf.DUMMYFUNCTION("""COMPUTED_VALUE"""),"IT")</f>
        <v>IT</v>
      </c>
      <c r="B784" s="121" t="str">
        <f>IFERROR(__xludf.DUMMYFUNCTION("""COMPUTED_VALUE"""),"S6")</f>
        <v>S6</v>
      </c>
      <c r="C784" s="121" t="str">
        <f>IFERROR(__xludf.DUMMYFUNCTION("""COMPUTED_VALUE"""),"ELECTIVE 5")</f>
        <v>ELECTIVE 5</v>
      </c>
      <c r="D784" s="121" t="str">
        <f>IFERROR(__xludf.DUMMYFUNCTION("""COMPUTED_VALUE"""),"22IT029")</f>
        <v>22IT029</v>
      </c>
      <c r="E784" s="131" t="str">
        <f>IFERROR(__xludf.DUMMYFUNCTION("""COMPUTED_VALUE"""),"DIGITAL MARKETING")</f>
        <v>DIGITAL MARKETING</v>
      </c>
      <c r="F784" s="121" t="str">
        <f>IFERROR(__xludf.DUMMYFUNCTION("""COMPUTED_VALUE"""),"THEORY")</f>
        <v>THEORY</v>
      </c>
      <c r="G784" s="121">
        <f>IFERROR(__xludf.DUMMYFUNCTION("""COMPUTED_VALUE"""),3.0)</f>
        <v>3</v>
      </c>
      <c r="H784" s="121">
        <f>IFERROR(__xludf.DUMMYFUNCTION("""COMPUTED_VALUE"""),0.0)</f>
        <v>0</v>
      </c>
      <c r="I784" s="121">
        <f>IFERROR(__xludf.DUMMYFUNCTION("""COMPUTED_VALUE"""),0.0)</f>
        <v>0</v>
      </c>
      <c r="J784" s="121">
        <f>IFERROR(__xludf.DUMMYFUNCTION("""COMPUTED_VALUE"""),3.0)</f>
        <v>3</v>
      </c>
      <c r="K784" s="132" t="str">
        <f>IFERROR(__xludf.DUMMYFUNCTION("""COMPUTED_VALUE"""),"IT10736")</f>
        <v>IT10736</v>
      </c>
      <c r="L784" s="121" t="str">
        <f>IFERROR(__xludf.DUMMYFUNCTION("""COMPUTED_VALUE"""),"Mrs.JANANI T")</f>
        <v>Mrs.JANANI T</v>
      </c>
      <c r="M784" s="133" t="str">
        <f>IFERROR(__xludf.DUMMYFUNCTION("""COMPUTED_VALUE"""),"jananit@bitsathy.ac.in")</f>
        <v>jananit@bitsathy.ac.in</v>
      </c>
    </row>
    <row r="785" ht="49.5" customHeight="1">
      <c r="A785" s="121" t="str">
        <f>IFERROR(__xludf.DUMMYFUNCTION("""COMPUTED_VALUE"""),"IT")</f>
        <v>IT</v>
      </c>
      <c r="B785" s="121" t="str">
        <f>IFERROR(__xludf.DUMMYFUNCTION("""COMPUTED_VALUE"""),"S6")</f>
        <v>S6</v>
      </c>
      <c r="C785" s="121" t="str">
        <f>IFERROR(__xludf.DUMMYFUNCTION("""COMPUTED_VALUE"""),"ADD COURSE")</f>
        <v>ADD COURSE</v>
      </c>
      <c r="D785" s="121" t="str">
        <f>IFERROR(__xludf.DUMMYFUNCTION("""COMPUTED_VALUE"""),"22IT039")</f>
        <v>22IT039</v>
      </c>
      <c r="E785" s="131" t="str">
        <f>IFERROR(__xludf.DUMMYFUNCTION("""COMPUTED_VALUE"""),"HUMAN COMPUTER INTERACTION")</f>
        <v>HUMAN COMPUTER INTERACTION</v>
      </c>
      <c r="F785" s="121" t="str">
        <f>IFERROR(__xludf.DUMMYFUNCTION("""COMPUTED_VALUE"""),"THEORY")</f>
        <v>THEORY</v>
      </c>
      <c r="G785" s="121">
        <f>IFERROR(__xludf.DUMMYFUNCTION("""COMPUTED_VALUE"""),3.0)</f>
        <v>3</v>
      </c>
      <c r="H785" s="121">
        <f>IFERROR(__xludf.DUMMYFUNCTION("""COMPUTED_VALUE"""),0.0)</f>
        <v>0</v>
      </c>
      <c r="I785" s="121">
        <f>IFERROR(__xludf.DUMMYFUNCTION("""COMPUTED_VALUE"""),0.0)</f>
        <v>0</v>
      </c>
      <c r="J785" s="121">
        <f>IFERROR(__xludf.DUMMYFUNCTION("""COMPUTED_VALUE"""),3.0)</f>
        <v>3</v>
      </c>
      <c r="K785" s="132" t="str">
        <f>IFERROR(__xludf.DUMMYFUNCTION("""COMPUTED_VALUE"""),"IT11128")</f>
        <v>IT11128</v>
      </c>
      <c r="L785" s="121" t="str">
        <f>IFERROR(__xludf.DUMMYFUNCTION("""COMPUTED_VALUE"""),"Dr.TAMILTHENDRAL M")</f>
        <v>Dr.TAMILTHENDRAL M</v>
      </c>
      <c r="M785" s="133" t="str">
        <f>IFERROR(__xludf.DUMMYFUNCTION("""COMPUTED_VALUE"""),"tamilthendral@bitsathy.ac.in")</f>
        <v>tamilthendral@bitsathy.ac.in</v>
      </c>
    </row>
    <row r="786" ht="49.5" customHeight="1">
      <c r="A786" s="121" t="str">
        <f>IFERROR(__xludf.DUMMYFUNCTION("""COMPUTED_VALUE"""),"IT")</f>
        <v>IT</v>
      </c>
      <c r="B786" s="121" t="str">
        <f>IFERROR(__xludf.DUMMYFUNCTION("""COMPUTED_VALUE"""),"S6")</f>
        <v>S6</v>
      </c>
      <c r="C786" s="121" t="str">
        <f>IFERROR(__xludf.DUMMYFUNCTION("""COMPUTED_VALUE"""),"ADD COURSE")</f>
        <v>ADD COURSE</v>
      </c>
      <c r="D786" s="121" t="str">
        <f>IFERROR(__xludf.DUMMYFUNCTION("""COMPUTED_VALUE"""),"22IT039")</f>
        <v>22IT039</v>
      </c>
      <c r="E786" s="131" t="str">
        <f>IFERROR(__xludf.DUMMYFUNCTION("""COMPUTED_VALUE"""),"HUMAN COMPUTER INTERACTION")</f>
        <v>HUMAN COMPUTER INTERACTION</v>
      </c>
      <c r="F786" s="121" t="str">
        <f>IFERROR(__xludf.DUMMYFUNCTION("""COMPUTED_VALUE"""),"THEORY")</f>
        <v>THEORY</v>
      </c>
      <c r="G786" s="121">
        <f>IFERROR(__xludf.DUMMYFUNCTION("""COMPUTED_VALUE"""),3.0)</f>
        <v>3</v>
      </c>
      <c r="H786" s="121">
        <f>IFERROR(__xludf.DUMMYFUNCTION("""COMPUTED_VALUE"""),0.0)</f>
        <v>0</v>
      </c>
      <c r="I786" s="121">
        <f>IFERROR(__xludf.DUMMYFUNCTION("""COMPUTED_VALUE"""),0.0)</f>
        <v>0</v>
      </c>
      <c r="J786" s="121">
        <f>IFERROR(__xludf.DUMMYFUNCTION("""COMPUTED_VALUE"""),3.0)</f>
        <v>3</v>
      </c>
      <c r="K786" s="132" t="str">
        <f>IFERROR(__xludf.DUMMYFUNCTION("""COMPUTED_VALUE"""),"AM10954")</f>
        <v>AM10954</v>
      </c>
      <c r="L786" s="121" t="str">
        <f>IFERROR(__xludf.DUMMYFUNCTION("""COMPUTED_VALUE"""),"Mrs.HARI PRIYA R")</f>
        <v>Mrs.HARI PRIYA R</v>
      </c>
      <c r="M786" s="133" t="str">
        <f>IFERROR(__xludf.DUMMYFUNCTION("""COMPUTED_VALUE"""),"haripriyar@bitsathy.ac.in")</f>
        <v>haripriyar@bitsathy.ac.in</v>
      </c>
    </row>
    <row r="787" ht="49.5" customHeight="1">
      <c r="A787" s="121" t="str">
        <f>IFERROR(__xludf.DUMMYFUNCTION("""COMPUTED_VALUE"""),"IT")</f>
        <v>IT</v>
      </c>
      <c r="B787" s="121" t="str">
        <f>IFERROR(__xludf.DUMMYFUNCTION("""COMPUTED_VALUE"""),"S6")</f>
        <v>S6</v>
      </c>
      <c r="C787" s="121" t="str">
        <f>IFERROR(__xludf.DUMMYFUNCTION("""COMPUTED_VALUE"""),"MINOR")</f>
        <v>MINOR</v>
      </c>
      <c r="D787" s="121" t="str">
        <f>IFERROR(__xludf.DUMMYFUNCTION("""COMPUTED_VALUE"""),"22ITM48")</f>
        <v>22ITM48</v>
      </c>
      <c r="E787" s="131" t="str">
        <f>IFERROR(__xludf.DUMMYFUNCTION("""COMPUTED_VALUE"""),"DATA ANALYSIS USING PYTHON")</f>
        <v>DATA ANALYSIS USING PYTHON</v>
      </c>
      <c r="F787" s="121" t="str">
        <f>IFERROR(__xludf.DUMMYFUNCTION("""COMPUTED_VALUE"""),"THEORY WITH LAB")</f>
        <v>THEORY WITH LAB</v>
      </c>
      <c r="G787" s="121">
        <f>IFERROR(__xludf.DUMMYFUNCTION("""COMPUTED_VALUE"""),2.0)</f>
        <v>2</v>
      </c>
      <c r="H787" s="121">
        <f>IFERROR(__xludf.DUMMYFUNCTION("""COMPUTED_VALUE"""),0.0)</f>
        <v>0</v>
      </c>
      <c r="I787" s="121">
        <f>IFERROR(__xludf.DUMMYFUNCTION("""COMPUTED_VALUE"""),2.0)</f>
        <v>2</v>
      </c>
      <c r="J787" s="121">
        <f>IFERROR(__xludf.DUMMYFUNCTION("""COMPUTED_VALUE"""),3.0)</f>
        <v>3</v>
      </c>
      <c r="K787" s="132" t="str">
        <f>IFERROR(__xludf.DUMMYFUNCTION("""COMPUTED_VALUE"""),"IT11128")</f>
        <v>IT11128</v>
      </c>
      <c r="L787" s="121" t="str">
        <f>IFERROR(__xludf.DUMMYFUNCTION("""COMPUTED_VALUE"""),"Dr.TAMILTHENDRAL M")</f>
        <v>Dr.TAMILTHENDRAL M</v>
      </c>
      <c r="M787" s="133" t="str">
        <f>IFERROR(__xludf.DUMMYFUNCTION("""COMPUTED_VALUE"""),"tamilthendral@bitsathy.ac.in")</f>
        <v>tamilthendral@bitsathy.ac.in</v>
      </c>
    </row>
    <row r="788" ht="49.5" customHeight="1">
      <c r="A788" s="121" t="str">
        <f>IFERROR(__xludf.DUMMYFUNCTION("""COMPUTED_VALUE"""),"IT")</f>
        <v>IT</v>
      </c>
      <c r="B788" s="121" t="str">
        <f>IFERROR(__xludf.DUMMYFUNCTION("""COMPUTED_VALUE"""),"S6")</f>
        <v>S6</v>
      </c>
      <c r="C788" s="121" t="str">
        <f>IFERROR(__xludf.DUMMYFUNCTION("""COMPUTED_VALUE"""),"MINOR")</f>
        <v>MINOR</v>
      </c>
      <c r="D788" s="121" t="str">
        <f>IFERROR(__xludf.DUMMYFUNCTION("""COMPUTED_VALUE"""),"22ITM49")</f>
        <v>22ITM49</v>
      </c>
      <c r="E788" s="131" t="str">
        <f>IFERROR(__xludf.DUMMYFUNCTION("""COMPUTED_VALUE"""),"SOFTWARE ENGINEERING METHODOLOGIES")</f>
        <v>SOFTWARE ENGINEERING METHODOLOGIES</v>
      </c>
      <c r="F788" s="121" t="str">
        <f>IFERROR(__xludf.DUMMYFUNCTION("""COMPUTED_VALUE"""),"THEORY WITH LAB")</f>
        <v>THEORY WITH LAB</v>
      </c>
      <c r="G788" s="121">
        <f>IFERROR(__xludf.DUMMYFUNCTION("""COMPUTED_VALUE"""),2.0)</f>
        <v>2</v>
      </c>
      <c r="H788" s="121">
        <f>IFERROR(__xludf.DUMMYFUNCTION("""COMPUTED_VALUE"""),0.0)</f>
        <v>0</v>
      </c>
      <c r="I788" s="121">
        <f>IFERROR(__xludf.DUMMYFUNCTION("""COMPUTED_VALUE"""),2.0)</f>
        <v>2</v>
      </c>
      <c r="J788" s="121">
        <f>IFERROR(__xludf.DUMMYFUNCTION("""COMPUTED_VALUE"""),3.0)</f>
        <v>3</v>
      </c>
      <c r="K788" s="132" t="str">
        <f>IFERROR(__xludf.DUMMYFUNCTION("""COMPUTED_VALUE"""),"IT11105")</f>
        <v>IT11105</v>
      </c>
      <c r="L788" s="121" t="str">
        <f>IFERROR(__xludf.DUMMYFUNCTION("""COMPUTED_VALUE"""),"Mrs.SANTHIYA B")</f>
        <v>Mrs.SANTHIYA B</v>
      </c>
      <c r="M788" s="121" t="str">
        <f>IFERROR(__xludf.DUMMYFUNCTION("""COMPUTED_VALUE"""),"santhiyab@bitsathy.ac.in")</f>
        <v>santhiyab@bitsathy.ac.in</v>
      </c>
    </row>
    <row r="789" ht="49.5" customHeight="1">
      <c r="A789" s="121" t="str">
        <f>IFERROR(__xludf.DUMMYFUNCTION("""COMPUTED_VALUE"""),"IT")</f>
        <v>IT</v>
      </c>
      <c r="B789" s="121" t="str">
        <f>IFERROR(__xludf.DUMMYFUNCTION("""COMPUTED_VALUE"""),"S6")</f>
        <v>S6</v>
      </c>
      <c r="C789" s="121" t="str">
        <f>IFERROR(__xludf.DUMMYFUNCTION("""COMPUTED_VALUE"""),"MINI PROJECT")</f>
        <v>MINI PROJECT</v>
      </c>
      <c r="D789" s="121" t="str">
        <f>IFERROR(__xludf.DUMMYFUNCTION("""COMPUTED_VALUE"""),"22IT607")</f>
        <v>22IT607</v>
      </c>
      <c r="E789" s="131" t="str">
        <f>IFERROR(__xludf.DUMMYFUNCTION("""COMPUTED_VALUE"""),"MINI PROJECT II")</f>
        <v>MINI PROJECT II</v>
      </c>
      <c r="F789" s="121" t="str">
        <f>IFERROR(__xludf.DUMMYFUNCTION("""COMPUTED_VALUE"""),"LAB")</f>
        <v>LAB</v>
      </c>
      <c r="G789" s="121">
        <f>IFERROR(__xludf.DUMMYFUNCTION("""COMPUTED_VALUE"""),0.0)</f>
        <v>0</v>
      </c>
      <c r="H789" s="121">
        <f>IFERROR(__xludf.DUMMYFUNCTION("""COMPUTED_VALUE"""),0.0)</f>
        <v>0</v>
      </c>
      <c r="I789" s="121">
        <f>IFERROR(__xludf.DUMMYFUNCTION("""COMPUTED_VALUE"""),2.0)</f>
        <v>2</v>
      </c>
      <c r="J789" s="121">
        <f>IFERROR(__xludf.DUMMYFUNCTION("""COMPUTED_VALUE"""),1.0)</f>
        <v>1</v>
      </c>
      <c r="K789" s="132"/>
      <c r="L789" s="121"/>
      <c r="M789" s="133"/>
    </row>
    <row r="790" ht="49.5" customHeight="1">
      <c r="A790" s="121" t="str">
        <f>IFERROR(__xludf.DUMMYFUNCTION("""COMPUTED_VALUE"""),"IT")</f>
        <v>IT</v>
      </c>
      <c r="B790" s="121" t="str">
        <f>IFERROR(__xludf.DUMMYFUNCTION("""COMPUTED_VALUE"""),"S8")</f>
        <v>S8</v>
      </c>
      <c r="C790" s="121" t="str">
        <f>IFERROR(__xludf.DUMMYFUNCTION("""COMPUTED_VALUE"""),"CORE")</f>
        <v>CORE</v>
      </c>
      <c r="D790" s="121" t="str">
        <f>IFERROR(__xludf.DUMMYFUNCTION("""COMPUTED_VALUE"""),"22IT801")</f>
        <v>22IT801</v>
      </c>
      <c r="E790" s="131" t="str">
        <f>IFERROR(__xludf.DUMMYFUNCTION("""COMPUTED_VALUE"""),"PROJECT WORK II")</f>
        <v>PROJECT WORK II</v>
      </c>
      <c r="F790" s="121" t="str">
        <f>IFERROR(__xludf.DUMMYFUNCTION("""COMPUTED_VALUE"""),"LAB")</f>
        <v>LAB</v>
      </c>
      <c r="G790" s="121">
        <f>IFERROR(__xludf.DUMMYFUNCTION("""COMPUTED_VALUE"""),0.0)</f>
        <v>0</v>
      </c>
      <c r="H790" s="121">
        <f>IFERROR(__xludf.DUMMYFUNCTION("""COMPUTED_VALUE"""),0.0)</f>
        <v>0</v>
      </c>
      <c r="I790" s="121">
        <f>IFERROR(__xludf.DUMMYFUNCTION("""COMPUTED_VALUE"""),18.0)</f>
        <v>18</v>
      </c>
      <c r="J790" s="121">
        <f>IFERROR(__xludf.DUMMYFUNCTION("""COMPUTED_VALUE"""),9.0)</f>
        <v>9</v>
      </c>
      <c r="K790" s="132"/>
      <c r="L790" s="121"/>
      <c r="M790" s="133"/>
    </row>
    <row r="791" ht="49.5" customHeight="1">
      <c r="A791" s="121" t="str">
        <f>IFERROR(__xludf.DUMMYFUNCTION("""COMPUTED_VALUE"""),"MECH")</f>
        <v>MECH</v>
      </c>
      <c r="B791" s="121" t="str">
        <f>IFERROR(__xludf.DUMMYFUNCTION("""COMPUTED_VALUE"""),"S2")</f>
        <v>S2</v>
      </c>
      <c r="C791" s="121" t="str">
        <f>IFERROR(__xludf.DUMMYFUNCTION("""COMPUTED_VALUE"""),"CORE")</f>
        <v>CORE</v>
      </c>
      <c r="D791" s="121" t="str">
        <f>IFERROR(__xludf.DUMMYFUNCTION("""COMPUTED_VALUE"""),"22MA201")</f>
        <v>22MA201</v>
      </c>
      <c r="E791" s="131" t="str">
        <f>IFERROR(__xludf.DUMMYFUNCTION("""COMPUTED_VALUE"""),"ENGINEERING MATHEMATICS II")</f>
        <v>ENGINEERING MATHEMATICS II</v>
      </c>
      <c r="F791" s="121" t="str">
        <f>IFERROR(__xludf.DUMMYFUNCTION("""COMPUTED_VALUE"""),"THEORY")</f>
        <v>THEORY</v>
      </c>
      <c r="G791" s="121">
        <f>IFERROR(__xludf.DUMMYFUNCTION("""COMPUTED_VALUE"""),3.0)</f>
        <v>3</v>
      </c>
      <c r="H791" s="121">
        <f>IFERROR(__xludf.DUMMYFUNCTION("""COMPUTED_VALUE"""),1.0)</f>
        <v>1</v>
      </c>
      <c r="I791" s="121">
        <f>IFERROR(__xludf.DUMMYFUNCTION("""COMPUTED_VALUE"""),0.0)</f>
        <v>0</v>
      </c>
      <c r="J791" s="121">
        <f>IFERROR(__xludf.DUMMYFUNCTION("""COMPUTED_VALUE"""),4.0)</f>
        <v>4</v>
      </c>
      <c r="K791" s="132" t="str">
        <f>IFERROR(__xludf.DUMMYFUNCTION("""COMPUTED_VALUE"""),"MA11017")</f>
        <v>MA11017</v>
      </c>
      <c r="L791" s="121" t="str">
        <f>IFERROR(__xludf.DUMMYFUNCTION("""COMPUTED_VALUE"""),"Dr.GAYATHIRI B")</f>
        <v>Dr.GAYATHIRI B</v>
      </c>
      <c r="M791" s="133" t="str">
        <f>IFERROR(__xludf.DUMMYFUNCTION("""COMPUTED_VALUE"""),"gayathirib@bitsathy.ac.in")</f>
        <v>gayathirib@bitsathy.ac.in</v>
      </c>
    </row>
    <row r="792" ht="49.5" customHeight="1">
      <c r="A792" s="121" t="str">
        <f>IFERROR(__xludf.DUMMYFUNCTION("""COMPUTED_VALUE"""),"MECH")</f>
        <v>MECH</v>
      </c>
      <c r="B792" s="121" t="str">
        <f>IFERROR(__xludf.DUMMYFUNCTION("""COMPUTED_VALUE"""),"S2")</f>
        <v>S2</v>
      </c>
      <c r="C792" s="121" t="str">
        <f>IFERROR(__xludf.DUMMYFUNCTION("""COMPUTED_VALUE"""),"CORE")</f>
        <v>CORE</v>
      </c>
      <c r="D792" s="121" t="str">
        <f>IFERROR(__xludf.DUMMYFUNCTION("""COMPUTED_VALUE"""),"22PH202")</f>
        <v>22PH202</v>
      </c>
      <c r="E792" s="131" t="str">
        <f>IFERROR(__xludf.DUMMYFUNCTION("""COMPUTED_VALUE"""),"ELECTROMAGNETISM AND MODERN PHYSICS")</f>
        <v>ELECTROMAGNETISM AND MODERN PHYSICS</v>
      </c>
      <c r="F792" s="121" t="str">
        <f>IFERROR(__xludf.DUMMYFUNCTION("""COMPUTED_VALUE"""),"THEORY WITH LAB")</f>
        <v>THEORY WITH LAB</v>
      </c>
      <c r="G792" s="121">
        <f>IFERROR(__xludf.DUMMYFUNCTION("""COMPUTED_VALUE"""),2.0)</f>
        <v>2</v>
      </c>
      <c r="H792" s="121">
        <f>IFERROR(__xludf.DUMMYFUNCTION("""COMPUTED_VALUE"""),0.0)</f>
        <v>0</v>
      </c>
      <c r="I792" s="121">
        <f>IFERROR(__xludf.DUMMYFUNCTION("""COMPUTED_VALUE"""),2.0)</f>
        <v>2</v>
      </c>
      <c r="J792" s="121">
        <f>IFERROR(__xludf.DUMMYFUNCTION("""COMPUTED_VALUE"""),3.0)</f>
        <v>3</v>
      </c>
      <c r="K792" s="132" t="str">
        <f>IFERROR(__xludf.DUMMYFUNCTION("""COMPUTED_VALUE"""),"PH10380")</f>
        <v>PH10380</v>
      </c>
      <c r="L792" s="121" t="str">
        <f>IFERROR(__xludf.DUMMYFUNCTION("""COMPUTED_VALUE"""),"Dr.SELVAKUMAR K")</f>
        <v>Dr.SELVAKUMAR K</v>
      </c>
      <c r="M792" s="133" t="str">
        <f>IFERROR(__xludf.DUMMYFUNCTION("""COMPUTED_VALUE"""),"selvakumark@bitsathy.ac.in")</f>
        <v>selvakumark@bitsathy.ac.in</v>
      </c>
    </row>
    <row r="793" ht="49.5" customHeight="1">
      <c r="A793" s="121" t="str">
        <f>IFERROR(__xludf.DUMMYFUNCTION("""COMPUTED_VALUE"""),"MECH")</f>
        <v>MECH</v>
      </c>
      <c r="B793" s="121" t="str">
        <f>IFERROR(__xludf.DUMMYFUNCTION("""COMPUTED_VALUE"""),"S2")</f>
        <v>S2</v>
      </c>
      <c r="C793" s="121" t="str">
        <f>IFERROR(__xludf.DUMMYFUNCTION("""COMPUTED_VALUE"""),"CORE")</f>
        <v>CORE</v>
      </c>
      <c r="D793" s="121" t="str">
        <f>IFERROR(__xludf.DUMMYFUNCTION("""COMPUTED_VALUE"""),"22CH203")</f>
        <v>22CH203</v>
      </c>
      <c r="E793" s="131" t="str">
        <f>IFERROR(__xludf.DUMMYFUNCTION("""COMPUTED_VALUE"""),"ENGINEERING CHEMISTRY II")</f>
        <v>ENGINEERING CHEMISTRY II</v>
      </c>
      <c r="F793" s="121" t="str">
        <f>IFERROR(__xludf.DUMMYFUNCTION("""COMPUTED_VALUE"""),"THEORY WITH LAB")</f>
        <v>THEORY WITH LAB</v>
      </c>
      <c r="G793" s="121">
        <f>IFERROR(__xludf.DUMMYFUNCTION("""COMPUTED_VALUE"""),2.0)</f>
        <v>2</v>
      </c>
      <c r="H793" s="121">
        <f>IFERROR(__xludf.DUMMYFUNCTION("""COMPUTED_VALUE"""),0.0)</f>
        <v>0</v>
      </c>
      <c r="I793" s="121">
        <f>IFERROR(__xludf.DUMMYFUNCTION("""COMPUTED_VALUE"""),2.0)</f>
        <v>2</v>
      </c>
      <c r="J793" s="121">
        <f>IFERROR(__xludf.DUMMYFUNCTION("""COMPUTED_VALUE"""),3.0)</f>
        <v>3</v>
      </c>
      <c r="K793" s="132" t="str">
        <f>IFERROR(__xludf.DUMMYFUNCTION("""COMPUTED_VALUE"""),"CH1557")</f>
        <v>CH1557</v>
      </c>
      <c r="L793" s="121" t="str">
        <f>IFERROR(__xludf.DUMMYFUNCTION("""COMPUTED_VALUE"""),"Dr.VIJAYANAND P S")</f>
        <v>Dr.VIJAYANAND P S</v>
      </c>
      <c r="M793" s="133" t="str">
        <f>IFERROR(__xludf.DUMMYFUNCTION("""COMPUTED_VALUE"""),"vijayanandps@bitsathy.ac.in")</f>
        <v>vijayanandps@bitsathy.ac.in</v>
      </c>
    </row>
    <row r="794" ht="49.5" customHeight="1">
      <c r="A794" s="121" t="str">
        <f>IFERROR(__xludf.DUMMYFUNCTION("""COMPUTED_VALUE"""),"MECH")</f>
        <v>MECH</v>
      </c>
      <c r="B794" s="121" t="str">
        <f>IFERROR(__xludf.DUMMYFUNCTION("""COMPUTED_VALUE"""),"S2")</f>
        <v>S2</v>
      </c>
      <c r="C794" s="121" t="str">
        <f>IFERROR(__xludf.DUMMYFUNCTION("""COMPUTED_VALUE"""),"CORE")</f>
        <v>CORE</v>
      </c>
      <c r="D794" s="121" t="str">
        <f>IFERROR(__xludf.DUMMYFUNCTION("""COMPUTED_VALUE"""),"22GE002")</f>
        <v>22GE002</v>
      </c>
      <c r="E794" s="131" t="str">
        <f>IFERROR(__xludf.DUMMYFUNCTION("""COMPUTED_VALUE"""),"COMPUTATIONAL PROBLEM SOLVING")</f>
        <v>COMPUTATIONAL PROBLEM SOLVING</v>
      </c>
      <c r="F794" s="121" t="str">
        <f>IFERROR(__xludf.DUMMYFUNCTION("""COMPUTED_VALUE"""),"THEORY")</f>
        <v>THEORY</v>
      </c>
      <c r="G794" s="121">
        <f>IFERROR(__xludf.DUMMYFUNCTION("""COMPUTED_VALUE"""),3.0)</f>
        <v>3</v>
      </c>
      <c r="H794" s="121">
        <f>IFERROR(__xludf.DUMMYFUNCTION("""COMPUTED_VALUE"""),0.0)</f>
        <v>0</v>
      </c>
      <c r="I794" s="121">
        <f>IFERROR(__xludf.DUMMYFUNCTION("""COMPUTED_VALUE"""),0.0)</f>
        <v>0</v>
      </c>
      <c r="J794" s="121">
        <f>IFERROR(__xludf.DUMMYFUNCTION("""COMPUTED_VALUE"""),3.0)</f>
        <v>3</v>
      </c>
      <c r="K794" s="132" t="str">
        <f>IFERROR(__xludf.DUMMYFUNCTION("""COMPUTED_VALUE"""),"CS11150")</f>
        <v>CS11150</v>
      </c>
      <c r="L794" s="121" t="str">
        <f>IFERROR(__xludf.DUMMYFUNCTION("""COMPUTED_VALUE"""),"Mrs.MYTHILI G M")</f>
        <v>Mrs.MYTHILI G M</v>
      </c>
      <c r="M794" s="133" t="str">
        <f>IFERROR(__xludf.DUMMYFUNCTION("""COMPUTED_VALUE"""),"mythili@bitsathy.ac.in")</f>
        <v>mythili@bitsathy.ac.in</v>
      </c>
    </row>
    <row r="795" ht="49.5" customHeight="1">
      <c r="A795" s="121" t="str">
        <f>IFERROR(__xludf.DUMMYFUNCTION("""COMPUTED_VALUE"""),"MECH")</f>
        <v>MECH</v>
      </c>
      <c r="B795" s="121" t="str">
        <f>IFERROR(__xludf.DUMMYFUNCTION("""COMPUTED_VALUE"""),"S2")</f>
        <v>S2</v>
      </c>
      <c r="C795" s="121" t="str">
        <f>IFERROR(__xludf.DUMMYFUNCTION("""COMPUTED_VALUE"""),"CORE")</f>
        <v>CORE</v>
      </c>
      <c r="D795" s="121" t="str">
        <f>IFERROR(__xludf.DUMMYFUNCTION("""COMPUTED_VALUE"""),"22GE004")</f>
        <v>22GE004</v>
      </c>
      <c r="E795" s="131" t="str">
        <f>IFERROR(__xludf.DUMMYFUNCTION("""COMPUTED_VALUE"""),"BASICS OF ELECTRONICS ENGINEERING")</f>
        <v>BASICS OF ELECTRONICS ENGINEERING</v>
      </c>
      <c r="F795" s="121" t="str">
        <f>IFERROR(__xludf.DUMMYFUNCTION("""COMPUTED_VALUE"""),"THEORY WITH LAB")</f>
        <v>THEORY WITH LAB</v>
      </c>
      <c r="G795" s="121">
        <f>IFERROR(__xludf.DUMMYFUNCTION("""COMPUTED_VALUE"""),2.0)</f>
        <v>2</v>
      </c>
      <c r="H795" s="121">
        <f>IFERROR(__xludf.DUMMYFUNCTION("""COMPUTED_VALUE"""),0.0)</f>
        <v>0</v>
      </c>
      <c r="I795" s="121">
        <f>IFERROR(__xludf.DUMMYFUNCTION("""COMPUTED_VALUE"""),2.0)</f>
        <v>2</v>
      </c>
      <c r="J795" s="121">
        <f>IFERROR(__xludf.DUMMYFUNCTION("""COMPUTED_VALUE"""),3.0)</f>
        <v>3</v>
      </c>
      <c r="K795" s="132" t="str">
        <f>IFERROR(__xludf.DUMMYFUNCTION("""COMPUTED_VALUE"""),"EC10764")</f>
        <v>EC10764</v>
      </c>
      <c r="L795" s="121" t="str">
        <f>IFERROR(__xludf.DUMMYFUNCTION("""COMPUTED_VALUE"""),"Mrs.SOUNDARYA B")</f>
        <v>Mrs.SOUNDARYA B</v>
      </c>
      <c r="M795" s="121" t="str">
        <f>IFERROR(__xludf.DUMMYFUNCTION("""COMPUTED_VALUE"""),"soundarya@bitsathy.ac.in")</f>
        <v>soundarya@bitsathy.ac.in</v>
      </c>
    </row>
    <row r="796" ht="49.5" customHeight="1">
      <c r="A796" s="121" t="str">
        <f>IFERROR(__xludf.DUMMYFUNCTION("""COMPUTED_VALUE"""),"MECH")</f>
        <v>MECH</v>
      </c>
      <c r="B796" s="121" t="str">
        <f>IFERROR(__xludf.DUMMYFUNCTION("""COMPUTED_VALUE"""),"S2")</f>
        <v>S2</v>
      </c>
      <c r="C796" s="121" t="str">
        <f>IFERROR(__xludf.DUMMYFUNCTION("""COMPUTED_VALUE"""),"CORE")</f>
        <v>CORE</v>
      </c>
      <c r="D796" s="121" t="str">
        <f>IFERROR(__xludf.DUMMYFUNCTION("""COMPUTED_VALUE"""),"22HS002")</f>
        <v>22HS002</v>
      </c>
      <c r="E796" s="131" t="str">
        <f>IFERROR(__xludf.DUMMYFUNCTION("""COMPUTED_VALUE"""),"STARTUP MANAGEMENT")</f>
        <v>STARTUP MANAGEMENT</v>
      </c>
      <c r="F796" s="121" t="str">
        <f>IFERROR(__xludf.DUMMYFUNCTION("""COMPUTED_VALUE"""),"LAB")</f>
        <v>LAB</v>
      </c>
      <c r="G796" s="121">
        <f>IFERROR(__xludf.DUMMYFUNCTION("""COMPUTED_VALUE"""),1.0)</f>
        <v>1</v>
      </c>
      <c r="H796" s="121">
        <f>IFERROR(__xludf.DUMMYFUNCTION("""COMPUTED_VALUE"""),0.0)</f>
        <v>0</v>
      </c>
      <c r="I796" s="121">
        <f>IFERROR(__xludf.DUMMYFUNCTION("""COMPUTED_VALUE"""),2.0)</f>
        <v>2</v>
      </c>
      <c r="J796" s="121">
        <f>IFERROR(__xludf.DUMMYFUNCTION("""COMPUTED_VALUE"""),2.0)</f>
        <v>2</v>
      </c>
      <c r="K796" s="132" t="str">
        <f>IFERROR(__xludf.DUMMYFUNCTION("""COMPUTED_VALUE"""),"ME1957")</f>
        <v>ME1957</v>
      </c>
      <c r="L796" s="121" t="str">
        <f>IFERROR(__xludf.DUMMYFUNCTION("""COMPUTED_VALUE"""),"Dr.SUNDARRAJU G")</f>
        <v>Dr.SUNDARRAJU G</v>
      </c>
      <c r="M796" s="133" t="str">
        <f>IFERROR(__xludf.DUMMYFUNCTION("""COMPUTED_VALUE"""),"sundarrajug@bitsathy.ac.in")</f>
        <v>sundarrajug@bitsathy.ac.in</v>
      </c>
    </row>
    <row r="797" ht="49.5" customHeight="1">
      <c r="A797" s="121" t="str">
        <f>IFERROR(__xludf.DUMMYFUNCTION("""COMPUTED_VALUE"""),"MECH")</f>
        <v>MECH</v>
      </c>
      <c r="B797" s="121" t="str">
        <f>IFERROR(__xludf.DUMMYFUNCTION("""COMPUTED_VALUE"""),"S2")</f>
        <v>S2</v>
      </c>
      <c r="C797" s="121" t="str">
        <f>IFERROR(__xludf.DUMMYFUNCTION("""COMPUTED_VALUE"""),"CORE")</f>
        <v>CORE</v>
      </c>
      <c r="D797" s="121" t="str">
        <f>IFERROR(__xludf.DUMMYFUNCTION("""COMPUTED_VALUE"""),"22HS006")</f>
        <v>22HS006</v>
      </c>
      <c r="E797" s="13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97" s="121" t="str">
        <f>IFERROR(__xludf.DUMMYFUNCTION("""COMPUTED_VALUE"""),"LAB")</f>
        <v>LAB</v>
      </c>
      <c r="G797" s="121">
        <f>IFERROR(__xludf.DUMMYFUNCTION("""COMPUTED_VALUE"""),1.0)</f>
        <v>1</v>
      </c>
      <c r="H797" s="121">
        <f>IFERROR(__xludf.DUMMYFUNCTION("""COMPUTED_VALUE"""),0.0)</f>
        <v>0</v>
      </c>
      <c r="I797" s="121">
        <f>IFERROR(__xludf.DUMMYFUNCTION("""COMPUTED_VALUE"""),0.0)</f>
        <v>0</v>
      </c>
      <c r="J797" s="121">
        <f>IFERROR(__xludf.DUMMYFUNCTION("""COMPUTED_VALUE"""),1.0)</f>
        <v>1</v>
      </c>
      <c r="K797" s="132" t="str">
        <f>IFERROR(__xludf.DUMMYFUNCTION("""COMPUTED_VALUE"""),"HU11154")</f>
        <v>HU11154</v>
      </c>
      <c r="L797" s="121" t="str">
        <f>IFERROR(__xludf.DUMMYFUNCTION("""COMPUTED_VALUE"""),"Mr.SHYAMSUNDAR S")</f>
        <v>Mr.SHYAMSUNDAR S</v>
      </c>
      <c r="M797" s="121" t="str">
        <f>IFERROR(__xludf.DUMMYFUNCTION("""COMPUTED_VALUE"""),"shyamsundar@bitsathy.ac.in")</f>
        <v>shyamsundar@bitsathy.ac.in</v>
      </c>
    </row>
    <row r="798" ht="49.5" customHeight="1">
      <c r="A798" s="121" t="str">
        <f>IFERROR(__xludf.DUMMYFUNCTION("""COMPUTED_VALUE"""),"MECH")</f>
        <v>MECH</v>
      </c>
      <c r="B798" s="121" t="str">
        <f>IFERROR(__xludf.DUMMYFUNCTION("""COMPUTED_VALUE"""),"S2")</f>
        <v>S2</v>
      </c>
      <c r="C798" s="121" t="str">
        <f>IFERROR(__xludf.DUMMYFUNCTION("""COMPUTED_VALUE"""),"CORE")</f>
        <v>CORE</v>
      </c>
      <c r="D798" s="121" t="str">
        <f>IFERROR(__xludf.DUMMYFUNCTION("""COMPUTED_VALUE"""),"22HS009")</f>
        <v>22HS009</v>
      </c>
      <c r="E798" s="131" t="str">
        <f>IFERROR(__xludf.DUMMYFUNCTION("""COMPUTED_VALUE"""),"COCURRICULAR OR EXTRACURRICULAR ACTIVITY")</f>
        <v>COCURRICULAR OR EXTRACURRICULAR ACTIVITY</v>
      </c>
      <c r="F798" s="121"/>
      <c r="G798" s="121"/>
      <c r="H798" s="121"/>
      <c r="I798" s="121"/>
      <c r="J798" s="121"/>
      <c r="K798" s="132"/>
      <c r="L798" s="121"/>
      <c r="M798" s="133"/>
    </row>
    <row r="799" ht="49.5" customHeight="1">
      <c r="A799" s="121" t="str">
        <f>IFERROR(__xludf.DUMMYFUNCTION("""COMPUTED_VALUE"""),"MECH")</f>
        <v>MECH</v>
      </c>
      <c r="B799" s="121" t="str">
        <f>IFERROR(__xludf.DUMMYFUNCTION("""COMPUTED_VALUE"""),"S2")</f>
        <v>S2</v>
      </c>
      <c r="C799" s="121" t="str">
        <f>IFERROR(__xludf.DUMMYFUNCTION("""COMPUTED_VALUE"""),"LANGUAGE ELECTIVE")</f>
        <v>LANGUAGE ELECTIVE</v>
      </c>
      <c r="D799" s="121" t="str">
        <f>IFERROR(__xludf.DUMMYFUNCTION("""COMPUTED_VALUE"""),"22HS201")</f>
        <v>22HS201</v>
      </c>
      <c r="E799" s="131" t="str">
        <f>IFERROR(__xludf.DUMMYFUNCTION("""COMPUTED_VALUE""")," COMMUNICATIVE ENGLISH II")</f>
        <v> COMMUNICATIVE ENGLISH II</v>
      </c>
      <c r="F799" s="121" t="str">
        <f>IFERROR(__xludf.DUMMYFUNCTION("""COMPUTED_VALUE"""),"LAB")</f>
        <v>LAB</v>
      </c>
      <c r="G799" s="121">
        <f>IFERROR(__xludf.DUMMYFUNCTION("""COMPUTED_VALUE"""),1.0)</f>
        <v>1</v>
      </c>
      <c r="H799" s="121">
        <f>IFERROR(__xludf.DUMMYFUNCTION("""COMPUTED_VALUE"""),0.0)</f>
        <v>0</v>
      </c>
      <c r="I799" s="121">
        <f>IFERROR(__xludf.DUMMYFUNCTION("""COMPUTED_VALUE"""),2.0)</f>
        <v>2</v>
      </c>
      <c r="J799" s="121">
        <f>IFERROR(__xludf.DUMMYFUNCTION("""COMPUTED_VALUE"""),2.0)</f>
        <v>2</v>
      </c>
      <c r="K799" s="132" t="str">
        <f>IFERROR(__xludf.DUMMYFUNCTION("""COMPUTED_VALUE"""),"HU11159")</f>
        <v>HU11159</v>
      </c>
      <c r="L799" s="121" t="str">
        <f>IFERROR(__xludf.DUMMYFUNCTION("""COMPUTED_VALUE"""),"Dr.JAYA K")</f>
        <v>Dr.JAYA K</v>
      </c>
      <c r="M799" s="133" t="str">
        <f>IFERROR(__xludf.DUMMYFUNCTION("""COMPUTED_VALUE"""),"jayak@bitsathy.ac.in")</f>
        <v>jayak@bitsathy.ac.in</v>
      </c>
    </row>
    <row r="800" ht="49.5" customHeight="1">
      <c r="A800" s="121" t="str">
        <f>IFERROR(__xludf.DUMMYFUNCTION("""COMPUTED_VALUE"""),"MECH")</f>
        <v>MECH</v>
      </c>
      <c r="B800" s="121" t="str">
        <f>IFERROR(__xludf.DUMMYFUNCTION("""COMPUTED_VALUE"""),"S4")</f>
        <v>S4</v>
      </c>
      <c r="C800" s="121" t="str">
        <f>IFERROR(__xludf.DUMMYFUNCTION("""COMPUTED_VALUE"""),"CORE")</f>
        <v>CORE</v>
      </c>
      <c r="D800" s="121" t="str">
        <f>IFERROR(__xludf.DUMMYFUNCTION("""COMPUTED_VALUE"""),"22ME401")</f>
        <v>22ME401</v>
      </c>
      <c r="E800" s="131" t="str">
        <f>IFERROR(__xludf.DUMMYFUNCTION("""COMPUTED_VALUE"""),"KINEMATICS AND DYNAMICS OF MACHINERY")</f>
        <v>KINEMATICS AND DYNAMICS OF MACHINERY</v>
      </c>
      <c r="F800" s="121" t="str">
        <f>IFERROR(__xludf.DUMMYFUNCTION("""COMPUTED_VALUE"""),"THEORY")</f>
        <v>THEORY</v>
      </c>
      <c r="G800" s="121">
        <f>IFERROR(__xludf.DUMMYFUNCTION("""COMPUTED_VALUE"""),2.0)</f>
        <v>2</v>
      </c>
      <c r="H800" s="121">
        <f>IFERROR(__xludf.DUMMYFUNCTION("""COMPUTED_VALUE"""),1.0)</f>
        <v>1</v>
      </c>
      <c r="I800" s="121">
        <f>IFERROR(__xludf.DUMMYFUNCTION("""COMPUTED_VALUE"""),2.0)</f>
        <v>2</v>
      </c>
      <c r="J800" s="121">
        <f>IFERROR(__xludf.DUMMYFUNCTION("""COMPUTED_VALUE"""),4.0)</f>
        <v>4</v>
      </c>
      <c r="K800" s="132" t="str">
        <f>IFERROR(__xludf.DUMMYFUNCTION("""COMPUTED_VALUE"""),"ME1819")</f>
        <v>ME1819</v>
      </c>
      <c r="L800" s="121" t="str">
        <f>IFERROR(__xludf.DUMMYFUNCTION("""COMPUTED_VALUE"""),"Dr.DINESH D")</f>
        <v>Dr.DINESH D</v>
      </c>
      <c r="M800" s="133" t="str">
        <f>IFERROR(__xludf.DUMMYFUNCTION("""COMPUTED_VALUE"""),"dineshd@bitsathy.ac.in")</f>
        <v>dineshd@bitsathy.ac.in</v>
      </c>
    </row>
    <row r="801" ht="49.5" customHeight="1">
      <c r="A801" s="121" t="str">
        <f>IFERROR(__xludf.DUMMYFUNCTION("""COMPUTED_VALUE"""),"MECH")</f>
        <v>MECH</v>
      </c>
      <c r="B801" s="121" t="str">
        <f>IFERROR(__xludf.DUMMYFUNCTION("""COMPUTED_VALUE"""),"S4")</f>
        <v>S4</v>
      </c>
      <c r="C801" s="121" t="str">
        <f>IFERROR(__xludf.DUMMYFUNCTION("""COMPUTED_VALUE"""),"CORE")</f>
        <v>CORE</v>
      </c>
      <c r="D801" s="121" t="str">
        <f>IFERROR(__xludf.DUMMYFUNCTION("""COMPUTED_VALUE"""),"22ME401")</f>
        <v>22ME401</v>
      </c>
      <c r="E801" s="131" t="str">
        <f>IFERROR(__xludf.DUMMYFUNCTION("""COMPUTED_VALUE"""),"KINEMATICS AND DYNAMICS OF MACHINERY")</f>
        <v>KINEMATICS AND DYNAMICS OF MACHINERY</v>
      </c>
      <c r="F801" s="121" t="str">
        <f>IFERROR(__xludf.DUMMYFUNCTION("""COMPUTED_VALUE"""),"LAB")</f>
        <v>LAB</v>
      </c>
      <c r="G801" s="121">
        <f>IFERROR(__xludf.DUMMYFUNCTION("""COMPUTED_VALUE"""),2.0)</f>
        <v>2</v>
      </c>
      <c r="H801" s="121">
        <f>IFERROR(__xludf.DUMMYFUNCTION("""COMPUTED_VALUE"""),1.0)</f>
        <v>1</v>
      </c>
      <c r="I801" s="121">
        <f>IFERROR(__xludf.DUMMYFUNCTION("""COMPUTED_VALUE"""),2.0)</f>
        <v>2</v>
      </c>
      <c r="J801" s="121">
        <f>IFERROR(__xludf.DUMMYFUNCTION("""COMPUTED_VALUE"""),4.0)</f>
        <v>4</v>
      </c>
      <c r="K801" s="132" t="str">
        <f>IFERROR(__xludf.DUMMYFUNCTION("""COMPUTED_VALUE"""),"ME1819")</f>
        <v>ME1819</v>
      </c>
      <c r="L801" s="121" t="str">
        <f>IFERROR(__xludf.DUMMYFUNCTION("""COMPUTED_VALUE"""),"Dr.DINESH D")</f>
        <v>Dr.DINESH D</v>
      </c>
      <c r="M801" s="133" t="str">
        <f>IFERROR(__xludf.DUMMYFUNCTION("""COMPUTED_VALUE"""),"dineshd@bitsathy.ac.in")</f>
        <v>dineshd@bitsathy.ac.in</v>
      </c>
    </row>
    <row r="802" ht="49.5" customHeight="1">
      <c r="A802" s="121" t="str">
        <f>IFERROR(__xludf.DUMMYFUNCTION("""COMPUTED_VALUE"""),"MECH")</f>
        <v>MECH</v>
      </c>
      <c r="B802" s="121" t="str">
        <f>IFERROR(__xludf.DUMMYFUNCTION("""COMPUTED_VALUE"""),"S4")</f>
        <v>S4</v>
      </c>
      <c r="C802" s="121" t="str">
        <f>IFERROR(__xludf.DUMMYFUNCTION("""COMPUTED_VALUE"""),"CORE")</f>
        <v>CORE</v>
      </c>
      <c r="D802" s="121" t="str">
        <f>IFERROR(__xludf.DUMMYFUNCTION("""COMPUTED_VALUE"""),"22ME402")</f>
        <v>22ME402</v>
      </c>
      <c r="E802" s="131" t="str">
        <f>IFERROR(__xludf.DUMMYFUNCTION("""COMPUTED_VALUE"""),"SENSORS AND TRANSDUCER")</f>
        <v>SENSORS AND TRANSDUCER</v>
      </c>
      <c r="F802" s="121" t="str">
        <f>IFERROR(__xludf.DUMMYFUNCTION("""COMPUTED_VALUE"""),"THEORY")</f>
        <v>THEORY</v>
      </c>
      <c r="G802" s="121">
        <f>IFERROR(__xludf.DUMMYFUNCTION("""COMPUTED_VALUE"""),3.0)</f>
        <v>3</v>
      </c>
      <c r="H802" s="121">
        <f>IFERROR(__xludf.DUMMYFUNCTION("""COMPUTED_VALUE"""),0.0)</f>
        <v>0</v>
      </c>
      <c r="I802" s="121">
        <f>IFERROR(__xludf.DUMMYFUNCTION("""COMPUTED_VALUE"""),2.0)</f>
        <v>2</v>
      </c>
      <c r="J802" s="121">
        <f>IFERROR(__xludf.DUMMYFUNCTION("""COMPUTED_VALUE"""),4.0)</f>
        <v>4</v>
      </c>
      <c r="K802" s="132" t="str">
        <f>IFERROR(__xludf.DUMMYFUNCTION("""COMPUTED_VALUE"""),"AU10645")</f>
        <v>AU10645</v>
      </c>
      <c r="L802" s="121" t="str">
        <f>IFERROR(__xludf.DUMMYFUNCTION("""COMPUTED_VALUE"""),"Dr.DHAYANEETHI S")</f>
        <v>Dr.DHAYANEETHI S</v>
      </c>
      <c r="M802" s="133" t="str">
        <f>IFERROR(__xludf.DUMMYFUNCTION("""COMPUTED_VALUE"""),"dhayaneethi@bitsathy.ac.in")</f>
        <v>dhayaneethi@bitsathy.ac.in</v>
      </c>
    </row>
    <row r="803" ht="49.5" customHeight="1">
      <c r="A803" s="121" t="str">
        <f>IFERROR(__xludf.DUMMYFUNCTION("""COMPUTED_VALUE"""),"MECH")</f>
        <v>MECH</v>
      </c>
      <c r="B803" s="121" t="str">
        <f>IFERROR(__xludf.DUMMYFUNCTION("""COMPUTED_VALUE"""),"S4")</f>
        <v>S4</v>
      </c>
      <c r="C803" s="121" t="str">
        <f>IFERROR(__xludf.DUMMYFUNCTION("""COMPUTED_VALUE"""),"CORE")</f>
        <v>CORE</v>
      </c>
      <c r="D803" s="121" t="str">
        <f>IFERROR(__xludf.DUMMYFUNCTION("""COMPUTED_VALUE"""),"22ME402")</f>
        <v>22ME402</v>
      </c>
      <c r="E803" s="131" t="str">
        <f>IFERROR(__xludf.DUMMYFUNCTION("""COMPUTED_VALUE"""),"SENSORS AND TRANSDUCER")</f>
        <v>SENSORS AND TRANSDUCER</v>
      </c>
      <c r="F803" s="121" t="str">
        <f>IFERROR(__xludf.DUMMYFUNCTION("""COMPUTED_VALUE"""),"LAB")</f>
        <v>LAB</v>
      </c>
      <c r="G803" s="121">
        <f>IFERROR(__xludf.DUMMYFUNCTION("""COMPUTED_VALUE"""),3.0)</f>
        <v>3</v>
      </c>
      <c r="H803" s="121">
        <f>IFERROR(__xludf.DUMMYFUNCTION("""COMPUTED_VALUE"""),0.0)</f>
        <v>0</v>
      </c>
      <c r="I803" s="121">
        <f>IFERROR(__xludf.DUMMYFUNCTION("""COMPUTED_VALUE"""),2.0)</f>
        <v>2</v>
      </c>
      <c r="J803" s="121">
        <f>IFERROR(__xludf.DUMMYFUNCTION("""COMPUTED_VALUE"""),4.0)</f>
        <v>4</v>
      </c>
      <c r="K803" s="132" t="str">
        <f>IFERROR(__xludf.DUMMYFUNCTION("""COMPUTED_VALUE"""),"ME10699")</f>
        <v>ME10699</v>
      </c>
      <c r="L803" s="121" t="str">
        <f>IFERROR(__xludf.DUMMYFUNCTION("""COMPUTED_VALUE"""),"Dr.PRAVIN M C")</f>
        <v>Dr.PRAVIN M C</v>
      </c>
      <c r="M803" s="133" t="str">
        <f>IFERROR(__xludf.DUMMYFUNCTION("""COMPUTED_VALUE"""),"pravin@bitsathy.ac.in")</f>
        <v>pravin@bitsathy.ac.in</v>
      </c>
    </row>
    <row r="804" ht="49.5" customHeight="1">
      <c r="A804" s="121" t="str">
        <f>IFERROR(__xludf.DUMMYFUNCTION("""COMPUTED_VALUE"""),"MECH")</f>
        <v>MECH</v>
      </c>
      <c r="B804" s="121" t="str">
        <f>IFERROR(__xludf.DUMMYFUNCTION("""COMPUTED_VALUE"""),"S4")</f>
        <v>S4</v>
      </c>
      <c r="C804" s="121" t="str">
        <f>IFERROR(__xludf.DUMMYFUNCTION("""COMPUTED_VALUE"""),"CORE")</f>
        <v>CORE</v>
      </c>
      <c r="D804" s="121" t="str">
        <f>IFERROR(__xludf.DUMMYFUNCTION("""COMPUTED_VALUE"""),"22ME403")</f>
        <v>22ME403</v>
      </c>
      <c r="E804" s="131" t="str">
        <f>IFERROR(__xludf.DUMMYFUNCTION("""COMPUTED_VALUE"""),"STRENGTH OF MATERIALS")</f>
        <v>STRENGTH OF MATERIALS</v>
      </c>
      <c r="F804" s="121" t="str">
        <f>IFERROR(__xludf.DUMMYFUNCTION("""COMPUTED_VALUE"""),"THEORY")</f>
        <v>THEORY</v>
      </c>
      <c r="G804" s="121">
        <f>IFERROR(__xludf.DUMMYFUNCTION("""COMPUTED_VALUE"""),2.0)</f>
        <v>2</v>
      </c>
      <c r="H804" s="121">
        <f>IFERROR(__xludf.DUMMYFUNCTION("""COMPUTED_VALUE"""),1.0)</f>
        <v>1</v>
      </c>
      <c r="I804" s="121">
        <f>IFERROR(__xludf.DUMMYFUNCTION("""COMPUTED_VALUE"""),2.0)</f>
        <v>2</v>
      </c>
      <c r="J804" s="121">
        <f>IFERROR(__xludf.DUMMYFUNCTION("""COMPUTED_VALUE"""),4.0)</f>
        <v>4</v>
      </c>
      <c r="K804" s="132" t="str">
        <f>IFERROR(__xludf.DUMMYFUNCTION("""COMPUTED_VALUE"""),"ME10098")</f>
        <v>ME10098</v>
      </c>
      <c r="L804" s="121" t="str">
        <f>IFERROR(__xludf.DUMMYFUNCTION("""COMPUTED_VALUE"""),"Dr.PRADEEP A D")</f>
        <v>Dr.PRADEEP A D</v>
      </c>
      <c r="M804" s="133" t="str">
        <f>IFERROR(__xludf.DUMMYFUNCTION("""COMPUTED_VALUE"""),"pradeep@bitsathy.ac.in")</f>
        <v>pradeep@bitsathy.ac.in</v>
      </c>
    </row>
    <row r="805" ht="49.5" customHeight="1">
      <c r="A805" s="121" t="str">
        <f>IFERROR(__xludf.DUMMYFUNCTION("""COMPUTED_VALUE"""),"MECH")</f>
        <v>MECH</v>
      </c>
      <c r="B805" s="121" t="str">
        <f>IFERROR(__xludf.DUMMYFUNCTION("""COMPUTED_VALUE"""),"S4")</f>
        <v>S4</v>
      </c>
      <c r="C805" s="121" t="str">
        <f>IFERROR(__xludf.DUMMYFUNCTION("""COMPUTED_VALUE"""),"CORE")</f>
        <v>CORE</v>
      </c>
      <c r="D805" s="121" t="str">
        <f>IFERROR(__xludf.DUMMYFUNCTION("""COMPUTED_VALUE"""),"22ME403")</f>
        <v>22ME403</v>
      </c>
      <c r="E805" s="131" t="str">
        <f>IFERROR(__xludf.DUMMYFUNCTION("""COMPUTED_VALUE"""),"STRENGTH OF MATERIALS")</f>
        <v>STRENGTH OF MATERIALS</v>
      </c>
      <c r="F805" s="121" t="str">
        <f>IFERROR(__xludf.DUMMYFUNCTION("""COMPUTED_VALUE"""),"LAB")</f>
        <v>LAB</v>
      </c>
      <c r="G805" s="121">
        <f>IFERROR(__xludf.DUMMYFUNCTION("""COMPUTED_VALUE"""),2.0)</f>
        <v>2</v>
      </c>
      <c r="H805" s="121">
        <f>IFERROR(__xludf.DUMMYFUNCTION("""COMPUTED_VALUE"""),1.0)</f>
        <v>1</v>
      </c>
      <c r="I805" s="121">
        <f>IFERROR(__xludf.DUMMYFUNCTION("""COMPUTED_VALUE"""),2.0)</f>
        <v>2</v>
      </c>
      <c r="J805" s="121">
        <f>IFERROR(__xludf.DUMMYFUNCTION("""COMPUTED_VALUE"""),4.0)</f>
        <v>4</v>
      </c>
      <c r="K805" s="132" t="str">
        <f>IFERROR(__xludf.DUMMYFUNCTION("""COMPUTED_VALUE"""),"ME10098")</f>
        <v>ME10098</v>
      </c>
      <c r="L805" s="121" t="str">
        <f>IFERROR(__xludf.DUMMYFUNCTION("""COMPUTED_VALUE"""),"Dr.PRADEEP A D")</f>
        <v>Dr.PRADEEP A D</v>
      </c>
      <c r="M805" s="133" t="str">
        <f>IFERROR(__xludf.DUMMYFUNCTION("""COMPUTED_VALUE"""),"pradeep@bitsathy.ac.in")</f>
        <v>pradeep@bitsathy.ac.in</v>
      </c>
    </row>
    <row r="806" ht="49.5" customHeight="1">
      <c r="A806" s="121" t="str">
        <f>IFERROR(__xludf.DUMMYFUNCTION("""COMPUTED_VALUE"""),"MECH")</f>
        <v>MECH</v>
      </c>
      <c r="B806" s="121" t="str">
        <f>IFERROR(__xludf.DUMMYFUNCTION("""COMPUTED_VALUE"""),"S4")</f>
        <v>S4</v>
      </c>
      <c r="C806" s="121" t="str">
        <f>IFERROR(__xludf.DUMMYFUNCTION("""COMPUTED_VALUE"""),"CORE")</f>
        <v>CORE</v>
      </c>
      <c r="D806" s="121" t="str">
        <f>IFERROR(__xludf.DUMMYFUNCTION("""COMPUTED_VALUE"""),"22ME404")</f>
        <v>22ME404</v>
      </c>
      <c r="E806" s="131" t="str">
        <f>IFERROR(__xludf.DUMMYFUNCTION("""COMPUTED_VALUE"""),"INDUSTRIAL AUTOMATION WITH PLC")</f>
        <v>INDUSTRIAL AUTOMATION WITH PLC</v>
      </c>
      <c r="F806" s="121" t="str">
        <f>IFERROR(__xludf.DUMMYFUNCTION("""COMPUTED_VALUE"""),"THEORY")</f>
        <v>THEORY</v>
      </c>
      <c r="G806" s="121">
        <f>IFERROR(__xludf.DUMMYFUNCTION("""COMPUTED_VALUE"""),2.0)</f>
        <v>2</v>
      </c>
      <c r="H806" s="121">
        <f>IFERROR(__xludf.DUMMYFUNCTION("""COMPUTED_VALUE"""),1.0)</f>
        <v>1</v>
      </c>
      <c r="I806" s="121">
        <f>IFERROR(__xludf.DUMMYFUNCTION("""COMPUTED_VALUE"""),2.0)</f>
        <v>2</v>
      </c>
      <c r="J806" s="121">
        <f>IFERROR(__xludf.DUMMYFUNCTION("""COMPUTED_VALUE"""),4.0)</f>
        <v>4</v>
      </c>
      <c r="K806" s="132" t="str">
        <f>IFERROR(__xludf.DUMMYFUNCTION("""COMPUTED_VALUE"""),"ME1974")</f>
        <v>ME1974</v>
      </c>
      <c r="L806" s="121" t="str">
        <f>IFERROR(__xludf.DUMMYFUNCTION("""COMPUTED_VALUE"""),"Mr.SAKTHIVEL MURUGAN E")</f>
        <v>Mr.SAKTHIVEL MURUGAN E</v>
      </c>
      <c r="M806" s="133" t="str">
        <f>IFERROR(__xludf.DUMMYFUNCTION("""COMPUTED_VALUE"""),"sakthivelmurugane@bitsathy.ac.in")</f>
        <v>sakthivelmurugane@bitsathy.ac.in</v>
      </c>
    </row>
    <row r="807" ht="49.5" customHeight="1">
      <c r="A807" s="121" t="str">
        <f>IFERROR(__xludf.DUMMYFUNCTION("""COMPUTED_VALUE"""),"MECH")</f>
        <v>MECH</v>
      </c>
      <c r="B807" s="121" t="str">
        <f>IFERROR(__xludf.DUMMYFUNCTION("""COMPUTED_VALUE"""),"S4")</f>
        <v>S4</v>
      </c>
      <c r="C807" s="121" t="str">
        <f>IFERROR(__xludf.DUMMYFUNCTION("""COMPUTED_VALUE"""),"CORE")</f>
        <v>CORE</v>
      </c>
      <c r="D807" s="121" t="str">
        <f>IFERROR(__xludf.DUMMYFUNCTION("""COMPUTED_VALUE"""),"22ME404")</f>
        <v>22ME404</v>
      </c>
      <c r="E807" s="131" t="str">
        <f>IFERROR(__xludf.DUMMYFUNCTION("""COMPUTED_VALUE"""),"INDUSTRIAL AUTOMATION WITH PLC")</f>
        <v>INDUSTRIAL AUTOMATION WITH PLC</v>
      </c>
      <c r="F807" s="121" t="str">
        <f>IFERROR(__xludf.DUMMYFUNCTION("""COMPUTED_VALUE"""),"LAB")</f>
        <v>LAB</v>
      </c>
      <c r="G807" s="121">
        <f>IFERROR(__xludf.DUMMYFUNCTION("""COMPUTED_VALUE"""),2.0)</f>
        <v>2</v>
      </c>
      <c r="H807" s="121">
        <f>IFERROR(__xludf.DUMMYFUNCTION("""COMPUTED_VALUE"""),1.0)</f>
        <v>1</v>
      </c>
      <c r="I807" s="121">
        <f>IFERROR(__xludf.DUMMYFUNCTION("""COMPUTED_VALUE"""),2.0)</f>
        <v>2</v>
      </c>
      <c r="J807" s="121">
        <f>IFERROR(__xludf.DUMMYFUNCTION("""COMPUTED_VALUE"""),4.0)</f>
        <v>4</v>
      </c>
      <c r="K807" s="132" t="str">
        <f>IFERROR(__xludf.DUMMYFUNCTION("""COMPUTED_VALUE"""),"ME1974")</f>
        <v>ME1974</v>
      </c>
      <c r="L807" s="121" t="str">
        <f>IFERROR(__xludf.DUMMYFUNCTION("""COMPUTED_VALUE"""),"Mr.SAKTHIVEL MURUGAN E")</f>
        <v>Mr.SAKTHIVEL MURUGAN E</v>
      </c>
      <c r="M807" s="133" t="str">
        <f>IFERROR(__xludf.DUMMYFUNCTION("""COMPUTED_VALUE"""),"sakthivelmurugane@bitsathy.ac.in")</f>
        <v>sakthivelmurugane@bitsathy.ac.in</v>
      </c>
    </row>
    <row r="808" ht="49.5" customHeight="1">
      <c r="A808" s="121" t="str">
        <f>IFERROR(__xludf.DUMMYFUNCTION("""COMPUTED_VALUE"""),"MECH")</f>
        <v>MECH</v>
      </c>
      <c r="B808" s="121" t="str">
        <f>IFERROR(__xludf.DUMMYFUNCTION("""COMPUTED_VALUE"""),"S4")</f>
        <v>S4</v>
      </c>
      <c r="C808" s="121" t="str">
        <f>IFERROR(__xludf.DUMMYFUNCTION("""COMPUTED_VALUE"""),"CORE")</f>
        <v>CORE</v>
      </c>
      <c r="D808" s="121" t="str">
        <f>IFERROR(__xludf.DUMMYFUNCTION("""COMPUTED_VALUE"""),"22ME405")</f>
        <v>22ME405</v>
      </c>
      <c r="E808" s="131" t="str">
        <f>IFERROR(__xludf.DUMMYFUNCTION("""COMPUTED_VALUE"""),"MATERIALS AND MANUFACTURING PROCESSES")</f>
        <v>MATERIALS AND MANUFACTURING PROCESSES</v>
      </c>
      <c r="F808" s="121" t="str">
        <f>IFERROR(__xludf.DUMMYFUNCTION("""COMPUTED_VALUE"""),"THEORY")</f>
        <v>THEORY</v>
      </c>
      <c r="G808" s="121">
        <f>IFERROR(__xludf.DUMMYFUNCTION("""COMPUTED_VALUE"""),2.0)</f>
        <v>2</v>
      </c>
      <c r="H808" s="121">
        <f>IFERROR(__xludf.DUMMYFUNCTION("""COMPUTED_VALUE"""),0.0)</f>
        <v>0</v>
      </c>
      <c r="I808" s="121">
        <f>IFERROR(__xludf.DUMMYFUNCTION("""COMPUTED_VALUE"""),2.0)</f>
        <v>2</v>
      </c>
      <c r="J808" s="121">
        <f>IFERROR(__xludf.DUMMYFUNCTION("""COMPUTED_VALUE"""),3.0)</f>
        <v>3</v>
      </c>
      <c r="K808" s="132" t="str">
        <f>IFERROR(__xludf.DUMMYFUNCTION("""COMPUTED_VALUE"""),"ME1094")</f>
        <v>ME1094</v>
      </c>
      <c r="L808" s="121" t="str">
        <f>IFERROR(__xludf.DUMMYFUNCTION("""COMPUTED_VALUE"""),"Dr.SENTHILKUMAR G")</f>
        <v>Dr.SENTHILKUMAR G</v>
      </c>
      <c r="M808" s="121" t="str">
        <f>IFERROR(__xludf.DUMMYFUNCTION("""COMPUTED_VALUE"""),"senthilkumarg@bitsathy.ac.in")</f>
        <v>senthilkumarg@bitsathy.ac.in</v>
      </c>
    </row>
    <row r="809" ht="49.5" customHeight="1">
      <c r="A809" s="121" t="str">
        <f>IFERROR(__xludf.DUMMYFUNCTION("""COMPUTED_VALUE"""),"MECH")</f>
        <v>MECH</v>
      </c>
      <c r="B809" s="121" t="str">
        <f>IFERROR(__xludf.DUMMYFUNCTION("""COMPUTED_VALUE"""),"S4")</f>
        <v>S4</v>
      </c>
      <c r="C809" s="121" t="str">
        <f>IFERROR(__xludf.DUMMYFUNCTION("""COMPUTED_VALUE"""),"CORE")</f>
        <v>CORE</v>
      </c>
      <c r="D809" s="121" t="str">
        <f>IFERROR(__xludf.DUMMYFUNCTION("""COMPUTED_VALUE"""),"22ME405")</f>
        <v>22ME405</v>
      </c>
      <c r="E809" s="131" t="str">
        <f>IFERROR(__xludf.DUMMYFUNCTION("""COMPUTED_VALUE"""),"MATERIALS AND MANUFACTURING PROCESSES")</f>
        <v>MATERIALS AND MANUFACTURING PROCESSES</v>
      </c>
      <c r="F809" s="121" t="str">
        <f>IFERROR(__xludf.DUMMYFUNCTION("""COMPUTED_VALUE"""),"LAB")</f>
        <v>LAB</v>
      </c>
      <c r="G809" s="121">
        <f>IFERROR(__xludf.DUMMYFUNCTION("""COMPUTED_VALUE"""),2.0)</f>
        <v>2</v>
      </c>
      <c r="H809" s="121">
        <f>IFERROR(__xludf.DUMMYFUNCTION("""COMPUTED_VALUE"""),0.0)</f>
        <v>0</v>
      </c>
      <c r="I809" s="121">
        <f>IFERROR(__xludf.DUMMYFUNCTION("""COMPUTED_VALUE"""),2.0)</f>
        <v>2</v>
      </c>
      <c r="J809" s="121">
        <f>IFERROR(__xludf.DUMMYFUNCTION("""COMPUTED_VALUE"""),3.0)</f>
        <v>3</v>
      </c>
      <c r="K809" s="132" t="str">
        <f>IFERROR(__xludf.DUMMYFUNCTION("""COMPUTED_VALUE"""),"ME10416")</f>
        <v>ME10416</v>
      </c>
      <c r="L809" s="121" t="str">
        <f>IFERROR(__xludf.DUMMYFUNCTION("""COMPUTED_VALUE"""),"Mr.KAMAL BASHA K")</f>
        <v>Mr.KAMAL BASHA K</v>
      </c>
      <c r="M809" s="133" t="str">
        <f>IFERROR(__xludf.DUMMYFUNCTION("""COMPUTED_VALUE"""),"kamalbasha@bitsathy.ac.in")</f>
        <v>kamalbasha@bitsathy.ac.in</v>
      </c>
    </row>
    <row r="810" ht="49.5" customHeight="1">
      <c r="A810" s="121" t="str">
        <f>IFERROR(__xludf.DUMMYFUNCTION("""COMPUTED_VALUE"""),"MECH")</f>
        <v>MECH</v>
      </c>
      <c r="B810" s="121" t="str">
        <f>IFERROR(__xludf.DUMMYFUNCTION("""COMPUTED_VALUE"""),"S4")</f>
        <v>S4</v>
      </c>
      <c r="C810" s="121" t="str">
        <f>IFERROR(__xludf.DUMMYFUNCTION("""COMPUTED_VALUE"""),"ELECTIVE 1")</f>
        <v>ELECTIVE 1</v>
      </c>
      <c r="D810" s="121" t="str">
        <f>IFERROR(__xludf.DUMMYFUNCTION("""COMPUTED_VALUE"""),"22ME001")</f>
        <v>22ME001</v>
      </c>
      <c r="E810" s="131" t="str">
        <f>IFERROR(__xludf.DUMMYFUNCTION("""COMPUTED_VALUE"""),"CONCEPTS OF ENGINEERING DESIGN")</f>
        <v>CONCEPTS OF ENGINEERING DESIGN</v>
      </c>
      <c r="F810" s="121" t="str">
        <f>IFERROR(__xludf.DUMMYFUNCTION("""COMPUTED_VALUE"""),"THEORY")</f>
        <v>THEORY</v>
      </c>
      <c r="G810" s="121">
        <f>IFERROR(__xludf.DUMMYFUNCTION("""COMPUTED_VALUE"""),3.0)</f>
        <v>3</v>
      </c>
      <c r="H810" s="121">
        <f>IFERROR(__xludf.DUMMYFUNCTION("""COMPUTED_VALUE"""),0.0)</f>
        <v>0</v>
      </c>
      <c r="I810" s="121">
        <f>IFERROR(__xludf.DUMMYFUNCTION("""COMPUTED_VALUE"""),0.0)</f>
        <v>0</v>
      </c>
      <c r="J810" s="121">
        <f>IFERROR(__xludf.DUMMYFUNCTION("""COMPUTED_VALUE"""),3.0)</f>
        <v>3</v>
      </c>
      <c r="K810" s="132" t="str">
        <f>IFERROR(__xludf.DUMMYFUNCTION("""COMPUTED_VALUE"""),"ME1877")</f>
        <v>ME1877</v>
      </c>
      <c r="L810" s="121" t="str">
        <f>IFERROR(__xludf.DUMMYFUNCTION("""COMPUTED_VALUE"""),"Mr.SATHISHKUMAR C")</f>
        <v>Mr.SATHISHKUMAR C</v>
      </c>
      <c r="M810" s="133" t="str">
        <f>IFERROR(__xludf.DUMMYFUNCTION("""COMPUTED_VALUE"""),"sathishkumarc@bitsathy.ac.in")</f>
        <v>sathishkumarc@bitsathy.ac.in</v>
      </c>
    </row>
    <row r="811" ht="49.5" customHeight="1">
      <c r="A811" s="121" t="str">
        <f>IFERROR(__xludf.DUMMYFUNCTION("""COMPUTED_VALUE"""),"MECH")</f>
        <v>MECH</v>
      </c>
      <c r="B811" s="121" t="str">
        <f>IFERROR(__xludf.DUMMYFUNCTION("""COMPUTED_VALUE"""),"S4")</f>
        <v>S4</v>
      </c>
      <c r="C811" s="121" t="str">
        <f>IFERROR(__xludf.DUMMYFUNCTION("""COMPUTED_VALUE"""),"CORE")</f>
        <v>CORE</v>
      </c>
      <c r="D811" s="121" t="str">
        <f>IFERROR(__xludf.DUMMYFUNCTION("""COMPUTED_VALUE"""),"22HS007")</f>
        <v>22HS007</v>
      </c>
      <c r="E811" s="131" t="str">
        <f>IFERROR(__xludf.DUMMYFUNCTION("""COMPUTED_VALUE"""),"ENVIRONMENTAL SCIENCE")</f>
        <v>ENVIRONMENTAL SCIENCE</v>
      </c>
      <c r="F811" s="121" t="str">
        <f>IFERROR(__xludf.DUMMYFUNCTION("""COMPUTED_VALUE"""),"LAB")</f>
        <v>LAB</v>
      </c>
      <c r="G811" s="121">
        <f>IFERROR(__xludf.DUMMYFUNCTION("""COMPUTED_VALUE"""),2.0)</f>
        <v>2</v>
      </c>
      <c r="H811" s="121">
        <f>IFERROR(__xludf.DUMMYFUNCTION("""COMPUTED_VALUE"""),0.0)</f>
        <v>0</v>
      </c>
      <c r="I811" s="121">
        <f>IFERROR(__xludf.DUMMYFUNCTION("""COMPUTED_VALUE"""),0.0)</f>
        <v>0</v>
      </c>
      <c r="J811" s="121">
        <f>IFERROR(__xludf.DUMMYFUNCTION("""COMPUTED_VALUE"""),2.0)</f>
        <v>2</v>
      </c>
      <c r="K811" s="132" t="str">
        <f>IFERROR(__xludf.DUMMYFUNCTION("""COMPUTED_VALUE"""),"CH10314")</f>
        <v>CH10314</v>
      </c>
      <c r="L811" s="121" t="str">
        <f>IFERROR(__xludf.DUMMYFUNCTION("""COMPUTED_VALUE"""),"Dr.VISWANATHAN G")</f>
        <v>Dr.VISWANATHAN G</v>
      </c>
      <c r="M811" s="133" t="str">
        <f>IFERROR(__xludf.DUMMYFUNCTION("""COMPUTED_VALUE"""),"viswanathan@bitsathy.ac.in")</f>
        <v>viswanathan@bitsathy.ac.in</v>
      </c>
    </row>
    <row r="812" ht="49.5" customHeight="1">
      <c r="A812" s="121" t="str">
        <f>IFERROR(__xludf.DUMMYFUNCTION("""COMPUTED_VALUE"""),"MECH")</f>
        <v>MECH</v>
      </c>
      <c r="B812" s="121" t="str">
        <f>IFERROR(__xludf.DUMMYFUNCTION("""COMPUTED_VALUE"""),"S4")</f>
        <v>S4</v>
      </c>
      <c r="C812" s="121" t="str">
        <f>IFERROR(__xludf.DUMMYFUNCTION("""COMPUTED_VALUE"""),"CORE")</f>
        <v>CORE</v>
      </c>
      <c r="D812" s="121" t="str">
        <f>IFERROR(__xludf.DUMMYFUNCTION("""COMPUTED_VALUE"""),"22HS008")</f>
        <v>22HS008</v>
      </c>
      <c r="E812" s="131" t="str">
        <f>IFERROR(__xludf.DUMMYFUNCTION("""COMPUTED_VALUE"""),"ADVANCED ENGLISH AND TECHNICAL EXPRESSION ")</f>
        <v>ADVANCED ENGLISH AND TECHNICAL EXPRESSION </v>
      </c>
      <c r="F812" s="121" t="str">
        <f>IFERROR(__xludf.DUMMYFUNCTION("""COMPUTED_VALUE"""),"LAB")</f>
        <v>LAB</v>
      </c>
      <c r="G812" s="121">
        <f>IFERROR(__xludf.DUMMYFUNCTION("""COMPUTED_VALUE"""),0.0)</f>
        <v>0</v>
      </c>
      <c r="H812" s="121">
        <f>IFERROR(__xludf.DUMMYFUNCTION("""COMPUTED_VALUE"""),0.0)</f>
        <v>0</v>
      </c>
      <c r="I812" s="121">
        <f>IFERROR(__xludf.DUMMYFUNCTION("""COMPUTED_VALUE"""),2.0)</f>
        <v>2</v>
      </c>
      <c r="J812" s="121">
        <f>IFERROR(__xludf.DUMMYFUNCTION("""COMPUTED_VALUE"""),1.0)</f>
        <v>1</v>
      </c>
      <c r="K812" s="132" t="str">
        <f>IFERROR(__xludf.DUMMYFUNCTION("""COMPUTED_VALUE"""),"HU11151")</f>
        <v>HU11151</v>
      </c>
      <c r="L812" s="121" t="str">
        <f>IFERROR(__xludf.DUMMYFUNCTION("""COMPUTED_VALUE"""),"Dr.NITHYA S")</f>
        <v>Dr.NITHYA S</v>
      </c>
      <c r="M812" s="133" t="str">
        <f>IFERROR(__xludf.DUMMYFUNCTION("""COMPUTED_VALUE"""),"nithyas@bitsathy.ac.in")</f>
        <v>nithyas@bitsathy.ac.in</v>
      </c>
    </row>
    <row r="813" ht="49.5" customHeight="1">
      <c r="A813" s="121" t="str">
        <f>IFERROR(__xludf.DUMMYFUNCTION("""COMPUTED_VALUE"""),"MECH")</f>
        <v>MECH</v>
      </c>
      <c r="B813" s="121" t="str">
        <f>IFERROR(__xludf.DUMMYFUNCTION("""COMPUTED_VALUE"""),"S4-PG")</f>
        <v>S4-PG</v>
      </c>
      <c r="C813" s="121" t="str">
        <f>IFERROR(__xludf.DUMMYFUNCTION("""COMPUTED_VALUE"""),"CORE")</f>
        <v>CORE</v>
      </c>
      <c r="D813" s="121" t="str">
        <f>IFERROR(__xludf.DUMMYFUNCTION("""COMPUTED_VALUE"""),"24IS21")</f>
        <v>24IS21</v>
      </c>
      <c r="E813" s="131" t="str">
        <f>IFERROR(__xludf.DUMMYFUNCTION("""COMPUTED_VALUE"""),"SAFETY IN ENGINEERING INDUSTRY")</f>
        <v>SAFETY IN ENGINEERING INDUSTRY</v>
      </c>
      <c r="F813" s="121" t="str">
        <f>IFERROR(__xludf.DUMMYFUNCTION("""COMPUTED_VALUE"""),"THEORY")</f>
        <v>THEORY</v>
      </c>
      <c r="G813" s="121">
        <f>IFERROR(__xludf.DUMMYFUNCTION("""COMPUTED_VALUE"""),3.0)</f>
        <v>3</v>
      </c>
      <c r="H813" s="121">
        <f>IFERROR(__xludf.DUMMYFUNCTION("""COMPUTED_VALUE"""),0.0)</f>
        <v>0</v>
      </c>
      <c r="I813" s="121">
        <f>IFERROR(__xludf.DUMMYFUNCTION("""COMPUTED_VALUE"""),0.0)</f>
        <v>0</v>
      </c>
      <c r="J813" s="121">
        <f>IFERROR(__xludf.DUMMYFUNCTION("""COMPUTED_VALUE"""),3.0)</f>
        <v>3</v>
      </c>
      <c r="K813" s="132" t="str">
        <f>IFERROR(__xludf.DUMMYFUNCTION("""COMPUTED_VALUE"""),"ME11099")</f>
        <v>ME11099</v>
      </c>
      <c r="L813" s="121" t="str">
        <f>IFERROR(__xludf.DUMMYFUNCTION("""COMPUTED_VALUE"""),"Dr.PAVANADITYA BADIDA")</f>
        <v>Dr.PAVANADITYA BADIDA</v>
      </c>
      <c r="M813" s="133" t="str">
        <f>IFERROR(__xludf.DUMMYFUNCTION("""COMPUTED_VALUE"""),"pavanaditya@bitsathy.ac.in")</f>
        <v>pavanaditya@bitsathy.ac.in</v>
      </c>
    </row>
    <row r="814" ht="49.5" customHeight="1">
      <c r="A814" s="121" t="str">
        <f>IFERROR(__xludf.DUMMYFUNCTION("""COMPUTED_VALUE"""),"MECH")</f>
        <v>MECH</v>
      </c>
      <c r="B814" s="121" t="str">
        <f>IFERROR(__xludf.DUMMYFUNCTION("""COMPUTED_VALUE"""),"S4-PG")</f>
        <v>S4-PG</v>
      </c>
      <c r="C814" s="121" t="str">
        <f>IFERROR(__xludf.DUMMYFUNCTION("""COMPUTED_VALUE"""),"CORE")</f>
        <v>CORE</v>
      </c>
      <c r="D814" s="121" t="str">
        <f>IFERROR(__xludf.DUMMYFUNCTION("""COMPUTED_VALUE"""),"24IS22")</f>
        <v>24IS22</v>
      </c>
      <c r="E814" s="131" t="str">
        <f>IFERROR(__xludf.DUMMYFUNCTION("""COMPUTED_VALUE"""),"FIRE ENGINEERING AND EXPLOSION CONTROL")</f>
        <v>FIRE ENGINEERING AND EXPLOSION CONTROL</v>
      </c>
      <c r="F814" s="121" t="str">
        <f>IFERROR(__xludf.DUMMYFUNCTION("""COMPUTED_VALUE"""),"THEORY")</f>
        <v>THEORY</v>
      </c>
      <c r="G814" s="121">
        <f>IFERROR(__xludf.DUMMYFUNCTION("""COMPUTED_VALUE"""),3.0)</f>
        <v>3</v>
      </c>
      <c r="H814" s="121">
        <f>IFERROR(__xludf.DUMMYFUNCTION("""COMPUTED_VALUE"""),0.0)</f>
        <v>0</v>
      </c>
      <c r="I814" s="121">
        <f>IFERROR(__xludf.DUMMYFUNCTION("""COMPUTED_VALUE"""),0.0)</f>
        <v>0</v>
      </c>
      <c r="J814" s="121">
        <f>IFERROR(__xludf.DUMMYFUNCTION("""COMPUTED_VALUE"""),3.0)</f>
        <v>3</v>
      </c>
      <c r="K814" s="132" t="str">
        <f>IFERROR(__xludf.DUMMYFUNCTION("""COMPUTED_VALUE"""),"ME11099")</f>
        <v>ME11099</v>
      </c>
      <c r="L814" s="121" t="str">
        <f>IFERROR(__xludf.DUMMYFUNCTION("""COMPUTED_VALUE"""),"Dr.PAVANADITYA BADIDA")</f>
        <v>Dr.PAVANADITYA BADIDA</v>
      </c>
      <c r="M814" s="133" t="str">
        <f>IFERROR(__xludf.DUMMYFUNCTION("""COMPUTED_VALUE"""),"pavanaditya@bitsathy.ac.in")</f>
        <v>pavanaditya@bitsathy.ac.in</v>
      </c>
    </row>
    <row r="815" ht="49.5" customHeight="1">
      <c r="A815" s="121" t="str">
        <f>IFERROR(__xludf.DUMMYFUNCTION("""COMPUTED_VALUE"""),"MECH")</f>
        <v>MECH</v>
      </c>
      <c r="B815" s="121" t="str">
        <f>IFERROR(__xludf.DUMMYFUNCTION("""COMPUTED_VALUE"""),"S4-PG")</f>
        <v>S4-PG</v>
      </c>
      <c r="C815" s="121" t="str">
        <f>IFERROR(__xludf.DUMMYFUNCTION("""COMPUTED_VALUE"""),"CORE")</f>
        <v>CORE</v>
      </c>
      <c r="D815" s="121" t="str">
        <f>IFERROR(__xludf.DUMMYFUNCTION("""COMPUTED_VALUE"""),"24IS23")</f>
        <v>24IS23</v>
      </c>
      <c r="E815" s="131" t="str">
        <f>IFERROR(__xludf.DUMMYFUNCTION("""COMPUTED_VALUE"""),"ELECTRICAL SAFETY")</f>
        <v>ELECTRICAL SAFETY</v>
      </c>
      <c r="F815" s="121" t="str">
        <f>IFERROR(__xludf.DUMMYFUNCTION("""COMPUTED_VALUE"""),"THEORY")</f>
        <v>THEORY</v>
      </c>
      <c r="G815" s="121">
        <f>IFERROR(__xludf.DUMMYFUNCTION("""COMPUTED_VALUE"""),3.0)</f>
        <v>3</v>
      </c>
      <c r="H815" s="121">
        <f>IFERROR(__xludf.DUMMYFUNCTION("""COMPUTED_VALUE"""),0.0)</f>
        <v>0</v>
      </c>
      <c r="I815" s="121">
        <f>IFERROR(__xludf.DUMMYFUNCTION("""COMPUTED_VALUE"""),0.0)</f>
        <v>0</v>
      </c>
      <c r="J815" s="121">
        <f>IFERROR(__xludf.DUMMYFUNCTION("""COMPUTED_VALUE"""),3.0)</f>
        <v>3</v>
      </c>
      <c r="K815" s="132" t="str">
        <f>IFERROR(__xludf.DUMMYFUNCTION("""COMPUTED_VALUE"""),"ME10313")</f>
        <v>ME10313</v>
      </c>
      <c r="L815" s="121" t="str">
        <f>IFERROR(__xludf.DUMMYFUNCTION("""COMPUTED_VALUE"""),"Dr.MUTHUKUMAR K")</f>
        <v>Dr.MUTHUKUMAR K</v>
      </c>
      <c r="M815" s="133" t="str">
        <f>IFERROR(__xludf.DUMMYFUNCTION("""COMPUTED_VALUE"""),"muthukumarkm@bitsathy.ac.in")</f>
        <v>muthukumarkm@bitsathy.ac.in</v>
      </c>
    </row>
    <row r="816" ht="49.5" customHeight="1">
      <c r="A816" s="121" t="str">
        <f>IFERROR(__xludf.DUMMYFUNCTION("""COMPUTED_VALUE"""),"MECH")</f>
        <v>MECH</v>
      </c>
      <c r="B816" s="121" t="str">
        <f>IFERROR(__xludf.DUMMYFUNCTION("""COMPUTED_VALUE"""),"S4-PG")</f>
        <v>S4-PG</v>
      </c>
      <c r="C816" s="121" t="str">
        <f>IFERROR(__xludf.DUMMYFUNCTION("""COMPUTED_VALUE"""),"CORE")</f>
        <v>CORE</v>
      </c>
      <c r="D816" s="121" t="str">
        <f>IFERROR(__xludf.DUMMYFUNCTION("""COMPUTED_VALUE"""),"24IS24")</f>
        <v>24IS24</v>
      </c>
      <c r="E816" s="131" t="str">
        <f>IFERROR(__xludf.DUMMYFUNCTION("""COMPUTED_VALUE"""),"RISK ANALYSIS")</f>
        <v>RISK ANALYSIS</v>
      </c>
      <c r="F816" s="121" t="str">
        <f>IFERROR(__xludf.DUMMYFUNCTION("""COMPUTED_VALUE"""),"THEORY")</f>
        <v>THEORY</v>
      </c>
      <c r="G816" s="121">
        <f>IFERROR(__xludf.DUMMYFUNCTION("""COMPUTED_VALUE"""),3.0)</f>
        <v>3</v>
      </c>
      <c r="H816" s="121">
        <f>IFERROR(__xludf.DUMMYFUNCTION("""COMPUTED_VALUE"""),0.0)</f>
        <v>0</v>
      </c>
      <c r="I816" s="121">
        <f>IFERROR(__xludf.DUMMYFUNCTION("""COMPUTED_VALUE"""),0.0)</f>
        <v>0</v>
      </c>
      <c r="J816" s="121">
        <f>IFERROR(__xludf.DUMMYFUNCTION("""COMPUTED_VALUE"""),3.0)</f>
        <v>3</v>
      </c>
      <c r="K816" s="132" t="str">
        <f>IFERROR(__xludf.DUMMYFUNCTION("""COMPUTED_VALUE"""),"ME11077")</f>
        <v>ME11077</v>
      </c>
      <c r="L816" s="121" t="str">
        <f>IFERROR(__xludf.DUMMYFUNCTION("""COMPUTED_VALUE"""),"Mr.JOSEPH SILVESTER K")</f>
        <v>Mr.JOSEPH SILVESTER K</v>
      </c>
      <c r="M816" s="133" t="str">
        <f>IFERROR(__xludf.DUMMYFUNCTION("""COMPUTED_VALUE"""),"josephsilvester@bitsathy.ac.in")</f>
        <v>josephsilvester@bitsathy.ac.in</v>
      </c>
    </row>
    <row r="817" ht="49.5" customHeight="1">
      <c r="A817" s="121" t="str">
        <f>IFERROR(__xludf.DUMMYFUNCTION("""COMPUTED_VALUE"""),"MECH")</f>
        <v>MECH</v>
      </c>
      <c r="B817" s="121" t="str">
        <f>IFERROR(__xludf.DUMMYFUNCTION("""COMPUTED_VALUE"""),"S4-PG")</f>
        <v>S4-PG</v>
      </c>
      <c r="C817" s="121" t="str">
        <f>IFERROR(__xludf.DUMMYFUNCTION("""COMPUTED_VALUE"""),"ELECTIVE 1")</f>
        <v>ELECTIVE 1</v>
      </c>
      <c r="D817" s="121" t="str">
        <f>IFERROR(__xludf.DUMMYFUNCTION("""COMPUTED_VALUE"""),"24IS55")</f>
        <v>24IS55</v>
      </c>
      <c r="E817" s="131" t="str">
        <f>IFERROR(__xludf.DUMMYFUNCTION("""COMPUTED_VALUE"""),"SAFETY IN CHEMICAL INDUSTRIES")</f>
        <v>SAFETY IN CHEMICAL INDUSTRIES</v>
      </c>
      <c r="F817" s="121" t="str">
        <f>IFERROR(__xludf.DUMMYFUNCTION("""COMPUTED_VALUE"""),"THEORY")</f>
        <v>THEORY</v>
      </c>
      <c r="G817" s="121">
        <f>IFERROR(__xludf.DUMMYFUNCTION("""COMPUTED_VALUE"""),3.0)</f>
        <v>3</v>
      </c>
      <c r="H817" s="121">
        <f>IFERROR(__xludf.DUMMYFUNCTION("""COMPUTED_VALUE"""),0.0)</f>
        <v>0</v>
      </c>
      <c r="I817" s="121">
        <f>IFERROR(__xludf.DUMMYFUNCTION("""COMPUTED_VALUE"""),0.0)</f>
        <v>0</v>
      </c>
      <c r="J817" s="121">
        <f>IFERROR(__xludf.DUMMYFUNCTION("""COMPUTED_VALUE"""),3.0)</f>
        <v>3</v>
      </c>
      <c r="K817" s="132" t="str">
        <f>IFERROR(__xludf.DUMMYFUNCTION("""COMPUTED_VALUE"""),"ME11077")</f>
        <v>ME11077</v>
      </c>
      <c r="L817" s="121" t="str">
        <f>IFERROR(__xludf.DUMMYFUNCTION("""COMPUTED_VALUE"""),"Mr.JOSEPH SILVESTER K")</f>
        <v>Mr.JOSEPH SILVESTER K</v>
      </c>
      <c r="M817" s="133" t="str">
        <f>IFERROR(__xludf.DUMMYFUNCTION("""COMPUTED_VALUE"""),"josephsilvester@bitsathy.ac.in")</f>
        <v>josephsilvester@bitsathy.ac.in</v>
      </c>
    </row>
    <row r="818" ht="49.5" customHeight="1">
      <c r="A818" s="121" t="str">
        <f>IFERROR(__xludf.DUMMYFUNCTION("""COMPUTED_VALUE"""),"MECH")</f>
        <v>MECH</v>
      </c>
      <c r="B818" s="121" t="str">
        <f>IFERROR(__xludf.DUMMYFUNCTION("""COMPUTED_VALUE"""),"S4-PG")</f>
        <v>S4-PG</v>
      </c>
      <c r="C818" s="121" t="str">
        <f>IFERROR(__xludf.DUMMYFUNCTION("""COMPUTED_VALUE"""),"ELECTIVE 2")</f>
        <v>ELECTIVE 2</v>
      </c>
      <c r="D818" s="121" t="str">
        <f>IFERROR(__xludf.DUMMYFUNCTION("""COMPUTED_VALUE"""),"24IS63")</f>
        <v>24IS63</v>
      </c>
      <c r="E818" s="131" t="str">
        <f>IFERROR(__xludf.DUMMYFUNCTION("""COMPUTED_VALUE"""),"WORK STUDY AND ERGONOMICS")</f>
        <v>WORK STUDY AND ERGONOMICS</v>
      </c>
      <c r="F818" s="121" t="str">
        <f>IFERROR(__xludf.DUMMYFUNCTION("""COMPUTED_VALUE"""),"THEORY")</f>
        <v>THEORY</v>
      </c>
      <c r="G818" s="121">
        <f>IFERROR(__xludf.DUMMYFUNCTION("""COMPUTED_VALUE"""),3.0)</f>
        <v>3</v>
      </c>
      <c r="H818" s="121">
        <f>IFERROR(__xludf.DUMMYFUNCTION("""COMPUTED_VALUE"""),0.0)</f>
        <v>0</v>
      </c>
      <c r="I818" s="121">
        <f>IFERROR(__xludf.DUMMYFUNCTION("""COMPUTED_VALUE"""),0.0)</f>
        <v>0</v>
      </c>
      <c r="J818" s="121">
        <f>IFERROR(__xludf.DUMMYFUNCTION("""COMPUTED_VALUE"""),3.0)</f>
        <v>3</v>
      </c>
      <c r="K818" s="132" t="str">
        <f>IFERROR(__xludf.DUMMYFUNCTION("""COMPUTED_VALUE"""),"ME10313")</f>
        <v>ME10313</v>
      </c>
      <c r="L818" s="121" t="str">
        <f>IFERROR(__xludf.DUMMYFUNCTION("""COMPUTED_VALUE"""),"Dr.MUTHUKUMAR K")</f>
        <v>Dr.MUTHUKUMAR K</v>
      </c>
      <c r="M818" s="121" t="str">
        <f>IFERROR(__xludf.DUMMYFUNCTION("""COMPUTED_VALUE"""),"muthukumarkm@bitsathy.ac.in")</f>
        <v>muthukumarkm@bitsathy.ac.in</v>
      </c>
    </row>
    <row r="819" ht="49.5" customHeight="1">
      <c r="A819" s="121" t="str">
        <f>IFERROR(__xludf.DUMMYFUNCTION("""COMPUTED_VALUE"""),"MECH")</f>
        <v>MECH</v>
      </c>
      <c r="B819" s="121" t="str">
        <f>IFERROR(__xludf.DUMMYFUNCTION("""COMPUTED_VALUE"""),"S4-PG")</f>
        <v>S4-PG</v>
      </c>
      <c r="C819" s="121" t="str">
        <f>IFERROR(__xludf.DUMMYFUNCTION("""COMPUTED_VALUE"""),"CORE")</f>
        <v>CORE</v>
      </c>
      <c r="D819" s="121" t="str">
        <f>IFERROR(__xludf.DUMMYFUNCTION("""COMPUTED_VALUE"""),"24IS26")</f>
        <v>24IS26</v>
      </c>
      <c r="E819" s="131" t="str">
        <f>IFERROR(__xludf.DUMMYFUNCTION("""COMPUTED_VALUE"""),"INDUSTRIAL FIRE AND ELECTRICAL SAFETY LABORATORY")</f>
        <v>INDUSTRIAL FIRE AND ELECTRICAL SAFETY LABORATORY</v>
      </c>
      <c r="F819" s="121" t="str">
        <f>IFERROR(__xludf.DUMMYFUNCTION("""COMPUTED_VALUE"""),"LAB")</f>
        <v>LAB</v>
      </c>
      <c r="G819" s="121">
        <f>IFERROR(__xludf.DUMMYFUNCTION("""COMPUTED_VALUE"""),0.0)</f>
        <v>0</v>
      </c>
      <c r="H819" s="121">
        <f>IFERROR(__xludf.DUMMYFUNCTION("""COMPUTED_VALUE"""),0.0)</f>
        <v>0</v>
      </c>
      <c r="I819" s="121">
        <f>IFERROR(__xludf.DUMMYFUNCTION("""COMPUTED_VALUE"""),4.0)</f>
        <v>4</v>
      </c>
      <c r="J819" s="121">
        <f>IFERROR(__xludf.DUMMYFUNCTION("""COMPUTED_VALUE"""),3.0)</f>
        <v>3</v>
      </c>
      <c r="K819" s="132" t="str">
        <f>IFERROR(__xludf.DUMMYFUNCTION("""COMPUTED_VALUE"""),"ME11077")</f>
        <v>ME11077</v>
      </c>
      <c r="L819" s="121" t="str">
        <f>IFERROR(__xludf.DUMMYFUNCTION("""COMPUTED_VALUE"""),"Mr.JOSEPH SILVESTER K")</f>
        <v>Mr.JOSEPH SILVESTER K</v>
      </c>
      <c r="M819" s="133" t="str">
        <f>IFERROR(__xludf.DUMMYFUNCTION("""COMPUTED_VALUE"""),"josephsilvester@bitsathy.ac.in")</f>
        <v>josephsilvester@bitsathy.ac.in</v>
      </c>
    </row>
    <row r="820" ht="49.5" customHeight="1">
      <c r="A820" s="121" t="str">
        <f>IFERROR(__xludf.DUMMYFUNCTION("""COMPUTED_VALUE"""),"MECH")</f>
        <v>MECH</v>
      </c>
      <c r="B820" s="121" t="str">
        <f>IFERROR(__xludf.DUMMYFUNCTION("""COMPUTED_VALUE"""),"S4-PG")</f>
        <v>S4-PG</v>
      </c>
      <c r="C820" s="121" t="str">
        <f>IFERROR(__xludf.DUMMYFUNCTION("""COMPUTED_VALUE"""),"MINI PROJECT")</f>
        <v>MINI PROJECT</v>
      </c>
      <c r="D820" s="121" t="str">
        <f>IFERROR(__xludf.DUMMYFUNCTION("""COMPUTED_VALUE"""),"24IS27")</f>
        <v>24IS27</v>
      </c>
      <c r="E820" s="131" t="str">
        <f>IFERROR(__xludf.DUMMYFUNCTION("""COMPUTED_VALUE"""),"MINI PROJECT")</f>
        <v>MINI PROJECT</v>
      </c>
      <c r="F820" s="121" t="str">
        <f>IFERROR(__xludf.DUMMYFUNCTION("""COMPUTED_VALUE"""),"LAB")</f>
        <v>LAB</v>
      </c>
      <c r="G820" s="121">
        <f>IFERROR(__xludf.DUMMYFUNCTION("""COMPUTED_VALUE"""),0.0)</f>
        <v>0</v>
      </c>
      <c r="H820" s="121">
        <f>IFERROR(__xludf.DUMMYFUNCTION("""COMPUTED_VALUE"""),0.0)</f>
        <v>0</v>
      </c>
      <c r="I820" s="121">
        <f>IFERROR(__xludf.DUMMYFUNCTION("""COMPUTED_VALUE"""),4.0)</f>
        <v>4</v>
      </c>
      <c r="J820" s="121">
        <f>IFERROR(__xludf.DUMMYFUNCTION("""COMPUTED_VALUE"""),3.0)</f>
        <v>3</v>
      </c>
      <c r="K820" s="132" t="str">
        <f>IFERROR(__xludf.DUMMYFUNCTION("""COMPUTED_VALUE"""),"ME10313")</f>
        <v>ME10313</v>
      </c>
      <c r="L820" s="121" t="str">
        <f>IFERROR(__xludf.DUMMYFUNCTION("""COMPUTED_VALUE"""),"Dr.MUTHUKUMAR K")</f>
        <v>Dr.MUTHUKUMAR K</v>
      </c>
      <c r="M820" s="133" t="str">
        <f>IFERROR(__xludf.DUMMYFUNCTION("""COMPUTED_VALUE"""),"muthukumarkm@bitsathy.ac.in")</f>
        <v>muthukumarkm@bitsathy.ac.in</v>
      </c>
    </row>
    <row r="821" ht="49.5" customHeight="1">
      <c r="A821" s="121" t="str">
        <f>IFERROR(__xludf.DUMMYFUNCTION("""COMPUTED_VALUE"""),"MECH")</f>
        <v>MECH</v>
      </c>
      <c r="B821" s="121" t="str">
        <f>IFERROR(__xludf.DUMMYFUNCTION("""COMPUTED_VALUE"""),"S4-PG")</f>
        <v>S4-PG</v>
      </c>
      <c r="C821" s="121" t="str">
        <f>IFERROR(__xludf.DUMMYFUNCTION("""COMPUTED_VALUE"""),"AUDIT COURSE 2")</f>
        <v>AUDIT COURSE 2</v>
      </c>
      <c r="D821" s="121" t="str">
        <f>IFERROR(__xludf.DUMMYFUNCTION("""COMPUTED_VALUE"""),"24XE04")</f>
        <v>24XE04</v>
      </c>
      <c r="E821" s="131" t="str">
        <f>IFERROR(__xludf.DUMMYFUNCTION("""COMPUTED_VALUE"""),"DISASTER MANAGEMENT")</f>
        <v>DISASTER MANAGEMENT</v>
      </c>
      <c r="F821" s="121" t="str">
        <f>IFERROR(__xludf.DUMMYFUNCTION("""COMPUTED_VALUE"""),"THEORY")</f>
        <v>THEORY</v>
      </c>
      <c r="G821" s="121">
        <f>IFERROR(__xludf.DUMMYFUNCTION("""COMPUTED_VALUE"""),2.0)</f>
        <v>2</v>
      </c>
      <c r="H821" s="121">
        <f>IFERROR(__xludf.DUMMYFUNCTION("""COMPUTED_VALUE"""),0.0)</f>
        <v>0</v>
      </c>
      <c r="I821" s="121">
        <f>IFERROR(__xludf.DUMMYFUNCTION("""COMPUTED_VALUE"""),0.0)</f>
        <v>0</v>
      </c>
      <c r="J821" s="121">
        <f>IFERROR(__xludf.DUMMYFUNCTION("""COMPUTED_VALUE"""),0.0)</f>
        <v>0</v>
      </c>
      <c r="K821" s="132" t="str">
        <f>IFERROR(__xludf.DUMMYFUNCTION("""COMPUTED_VALUE"""),"ME11099")</f>
        <v>ME11099</v>
      </c>
      <c r="L821" s="121" t="str">
        <f>IFERROR(__xludf.DUMMYFUNCTION("""COMPUTED_VALUE"""),"Dr.PAVANADITYA BADIDA")</f>
        <v>Dr.PAVANADITYA BADIDA</v>
      </c>
      <c r="M821" s="133" t="str">
        <f>IFERROR(__xludf.DUMMYFUNCTION("""COMPUTED_VALUE"""),"pavanaditya@bitsathy.ac.in")</f>
        <v>pavanaditya@bitsathy.ac.in</v>
      </c>
    </row>
    <row r="822" ht="49.5" customHeight="1">
      <c r="A822" s="121" t="str">
        <f>IFERROR(__xludf.DUMMYFUNCTION("""COMPUTED_VALUE"""),"MECH")</f>
        <v>MECH</v>
      </c>
      <c r="B822" s="121" t="str">
        <f>IFERROR(__xludf.DUMMYFUNCTION("""COMPUTED_VALUE"""),"S4-PG")</f>
        <v>S4-PG</v>
      </c>
      <c r="C822" s="121" t="str">
        <f>IFERROR(__xludf.DUMMYFUNCTION("""COMPUTED_VALUE"""),"DISSERTATION PHASE 2")</f>
        <v>DISSERTATION PHASE 2</v>
      </c>
      <c r="D822" s="121" t="str">
        <f>IFERROR(__xludf.DUMMYFUNCTION("""COMPUTED_VALUE"""),"24IS41")</f>
        <v>24IS41</v>
      </c>
      <c r="E822" s="131" t="str">
        <f>IFERROR(__xludf.DUMMYFUNCTION("""COMPUTED_VALUE"""),"DISSERTATION PHASE II")</f>
        <v>DISSERTATION PHASE II</v>
      </c>
      <c r="F822" s="121" t="str">
        <f>IFERROR(__xludf.DUMMYFUNCTION("""COMPUTED_VALUE"""),"LAB")</f>
        <v>LAB</v>
      </c>
      <c r="G822" s="121">
        <f>IFERROR(__xludf.DUMMYFUNCTION("""COMPUTED_VALUE"""),0.0)</f>
        <v>0</v>
      </c>
      <c r="H822" s="121">
        <f>IFERROR(__xludf.DUMMYFUNCTION("""COMPUTED_VALUE"""),0.0)</f>
        <v>0</v>
      </c>
      <c r="I822" s="121">
        <f>IFERROR(__xludf.DUMMYFUNCTION("""COMPUTED_VALUE"""),12.0)</f>
        <v>12</v>
      </c>
      <c r="J822" s="121">
        <f>IFERROR(__xludf.DUMMYFUNCTION("""COMPUTED_VALUE"""),6.0)</f>
        <v>6</v>
      </c>
      <c r="K822" s="132" t="str">
        <f>IFERROR(__xludf.DUMMYFUNCTION("""COMPUTED_VALUE"""),"ME10313")</f>
        <v>ME10313</v>
      </c>
      <c r="L822" s="121" t="str">
        <f>IFERROR(__xludf.DUMMYFUNCTION("""COMPUTED_VALUE"""),"Dr.MUTHUKUMAR K")</f>
        <v>Dr.MUTHUKUMAR K</v>
      </c>
      <c r="M822" s="133" t="str">
        <f>IFERROR(__xludf.DUMMYFUNCTION("""COMPUTED_VALUE"""),"muthukumarkm@bitsathy.ac.in")</f>
        <v>muthukumarkm@bitsathy.ac.in</v>
      </c>
    </row>
    <row r="823" ht="49.5" customHeight="1">
      <c r="A823" s="121" t="str">
        <f>IFERROR(__xludf.DUMMYFUNCTION("""COMPUTED_VALUE"""),"MECH")</f>
        <v>MECH</v>
      </c>
      <c r="B823" s="121" t="str">
        <f>IFERROR(__xludf.DUMMYFUNCTION("""COMPUTED_VALUE"""),"S6")</f>
        <v>S6</v>
      </c>
      <c r="C823" s="121" t="str">
        <f>IFERROR(__xludf.DUMMYFUNCTION("""COMPUTED_VALUE"""),"CORE")</f>
        <v>CORE</v>
      </c>
      <c r="D823" s="121" t="str">
        <f>IFERROR(__xludf.DUMMYFUNCTION("""COMPUTED_VALUE"""),"22ME601")</f>
        <v>22ME601</v>
      </c>
      <c r="E823" s="131" t="str">
        <f>IFERROR(__xludf.DUMMYFUNCTION("""COMPUTED_VALUE"""),"HEAT AND MASS TRANSFER")</f>
        <v>HEAT AND MASS TRANSFER</v>
      </c>
      <c r="F823" s="121" t="str">
        <f>IFERROR(__xludf.DUMMYFUNCTION("""COMPUTED_VALUE"""),"THEORY")</f>
        <v>THEORY</v>
      </c>
      <c r="G823" s="121">
        <f>IFERROR(__xludf.DUMMYFUNCTION("""COMPUTED_VALUE"""),2.0)</f>
        <v>2</v>
      </c>
      <c r="H823" s="121">
        <f>IFERROR(__xludf.DUMMYFUNCTION("""COMPUTED_VALUE"""),1.0)</f>
        <v>1</v>
      </c>
      <c r="I823" s="121">
        <f>IFERROR(__xludf.DUMMYFUNCTION("""COMPUTED_VALUE"""),2.0)</f>
        <v>2</v>
      </c>
      <c r="J823" s="121">
        <f>IFERROR(__xludf.DUMMYFUNCTION("""COMPUTED_VALUE"""),4.0)</f>
        <v>4</v>
      </c>
      <c r="K823" s="132" t="str">
        <f>IFERROR(__xludf.DUMMYFUNCTION("""COMPUTED_VALUE"""),"ME1093")</f>
        <v>ME1093</v>
      </c>
      <c r="L823" s="121" t="str">
        <f>IFERROR(__xludf.DUMMYFUNCTION("""COMPUTED_VALUE"""),"Dr.RAVI KUMAR M")</f>
        <v>Dr.RAVI KUMAR M</v>
      </c>
      <c r="M823" s="121" t="str">
        <f>IFERROR(__xludf.DUMMYFUNCTION("""COMPUTED_VALUE"""),"ravikumarm@bitsathy.ac.in")</f>
        <v>ravikumarm@bitsathy.ac.in</v>
      </c>
    </row>
    <row r="824" ht="49.5" customHeight="1">
      <c r="A824" s="121" t="str">
        <f>IFERROR(__xludf.DUMMYFUNCTION("""COMPUTED_VALUE"""),"MECH")</f>
        <v>MECH</v>
      </c>
      <c r="B824" s="121" t="str">
        <f>IFERROR(__xludf.DUMMYFUNCTION("""COMPUTED_VALUE"""),"S6")</f>
        <v>S6</v>
      </c>
      <c r="C824" s="121" t="str">
        <f>IFERROR(__xludf.DUMMYFUNCTION("""COMPUTED_VALUE"""),"CORE")</f>
        <v>CORE</v>
      </c>
      <c r="D824" s="121" t="str">
        <f>IFERROR(__xludf.DUMMYFUNCTION("""COMPUTED_VALUE"""),"22ME601")</f>
        <v>22ME601</v>
      </c>
      <c r="E824" s="131" t="str">
        <f>IFERROR(__xludf.DUMMYFUNCTION("""COMPUTED_VALUE"""),"HEAT AND MASS TRANSFER")</f>
        <v>HEAT AND MASS TRANSFER</v>
      </c>
      <c r="F824" s="121" t="str">
        <f>IFERROR(__xludf.DUMMYFUNCTION("""COMPUTED_VALUE"""),"LAB")</f>
        <v>LAB</v>
      </c>
      <c r="G824" s="121">
        <f>IFERROR(__xludf.DUMMYFUNCTION("""COMPUTED_VALUE"""),2.0)</f>
        <v>2</v>
      </c>
      <c r="H824" s="121">
        <f>IFERROR(__xludf.DUMMYFUNCTION("""COMPUTED_VALUE"""),1.0)</f>
        <v>1</v>
      </c>
      <c r="I824" s="121">
        <f>IFERROR(__xludf.DUMMYFUNCTION("""COMPUTED_VALUE"""),2.0)</f>
        <v>2</v>
      </c>
      <c r="J824" s="121">
        <f>IFERROR(__xludf.DUMMYFUNCTION("""COMPUTED_VALUE"""),4.0)</f>
        <v>4</v>
      </c>
      <c r="K824" s="132" t="str">
        <f>IFERROR(__xludf.DUMMYFUNCTION("""COMPUTED_VALUE"""),"MC1878")</f>
        <v>MC1878</v>
      </c>
      <c r="L824" s="121" t="str">
        <f>IFERROR(__xludf.DUMMYFUNCTION("""COMPUTED_VALUE"""),"Dr.JEGADHEESWARAN S")</f>
        <v>Dr.JEGADHEESWARAN S</v>
      </c>
      <c r="M824" s="121" t="str">
        <f>IFERROR(__xludf.DUMMYFUNCTION("""COMPUTED_VALUE"""),"jegadheeswarans@bitsathy.ac.in")</f>
        <v>jegadheeswarans@bitsathy.ac.in</v>
      </c>
    </row>
    <row r="825" ht="49.5" customHeight="1">
      <c r="A825" s="121" t="str">
        <f>IFERROR(__xludf.DUMMYFUNCTION("""COMPUTED_VALUE"""),"MECH")</f>
        <v>MECH</v>
      </c>
      <c r="B825" s="121" t="str">
        <f>IFERROR(__xludf.DUMMYFUNCTION("""COMPUTED_VALUE"""),"S6")</f>
        <v>S6</v>
      </c>
      <c r="C825" s="121" t="str">
        <f>IFERROR(__xludf.DUMMYFUNCTION("""COMPUTED_VALUE"""),"CORE")</f>
        <v>CORE</v>
      </c>
      <c r="D825" s="121" t="str">
        <f>IFERROR(__xludf.DUMMYFUNCTION("""COMPUTED_VALUE"""),"22ME602")</f>
        <v>22ME602</v>
      </c>
      <c r="E825" s="131" t="str">
        <f>IFERROR(__xludf.DUMMYFUNCTION("""COMPUTED_VALUE"""),"FINITE ELEMENT ANALYSIS")</f>
        <v>FINITE ELEMENT ANALYSIS</v>
      </c>
      <c r="F825" s="121" t="str">
        <f>IFERROR(__xludf.DUMMYFUNCTION("""COMPUTED_VALUE"""),"THEORY")</f>
        <v>THEORY</v>
      </c>
      <c r="G825" s="121">
        <f>IFERROR(__xludf.DUMMYFUNCTION("""COMPUTED_VALUE"""),2.0)</f>
        <v>2</v>
      </c>
      <c r="H825" s="121">
        <f>IFERROR(__xludf.DUMMYFUNCTION("""COMPUTED_VALUE"""),1.0)</f>
        <v>1</v>
      </c>
      <c r="I825" s="121">
        <f>IFERROR(__xludf.DUMMYFUNCTION("""COMPUTED_VALUE"""),2.0)</f>
        <v>2</v>
      </c>
      <c r="J825" s="121">
        <f>IFERROR(__xludf.DUMMYFUNCTION("""COMPUTED_VALUE"""),4.0)</f>
        <v>4</v>
      </c>
      <c r="K825" s="132" t="str">
        <f>IFERROR(__xludf.DUMMYFUNCTION("""COMPUTED_VALUE"""),"ME1970")</f>
        <v>ME1970</v>
      </c>
      <c r="L825" s="121" t="str">
        <f>IFERROR(__xludf.DUMMYFUNCTION("""COMPUTED_VALUE"""),"Mr.RAMAKRISHNAN A")</f>
        <v>Mr.RAMAKRISHNAN A</v>
      </c>
      <c r="M825" s="121" t="str">
        <f>IFERROR(__xludf.DUMMYFUNCTION("""COMPUTED_VALUE"""),"ramakrishnana@bitsathy.ac.in")</f>
        <v>ramakrishnana@bitsathy.ac.in</v>
      </c>
    </row>
    <row r="826" ht="49.5" customHeight="1">
      <c r="A826" s="121" t="str">
        <f>IFERROR(__xludf.DUMMYFUNCTION("""COMPUTED_VALUE"""),"MECH")</f>
        <v>MECH</v>
      </c>
      <c r="B826" s="121" t="str">
        <f>IFERROR(__xludf.DUMMYFUNCTION("""COMPUTED_VALUE"""),"S6")</f>
        <v>S6</v>
      </c>
      <c r="C826" s="121" t="str">
        <f>IFERROR(__xludf.DUMMYFUNCTION("""COMPUTED_VALUE"""),"CORE")</f>
        <v>CORE</v>
      </c>
      <c r="D826" s="121" t="str">
        <f>IFERROR(__xludf.DUMMYFUNCTION("""COMPUTED_VALUE"""),"22ME602")</f>
        <v>22ME602</v>
      </c>
      <c r="E826" s="131" t="str">
        <f>IFERROR(__xludf.DUMMYFUNCTION("""COMPUTED_VALUE"""),"FINITE ELEMENT ANALYSIS")</f>
        <v>FINITE ELEMENT ANALYSIS</v>
      </c>
      <c r="F826" s="121" t="str">
        <f>IFERROR(__xludf.DUMMYFUNCTION("""COMPUTED_VALUE"""),"LAB")</f>
        <v>LAB</v>
      </c>
      <c r="G826" s="121">
        <f>IFERROR(__xludf.DUMMYFUNCTION("""COMPUTED_VALUE"""),2.0)</f>
        <v>2</v>
      </c>
      <c r="H826" s="121">
        <f>IFERROR(__xludf.DUMMYFUNCTION("""COMPUTED_VALUE"""),1.0)</f>
        <v>1</v>
      </c>
      <c r="I826" s="121">
        <f>IFERROR(__xludf.DUMMYFUNCTION("""COMPUTED_VALUE"""),2.0)</f>
        <v>2</v>
      </c>
      <c r="J826" s="121">
        <f>IFERROR(__xludf.DUMMYFUNCTION("""COMPUTED_VALUE"""),4.0)</f>
        <v>4</v>
      </c>
      <c r="K826" s="132" t="str">
        <f>IFERROR(__xludf.DUMMYFUNCTION("""COMPUTED_VALUE"""),"ME1970")</f>
        <v>ME1970</v>
      </c>
      <c r="L826" s="121" t="str">
        <f>IFERROR(__xludf.DUMMYFUNCTION("""COMPUTED_VALUE"""),"Mr.RAMAKRISHNAN A")</f>
        <v>Mr.RAMAKRISHNAN A</v>
      </c>
      <c r="M826" s="133" t="str">
        <f>IFERROR(__xludf.DUMMYFUNCTION("""COMPUTED_VALUE"""),"ramakrishnana@bitsathy.ac.in")</f>
        <v>ramakrishnana@bitsathy.ac.in</v>
      </c>
    </row>
    <row r="827" ht="49.5" customHeight="1">
      <c r="A827" s="121" t="str">
        <f>IFERROR(__xludf.DUMMYFUNCTION("""COMPUTED_VALUE"""),"MECH")</f>
        <v>MECH</v>
      </c>
      <c r="B827" s="121" t="str">
        <f>IFERROR(__xludf.DUMMYFUNCTION("""COMPUTED_VALUE"""),"S6")</f>
        <v>S6</v>
      </c>
      <c r="C827" s="121" t="str">
        <f>IFERROR(__xludf.DUMMYFUNCTION("""COMPUTED_VALUE"""),"CORE")</f>
        <v>CORE</v>
      </c>
      <c r="D827" s="121" t="str">
        <f>IFERROR(__xludf.DUMMYFUNCTION("""COMPUTED_VALUE"""),"22ME603")</f>
        <v>22ME603</v>
      </c>
      <c r="E827" s="131" t="str">
        <f>IFERROR(__xludf.DUMMYFUNCTION("""COMPUTED_VALUE"""),"COMPUTER AIDED MANUFACTURING")</f>
        <v>COMPUTER AIDED MANUFACTURING</v>
      </c>
      <c r="F827" s="121" t="str">
        <f>IFERROR(__xludf.DUMMYFUNCTION("""COMPUTED_VALUE"""),"THEORY")</f>
        <v>THEORY</v>
      </c>
      <c r="G827" s="121">
        <f>IFERROR(__xludf.DUMMYFUNCTION("""COMPUTED_VALUE"""),2.0)</f>
        <v>2</v>
      </c>
      <c r="H827" s="121">
        <f>IFERROR(__xludf.DUMMYFUNCTION("""COMPUTED_VALUE"""),0.0)</f>
        <v>0</v>
      </c>
      <c r="I827" s="121">
        <f>IFERROR(__xludf.DUMMYFUNCTION("""COMPUTED_VALUE"""),2.0)</f>
        <v>2</v>
      </c>
      <c r="J827" s="121">
        <f>IFERROR(__xludf.DUMMYFUNCTION("""COMPUTED_VALUE"""),3.0)</f>
        <v>3</v>
      </c>
      <c r="K827" s="132" t="str">
        <f>IFERROR(__xludf.DUMMYFUNCTION("""COMPUTED_VALUE"""),"ME10328")</f>
        <v>ME10328</v>
      </c>
      <c r="L827" s="121" t="str">
        <f>IFERROR(__xludf.DUMMYFUNCTION("""COMPUTED_VALUE"""),"Mr.RAMACHANDRA RAJU K")</f>
        <v>Mr.RAMACHANDRA RAJU K</v>
      </c>
      <c r="M827" s="133" t="str">
        <f>IFERROR(__xludf.DUMMYFUNCTION("""COMPUTED_VALUE"""),"ramachandraraju@bitsathy.ac.in")</f>
        <v>ramachandraraju@bitsathy.ac.in</v>
      </c>
    </row>
    <row r="828" ht="49.5" customHeight="1">
      <c r="A828" s="121" t="str">
        <f>IFERROR(__xludf.DUMMYFUNCTION("""COMPUTED_VALUE"""),"MECH")</f>
        <v>MECH</v>
      </c>
      <c r="B828" s="121" t="str">
        <f>IFERROR(__xludf.DUMMYFUNCTION("""COMPUTED_VALUE"""),"S6")</f>
        <v>S6</v>
      </c>
      <c r="C828" s="121" t="str">
        <f>IFERROR(__xludf.DUMMYFUNCTION("""COMPUTED_VALUE"""),"CORE")</f>
        <v>CORE</v>
      </c>
      <c r="D828" s="121" t="str">
        <f>IFERROR(__xludf.DUMMYFUNCTION("""COMPUTED_VALUE"""),"22ME603")</f>
        <v>22ME603</v>
      </c>
      <c r="E828" s="131" t="str">
        <f>IFERROR(__xludf.DUMMYFUNCTION("""COMPUTED_VALUE"""),"COMPUTER AIDED MANUFACTURING")</f>
        <v>COMPUTER AIDED MANUFACTURING</v>
      </c>
      <c r="F828" s="121" t="str">
        <f>IFERROR(__xludf.DUMMYFUNCTION("""COMPUTED_VALUE"""),"LAB")</f>
        <v>LAB</v>
      </c>
      <c r="G828" s="121">
        <f>IFERROR(__xludf.DUMMYFUNCTION("""COMPUTED_VALUE"""),2.0)</f>
        <v>2</v>
      </c>
      <c r="H828" s="121">
        <f>IFERROR(__xludf.DUMMYFUNCTION("""COMPUTED_VALUE"""),0.0)</f>
        <v>0</v>
      </c>
      <c r="I828" s="121">
        <f>IFERROR(__xludf.DUMMYFUNCTION("""COMPUTED_VALUE"""),2.0)</f>
        <v>2</v>
      </c>
      <c r="J828" s="121">
        <f>IFERROR(__xludf.DUMMYFUNCTION("""COMPUTED_VALUE"""),3.0)</f>
        <v>3</v>
      </c>
      <c r="K828" s="132" t="str">
        <f>IFERROR(__xludf.DUMMYFUNCTION("""COMPUTED_VALUE"""),"ME10328")</f>
        <v>ME10328</v>
      </c>
      <c r="L828" s="121" t="str">
        <f>IFERROR(__xludf.DUMMYFUNCTION("""COMPUTED_VALUE"""),"Mr.RAMACHANDRA RAJU K")</f>
        <v>Mr.RAMACHANDRA RAJU K</v>
      </c>
      <c r="M828" s="133" t="str">
        <f>IFERROR(__xludf.DUMMYFUNCTION("""COMPUTED_VALUE"""),"ramachandraraju@bitsathy.ac.in")</f>
        <v>ramachandraraju@bitsathy.ac.in</v>
      </c>
    </row>
    <row r="829" ht="49.5" customHeight="1">
      <c r="A829" s="121" t="str">
        <f>IFERROR(__xludf.DUMMYFUNCTION("""COMPUTED_VALUE"""),"MECH")</f>
        <v>MECH</v>
      </c>
      <c r="B829" s="121" t="str">
        <f>IFERROR(__xludf.DUMMYFUNCTION("""COMPUTED_VALUE"""),"S6")</f>
        <v>S6</v>
      </c>
      <c r="C829" s="121" t="str">
        <f>IFERROR(__xludf.DUMMYFUNCTION("""COMPUTED_VALUE"""),"ELECTIVE 3")</f>
        <v>ELECTIVE 3</v>
      </c>
      <c r="D829" s="121" t="str">
        <f>IFERROR(__xludf.DUMMYFUNCTION("""COMPUTED_VALUE"""),"22ME010")</f>
        <v>22ME010</v>
      </c>
      <c r="E829" s="131" t="str">
        <f>IFERROR(__xludf.DUMMYFUNCTION("""COMPUTED_VALUE"""),"ADVANCED CASTING AND FORMING PROCESSES")</f>
        <v>ADVANCED CASTING AND FORMING PROCESSES</v>
      </c>
      <c r="F829" s="121" t="str">
        <f>IFERROR(__xludf.DUMMYFUNCTION("""COMPUTED_VALUE"""),"THEORY")</f>
        <v>THEORY</v>
      </c>
      <c r="G829" s="121">
        <f>IFERROR(__xludf.DUMMYFUNCTION("""COMPUTED_VALUE"""),3.0)</f>
        <v>3</v>
      </c>
      <c r="H829" s="121">
        <f>IFERROR(__xludf.DUMMYFUNCTION("""COMPUTED_VALUE"""),0.0)</f>
        <v>0</v>
      </c>
      <c r="I829" s="121">
        <f>IFERROR(__xludf.DUMMYFUNCTION("""COMPUTED_VALUE"""),0.0)</f>
        <v>0</v>
      </c>
      <c r="J829" s="121">
        <f>IFERROR(__xludf.DUMMYFUNCTION("""COMPUTED_VALUE"""),3.0)</f>
        <v>3</v>
      </c>
      <c r="K829" s="132" t="str">
        <f>IFERROR(__xludf.DUMMYFUNCTION("""COMPUTED_VALUE"""),"ME1957")</f>
        <v>ME1957</v>
      </c>
      <c r="L829" s="121" t="str">
        <f>IFERROR(__xludf.DUMMYFUNCTION("""COMPUTED_VALUE"""),"Dr.SUNDARRAJU G")</f>
        <v>Dr.SUNDARRAJU G</v>
      </c>
      <c r="M829" s="133" t="str">
        <f>IFERROR(__xludf.DUMMYFUNCTION("""COMPUTED_VALUE"""),"sundarrajug@bitsathy.ac.in")</f>
        <v>sundarrajug@bitsathy.ac.in</v>
      </c>
    </row>
    <row r="830" ht="49.5" customHeight="1">
      <c r="A830" s="121" t="str">
        <f>IFERROR(__xludf.DUMMYFUNCTION("""COMPUTED_VALUE"""),"MECH")</f>
        <v>MECH</v>
      </c>
      <c r="B830" s="121" t="str">
        <f>IFERROR(__xludf.DUMMYFUNCTION("""COMPUTED_VALUE"""),"S6")</f>
        <v>S6</v>
      </c>
      <c r="C830" s="121" t="str">
        <f>IFERROR(__xludf.DUMMYFUNCTION("""COMPUTED_VALUE"""),"ELECTIVE 4")</f>
        <v>ELECTIVE 4</v>
      </c>
      <c r="D830" s="121" t="str">
        <f>IFERROR(__xludf.DUMMYFUNCTION("""COMPUTED_VALUE"""),"22ME013")</f>
        <v>22ME013</v>
      </c>
      <c r="E830" s="131" t="str">
        <f>IFERROR(__xludf.DUMMYFUNCTION("""COMPUTED_VALUE"""),"PROCESS PLANNING AND COST ESTIMATION")</f>
        <v>PROCESS PLANNING AND COST ESTIMATION</v>
      </c>
      <c r="F830" s="121" t="str">
        <f>IFERROR(__xludf.DUMMYFUNCTION("""COMPUTED_VALUE"""),"THEORY")</f>
        <v>THEORY</v>
      </c>
      <c r="G830" s="121">
        <f>IFERROR(__xludf.DUMMYFUNCTION("""COMPUTED_VALUE"""),3.0)</f>
        <v>3</v>
      </c>
      <c r="H830" s="121">
        <f>IFERROR(__xludf.DUMMYFUNCTION("""COMPUTED_VALUE"""),0.0)</f>
        <v>0</v>
      </c>
      <c r="I830" s="121">
        <f>IFERROR(__xludf.DUMMYFUNCTION("""COMPUTED_VALUE"""),0.0)</f>
        <v>0</v>
      </c>
      <c r="J830" s="121">
        <f>IFERROR(__xludf.DUMMYFUNCTION("""COMPUTED_VALUE"""),3.0)</f>
        <v>3</v>
      </c>
      <c r="K830" s="132" t="str">
        <f>IFERROR(__xludf.DUMMYFUNCTION("""COMPUTED_VALUE"""),"ME10416")</f>
        <v>ME10416</v>
      </c>
      <c r="L830" s="121" t="str">
        <f>IFERROR(__xludf.DUMMYFUNCTION("""COMPUTED_VALUE"""),"Mr.KAMAL BASHA K")</f>
        <v>Mr.KAMAL BASHA K</v>
      </c>
      <c r="M830" s="133" t="str">
        <f>IFERROR(__xludf.DUMMYFUNCTION("""COMPUTED_VALUE"""),"kamalbasha@bitsathy.ac.in")</f>
        <v>kamalbasha@bitsathy.ac.in</v>
      </c>
    </row>
    <row r="831" ht="49.5" customHeight="1">
      <c r="A831" s="121" t="str">
        <f>IFERROR(__xludf.DUMMYFUNCTION("""COMPUTED_VALUE"""),"MECH")</f>
        <v>MECH</v>
      </c>
      <c r="B831" s="121" t="str">
        <f>IFERROR(__xludf.DUMMYFUNCTION("""COMPUTED_VALUE"""),"S6")</f>
        <v>S6</v>
      </c>
      <c r="C831" s="121" t="str">
        <f>IFERROR(__xludf.DUMMYFUNCTION("""COMPUTED_VALUE"""),"ELECTIVE 4")</f>
        <v>ELECTIVE 4</v>
      </c>
      <c r="D831" s="121" t="str">
        <f>IFERROR(__xludf.DUMMYFUNCTION("""COMPUTED_VALUE"""),"22ME058")</f>
        <v>22ME058</v>
      </c>
      <c r="E831" s="131" t="str">
        <f>IFERROR(__xludf.DUMMYFUNCTION("""COMPUTED_VALUE"""),"VEHICLE MAINTENANCE")</f>
        <v>VEHICLE MAINTENANCE</v>
      </c>
      <c r="F831" s="121" t="str">
        <f>IFERROR(__xludf.DUMMYFUNCTION("""COMPUTED_VALUE"""),"THEORY")</f>
        <v>THEORY</v>
      </c>
      <c r="G831" s="121">
        <f>IFERROR(__xludf.DUMMYFUNCTION("""COMPUTED_VALUE"""),3.0)</f>
        <v>3</v>
      </c>
      <c r="H831" s="121">
        <f>IFERROR(__xludf.DUMMYFUNCTION("""COMPUTED_VALUE"""),0.0)</f>
        <v>0</v>
      </c>
      <c r="I831" s="121">
        <f>IFERROR(__xludf.DUMMYFUNCTION("""COMPUTED_VALUE"""),0.0)</f>
        <v>0</v>
      </c>
      <c r="J831" s="121">
        <f>IFERROR(__xludf.DUMMYFUNCTION("""COMPUTED_VALUE"""),3.0)</f>
        <v>3</v>
      </c>
      <c r="K831" s="132" t="str">
        <f>IFERROR(__xludf.DUMMYFUNCTION("""COMPUTED_VALUE"""),"ME10174")</f>
        <v>ME10174</v>
      </c>
      <c r="L831" s="121" t="str">
        <f>IFERROR(__xludf.DUMMYFUNCTION("""COMPUTED_VALUE"""),"Dr.MADHESWARAN S")</f>
        <v>Dr.MADHESWARAN S</v>
      </c>
      <c r="M831" s="133" t="str">
        <f>IFERROR(__xludf.DUMMYFUNCTION("""COMPUTED_VALUE"""),"madheswaran@bitsathy.ac.in")</f>
        <v>madheswaran@bitsathy.ac.in</v>
      </c>
    </row>
    <row r="832" ht="49.5" customHeight="1">
      <c r="A832" s="121" t="str">
        <f>IFERROR(__xludf.DUMMYFUNCTION("""COMPUTED_VALUE"""),"MECH")</f>
        <v>MECH</v>
      </c>
      <c r="B832" s="121" t="str">
        <f>IFERROR(__xludf.DUMMYFUNCTION("""COMPUTED_VALUE"""),"S6")</f>
        <v>S6</v>
      </c>
      <c r="C832" s="121" t="str">
        <f>IFERROR(__xludf.DUMMYFUNCTION("""COMPUTED_VALUE"""),"ELECTIVE 5")</f>
        <v>ELECTIVE 5</v>
      </c>
      <c r="D832" s="121" t="str">
        <f>IFERROR(__xludf.DUMMYFUNCTION("""COMPUTED_VALUE"""),"22ME028")</f>
        <v>22ME028</v>
      </c>
      <c r="E832" s="131" t="str">
        <f>IFERROR(__xludf.DUMMYFUNCTION("""COMPUTED_VALUE"""),"REFRIGERATION AND AIR CONDITIONING")</f>
        <v>REFRIGERATION AND AIR CONDITIONING</v>
      </c>
      <c r="F832" s="121" t="str">
        <f>IFERROR(__xludf.DUMMYFUNCTION("""COMPUTED_VALUE"""),"THEORY")</f>
        <v>THEORY</v>
      </c>
      <c r="G832" s="121">
        <f>IFERROR(__xludf.DUMMYFUNCTION("""COMPUTED_VALUE"""),3.0)</f>
        <v>3</v>
      </c>
      <c r="H832" s="121">
        <f>IFERROR(__xludf.DUMMYFUNCTION("""COMPUTED_VALUE"""),0.0)</f>
        <v>0</v>
      </c>
      <c r="I832" s="121">
        <f>IFERROR(__xludf.DUMMYFUNCTION("""COMPUTED_VALUE"""),0.0)</f>
        <v>0</v>
      </c>
      <c r="J832" s="121">
        <f>IFERROR(__xludf.DUMMYFUNCTION("""COMPUTED_VALUE"""),3.0)</f>
        <v>3</v>
      </c>
      <c r="K832" s="132" t="str">
        <f>IFERROR(__xludf.DUMMYFUNCTION("""COMPUTED_VALUE"""),"ME10081")</f>
        <v>ME10081</v>
      </c>
      <c r="L832" s="121" t="str">
        <f>IFERROR(__xludf.DUMMYFUNCTION("""COMPUTED_VALUE"""),"Dr.KUMARESAN G")</f>
        <v>Dr.KUMARESAN G</v>
      </c>
      <c r="M832" s="133" t="str">
        <f>IFERROR(__xludf.DUMMYFUNCTION("""COMPUTED_VALUE"""),"kumaresan@bitsathy.ac.in")</f>
        <v>kumaresan@bitsathy.ac.in</v>
      </c>
    </row>
    <row r="833" ht="49.5" customHeight="1">
      <c r="A833" s="121" t="str">
        <f>IFERROR(__xludf.DUMMYFUNCTION("""COMPUTED_VALUE"""),"MECH")</f>
        <v>MECH</v>
      </c>
      <c r="B833" s="121" t="str">
        <f>IFERROR(__xludf.DUMMYFUNCTION("""COMPUTED_VALUE"""),"S6")</f>
        <v>S6</v>
      </c>
      <c r="C833" s="121" t="str">
        <f>IFERROR(__xludf.DUMMYFUNCTION("""COMPUTED_VALUE"""),"ELECTIVE 5")</f>
        <v>ELECTIVE 5</v>
      </c>
      <c r="D833" s="121" t="str">
        <f>IFERROR(__xludf.DUMMYFUNCTION("""COMPUTED_VALUE"""),"22ME021")</f>
        <v>22ME021</v>
      </c>
      <c r="E833" s="131" t="str">
        <f>IFERROR(__xludf.DUMMYFUNCTION("""COMPUTED_VALUE"""),"LEAN MANUFACTURING")</f>
        <v>LEAN MANUFACTURING</v>
      </c>
      <c r="F833" s="121" t="str">
        <f>IFERROR(__xludf.DUMMYFUNCTION("""COMPUTED_VALUE"""),"THEORY")</f>
        <v>THEORY</v>
      </c>
      <c r="G833" s="121">
        <f>IFERROR(__xludf.DUMMYFUNCTION("""COMPUTED_VALUE"""),3.0)</f>
        <v>3</v>
      </c>
      <c r="H833" s="121">
        <f>IFERROR(__xludf.DUMMYFUNCTION("""COMPUTED_VALUE"""),0.0)</f>
        <v>0</v>
      </c>
      <c r="I833" s="121">
        <f>IFERROR(__xludf.DUMMYFUNCTION("""COMPUTED_VALUE"""),0.0)</f>
        <v>0</v>
      </c>
      <c r="J833" s="121">
        <f>IFERROR(__xludf.DUMMYFUNCTION("""COMPUTED_VALUE"""),3.0)</f>
        <v>3</v>
      </c>
      <c r="K833" s="132" t="str">
        <f>IFERROR(__xludf.DUMMYFUNCTION("""COMPUTED_VALUE"""),"ME1543")</f>
        <v>ME1543</v>
      </c>
      <c r="L833" s="121" t="str">
        <f>IFERROR(__xludf.DUMMYFUNCTION("""COMPUTED_VALUE"""),"Dr.ANANDHA MOORTHY A")</f>
        <v>Dr.ANANDHA MOORTHY A</v>
      </c>
      <c r="M833" s="133" t="str">
        <f>IFERROR(__xludf.DUMMYFUNCTION("""COMPUTED_VALUE"""),"anandhamoorthya@bitsathy.ac.in")</f>
        <v>anandhamoorthya@bitsathy.ac.in</v>
      </c>
    </row>
    <row r="834" ht="49.5" customHeight="1">
      <c r="A834" s="121" t="str">
        <f>IFERROR(__xludf.DUMMYFUNCTION("""COMPUTED_VALUE"""),"MECH")</f>
        <v>MECH</v>
      </c>
      <c r="B834" s="121" t="str">
        <f>IFERROR(__xludf.DUMMYFUNCTION("""COMPUTED_VALUE"""),"S6")</f>
        <v>S6</v>
      </c>
      <c r="C834" s="121" t="str">
        <f>IFERROR(__xludf.DUMMYFUNCTION("""COMPUTED_VALUE"""),"ADD COURSE")</f>
        <v>ADD COURSE</v>
      </c>
      <c r="D834" s="121" t="str">
        <f>IFERROR(__xludf.DUMMYFUNCTION("""COMPUTED_VALUE"""),"22ME020")</f>
        <v>22ME020</v>
      </c>
      <c r="E834" s="131" t="str">
        <f>IFERROR(__xludf.DUMMYFUNCTION("""COMPUTED_VALUE"""),"TOTAL QUALITY MANAGEMENT")</f>
        <v>TOTAL QUALITY MANAGEMENT</v>
      </c>
      <c r="F834" s="121" t="str">
        <f>IFERROR(__xludf.DUMMYFUNCTION("""COMPUTED_VALUE"""),"THEORY")</f>
        <v>THEORY</v>
      </c>
      <c r="G834" s="121">
        <f>IFERROR(__xludf.DUMMYFUNCTION("""COMPUTED_VALUE"""),3.0)</f>
        <v>3</v>
      </c>
      <c r="H834" s="121">
        <f>IFERROR(__xludf.DUMMYFUNCTION("""COMPUTED_VALUE"""),0.0)</f>
        <v>0</v>
      </c>
      <c r="I834" s="121">
        <f>IFERROR(__xludf.DUMMYFUNCTION("""COMPUTED_VALUE"""),0.0)</f>
        <v>0</v>
      </c>
      <c r="J834" s="121">
        <f>IFERROR(__xludf.DUMMYFUNCTION("""COMPUTED_VALUE"""),3.0)</f>
        <v>3</v>
      </c>
      <c r="K834" s="132" t="str">
        <f>IFERROR(__xludf.DUMMYFUNCTION("""COMPUTED_VALUE"""),"SM11120")</f>
        <v>SM11120</v>
      </c>
      <c r="L834" s="121" t="str">
        <f>IFERROR(__xludf.DUMMYFUNCTION("""COMPUTED_VALUE"""),"Dr.VIDHYA S")</f>
        <v>Dr.VIDHYA S</v>
      </c>
      <c r="M834" s="133" t="str">
        <f>IFERROR(__xludf.DUMMYFUNCTION("""COMPUTED_VALUE"""),"vidhyas@bitsathy.ac.in")</f>
        <v>vidhyas@bitsathy.ac.in</v>
      </c>
    </row>
    <row r="835" ht="49.5" customHeight="1">
      <c r="A835" s="121" t="str">
        <f>IFERROR(__xludf.DUMMYFUNCTION("""COMPUTED_VALUE"""),"MECH")</f>
        <v>MECH</v>
      </c>
      <c r="B835" s="121" t="str">
        <f>IFERROR(__xludf.DUMMYFUNCTION("""COMPUTED_VALUE"""),"S6")</f>
        <v>S6</v>
      </c>
      <c r="C835" s="121" t="str">
        <f>IFERROR(__xludf.DUMMYFUNCTION("""COMPUTED_VALUE"""),"ADD COURSE")</f>
        <v>ADD COURSE</v>
      </c>
      <c r="D835" s="121" t="str">
        <f>IFERROR(__xludf.DUMMYFUNCTION("""COMPUTED_VALUE"""),"22ME027")</f>
        <v>22ME027</v>
      </c>
      <c r="E835" s="131" t="str">
        <f>IFERROR(__xludf.DUMMYFUNCTION("""COMPUTED_VALUE"""),"POWER PLANT ENGINEERING")</f>
        <v>POWER PLANT ENGINEERING</v>
      </c>
      <c r="F835" s="121" t="str">
        <f>IFERROR(__xludf.DUMMYFUNCTION("""COMPUTED_VALUE"""),"THEORY")</f>
        <v>THEORY</v>
      </c>
      <c r="G835" s="121">
        <f>IFERROR(__xludf.DUMMYFUNCTION("""COMPUTED_VALUE"""),3.0)</f>
        <v>3</v>
      </c>
      <c r="H835" s="121">
        <f>IFERROR(__xludf.DUMMYFUNCTION("""COMPUTED_VALUE"""),0.0)</f>
        <v>0</v>
      </c>
      <c r="I835" s="121">
        <f>IFERROR(__xludf.DUMMYFUNCTION("""COMPUTED_VALUE"""),0.0)</f>
        <v>0</v>
      </c>
      <c r="J835" s="121">
        <f>IFERROR(__xludf.DUMMYFUNCTION("""COMPUTED_VALUE"""),3.0)</f>
        <v>3</v>
      </c>
      <c r="K835" s="132" t="str">
        <f>IFERROR(__xludf.DUMMYFUNCTION("""COMPUTED_VALUE"""),"ME10714")</f>
        <v>ME10714</v>
      </c>
      <c r="L835" s="121" t="str">
        <f>IFERROR(__xludf.DUMMYFUNCTION("""COMPUTED_VALUE"""),"Mr.CHANDRASEKARAN M")</f>
        <v>Mr.CHANDRASEKARAN M</v>
      </c>
      <c r="M835" s="133" t="str">
        <f>IFERROR(__xludf.DUMMYFUNCTION("""COMPUTED_VALUE"""),"chandrasekaran@bitsathy.ac.in")</f>
        <v>chandrasekaran@bitsathy.ac.in</v>
      </c>
    </row>
    <row r="836" ht="49.5" customHeight="1">
      <c r="A836" s="121" t="str">
        <f>IFERROR(__xludf.DUMMYFUNCTION("""COMPUTED_VALUE"""),"MECH")</f>
        <v>MECH</v>
      </c>
      <c r="B836" s="121" t="str">
        <f>IFERROR(__xludf.DUMMYFUNCTION("""COMPUTED_VALUE"""),"S6")</f>
        <v>S6</v>
      </c>
      <c r="C836" s="121" t="str">
        <f>IFERROR(__xludf.DUMMYFUNCTION("""COMPUTED_VALUE"""),"OPEN ELECTIVE")</f>
        <v>OPEN ELECTIVE</v>
      </c>
      <c r="D836" s="121" t="str">
        <f>IFERROR(__xludf.DUMMYFUNCTION("""COMPUTED_VALUE"""),"22OME03")</f>
        <v>22OME03</v>
      </c>
      <c r="E836" s="131" t="str">
        <f>IFERROR(__xludf.DUMMYFUNCTION("""COMPUTED_VALUE"""),"MAINTENANCE ENGINEERING")</f>
        <v>MAINTENANCE ENGINEERING</v>
      </c>
      <c r="F836" s="121" t="str">
        <f>IFERROR(__xludf.DUMMYFUNCTION("""COMPUTED_VALUE"""),"THEORY")</f>
        <v>THEORY</v>
      </c>
      <c r="G836" s="121">
        <f>IFERROR(__xludf.DUMMYFUNCTION("""COMPUTED_VALUE"""),3.0)</f>
        <v>3</v>
      </c>
      <c r="H836" s="121">
        <f>IFERROR(__xludf.DUMMYFUNCTION("""COMPUTED_VALUE"""),0.0)</f>
        <v>0</v>
      </c>
      <c r="I836" s="121">
        <f>IFERROR(__xludf.DUMMYFUNCTION("""COMPUTED_VALUE"""),0.0)</f>
        <v>0</v>
      </c>
      <c r="J836" s="121">
        <f>IFERROR(__xludf.DUMMYFUNCTION("""COMPUTED_VALUE"""),3.0)</f>
        <v>3</v>
      </c>
      <c r="K836" s="132" t="str">
        <f>IFERROR(__xludf.DUMMYFUNCTION("""COMPUTED_VALUE"""),"ME1869")</f>
        <v>ME1869</v>
      </c>
      <c r="L836" s="121" t="str">
        <f>IFERROR(__xludf.DUMMYFUNCTION("""COMPUTED_VALUE"""),"Dr.VELMURUGAN S")</f>
        <v>Dr.VELMURUGAN S</v>
      </c>
      <c r="M836" s="133" t="str">
        <f>IFERROR(__xludf.DUMMYFUNCTION("""COMPUTED_VALUE"""),"velmurugans@bitsathy.ac.in")</f>
        <v>velmurugans@bitsathy.ac.in</v>
      </c>
    </row>
    <row r="837" ht="49.5" customHeight="1">
      <c r="A837" s="121" t="str">
        <f>IFERROR(__xludf.DUMMYFUNCTION("""COMPUTED_VALUE"""),"MECH")</f>
        <v>MECH</v>
      </c>
      <c r="B837" s="121" t="str">
        <f>IFERROR(__xludf.DUMMYFUNCTION("""COMPUTED_VALUE"""),"S6")</f>
        <v>S6</v>
      </c>
      <c r="C837" s="121" t="str">
        <f>IFERROR(__xludf.DUMMYFUNCTION("""COMPUTED_VALUE"""),"OPEN ELECTIVE")</f>
        <v>OPEN ELECTIVE</v>
      </c>
      <c r="D837" s="121" t="str">
        <f>IFERROR(__xludf.DUMMYFUNCTION("""COMPUTED_VALUE"""),"22OME04")</f>
        <v>22OME04</v>
      </c>
      <c r="E837" s="131" t="str">
        <f>IFERROR(__xludf.DUMMYFUNCTION("""COMPUTED_VALUE"""),"SAFETY ENGINEERING")</f>
        <v>SAFETY ENGINEERING</v>
      </c>
      <c r="F837" s="121" t="str">
        <f>IFERROR(__xludf.DUMMYFUNCTION("""COMPUTED_VALUE"""),"THEORY")</f>
        <v>THEORY</v>
      </c>
      <c r="G837" s="121">
        <f>IFERROR(__xludf.DUMMYFUNCTION("""COMPUTED_VALUE"""),3.0)</f>
        <v>3</v>
      </c>
      <c r="H837" s="121">
        <f>IFERROR(__xludf.DUMMYFUNCTION("""COMPUTED_VALUE"""),0.0)</f>
        <v>0</v>
      </c>
      <c r="I837" s="121">
        <f>IFERROR(__xludf.DUMMYFUNCTION("""COMPUTED_VALUE"""),0.0)</f>
        <v>0</v>
      </c>
      <c r="J837" s="121">
        <f>IFERROR(__xludf.DUMMYFUNCTION("""COMPUTED_VALUE"""),3.0)</f>
        <v>3</v>
      </c>
      <c r="K837" s="132" t="str">
        <f>IFERROR(__xludf.DUMMYFUNCTION("""COMPUTED_VALUE"""),"ME1880")</f>
        <v>ME1880</v>
      </c>
      <c r="L837" s="121" t="str">
        <f>IFERROR(__xludf.DUMMYFUNCTION("""COMPUTED_VALUE"""),"Dr.SURESHKUMAR M")</f>
        <v>Dr.SURESHKUMAR M</v>
      </c>
      <c r="M837" s="133" t="str">
        <f>IFERROR(__xludf.DUMMYFUNCTION("""COMPUTED_VALUE"""),"sureshkumarm@bitsathy.ac.in")</f>
        <v>sureshkumarm@bitsathy.ac.in</v>
      </c>
    </row>
    <row r="838" ht="49.5" customHeight="1">
      <c r="A838" s="121" t="str">
        <f>IFERROR(__xludf.DUMMYFUNCTION("""COMPUTED_VALUE"""),"MECH")</f>
        <v>MECH</v>
      </c>
      <c r="B838" s="121" t="str">
        <f>IFERROR(__xludf.DUMMYFUNCTION("""COMPUTED_VALUE"""),"S6")</f>
        <v>S6</v>
      </c>
      <c r="C838" s="121" t="str">
        <f>IFERROR(__xludf.DUMMYFUNCTION("""COMPUTED_VALUE"""),"OPEN ELECTIVE")</f>
        <v>OPEN ELECTIVE</v>
      </c>
      <c r="D838" s="121" t="str">
        <f>IFERROR(__xludf.DUMMYFUNCTION("""COMPUTED_VALUE"""),"22OME04")</f>
        <v>22OME04</v>
      </c>
      <c r="E838" s="131" t="str">
        <f>IFERROR(__xludf.DUMMYFUNCTION("""COMPUTED_VALUE"""),"SAFETY ENGINEERING")</f>
        <v>SAFETY ENGINEERING</v>
      </c>
      <c r="F838" s="121" t="str">
        <f>IFERROR(__xludf.DUMMYFUNCTION("""COMPUTED_VALUE"""),"THEORY")</f>
        <v>THEORY</v>
      </c>
      <c r="G838" s="121">
        <f>IFERROR(__xludf.DUMMYFUNCTION("""COMPUTED_VALUE"""),3.0)</f>
        <v>3</v>
      </c>
      <c r="H838" s="121">
        <f>IFERROR(__xludf.DUMMYFUNCTION("""COMPUTED_VALUE"""),0.0)</f>
        <v>0</v>
      </c>
      <c r="I838" s="121">
        <f>IFERROR(__xludf.DUMMYFUNCTION("""COMPUTED_VALUE"""),0.0)</f>
        <v>0</v>
      </c>
      <c r="J838" s="121">
        <f>IFERROR(__xludf.DUMMYFUNCTION("""COMPUTED_VALUE"""),3.0)</f>
        <v>3</v>
      </c>
      <c r="K838" s="132" t="str">
        <f>IFERROR(__xludf.DUMMYFUNCTION("""COMPUTED_VALUE"""),"ME10673")</f>
        <v>ME10673</v>
      </c>
      <c r="L838" s="121" t="str">
        <f>IFERROR(__xludf.DUMMYFUNCTION("""COMPUTED_VALUE"""),"Mr.BOOPATHIRAJA K P")</f>
        <v>Mr.BOOPATHIRAJA K P</v>
      </c>
      <c r="M838" s="133" t="str">
        <f>IFERROR(__xludf.DUMMYFUNCTION("""COMPUTED_VALUE"""),"boopathiraja@bitsathy.ac.in")</f>
        <v>boopathiraja@bitsathy.ac.in</v>
      </c>
    </row>
    <row r="839" ht="49.5" customHeight="1">
      <c r="A839" s="121" t="str">
        <f>IFERROR(__xludf.DUMMYFUNCTION("""COMPUTED_VALUE"""),"MECH")</f>
        <v>MECH</v>
      </c>
      <c r="B839" s="121" t="str">
        <f>IFERROR(__xludf.DUMMYFUNCTION("""COMPUTED_VALUE"""),"S6")</f>
        <v>S6</v>
      </c>
      <c r="C839" s="121" t="str">
        <f>IFERROR(__xludf.DUMMYFUNCTION("""COMPUTED_VALUE"""),"OPEN ELECTIVE")</f>
        <v>OPEN ELECTIVE</v>
      </c>
      <c r="D839" s="121" t="str">
        <f>IFERROR(__xludf.DUMMYFUNCTION("""COMPUTED_VALUE"""),"22OME04")</f>
        <v>22OME04</v>
      </c>
      <c r="E839" s="131" t="str">
        <f>IFERROR(__xludf.DUMMYFUNCTION("""COMPUTED_VALUE"""),"SAFETY ENGINEERING")</f>
        <v>SAFETY ENGINEERING</v>
      </c>
      <c r="F839" s="121" t="str">
        <f>IFERROR(__xludf.DUMMYFUNCTION("""COMPUTED_VALUE"""),"THEORY")</f>
        <v>THEORY</v>
      </c>
      <c r="G839" s="121">
        <f>IFERROR(__xludf.DUMMYFUNCTION("""COMPUTED_VALUE"""),3.0)</f>
        <v>3</v>
      </c>
      <c r="H839" s="121">
        <f>IFERROR(__xludf.DUMMYFUNCTION("""COMPUTED_VALUE"""),0.0)</f>
        <v>0</v>
      </c>
      <c r="I839" s="121">
        <f>IFERROR(__xludf.DUMMYFUNCTION("""COMPUTED_VALUE"""),0.0)</f>
        <v>0</v>
      </c>
      <c r="J839" s="121">
        <f>IFERROR(__xludf.DUMMYFUNCTION("""COMPUTED_VALUE"""),3.0)</f>
        <v>3</v>
      </c>
      <c r="K839" s="132" t="str">
        <f>IFERROR(__xludf.DUMMYFUNCTION("""COMPUTED_VALUE"""),"ME1975")</f>
        <v>ME1975</v>
      </c>
      <c r="L839" s="121" t="str">
        <f>IFERROR(__xludf.DUMMYFUNCTION("""COMPUTED_VALUE"""),"Dr.TAJDEEN A")</f>
        <v>Dr.TAJDEEN A</v>
      </c>
      <c r="M839" s="133" t="str">
        <f>IFERROR(__xludf.DUMMYFUNCTION("""COMPUTED_VALUE"""),"tajdeena@bitsathy.ac.in")</f>
        <v>tajdeena@bitsathy.ac.in</v>
      </c>
    </row>
    <row r="840" ht="49.5" customHeight="1">
      <c r="A840" s="121" t="str">
        <f>IFERROR(__xludf.DUMMYFUNCTION("""COMPUTED_VALUE"""),"MECH")</f>
        <v>MECH</v>
      </c>
      <c r="B840" s="121" t="str">
        <f>IFERROR(__xludf.DUMMYFUNCTION("""COMPUTED_VALUE"""),"S6")</f>
        <v>S6</v>
      </c>
      <c r="C840" s="121" t="str">
        <f>IFERROR(__xludf.DUMMYFUNCTION("""COMPUTED_VALUE"""),"HONOURS")</f>
        <v>HONOURS</v>
      </c>
      <c r="D840" s="121" t="str">
        <f>IFERROR(__xludf.DUMMYFUNCTION("""COMPUTED_VALUE"""),"22MEH38")</f>
        <v>22MEH38</v>
      </c>
      <c r="E840" s="131" t="str">
        <f>IFERROR(__xludf.DUMMYFUNCTION("""COMPUTED_VALUE"""),"ERGONOMICS")</f>
        <v>ERGONOMICS</v>
      </c>
      <c r="F840" s="121" t="str">
        <f>IFERROR(__xludf.DUMMYFUNCTION("""COMPUTED_VALUE"""),"THEORY")</f>
        <v>THEORY</v>
      </c>
      <c r="G840" s="121">
        <f>IFERROR(__xludf.DUMMYFUNCTION("""COMPUTED_VALUE"""),3.0)</f>
        <v>3</v>
      </c>
      <c r="H840" s="121">
        <f>IFERROR(__xludf.DUMMYFUNCTION("""COMPUTED_VALUE"""),0.0)</f>
        <v>0</v>
      </c>
      <c r="I840" s="121">
        <f>IFERROR(__xludf.DUMMYFUNCTION("""COMPUTED_VALUE"""),0.0)</f>
        <v>0</v>
      </c>
      <c r="J840" s="121">
        <f>IFERROR(__xludf.DUMMYFUNCTION("""COMPUTED_VALUE"""),3.0)</f>
        <v>3</v>
      </c>
      <c r="K840" s="132" t="str">
        <f>IFERROR(__xludf.DUMMYFUNCTION("""COMPUTED_VALUE"""),"ME1970")</f>
        <v>ME1970</v>
      </c>
      <c r="L840" s="121" t="str">
        <f>IFERROR(__xludf.DUMMYFUNCTION("""COMPUTED_VALUE"""),"Mr.RAMAKRISHNAN A")</f>
        <v>Mr.RAMAKRISHNAN A</v>
      </c>
      <c r="M840" s="133" t="str">
        <f>IFERROR(__xludf.DUMMYFUNCTION("""COMPUTED_VALUE"""),"ramakrishnana@bitsathy.ac.in")</f>
        <v>ramakrishnana@bitsathy.ac.in</v>
      </c>
    </row>
    <row r="841" ht="49.5" customHeight="1">
      <c r="A841" s="121" t="str">
        <f>IFERROR(__xludf.DUMMYFUNCTION("""COMPUTED_VALUE"""),"MECH")</f>
        <v>MECH</v>
      </c>
      <c r="B841" s="121" t="str">
        <f>IFERROR(__xludf.DUMMYFUNCTION("""COMPUTED_VALUE"""),"S6")</f>
        <v>S6</v>
      </c>
      <c r="C841" s="121" t="str">
        <f>IFERROR(__xludf.DUMMYFUNCTION("""COMPUTED_VALUE"""),"HONOURS")</f>
        <v>HONOURS</v>
      </c>
      <c r="D841" s="121" t="str">
        <f>IFERROR(__xludf.DUMMYFUNCTION("""COMPUTED_VALUE"""),"22MEH39")</f>
        <v>22MEH39</v>
      </c>
      <c r="E841" s="131" t="str">
        <f>IFERROR(__xludf.DUMMYFUNCTION("""COMPUTED_VALUE"""),"PRODUCT DATA AND LIFE CYCLE MANAGEMENT")</f>
        <v>PRODUCT DATA AND LIFE CYCLE MANAGEMENT</v>
      </c>
      <c r="F841" s="121" t="str">
        <f>IFERROR(__xludf.DUMMYFUNCTION("""COMPUTED_VALUE"""),"THEORY")</f>
        <v>THEORY</v>
      </c>
      <c r="G841" s="121">
        <f>IFERROR(__xludf.DUMMYFUNCTION("""COMPUTED_VALUE"""),3.0)</f>
        <v>3</v>
      </c>
      <c r="H841" s="121">
        <f>IFERROR(__xludf.DUMMYFUNCTION("""COMPUTED_VALUE"""),0.0)</f>
        <v>0</v>
      </c>
      <c r="I841" s="121">
        <f>IFERROR(__xludf.DUMMYFUNCTION("""COMPUTED_VALUE"""),0.0)</f>
        <v>0</v>
      </c>
      <c r="J841" s="121">
        <f>IFERROR(__xludf.DUMMYFUNCTION("""COMPUTED_VALUE"""),3.0)</f>
        <v>3</v>
      </c>
      <c r="K841" s="132" t="str">
        <f>IFERROR(__xludf.DUMMYFUNCTION("""COMPUTED_VALUE"""),"ME1880")</f>
        <v>ME1880</v>
      </c>
      <c r="L841" s="121" t="str">
        <f>IFERROR(__xludf.DUMMYFUNCTION("""COMPUTED_VALUE"""),"Dr.SURESHKUMAR M")</f>
        <v>Dr.SURESHKUMAR M</v>
      </c>
      <c r="M841" s="133" t="str">
        <f>IFERROR(__xludf.DUMMYFUNCTION("""COMPUTED_VALUE"""),"sureshkumarm@bitsathy.ac.in")</f>
        <v>sureshkumarm@bitsathy.ac.in</v>
      </c>
    </row>
    <row r="842" ht="49.5" customHeight="1">
      <c r="A842" s="121" t="str">
        <f>IFERROR(__xludf.DUMMYFUNCTION("""COMPUTED_VALUE"""),"MECH")</f>
        <v>MECH</v>
      </c>
      <c r="B842" s="121" t="str">
        <f>IFERROR(__xludf.DUMMYFUNCTION("""COMPUTED_VALUE"""),"S6")</f>
        <v>S6</v>
      </c>
      <c r="C842" s="121" t="str">
        <f>IFERROR(__xludf.DUMMYFUNCTION("""COMPUTED_VALUE"""),"CORE")</f>
        <v>CORE</v>
      </c>
      <c r="D842" s="121" t="str">
        <f>IFERROR(__xludf.DUMMYFUNCTION("""COMPUTED_VALUE"""),"22ME607")</f>
        <v>22ME607</v>
      </c>
      <c r="E842" s="131" t="str">
        <f>IFERROR(__xludf.DUMMYFUNCTION("""COMPUTED_VALUE"""),"MINI PROJECT II")</f>
        <v>MINI PROJECT II</v>
      </c>
      <c r="F842" s="121" t="str">
        <f>IFERROR(__xludf.DUMMYFUNCTION("""COMPUTED_VALUE"""),"LAB")</f>
        <v>LAB</v>
      </c>
      <c r="G842" s="121">
        <f>IFERROR(__xludf.DUMMYFUNCTION("""COMPUTED_VALUE"""),0.0)</f>
        <v>0</v>
      </c>
      <c r="H842" s="121">
        <f>IFERROR(__xludf.DUMMYFUNCTION("""COMPUTED_VALUE"""),0.0)</f>
        <v>0</v>
      </c>
      <c r="I842" s="121">
        <f>IFERROR(__xludf.DUMMYFUNCTION("""COMPUTED_VALUE"""),2.0)</f>
        <v>2</v>
      </c>
      <c r="J842" s="121">
        <f>IFERROR(__xludf.DUMMYFUNCTION("""COMPUTED_VALUE"""),1.0)</f>
        <v>1</v>
      </c>
      <c r="K842" s="132"/>
      <c r="L842" s="121"/>
      <c r="M842" s="133"/>
    </row>
    <row r="843" ht="49.5" customHeight="1">
      <c r="A843" s="121" t="str">
        <f>IFERROR(__xludf.DUMMYFUNCTION("""COMPUTED_VALUE"""),"MECH")</f>
        <v>MECH</v>
      </c>
      <c r="B843" s="121" t="str">
        <f>IFERROR(__xludf.DUMMYFUNCTION("""COMPUTED_VALUE"""),"S8")</f>
        <v>S8</v>
      </c>
      <c r="C843" s="121" t="str">
        <f>IFERROR(__xludf.DUMMYFUNCTION("""COMPUTED_VALUE"""),"CORE")</f>
        <v>CORE</v>
      </c>
      <c r="D843" s="121" t="str">
        <f>IFERROR(__xludf.DUMMYFUNCTION("""COMPUTED_VALUE"""),"22ME801")</f>
        <v>22ME801</v>
      </c>
      <c r="E843" s="131" t="str">
        <f>IFERROR(__xludf.DUMMYFUNCTION("""COMPUTED_VALUE"""),"PROJECT WORK II")</f>
        <v>PROJECT WORK II</v>
      </c>
      <c r="F843" s="121" t="str">
        <f>IFERROR(__xludf.DUMMYFUNCTION("""COMPUTED_VALUE"""),"LAB")</f>
        <v>LAB</v>
      </c>
      <c r="G843" s="121">
        <f>IFERROR(__xludf.DUMMYFUNCTION("""COMPUTED_VALUE"""),0.0)</f>
        <v>0</v>
      </c>
      <c r="H843" s="121">
        <f>IFERROR(__xludf.DUMMYFUNCTION("""COMPUTED_VALUE"""),0.0)</f>
        <v>0</v>
      </c>
      <c r="I843" s="121">
        <f>IFERROR(__xludf.DUMMYFUNCTION("""COMPUTED_VALUE"""),18.0)</f>
        <v>18</v>
      </c>
      <c r="J843" s="121">
        <f>IFERROR(__xludf.DUMMYFUNCTION("""COMPUTED_VALUE"""),9.0)</f>
        <v>9</v>
      </c>
      <c r="K843" s="132"/>
      <c r="L843" s="121"/>
      <c r="M843" s="133"/>
    </row>
    <row r="844" ht="49.5" customHeight="1">
      <c r="A844" s="139" t="str">
        <f>IFERROR(__xludf.DUMMYFUNCTION("""COMPUTED_VALUE"""),"MTRS")</f>
        <v>MTRS</v>
      </c>
      <c r="B844" s="139" t="str">
        <f>IFERROR(__xludf.DUMMYFUNCTION("""COMPUTED_VALUE"""),"S2")</f>
        <v>S2</v>
      </c>
      <c r="C844" s="139" t="str">
        <f>IFERROR(__xludf.DUMMYFUNCTION("""COMPUTED_VALUE"""),"CORE")</f>
        <v>CORE</v>
      </c>
      <c r="D844" s="139" t="str">
        <f>IFERROR(__xludf.DUMMYFUNCTION("""COMPUTED_VALUE"""),"22MA201")</f>
        <v>22MA201</v>
      </c>
      <c r="E844" s="140" t="str">
        <f>IFERROR(__xludf.DUMMYFUNCTION("""COMPUTED_VALUE"""),"ENGINEERING MATHEMATICS II")</f>
        <v>ENGINEERING MATHEMATICS II</v>
      </c>
      <c r="F844" s="139" t="str">
        <f>IFERROR(__xludf.DUMMYFUNCTION("""COMPUTED_VALUE"""),"THEORY")</f>
        <v>THEORY</v>
      </c>
      <c r="G844" s="139">
        <f>IFERROR(__xludf.DUMMYFUNCTION("""COMPUTED_VALUE"""),3.0)</f>
        <v>3</v>
      </c>
      <c r="H844" s="139">
        <f>IFERROR(__xludf.DUMMYFUNCTION("""COMPUTED_VALUE"""),1.0)</f>
        <v>1</v>
      </c>
      <c r="I844" s="139">
        <f>IFERROR(__xludf.DUMMYFUNCTION("""COMPUTED_VALUE"""),0.0)</f>
        <v>0</v>
      </c>
      <c r="J844" s="139">
        <f>IFERROR(__xludf.DUMMYFUNCTION("""COMPUTED_VALUE"""),4.0)</f>
        <v>4</v>
      </c>
      <c r="K844" s="141" t="str">
        <f>IFERROR(__xludf.DUMMYFUNCTION("""COMPUTED_VALUE"""),"MA11070")</f>
        <v>MA11070</v>
      </c>
      <c r="L844" s="139" t="str">
        <f>IFERROR(__xludf.DUMMYFUNCTION("""COMPUTED_VALUE"""),"Dr.MALATHI M")</f>
        <v>Dr.MALATHI M</v>
      </c>
      <c r="M844" s="142" t="str">
        <f>IFERROR(__xludf.DUMMYFUNCTION("""COMPUTED_VALUE"""),"malathim@bitsathy.ac.in")</f>
        <v>malathim@bitsathy.ac.in</v>
      </c>
    </row>
    <row r="845" ht="49.5" customHeight="1">
      <c r="A845" s="139" t="str">
        <f>IFERROR(__xludf.DUMMYFUNCTION("""COMPUTED_VALUE"""),"MTRS")</f>
        <v>MTRS</v>
      </c>
      <c r="B845" s="139" t="str">
        <f>IFERROR(__xludf.DUMMYFUNCTION("""COMPUTED_VALUE"""),"S2")</f>
        <v>S2</v>
      </c>
      <c r="C845" s="139" t="str">
        <f>IFERROR(__xludf.DUMMYFUNCTION("""COMPUTED_VALUE"""),"CORE")</f>
        <v>CORE</v>
      </c>
      <c r="D845" s="139" t="str">
        <f>IFERROR(__xludf.DUMMYFUNCTION("""COMPUTED_VALUE"""),"22PH202")</f>
        <v>22PH202</v>
      </c>
      <c r="E845" s="140" t="str">
        <f>IFERROR(__xludf.DUMMYFUNCTION("""COMPUTED_VALUE"""),"ELECTROMAGNETISM AND MODERN PHYSICS")</f>
        <v>ELECTROMAGNETISM AND MODERN PHYSICS</v>
      </c>
      <c r="F845" s="139" t="str">
        <f>IFERROR(__xludf.DUMMYFUNCTION("""COMPUTED_VALUE"""),"THEORY WITH LAB")</f>
        <v>THEORY WITH LAB</v>
      </c>
      <c r="G845" s="139">
        <f>IFERROR(__xludf.DUMMYFUNCTION("""COMPUTED_VALUE"""),2.0)</f>
        <v>2</v>
      </c>
      <c r="H845" s="139">
        <f>IFERROR(__xludf.DUMMYFUNCTION("""COMPUTED_VALUE"""),0.0)</f>
        <v>0</v>
      </c>
      <c r="I845" s="139">
        <f>IFERROR(__xludf.DUMMYFUNCTION("""COMPUTED_VALUE"""),2.0)</f>
        <v>2</v>
      </c>
      <c r="J845" s="139">
        <f>IFERROR(__xludf.DUMMYFUNCTION("""COMPUTED_VALUE"""),3.0)</f>
        <v>3</v>
      </c>
      <c r="K845" s="141" t="str">
        <f>IFERROR(__xludf.DUMMYFUNCTION("""COMPUTED_VALUE"""),"PH10457")</f>
        <v>PH10457</v>
      </c>
      <c r="L845" s="139" t="str">
        <f>IFERROR(__xludf.DUMMYFUNCTION("""COMPUTED_VALUE"""),"Dr.THIRUMOORTHY M")</f>
        <v>Dr.THIRUMOORTHY M</v>
      </c>
      <c r="M845" s="142" t="str">
        <f>IFERROR(__xludf.DUMMYFUNCTION("""COMPUTED_VALUE"""),"thirumoorthy@bitsathy.ac.in")</f>
        <v>thirumoorthy@bitsathy.ac.in</v>
      </c>
    </row>
    <row r="846" ht="49.5" customHeight="1">
      <c r="A846" s="139" t="str">
        <f>IFERROR(__xludf.DUMMYFUNCTION("""COMPUTED_VALUE"""),"MTRS")</f>
        <v>MTRS</v>
      </c>
      <c r="B846" s="139" t="str">
        <f>IFERROR(__xludf.DUMMYFUNCTION("""COMPUTED_VALUE"""),"S2")</f>
        <v>S2</v>
      </c>
      <c r="C846" s="139" t="str">
        <f>IFERROR(__xludf.DUMMYFUNCTION("""COMPUTED_VALUE"""),"CORE")</f>
        <v>CORE</v>
      </c>
      <c r="D846" s="139" t="str">
        <f>IFERROR(__xludf.DUMMYFUNCTION("""COMPUTED_VALUE"""),"22CH203")</f>
        <v>22CH203</v>
      </c>
      <c r="E846" s="140" t="str">
        <f>IFERROR(__xludf.DUMMYFUNCTION("""COMPUTED_VALUE"""),"ENGINEERING CHEMISTRY II")</f>
        <v>ENGINEERING CHEMISTRY II</v>
      </c>
      <c r="F846" s="139" t="str">
        <f>IFERROR(__xludf.DUMMYFUNCTION("""COMPUTED_VALUE"""),"THEORY WITH LAB")</f>
        <v>THEORY WITH LAB</v>
      </c>
      <c r="G846" s="139">
        <f>IFERROR(__xludf.DUMMYFUNCTION("""COMPUTED_VALUE"""),2.0)</f>
        <v>2</v>
      </c>
      <c r="H846" s="139">
        <f>IFERROR(__xludf.DUMMYFUNCTION("""COMPUTED_VALUE"""),0.0)</f>
        <v>0</v>
      </c>
      <c r="I846" s="139">
        <f>IFERROR(__xludf.DUMMYFUNCTION("""COMPUTED_VALUE"""),2.0)</f>
        <v>2</v>
      </c>
      <c r="J846" s="139">
        <f>IFERROR(__xludf.DUMMYFUNCTION("""COMPUTED_VALUE"""),3.0)</f>
        <v>3</v>
      </c>
      <c r="K846" s="141" t="str">
        <f>IFERROR(__xludf.DUMMYFUNCTION("""COMPUTED_VALUE"""),"CH10003")</f>
        <v>CH10003</v>
      </c>
      <c r="L846" s="139" t="str">
        <f>IFERROR(__xludf.DUMMYFUNCTION("""COMPUTED_VALUE"""),"Dr.SATHISH V")</f>
        <v>Dr.SATHISH V</v>
      </c>
      <c r="M846" s="142" t="str">
        <f>IFERROR(__xludf.DUMMYFUNCTION("""COMPUTED_VALUE"""),"sathishv@bitsathy.ac.in")</f>
        <v>sathishv@bitsathy.ac.in</v>
      </c>
    </row>
    <row r="847" ht="49.5" customHeight="1">
      <c r="A847" s="139" t="str">
        <f>IFERROR(__xludf.DUMMYFUNCTION("""COMPUTED_VALUE"""),"MTRS")</f>
        <v>MTRS</v>
      </c>
      <c r="B847" s="139" t="str">
        <f>IFERROR(__xludf.DUMMYFUNCTION("""COMPUTED_VALUE"""),"S2")</f>
        <v>S2</v>
      </c>
      <c r="C847" s="139" t="str">
        <f>IFERROR(__xludf.DUMMYFUNCTION("""COMPUTED_VALUE"""),"CORE")</f>
        <v>CORE</v>
      </c>
      <c r="D847" s="139" t="str">
        <f>IFERROR(__xludf.DUMMYFUNCTION("""COMPUTED_VALUE"""),"22GE002")</f>
        <v>22GE002</v>
      </c>
      <c r="E847" s="140" t="str">
        <f>IFERROR(__xludf.DUMMYFUNCTION("""COMPUTED_VALUE"""),"COMPUTATIONAL PROBLEM SOLVING")</f>
        <v>COMPUTATIONAL PROBLEM SOLVING</v>
      </c>
      <c r="F847" s="139" t="str">
        <f>IFERROR(__xludf.DUMMYFUNCTION("""COMPUTED_VALUE"""),"THEORY")</f>
        <v>THEORY</v>
      </c>
      <c r="G847" s="139">
        <f>IFERROR(__xludf.DUMMYFUNCTION("""COMPUTED_VALUE"""),3.0)</f>
        <v>3</v>
      </c>
      <c r="H847" s="139">
        <f>IFERROR(__xludf.DUMMYFUNCTION("""COMPUTED_VALUE"""),0.0)</f>
        <v>0</v>
      </c>
      <c r="I847" s="139">
        <f>IFERROR(__xludf.DUMMYFUNCTION("""COMPUTED_VALUE"""),0.0)</f>
        <v>0</v>
      </c>
      <c r="J847" s="139">
        <f>IFERROR(__xludf.DUMMYFUNCTION("""COMPUTED_VALUE"""),3.0)</f>
        <v>3</v>
      </c>
      <c r="K847" s="141" t="str">
        <f>IFERROR(__xludf.DUMMYFUNCTION("""COMPUTED_VALUE"""),"CS11119")</f>
        <v>CS11119</v>
      </c>
      <c r="L847" s="139" t="str">
        <f>IFERROR(__xludf.DUMMYFUNCTION("""COMPUTED_VALUE"""),"Ms.PARKAVI S")</f>
        <v>Ms.PARKAVI S</v>
      </c>
      <c r="M847" s="142" t="str">
        <f>IFERROR(__xludf.DUMMYFUNCTION("""COMPUTED_VALUE"""),"parkavi@bitsathy.ac.in")</f>
        <v>parkavi@bitsathy.ac.in</v>
      </c>
    </row>
    <row r="848" ht="49.5" customHeight="1">
      <c r="A848" s="139" t="str">
        <f>IFERROR(__xludf.DUMMYFUNCTION("""COMPUTED_VALUE"""),"MTRS")</f>
        <v>MTRS</v>
      </c>
      <c r="B848" s="139" t="str">
        <f>IFERROR(__xludf.DUMMYFUNCTION("""COMPUTED_VALUE"""),"S2")</f>
        <v>S2</v>
      </c>
      <c r="C848" s="139" t="str">
        <f>IFERROR(__xludf.DUMMYFUNCTION("""COMPUTED_VALUE"""),"CORE")</f>
        <v>CORE</v>
      </c>
      <c r="D848" s="139" t="str">
        <f>IFERROR(__xludf.DUMMYFUNCTION("""COMPUTED_VALUE"""),"22GE004")</f>
        <v>22GE004</v>
      </c>
      <c r="E848" s="140" t="str">
        <f>IFERROR(__xludf.DUMMYFUNCTION("""COMPUTED_VALUE"""),"BASICS OF ELECTRONICS ENGINEERING")</f>
        <v>BASICS OF ELECTRONICS ENGINEERING</v>
      </c>
      <c r="F848" s="139" t="str">
        <f>IFERROR(__xludf.DUMMYFUNCTION("""COMPUTED_VALUE"""),"THEORY WITH LAB")</f>
        <v>THEORY WITH LAB</v>
      </c>
      <c r="G848" s="139">
        <f>IFERROR(__xludf.DUMMYFUNCTION("""COMPUTED_VALUE"""),2.0)</f>
        <v>2</v>
      </c>
      <c r="H848" s="139">
        <f>IFERROR(__xludf.DUMMYFUNCTION("""COMPUTED_VALUE"""),0.0)</f>
        <v>0</v>
      </c>
      <c r="I848" s="139">
        <f>IFERROR(__xludf.DUMMYFUNCTION("""COMPUTED_VALUE"""),2.0)</f>
        <v>2</v>
      </c>
      <c r="J848" s="139">
        <f>IFERROR(__xludf.DUMMYFUNCTION("""COMPUTED_VALUE"""),3.0)</f>
        <v>3</v>
      </c>
      <c r="K848" s="141" t="str">
        <f>IFERROR(__xludf.DUMMYFUNCTION("""COMPUTED_VALUE"""),"EC11044")</f>
        <v>EC11044</v>
      </c>
      <c r="L848" s="139" t="str">
        <f>IFERROR(__xludf.DUMMYFUNCTION("""COMPUTED_VALUE"""),"Mr.HARISH KUMAAR P")</f>
        <v>Mr.HARISH KUMAAR P</v>
      </c>
      <c r="M848" s="142" t="str">
        <f>IFERROR(__xludf.DUMMYFUNCTION("""COMPUTED_VALUE"""),"harishkumaarp@bitsathy.ac.in")</f>
        <v>harishkumaarp@bitsathy.ac.in</v>
      </c>
    </row>
    <row r="849" ht="49.5" customHeight="1">
      <c r="A849" s="139" t="str">
        <f>IFERROR(__xludf.DUMMYFUNCTION("""COMPUTED_VALUE"""),"MTRS")</f>
        <v>MTRS</v>
      </c>
      <c r="B849" s="139" t="str">
        <f>IFERROR(__xludf.DUMMYFUNCTION("""COMPUTED_VALUE"""),"S2")</f>
        <v>S2</v>
      </c>
      <c r="C849" s="139" t="str">
        <f>IFERROR(__xludf.DUMMYFUNCTION("""COMPUTED_VALUE"""),"CORE")</f>
        <v>CORE</v>
      </c>
      <c r="D849" s="139" t="str">
        <f>IFERROR(__xludf.DUMMYFUNCTION("""COMPUTED_VALUE"""),"22HS002")</f>
        <v>22HS002</v>
      </c>
      <c r="E849" s="140" t="str">
        <f>IFERROR(__xludf.DUMMYFUNCTION("""COMPUTED_VALUE"""),"STARTUP MANAGEMENT")</f>
        <v>STARTUP MANAGEMENT</v>
      </c>
      <c r="F849" s="139" t="str">
        <f>IFERROR(__xludf.DUMMYFUNCTION("""COMPUTED_VALUE"""),"LAB")</f>
        <v>LAB</v>
      </c>
      <c r="G849" s="139">
        <f>IFERROR(__xludf.DUMMYFUNCTION("""COMPUTED_VALUE"""),1.0)</f>
        <v>1</v>
      </c>
      <c r="H849" s="139">
        <f>IFERROR(__xludf.DUMMYFUNCTION("""COMPUTED_VALUE"""),0.0)</f>
        <v>0</v>
      </c>
      <c r="I849" s="139">
        <f>IFERROR(__xludf.DUMMYFUNCTION("""COMPUTED_VALUE"""),2.0)</f>
        <v>2</v>
      </c>
      <c r="J849" s="139">
        <f>IFERROR(__xludf.DUMMYFUNCTION("""COMPUTED_VALUE"""),2.0)</f>
        <v>2</v>
      </c>
      <c r="K849" s="141" t="str">
        <f>IFERROR(__xludf.DUMMYFUNCTION("""COMPUTED_VALUE"""),"MC1878")</f>
        <v>MC1878</v>
      </c>
      <c r="L849" s="139" t="str">
        <f>IFERROR(__xludf.DUMMYFUNCTION("""COMPUTED_VALUE"""),"Dr.JEGADHEESWARAN S")</f>
        <v>Dr.JEGADHEESWARAN S</v>
      </c>
      <c r="M849" s="142" t="str">
        <f>IFERROR(__xludf.DUMMYFUNCTION("""COMPUTED_VALUE"""),"jegadheeswarans@bitsathy.ac.in")</f>
        <v>jegadheeswarans@bitsathy.ac.in</v>
      </c>
    </row>
    <row r="850" ht="49.5" customHeight="1">
      <c r="A850" s="139" t="str">
        <f>IFERROR(__xludf.DUMMYFUNCTION("""COMPUTED_VALUE"""),"MTRS")</f>
        <v>MTRS</v>
      </c>
      <c r="B850" s="139" t="str">
        <f>IFERROR(__xludf.DUMMYFUNCTION("""COMPUTED_VALUE"""),"S2")</f>
        <v>S2</v>
      </c>
      <c r="C850" s="139" t="str">
        <f>IFERROR(__xludf.DUMMYFUNCTION("""COMPUTED_VALUE"""),"CORE")</f>
        <v>CORE</v>
      </c>
      <c r="D850" s="139" t="str">
        <f>IFERROR(__xludf.DUMMYFUNCTION("""COMPUTED_VALUE"""),"22HS006")</f>
        <v>22HS006</v>
      </c>
      <c r="E850" s="140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850" s="139" t="str">
        <f>IFERROR(__xludf.DUMMYFUNCTION("""COMPUTED_VALUE"""),"LAB")</f>
        <v>LAB</v>
      </c>
      <c r="G850" s="139">
        <f>IFERROR(__xludf.DUMMYFUNCTION("""COMPUTED_VALUE"""),1.0)</f>
        <v>1</v>
      </c>
      <c r="H850" s="139">
        <f>IFERROR(__xludf.DUMMYFUNCTION("""COMPUTED_VALUE"""),0.0)</f>
        <v>0</v>
      </c>
      <c r="I850" s="139">
        <f>IFERROR(__xludf.DUMMYFUNCTION("""COMPUTED_VALUE"""),0.0)</f>
        <v>0</v>
      </c>
      <c r="J850" s="139">
        <f>IFERROR(__xludf.DUMMYFUNCTION("""COMPUTED_VALUE"""),1.0)</f>
        <v>1</v>
      </c>
      <c r="K850" s="141" t="str">
        <f>IFERROR(__xludf.DUMMYFUNCTION("""COMPUTED_VALUE"""),"HU11115")</f>
        <v>HU11115</v>
      </c>
      <c r="L850" s="139" t="str">
        <f>IFERROR(__xludf.DUMMYFUNCTION("""COMPUTED_VALUE"""),"Ms.KAMALI D")</f>
        <v>Ms.KAMALI D</v>
      </c>
      <c r="M850" s="142" t="str">
        <f>IFERROR(__xludf.DUMMYFUNCTION("""COMPUTED_VALUE"""),"kamali@bitsathy.ac.in")</f>
        <v>kamali@bitsathy.ac.in</v>
      </c>
    </row>
    <row r="851" ht="49.5" customHeight="1">
      <c r="A851" s="139" t="str">
        <f>IFERROR(__xludf.DUMMYFUNCTION("""COMPUTED_VALUE"""),"MTRS")</f>
        <v>MTRS</v>
      </c>
      <c r="B851" s="139" t="str">
        <f>IFERROR(__xludf.DUMMYFUNCTION("""COMPUTED_VALUE"""),"S2")</f>
        <v>S2</v>
      </c>
      <c r="C851" s="139" t="str">
        <f>IFERROR(__xludf.DUMMYFUNCTION("""COMPUTED_VALUE"""),"CORE")</f>
        <v>CORE</v>
      </c>
      <c r="D851" s="139" t="str">
        <f>IFERROR(__xludf.DUMMYFUNCTION("""COMPUTED_VALUE"""),"22HS009")</f>
        <v>22HS009</v>
      </c>
      <c r="E851" s="140" t="str">
        <f>IFERROR(__xludf.DUMMYFUNCTION("""COMPUTED_VALUE"""),"COCURRICULAR OR EXTRACURRICULAR ACTIVITY")</f>
        <v>COCURRICULAR OR EXTRACURRICULAR ACTIVITY</v>
      </c>
      <c r="F851" s="139"/>
      <c r="G851" s="139"/>
      <c r="H851" s="139"/>
      <c r="I851" s="139"/>
      <c r="J851" s="139"/>
      <c r="K851" s="141"/>
      <c r="L851" s="139"/>
      <c r="M851" s="142"/>
    </row>
    <row r="852" ht="49.5" customHeight="1">
      <c r="A852" s="139" t="str">
        <f>IFERROR(__xludf.DUMMYFUNCTION("""COMPUTED_VALUE"""),"MTRS")</f>
        <v>MTRS</v>
      </c>
      <c r="B852" s="139" t="str">
        <f>IFERROR(__xludf.DUMMYFUNCTION("""COMPUTED_VALUE"""),"S2")</f>
        <v>S2</v>
      </c>
      <c r="C852" s="139" t="str">
        <f>IFERROR(__xludf.DUMMYFUNCTION("""COMPUTED_VALUE"""),"LANGUAGE ELECTIVE")</f>
        <v>LANGUAGE ELECTIVE</v>
      </c>
      <c r="D852" s="139" t="str">
        <f>IFERROR(__xludf.DUMMYFUNCTION("""COMPUTED_VALUE"""),"22HS201")</f>
        <v>22HS201</v>
      </c>
      <c r="E852" s="140" t="str">
        <f>IFERROR(__xludf.DUMMYFUNCTION("""COMPUTED_VALUE""")," COMMUNICATIVE ENGLISH II")</f>
        <v> COMMUNICATIVE ENGLISH II</v>
      </c>
      <c r="F852" s="139" t="str">
        <f>IFERROR(__xludf.DUMMYFUNCTION("""COMPUTED_VALUE"""),"LAB")</f>
        <v>LAB</v>
      </c>
      <c r="G852" s="139">
        <f>IFERROR(__xludf.DUMMYFUNCTION("""COMPUTED_VALUE"""),1.0)</f>
        <v>1</v>
      </c>
      <c r="H852" s="139">
        <f>IFERROR(__xludf.DUMMYFUNCTION("""COMPUTED_VALUE"""),0.0)</f>
        <v>0</v>
      </c>
      <c r="I852" s="139">
        <f>IFERROR(__xludf.DUMMYFUNCTION("""COMPUTED_VALUE"""),2.0)</f>
        <v>2</v>
      </c>
      <c r="J852" s="139">
        <f>IFERROR(__xludf.DUMMYFUNCTION("""COMPUTED_VALUE"""),2.0)</f>
        <v>2</v>
      </c>
      <c r="K852" s="141" t="str">
        <f>IFERROR(__xludf.DUMMYFUNCTION("""COMPUTED_VALUE"""),"HU11159")</f>
        <v>HU11159</v>
      </c>
      <c r="L852" s="139" t="str">
        <f>IFERROR(__xludf.DUMMYFUNCTION("""COMPUTED_VALUE"""),"Dr.JAYA K")</f>
        <v>Dr.JAYA K</v>
      </c>
      <c r="M852" s="142" t="str">
        <f>IFERROR(__xludf.DUMMYFUNCTION("""COMPUTED_VALUE"""),"jayak@bitsathy.ac.in")</f>
        <v>jayak@bitsathy.ac.in</v>
      </c>
    </row>
    <row r="853" ht="49.5" customHeight="1">
      <c r="A853" s="139" t="str">
        <f>IFERROR(__xludf.DUMMYFUNCTION("""COMPUTED_VALUE"""),"MTRS")</f>
        <v>MTRS</v>
      </c>
      <c r="B853" s="139" t="str">
        <f>IFERROR(__xludf.DUMMYFUNCTION("""COMPUTED_VALUE"""),"S4")</f>
        <v>S4</v>
      </c>
      <c r="C853" s="139" t="str">
        <f>IFERROR(__xludf.DUMMYFUNCTION("""COMPUTED_VALUE"""),"CORE")</f>
        <v>CORE</v>
      </c>
      <c r="D853" s="139" t="str">
        <f>IFERROR(__xludf.DUMMYFUNCTION("""COMPUTED_VALUE"""),"22MC401")</f>
        <v>22MC401</v>
      </c>
      <c r="E853" s="140" t="str">
        <f>IFERROR(__xludf.DUMMYFUNCTION("""COMPUTED_VALUE"""),"PROBABILITY, STATISTICS AND
RANDOM PROCESS")</f>
        <v>PROBABILITY, STATISTICS AND
RANDOM PROCESS</v>
      </c>
      <c r="F853" s="139" t="str">
        <f>IFERROR(__xludf.DUMMYFUNCTION("""COMPUTED_VALUE"""),"THEORY")</f>
        <v>THEORY</v>
      </c>
      <c r="G853" s="139">
        <f>IFERROR(__xludf.DUMMYFUNCTION("""COMPUTED_VALUE"""),3.0)</f>
        <v>3</v>
      </c>
      <c r="H853" s="139">
        <f>IFERROR(__xludf.DUMMYFUNCTION("""COMPUTED_VALUE"""),1.0)</f>
        <v>1</v>
      </c>
      <c r="I853" s="139">
        <f>IFERROR(__xludf.DUMMYFUNCTION("""COMPUTED_VALUE"""),0.0)</f>
        <v>0</v>
      </c>
      <c r="J853" s="139">
        <f>IFERROR(__xludf.DUMMYFUNCTION("""COMPUTED_VALUE"""),4.0)</f>
        <v>4</v>
      </c>
      <c r="K853" s="141" t="str">
        <f>IFERROR(__xludf.DUMMYFUNCTION("""COMPUTED_VALUE"""),"MA1334")</f>
        <v>MA1334</v>
      </c>
      <c r="L853" s="139" t="str">
        <f>IFERROR(__xludf.DUMMYFUNCTION("""COMPUTED_VALUE"""),"Dr.PRABHAVATHI K")</f>
        <v>Dr.PRABHAVATHI K</v>
      </c>
      <c r="M853" s="142" t="str">
        <f>IFERROR(__xludf.DUMMYFUNCTION("""COMPUTED_VALUE"""),"prabhavathik@bitsathy.ac.in")</f>
        <v>prabhavathik@bitsathy.ac.in</v>
      </c>
    </row>
    <row r="854" ht="49.5" customHeight="1">
      <c r="A854" s="139" t="str">
        <f>IFERROR(__xludf.DUMMYFUNCTION("""COMPUTED_VALUE"""),"MTRS")</f>
        <v>MTRS</v>
      </c>
      <c r="B854" s="139" t="str">
        <f>IFERROR(__xludf.DUMMYFUNCTION("""COMPUTED_VALUE"""),"S4")</f>
        <v>S4</v>
      </c>
      <c r="C854" s="139" t="str">
        <f>IFERROR(__xludf.DUMMYFUNCTION("""COMPUTED_VALUE"""),"CORE")</f>
        <v>CORE</v>
      </c>
      <c r="D854" s="139" t="str">
        <f>IFERROR(__xludf.DUMMYFUNCTION("""COMPUTED_VALUE"""),"22MC402")</f>
        <v>22MC402</v>
      </c>
      <c r="E854" s="140" t="str">
        <f>IFERROR(__xludf.DUMMYFUNCTION("""COMPUTED_VALUE"""),"SENSORS AND TRANSDUCER")</f>
        <v>SENSORS AND TRANSDUCER</v>
      </c>
      <c r="F854" s="139" t="str">
        <f>IFERROR(__xludf.DUMMYFUNCTION("""COMPUTED_VALUE"""),"THEORY")</f>
        <v>THEORY</v>
      </c>
      <c r="G854" s="139">
        <f>IFERROR(__xludf.DUMMYFUNCTION("""COMPUTED_VALUE"""),3.0)</f>
        <v>3</v>
      </c>
      <c r="H854" s="139">
        <f>IFERROR(__xludf.DUMMYFUNCTION("""COMPUTED_VALUE"""),0.0)</f>
        <v>0</v>
      </c>
      <c r="I854" s="139">
        <f>IFERROR(__xludf.DUMMYFUNCTION("""COMPUTED_VALUE"""),2.0)</f>
        <v>2</v>
      </c>
      <c r="J854" s="139">
        <f>IFERROR(__xludf.DUMMYFUNCTION("""COMPUTED_VALUE"""),4.0)</f>
        <v>4</v>
      </c>
      <c r="K854" s="141" t="str">
        <f>IFERROR(__xludf.DUMMYFUNCTION("""COMPUTED_VALUE"""),"MC10597")</f>
        <v>MC10597</v>
      </c>
      <c r="L854" s="139" t="str">
        <f>IFERROR(__xludf.DUMMYFUNCTION("""COMPUTED_VALUE"""),"Dr.RAGHAVENDRA PRABHU S")</f>
        <v>Dr.RAGHAVENDRA PRABHU S</v>
      </c>
      <c r="M854" s="142" t="str">
        <f>IFERROR(__xludf.DUMMYFUNCTION("""COMPUTED_VALUE"""),"raghavendraprabhu@bitsathy.ac.in")</f>
        <v>raghavendraprabhu@bitsathy.ac.in</v>
      </c>
    </row>
    <row r="855" ht="49.5" customHeight="1">
      <c r="A855" s="139" t="str">
        <f>IFERROR(__xludf.DUMMYFUNCTION("""COMPUTED_VALUE"""),"MTRS")</f>
        <v>MTRS</v>
      </c>
      <c r="B855" s="139" t="str">
        <f>IFERROR(__xludf.DUMMYFUNCTION("""COMPUTED_VALUE"""),"S4")</f>
        <v>S4</v>
      </c>
      <c r="C855" s="139" t="str">
        <f>IFERROR(__xludf.DUMMYFUNCTION("""COMPUTED_VALUE"""),"CORE")</f>
        <v>CORE</v>
      </c>
      <c r="D855" s="139" t="str">
        <f>IFERROR(__xludf.DUMMYFUNCTION("""COMPUTED_VALUE"""),"22MC402")</f>
        <v>22MC402</v>
      </c>
      <c r="E855" s="140" t="str">
        <f>IFERROR(__xludf.DUMMYFUNCTION("""COMPUTED_VALUE"""),"SENSORS AND TRANSDUCER")</f>
        <v>SENSORS AND TRANSDUCER</v>
      </c>
      <c r="F855" s="139" t="str">
        <f>IFERROR(__xludf.DUMMYFUNCTION("""COMPUTED_VALUE"""),"LAB")</f>
        <v>LAB</v>
      </c>
      <c r="G855" s="139">
        <f>IFERROR(__xludf.DUMMYFUNCTION("""COMPUTED_VALUE"""),3.0)</f>
        <v>3</v>
      </c>
      <c r="H855" s="139">
        <f>IFERROR(__xludf.DUMMYFUNCTION("""COMPUTED_VALUE"""),0.0)</f>
        <v>0</v>
      </c>
      <c r="I855" s="139">
        <f>IFERROR(__xludf.DUMMYFUNCTION("""COMPUTED_VALUE"""),2.0)</f>
        <v>2</v>
      </c>
      <c r="J855" s="139">
        <f>IFERROR(__xludf.DUMMYFUNCTION("""COMPUTED_VALUE"""),4.0)</f>
        <v>4</v>
      </c>
      <c r="K855" s="141" t="str">
        <f>IFERROR(__xludf.DUMMYFUNCTION("""COMPUTED_VALUE"""),"MC10597")</f>
        <v>MC10597</v>
      </c>
      <c r="L855" s="139" t="str">
        <f>IFERROR(__xludf.DUMMYFUNCTION("""COMPUTED_VALUE"""),"Dr.RAGHAVENDRA PRABHU S")</f>
        <v>Dr.RAGHAVENDRA PRABHU S</v>
      </c>
      <c r="M855" s="142" t="str">
        <f>IFERROR(__xludf.DUMMYFUNCTION("""COMPUTED_VALUE"""),"raghavendraprabhu@bitsathy.ac.in")</f>
        <v>raghavendraprabhu@bitsathy.ac.in</v>
      </c>
    </row>
    <row r="856" ht="49.5" customHeight="1">
      <c r="A856" s="139" t="str">
        <f>IFERROR(__xludf.DUMMYFUNCTION("""COMPUTED_VALUE"""),"MTRS")</f>
        <v>MTRS</v>
      </c>
      <c r="B856" s="139" t="str">
        <f>IFERROR(__xludf.DUMMYFUNCTION("""COMPUTED_VALUE"""),"S4")</f>
        <v>S4</v>
      </c>
      <c r="C856" s="139" t="str">
        <f>IFERROR(__xludf.DUMMYFUNCTION("""COMPUTED_VALUE"""),"CORE")</f>
        <v>CORE</v>
      </c>
      <c r="D856" s="139" t="str">
        <f>IFERROR(__xludf.DUMMYFUNCTION("""COMPUTED_VALUE"""),"22MC403")</f>
        <v>22MC403</v>
      </c>
      <c r="E856" s="140" t="str">
        <f>IFERROR(__xludf.DUMMYFUNCTION("""COMPUTED_VALUE"""),"STRENGTH OF MATERIALS")</f>
        <v>STRENGTH OF MATERIALS</v>
      </c>
      <c r="F856" s="139" t="str">
        <f>IFERROR(__xludf.DUMMYFUNCTION("""COMPUTED_VALUE"""),"THEORY")</f>
        <v>THEORY</v>
      </c>
      <c r="G856" s="139">
        <f>IFERROR(__xludf.DUMMYFUNCTION("""COMPUTED_VALUE"""),2.0)</f>
        <v>2</v>
      </c>
      <c r="H856" s="139">
        <f>IFERROR(__xludf.DUMMYFUNCTION("""COMPUTED_VALUE"""),1.0)</f>
        <v>1</v>
      </c>
      <c r="I856" s="139">
        <f>IFERROR(__xludf.DUMMYFUNCTION("""COMPUTED_VALUE"""),2.0)</f>
        <v>2</v>
      </c>
      <c r="J856" s="139">
        <f>IFERROR(__xludf.DUMMYFUNCTION("""COMPUTED_VALUE"""),4.0)</f>
        <v>4</v>
      </c>
      <c r="K856" s="141" t="str">
        <f>IFERROR(__xludf.DUMMYFUNCTION("""COMPUTED_VALUE"""),"MC10697")</f>
        <v>MC10697</v>
      </c>
      <c r="L856" s="139" t="str">
        <f>IFERROR(__xludf.DUMMYFUNCTION("""COMPUTED_VALUE"""),"Dr.VADIVEL VIVEK V")</f>
        <v>Dr.VADIVEL VIVEK V</v>
      </c>
      <c r="M856" s="142" t="str">
        <f>IFERROR(__xludf.DUMMYFUNCTION("""COMPUTED_VALUE"""),"vadivelvivek@bitsathy.ac.in")</f>
        <v>vadivelvivek@bitsathy.ac.in</v>
      </c>
    </row>
    <row r="857" ht="49.5" customHeight="1">
      <c r="A857" s="139" t="str">
        <f>IFERROR(__xludf.DUMMYFUNCTION("""COMPUTED_VALUE"""),"MTRS")</f>
        <v>MTRS</v>
      </c>
      <c r="B857" s="139" t="str">
        <f>IFERROR(__xludf.DUMMYFUNCTION("""COMPUTED_VALUE"""),"S4")</f>
        <v>S4</v>
      </c>
      <c r="C857" s="139" t="str">
        <f>IFERROR(__xludf.DUMMYFUNCTION("""COMPUTED_VALUE"""),"CORE")</f>
        <v>CORE</v>
      </c>
      <c r="D857" s="139" t="str">
        <f>IFERROR(__xludf.DUMMYFUNCTION("""COMPUTED_VALUE"""),"22MC403")</f>
        <v>22MC403</v>
      </c>
      <c r="E857" s="140" t="str">
        <f>IFERROR(__xludf.DUMMYFUNCTION("""COMPUTED_VALUE"""),"STRENGTH OF MATERIALS")</f>
        <v>STRENGTH OF MATERIALS</v>
      </c>
      <c r="F857" s="139" t="str">
        <f>IFERROR(__xludf.DUMMYFUNCTION("""COMPUTED_VALUE"""),"LAB")</f>
        <v>LAB</v>
      </c>
      <c r="G857" s="139">
        <f>IFERROR(__xludf.DUMMYFUNCTION("""COMPUTED_VALUE"""),2.0)</f>
        <v>2</v>
      </c>
      <c r="H857" s="139">
        <f>IFERROR(__xludf.DUMMYFUNCTION("""COMPUTED_VALUE"""),1.0)</f>
        <v>1</v>
      </c>
      <c r="I857" s="139">
        <f>IFERROR(__xludf.DUMMYFUNCTION("""COMPUTED_VALUE"""),2.0)</f>
        <v>2</v>
      </c>
      <c r="J857" s="139">
        <f>IFERROR(__xludf.DUMMYFUNCTION("""COMPUTED_VALUE"""),4.0)</f>
        <v>4</v>
      </c>
      <c r="K857" s="141" t="str">
        <f>IFERROR(__xludf.DUMMYFUNCTION("""COMPUTED_VALUE"""),"ME10416")</f>
        <v>ME10416</v>
      </c>
      <c r="L857" s="139" t="str">
        <f>IFERROR(__xludf.DUMMYFUNCTION("""COMPUTED_VALUE"""),"Mr.KAMAL BASHA K")</f>
        <v>Mr.KAMAL BASHA K</v>
      </c>
      <c r="M857" s="142" t="str">
        <f>IFERROR(__xludf.DUMMYFUNCTION("""COMPUTED_VALUE"""),"kamalbasha@bitsathy.ac.in")</f>
        <v>kamalbasha@bitsathy.ac.in</v>
      </c>
    </row>
    <row r="858" ht="49.5" customHeight="1">
      <c r="A858" s="139" t="str">
        <f>IFERROR(__xludf.DUMMYFUNCTION("""COMPUTED_VALUE"""),"MTRS")</f>
        <v>MTRS</v>
      </c>
      <c r="B858" s="139" t="str">
        <f>IFERROR(__xludf.DUMMYFUNCTION("""COMPUTED_VALUE"""),"S4")</f>
        <v>S4</v>
      </c>
      <c r="C858" s="139" t="str">
        <f>IFERROR(__xludf.DUMMYFUNCTION("""COMPUTED_VALUE"""),"CORE")</f>
        <v>CORE</v>
      </c>
      <c r="D858" s="139" t="str">
        <f>IFERROR(__xludf.DUMMYFUNCTION("""COMPUTED_VALUE"""),"22MC404")</f>
        <v>22MC404</v>
      </c>
      <c r="E858" s="140" t="str">
        <f>IFERROR(__xludf.DUMMYFUNCTION("""COMPUTED_VALUE"""),"THEORY OF MACHINES")</f>
        <v>THEORY OF MACHINES</v>
      </c>
      <c r="F858" s="139" t="str">
        <f>IFERROR(__xludf.DUMMYFUNCTION("""COMPUTED_VALUE"""),"THEORY")</f>
        <v>THEORY</v>
      </c>
      <c r="G858" s="139">
        <f>IFERROR(__xludf.DUMMYFUNCTION("""COMPUTED_VALUE"""),3.0)</f>
        <v>3</v>
      </c>
      <c r="H858" s="139">
        <f>IFERROR(__xludf.DUMMYFUNCTION("""COMPUTED_VALUE"""),0.0)</f>
        <v>0</v>
      </c>
      <c r="I858" s="139">
        <f>IFERROR(__xludf.DUMMYFUNCTION("""COMPUTED_VALUE"""),2.0)</f>
        <v>2</v>
      </c>
      <c r="J858" s="139">
        <f>IFERROR(__xludf.DUMMYFUNCTION("""COMPUTED_VALUE"""),4.0)</f>
        <v>4</v>
      </c>
      <c r="K858" s="141" t="str">
        <f>IFERROR(__xludf.DUMMYFUNCTION("""COMPUTED_VALUE"""),"MC1843")</f>
        <v>MC1843</v>
      </c>
      <c r="L858" s="139" t="str">
        <f>IFERROR(__xludf.DUMMYFUNCTION("""COMPUTED_VALUE"""),"Dr.SENTHILKUMAR P")</f>
        <v>Dr.SENTHILKUMAR P</v>
      </c>
      <c r="M858" s="142" t="str">
        <f>IFERROR(__xludf.DUMMYFUNCTION("""COMPUTED_VALUE"""),"senthilkumarp@bitsathy.ac.in")</f>
        <v>senthilkumarp@bitsathy.ac.in</v>
      </c>
    </row>
    <row r="859" ht="49.5" customHeight="1">
      <c r="A859" s="139" t="str">
        <f>IFERROR(__xludf.DUMMYFUNCTION("""COMPUTED_VALUE"""),"MTRS")</f>
        <v>MTRS</v>
      </c>
      <c r="B859" s="139" t="str">
        <f>IFERROR(__xludf.DUMMYFUNCTION("""COMPUTED_VALUE"""),"S4")</f>
        <v>S4</v>
      </c>
      <c r="C859" s="139" t="str">
        <f>IFERROR(__xludf.DUMMYFUNCTION("""COMPUTED_VALUE"""),"CORE")</f>
        <v>CORE</v>
      </c>
      <c r="D859" s="139" t="str">
        <f>IFERROR(__xludf.DUMMYFUNCTION("""COMPUTED_VALUE"""),"22MC404")</f>
        <v>22MC404</v>
      </c>
      <c r="E859" s="140" t="str">
        <f>IFERROR(__xludf.DUMMYFUNCTION("""COMPUTED_VALUE"""),"THEORY OF MACHINES")</f>
        <v>THEORY OF MACHINES</v>
      </c>
      <c r="F859" s="139" t="str">
        <f>IFERROR(__xludf.DUMMYFUNCTION("""COMPUTED_VALUE"""),"LAB")</f>
        <v>LAB</v>
      </c>
      <c r="G859" s="139">
        <f>IFERROR(__xludf.DUMMYFUNCTION("""COMPUTED_VALUE"""),3.0)</f>
        <v>3</v>
      </c>
      <c r="H859" s="139">
        <f>IFERROR(__xludf.DUMMYFUNCTION("""COMPUTED_VALUE"""),0.0)</f>
        <v>0</v>
      </c>
      <c r="I859" s="139">
        <f>IFERROR(__xludf.DUMMYFUNCTION("""COMPUTED_VALUE"""),2.0)</f>
        <v>2</v>
      </c>
      <c r="J859" s="139">
        <f>IFERROR(__xludf.DUMMYFUNCTION("""COMPUTED_VALUE"""),4.0)</f>
        <v>4</v>
      </c>
      <c r="K859" s="141" t="str">
        <f>IFERROR(__xludf.DUMMYFUNCTION("""COMPUTED_VALUE"""),"ME1880")</f>
        <v>ME1880</v>
      </c>
      <c r="L859" s="139" t="str">
        <f>IFERROR(__xludf.DUMMYFUNCTION("""COMPUTED_VALUE"""),"Dr.SURESHKUMAR M")</f>
        <v>Dr.SURESHKUMAR M</v>
      </c>
      <c r="M859" s="142" t="str">
        <f>IFERROR(__xludf.DUMMYFUNCTION("""COMPUTED_VALUE"""),"sureshkumarm@bitsathy.ac.in")</f>
        <v>sureshkumarm@bitsathy.ac.in</v>
      </c>
    </row>
    <row r="860" ht="49.5" customHeight="1">
      <c r="A860" s="139" t="str">
        <f>IFERROR(__xludf.DUMMYFUNCTION("""COMPUTED_VALUE"""),"MTRS")</f>
        <v>MTRS</v>
      </c>
      <c r="B860" s="139" t="str">
        <f>IFERROR(__xludf.DUMMYFUNCTION("""COMPUTED_VALUE"""),"S4")</f>
        <v>S4</v>
      </c>
      <c r="C860" s="139" t="str">
        <f>IFERROR(__xludf.DUMMYFUNCTION("""COMPUTED_VALUE"""),"CORE")</f>
        <v>CORE</v>
      </c>
      <c r="D860" s="139" t="str">
        <f>IFERROR(__xludf.DUMMYFUNCTION("""COMPUTED_VALUE"""),"22MC405")</f>
        <v>22MC405</v>
      </c>
      <c r="E860" s="140" t="str">
        <f>IFERROR(__xludf.DUMMYFUNCTION("""COMPUTED_VALUE"""),"EMBEDDED SYSTEMS")</f>
        <v>EMBEDDED SYSTEMS</v>
      </c>
      <c r="F860" s="139" t="str">
        <f>IFERROR(__xludf.DUMMYFUNCTION("""COMPUTED_VALUE"""),"THEORY")</f>
        <v>THEORY</v>
      </c>
      <c r="G860" s="139">
        <f>IFERROR(__xludf.DUMMYFUNCTION("""COMPUTED_VALUE"""),3.0)</f>
        <v>3</v>
      </c>
      <c r="H860" s="139">
        <f>IFERROR(__xludf.DUMMYFUNCTION("""COMPUTED_VALUE"""),0.0)</f>
        <v>0</v>
      </c>
      <c r="I860" s="139">
        <f>IFERROR(__xludf.DUMMYFUNCTION("""COMPUTED_VALUE"""),2.0)</f>
        <v>2</v>
      </c>
      <c r="J860" s="139">
        <f>IFERROR(__xludf.DUMMYFUNCTION("""COMPUTED_VALUE"""),4.0)</f>
        <v>4</v>
      </c>
      <c r="K860" s="141" t="str">
        <f>IFERROR(__xludf.DUMMYFUNCTION("""COMPUTED_VALUE"""),"MC10369")</f>
        <v>MC10369</v>
      </c>
      <c r="L860" s="139" t="str">
        <f>IFERROR(__xludf.DUMMYFUNCTION("""COMPUTED_VALUE"""),"Dr.NIJANDHAN K")</f>
        <v>Dr.NIJANDHAN K</v>
      </c>
      <c r="M860" s="142" t="str">
        <f>IFERROR(__xludf.DUMMYFUNCTION("""COMPUTED_VALUE"""),"nijandhan@bitsathy.ac.in")</f>
        <v>nijandhan@bitsathy.ac.in</v>
      </c>
    </row>
    <row r="861" ht="49.5" customHeight="1">
      <c r="A861" s="139" t="str">
        <f>IFERROR(__xludf.DUMMYFUNCTION("""COMPUTED_VALUE"""),"MTRS")</f>
        <v>MTRS</v>
      </c>
      <c r="B861" s="139" t="str">
        <f>IFERROR(__xludf.DUMMYFUNCTION("""COMPUTED_VALUE"""),"S4")</f>
        <v>S4</v>
      </c>
      <c r="C861" s="139" t="str">
        <f>IFERROR(__xludf.DUMMYFUNCTION("""COMPUTED_VALUE"""),"CORE")</f>
        <v>CORE</v>
      </c>
      <c r="D861" s="139" t="str">
        <f>IFERROR(__xludf.DUMMYFUNCTION("""COMPUTED_VALUE"""),"22MC405")</f>
        <v>22MC405</v>
      </c>
      <c r="E861" s="140" t="str">
        <f>IFERROR(__xludf.DUMMYFUNCTION("""COMPUTED_VALUE"""),"EMBEDDED SYSTEMS")</f>
        <v>EMBEDDED SYSTEMS</v>
      </c>
      <c r="F861" s="139" t="str">
        <f>IFERROR(__xludf.DUMMYFUNCTION("""COMPUTED_VALUE"""),"LAB")</f>
        <v>LAB</v>
      </c>
      <c r="G861" s="139">
        <f>IFERROR(__xludf.DUMMYFUNCTION("""COMPUTED_VALUE"""),3.0)</f>
        <v>3</v>
      </c>
      <c r="H861" s="139">
        <f>IFERROR(__xludf.DUMMYFUNCTION("""COMPUTED_VALUE"""),0.0)</f>
        <v>0</v>
      </c>
      <c r="I861" s="139">
        <f>IFERROR(__xludf.DUMMYFUNCTION("""COMPUTED_VALUE"""),2.0)</f>
        <v>2</v>
      </c>
      <c r="J861" s="139">
        <f>IFERROR(__xludf.DUMMYFUNCTION("""COMPUTED_VALUE"""),4.0)</f>
        <v>4</v>
      </c>
      <c r="K861" s="141" t="str">
        <f>IFERROR(__xludf.DUMMYFUNCTION("""COMPUTED_VALUE"""),"MC10369")</f>
        <v>MC10369</v>
      </c>
      <c r="L861" s="139" t="str">
        <f>IFERROR(__xludf.DUMMYFUNCTION("""COMPUTED_VALUE"""),"Dr.NIJANDHAN K")</f>
        <v>Dr.NIJANDHAN K</v>
      </c>
      <c r="M861" s="142" t="str">
        <f>IFERROR(__xludf.DUMMYFUNCTION("""COMPUTED_VALUE"""),"nijandhan@bitsathy.ac.in")</f>
        <v>nijandhan@bitsathy.ac.in</v>
      </c>
    </row>
    <row r="862" ht="49.5" customHeight="1">
      <c r="A862" s="139" t="str">
        <f>IFERROR(__xludf.DUMMYFUNCTION("""COMPUTED_VALUE"""),"MTRS")</f>
        <v>MTRS</v>
      </c>
      <c r="B862" s="139" t="str">
        <f>IFERROR(__xludf.DUMMYFUNCTION("""COMPUTED_VALUE"""),"S4")</f>
        <v>S4</v>
      </c>
      <c r="C862" s="139" t="str">
        <f>IFERROR(__xludf.DUMMYFUNCTION("""COMPUTED_VALUE"""),"ELECTIVE 1")</f>
        <v>ELECTIVE 1</v>
      </c>
      <c r="D862" s="139" t="str">
        <f>IFERROR(__xludf.DUMMYFUNCTION("""COMPUTED_VALUE"""),"22MC013")</f>
        <v>22MC013</v>
      </c>
      <c r="E862" s="140" t="str">
        <f>IFERROR(__xludf.DUMMYFUNCTION("""COMPUTED_VALUE"""),"ELECTRIC AND HYBRID VEHICLES")</f>
        <v>ELECTRIC AND HYBRID VEHICLES</v>
      </c>
      <c r="F862" s="139" t="str">
        <f>IFERROR(__xludf.DUMMYFUNCTION("""COMPUTED_VALUE"""),"THEORY")</f>
        <v>THEORY</v>
      </c>
      <c r="G862" s="139">
        <f>IFERROR(__xludf.DUMMYFUNCTION("""COMPUTED_VALUE"""),3.0)</f>
        <v>3</v>
      </c>
      <c r="H862" s="139">
        <f>IFERROR(__xludf.DUMMYFUNCTION("""COMPUTED_VALUE"""),0.0)</f>
        <v>0</v>
      </c>
      <c r="I862" s="139">
        <f>IFERROR(__xludf.DUMMYFUNCTION("""COMPUTED_VALUE"""),0.0)</f>
        <v>0</v>
      </c>
      <c r="J862" s="139">
        <f>IFERROR(__xludf.DUMMYFUNCTION("""COMPUTED_VALUE"""),3.0)</f>
        <v>3</v>
      </c>
      <c r="K862" s="141" t="str">
        <f>IFERROR(__xludf.DUMMYFUNCTION("""COMPUTED_VALUE"""),"MC1878")</f>
        <v>MC1878</v>
      </c>
      <c r="L862" s="139" t="str">
        <f>IFERROR(__xludf.DUMMYFUNCTION("""COMPUTED_VALUE"""),"Dr.JEGADHEESWARAN S")</f>
        <v>Dr.JEGADHEESWARAN S</v>
      </c>
      <c r="M862" s="142" t="str">
        <f>IFERROR(__xludf.DUMMYFUNCTION("""COMPUTED_VALUE"""),"jegadheeswarans@bitsathy.ac.in")</f>
        <v>jegadheeswarans@bitsathy.ac.in</v>
      </c>
    </row>
    <row r="863" ht="49.5" customHeight="1">
      <c r="A863" s="139" t="str">
        <f>IFERROR(__xludf.DUMMYFUNCTION("""COMPUTED_VALUE"""),"MTRS")</f>
        <v>MTRS</v>
      </c>
      <c r="B863" s="139" t="str">
        <f>IFERROR(__xludf.DUMMYFUNCTION("""COMPUTED_VALUE"""),"S4")</f>
        <v>S4</v>
      </c>
      <c r="C863" s="139" t="str">
        <f>IFERROR(__xludf.DUMMYFUNCTION("""COMPUTED_VALUE"""),"CORE")</f>
        <v>CORE</v>
      </c>
      <c r="D863" s="139" t="str">
        <f>IFERROR(__xludf.DUMMYFUNCTION("""COMPUTED_VALUE"""),"22HS007")</f>
        <v>22HS007</v>
      </c>
      <c r="E863" s="140" t="str">
        <f>IFERROR(__xludf.DUMMYFUNCTION("""COMPUTED_VALUE"""),"ENVIRONMENTAL SCIENCE")</f>
        <v>ENVIRONMENTAL SCIENCE</v>
      </c>
      <c r="F863" s="139" t="str">
        <f>IFERROR(__xludf.DUMMYFUNCTION("""COMPUTED_VALUE"""),"LAB")</f>
        <v>LAB</v>
      </c>
      <c r="G863" s="139">
        <f>IFERROR(__xludf.DUMMYFUNCTION("""COMPUTED_VALUE"""),2.0)</f>
        <v>2</v>
      </c>
      <c r="H863" s="139">
        <f>IFERROR(__xludf.DUMMYFUNCTION("""COMPUTED_VALUE"""),0.0)</f>
        <v>0</v>
      </c>
      <c r="I863" s="139">
        <f>IFERROR(__xludf.DUMMYFUNCTION("""COMPUTED_VALUE"""),0.0)</f>
        <v>0</v>
      </c>
      <c r="J863" s="139">
        <f>IFERROR(__xludf.DUMMYFUNCTION("""COMPUTED_VALUE"""),2.0)</f>
        <v>2</v>
      </c>
      <c r="K863" s="141" t="str">
        <f>IFERROR(__xludf.DUMMYFUNCTION("""COMPUTED_VALUE"""),"CH10225")</f>
        <v>CH10225</v>
      </c>
      <c r="L863" s="139" t="str">
        <f>IFERROR(__xludf.DUMMYFUNCTION("""COMPUTED_VALUE"""),"Dr.MUTHUKUMAR P")</f>
        <v>Dr.MUTHUKUMAR P</v>
      </c>
      <c r="M863" s="142" t="str">
        <f>IFERROR(__xludf.DUMMYFUNCTION("""COMPUTED_VALUE"""),"muthukumar@bitsathy.ac.in")</f>
        <v>muthukumar@bitsathy.ac.in</v>
      </c>
    </row>
    <row r="864" ht="49.5" customHeight="1">
      <c r="A864" s="139" t="str">
        <f>IFERROR(__xludf.DUMMYFUNCTION("""COMPUTED_VALUE"""),"MTRS")</f>
        <v>MTRS</v>
      </c>
      <c r="B864" s="139" t="str">
        <f>IFERROR(__xludf.DUMMYFUNCTION("""COMPUTED_VALUE"""),"S4")</f>
        <v>S4</v>
      </c>
      <c r="C864" s="139" t="str">
        <f>IFERROR(__xludf.DUMMYFUNCTION("""COMPUTED_VALUE"""),"CORE")</f>
        <v>CORE</v>
      </c>
      <c r="D864" s="139" t="str">
        <f>IFERROR(__xludf.DUMMYFUNCTION("""COMPUTED_VALUE"""),"22HS008")</f>
        <v>22HS008</v>
      </c>
      <c r="E864" s="140" t="str">
        <f>IFERROR(__xludf.DUMMYFUNCTION("""COMPUTED_VALUE"""),"ADVANCED ENGLISH AND TECHNICAL EXPRESSION ")</f>
        <v>ADVANCED ENGLISH AND TECHNICAL EXPRESSION </v>
      </c>
      <c r="F864" s="139" t="str">
        <f>IFERROR(__xludf.DUMMYFUNCTION("""COMPUTED_VALUE"""),"LAB")</f>
        <v>LAB</v>
      </c>
      <c r="G864" s="139">
        <f>IFERROR(__xludf.DUMMYFUNCTION("""COMPUTED_VALUE"""),0.0)</f>
        <v>0</v>
      </c>
      <c r="H864" s="139">
        <f>IFERROR(__xludf.DUMMYFUNCTION("""COMPUTED_VALUE"""),0.0)</f>
        <v>0</v>
      </c>
      <c r="I864" s="139">
        <f>IFERROR(__xludf.DUMMYFUNCTION("""COMPUTED_VALUE"""),2.0)</f>
        <v>2</v>
      </c>
      <c r="J864" s="139">
        <f>IFERROR(__xludf.DUMMYFUNCTION("""COMPUTED_VALUE"""),1.0)</f>
        <v>1</v>
      </c>
      <c r="K864" s="141" t="str">
        <f>IFERROR(__xludf.DUMMYFUNCTION("""COMPUTED_VALUE"""),"HU11159")</f>
        <v>HU11159</v>
      </c>
      <c r="L864" s="139" t="str">
        <f>IFERROR(__xludf.DUMMYFUNCTION("""COMPUTED_VALUE"""),"Dr.JAYA K")</f>
        <v>Dr.JAYA K</v>
      </c>
      <c r="M864" s="142" t="str">
        <f>IFERROR(__xludf.DUMMYFUNCTION("""COMPUTED_VALUE"""),"jayak@bitsathy.ac.in")</f>
        <v>jayak@bitsathy.ac.in</v>
      </c>
    </row>
    <row r="865" ht="49.5" customHeight="1">
      <c r="A865" s="139" t="str">
        <f>IFERROR(__xludf.DUMMYFUNCTION("""COMPUTED_VALUE"""),"MTRS")</f>
        <v>MTRS</v>
      </c>
      <c r="B865" s="139" t="str">
        <f>IFERROR(__xludf.DUMMYFUNCTION("""COMPUTED_VALUE"""),"S6")</f>
        <v>S6</v>
      </c>
      <c r="C865" s="139" t="str">
        <f>IFERROR(__xludf.DUMMYFUNCTION("""COMPUTED_VALUE"""),"CORE")</f>
        <v>CORE</v>
      </c>
      <c r="D865" s="139" t="str">
        <f>IFERROR(__xludf.DUMMYFUNCTION("""COMPUTED_VALUE"""),"22MC601")</f>
        <v>22MC601</v>
      </c>
      <c r="E865" s="140" t="str">
        <f>IFERROR(__xludf.DUMMYFUNCTION("""COMPUTED_VALUE"""),"INDUSTRIAL AUTOMATION AND IOT")</f>
        <v>INDUSTRIAL AUTOMATION AND IOT</v>
      </c>
      <c r="F865" s="139" t="str">
        <f>IFERROR(__xludf.DUMMYFUNCTION("""COMPUTED_VALUE"""),"THEORY")</f>
        <v>THEORY</v>
      </c>
      <c r="G865" s="139">
        <f>IFERROR(__xludf.DUMMYFUNCTION("""COMPUTED_VALUE"""),3.0)</f>
        <v>3</v>
      </c>
      <c r="H865" s="139">
        <f>IFERROR(__xludf.DUMMYFUNCTION("""COMPUTED_VALUE"""),0.0)</f>
        <v>0</v>
      </c>
      <c r="I865" s="139">
        <f>IFERROR(__xludf.DUMMYFUNCTION("""COMPUTED_VALUE"""),2.0)</f>
        <v>2</v>
      </c>
      <c r="J865" s="139">
        <f>IFERROR(__xludf.DUMMYFUNCTION("""COMPUTED_VALUE"""),4.0)</f>
        <v>4</v>
      </c>
      <c r="K865" s="141" t="str">
        <f>IFERROR(__xludf.DUMMYFUNCTION("""COMPUTED_VALUE"""),"MC1627")</f>
        <v>MC1627</v>
      </c>
      <c r="L865" s="139" t="str">
        <f>IFERROR(__xludf.DUMMYFUNCTION("""COMPUTED_VALUE"""),"Dr.RAJIEV R")</f>
        <v>Dr.RAJIEV R</v>
      </c>
      <c r="M865" s="142" t="str">
        <f>IFERROR(__xludf.DUMMYFUNCTION("""COMPUTED_VALUE"""),"rajievr@bitsathy.ac.in")</f>
        <v>rajievr@bitsathy.ac.in</v>
      </c>
    </row>
    <row r="866" ht="49.5" customHeight="1">
      <c r="A866" s="139" t="str">
        <f>IFERROR(__xludf.DUMMYFUNCTION("""COMPUTED_VALUE"""),"MTRS")</f>
        <v>MTRS</v>
      </c>
      <c r="B866" s="139" t="str">
        <f>IFERROR(__xludf.DUMMYFUNCTION("""COMPUTED_VALUE"""),"S6")</f>
        <v>S6</v>
      </c>
      <c r="C866" s="139" t="str">
        <f>IFERROR(__xludf.DUMMYFUNCTION("""COMPUTED_VALUE"""),"CORE")</f>
        <v>CORE</v>
      </c>
      <c r="D866" s="139" t="str">
        <f>IFERROR(__xludf.DUMMYFUNCTION("""COMPUTED_VALUE"""),"22MC601")</f>
        <v>22MC601</v>
      </c>
      <c r="E866" s="140" t="str">
        <f>IFERROR(__xludf.DUMMYFUNCTION("""COMPUTED_VALUE"""),"INDUSTRIAL AUTOMATION AND IOT")</f>
        <v>INDUSTRIAL AUTOMATION AND IOT</v>
      </c>
      <c r="F866" s="139" t="str">
        <f>IFERROR(__xludf.DUMMYFUNCTION("""COMPUTED_VALUE"""),"LAB")</f>
        <v>LAB</v>
      </c>
      <c r="G866" s="139">
        <f>IFERROR(__xludf.DUMMYFUNCTION("""COMPUTED_VALUE"""),3.0)</f>
        <v>3</v>
      </c>
      <c r="H866" s="139">
        <f>IFERROR(__xludf.DUMMYFUNCTION("""COMPUTED_VALUE"""),0.0)</f>
        <v>0</v>
      </c>
      <c r="I866" s="139">
        <f>IFERROR(__xludf.DUMMYFUNCTION("""COMPUTED_VALUE"""),2.0)</f>
        <v>2</v>
      </c>
      <c r="J866" s="139">
        <f>IFERROR(__xludf.DUMMYFUNCTION("""COMPUTED_VALUE"""),4.0)</f>
        <v>4</v>
      </c>
      <c r="K866" s="141" t="str">
        <f>IFERROR(__xludf.DUMMYFUNCTION("""COMPUTED_VALUE"""),"MC1843")</f>
        <v>MC1843</v>
      </c>
      <c r="L866" s="139" t="str">
        <f>IFERROR(__xludf.DUMMYFUNCTION("""COMPUTED_VALUE"""),"Dr.SENTHILKUMAR P")</f>
        <v>Dr.SENTHILKUMAR P</v>
      </c>
      <c r="M866" s="142" t="str">
        <f>IFERROR(__xludf.DUMMYFUNCTION("""COMPUTED_VALUE"""),"senthilkumarp@bitsathy.ac.in")</f>
        <v>senthilkumarp@bitsathy.ac.in</v>
      </c>
    </row>
    <row r="867" ht="49.5" customHeight="1">
      <c r="A867" s="139" t="str">
        <f>IFERROR(__xludf.DUMMYFUNCTION("""COMPUTED_VALUE"""),"MTRS")</f>
        <v>MTRS</v>
      </c>
      <c r="B867" s="139" t="str">
        <f>IFERROR(__xludf.DUMMYFUNCTION("""COMPUTED_VALUE"""),"S6")</f>
        <v>S6</v>
      </c>
      <c r="C867" s="139" t="str">
        <f>IFERROR(__xludf.DUMMYFUNCTION("""COMPUTED_VALUE"""),"CORE")</f>
        <v>CORE</v>
      </c>
      <c r="D867" s="139" t="str">
        <f>IFERROR(__xludf.DUMMYFUNCTION("""COMPUTED_VALUE"""),"22MC602")</f>
        <v>22MC602</v>
      </c>
      <c r="E867" s="140" t="str">
        <f>IFERROR(__xludf.DUMMYFUNCTION("""COMPUTED_VALUE"""),"POWER ELECTRONICS AND DRIVES")</f>
        <v>POWER ELECTRONICS AND DRIVES</v>
      </c>
      <c r="F867" s="139" t="str">
        <f>IFERROR(__xludf.DUMMYFUNCTION("""COMPUTED_VALUE"""),"THEORY")</f>
        <v>THEORY</v>
      </c>
      <c r="G867" s="139">
        <f>IFERROR(__xludf.DUMMYFUNCTION("""COMPUTED_VALUE"""),3.0)</f>
        <v>3</v>
      </c>
      <c r="H867" s="139">
        <f>IFERROR(__xludf.DUMMYFUNCTION("""COMPUTED_VALUE"""),0.0)</f>
        <v>0</v>
      </c>
      <c r="I867" s="139">
        <f>IFERROR(__xludf.DUMMYFUNCTION("""COMPUTED_VALUE"""),2.0)</f>
        <v>2</v>
      </c>
      <c r="J867" s="139">
        <f>IFERROR(__xludf.DUMMYFUNCTION("""COMPUTED_VALUE"""),4.0)</f>
        <v>4</v>
      </c>
      <c r="K867" s="141" t="str">
        <f>IFERROR(__xludf.DUMMYFUNCTION("""COMPUTED_VALUE"""),"MC10149")</f>
        <v>MC10149</v>
      </c>
      <c r="L867" s="139" t="str">
        <f>IFERROR(__xludf.DUMMYFUNCTION("""COMPUTED_VALUE"""),"Dr.SIVABALAKRISHNAN R")</f>
        <v>Dr.SIVABALAKRISHNAN R</v>
      </c>
      <c r="M867" s="142" t="str">
        <f>IFERROR(__xludf.DUMMYFUNCTION("""COMPUTED_VALUE"""),"sivabalakrishnan@bitsathy.ac.in")</f>
        <v>sivabalakrishnan@bitsathy.ac.in</v>
      </c>
    </row>
    <row r="868" ht="49.5" customHeight="1">
      <c r="A868" s="139" t="str">
        <f>IFERROR(__xludf.DUMMYFUNCTION("""COMPUTED_VALUE"""),"MTRS")</f>
        <v>MTRS</v>
      </c>
      <c r="B868" s="139" t="str">
        <f>IFERROR(__xludf.DUMMYFUNCTION("""COMPUTED_VALUE"""),"S6")</f>
        <v>S6</v>
      </c>
      <c r="C868" s="139" t="str">
        <f>IFERROR(__xludf.DUMMYFUNCTION("""COMPUTED_VALUE"""),"CORE")</f>
        <v>CORE</v>
      </c>
      <c r="D868" s="139" t="str">
        <f>IFERROR(__xludf.DUMMYFUNCTION("""COMPUTED_VALUE"""),"22MC602")</f>
        <v>22MC602</v>
      </c>
      <c r="E868" s="140" t="str">
        <f>IFERROR(__xludf.DUMMYFUNCTION("""COMPUTED_VALUE"""),"POWER ELECTRONICS AND DRIVES")</f>
        <v>POWER ELECTRONICS AND DRIVES</v>
      </c>
      <c r="F868" s="139" t="str">
        <f>IFERROR(__xludf.DUMMYFUNCTION("""COMPUTED_VALUE"""),"LAB")</f>
        <v>LAB</v>
      </c>
      <c r="G868" s="139">
        <f>IFERROR(__xludf.DUMMYFUNCTION("""COMPUTED_VALUE"""),3.0)</f>
        <v>3</v>
      </c>
      <c r="H868" s="139">
        <f>IFERROR(__xludf.DUMMYFUNCTION("""COMPUTED_VALUE"""),0.0)</f>
        <v>0</v>
      </c>
      <c r="I868" s="139">
        <f>IFERROR(__xludf.DUMMYFUNCTION("""COMPUTED_VALUE"""),2.0)</f>
        <v>2</v>
      </c>
      <c r="J868" s="139">
        <f>IFERROR(__xludf.DUMMYFUNCTION("""COMPUTED_VALUE"""),4.0)</f>
        <v>4</v>
      </c>
      <c r="K868" s="141" t="str">
        <f>IFERROR(__xludf.DUMMYFUNCTION("""COMPUTED_VALUE"""),"MC10149")</f>
        <v>MC10149</v>
      </c>
      <c r="L868" s="139" t="str">
        <f>IFERROR(__xludf.DUMMYFUNCTION("""COMPUTED_VALUE"""),"Dr.SIVABALAKRISHNAN R")</f>
        <v>Dr.SIVABALAKRISHNAN R</v>
      </c>
      <c r="M868" s="142" t="str">
        <f>IFERROR(__xludf.DUMMYFUNCTION("""COMPUTED_VALUE"""),"sivabalakrishnan@bitsathy.ac.in")</f>
        <v>sivabalakrishnan@bitsathy.ac.in</v>
      </c>
    </row>
    <row r="869" ht="49.5" customHeight="1">
      <c r="A869" s="139" t="str">
        <f>IFERROR(__xludf.DUMMYFUNCTION("""COMPUTED_VALUE"""),"MTRS")</f>
        <v>MTRS</v>
      </c>
      <c r="B869" s="139" t="str">
        <f>IFERROR(__xludf.DUMMYFUNCTION("""COMPUTED_VALUE"""),"S6")</f>
        <v>S6</v>
      </c>
      <c r="C869" s="139" t="str">
        <f>IFERROR(__xludf.DUMMYFUNCTION("""COMPUTED_VALUE"""),"CORE")</f>
        <v>CORE</v>
      </c>
      <c r="D869" s="139" t="str">
        <f>IFERROR(__xludf.DUMMYFUNCTION("""COMPUTED_VALUE"""),"22MC603")</f>
        <v>22MC603</v>
      </c>
      <c r="E869" s="140" t="str">
        <f>IFERROR(__xludf.DUMMYFUNCTION("""COMPUTED_VALUE"""),"FLUID POWER SYSTEM")</f>
        <v>FLUID POWER SYSTEM</v>
      </c>
      <c r="F869" s="139" t="str">
        <f>IFERROR(__xludf.DUMMYFUNCTION("""COMPUTED_VALUE"""),"THEORY")</f>
        <v>THEORY</v>
      </c>
      <c r="G869" s="139">
        <f>IFERROR(__xludf.DUMMYFUNCTION("""COMPUTED_VALUE"""),2.0)</f>
        <v>2</v>
      </c>
      <c r="H869" s="139">
        <f>IFERROR(__xludf.DUMMYFUNCTION("""COMPUTED_VALUE"""),1.0)</f>
        <v>1</v>
      </c>
      <c r="I869" s="139">
        <f>IFERROR(__xludf.DUMMYFUNCTION("""COMPUTED_VALUE"""),2.0)</f>
        <v>2</v>
      </c>
      <c r="J869" s="139">
        <f>IFERROR(__xludf.DUMMYFUNCTION("""COMPUTED_VALUE"""),4.0)</f>
        <v>4</v>
      </c>
      <c r="K869" s="141" t="str">
        <f>IFERROR(__xludf.DUMMYFUNCTION("""COMPUTED_VALUE"""),"MC1071")</f>
        <v>MC1071</v>
      </c>
      <c r="L869" s="139" t="str">
        <f>IFERROR(__xludf.DUMMYFUNCTION("""COMPUTED_VALUE"""),"Dr.SENTHIL KUMAR K L")</f>
        <v>Dr.SENTHIL KUMAR K L</v>
      </c>
      <c r="M869" s="142" t="str">
        <f>IFERROR(__xludf.DUMMYFUNCTION("""COMPUTED_VALUE"""),"senthilkumarkl@bitsathy.ac.in")</f>
        <v>senthilkumarkl@bitsathy.ac.in</v>
      </c>
    </row>
    <row r="870" ht="49.5" customHeight="1">
      <c r="A870" s="139" t="str">
        <f>IFERROR(__xludf.DUMMYFUNCTION("""COMPUTED_VALUE"""),"MTRS")</f>
        <v>MTRS</v>
      </c>
      <c r="B870" s="139" t="str">
        <f>IFERROR(__xludf.DUMMYFUNCTION("""COMPUTED_VALUE"""),"S6")</f>
        <v>S6</v>
      </c>
      <c r="C870" s="139" t="str">
        <f>IFERROR(__xludf.DUMMYFUNCTION("""COMPUTED_VALUE"""),"CORE")</f>
        <v>CORE</v>
      </c>
      <c r="D870" s="139" t="str">
        <f>IFERROR(__xludf.DUMMYFUNCTION("""COMPUTED_VALUE"""),"22MC603")</f>
        <v>22MC603</v>
      </c>
      <c r="E870" s="140" t="str">
        <f>IFERROR(__xludf.DUMMYFUNCTION("""COMPUTED_VALUE"""),"FLUID POWER SYSTEM")</f>
        <v>FLUID POWER SYSTEM</v>
      </c>
      <c r="F870" s="139" t="str">
        <f>IFERROR(__xludf.DUMMYFUNCTION("""COMPUTED_VALUE"""),"LAB")</f>
        <v>LAB</v>
      </c>
      <c r="G870" s="139">
        <f>IFERROR(__xludf.DUMMYFUNCTION("""COMPUTED_VALUE"""),2.0)</f>
        <v>2</v>
      </c>
      <c r="H870" s="139">
        <f>IFERROR(__xludf.DUMMYFUNCTION("""COMPUTED_VALUE"""),1.0)</f>
        <v>1</v>
      </c>
      <c r="I870" s="139">
        <f>IFERROR(__xludf.DUMMYFUNCTION("""COMPUTED_VALUE"""),2.0)</f>
        <v>2</v>
      </c>
      <c r="J870" s="139">
        <f>IFERROR(__xludf.DUMMYFUNCTION("""COMPUTED_VALUE"""),4.0)</f>
        <v>4</v>
      </c>
      <c r="K870" s="141" t="str">
        <f>IFERROR(__xludf.DUMMYFUNCTION("""COMPUTED_VALUE"""),"MC10597")</f>
        <v>MC10597</v>
      </c>
      <c r="L870" s="139" t="str">
        <f>IFERROR(__xludf.DUMMYFUNCTION("""COMPUTED_VALUE"""),"Dr.RAGHAVENDRA PRABHU S")</f>
        <v>Dr.RAGHAVENDRA PRABHU S</v>
      </c>
      <c r="M870" s="142" t="str">
        <f>IFERROR(__xludf.DUMMYFUNCTION("""COMPUTED_VALUE"""),"raghavendraprabhu@bitsathy.ac.in")</f>
        <v>raghavendraprabhu@bitsathy.ac.in</v>
      </c>
    </row>
    <row r="871" ht="49.5" customHeight="1">
      <c r="A871" s="139" t="str">
        <f>IFERROR(__xludf.DUMMYFUNCTION("""COMPUTED_VALUE"""),"MTRS")</f>
        <v>MTRS</v>
      </c>
      <c r="B871" s="139" t="str">
        <f>IFERROR(__xludf.DUMMYFUNCTION("""COMPUTED_VALUE"""),"S6")</f>
        <v>S6</v>
      </c>
      <c r="C871" s="139" t="str">
        <f>IFERROR(__xludf.DUMMYFUNCTION("""COMPUTED_VALUE"""),"ELECTIVE 3")</f>
        <v>ELECTIVE 3</v>
      </c>
      <c r="D871" s="139" t="str">
        <f>IFERROR(__xludf.DUMMYFUNCTION("""COMPUTED_VALUE"""),"22MC007")</f>
        <v>22MC007</v>
      </c>
      <c r="E871" s="140" t="str">
        <f>IFERROR(__xludf.DUMMYFUNCTION("""COMPUTED_VALUE"""),"CNC TECHNOLOGY")</f>
        <v>CNC TECHNOLOGY</v>
      </c>
      <c r="F871" s="139" t="str">
        <f>IFERROR(__xludf.DUMMYFUNCTION("""COMPUTED_VALUE"""),"THEORY")</f>
        <v>THEORY</v>
      </c>
      <c r="G871" s="139">
        <f>IFERROR(__xludf.DUMMYFUNCTION("""COMPUTED_VALUE"""),3.0)</f>
        <v>3</v>
      </c>
      <c r="H871" s="139">
        <f>IFERROR(__xludf.DUMMYFUNCTION("""COMPUTED_VALUE"""),0.0)</f>
        <v>0</v>
      </c>
      <c r="I871" s="139">
        <f>IFERROR(__xludf.DUMMYFUNCTION("""COMPUTED_VALUE"""),0.0)</f>
        <v>0</v>
      </c>
      <c r="J871" s="139">
        <f>IFERROR(__xludf.DUMMYFUNCTION("""COMPUTED_VALUE"""),3.0)</f>
        <v>3</v>
      </c>
      <c r="K871" s="141" t="str">
        <f>IFERROR(__xludf.DUMMYFUNCTION("""COMPUTED_VALUE"""),"MC10664")</f>
        <v>MC10664</v>
      </c>
      <c r="L871" s="139" t="str">
        <f>IFERROR(__xludf.DUMMYFUNCTION("""COMPUTED_VALUE"""),"Dr.SIDDHARTHAN B")</f>
        <v>Dr.SIDDHARTHAN B</v>
      </c>
      <c r="M871" s="142" t="str">
        <f>IFERROR(__xludf.DUMMYFUNCTION("""COMPUTED_VALUE"""),"siddharthan@bitsathy.ac.in")</f>
        <v>siddharthan@bitsathy.ac.in</v>
      </c>
    </row>
    <row r="872" ht="49.5" customHeight="1">
      <c r="A872" s="139" t="str">
        <f>IFERROR(__xludf.DUMMYFUNCTION("""COMPUTED_VALUE"""),"MTRS")</f>
        <v>MTRS</v>
      </c>
      <c r="B872" s="139" t="str">
        <f>IFERROR(__xludf.DUMMYFUNCTION("""COMPUTED_VALUE"""),"S6")</f>
        <v>S6</v>
      </c>
      <c r="C872" s="139" t="str">
        <f>IFERROR(__xludf.DUMMYFUNCTION("""COMPUTED_VALUE"""),"ELECTIVE 4")</f>
        <v>ELECTIVE 4</v>
      </c>
      <c r="D872" s="139" t="str">
        <f>IFERROR(__xludf.DUMMYFUNCTION("""COMPUTED_VALUE"""),"22MC026")</f>
        <v>22MC026</v>
      </c>
      <c r="E872" s="140" t="str">
        <f>IFERROR(__xludf.DUMMYFUNCTION("""COMPUTED_VALUE"""),"VIRTUAL INSTRUMENTATION")</f>
        <v>VIRTUAL INSTRUMENTATION</v>
      </c>
      <c r="F872" s="139" t="str">
        <f>IFERROR(__xludf.DUMMYFUNCTION("""COMPUTED_VALUE"""),"THEORY")</f>
        <v>THEORY</v>
      </c>
      <c r="G872" s="139">
        <f>IFERROR(__xludf.DUMMYFUNCTION("""COMPUTED_VALUE"""),3.0)</f>
        <v>3</v>
      </c>
      <c r="H872" s="139">
        <f>IFERROR(__xludf.DUMMYFUNCTION("""COMPUTED_VALUE"""),0.0)</f>
        <v>0</v>
      </c>
      <c r="I872" s="139">
        <f>IFERROR(__xludf.DUMMYFUNCTION("""COMPUTED_VALUE"""),0.0)</f>
        <v>0</v>
      </c>
      <c r="J872" s="139">
        <f>IFERROR(__xludf.DUMMYFUNCTION("""COMPUTED_VALUE"""),3.0)</f>
        <v>3</v>
      </c>
      <c r="K872" s="141" t="str">
        <f>IFERROR(__xludf.DUMMYFUNCTION("""COMPUTED_VALUE"""),"MC10597")</f>
        <v>MC10597</v>
      </c>
      <c r="L872" s="139" t="str">
        <f>IFERROR(__xludf.DUMMYFUNCTION("""COMPUTED_VALUE"""),"Dr.RAGHAVENDRA PRABHU S")</f>
        <v>Dr.RAGHAVENDRA PRABHU S</v>
      </c>
      <c r="M872" s="142" t="str">
        <f>IFERROR(__xludf.DUMMYFUNCTION("""COMPUTED_VALUE"""),"raghavendraprabhu@bitsathy.ac.in")</f>
        <v>raghavendraprabhu@bitsathy.ac.in</v>
      </c>
    </row>
    <row r="873" ht="49.5" customHeight="1">
      <c r="A873" s="139" t="str">
        <f>IFERROR(__xludf.DUMMYFUNCTION("""COMPUTED_VALUE"""),"MTRS")</f>
        <v>MTRS</v>
      </c>
      <c r="B873" s="139" t="str">
        <f>IFERROR(__xludf.DUMMYFUNCTION("""COMPUTED_VALUE"""),"S6")</f>
        <v>S6</v>
      </c>
      <c r="C873" s="139" t="str">
        <f>IFERROR(__xludf.DUMMYFUNCTION("""COMPUTED_VALUE"""),"ELECTIVE 5")</f>
        <v>ELECTIVE 5</v>
      </c>
      <c r="D873" s="139" t="str">
        <f>IFERROR(__xludf.DUMMYFUNCTION("""COMPUTED_VALUE"""),"22MC011")</f>
        <v>22MC011</v>
      </c>
      <c r="E873" s="140" t="str">
        <f>IFERROR(__xludf.DUMMYFUNCTION("""COMPUTED_VALUE"""),"DESIGN FOR MANUFACTURING AND ASSEMBLY")</f>
        <v>DESIGN FOR MANUFACTURING AND ASSEMBLY</v>
      </c>
      <c r="F873" s="139" t="str">
        <f>IFERROR(__xludf.DUMMYFUNCTION("""COMPUTED_VALUE"""),"THEORY")</f>
        <v>THEORY</v>
      </c>
      <c r="G873" s="139">
        <f>IFERROR(__xludf.DUMMYFUNCTION("""COMPUTED_VALUE"""),3.0)</f>
        <v>3</v>
      </c>
      <c r="H873" s="139">
        <f>IFERROR(__xludf.DUMMYFUNCTION("""COMPUTED_VALUE"""),0.0)</f>
        <v>0</v>
      </c>
      <c r="I873" s="139">
        <f>IFERROR(__xludf.DUMMYFUNCTION("""COMPUTED_VALUE"""),0.0)</f>
        <v>0</v>
      </c>
      <c r="J873" s="139">
        <f>IFERROR(__xludf.DUMMYFUNCTION("""COMPUTED_VALUE"""),3.0)</f>
        <v>3</v>
      </c>
      <c r="K873" s="141" t="str">
        <f>IFERROR(__xludf.DUMMYFUNCTION("""COMPUTED_VALUE"""),"MC10299")</f>
        <v>MC10299</v>
      </c>
      <c r="L873" s="139" t="str">
        <f>IFERROR(__xludf.DUMMYFUNCTION("""COMPUTED_VALUE"""),"Mr.VIGNESH S")</f>
        <v>Mr.VIGNESH S</v>
      </c>
      <c r="M873" s="142" t="str">
        <f>IFERROR(__xludf.DUMMYFUNCTION("""COMPUTED_VALUE"""),"vignesh@bitsathy.ac.in")</f>
        <v>vignesh@bitsathy.ac.in</v>
      </c>
    </row>
    <row r="874" ht="49.5" customHeight="1">
      <c r="A874" s="139" t="str">
        <f>IFERROR(__xludf.DUMMYFUNCTION("""COMPUTED_VALUE"""),"MTRS")</f>
        <v>MTRS</v>
      </c>
      <c r="B874" s="139" t="str">
        <f>IFERROR(__xludf.DUMMYFUNCTION("""COMPUTED_VALUE"""),"S6")</f>
        <v>S6</v>
      </c>
      <c r="C874" s="139" t="str">
        <f>IFERROR(__xludf.DUMMYFUNCTION("""COMPUTED_VALUE"""),"ADD COURSE")</f>
        <v>ADD COURSE</v>
      </c>
      <c r="D874" s="139" t="str">
        <f>IFERROR(__xludf.DUMMYFUNCTION("""COMPUTED_VALUE"""),"22MC027")</f>
        <v>22MC027</v>
      </c>
      <c r="E874" s="140" t="str">
        <f>IFERROR(__xludf.DUMMYFUNCTION("""COMPUTED_VALUE"""),"INDUSTRIAL DRIVES AND CONTROL")</f>
        <v>INDUSTRIAL DRIVES AND CONTROL</v>
      </c>
      <c r="F874" s="139" t="str">
        <f>IFERROR(__xludf.DUMMYFUNCTION("""COMPUTED_VALUE"""),"THEORY")</f>
        <v>THEORY</v>
      </c>
      <c r="G874" s="139">
        <f>IFERROR(__xludf.DUMMYFUNCTION("""COMPUTED_VALUE"""),3.0)</f>
        <v>3</v>
      </c>
      <c r="H874" s="139">
        <f>IFERROR(__xludf.DUMMYFUNCTION("""COMPUTED_VALUE"""),0.0)</f>
        <v>0</v>
      </c>
      <c r="I874" s="139">
        <f>IFERROR(__xludf.DUMMYFUNCTION("""COMPUTED_VALUE"""),0.0)</f>
        <v>0</v>
      </c>
      <c r="J874" s="139">
        <f>IFERROR(__xludf.DUMMYFUNCTION("""COMPUTED_VALUE"""),3.0)</f>
        <v>3</v>
      </c>
      <c r="K874" s="141" t="str">
        <f>IFERROR(__xludf.DUMMYFUNCTION("""COMPUTED_VALUE"""),"MC10412")</f>
        <v>MC10412</v>
      </c>
      <c r="L874" s="139" t="str">
        <f>IFERROR(__xludf.DUMMYFUNCTION("""COMPUTED_VALUE"""),"Mr.RAGHUNATH M")</f>
        <v>Mr.RAGHUNATH M</v>
      </c>
      <c r="M874" s="142" t="str">
        <f>IFERROR(__xludf.DUMMYFUNCTION("""COMPUTED_VALUE"""),"raghunath@bitsathy.ac.in")</f>
        <v>raghunath@bitsathy.ac.in</v>
      </c>
    </row>
    <row r="875" ht="49.5" customHeight="1">
      <c r="A875" s="139" t="str">
        <f>IFERROR(__xludf.DUMMYFUNCTION("""COMPUTED_VALUE"""),"MTRS")</f>
        <v>MTRS</v>
      </c>
      <c r="B875" s="139" t="str">
        <f>IFERROR(__xludf.DUMMYFUNCTION("""COMPUTED_VALUE"""),"S6")</f>
        <v>S6</v>
      </c>
      <c r="C875" s="139" t="str">
        <f>IFERROR(__xludf.DUMMYFUNCTION("""COMPUTED_VALUE"""),"HONOURS")</f>
        <v>HONOURS</v>
      </c>
      <c r="D875" s="139" t="str">
        <f>IFERROR(__xludf.DUMMYFUNCTION("""COMPUTED_VALUE"""),"22MCH03")</f>
        <v>22MCH03</v>
      </c>
      <c r="E875" s="140" t="str">
        <f>IFERROR(__xludf.DUMMYFUNCTION("""COMPUTED_VALUE"""),"DRONE TECHNOLOGY")</f>
        <v>DRONE TECHNOLOGY</v>
      </c>
      <c r="F875" s="139" t="str">
        <f>IFERROR(__xludf.DUMMYFUNCTION("""COMPUTED_VALUE"""),"THEORY")</f>
        <v>THEORY</v>
      </c>
      <c r="G875" s="139">
        <f>IFERROR(__xludf.DUMMYFUNCTION("""COMPUTED_VALUE"""),3.0)</f>
        <v>3</v>
      </c>
      <c r="H875" s="139">
        <f>IFERROR(__xludf.DUMMYFUNCTION("""COMPUTED_VALUE"""),0.0)</f>
        <v>0</v>
      </c>
      <c r="I875" s="139">
        <f>IFERROR(__xludf.DUMMYFUNCTION("""COMPUTED_VALUE"""),0.0)</f>
        <v>0</v>
      </c>
      <c r="J875" s="139">
        <f>IFERROR(__xludf.DUMMYFUNCTION("""COMPUTED_VALUE"""),3.0)</f>
        <v>3</v>
      </c>
      <c r="K875" s="141" t="str">
        <f>IFERROR(__xludf.DUMMYFUNCTION("""COMPUTED_VALUE"""),"MC10369")</f>
        <v>MC10369</v>
      </c>
      <c r="L875" s="139" t="str">
        <f>IFERROR(__xludf.DUMMYFUNCTION("""COMPUTED_VALUE"""),"Dr.NIJANDHAN K")</f>
        <v>Dr.NIJANDHAN K</v>
      </c>
      <c r="M875" s="142" t="str">
        <f>IFERROR(__xludf.DUMMYFUNCTION("""COMPUTED_VALUE"""),"nijandhan@bitsathy.ac.in")</f>
        <v>nijandhan@bitsathy.ac.in</v>
      </c>
    </row>
    <row r="876" ht="49.5" customHeight="1">
      <c r="A876" s="139" t="str">
        <f>IFERROR(__xludf.DUMMYFUNCTION("""COMPUTED_VALUE"""),"MTRS")</f>
        <v>MTRS</v>
      </c>
      <c r="B876" s="139" t="str">
        <f>IFERROR(__xludf.DUMMYFUNCTION("""COMPUTED_VALUE"""),"S6")</f>
        <v>S6</v>
      </c>
      <c r="C876" s="139" t="str">
        <f>IFERROR(__xludf.DUMMYFUNCTION("""COMPUTED_VALUE"""),"HONOURS")</f>
        <v>HONOURS</v>
      </c>
      <c r="D876" s="139" t="str">
        <f>IFERROR(__xludf.DUMMYFUNCTION("""COMPUTED_VALUE"""),"22MCH04")</f>
        <v>22MCH04</v>
      </c>
      <c r="E876" s="140" t="str">
        <f>IFERROR(__xludf.DUMMYFUNCTION("""COMPUTED_VALUE"""),"ROBOTIC VISION")</f>
        <v>ROBOTIC VISION</v>
      </c>
      <c r="F876" s="139" t="str">
        <f>IFERROR(__xludf.DUMMYFUNCTION("""COMPUTED_VALUE"""),"THEORY")</f>
        <v>THEORY</v>
      </c>
      <c r="G876" s="139">
        <f>IFERROR(__xludf.DUMMYFUNCTION("""COMPUTED_VALUE"""),3.0)</f>
        <v>3</v>
      </c>
      <c r="H876" s="139">
        <f>IFERROR(__xludf.DUMMYFUNCTION("""COMPUTED_VALUE"""),0.0)</f>
        <v>0</v>
      </c>
      <c r="I876" s="139">
        <f>IFERROR(__xludf.DUMMYFUNCTION("""COMPUTED_VALUE"""),0.0)</f>
        <v>0</v>
      </c>
      <c r="J876" s="139">
        <f>IFERROR(__xludf.DUMMYFUNCTION("""COMPUTED_VALUE"""),3.0)</f>
        <v>3</v>
      </c>
      <c r="K876" s="141" t="str">
        <f>IFERROR(__xludf.DUMMYFUNCTION("""COMPUTED_VALUE"""),"MC10729")</f>
        <v>MC10729</v>
      </c>
      <c r="L876" s="139" t="str">
        <f>IFERROR(__xludf.DUMMYFUNCTION("""COMPUTED_VALUE"""),"Dr.NAGARAJAN P")</f>
        <v>Dr.NAGARAJAN P</v>
      </c>
      <c r="M876" s="142" t="str">
        <f>IFERROR(__xludf.DUMMYFUNCTION("""COMPUTED_VALUE"""),"nagarajanp@bitsathy.ac.in")</f>
        <v>nagarajanp@bitsathy.ac.in</v>
      </c>
    </row>
    <row r="877" ht="49.5" customHeight="1">
      <c r="A877" s="139" t="str">
        <f>IFERROR(__xludf.DUMMYFUNCTION("""COMPUTED_VALUE"""),"MTRS")</f>
        <v>MTRS</v>
      </c>
      <c r="B877" s="139" t="str">
        <f>IFERROR(__xludf.DUMMYFUNCTION("""COMPUTED_VALUE"""),"S6")</f>
        <v>S6</v>
      </c>
      <c r="C877" s="139" t="str">
        <f>IFERROR(__xludf.DUMMYFUNCTION("""COMPUTED_VALUE"""),"MINI PROJECT")</f>
        <v>MINI PROJECT</v>
      </c>
      <c r="D877" s="139" t="str">
        <f>IFERROR(__xludf.DUMMYFUNCTION("""COMPUTED_VALUE"""),"22MC607")</f>
        <v>22MC607</v>
      </c>
      <c r="E877" s="140" t="str">
        <f>IFERROR(__xludf.DUMMYFUNCTION("""COMPUTED_VALUE"""),"MINI PROJECT II")</f>
        <v>MINI PROJECT II</v>
      </c>
      <c r="F877" s="139" t="str">
        <f>IFERROR(__xludf.DUMMYFUNCTION("""COMPUTED_VALUE"""),"LAB")</f>
        <v>LAB</v>
      </c>
      <c r="G877" s="139">
        <f>IFERROR(__xludf.DUMMYFUNCTION("""COMPUTED_VALUE"""),0.0)</f>
        <v>0</v>
      </c>
      <c r="H877" s="139">
        <f>IFERROR(__xludf.DUMMYFUNCTION("""COMPUTED_VALUE"""),0.0)</f>
        <v>0</v>
      </c>
      <c r="I877" s="139">
        <f>IFERROR(__xludf.DUMMYFUNCTION("""COMPUTED_VALUE"""),2.0)</f>
        <v>2</v>
      </c>
      <c r="J877" s="139">
        <f>IFERROR(__xludf.DUMMYFUNCTION("""COMPUTED_VALUE"""),1.0)</f>
        <v>1</v>
      </c>
      <c r="K877" s="141"/>
      <c r="L877" s="139"/>
      <c r="M877" s="142"/>
    </row>
    <row r="878" ht="49.5" customHeight="1">
      <c r="A878" s="139" t="str">
        <f>IFERROR(__xludf.DUMMYFUNCTION("""COMPUTED_VALUE"""),"MTRS")</f>
        <v>MTRS</v>
      </c>
      <c r="B878" s="139" t="str">
        <f>IFERROR(__xludf.DUMMYFUNCTION("""COMPUTED_VALUE"""),"S8")</f>
        <v>S8</v>
      </c>
      <c r="C878" s="139" t="str">
        <f>IFERROR(__xludf.DUMMYFUNCTION("""COMPUTED_VALUE"""),"CORE")</f>
        <v>CORE</v>
      </c>
      <c r="D878" s="139" t="str">
        <f>IFERROR(__xludf.DUMMYFUNCTION("""COMPUTED_VALUE"""),"22MC801")</f>
        <v>22MC801</v>
      </c>
      <c r="E878" s="140" t="str">
        <f>IFERROR(__xludf.DUMMYFUNCTION("""COMPUTED_VALUE"""),"PROJECT WORK II")</f>
        <v>PROJECT WORK II</v>
      </c>
      <c r="F878" s="139" t="str">
        <f>IFERROR(__xludf.DUMMYFUNCTION("""COMPUTED_VALUE"""),"LAB")</f>
        <v>LAB</v>
      </c>
      <c r="G878" s="139">
        <f>IFERROR(__xludf.DUMMYFUNCTION("""COMPUTED_VALUE"""),0.0)</f>
        <v>0</v>
      </c>
      <c r="H878" s="139">
        <f>IFERROR(__xludf.DUMMYFUNCTION("""COMPUTED_VALUE"""),0.0)</f>
        <v>0</v>
      </c>
      <c r="I878" s="139">
        <f>IFERROR(__xludf.DUMMYFUNCTION("""COMPUTED_VALUE"""),18.0)</f>
        <v>18</v>
      </c>
      <c r="J878" s="139">
        <f>IFERROR(__xludf.DUMMYFUNCTION("""COMPUTED_VALUE"""),9.0)</f>
        <v>9</v>
      </c>
      <c r="K878" s="141"/>
      <c r="L878" s="139"/>
      <c r="M878" s="142"/>
    </row>
    <row r="879" ht="49.5" customHeight="1">
      <c r="A879" s="139" t="str">
        <f>IFERROR(__xludf.DUMMYFUNCTION("""COMPUTED_VALUE"""),"TXT")</f>
        <v>TXT</v>
      </c>
      <c r="B879" s="139" t="str">
        <f>IFERROR(__xludf.DUMMYFUNCTION("""COMPUTED_VALUE"""),"S8")</f>
        <v>S8</v>
      </c>
      <c r="C879" s="139" t="str">
        <f>IFERROR(__xludf.DUMMYFUNCTION("""COMPUTED_VALUE"""),"CORE")</f>
        <v>CORE</v>
      </c>
      <c r="D879" s="139" t="str">
        <f>IFERROR(__xludf.DUMMYFUNCTION("""COMPUTED_VALUE"""),"22TX801")</f>
        <v>22TX801</v>
      </c>
      <c r="E879" s="140" t="str">
        <f>IFERROR(__xludf.DUMMYFUNCTION("""COMPUTED_VALUE"""),"PROJECT WORK II")</f>
        <v>PROJECT WORK II</v>
      </c>
      <c r="F879" s="139" t="str">
        <f>IFERROR(__xludf.DUMMYFUNCTION("""COMPUTED_VALUE"""),"LAB")</f>
        <v>LAB</v>
      </c>
      <c r="G879" s="139">
        <f>IFERROR(__xludf.DUMMYFUNCTION("""COMPUTED_VALUE"""),0.0)</f>
        <v>0</v>
      </c>
      <c r="H879" s="139">
        <f>IFERROR(__xludf.DUMMYFUNCTION("""COMPUTED_VALUE"""),0.0)</f>
        <v>0</v>
      </c>
      <c r="I879" s="139">
        <f>IFERROR(__xludf.DUMMYFUNCTION("""COMPUTED_VALUE"""),18.0)</f>
        <v>18</v>
      </c>
      <c r="J879" s="139">
        <f>IFERROR(__xludf.DUMMYFUNCTION("""COMPUTED_VALUE"""),9.0)</f>
        <v>9</v>
      </c>
      <c r="K879" s="141"/>
      <c r="L879" s="139"/>
      <c r="M879" s="142"/>
    </row>
    <row r="880" ht="49.5" customHeight="1">
      <c r="A880" s="139" t="str">
        <f>IFERROR(__xludf.DUMMYFUNCTION("""COMPUTED_VALUE"""),"SMS")</f>
        <v>SMS</v>
      </c>
      <c r="B880" s="139" t="str">
        <f>IFERROR(__xludf.DUMMYFUNCTION("""COMPUTED_VALUE"""),"S2")</f>
        <v>S2</v>
      </c>
      <c r="C880" s="139" t="str">
        <f>IFERROR(__xludf.DUMMYFUNCTION("""COMPUTED_VALUE"""),"CORE")</f>
        <v>CORE</v>
      </c>
      <c r="D880" s="139" t="str">
        <f>IFERROR(__xludf.DUMMYFUNCTION("""COMPUTED_VALUE"""),"24MB201")</f>
        <v>24MB201</v>
      </c>
      <c r="E880" s="140" t="str">
        <f>IFERROR(__xludf.DUMMYFUNCTION("""COMPUTED_VALUE"""),"MARKETING MANAGEMENT")</f>
        <v>MARKETING MANAGEMENT</v>
      </c>
      <c r="F880" s="139" t="str">
        <f>IFERROR(__xludf.DUMMYFUNCTION("""COMPUTED_VALUE"""),"THEORY")</f>
        <v>THEORY</v>
      </c>
      <c r="G880" s="139">
        <f>IFERROR(__xludf.DUMMYFUNCTION("""COMPUTED_VALUE"""),3.0)</f>
        <v>3</v>
      </c>
      <c r="H880" s="139">
        <f>IFERROR(__xludf.DUMMYFUNCTION("""COMPUTED_VALUE"""),0.0)</f>
        <v>0</v>
      </c>
      <c r="I880" s="139">
        <f>IFERROR(__xludf.DUMMYFUNCTION("""COMPUTED_VALUE"""),0.0)</f>
        <v>0</v>
      </c>
      <c r="J880" s="139">
        <f>IFERROR(__xludf.DUMMYFUNCTION("""COMPUTED_VALUE"""),3.0)</f>
        <v>3</v>
      </c>
      <c r="K880" s="141" t="str">
        <f>IFERROR(__xludf.DUMMYFUNCTION("""COMPUTED_VALUE"""),"SM11133")</f>
        <v>SM11133</v>
      </c>
      <c r="L880" s="139" t="str">
        <f>IFERROR(__xludf.DUMMYFUNCTION("""COMPUTED_VALUE"""),"Mr.MAGESWARAN J")</f>
        <v>Mr.MAGESWARAN J</v>
      </c>
      <c r="M880" s="142" t="str">
        <f>IFERROR(__xludf.DUMMYFUNCTION("""COMPUTED_VALUE"""),"mageswaran@bitsathy.ac.in")</f>
        <v>mageswaran@bitsathy.ac.in</v>
      </c>
    </row>
    <row r="881" ht="49.5" customHeight="1">
      <c r="A881" s="139" t="str">
        <f>IFERROR(__xludf.DUMMYFUNCTION("""COMPUTED_VALUE"""),"SMS")</f>
        <v>SMS</v>
      </c>
      <c r="B881" s="139" t="str">
        <f>IFERROR(__xludf.DUMMYFUNCTION("""COMPUTED_VALUE"""),"S2")</f>
        <v>S2</v>
      </c>
      <c r="C881" s="139" t="str">
        <f>IFERROR(__xludf.DUMMYFUNCTION("""COMPUTED_VALUE"""),"CORE")</f>
        <v>CORE</v>
      </c>
      <c r="D881" s="139" t="str">
        <f>IFERROR(__xludf.DUMMYFUNCTION("""COMPUTED_VALUE"""),"24MB202")</f>
        <v>24MB202</v>
      </c>
      <c r="E881" s="140" t="str">
        <f>IFERROR(__xludf.DUMMYFUNCTION("""COMPUTED_VALUE"""),"HUMAN RESOURCE MANAGEMENT")</f>
        <v>HUMAN RESOURCE MANAGEMENT</v>
      </c>
      <c r="F881" s="139" t="str">
        <f>IFERROR(__xludf.DUMMYFUNCTION("""COMPUTED_VALUE"""),"THEORY")</f>
        <v>THEORY</v>
      </c>
      <c r="G881" s="139">
        <f>IFERROR(__xludf.DUMMYFUNCTION("""COMPUTED_VALUE"""),3.0)</f>
        <v>3</v>
      </c>
      <c r="H881" s="139">
        <f>IFERROR(__xludf.DUMMYFUNCTION("""COMPUTED_VALUE"""),0.0)</f>
        <v>0</v>
      </c>
      <c r="I881" s="139">
        <f>IFERROR(__xludf.DUMMYFUNCTION("""COMPUTED_VALUE"""),0.0)</f>
        <v>0</v>
      </c>
      <c r="J881" s="139">
        <f>IFERROR(__xludf.DUMMYFUNCTION("""COMPUTED_VALUE"""),3.0)</f>
        <v>3</v>
      </c>
      <c r="K881" s="141" t="str">
        <f>IFERROR(__xludf.DUMMYFUNCTION("""COMPUTED_VALUE"""),"SM11188")</f>
        <v>SM11188</v>
      </c>
      <c r="L881" s="139" t="str">
        <f>IFERROR(__xludf.DUMMYFUNCTION("""COMPUTED_VALUE"""),"Dr.ADHINARAYANAN B")</f>
        <v>Dr.ADHINARAYANAN B</v>
      </c>
      <c r="M881" s="142" t="str">
        <f>IFERROR(__xludf.DUMMYFUNCTION("""COMPUTED_VALUE"""),"adhinarayananb@bitsathy.ac.in")</f>
        <v>adhinarayananb@bitsathy.ac.in</v>
      </c>
    </row>
    <row r="882" ht="49.5" customHeight="1">
      <c r="A882" s="139" t="str">
        <f>IFERROR(__xludf.DUMMYFUNCTION("""COMPUTED_VALUE"""),"SMS")</f>
        <v>SMS</v>
      </c>
      <c r="B882" s="139" t="str">
        <f>IFERROR(__xludf.DUMMYFUNCTION("""COMPUTED_VALUE"""),"S2")</f>
        <v>S2</v>
      </c>
      <c r="C882" s="139" t="str">
        <f>IFERROR(__xludf.DUMMYFUNCTION("""COMPUTED_VALUE"""),"CORE")</f>
        <v>CORE</v>
      </c>
      <c r="D882" s="139" t="str">
        <f>IFERROR(__xludf.DUMMYFUNCTION("""COMPUTED_VALUE"""),"24MB203")</f>
        <v>24MB203</v>
      </c>
      <c r="E882" s="140" t="str">
        <f>IFERROR(__xludf.DUMMYFUNCTION("""COMPUTED_VALUE"""),"OPERATIONS MANAGEMENT")</f>
        <v>OPERATIONS MANAGEMENT</v>
      </c>
      <c r="F882" s="139" t="str">
        <f>IFERROR(__xludf.DUMMYFUNCTION("""COMPUTED_VALUE"""),"THEORY")</f>
        <v>THEORY</v>
      </c>
      <c r="G882" s="139">
        <f>IFERROR(__xludf.DUMMYFUNCTION("""COMPUTED_VALUE"""),3.0)</f>
        <v>3</v>
      </c>
      <c r="H882" s="139">
        <f>IFERROR(__xludf.DUMMYFUNCTION("""COMPUTED_VALUE"""),1.0)</f>
        <v>1</v>
      </c>
      <c r="I882" s="139">
        <f>IFERROR(__xludf.DUMMYFUNCTION("""COMPUTED_VALUE"""),0.0)</f>
        <v>0</v>
      </c>
      <c r="J882" s="139">
        <f>IFERROR(__xludf.DUMMYFUNCTION("""COMPUTED_VALUE"""),4.0)</f>
        <v>4</v>
      </c>
      <c r="K882" s="141" t="str">
        <f>IFERROR(__xludf.DUMMYFUNCTION("""COMPUTED_VALUE"""),"SM11186")</f>
        <v>SM11186</v>
      </c>
      <c r="L882" s="139" t="str">
        <f>IFERROR(__xludf.DUMMYFUNCTION("""COMPUTED_VALUE"""),"Mr.SUGANESH S")</f>
        <v>Mr.SUGANESH S</v>
      </c>
      <c r="M882" s="142" t="str">
        <f>IFERROR(__xludf.DUMMYFUNCTION("""COMPUTED_VALUE"""),"suganeshs@bitsathy.ac.in")</f>
        <v>suganeshs@bitsathy.ac.in</v>
      </c>
    </row>
    <row r="883" ht="49.5" customHeight="1">
      <c r="A883" s="139" t="str">
        <f>IFERROR(__xludf.DUMMYFUNCTION("""COMPUTED_VALUE"""),"SMS")</f>
        <v>SMS</v>
      </c>
      <c r="B883" s="139" t="str">
        <f>IFERROR(__xludf.DUMMYFUNCTION("""COMPUTED_VALUE"""),"S2")</f>
        <v>S2</v>
      </c>
      <c r="C883" s="139" t="str">
        <f>IFERROR(__xludf.DUMMYFUNCTION("""COMPUTED_VALUE"""),"CORE")</f>
        <v>CORE</v>
      </c>
      <c r="D883" s="139" t="str">
        <f>IFERROR(__xludf.DUMMYFUNCTION("""COMPUTED_VALUE"""),"24MB204")</f>
        <v>24MB204</v>
      </c>
      <c r="E883" s="140" t="str">
        <f>IFERROR(__xludf.DUMMYFUNCTION("""COMPUTED_VALUE"""),"FINANCIAL MANAGEMENT")</f>
        <v>FINANCIAL MANAGEMENT</v>
      </c>
      <c r="F883" s="139" t="str">
        <f>IFERROR(__xludf.DUMMYFUNCTION("""COMPUTED_VALUE"""),"THEORY WITH LAB")</f>
        <v>THEORY WITH LAB</v>
      </c>
      <c r="G883" s="139">
        <f>IFERROR(__xludf.DUMMYFUNCTION("""COMPUTED_VALUE"""),3.0)</f>
        <v>3</v>
      </c>
      <c r="H883" s="139">
        <f>IFERROR(__xludf.DUMMYFUNCTION("""COMPUTED_VALUE"""),0.0)</f>
        <v>0</v>
      </c>
      <c r="I883" s="139">
        <f>IFERROR(__xludf.DUMMYFUNCTION("""COMPUTED_VALUE"""),2.0)</f>
        <v>2</v>
      </c>
      <c r="J883" s="139">
        <f>IFERROR(__xludf.DUMMYFUNCTION("""COMPUTED_VALUE"""),4.0)</f>
        <v>4</v>
      </c>
      <c r="K883" s="141" t="str">
        <f>IFERROR(__xludf.DUMMYFUNCTION("""COMPUTED_VALUE"""),"SM11065")</f>
        <v>SM11065</v>
      </c>
      <c r="L883" s="139" t="str">
        <f>IFERROR(__xludf.DUMMYFUNCTION("""COMPUTED_VALUE"""),"Mr.SENTHIL KUMAR N")</f>
        <v>Mr.SENTHIL KUMAR N</v>
      </c>
      <c r="M883" s="142" t="str">
        <f>IFERROR(__xludf.DUMMYFUNCTION("""COMPUTED_VALUE"""),"senthilkumar@bitsathy.ac.in")</f>
        <v>senthilkumar@bitsathy.ac.in</v>
      </c>
    </row>
    <row r="884" ht="49.5" customHeight="1">
      <c r="A884" s="139" t="str">
        <f>IFERROR(__xludf.DUMMYFUNCTION("""COMPUTED_VALUE"""),"SMS")</f>
        <v>SMS</v>
      </c>
      <c r="B884" s="139" t="str">
        <f>IFERROR(__xludf.DUMMYFUNCTION("""COMPUTED_VALUE"""),"S2")</f>
        <v>S2</v>
      </c>
      <c r="C884" s="139" t="str">
        <f>IFERROR(__xludf.DUMMYFUNCTION("""COMPUTED_VALUE"""),"CORE")</f>
        <v>CORE</v>
      </c>
      <c r="D884" s="139" t="str">
        <f>IFERROR(__xludf.DUMMYFUNCTION("""COMPUTED_VALUE"""),"24MB205")</f>
        <v>24MB205</v>
      </c>
      <c r="E884" s="140" t="str">
        <f>IFERROR(__xludf.DUMMYFUNCTION("""COMPUTED_VALUE"""),"OPERATIONS RESEARCH")</f>
        <v>OPERATIONS RESEARCH</v>
      </c>
      <c r="F884" s="139" t="str">
        <f>IFERROR(__xludf.DUMMYFUNCTION("""COMPUTED_VALUE"""),"THEORY WITH LAB")</f>
        <v>THEORY WITH LAB</v>
      </c>
      <c r="G884" s="139">
        <f>IFERROR(__xludf.DUMMYFUNCTION("""COMPUTED_VALUE"""),3.0)</f>
        <v>3</v>
      </c>
      <c r="H884" s="139">
        <f>IFERROR(__xludf.DUMMYFUNCTION("""COMPUTED_VALUE"""),0.0)</f>
        <v>0</v>
      </c>
      <c r="I884" s="139">
        <f>IFERROR(__xludf.DUMMYFUNCTION("""COMPUTED_VALUE"""),2.0)</f>
        <v>2</v>
      </c>
      <c r="J884" s="139">
        <f>IFERROR(__xludf.DUMMYFUNCTION("""COMPUTED_VALUE"""),4.0)</f>
        <v>4</v>
      </c>
      <c r="K884" s="141" t="str">
        <f>IFERROR(__xludf.DUMMYFUNCTION("""COMPUTED_VALUE"""),"SM1661")</f>
        <v>SM1661</v>
      </c>
      <c r="L884" s="139" t="str">
        <f>IFERROR(__xludf.DUMMYFUNCTION("""COMPUTED_VALUE"""),"Dr.MURUGAPPAN S")</f>
        <v>Dr.MURUGAPPAN S</v>
      </c>
      <c r="M884" s="142" t="str">
        <f>IFERROR(__xludf.DUMMYFUNCTION("""COMPUTED_VALUE"""),"murugappans@bitsathy.ac.in")</f>
        <v>murugappans@bitsathy.ac.in</v>
      </c>
    </row>
    <row r="885" ht="49.5" customHeight="1">
      <c r="A885" s="139" t="str">
        <f>IFERROR(__xludf.DUMMYFUNCTION("""COMPUTED_VALUE"""),"SMS")</f>
        <v>SMS</v>
      </c>
      <c r="B885" s="139" t="str">
        <f>IFERROR(__xludf.DUMMYFUNCTION("""COMPUTED_VALUE"""),"S2")</f>
        <v>S2</v>
      </c>
      <c r="C885" s="139" t="str">
        <f>IFERROR(__xludf.DUMMYFUNCTION("""COMPUTED_VALUE"""),"CORE")</f>
        <v>CORE</v>
      </c>
      <c r="D885" s="139" t="str">
        <f>IFERROR(__xludf.DUMMYFUNCTION("""COMPUTED_VALUE"""),"24MB206")</f>
        <v>24MB206</v>
      </c>
      <c r="E885" s="140" t="str">
        <f>IFERROR(__xludf.DUMMYFUNCTION("""COMPUTED_VALUE"""),"BUSINESS ANALYTICS AND INTELLIGENCE")</f>
        <v>BUSINESS ANALYTICS AND INTELLIGENCE</v>
      </c>
      <c r="F885" s="139" t="str">
        <f>IFERROR(__xludf.DUMMYFUNCTION("""COMPUTED_VALUE"""),"THEORY WITH LAB")</f>
        <v>THEORY WITH LAB</v>
      </c>
      <c r="G885" s="139">
        <f>IFERROR(__xludf.DUMMYFUNCTION("""COMPUTED_VALUE"""),3.0)</f>
        <v>3</v>
      </c>
      <c r="H885" s="139">
        <f>IFERROR(__xludf.DUMMYFUNCTION("""COMPUTED_VALUE"""),0.0)</f>
        <v>0</v>
      </c>
      <c r="I885" s="139">
        <f>IFERROR(__xludf.DUMMYFUNCTION("""COMPUTED_VALUE"""),2.0)</f>
        <v>2</v>
      </c>
      <c r="J885" s="139">
        <f>IFERROR(__xludf.DUMMYFUNCTION("""COMPUTED_VALUE"""),4.0)</f>
        <v>4</v>
      </c>
      <c r="K885" s="141" t="str">
        <f>IFERROR(__xludf.DUMMYFUNCTION("""COMPUTED_VALUE"""),"SM10346")</f>
        <v>SM10346</v>
      </c>
      <c r="L885" s="139" t="str">
        <f>IFERROR(__xludf.DUMMYFUNCTION("""COMPUTED_VALUE"""),"Mrs.NANDHINI B")</f>
        <v>Mrs.NANDHINI B</v>
      </c>
      <c r="M885" s="142" t="str">
        <f>IFERROR(__xludf.DUMMYFUNCTION("""COMPUTED_VALUE"""),"nandhinib@bitsathy.ac.in")</f>
        <v>nandhinib@bitsathy.ac.in</v>
      </c>
    </row>
    <row r="886" ht="49.5" customHeight="1">
      <c r="A886" s="139" t="str">
        <f>IFERROR(__xludf.DUMMYFUNCTION("""COMPUTED_VALUE"""),"SMS")</f>
        <v>SMS</v>
      </c>
      <c r="B886" s="139" t="str">
        <f>IFERROR(__xludf.DUMMYFUNCTION("""COMPUTED_VALUE"""),"S2")</f>
        <v>S2</v>
      </c>
      <c r="C886" s="139" t="str">
        <f>IFERROR(__xludf.DUMMYFUNCTION("""COMPUTED_VALUE"""),"CORE")</f>
        <v>CORE</v>
      </c>
      <c r="D886" s="139" t="str">
        <f>IFERROR(__xludf.DUMMYFUNCTION("""COMPUTED_VALUE"""),"24MB207")</f>
        <v>24MB207</v>
      </c>
      <c r="E886" s="140" t="str">
        <f>IFERROR(__xludf.DUMMYFUNCTION("""COMPUTED_VALUE"""),"MANAGERIAL SKILL DEVELOPMENT – II ")</f>
        <v>MANAGERIAL SKILL DEVELOPMENT – II </v>
      </c>
      <c r="F886" s="139" t="str">
        <f>IFERROR(__xludf.DUMMYFUNCTION("""COMPUTED_VALUE"""),"LAB")</f>
        <v>LAB</v>
      </c>
      <c r="G886" s="139">
        <f>IFERROR(__xludf.DUMMYFUNCTION("""COMPUTED_VALUE"""),0.0)</f>
        <v>0</v>
      </c>
      <c r="H886" s="139">
        <f>IFERROR(__xludf.DUMMYFUNCTION("""COMPUTED_VALUE"""),0.0)</f>
        <v>0</v>
      </c>
      <c r="I886" s="139">
        <f>IFERROR(__xludf.DUMMYFUNCTION("""COMPUTED_VALUE"""),4.0)</f>
        <v>4</v>
      </c>
      <c r="J886" s="139">
        <f>IFERROR(__xludf.DUMMYFUNCTION("""COMPUTED_VALUE"""),2.0)</f>
        <v>2</v>
      </c>
      <c r="K886" s="141" t="str">
        <f>IFERROR(__xludf.DUMMYFUNCTION("""COMPUTED_VALUE"""),"SM11118")</f>
        <v>SM11118</v>
      </c>
      <c r="L886" s="139" t="str">
        <f>IFERROR(__xludf.DUMMYFUNCTION("""COMPUTED_VALUE"""),"Mrs.AISHWARIYA M R")</f>
        <v>Mrs.AISHWARIYA M R</v>
      </c>
      <c r="M886" s="142" t="str">
        <f>IFERROR(__xludf.DUMMYFUNCTION("""COMPUTED_VALUE"""),"aishwariya@bitsathy.ac.in")</f>
        <v>aishwariya@bitsathy.ac.in</v>
      </c>
    </row>
    <row r="887" ht="49.5" customHeight="1">
      <c r="A887" s="139" t="str">
        <f>IFERROR(__xludf.DUMMYFUNCTION("""COMPUTED_VALUE"""),"SMS")</f>
        <v>SMS</v>
      </c>
      <c r="B887" s="139" t="str">
        <f>IFERROR(__xludf.DUMMYFUNCTION("""COMPUTED_VALUE"""),"S2")</f>
        <v>S2</v>
      </c>
      <c r="C887" s="139" t="str">
        <f>IFERROR(__xludf.DUMMYFUNCTION("""COMPUTED_VALUE"""),"PROJECT")</f>
        <v>PROJECT</v>
      </c>
      <c r="D887" s="139" t="str">
        <f>IFERROR(__xludf.DUMMYFUNCTION("""COMPUTED_VALUE"""),"24MB208")</f>
        <v>24MB208</v>
      </c>
      <c r="E887" s="140" t="str">
        <f>IFERROR(__xludf.DUMMYFUNCTION("""COMPUTED_VALUE"""),"COMMUNITY CONNECT PROJECT")</f>
        <v>COMMUNITY CONNECT PROJECT</v>
      </c>
      <c r="F887" s="139" t="str">
        <f>IFERROR(__xludf.DUMMYFUNCTION("""COMPUTED_VALUE"""),"LAB")</f>
        <v>LAB</v>
      </c>
      <c r="G887" s="139">
        <f>IFERROR(__xludf.DUMMYFUNCTION("""COMPUTED_VALUE"""),0.0)</f>
        <v>0</v>
      </c>
      <c r="H887" s="139">
        <f>IFERROR(__xludf.DUMMYFUNCTION("""COMPUTED_VALUE"""),0.0)</f>
        <v>0</v>
      </c>
      <c r="I887" s="139">
        <f>IFERROR(__xludf.DUMMYFUNCTION("""COMPUTED_VALUE"""),2.0)</f>
        <v>2</v>
      </c>
      <c r="J887" s="139">
        <f>IFERROR(__xludf.DUMMYFUNCTION("""COMPUTED_VALUE"""),1.0)</f>
        <v>1</v>
      </c>
      <c r="K887" s="141" t="str">
        <f>IFERROR(__xludf.DUMMYFUNCTION("""COMPUTED_VALUE"""),"SM11118")</f>
        <v>SM11118</v>
      </c>
      <c r="L887" s="139" t="str">
        <f>IFERROR(__xludf.DUMMYFUNCTION("""COMPUTED_VALUE"""),"Mrs.AISHWARIYA M R")</f>
        <v>Mrs.AISHWARIYA M R</v>
      </c>
      <c r="M887" s="142" t="str">
        <f>IFERROR(__xludf.DUMMYFUNCTION("""COMPUTED_VALUE"""),"aishwariya@bitsathy.ac.in")</f>
        <v>aishwariya@bitsathy.ac.in</v>
      </c>
    </row>
    <row r="888" ht="49.5" customHeight="1">
      <c r="A888" s="139" t="str">
        <f>IFERROR(__xludf.DUMMYFUNCTION("""COMPUTED_VALUE"""),"SMS")</f>
        <v>SMS</v>
      </c>
      <c r="B888" s="139" t="str">
        <f>IFERROR(__xludf.DUMMYFUNCTION("""COMPUTED_VALUE"""),"S2")</f>
        <v>S2</v>
      </c>
      <c r="C888" s="139" t="str">
        <f>IFERROR(__xludf.DUMMYFUNCTION("""COMPUTED_VALUE"""),"COMPETITVE EDGE COURSE II")</f>
        <v>COMPETITVE EDGE COURSE II</v>
      </c>
      <c r="D888" s="139" t="str">
        <f>IFERROR(__xludf.DUMMYFUNCTION("""COMPUTED_VALUE"""),"24MX008")</f>
        <v>24MX008</v>
      </c>
      <c r="E888" s="140" t="str">
        <f>IFERROR(__xludf.DUMMYFUNCTION("""COMPUTED_VALUE"""),"VISUAL ANALYTICS II ")</f>
        <v>VISUAL ANALYTICS II </v>
      </c>
      <c r="F888" s="139" t="str">
        <f>IFERROR(__xludf.DUMMYFUNCTION("""COMPUTED_VALUE"""),"LAB")</f>
        <v>LAB</v>
      </c>
      <c r="G888" s="139">
        <f>IFERROR(__xludf.DUMMYFUNCTION("""COMPUTED_VALUE"""),0.0)</f>
        <v>0</v>
      </c>
      <c r="H888" s="139">
        <f>IFERROR(__xludf.DUMMYFUNCTION("""COMPUTED_VALUE"""),0.0)</f>
        <v>0</v>
      </c>
      <c r="I888" s="139">
        <f>IFERROR(__xludf.DUMMYFUNCTION("""COMPUTED_VALUE"""),2.0)</f>
        <v>2</v>
      </c>
      <c r="J888" s="139">
        <f>IFERROR(__xludf.DUMMYFUNCTION("""COMPUTED_VALUE"""),1.0)</f>
        <v>1</v>
      </c>
      <c r="K888" s="141" t="str">
        <f>IFERROR(__xludf.DUMMYFUNCTION("""COMPUTED_VALUE"""),"SM1661")</f>
        <v>SM1661</v>
      </c>
      <c r="L888" s="139" t="str">
        <f>IFERROR(__xludf.DUMMYFUNCTION("""COMPUTED_VALUE"""),"Dr.MURUGAPPAN S")</f>
        <v>Dr.MURUGAPPAN S</v>
      </c>
      <c r="M888" s="142" t="str">
        <f>IFERROR(__xludf.DUMMYFUNCTION("""COMPUTED_VALUE"""),"murugappans@bitsathy.ac.in")</f>
        <v>murugappans@bitsathy.ac.in</v>
      </c>
    </row>
    <row r="889" ht="49.5" customHeight="1">
      <c r="A889" s="139" t="str">
        <f>IFERROR(__xludf.DUMMYFUNCTION("""COMPUTED_VALUE"""),"SMS")</f>
        <v>SMS</v>
      </c>
      <c r="B889" s="139" t="str">
        <f>IFERROR(__xludf.DUMMYFUNCTION("""COMPUTED_VALUE"""),"S2")</f>
        <v>S2</v>
      </c>
      <c r="C889" s="139" t="str">
        <f>IFERROR(__xludf.DUMMYFUNCTION("""COMPUTED_VALUE"""),"VIVA")</f>
        <v>VIVA</v>
      </c>
      <c r="D889" s="139" t="str">
        <f>IFERROR(__xludf.DUMMYFUNCTION("""COMPUTED_VALUE"""),"24MB209")</f>
        <v>24MB209</v>
      </c>
      <c r="E889" s="140" t="str">
        <f>IFERROR(__xludf.DUMMYFUNCTION("""COMPUTED_VALUE"""),"COMPREHENSIVE VIVA-VOCE – I 
")</f>
        <v>COMPREHENSIVE VIVA-VOCE – I 
</v>
      </c>
      <c r="F889" s="139"/>
      <c r="G889" s="139"/>
      <c r="H889" s="139"/>
      <c r="I889" s="139"/>
      <c r="J889" s="139">
        <f>IFERROR(__xludf.DUMMYFUNCTION("""COMPUTED_VALUE"""),1.0)</f>
        <v>1</v>
      </c>
      <c r="K889" s="141" t="str">
        <f>IFERROR(__xludf.DUMMYFUNCTION("""COMPUTED_VALUE"""),"SM11187")</f>
        <v>SM11187</v>
      </c>
      <c r="L889" s="139" t="str">
        <f>IFERROR(__xludf.DUMMYFUNCTION("""COMPUTED_VALUE"""),"Mr.DHANABALU S N")</f>
        <v>Mr.DHANABALU S N</v>
      </c>
      <c r="M889" s="142" t="str">
        <f>IFERROR(__xludf.DUMMYFUNCTION("""COMPUTED_VALUE"""),"dhanabalusn@bitsathy.ac.in")</f>
        <v>dhanabalusn@bitsathy.ac.in</v>
      </c>
    </row>
    <row r="890" ht="49.5" customHeight="1">
      <c r="A890" s="139" t="str">
        <f>IFERROR(__xludf.DUMMYFUNCTION("""COMPUTED_VALUE"""),"SMS")</f>
        <v>SMS</v>
      </c>
      <c r="B890" s="139" t="str">
        <f>IFERROR(__xludf.DUMMYFUNCTION("""COMPUTED_VALUE"""),"S4")</f>
        <v>S4</v>
      </c>
      <c r="C890" s="139" t="str">
        <f>IFERROR(__xludf.DUMMYFUNCTION("""COMPUTED_VALUE"""),"CORE")</f>
        <v>CORE</v>
      </c>
      <c r="D890" s="139" t="str">
        <f>IFERROR(__xludf.DUMMYFUNCTION("""COMPUTED_VALUE"""),"24MB401")</f>
        <v>24MB401</v>
      </c>
      <c r="E890" s="140" t="str">
        <f>IFERROR(__xludf.DUMMYFUNCTION("""COMPUTED_VALUE"""),"INTERNATIONAL BUSINESS MANAGEMENT")</f>
        <v>INTERNATIONAL BUSINESS MANAGEMENT</v>
      </c>
      <c r="F890" s="139" t="str">
        <f>IFERROR(__xludf.DUMMYFUNCTION("""COMPUTED_VALUE"""),"THEORY")</f>
        <v>THEORY</v>
      </c>
      <c r="G890" s="139">
        <f>IFERROR(__xludf.DUMMYFUNCTION("""COMPUTED_VALUE"""),4.0)</f>
        <v>4</v>
      </c>
      <c r="H890" s="139">
        <f>IFERROR(__xludf.DUMMYFUNCTION("""COMPUTED_VALUE"""),0.0)</f>
        <v>0</v>
      </c>
      <c r="I890" s="139">
        <f>IFERROR(__xludf.DUMMYFUNCTION("""COMPUTED_VALUE"""),0.0)</f>
        <v>0</v>
      </c>
      <c r="J890" s="139">
        <f>IFERROR(__xludf.DUMMYFUNCTION("""COMPUTED_VALUE"""),4.0)</f>
        <v>4</v>
      </c>
      <c r="K890" s="141" t="str">
        <f>IFERROR(__xludf.DUMMYFUNCTION("""COMPUTED_VALUE"""),"SM11188")</f>
        <v>SM11188</v>
      </c>
      <c r="L890" s="139" t="str">
        <f>IFERROR(__xludf.DUMMYFUNCTION("""COMPUTED_VALUE"""),"Dr.ADHINARAYANAN B")</f>
        <v>Dr.ADHINARAYANAN B</v>
      </c>
      <c r="M890" s="142" t="str">
        <f>IFERROR(__xludf.DUMMYFUNCTION("""COMPUTED_VALUE"""),"adhinarayananb@bitsathy.ac.in")</f>
        <v>adhinarayananb@bitsathy.ac.in</v>
      </c>
    </row>
    <row r="891" ht="49.5" customHeight="1">
      <c r="A891" s="139" t="str">
        <f>IFERROR(__xludf.DUMMYFUNCTION("""COMPUTED_VALUE"""),"SMS")</f>
        <v>SMS</v>
      </c>
      <c r="B891" s="139" t="str">
        <f>IFERROR(__xludf.DUMMYFUNCTION("""COMPUTED_VALUE"""),"S4")</f>
        <v>S4</v>
      </c>
      <c r="C891" s="139" t="str">
        <f>IFERROR(__xludf.DUMMYFUNCTION("""COMPUTED_VALUE"""),"ELECTIVE 5")</f>
        <v>ELECTIVE 5</v>
      </c>
      <c r="D891" s="139" t="str">
        <f>IFERROR(__xludf.DUMMYFUNCTION("""COMPUTED_VALUE"""),"24MBM01")</f>
        <v>24MBM01</v>
      </c>
      <c r="E891" s="140" t="str">
        <f>IFERROR(__xludf.DUMMYFUNCTION("""COMPUTED_VALUE"""),"BRAND MANAGEMENT")</f>
        <v>BRAND MANAGEMENT</v>
      </c>
      <c r="F891" s="139" t="str">
        <f>IFERROR(__xludf.DUMMYFUNCTION("""COMPUTED_VALUE"""),"THEORY")</f>
        <v>THEORY</v>
      </c>
      <c r="G891" s="139">
        <f>IFERROR(__xludf.DUMMYFUNCTION("""COMPUTED_VALUE"""),4.0)</f>
        <v>4</v>
      </c>
      <c r="H891" s="139">
        <f>IFERROR(__xludf.DUMMYFUNCTION("""COMPUTED_VALUE"""),0.0)</f>
        <v>0</v>
      </c>
      <c r="I891" s="139">
        <f>IFERROR(__xludf.DUMMYFUNCTION("""COMPUTED_VALUE"""),0.0)</f>
        <v>0</v>
      </c>
      <c r="J891" s="139">
        <f>IFERROR(__xludf.DUMMYFUNCTION("""COMPUTED_VALUE"""),4.0)</f>
        <v>4</v>
      </c>
      <c r="K891" s="141" t="str">
        <f>IFERROR(__xludf.DUMMYFUNCTION("""COMPUTED_VALUE"""),"SM10346")</f>
        <v>SM10346</v>
      </c>
      <c r="L891" s="139" t="str">
        <f>IFERROR(__xludf.DUMMYFUNCTION("""COMPUTED_VALUE"""),"Mrs.NANDHINI B")</f>
        <v>Mrs.NANDHINI B</v>
      </c>
      <c r="M891" s="142" t="str">
        <f>IFERROR(__xludf.DUMMYFUNCTION("""COMPUTED_VALUE"""),"nandhinib@bitsathy.ac.in")</f>
        <v>nandhinib@bitsathy.ac.in</v>
      </c>
    </row>
    <row r="892" ht="49.5" customHeight="1">
      <c r="A892" s="139" t="str">
        <f>IFERROR(__xludf.DUMMYFUNCTION("""COMPUTED_VALUE"""),"SMS")</f>
        <v>SMS</v>
      </c>
      <c r="B892" s="139" t="str">
        <f>IFERROR(__xludf.DUMMYFUNCTION("""COMPUTED_VALUE"""),"S4")</f>
        <v>S4</v>
      </c>
      <c r="C892" s="139" t="str">
        <f>IFERROR(__xludf.DUMMYFUNCTION("""COMPUTED_VALUE"""),"ELECTIVE 6")</f>
        <v>ELECTIVE 6</v>
      </c>
      <c r="D892" s="139" t="str">
        <f>IFERROR(__xludf.DUMMYFUNCTION("""COMPUTED_VALUE"""),"24MBM02")</f>
        <v>24MBM02</v>
      </c>
      <c r="E892" s="140" t="str">
        <f>IFERROR(__xludf.DUMMYFUNCTION("""COMPUTED_VALUE"""),"CUSTOMER RELATIONSHIP MANAGEMENT")</f>
        <v>CUSTOMER RELATIONSHIP MANAGEMENT</v>
      </c>
      <c r="F892" s="139" t="str">
        <f>IFERROR(__xludf.DUMMYFUNCTION("""COMPUTED_VALUE"""),"THEORY")</f>
        <v>THEORY</v>
      </c>
      <c r="G892" s="139">
        <f>IFERROR(__xludf.DUMMYFUNCTION("""COMPUTED_VALUE"""),4.0)</f>
        <v>4</v>
      </c>
      <c r="H892" s="139">
        <f>IFERROR(__xludf.DUMMYFUNCTION("""COMPUTED_VALUE"""),0.0)</f>
        <v>0</v>
      </c>
      <c r="I892" s="139">
        <f>IFERROR(__xludf.DUMMYFUNCTION("""COMPUTED_VALUE"""),0.0)</f>
        <v>0</v>
      </c>
      <c r="J892" s="139">
        <f>IFERROR(__xludf.DUMMYFUNCTION("""COMPUTED_VALUE"""),4.0)</f>
        <v>4</v>
      </c>
      <c r="K892" s="141" t="str">
        <f>IFERROR(__xludf.DUMMYFUNCTION("""COMPUTED_VALUE"""),"SM11187")</f>
        <v>SM11187</v>
      </c>
      <c r="L892" s="139" t="str">
        <f>IFERROR(__xludf.DUMMYFUNCTION("""COMPUTED_VALUE"""),"Mr.DHANABALU S N")</f>
        <v>Mr.DHANABALU S N</v>
      </c>
      <c r="M892" s="142" t="str">
        <f>IFERROR(__xludf.DUMMYFUNCTION("""COMPUTED_VALUE"""),"dhanabalusn@bitsathy.ac.in")</f>
        <v>dhanabalusn@bitsathy.ac.in</v>
      </c>
    </row>
    <row r="893" ht="49.5" customHeight="1">
      <c r="A893" s="139" t="str">
        <f>IFERROR(__xludf.DUMMYFUNCTION("""COMPUTED_VALUE"""),"SMS")</f>
        <v>SMS</v>
      </c>
      <c r="B893" s="139" t="str">
        <f>IFERROR(__xludf.DUMMYFUNCTION("""COMPUTED_VALUE"""),"S4")</f>
        <v>S4</v>
      </c>
      <c r="C893" s="139" t="str">
        <f>IFERROR(__xludf.DUMMYFUNCTION("""COMPUTED_VALUE"""),"ELECTIVE 7")</f>
        <v>ELECTIVE 7</v>
      </c>
      <c r="D893" s="139" t="str">
        <f>IFERROR(__xludf.DUMMYFUNCTION("""COMPUTED_VALUE"""),"24MBF01")</f>
        <v>24MBF01</v>
      </c>
      <c r="E893" s="140" t="str">
        <f>IFERROR(__xludf.DUMMYFUNCTION("""COMPUTED_VALUE"""),"BANKING SYSTEM AND PRACTICES")</f>
        <v>BANKING SYSTEM AND PRACTICES</v>
      </c>
      <c r="F893" s="139" t="str">
        <f>IFERROR(__xludf.DUMMYFUNCTION("""COMPUTED_VALUE"""),"THEORY")</f>
        <v>THEORY</v>
      </c>
      <c r="G893" s="139">
        <f>IFERROR(__xludf.DUMMYFUNCTION("""COMPUTED_VALUE"""),4.0)</f>
        <v>4</v>
      </c>
      <c r="H893" s="139">
        <f>IFERROR(__xludf.DUMMYFUNCTION("""COMPUTED_VALUE"""),0.0)</f>
        <v>0</v>
      </c>
      <c r="I893" s="139">
        <f>IFERROR(__xludf.DUMMYFUNCTION("""COMPUTED_VALUE"""),0.0)</f>
        <v>0</v>
      </c>
      <c r="J893" s="139">
        <f>IFERROR(__xludf.DUMMYFUNCTION("""COMPUTED_VALUE"""),4.0)</f>
        <v>4</v>
      </c>
      <c r="K893" s="141" t="str">
        <f>IFERROR(__xludf.DUMMYFUNCTION("""COMPUTED_VALUE"""),"SM11187")</f>
        <v>SM11187</v>
      </c>
      <c r="L893" s="139" t="str">
        <f>IFERROR(__xludf.DUMMYFUNCTION("""COMPUTED_VALUE"""),"Mr.DHANABALU S N")</f>
        <v>Mr.DHANABALU S N</v>
      </c>
      <c r="M893" s="142" t="str">
        <f>IFERROR(__xludf.DUMMYFUNCTION("""COMPUTED_VALUE"""),"dhanabalusn@bitsathy.ac.in")</f>
        <v>dhanabalusn@bitsathy.ac.in</v>
      </c>
    </row>
    <row r="894" ht="49.5" customHeight="1">
      <c r="A894" s="139" t="str">
        <f>IFERROR(__xludf.DUMMYFUNCTION("""COMPUTED_VALUE"""),"SMS")</f>
        <v>SMS</v>
      </c>
      <c r="B894" s="139" t="str">
        <f>IFERROR(__xludf.DUMMYFUNCTION("""COMPUTED_VALUE"""),"S4")</f>
        <v>S4</v>
      </c>
      <c r="C894" s="139" t="str">
        <f>IFERROR(__xludf.DUMMYFUNCTION("""COMPUTED_VALUE"""),"ELECTIVE 8")</f>
        <v>ELECTIVE 8</v>
      </c>
      <c r="D894" s="139" t="str">
        <f>IFERROR(__xludf.DUMMYFUNCTION("""COMPUTED_VALUE"""),"24MBF08")</f>
        <v>24MBF08</v>
      </c>
      <c r="E894" s="140" t="str">
        <f>IFERROR(__xludf.DUMMYFUNCTION("""COMPUTED_VALUE"""),"FINANCIAL MODELING")</f>
        <v>FINANCIAL MODELING</v>
      </c>
      <c r="F894" s="139" t="str">
        <f>IFERROR(__xludf.DUMMYFUNCTION("""COMPUTED_VALUE"""),"THEORY")</f>
        <v>THEORY</v>
      </c>
      <c r="G894" s="139">
        <f>IFERROR(__xludf.DUMMYFUNCTION("""COMPUTED_VALUE"""),4.0)</f>
        <v>4</v>
      </c>
      <c r="H894" s="139">
        <f>IFERROR(__xludf.DUMMYFUNCTION("""COMPUTED_VALUE"""),0.0)</f>
        <v>0</v>
      </c>
      <c r="I894" s="139">
        <f>IFERROR(__xludf.DUMMYFUNCTION("""COMPUTED_VALUE"""),0.0)</f>
        <v>0</v>
      </c>
      <c r="J894" s="139">
        <f>IFERROR(__xludf.DUMMYFUNCTION("""COMPUTED_VALUE"""),4.0)</f>
        <v>4</v>
      </c>
      <c r="K894" s="141" t="str">
        <f>IFERROR(__xludf.DUMMYFUNCTION("""COMPUTED_VALUE"""),"SM11065")</f>
        <v>SM11065</v>
      </c>
      <c r="L894" s="139" t="str">
        <f>IFERROR(__xludf.DUMMYFUNCTION("""COMPUTED_VALUE"""),"Mr.SENTHIL KUMAR N")</f>
        <v>Mr.SENTHIL KUMAR N</v>
      </c>
      <c r="M894" s="142" t="str">
        <f>IFERROR(__xludf.DUMMYFUNCTION("""COMPUTED_VALUE"""),"senthilkumar@bitsathy.ac.in")</f>
        <v>senthilkumar@bitsathy.ac.in</v>
      </c>
    </row>
    <row r="895" ht="49.5" customHeight="1">
      <c r="A895" s="139" t="str">
        <f>IFERROR(__xludf.DUMMYFUNCTION("""COMPUTED_VALUE"""),"SMS")</f>
        <v>SMS</v>
      </c>
      <c r="B895" s="139" t="str">
        <f>IFERROR(__xludf.DUMMYFUNCTION("""COMPUTED_VALUE"""),"S4")</f>
        <v>S4</v>
      </c>
      <c r="C895" s="139" t="str">
        <f>IFERROR(__xludf.DUMMYFUNCTION("""COMPUTED_VALUE"""),"ELECTIVE 7")</f>
        <v>ELECTIVE 7</v>
      </c>
      <c r="D895" s="139" t="str">
        <f>IFERROR(__xludf.DUMMYFUNCTION("""COMPUTED_VALUE"""),"24MBH01")</f>
        <v>24MBH01</v>
      </c>
      <c r="E895" s="140" t="str">
        <f>IFERROR(__xludf.DUMMYFUNCTION("""COMPUTED_VALUE"""),"INDUSTRIAL RELATIONS AND LABOUR LAWS")</f>
        <v>INDUSTRIAL RELATIONS AND LABOUR LAWS</v>
      </c>
      <c r="F895" s="139" t="str">
        <f>IFERROR(__xludf.DUMMYFUNCTION("""COMPUTED_VALUE"""),"THEORY")</f>
        <v>THEORY</v>
      </c>
      <c r="G895" s="139">
        <f>IFERROR(__xludf.DUMMYFUNCTION("""COMPUTED_VALUE"""),4.0)</f>
        <v>4</v>
      </c>
      <c r="H895" s="139">
        <f>IFERROR(__xludf.DUMMYFUNCTION("""COMPUTED_VALUE"""),0.0)</f>
        <v>0</v>
      </c>
      <c r="I895" s="139">
        <f>IFERROR(__xludf.DUMMYFUNCTION("""COMPUTED_VALUE"""),0.0)</f>
        <v>0</v>
      </c>
      <c r="J895" s="139">
        <f>IFERROR(__xludf.DUMMYFUNCTION("""COMPUTED_VALUE"""),4.0)</f>
        <v>4</v>
      </c>
      <c r="K895" s="141" t="str">
        <f>IFERROR(__xludf.DUMMYFUNCTION("""COMPUTED_VALUE"""),"SM11133")</f>
        <v>SM11133</v>
      </c>
      <c r="L895" s="139" t="str">
        <f>IFERROR(__xludf.DUMMYFUNCTION("""COMPUTED_VALUE"""),"Mr.MAGESWARAN J")</f>
        <v>Mr.MAGESWARAN J</v>
      </c>
      <c r="M895" s="142" t="str">
        <f>IFERROR(__xludf.DUMMYFUNCTION("""COMPUTED_VALUE"""),"mageswaran@bitsathy.ac.in")</f>
        <v>mageswaran@bitsathy.ac.in</v>
      </c>
    </row>
    <row r="896" ht="49.5" customHeight="1">
      <c r="A896" s="139" t="str">
        <f>IFERROR(__xludf.DUMMYFUNCTION("""COMPUTED_VALUE"""),"SMS")</f>
        <v>SMS</v>
      </c>
      <c r="B896" s="139" t="str">
        <f>IFERROR(__xludf.DUMMYFUNCTION("""COMPUTED_VALUE"""),"S4")</f>
        <v>S4</v>
      </c>
      <c r="C896" s="139" t="str">
        <f>IFERROR(__xludf.DUMMYFUNCTION("""COMPUTED_VALUE"""),"ELECTIVE 8")</f>
        <v>ELECTIVE 8</v>
      </c>
      <c r="D896" s="139" t="str">
        <f>IFERROR(__xludf.DUMMYFUNCTION("""COMPUTED_VALUE"""),"24MBH09")</f>
        <v>24MBH09</v>
      </c>
      <c r="E896" s="140" t="str">
        <f>IFERROR(__xludf.DUMMYFUNCTION("""COMPUTED_VALUE"""),"HR ANALYTICS")</f>
        <v>HR ANALYTICS</v>
      </c>
      <c r="F896" s="139" t="str">
        <f>IFERROR(__xludf.DUMMYFUNCTION("""COMPUTED_VALUE"""),"THEORY")</f>
        <v>THEORY</v>
      </c>
      <c r="G896" s="139">
        <f>IFERROR(__xludf.DUMMYFUNCTION("""COMPUTED_VALUE"""),4.0)</f>
        <v>4</v>
      </c>
      <c r="H896" s="139">
        <f>IFERROR(__xludf.DUMMYFUNCTION("""COMPUTED_VALUE"""),0.0)</f>
        <v>0</v>
      </c>
      <c r="I896" s="139">
        <f>IFERROR(__xludf.DUMMYFUNCTION("""COMPUTED_VALUE"""),0.0)</f>
        <v>0</v>
      </c>
      <c r="J896" s="139">
        <f>IFERROR(__xludf.DUMMYFUNCTION("""COMPUTED_VALUE"""),4.0)</f>
        <v>4</v>
      </c>
      <c r="K896" s="141" t="str">
        <f>IFERROR(__xludf.DUMMYFUNCTION("""COMPUTED_VALUE"""),"SM11186")</f>
        <v>SM11186</v>
      </c>
      <c r="L896" s="139" t="str">
        <f>IFERROR(__xludf.DUMMYFUNCTION("""COMPUTED_VALUE"""),"Mr.SUGANESH S")</f>
        <v>Mr.SUGANESH S</v>
      </c>
      <c r="M896" s="142" t="str">
        <f>IFERROR(__xludf.DUMMYFUNCTION("""COMPUTED_VALUE"""),"suganeshs@bitsathy.ac.in")</f>
        <v>suganeshs@bitsathy.ac.in</v>
      </c>
    </row>
    <row r="897" ht="49.5" customHeight="1">
      <c r="A897" s="139" t="str">
        <f>IFERROR(__xludf.DUMMYFUNCTION("""COMPUTED_VALUE"""),"SMS")</f>
        <v>SMS</v>
      </c>
      <c r="B897" s="139" t="str">
        <f>IFERROR(__xludf.DUMMYFUNCTION("""COMPUTED_VALUE"""),"S4")</f>
        <v>S4</v>
      </c>
      <c r="C897" s="139" t="str">
        <f>IFERROR(__xludf.DUMMYFUNCTION("""COMPUTED_VALUE"""),"PROJECT")</f>
        <v>PROJECT</v>
      </c>
      <c r="D897" s="139" t="str">
        <f>IFERROR(__xludf.DUMMYFUNCTION("""COMPUTED_VALUE"""),"24MB402")</f>
        <v>24MB402</v>
      </c>
      <c r="E897" s="140" t="str">
        <f>IFERROR(__xludf.DUMMYFUNCTION("""COMPUTED_VALUE"""),"PROJECT")</f>
        <v>PROJECT</v>
      </c>
      <c r="F897" s="139"/>
      <c r="G897" s="139"/>
      <c r="H897" s="139"/>
      <c r="I897" s="139"/>
      <c r="J897" s="139">
        <f>IFERROR(__xludf.DUMMYFUNCTION("""COMPUTED_VALUE"""),6.0)</f>
        <v>6</v>
      </c>
      <c r="K897" s="141" t="str">
        <f>IFERROR(__xludf.DUMMYFUNCTION("""COMPUTED_VALUE"""),"SM11186")</f>
        <v>SM11186</v>
      </c>
      <c r="L897" s="139" t="str">
        <f>IFERROR(__xludf.DUMMYFUNCTION("""COMPUTED_VALUE"""),"Mr.SUGANESH S")</f>
        <v>Mr.SUGANESH S</v>
      </c>
      <c r="M897" s="142" t="str">
        <f>IFERROR(__xludf.DUMMYFUNCTION("""COMPUTED_VALUE"""),"suganeshs@bitsathy.ac.in")</f>
        <v>suganeshs@bitsathy.ac.in</v>
      </c>
    </row>
    <row r="898" ht="49.5" customHeight="1">
      <c r="A898" s="139" t="str">
        <f>IFERROR(__xludf.DUMMYFUNCTION("""COMPUTED_VALUE"""),"SMS")</f>
        <v>SMS</v>
      </c>
      <c r="B898" s="139" t="str">
        <f>IFERROR(__xludf.DUMMYFUNCTION("""COMPUTED_VALUE"""),"S4")</f>
        <v>S4</v>
      </c>
      <c r="C898" s="139" t="str">
        <f>IFERROR(__xludf.DUMMYFUNCTION("""COMPUTED_VALUE"""),"VIVA")</f>
        <v>VIVA</v>
      </c>
      <c r="D898" s="139" t="str">
        <f>IFERROR(__xludf.DUMMYFUNCTION("""COMPUTED_VALUE"""),"24MB403")</f>
        <v>24MB403</v>
      </c>
      <c r="E898" s="140" t="str">
        <f>IFERROR(__xludf.DUMMYFUNCTION("""COMPUTED_VALUE"""),"COMPREHENSIVE VIVA-VOCE - II")</f>
        <v>COMPREHENSIVE VIVA-VOCE - II</v>
      </c>
      <c r="F898" s="139"/>
      <c r="G898" s="139"/>
      <c r="H898" s="139"/>
      <c r="I898" s="139"/>
      <c r="J898" s="139">
        <f>IFERROR(__xludf.DUMMYFUNCTION("""COMPUTED_VALUE"""),1.0)</f>
        <v>1</v>
      </c>
      <c r="K898" s="141" t="str">
        <f>IFERROR(__xludf.DUMMYFUNCTION("""COMPUTED_VALUE"""),"SM11188")</f>
        <v>SM11188</v>
      </c>
      <c r="L898" s="139" t="str">
        <f>IFERROR(__xludf.DUMMYFUNCTION("""COMPUTED_VALUE"""),"Dr.ADHINARAYANAN B")</f>
        <v>Dr.ADHINARAYANAN B</v>
      </c>
      <c r="M898" s="142" t="str">
        <f>IFERROR(__xludf.DUMMYFUNCTION("""COMPUTED_VALUE"""),"adhinarayananb@bitsathy.ac.in")</f>
        <v>adhinarayananb@bitsathy.ac.in</v>
      </c>
    </row>
    <row r="899" ht="49.5" customHeight="1">
      <c r="A899" s="139"/>
      <c r="B899" s="139"/>
      <c r="C899" s="139"/>
      <c r="D899" s="139"/>
      <c r="E899" s="140"/>
      <c r="F899" s="139"/>
      <c r="G899" s="139"/>
      <c r="H899" s="139"/>
      <c r="I899" s="139"/>
      <c r="J899" s="139"/>
      <c r="K899" s="141"/>
      <c r="L899" s="139"/>
      <c r="M899" s="142"/>
    </row>
    <row r="900" ht="49.5" customHeight="1">
      <c r="A900" s="139"/>
      <c r="B900" s="139"/>
      <c r="C900" s="139"/>
      <c r="D900" s="139"/>
      <c r="E900" s="140"/>
      <c r="F900" s="139"/>
      <c r="G900" s="139"/>
      <c r="H900" s="139"/>
      <c r="I900" s="139"/>
      <c r="J900" s="139"/>
      <c r="K900" s="141"/>
      <c r="L900" s="139"/>
      <c r="M900" s="142"/>
    </row>
    <row r="901" ht="49.5" customHeight="1">
      <c r="A901" s="139"/>
      <c r="B901" s="139"/>
      <c r="C901" s="139"/>
      <c r="D901" s="139"/>
      <c r="E901" s="140"/>
      <c r="F901" s="139"/>
      <c r="G901" s="139"/>
      <c r="H901" s="139"/>
      <c r="I901" s="139"/>
      <c r="J901" s="139"/>
      <c r="K901" s="141"/>
      <c r="L901" s="139"/>
      <c r="M901" s="142"/>
    </row>
    <row r="902" ht="49.5" customHeight="1">
      <c r="A902" s="139"/>
      <c r="B902" s="139"/>
      <c r="C902" s="139"/>
      <c r="D902" s="139"/>
      <c r="E902" s="140"/>
      <c r="F902" s="139"/>
      <c r="G902" s="139"/>
      <c r="H902" s="139"/>
      <c r="I902" s="139"/>
      <c r="J902" s="139"/>
      <c r="K902" s="141"/>
      <c r="L902" s="139"/>
      <c r="M902" s="142"/>
    </row>
    <row r="903" ht="49.5" customHeight="1">
      <c r="A903" s="139"/>
      <c r="B903" s="139"/>
      <c r="C903" s="139"/>
      <c r="D903" s="139"/>
      <c r="E903" s="140"/>
      <c r="F903" s="139"/>
      <c r="G903" s="139"/>
      <c r="H903" s="139"/>
      <c r="I903" s="139"/>
      <c r="J903" s="139"/>
      <c r="K903" s="141"/>
      <c r="L903" s="139"/>
      <c r="M903" s="142"/>
    </row>
    <row r="904" ht="49.5" customHeight="1">
      <c r="A904" s="139"/>
      <c r="B904" s="139"/>
      <c r="C904" s="139"/>
      <c r="D904" s="139"/>
      <c r="E904" s="140"/>
      <c r="F904" s="139"/>
      <c r="G904" s="139"/>
      <c r="H904" s="139"/>
      <c r="I904" s="139"/>
      <c r="J904" s="139"/>
      <c r="K904" s="141"/>
      <c r="L904" s="139"/>
      <c r="M904" s="142"/>
    </row>
    <row r="905" ht="49.5" customHeight="1">
      <c r="A905" s="139"/>
      <c r="B905" s="139"/>
      <c r="C905" s="139"/>
      <c r="D905" s="139"/>
      <c r="E905" s="140"/>
      <c r="F905" s="139"/>
      <c r="G905" s="139"/>
      <c r="H905" s="139"/>
      <c r="I905" s="139"/>
      <c r="J905" s="139"/>
      <c r="K905" s="141"/>
      <c r="L905" s="139"/>
      <c r="M905" s="142"/>
    </row>
    <row r="906" ht="49.5" customHeight="1">
      <c r="A906" s="139"/>
      <c r="B906" s="139"/>
      <c r="C906" s="139"/>
      <c r="D906" s="139"/>
      <c r="E906" s="140"/>
      <c r="F906" s="139"/>
      <c r="G906" s="139"/>
      <c r="H906" s="139"/>
      <c r="I906" s="139"/>
      <c r="J906" s="139"/>
      <c r="K906" s="141"/>
      <c r="L906" s="139"/>
      <c r="M906" s="142"/>
    </row>
    <row r="907" ht="49.5" customHeight="1">
      <c r="A907" s="139"/>
      <c r="B907" s="139"/>
      <c r="C907" s="139"/>
      <c r="D907" s="139"/>
      <c r="E907" s="140"/>
      <c r="F907" s="139"/>
      <c r="G907" s="139"/>
      <c r="H907" s="139"/>
      <c r="I907" s="139"/>
      <c r="J907" s="139"/>
      <c r="K907" s="141"/>
      <c r="L907" s="139"/>
      <c r="M907" s="142"/>
    </row>
    <row r="908" ht="49.5" customHeight="1">
      <c r="A908" s="139"/>
      <c r="B908" s="139"/>
      <c r="C908" s="139"/>
      <c r="D908" s="139"/>
      <c r="E908" s="140"/>
      <c r="F908" s="139"/>
      <c r="G908" s="139"/>
      <c r="H908" s="139"/>
      <c r="I908" s="139"/>
      <c r="J908" s="139"/>
      <c r="K908" s="141"/>
      <c r="L908" s="139"/>
      <c r="M908" s="142"/>
    </row>
    <row r="909" ht="49.5" customHeight="1">
      <c r="A909" s="139"/>
      <c r="B909" s="139"/>
      <c r="C909" s="139"/>
      <c r="D909" s="139"/>
      <c r="E909" s="140"/>
      <c r="F909" s="139"/>
      <c r="G909" s="139"/>
      <c r="H909" s="139"/>
      <c r="I909" s="139"/>
      <c r="J909" s="139"/>
      <c r="K909" s="141"/>
      <c r="L909" s="139"/>
      <c r="M909" s="142"/>
    </row>
    <row r="910" ht="49.5" customHeight="1">
      <c r="A910" s="139"/>
      <c r="B910" s="139"/>
      <c r="C910" s="139"/>
      <c r="D910" s="139"/>
      <c r="E910" s="140"/>
      <c r="F910" s="139"/>
      <c r="G910" s="139"/>
      <c r="H910" s="139"/>
      <c r="I910" s="139"/>
      <c r="J910" s="139"/>
      <c r="K910" s="141"/>
      <c r="L910" s="139"/>
      <c r="M910" s="142"/>
    </row>
    <row r="911" ht="49.5" customHeight="1">
      <c r="A911" s="139"/>
      <c r="B911" s="139"/>
      <c r="C911" s="139"/>
      <c r="D911" s="139"/>
      <c r="E911" s="140"/>
      <c r="F911" s="139"/>
      <c r="G911" s="139"/>
      <c r="H911" s="139"/>
      <c r="I911" s="139"/>
      <c r="J911" s="139"/>
      <c r="K911" s="141"/>
      <c r="L911" s="139"/>
      <c r="M911" s="142"/>
    </row>
    <row r="912" ht="49.5" customHeight="1">
      <c r="A912" s="139"/>
      <c r="B912" s="139"/>
      <c r="C912" s="139"/>
      <c r="D912" s="139"/>
      <c r="E912" s="140"/>
      <c r="F912" s="139"/>
      <c r="G912" s="139"/>
      <c r="H912" s="139"/>
      <c r="I912" s="139"/>
      <c r="J912" s="139"/>
      <c r="K912" s="141"/>
      <c r="L912" s="139"/>
      <c r="M912" s="142"/>
    </row>
    <row r="913" ht="49.5" customHeight="1">
      <c r="A913" s="139"/>
      <c r="B913" s="139"/>
      <c r="C913" s="139"/>
      <c r="D913" s="139"/>
      <c r="E913" s="140"/>
      <c r="F913" s="139"/>
      <c r="G913" s="139"/>
      <c r="H913" s="139"/>
      <c r="I913" s="139"/>
      <c r="J913" s="139"/>
      <c r="K913" s="141"/>
      <c r="L913" s="139"/>
      <c r="M913" s="142"/>
    </row>
    <row r="914" ht="49.5" customHeight="1">
      <c r="A914" s="139"/>
      <c r="B914" s="139"/>
      <c r="C914" s="139"/>
      <c r="D914" s="139"/>
      <c r="E914" s="140"/>
      <c r="F914" s="139"/>
      <c r="G914" s="139"/>
      <c r="H914" s="139"/>
      <c r="I914" s="139"/>
      <c r="J914" s="139"/>
      <c r="K914" s="141"/>
      <c r="L914" s="139"/>
      <c r="M914" s="142"/>
    </row>
    <row r="915" ht="49.5" customHeight="1">
      <c r="A915" s="139"/>
      <c r="B915" s="139"/>
      <c r="C915" s="139"/>
      <c r="D915" s="139"/>
      <c r="E915" s="140"/>
      <c r="F915" s="139"/>
      <c r="G915" s="139"/>
      <c r="H915" s="139"/>
      <c r="I915" s="139"/>
      <c r="J915" s="139"/>
      <c r="K915" s="141"/>
      <c r="L915" s="139"/>
      <c r="M915" s="142"/>
    </row>
    <row r="916" ht="49.5" customHeight="1">
      <c r="A916" s="139"/>
      <c r="B916" s="139"/>
      <c r="C916" s="139"/>
      <c r="D916" s="139"/>
      <c r="E916" s="140"/>
      <c r="F916" s="139"/>
      <c r="G916" s="139"/>
      <c r="H916" s="139"/>
      <c r="I916" s="139"/>
      <c r="J916" s="139"/>
      <c r="K916" s="141"/>
      <c r="L916" s="139"/>
      <c r="M916" s="142"/>
    </row>
    <row r="917" ht="49.5" customHeight="1">
      <c r="A917" s="139"/>
      <c r="B917" s="139"/>
      <c r="C917" s="139"/>
      <c r="D917" s="139"/>
      <c r="E917" s="140"/>
      <c r="F917" s="139"/>
      <c r="G917" s="139"/>
      <c r="H917" s="139"/>
      <c r="I917" s="139"/>
      <c r="J917" s="139"/>
      <c r="K917" s="141"/>
      <c r="L917" s="139"/>
      <c r="M917" s="142"/>
    </row>
    <row r="918" ht="49.5" customHeight="1">
      <c r="A918" s="139"/>
      <c r="B918" s="139"/>
      <c r="C918" s="139"/>
      <c r="D918" s="139"/>
      <c r="E918" s="140"/>
      <c r="F918" s="139"/>
      <c r="G918" s="139"/>
      <c r="H918" s="139"/>
      <c r="I918" s="139"/>
      <c r="J918" s="139"/>
      <c r="K918" s="141"/>
      <c r="L918" s="139"/>
      <c r="M918" s="142"/>
    </row>
    <row r="919" ht="49.5" customHeight="1">
      <c r="A919" s="139"/>
      <c r="B919" s="139"/>
      <c r="C919" s="139"/>
      <c r="D919" s="139"/>
      <c r="E919" s="140"/>
      <c r="F919" s="139"/>
      <c r="G919" s="139"/>
      <c r="H919" s="139"/>
      <c r="I919" s="139"/>
      <c r="J919" s="139"/>
      <c r="K919" s="141"/>
      <c r="L919" s="139"/>
      <c r="M919" s="142"/>
    </row>
    <row r="920" ht="49.5" customHeight="1">
      <c r="A920" s="139"/>
      <c r="B920" s="139"/>
      <c r="C920" s="139"/>
      <c r="D920" s="139"/>
      <c r="E920" s="140"/>
      <c r="F920" s="139"/>
      <c r="G920" s="139"/>
      <c r="H920" s="139"/>
      <c r="I920" s="139"/>
      <c r="J920" s="139"/>
      <c r="K920" s="141"/>
      <c r="L920" s="139"/>
      <c r="M920" s="142"/>
    </row>
    <row r="921" ht="49.5" customHeight="1">
      <c r="A921" s="139"/>
      <c r="B921" s="139"/>
      <c r="C921" s="139"/>
      <c r="D921" s="139"/>
      <c r="E921" s="140"/>
      <c r="F921" s="139"/>
      <c r="G921" s="139"/>
      <c r="H921" s="139"/>
      <c r="I921" s="139"/>
      <c r="J921" s="139"/>
      <c r="K921" s="141"/>
      <c r="L921" s="139"/>
      <c r="M921" s="142"/>
    </row>
    <row r="922" ht="49.5" customHeight="1">
      <c r="A922" s="139"/>
      <c r="B922" s="139"/>
      <c r="C922" s="139"/>
      <c r="D922" s="139"/>
      <c r="E922" s="140"/>
      <c r="F922" s="139"/>
      <c r="G922" s="139"/>
      <c r="H922" s="139"/>
      <c r="I922" s="139"/>
      <c r="J922" s="139"/>
      <c r="K922" s="141"/>
      <c r="L922" s="139"/>
      <c r="M922" s="142"/>
    </row>
    <row r="923" ht="49.5" customHeight="1">
      <c r="A923" s="139"/>
      <c r="B923" s="139"/>
      <c r="C923" s="139"/>
      <c r="D923" s="139"/>
      <c r="E923" s="140"/>
      <c r="F923" s="139"/>
      <c r="G923" s="139"/>
      <c r="H923" s="139"/>
      <c r="I923" s="139"/>
      <c r="J923" s="139"/>
      <c r="K923" s="141"/>
      <c r="L923" s="139"/>
      <c r="M923" s="142"/>
    </row>
    <row r="924" ht="49.5" customHeight="1">
      <c r="A924" s="139"/>
      <c r="B924" s="139"/>
      <c r="C924" s="139"/>
      <c r="D924" s="139"/>
      <c r="E924" s="140"/>
      <c r="F924" s="139"/>
      <c r="G924" s="139"/>
      <c r="H924" s="139"/>
      <c r="I924" s="139"/>
      <c r="J924" s="139"/>
      <c r="K924" s="141"/>
      <c r="L924" s="139"/>
      <c r="M924" s="142"/>
    </row>
    <row r="925" ht="49.5" customHeight="1">
      <c r="A925" s="139"/>
      <c r="B925" s="139"/>
      <c r="C925" s="139"/>
      <c r="D925" s="139"/>
      <c r="E925" s="140"/>
      <c r="F925" s="139"/>
      <c r="G925" s="139"/>
      <c r="H925" s="139"/>
      <c r="I925" s="139"/>
      <c r="J925" s="139"/>
      <c r="K925" s="141"/>
      <c r="L925" s="139"/>
      <c r="M925" s="142"/>
    </row>
    <row r="926" ht="49.5" customHeight="1">
      <c r="A926" s="139"/>
      <c r="B926" s="139"/>
      <c r="C926" s="139"/>
      <c r="D926" s="139"/>
      <c r="E926" s="140"/>
      <c r="F926" s="139"/>
      <c r="G926" s="139"/>
      <c r="H926" s="139"/>
      <c r="I926" s="139"/>
      <c r="J926" s="139"/>
      <c r="K926" s="141"/>
      <c r="L926" s="139"/>
      <c r="M926" s="142"/>
    </row>
    <row r="927" ht="49.5" customHeight="1">
      <c r="A927" s="139"/>
      <c r="B927" s="139"/>
      <c r="C927" s="139"/>
      <c r="D927" s="139"/>
      <c r="E927" s="140"/>
      <c r="F927" s="139"/>
      <c r="G927" s="139"/>
      <c r="H927" s="139"/>
      <c r="I927" s="139"/>
      <c r="J927" s="139"/>
      <c r="K927" s="141"/>
      <c r="L927" s="139"/>
      <c r="M927" s="142"/>
    </row>
    <row r="928" ht="49.5" customHeight="1">
      <c r="A928" s="139"/>
      <c r="B928" s="139"/>
      <c r="C928" s="139"/>
      <c r="D928" s="139"/>
      <c r="E928" s="140"/>
      <c r="F928" s="139"/>
      <c r="G928" s="139"/>
      <c r="H928" s="139"/>
      <c r="I928" s="139"/>
      <c r="J928" s="139"/>
      <c r="K928" s="141"/>
      <c r="L928" s="139"/>
      <c r="M928" s="142"/>
    </row>
    <row r="929" ht="49.5" customHeight="1">
      <c r="A929" s="139"/>
      <c r="B929" s="139"/>
      <c r="C929" s="139"/>
      <c r="D929" s="139"/>
      <c r="E929" s="140"/>
      <c r="F929" s="139"/>
      <c r="G929" s="139"/>
      <c r="H929" s="139"/>
      <c r="I929" s="139"/>
      <c r="J929" s="139"/>
      <c r="K929" s="141"/>
      <c r="L929" s="139"/>
      <c r="M929" s="142"/>
    </row>
    <row r="930" ht="49.5" customHeight="1">
      <c r="A930" s="139"/>
      <c r="B930" s="139"/>
      <c r="C930" s="139"/>
      <c r="D930" s="139"/>
      <c r="E930" s="140"/>
      <c r="F930" s="139"/>
      <c r="G930" s="139"/>
      <c r="H930" s="139"/>
      <c r="I930" s="139"/>
      <c r="J930" s="139"/>
      <c r="K930" s="141"/>
      <c r="L930" s="139"/>
      <c r="M930" s="142"/>
    </row>
    <row r="931" ht="49.5" customHeight="1">
      <c r="A931" s="139"/>
      <c r="B931" s="139"/>
      <c r="C931" s="139"/>
      <c r="D931" s="139"/>
      <c r="E931" s="140"/>
      <c r="F931" s="139"/>
      <c r="G931" s="139"/>
      <c r="H931" s="139"/>
      <c r="I931" s="139"/>
      <c r="J931" s="139"/>
      <c r="K931" s="141"/>
      <c r="L931" s="139"/>
      <c r="M931" s="142"/>
    </row>
    <row r="932" ht="49.5" customHeight="1">
      <c r="A932" s="139"/>
      <c r="B932" s="139"/>
      <c r="C932" s="139"/>
      <c r="D932" s="139"/>
      <c r="E932" s="140"/>
      <c r="F932" s="139"/>
      <c r="G932" s="139"/>
      <c r="H932" s="139"/>
      <c r="I932" s="139"/>
      <c r="J932" s="139"/>
      <c r="K932" s="141"/>
      <c r="L932" s="139"/>
      <c r="M932" s="142"/>
    </row>
    <row r="933" ht="49.5" customHeight="1">
      <c r="A933" s="139"/>
      <c r="B933" s="139"/>
      <c r="C933" s="139"/>
      <c r="D933" s="139"/>
      <c r="E933" s="140"/>
      <c r="F933" s="139"/>
      <c r="G933" s="139"/>
      <c r="H933" s="139"/>
      <c r="I933" s="139"/>
      <c r="J933" s="139"/>
      <c r="K933" s="141"/>
      <c r="L933" s="139"/>
      <c r="M933" s="142"/>
    </row>
    <row r="934" ht="49.5" customHeight="1">
      <c r="A934" s="139"/>
      <c r="B934" s="139"/>
      <c r="C934" s="139"/>
      <c r="D934" s="139"/>
      <c r="E934" s="140"/>
      <c r="F934" s="139"/>
      <c r="G934" s="139"/>
      <c r="H934" s="139"/>
      <c r="I934" s="139"/>
      <c r="J934" s="139"/>
      <c r="K934" s="141"/>
      <c r="L934" s="139"/>
      <c r="M934" s="142"/>
    </row>
    <row r="935" ht="49.5" customHeight="1">
      <c r="A935" s="139"/>
      <c r="B935" s="139"/>
      <c r="C935" s="139"/>
      <c r="D935" s="139"/>
      <c r="E935" s="140"/>
      <c r="F935" s="139"/>
      <c r="G935" s="139"/>
      <c r="H935" s="139"/>
      <c r="I935" s="139"/>
      <c r="J935" s="139"/>
      <c r="K935" s="141"/>
      <c r="L935" s="139"/>
      <c r="M935" s="142"/>
    </row>
    <row r="936" ht="49.5" customHeight="1">
      <c r="A936" s="139"/>
      <c r="B936" s="139"/>
      <c r="C936" s="139"/>
      <c r="D936" s="139"/>
      <c r="E936" s="140"/>
      <c r="F936" s="139"/>
      <c r="G936" s="139"/>
      <c r="H936" s="139"/>
      <c r="I936" s="139"/>
      <c r="J936" s="139"/>
      <c r="K936" s="141"/>
      <c r="L936" s="139"/>
      <c r="M936" s="142"/>
    </row>
    <row r="937" ht="49.5" customHeight="1">
      <c r="A937" s="139"/>
      <c r="B937" s="139"/>
      <c r="C937" s="139"/>
      <c r="D937" s="139"/>
      <c r="E937" s="140"/>
      <c r="F937" s="139"/>
      <c r="G937" s="139"/>
      <c r="H937" s="139"/>
      <c r="I937" s="139"/>
      <c r="J937" s="139"/>
      <c r="K937" s="141"/>
      <c r="L937" s="139"/>
      <c r="M937" s="142"/>
    </row>
    <row r="938" ht="49.5" customHeight="1">
      <c r="A938" s="139"/>
      <c r="B938" s="139"/>
      <c r="C938" s="139"/>
      <c r="D938" s="139"/>
      <c r="E938" s="140"/>
      <c r="F938" s="139"/>
      <c r="G938" s="139"/>
      <c r="H938" s="139"/>
      <c r="I938" s="139"/>
      <c r="J938" s="139"/>
      <c r="K938" s="141"/>
      <c r="L938" s="139"/>
      <c r="M938" s="142"/>
    </row>
    <row r="939" ht="49.5" customHeight="1">
      <c r="A939" s="139"/>
      <c r="B939" s="139"/>
      <c r="C939" s="139"/>
      <c r="D939" s="139"/>
      <c r="E939" s="140"/>
      <c r="F939" s="139"/>
      <c r="G939" s="139"/>
      <c r="H939" s="139"/>
      <c r="I939" s="139"/>
      <c r="J939" s="139"/>
      <c r="K939" s="141"/>
      <c r="L939" s="139"/>
      <c r="M939" s="142"/>
    </row>
    <row r="940" ht="49.5" customHeight="1">
      <c r="A940" s="139"/>
      <c r="B940" s="139"/>
      <c r="C940" s="139"/>
      <c r="D940" s="139"/>
      <c r="E940" s="140"/>
      <c r="F940" s="139"/>
      <c r="G940" s="139"/>
      <c r="H940" s="139"/>
      <c r="I940" s="139"/>
      <c r="J940" s="139"/>
      <c r="K940" s="141"/>
      <c r="L940" s="139"/>
      <c r="M940" s="142"/>
    </row>
    <row r="941" ht="49.5" customHeight="1">
      <c r="A941" s="139"/>
      <c r="B941" s="139"/>
      <c r="C941" s="139"/>
      <c r="D941" s="139"/>
      <c r="E941" s="140"/>
      <c r="F941" s="139"/>
      <c r="G941" s="139"/>
      <c r="H941" s="139"/>
      <c r="I941" s="139"/>
      <c r="J941" s="139"/>
      <c r="K941" s="141"/>
      <c r="L941" s="139"/>
      <c r="M941" s="142"/>
    </row>
    <row r="942" ht="49.5" customHeight="1">
      <c r="A942" s="139"/>
      <c r="B942" s="139"/>
      <c r="C942" s="139"/>
      <c r="D942" s="139"/>
      <c r="E942" s="140"/>
      <c r="F942" s="139"/>
      <c r="G942" s="139"/>
      <c r="H942" s="139"/>
      <c r="I942" s="139"/>
      <c r="J942" s="139"/>
      <c r="K942" s="141"/>
      <c r="L942" s="139"/>
      <c r="M942" s="142"/>
    </row>
    <row r="943" ht="49.5" customHeight="1">
      <c r="A943" s="139"/>
      <c r="B943" s="139"/>
      <c r="C943" s="139"/>
      <c r="D943" s="139"/>
      <c r="E943" s="140"/>
      <c r="F943" s="139"/>
      <c r="G943" s="139"/>
      <c r="H943" s="139"/>
      <c r="I943" s="139"/>
      <c r="J943" s="139"/>
      <c r="K943" s="141"/>
      <c r="L943" s="139"/>
      <c r="M943" s="142"/>
    </row>
    <row r="944" ht="49.5" customHeight="1">
      <c r="A944" s="139"/>
      <c r="B944" s="139"/>
      <c r="C944" s="139"/>
      <c r="D944" s="139"/>
      <c r="E944" s="140"/>
      <c r="F944" s="139"/>
      <c r="G944" s="139"/>
      <c r="H944" s="139"/>
      <c r="I944" s="139"/>
      <c r="J944" s="139"/>
      <c r="K944" s="141"/>
      <c r="L944" s="139"/>
      <c r="M944" s="142"/>
    </row>
    <row r="945" ht="49.5" customHeight="1">
      <c r="A945" s="139"/>
      <c r="B945" s="139"/>
      <c r="C945" s="139"/>
      <c r="D945" s="139"/>
      <c r="E945" s="140"/>
      <c r="F945" s="139"/>
      <c r="G945" s="139"/>
      <c r="H945" s="139"/>
      <c r="I945" s="139"/>
      <c r="J945" s="139"/>
      <c r="K945" s="141"/>
      <c r="L945" s="139"/>
      <c r="M945" s="142"/>
    </row>
    <row r="946" ht="49.5" customHeight="1">
      <c r="A946" s="139"/>
      <c r="B946" s="139"/>
      <c r="C946" s="139"/>
      <c r="D946" s="139"/>
      <c r="E946" s="140"/>
      <c r="F946" s="139"/>
      <c r="G946" s="139"/>
      <c r="H946" s="139"/>
      <c r="I946" s="139"/>
      <c r="J946" s="139"/>
      <c r="K946" s="141"/>
      <c r="L946" s="139"/>
      <c r="M946" s="142"/>
    </row>
    <row r="947" ht="49.5" customHeight="1">
      <c r="A947" s="139"/>
      <c r="B947" s="139"/>
      <c r="C947" s="139"/>
      <c r="D947" s="139"/>
      <c r="E947" s="140"/>
      <c r="F947" s="139"/>
      <c r="G947" s="139"/>
      <c r="H947" s="139"/>
      <c r="I947" s="139"/>
      <c r="J947" s="139"/>
      <c r="K947" s="141"/>
      <c r="L947" s="139"/>
      <c r="M947" s="142"/>
    </row>
    <row r="948" ht="49.5" customHeight="1">
      <c r="A948" s="139"/>
      <c r="B948" s="139"/>
      <c r="C948" s="139"/>
      <c r="D948" s="139"/>
      <c r="E948" s="140"/>
      <c r="F948" s="139"/>
      <c r="G948" s="139"/>
      <c r="H948" s="139"/>
      <c r="I948" s="139"/>
      <c r="J948" s="139"/>
      <c r="K948" s="141"/>
      <c r="L948" s="139"/>
      <c r="M948" s="142"/>
    </row>
    <row r="949" ht="49.5" customHeight="1">
      <c r="A949" s="139"/>
      <c r="B949" s="139"/>
      <c r="C949" s="139"/>
      <c r="D949" s="139"/>
      <c r="E949" s="140"/>
      <c r="F949" s="139"/>
      <c r="G949" s="139"/>
      <c r="H949" s="139"/>
      <c r="I949" s="139"/>
      <c r="J949" s="139"/>
      <c r="K949" s="141"/>
      <c r="L949" s="139"/>
      <c r="M949" s="142"/>
    </row>
    <row r="950" ht="49.5" customHeight="1">
      <c r="A950" s="139"/>
      <c r="B950" s="139"/>
      <c r="C950" s="139"/>
      <c r="D950" s="139"/>
      <c r="E950" s="140"/>
      <c r="F950" s="139"/>
      <c r="G950" s="139"/>
      <c r="H950" s="139"/>
      <c r="I950" s="139"/>
      <c r="J950" s="139"/>
      <c r="K950" s="141"/>
      <c r="L950" s="139"/>
      <c r="M950" s="142"/>
    </row>
    <row r="951" ht="49.5" customHeight="1">
      <c r="A951" s="139"/>
      <c r="B951" s="139"/>
      <c r="C951" s="139"/>
      <c r="D951" s="139"/>
      <c r="E951" s="140"/>
      <c r="F951" s="139"/>
      <c r="G951" s="139"/>
      <c r="H951" s="139"/>
      <c r="I951" s="139"/>
      <c r="J951" s="139"/>
      <c r="K951" s="141"/>
      <c r="L951" s="139"/>
      <c r="M951" s="142"/>
    </row>
    <row r="952" ht="49.5" customHeight="1">
      <c r="A952" s="139"/>
      <c r="B952" s="139"/>
      <c r="C952" s="139"/>
      <c r="D952" s="139"/>
      <c r="E952" s="140"/>
      <c r="F952" s="139"/>
      <c r="G952" s="139"/>
      <c r="H952" s="139"/>
      <c r="I952" s="139"/>
      <c r="J952" s="139"/>
      <c r="K952" s="141"/>
      <c r="L952" s="139"/>
      <c r="M952" s="142"/>
    </row>
    <row r="953" ht="49.5" customHeight="1">
      <c r="A953" s="139"/>
      <c r="B953" s="139"/>
      <c r="C953" s="139"/>
      <c r="D953" s="139"/>
      <c r="E953" s="140"/>
      <c r="F953" s="139"/>
      <c r="G953" s="139"/>
      <c r="H953" s="139"/>
      <c r="I953" s="139"/>
      <c r="J953" s="139"/>
      <c r="K953" s="141"/>
      <c r="L953" s="139"/>
      <c r="M953" s="142"/>
    </row>
    <row r="954" ht="49.5" customHeight="1">
      <c r="A954" s="139"/>
      <c r="B954" s="139"/>
      <c r="C954" s="139"/>
      <c r="D954" s="139"/>
      <c r="E954" s="140"/>
      <c r="F954" s="139"/>
      <c r="G954" s="139"/>
      <c r="H954" s="139"/>
      <c r="I954" s="139"/>
      <c r="J954" s="139"/>
      <c r="K954" s="141"/>
      <c r="L954" s="139"/>
      <c r="M954" s="142"/>
    </row>
    <row r="955" ht="49.5" customHeight="1">
      <c r="A955" s="139"/>
      <c r="B955" s="139"/>
      <c r="C955" s="139"/>
      <c r="D955" s="139"/>
      <c r="E955" s="140"/>
      <c r="F955" s="139"/>
      <c r="G955" s="139"/>
      <c r="H955" s="139"/>
      <c r="I955" s="139"/>
      <c r="J955" s="139"/>
      <c r="K955" s="141"/>
      <c r="L955" s="139"/>
      <c r="M955" s="142"/>
    </row>
    <row r="956" ht="49.5" customHeight="1">
      <c r="A956" s="139"/>
      <c r="B956" s="139"/>
      <c r="C956" s="139"/>
      <c r="D956" s="139"/>
      <c r="E956" s="140"/>
      <c r="F956" s="139"/>
      <c r="G956" s="139"/>
      <c r="H956" s="139"/>
      <c r="I956" s="139"/>
      <c r="J956" s="139"/>
      <c r="K956" s="141"/>
      <c r="L956" s="139"/>
      <c r="M956" s="142"/>
    </row>
    <row r="957" ht="49.5" customHeight="1">
      <c r="A957" s="139"/>
      <c r="B957" s="139"/>
      <c r="C957" s="139"/>
      <c r="D957" s="139"/>
      <c r="E957" s="140"/>
      <c r="F957" s="139"/>
      <c r="G957" s="139"/>
      <c r="H957" s="139"/>
      <c r="I957" s="139"/>
      <c r="J957" s="139"/>
      <c r="K957" s="141"/>
      <c r="L957" s="139"/>
      <c r="M957" s="142"/>
    </row>
    <row r="958" ht="49.5" customHeight="1">
      <c r="A958" s="139"/>
      <c r="B958" s="139"/>
      <c r="C958" s="139"/>
      <c r="D958" s="139"/>
      <c r="E958" s="140"/>
      <c r="F958" s="139"/>
      <c r="G958" s="139"/>
      <c r="H958" s="139"/>
      <c r="I958" s="139"/>
      <c r="J958" s="139"/>
      <c r="K958" s="141"/>
      <c r="L958" s="139"/>
      <c r="M958" s="142"/>
    </row>
    <row r="959" ht="49.5" customHeight="1">
      <c r="A959" s="139"/>
      <c r="B959" s="139"/>
      <c r="C959" s="139"/>
      <c r="D959" s="139"/>
      <c r="E959" s="140"/>
      <c r="F959" s="139"/>
      <c r="G959" s="139"/>
      <c r="H959" s="139"/>
      <c r="I959" s="139"/>
      <c r="J959" s="139"/>
      <c r="K959" s="141"/>
      <c r="L959" s="139"/>
      <c r="M959" s="142"/>
    </row>
    <row r="960" ht="49.5" customHeight="1">
      <c r="A960" s="139"/>
      <c r="B960" s="139"/>
      <c r="C960" s="139"/>
      <c r="D960" s="139"/>
      <c r="E960" s="140"/>
      <c r="F960" s="139"/>
      <c r="G960" s="139"/>
      <c r="H960" s="139"/>
      <c r="I960" s="139"/>
      <c r="J960" s="139"/>
      <c r="K960" s="141"/>
      <c r="L960" s="139"/>
      <c r="M960" s="142"/>
    </row>
    <row r="961" ht="49.5" customHeight="1">
      <c r="A961" s="139"/>
      <c r="B961" s="139"/>
      <c r="C961" s="139"/>
      <c r="D961" s="139"/>
      <c r="E961" s="140"/>
      <c r="F961" s="139"/>
      <c r="G961" s="139"/>
      <c r="H961" s="139"/>
      <c r="I961" s="139"/>
      <c r="J961" s="139"/>
      <c r="K961" s="141"/>
      <c r="L961" s="139"/>
      <c r="M961" s="142"/>
    </row>
    <row r="962" ht="49.5" customHeight="1">
      <c r="A962" s="139"/>
      <c r="B962" s="139"/>
      <c r="C962" s="139"/>
      <c r="D962" s="139"/>
      <c r="E962" s="140"/>
      <c r="F962" s="139"/>
      <c r="G962" s="139"/>
      <c r="H962" s="139"/>
      <c r="I962" s="139"/>
      <c r="J962" s="139"/>
      <c r="K962" s="141"/>
      <c r="L962" s="139"/>
      <c r="M962" s="142"/>
    </row>
    <row r="963" ht="49.5" customHeight="1">
      <c r="A963" s="139"/>
      <c r="B963" s="139"/>
      <c r="C963" s="139"/>
      <c r="D963" s="139"/>
      <c r="E963" s="140"/>
      <c r="F963" s="139"/>
      <c r="G963" s="139"/>
      <c r="H963" s="139"/>
      <c r="I963" s="139"/>
      <c r="J963" s="139"/>
      <c r="K963" s="141"/>
      <c r="L963" s="139"/>
      <c r="M963" s="142"/>
    </row>
    <row r="964" ht="49.5" customHeight="1">
      <c r="A964" s="139"/>
      <c r="B964" s="139"/>
      <c r="C964" s="139"/>
      <c r="D964" s="139"/>
      <c r="E964" s="140"/>
      <c r="F964" s="139"/>
      <c r="G964" s="139"/>
      <c r="H964" s="139"/>
      <c r="I964" s="139"/>
      <c r="J964" s="139"/>
      <c r="K964" s="141"/>
      <c r="L964" s="139"/>
      <c r="M964" s="142"/>
    </row>
    <row r="965" ht="49.5" customHeight="1">
      <c r="A965" s="139"/>
      <c r="B965" s="139"/>
      <c r="C965" s="139"/>
      <c r="D965" s="139"/>
      <c r="E965" s="140"/>
      <c r="F965" s="139"/>
      <c r="G965" s="139"/>
      <c r="H965" s="139"/>
      <c r="I965" s="139"/>
      <c r="J965" s="139"/>
      <c r="K965" s="141"/>
      <c r="L965" s="139"/>
      <c r="M965" s="142"/>
    </row>
    <row r="966" ht="49.5" customHeight="1">
      <c r="A966" s="139"/>
      <c r="B966" s="139"/>
      <c r="C966" s="139"/>
      <c r="D966" s="139"/>
      <c r="E966" s="140"/>
      <c r="F966" s="139"/>
      <c r="G966" s="139"/>
      <c r="H966" s="139"/>
      <c r="I966" s="139"/>
      <c r="J966" s="139"/>
      <c r="K966" s="141"/>
      <c r="L966" s="139"/>
      <c r="M966" s="142"/>
    </row>
    <row r="967" ht="49.5" customHeight="1">
      <c r="A967" s="139"/>
      <c r="B967" s="139"/>
      <c r="C967" s="139"/>
      <c r="D967" s="139"/>
      <c r="E967" s="140"/>
      <c r="F967" s="139"/>
      <c r="G967" s="139"/>
      <c r="H967" s="139"/>
      <c r="I967" s="139"/>
      <c r="J967" s="139"/>
      <c r="K967" s="141"/>
      <c r="L967" s="139"/>
      <c r="M967" s="142"/>
    </row>
    <row r="968" ht="49.5" customHeight="1">
      <c r="A968" s="139"/>
      <c r="B968" s="139"/>
      <c r="C968" s="139"/>
      <c r="D968" s="139"/>
      <c r="E968" s="140"/>
      <c r="F968" s="139"/>
      <c r="G968" s="139"/>
      <c r="H968" s="139"/>
      <c r="I968" s="139"/>
      <c r="J968" s="139"/>
      <c r="K968" s="141"/>
      <c r="L968" s="139"/>
      <c r="M968" s="142"/>
    </row>
    <row r="969" ht="49.5" customHeight="1">
      <c r="A969" s="139"/>
      <c r="B969" s="139"/>
      <c r="C969" s="139"/>
      <c r="D969" s="139"/>
      <c r="E969" s="140"/>
      <c r="F969" s="139"/>
      <c r="G969" s="139"/>
      <c r="H969" s="139"/>
      <c r="I969" s="139"/>
      <c r="J969" s="139"/>
      <c r="K969" s="141"/>
      <c r="L969" s="139"/>
      <c r="M969" s="142"/>
    </row>
    <row r="970" ht="49.5" customHeight="1">
      <c r="A970" s="139"/>
      <c r="B970" s="139"/>
      <c r="C970" s="139"/>
      <c r="D970" s="139"/>
      <c r="E970" s="140"/>
      <c r="F970" s="139"/>
      <c r="G970" s="139"/>
      <c r="H970" s="139"/>
      <c r="I970" s="139"/>
      <c r="J970" s="139"/>
      <c r="K970" s="141"/>
      <c r="L970" s="139"/>
      <c r="M970" s="142"/>
    </row>
    <row r="971" ht="49.5" customHeight="1">
      <c r="A971" s="139"/>
      <c r="B971" s="139"/>
      <c r="C971" s="139"/>
      <c r="D971" s="139"/>
      <c r="E971" s="140"/>
      <c r="F971" s="139"/>
      <c r="G971" s="139"/>
      <c r="H971" s="139"/>
      <c r="I971" s="139"/>
      <c r="J971" s="139"/>
      <c r="K971" s="141"/>
      <c r="L971" s="139"/>
      <c r="M971" s="142"/>
    </row>
    <row r="972" ht="49.5" customHeight="1">
      <c r="A972" s="139"/>
      <c r="B972" s="139"/>
      <c r="C972" s="139"/>
      <c r="D972" s="139"/>
      <c r="E972" s="140"/>
      <c r="F972" s="139"/>
      <c r="G972" s="139"/>
      <c r="H972" s="139"/>
      <c r="I972" s="139"/>
      <c r="J972" s="139"/>
      <c r="K972" s="141"/>
      <c r="L972" s="139"/>
      <c r="M972" s="142"/>
    </row>
    <row r="973" ht="49.5" customHeight="1">
      <c r="A973" s="139"/>
      <c r="B973" s="139"/>
      <c r="C973" s="139"/>
      <c r="D973" s="139"/>
      <c r="E973" s="140"/>
      <c r="F973" s="139"/>
      <c r="G973" s="139"/>
      <c r="H973" s="139"/>
      <c r="I973" s="139"/>
      <c r="J973" s="139"/>
      <c r="K973" s="141"/>
      <c r="L973" s="139"/>
      <c r="M973" s="142"/>
    </row>
    <row r="974" ht="49.5" customHeight="1">
      <c r="A974" s="139"/>
      <c r="B974" s="139"/>
      <c r="C974" s="139"/>
      <c r="D974" s="139"/>
      <c r="E974" s="140"/>
      <c r="F974" s="139"/>
      <c r="G974" s="139"/>
      <c r="H974" s="139"/>
      <c r="I974" s="139"/>
      <c r="J974" s="139"/>
      <c r="K974" s="141"/>
      <c r="L974" s="139"/>
      <c r="M974" s="142"/>
    </row>
    <row r="975" ht="49.5" customHeight="1">
      <c r="A975" s="139"/>
      <c r="B975" s="139"/>
      <c r="C975" s="139"/>
      <c r="D975" s="139"/>
      <c r="E975" s="140"/>
      <c r="F975" s="139"/>
      <c r="G975" s="139"/>
      <c r="H975" s="139"/>
      <c r="I975" s="139"/>
      <c r="J975" s="139"/>
      <c r="K975" s="141"/>
      <c r="L975" s="139"/>
      <c r="M975" s="142"/>
    </row>
    <row r="976" ht="49.5" customHeight="1">
      <c r="A976" s="139"/>
      <c r="B976" s="139"/>
      <c r="C976" s="139"/>
      <c r="D976" s="139"/>
      <c r="E976" s="140"/>
      <c r="F976" s="139"/>
      <c r="G976" s="139"/>
      <c r="H976" s="139"/>
      <c r="I976" s="139"/>
      <c r="J976" s="139"/>
      <c r="K976" s="141"/>
      <c r="L976" s="139"/>
      <c r="M976" s="142"/>
    </row>
    <row r="977" ht="49.5" customHeight="1">
      <c r="A977" s="139"/>
      <c r="B977" s="139"/>
      <c r="C977" s="139"/>
      <c r="D977" s="139"/>
      <c r="E977" s="140"/>
      <c r="F977" s="139"/>
      <c r="G977" s="139"/>
      <c r="H977" s="139"/>
      <c r="I977" s="139"/>
      <c r="J977" s="139"/>
      <c r="K977" s="141"/>
      <c r="L977" s="139"/>
      <c r="M977" s="142"/>
    </row>
    <row r="978" ht="49.5" customHeight="1">
      <c r="A978" s="139"/>
      <c r="B978" s="139"/>
      <c r="C978" s="139"/>
      <c r="D978" s="139"/>
      <c r="E978" s="140"/>
      <c r="F978" s="139"/>
      <c r="G978" s="139"/>
      <c r="H978" s="139"/>
      <c r="I978" s="139"/>
      <c r="J978" s="139"/>
      <c r="K978" s="141"/>
      <c r="L978" s="139"/>
      <c r="M978" s="142"/>
    </row>
    <row r="979" ht="49.5" customHeight="1">
      <c r="A979" s="139"/>
      <c r="B979" s="139"/>
      <c r="C979" s="139"/>
      <c r="D979" s="139"/>
      <c r="E979" s="140"/>
      <c r="F979" s="139"/>
      <c r="G979" s="139"/>
      <c r="H979" s="139"/>
      <c r="I979" s="139"/>
      <c r="J979" s="139"/>
      <c r="K979" s="141"/>
      <c r="L979" s="139"/>
      <c r="M979" s="142"/>
    </row>
    <row r="980" ht="49.5" customHeight="1">
      <c r="A980" s="139"/>
      <c r="B980" s="139"/>
      <c r="C980" s="139"/>
      <c r="D980" s="139"/>
      <c r="E980" s="140"/>
      <c r="F980" s="139"/>
      <c r="G980" s="139"/>
      <c r="H980" s="139"/>
      <c r="I980" s="139"/>
      <c r="J980" s="139"/>
      <c r="K980" s="141"/>
      <c r="L980" s="139"/>
      <c r="M980" s="142"/>
    </row>
    <row r="981" ht="49.5" customHeight="1">
      <c r="A981" s="139"/>
      <c r="B981" s="139"/>
      <c r="C981" s="139"/>
      <c r="D981" s="139"/>
      <c r="E981" s="140"/>
      <c r="F981" s="139"/>
      <c r="G981" s="139"/>
      <c r="H981" s="139"/>
      <c r="I981" s="139"/>
      <c r="J981" s="139"/>
      <c r="K981" s="141"/>
      <c r="L981" s="139"/>
      <c r="M981" s="142"/>
    </row>
    <row r="982" ht="49.5" customHeight="1">
      <c r="A982" s="139"/>
      <c r="B982" s="139"/>
      <c r="C982" s="139"/>
      <c r="D982" s="139"/>
      <c r="E982" s="140"/>
      <c r="F982" s="139"/>
      <c r="G982" s="139"/>
      <c r="H982" s="139"/>
      <c r="I982" s="139"/>
      <c r="J982" s="139"/>
      <c r="K982" s="141"/>
      <c r="L982" s="139"/>
      <c r="M982" s="142"/>
    </row>
    <row r="983" ht="49.5" customHeight="1">
      <c r="A983" s="139"/>
      <c r="B983" s="139"/>
      <c r="C983" s="139"/>
      <c r="D983" s="139"/>
      <c r="E983" s="140"/>
      <c r="F983" s="139"/>
      <c r="G983" s="139"/>
      <c r="H983" s="139"/>
      <c r="I983" s="139"/>
      <c r="J983" s="139"/>
      <c r="K983" s="141"/>
      <c r="L983" s="139"/>
      <c r="M983" s="142"/>
    </row>
    <row r="984" ht="49.5" customHeight="1">
      <c r="A984" s="139"/>
      <c r="B984" s="139"/>
      <c r="C984" s="139"/>
      <c r="D984" s="139"/>
      <c r="E984" s="140"/>
      <c r="F984" s="139"/>
      <c r="G984" s="139"/>
      <c r="H984" s="139"/>
      <c r="I984" s="139"/>
      <c r="J984" s="139"/>
      <c r="K984" s="141"/>
      <c r="L984" s="139"/>
      <c r="M984" s="142"/>
    </row>
    <row r="985" ht="49.5" customHeight="1">
      <c r="A985" s="139"/>
      <c r="B985" s="139"/>
      <c r="C985" s="139"/>
      <c r="D985" s="139"/>
      <c r="E985" s="140"/>
      <c r="F985" s="139"/>
      <c r="G985" s="139"/>
      <c r="H985" s="139"/>
      <c r="I985" s="139"/>
      <c r="J985" s="139"/>
      <c r="K985" s="141"/>
      <c r="L985" s="139"/>
      <c r="M985" s="142"/>
    </row>
    <row r="986" ht="49.5" customHeight="1">
      <c r="A986" s="139"/>
      <c r="B986" s="139"/>
      <c r="C986" s="139"/>
      <c r="D986" s="139"/>
      <c r="E986" s="140"/>
      <c r="F986" s="139"/>
      <c r="G986" s="139"/>
      <c r="H986" s="139"/>
      <c r="I986" s="139"/>
      <c r="J986" s="139"/>
      <c r="K986" s="141"/>
      <c r="L986" s="139"/>
      <c r="M986" s="142"/>
    </row>
    <row r="987" ht="49.5" customHeight="1">
      <c r="A987" s="139"/>
      <c r="B987" s="139"/>
      <c r="C987" s="139"/>
      <c r="D987" s="139"/>
      <c r="E987" s="140"/>
      <c r="F987" s="139"/>
      <c r="G987" s="139"/>
      <c r="H987" s="139"/>
      <c r="I987" s="139"/>
      <c r="J987" s="139"/>
      <c r="K987" s="141"/>
      <c r="L987" s="139"/>
      <c r="M987" s="142"/>
    </row>
    <row r="988" ht="49.5" customHeight="1">
      <c r="A988" s="139"/>
      <c r="B988" s="139"/>
      <c r="C988" s="139"/>
      <c r="D988" s="139"/>
      <c r="E988" s="140"/>
      <c r="F988" s="139"/>
      <c r="G988" s="139"/>
      <c r="H988" s="139"/>
      <c r="I988" s="139"/>
      <c r="J988" s="139"/>
      <c r="K988" s="141"/>
      <c r="L988" s="139"/>
      <c r="M988" s="142"/>
    </row>
    <row r="989" ht="49.5" customHeight="1">
      <c r="A989" s="139"/>
      <c r="B989" s="139"/>
      <c r="C989" s="139"/>
      <c r="D989" s="139"/>
      <c r="E989" s="140"/>
      <c r="F989" s="139"/>
      <c r="G989" s="139"/>
      <c r="H989" s="139"/>
      <c r="I989" s="139"/>
      <c r="J989" s="139"/>
      <c r="K989" s="141"/>
      <c r="L989" s="139"/>
      <c r="M989" s="142"/>
    </row>
    <row r="990" ht="49.5" customHeight="1">
      <c r="A990" s="139"/>
      <c r="B990" s="139"/>
      <c r="C990" s="139"/>
      <c r="D990" s="139"/>
      <c r="E990" s="140"/>
      <c r="F990" s="139"/>
      <c r="G990" s="139"/>
      <c r="H990" s="139"/>
      <c r="I990" s="139"/>
      <c r="J990" s="139"/>
      <c r="K990" s="141"/>
      <c r="L990" s="139"/>
      <c r="M990" s="142"/>
    </row>
    <row r="991" ht="49.5" customHeight="1">
      <c r="A991" s="139"/>
      <c r="B991" s="139"/>
      <c r="C991" s="139"/>
      <c r="D991" s="139"/>
      <c r="E991" s="140"/>
      <c r="F991" s="139"/>
      <c r="G991" s="139"/>
      <c r="H991" s="139"/>
      <c r="I991" s="139"/>
      <c r="J991" s="139"/>
      <c r="K991" s="141"/>
      <c r="L991" s="139"/>
      <c r="M991" s="142"/>
    </row>
    <row r="992" ht="49.5" customHeight="1">
      <c r="A992" s="139"/>
      <c r="B992" s="139"/>
      <c r="C992" s="139"/>
      <c r="D992" s="139"/>
      <c r="E992" s="140"/>
      <c r="F992" s="139"/>
      <c r="G992" s="139"/>
      <c r="H992" s="139"/>
      <c r="I992" s="139"/>
      <c r="J992" s="139"/>
      <c r="K992" s="141"/>
      <c r="L992" s="139"/>
      <c r="M992" s="142"/>
    </row>
    <row r="993" ht="49.5" customHeight="1">
      <c r="A993" s="139"/>
      <c r="B993" s="139"/>
      <c r="C993" s="139"/>
      <c r="D993" s="139"/>
      <c r="E993" s="140"/>
      <c r="F993" s="139"/>
      <c r="G993" s="139"/>
      <c r="H993" s="139"/>
      <c r="I993" s="139"/>
      <c r="J993" s="139"/>
      <c r="K993" s="141"/>
      <c r="L993" s="139"/>
      <c r="M993" s="142"/>
    </row>
    <row r="994" ht="49.5" customHeight="1">
      <c r="A994" s="139"/>
      <c r="B994" s="139"/>
      <c r="C994" s="139"/>
      <c r="D994" s="139"/>
      <c r="E994" s="140"/>
      <c r="F994" s="139"/>
      <c r="G994" s="139"/>
      <c r="H994" s="139"/>
      <c r="I994" s="139"/>
      <c r="J994" s="139"/>
      <c r="K994" s="141"/>
      <c r="L994" s="139"/>
      <c r="M994" s="142"/>
    </row>
    <row r="995" ht="49.5" customHeight="1">
      <c r="A995" s="139"/>
      <c r="B995" s="139"/>
      <c r="C995" s="139"/>
      <c r="D995" s="139"/>
      <c r="E995" s="140"/>
      <c r="F995" s="139"/>
      <c r="G995" s="139"/>
      <c r="H995" s="139"/>
      <c r="I995" s="139"/>
      <c r="J995" s="139"/>
      <c r="K995" s="141"/>
      <c r="L995" s="139"/>
      <c r="M995" s="142"/>
    </row>
    <row r="996" ht="49.5" customHeight="1">
      <c r="A996" s="139"/>
      <c r="B996" s="139"/>
      <c r="C996" s="139"/>
      <c r="D996" s="139"/>
      <c r="E996" s="140"/>
      <c r="F996" s="139"/>
      <c r="G996" s="139"/>
      <c r="H996" s="139"/>
      <c r="I996" s="139"/>
      <c r="J996" s="139"/>
      <c r="K996" s="141"/>
      <c r="L996" s="139"/>
      <c r="M996" s="142"/>
    </row>
    <row r="997" ht="49.5" customHeight="1">
      <c r="A997" s="139"/>
      <c r="B997" s="139"/>
      <c r="C997" s="139"/>
      <c r="D997" s="139"/>
      <c r="E997" s="140"/>
      <c r="F997" s="139"/>
      <c r="G997" s="139"/>
      <c r="H997" s="139"/>
      <c r="I997" s="139"/>
      <c r="J997" s="139"/>
      <c r="K997" s="141"/>
      <c r="L997" s="139"/>
      <c r="M997" s="142"/>
    </row>
    <row r="998" ht="49.5" customHeight="1">
      <c r="A998" s="139"/>
      <c r="B998" s="139"/>
      <c r="C998" s="139"/>
      <c r="D998" s="139"/>
      <c r="E998" s="140"/>
      <c r="F998" s="139"/>
      <c r="G998" s="139"/>
      <c r="H998" s="139"/>
      <c r="I998" s="139"/>
      <c r="J998" s="139"/>
      <c r="K998" s="141"/>
      <c r="L998" s="139"/>
      <c r="M998" s="142"/>
    </row>
    <row r="999" ht="49.5" customHeight="1">
      <c r="A999" s="139"/>
      <c r="B999" s="139"/>
      <c r="C999" s="139"/>
      <c r="D999" s="139"/>
      <c r="E999" s="140"/>
      <c r="F999" s="139"/>
      <c r="G999" s="139"/>
      <c r="H999" s="139"/>
      <c r="I999" s="139"/>
      <c r="J999" s="139"/>
      <c r="K999" s="141"/>
      <c r="L999" s="139"/>
      <c r="M999" s="142"/>
    </row>
    <row r="1000" ht="49.5" customHeight="1">
      <c r="A1000" s="139"/>
      <c r="B1000" s="139"/>
      <c r="C1000" s="139"/>
      <c r="D1000" s="139"/>
      <c r="E1000" s="140"/>
      <c r="F1000" s="139"/>
      <c r="G1000" s="139"/>
      <c r="H1000" s="139"/>
      <c r="I1000" s="139"/>
      <c r="J1000" s="139"/>
      <c r="K1000" s="141"/>
      <c r="L1000" s="139"/>
      <c r="M1000" s="142"/>
    </row>
    <row r="1001" ht="49.5" customHeight="1">
      <c r="A1001" s="139"/>
      <c r="B1001" s="139"/>
      <c r="C1001" s="139"/>
      <c r="D1001" s="139"/>
      <c r="E1001" s="140"/>
      <c r="F1001" s="139"/>
      <c r="G1001" s="139"/>
      <c r="H1001" s="139"/>
      <c r="I1001" s="139"/>
      <c r="J1001" s="139"/>
      <c r="K1001" s="141"/>
      <c r="L1001" s="139"/>
      <c r="M1001" s="142"/>
    </row>
    <row r="1002" ht="49.5" customHeight="1">
      <c r="A1002" s="139"/>
      <c r="B1002" s="139"/>
      <c r="C1002" s="139"/>
      <c r="D1002" s="139"/>
      <c r="E1002" s="140"/>
      <c r="F1002" s="139"/>
      <c r="G1002" s="139"/>
      <c r="H1002" s="139"/>
      <c r="I1002" s="139"/>
      <c r="J1002" s="139"/>
      <c r="K1002" s="141"/>
      <c r="L1002" s="139"/>
      <c r="M1002" s="142"/>
    </row>
    <row r="1003" ht="49.5" customHeight="1">
      <c r="A1003" s="139"/>
      <c r="B1003" s="139"/>
      <c r="C1003" s="139"/>
      <c r="D1003" s="139"/>
      <c r="E1003" s="140"/>
      <c r="F1003" s="139"/>
      <c r="G1003" s="139"/>
      <c r="H1003" s="139"/>
      <c r="I1003" s="139"/>
      <c r="J1003" s="139"/>
      <c r="K1003" s="141"/>
      <c r="L1003" s="139"/>
      <c r="M1003" s="142"/>
    </row>
    <row r="1004" ht="49.5" customHeight="1">
      <c r="A1004" s="139"/>
      <c r="B1004" s="139"/>
      <c r="C1004" s="139"/>
      <c r="D1004" s="139"/>
      <c r="E1004" s="140"/>
      <c r="F1004" s="139"/>
      <c r="G1004" s="139"/>
      <c r="H1004" s="139"/>
      <c r="I1004" s="139"/>
      <c r="J1004" s="139"/>
      <c r="K1004" s="141"/>
      <c r="L1004" s="139"/>
      <c r="M1004" s="142"/>
    </row>
    <row r="1005" ht="49.5" customHeight="1">
      <c r="A1005" s="139"/>
      <c r="B1005" s="139"/>
      <c r="C1005" s="139"/>
      <c r="D1005" s="139"/>
      <c r="E1005" s="140"/>
      <c r="F1005" s="139"/>
      <c r="G1005" s="139"/>
      <c r="H1005" s="139"/>
      <c r="I1005" s="139"/>
      <c r="J1005" s="139"/>
      <c r="K1005" s="141"/>
      <c r="L1005" s="139"/>
      <c r="M1005" s="142"/>
    </row>
    <row r="1006" ht="49.5" customHeight="1">
      <c r="A1006" s="139"/>
      <c r="B1006" s="139"/>
      <c r="C1006" s="139"/>
      <c r="D1006" s="139"/>
      <c r="E1006" s="140"/>
      <c r="F1006" s="139"/>
      <c r="G1006" s="139"/>
      <c r="H1006" s="139"/>
      <c r="I1006" s="139"/>
      <c r="J1006" s="139"/>
      <c r="K1006" s="141"/>
      <c r="L1006" s="139"/>
      <c r="M1006" s="142"/>
    </row>
    <row r="1007" ht="49.5" customHeight="1">
      <c r="A1007" s="139"/>
      <c r="B1007" s="139"/>
      <c r="C1007" s="139"/>
      <c r="D1007" s="139"/>
      <c r="E1007" s="140"/>
      <c r="F1007" s="139"/>
      <c r="G1007" s="139"/>
      <c r="H1007" s="139"/>
      <c r="I1007" s="139"/>
      <c r="J1007" s="139"/>
      <c r="K1007" s="141"/>
      <c r="L1007" s="139"/>
      <c r="M1007" s="142"/>
    </row>
    <row r="1008" ht="49.5" customHeight="1">
      <c r="A1008" s="139"/>
      <c r="B1008" s="139"/>
      <c r="C1008" s="139"/>
      <c r="D1008" s="139"/>
      <c r="E1008" s="140"/>
      <c r="F1008" s="139"/>
      <c r="G1008" s="139"/>
      <c r="H1008" s="139"/>
      <c r="I1008" s="139"/>
      <c r="J1008" s="139"/>
      <c r="K1008" s="141"/>
      <c r="L1008" s="139"/>
      <c r="M1008" s="142"/>
    </row>
    <row r="1009" ht="49.5" customHeight="1">
      <c r="A1009" s="139"/>
      <c r="B1009" s="139"/>
      <c r="C1009" s="139"/>
      <c r="D1009" s="139"/>
      <c r="E1009" s="140"/>
      <c r="F1009" s="139"/>
      <c r="G1009" s="139"/>
      <c r="H1009" s="139"/>
      <c r="I1009" s="139"/>
      <c r="J1009" s="139"/>
      <c r="K1009" s="141"/>
      <c r="L1009" s="139"/>
      <c r="M1009" s="142"/>
    </row>
    <row r="1010" ht="49.5" customHeight="1">
      <c r="A1010" s="139"/>
      <c r="B1010" s="139"/>
      <c r="C1010" s="139"/>
      <c r="D1010" s="139"/>
      <c r="E1010" s="140"/>
      <c r="F1010" s="139"/>
      <c r="G1010" s="139"/>
      <c r="H1010" s="139"/>
      <c r="I1010" s="139"/>
      <c r="J1010" s="139"/>
      <c r="K1010" s="141"/>
      <c r="L1010" s="139"/>
      <c r="M1010" s="142"/>
    </row>
    <row r="1011" ht="49.5" customHeight="1">
      <c r="A1011" s="139"/>
      <c r="B1011" s="139"/>
      <c r="C1011" s="139"/>
      <c r="D1011" s="139"/>
      <c r="E1011" s="140"/>
      <c r="F1011" s="139"/>
      <c r="G1011" s="139"/>
      <c r="H1011" s="139"/>
      <c r="I1011" s="139"/>
      <c r="J1011" s="139"/>
      <c r="K1011" s="141"/>
      <c r="L1011" s="139"/>
      <c r="M1011" s="142"/>
    </row>
    <row r="1012" ht="49.5" customHeight="1">
      <c r="A1012" s="139"/>
      <c r="B1012" s="139"/>
      <c r="C1012" s="139"/>
      <c r="D1012" s="139"/>
      <c r="E1012" s="140"/>
      <c r="F1012" s="139"/>
      <c r="G1012" s="139"/>
      <c r="H1012" s="139"/>
      <c r="I1012" s="139"/>
      <c r="J1012" s="139"/>
      <c r="K1012" s="141"/>
      <c r="L1012" s="139"/>
      <c r="M1012" s="142"/>
    </row>
    <row r="1013" ht="49.5" customHeight="1">
      <c r="A1013" s="139"/>
      <c r="B1013" s="139"/>
      <c r="C1013" s="139"/>
      <c r="D1013" s="139"/>
      <c r="E1013" s="140"/>
      <c r="F1013" s="139"/>
      <c r="G1013" s="139"/>
      <c r="H1013" s="139"/>
      <c r="I1013" s="139"/>
      <c r="J1013" s="139"/>
      <c r="K1013" s="141"/>
      <c r="L1013" s="139"/>
      <c r="M1013" s="142"/>
    </row>
    <row r="1014" ht="49.5" customHeight="1">
      <c r="A1014" s="139"/>
      <c r="B1014" s="139"/>
      <c r="C1014" s="139"/>
      <c r="D1014" s="139"/>
      <c r="E1014" s="140"/>
      <c r="F1014" s="139"/>
      <c r="G1014" s="139"/>
      <c r="H1014" s="139"/>
      <c r="I1014" s="139"/>
      <c r="J1014" s="139"/>
      <c r="K1014" s="141"/>
      <c r="L1014" s="139"/>
      <c r="M1014" s="142"/>
    </row>
    <row r="1015" ht="49.5" customHeight="1">
      <c r="A1015" s="139"/>
      <c r="B1015" s="139"/>
      <c r="C1015" s="139"/>
      <c r="D1015" s="139"/>
      <c r="E1015" s="140"/>
      <c r="F1015" s="139"/>
      <c r="G1015" s="139"/>
      <c r="H1015" s="139"/>
      <c r="I1015" s="139"/>
      <c r="J1015" s="139"/>
      <c r="K1015" s="141"/>
      <c r="L1015" s="139"/>
      <c r="M1015" s="142"/>
    </row>
    <row r="1016" ht="49.5" customHeight="1">
      <c r="A1016" s="139"/>
      <c r="B1016" s="139"/>
      <c r="C1016" s="139"/>
      <c r="D1016" s="139"/>
      <c r="E1016" s="140"/>
      <c r="F1016" s="139"/>
      <c r="G1016" s="139"/>
      <c r="H1016" s="139"/>
      <c r="I1016" s="139"/>
      <c r="J1016" s="139"/>
      <c r="K1016" s="141"/>
      <c r="L1016" s="139"/>
      <c r="M1016" s="142"/>
    </row>
    <row r="1017" ht="49.5" customHeight="1">
      <c r="A1017" s="139"/>
      <c r="B1017" s="139"/>
      <c r="C1017" s="139"/>
      <c r="D1017" s="139"/>
      <c r="E1017" s="140"/>
      <c r="F1017" s="139"/>
      <c r="G1017" s="139"/>
      <c r="H1017" s="139"/>
      <c r="I1017" s="139"/>
      <c r="J1017" s="139"/>
      <c r="K1017" s="141"/>
      <c r="L1017" s="139"/>
      <c r="M1017" s="142"/>
    </row>
    <row r="1018" ht="49.5" customHeight="1">
      <c r="A1018" s="139"/>
      <c r="B1018" s="139"/>
      <c r="C1018" s="139"/>
      <c r="D1018" s="139"/>
      <c r="E1018" s="140"/>
      <c r="F1018" s="139"/>
      <c r="G1018" s="139"/>
      <c r="H1018" s="139"/>
      <c r="I1018" s="139"/>
      <c r="J1018" s="139"/>
      <c r="K1018" s="141"/>
      <c r="L1018" s="139"/>
      <c r="M1018" s="142"/>
    </row>
    <row r="1019" ht="49.5" customHeight="1">
      <c r="A1019" s="139"/>
      <c r="B1019" s="139"/>
      <c r="C1019" s="139"/>
      <c r="D1019" s="139"/>
      <c r="E1019" s="140"/>
      <c r="F1019" s="139"/>
      <c r="G1019" s="139"/>
      <c r="H1019" s="139"/>
      <c r="I1019" s="139"/>
      <c r="J1019" s="139"/>
      <c r="K1019" s="141"/>
      <c r="L1019" s="139"/>
      <c r="M1019" s="142"/>
    </row>
    <row r="1020" ht="49.5" customHeight="1">
      <c r="A1020" s="139"/>
      <c r="B1020" s="139"/>
      <c r="C1020" s="139"/>
      <c r="D1020" s="139"/>
      <c r="E1020" s="140"/>
      <c r="F1020" s="139"/>
      <c r="G1020" s="139"/>
      <c r="H1020" s="139"/>
      <c r="I1020" s="139"/>
      <c r="J1020" s="139"/>
      <c r="K1020" s="141"/>
      <c r="L1020" s="139"/>
      <c r="M1020" s="142"/>
    </row>
    <row r="1021" ht="49.5" customHeight="1">
      <c r="A1021" s="139"/>
      <c r="B1021" s="139"/>
      <c r="C1021" s="139"/>
      <c r="D1021" s="139"/>
      <c r="E1021" s="140"/>
      <c r="F1021" s="139"/>
      <c r="G1021" s="139"/>
      <c r="H1021" s="139"/>
      <c r="I1021" s="139"/>
      <c r="J1021" s="139"/>
      <c r="K1021" s="141"/>
      <c r="L1021" s="139"/>
      <c r="M1021" s="142"/>
    </row>
    <row r="1022" ht="49.5" customHeight="1">
      <c r="A1022" s="139"/>
      <c r="B1022" s="139"/>
      <c r="C1022" s="139"/>
      <c r="D1022" s="139"/>
      <c r="E1022" s="140"/>
      <c r="F1022" s="139"/>
      <c r="G1022" s="139"/>
      <c r="H1022" s="139"/>
      <c r="I1022" s="139"/>
      <c r="J1022" s="139"/>
      <c r="K1022" s="141"/>
      <c r="L1022" s="139"/>
      <c r="M1022" s="142"/>
    </row>
    <row r="1023" ht="49.5" customHeight="1">
      <c r="A1023" s="139"/>
      <c r="B1023" s="139"/>
      <c r="C1023" s="139"/>
      <c r="D1023" s="139"/>
      <c r="E1023" s="140"/>
      <c r="F1023" s="139"/>
      <c r="G1023" s="139"/>
      <c r="H1023" s="139"/>
      <c r="I1023" s="139"/>
      <c r="J1023" s="139"/>
      <c r="K1023" s="141"/>
      <c r="L1023" s="139"/>
      <c r="M1023" s="142"/>
    </row>
    <row r="1024" ht="49.5" customHeight="1">
      <c r="A1024" s="139"/>
      <c r="B1024" s="139"/>
      <c r="C1024" s="139"/>
      <c r="D1024" s="139"/>
      <c r="E1024" s="140"/>
      <c r="F1024" s="139"/>
      <c r="G1024" s="139"/>
      <c r="H1024" s="139"/>
      <c r="I1024" s="139"/>
      <c r="J1024" s="139"/>
      <c r="K1024" s="141"/>
      <c r="L1024" s="139"/>
      <c r="M1024" s="142"/>
    </row>
    <row r="1025" ht="49.5" customHeight="1">
      <c r="A1025" s="139"/>
      <c r="B1025" s="139"/>
      <c r="C1025" s="139"/>
      <c r="D1025" s="139"/>
      <c r="E1025" s="140"/>
      <c r="F1025" s="139"/>
      <c r="G1025" s="139"/>
      <c r="H1025" s="139"/>
      <c r="I1025" s="139"/>
      <c r="J1025" s="139"/>
      <c r="K1025" s="141"/>
      <c r="L1025" s="139"/>
      <c r="M1025" s="142"/>
    </row>
    <row r="1026" ht="49.5" customHeight="1">
      <c r="A1026" s="139"/>
      <c r="B1026" s="139"/>
      <c r="C1026" s="139"/>
      <c r="D1026" s="139"/>
      <c r="E1026" s="140"/>
      <c r="F1026" s="139"/>
      <c r="G1026" s="139"/>
      <c r="H1026" s="139"/>
      <c r="I1026" s="139"/>
      <c r="J1026" s="139"/>
      <c r="K1026" s="141"/>
      <c r="L1026" s="139"/>
      <c r="M1026" s="142"/>
    </row>
    <row r="1027" ht="49.5" customHeight="1">
      <c r="A1027" s="139"/>
      <c r="B1027" s="139"/>
      <c r="C1027" s="139"/>
      <c r="D1027" s="139"/>
      <c r="E1027" s="140"/>
      <c r="F1027" s="139"/>
      <c r="G1027" s="139"/>
      <c r="H1027" s="139"/>
      <c r="I1027" s="139"/>
      <c r="J1027" s="139"/>
      <c r="K1027" s="141"/>
      <c r="L1027" s="139"/>
      <c r="M1027" s="142"/>
    </row>
    <row r="1028" ht="49.5" customHeight="1">
      <c r="A1028" s="139"/>
      <c r="B1028" s="139"/>
      <c r="C1028" s="139"/>
      <c r="D1028" s="139"/>
      <c r="E1028" s="140"/>
      <c r="F1028" s="139"/>
      <c r="G1028" s="139"/>
      <c r="H1028" s="139"/>
      <c r="I1028" s="139"/>
      <c r="J1028" s="139"/>
      <c r="K1028" s="141"/>
      <c r="L1028" s="139"/>
      <c r="M1028" s="142"/>
    </row>
    <row r="1029" ht="49.5" customHeight="1">
      <c r="A1029" s="139"/>
      <c r="B1029" s="139"/>
      <c r="C1029" s="139"/>
      <c r="D1029" s="139"/>
      <c r="E1029" s="140"/>
      <c r="F1029" s="139"/>
      <c r="G1029" s="139"/>
      <c r="H1029" s="139"/>
      <c r="I1029" s="139"/>
      <c r="J1029" s="139"/>
      <c r="K1029" s="141"/>
      <c r="L1029" s="139"/>
      <c r="M1029" s="142"/>
    </row>
    <row r="1030" ht="49.5" customHeight="1">
      <c r="A1030" s="139"/>
      <c r="B1030" s="139"/>
      <c r="C1030" s="139"/>
      <c r="D1030" s="139"/>
      <c r="E1030" s="140"/>
      <c r="F1030" s="139"/>
      <c r="G1030" s="139"/>
      <c r="H1030" s="139"/>
      <c r="I1030" s="139"/>
      <c r="J1030" s="139"/>
      <c r="K1030" s="141"/>
      <c r="L1030" s="139"/>
      <c r="M1030" s="142"/>
    </row>
    <row r="1031" ht="49.5" customHeight="1">
      <c r="A1031" s="139"/>
      <c r="B1031" s="139"/>
      <c r="C1031" s="139"/>
      <c r="D1031" s="139"/>
      <c r="E1031" s="140"/>
      <c r="F1031" s="139"/>
      <c r="G1031" s="139"/>
      <c r="H1031" s="139"/>
      <c r="I1031" s="139"/>
      <c r="J1031" s="139"/>
      <c r="K1031" s="141"/>
      <c r="L1031" s="139"/>
      <c r="M1031" s="142"/>
    </row>
    <row r="1032" ht="49.5" customHeight="1">
      <c r="A1032" s="139"/>
      <c r="B1032" s="139"/>
      <c r="C1032" s="139"/>
      <c r="D1032" s="139"/>
      <c r="E1032" s="140"/>
      <c r="F1032" s="139"/>
      <c r="G1032" s="139"/>
      <c r="H1032" s="139"/>
      <c r="I1032" s="139"/>
      <c r="J1032" s="139"/>
      <c r="K1032" s="141"/>
      <c r="L1032" s="139"/>
      <c r="M1032" s="142"/>
    </row>
    <row r="1033" ht="49.5" customHeight="1">
      <c r="A1033" s="139"/>
      <c r="B1033" s="139"/>
      <c r="C1033" s="139"/>
      <c r="D1033" s="139"/>
      <c r="E1033" s="140"/>
      <c r="F1033" s="139"/>
      <c r="G1033" s="139"/>
      <c r="H1033" s="139"/>
      <c r="I1033" s="139"/>
      <c r="J1033" s="139"/>
      <c r="K1033" s="141"/>
      <c r="L1033" s="139"/>
      <c r="M1033" s="142"/>
    </row>
    <row r="1034" ht="49.5" customHeight="1">
      <c r="A1034" s="139"/>
      <c r="B1034" s="139"/>
      <c r="C1034" s="139"/>
      <c r="D1034" s="139"/>
      <c r="E1034" s="140"/>
      <c r="F1034" s="139"/>
      <c r="G1034" s="139"/>
      <c r="H1034" s="139"/>
      <c r="I1034" s="139"/>
      <c r="J1034" s="139"/>
      <c r="K1034" s="141"/>
      <c r="L1034" s="139"/>
      <c r="M1034" s="142"/>
    </row>
    <row r="1035" ht="49.5" customHeight="1">
      <c r="A1035" s="139"/>
      <c r="B1035" s="139"/>
      <c r="C1035" s="139"/>
      <c r="D1035" s="139"/>
      <c r="E1035" s="140"/>
      <c r="F1035" s="139"/>
      <c r="G1035" s="139"/>
      <c r="H1035" s="139"/>
      <c r="I1035" s="139"/>
      <c r="J1035" s="139"/>
      <c r="K1035" s="141"/>
      <c r="L1035" s="139"/>
      <c r="M1035" s="142"/>
    </row>
    <row r="1036" ht="49.5" customHeight="1">
      <c r="A1036" s="139"/>
      <c r="B1036" s="139"/>
      <c r="C1036" s="139"/>
      <c r="D1036" s="139"/>
      <c r="E1036" s="140"/>
      <c r="F1036" s="139"/>
      <c r="G1036" s="139"/>
      <c r="H1036" s="139"/>
      <c r="I1036" s="139"/>
      <c r="J1036" s="139"/>
      <c r="K1036" s="141"/>
      <c r="L1036" s="139"/>
      <c r="M1036" s="142"/>
    </row>
    <row r="1037" ht="49.5" customHeight="1">
      <c r="A1037" s="139"/>
      <c r="B1037" s="139"/>
      <c r="C1037" s="139"/>
      <c r="D1037" s="139"/>
      <c r="E1037" s="140"/>
      <c r="F1037" s="139"/>
      <c r="G1037" s="139"/>
      <c r="H1037" s="139"/>
      <c r="I1037" s="139"/>
      <c r="J1037" s="139"/>
      <c r="K1037" s="141"/>
      <c r="L1037" s="139"/>
      <c r="M1037" s="142"/>
    </row>
    <row r="1038" ht="49.5" customHeight="1">
      <c r="A1038" s="139"/>
      <c r="B1038" s="139"/>
      <c r="C1038" s="139"/>
      <c r="D1038" s="139"/>
      <c r="E1038" s="140"/>
      <c r="F1038" s="139"/>
      <c r="G1038" s="139"/>
      <c r="H1038" s="139"/>
      <c r="I1038" s="139"/>
      <c r="J1038" s="139"/>
      <c r="K1038" s="141"/>
      <c r="L1038" s="139"/>
      <c r="M1038" s="142"/>
    </row>
    <row r="1039" ht="49.5" customHeight="1">
      <c r="A1039" s="139"/>
      <c r="B1039" s="139"/>
      <c r="C1039" s="139"/>
      <c r="D1039" s="139"/>
      <c r="E1039" s="140"/>
      <c r="F1039" s="139"/>
      <c r="G1039" s="139"/>
      <c r="H1039" s="139"/>
      <c r="I1039" s="139"/>
      <c r="J1039" s="139"/>
      <c r="K1039" s="141"/>
      <c r="L1039" s="139"/>
      <c r="M1039" s="142"/>
    </row>
    <row r="1040" ht="49.5" customHeight="1">
      <c r="A1040" s="139"/>
      <c r="B1040" s="139"/>
      <c r="C1040" s="139"/>
      <c r="D1040" s="139"/>
      <c r="E1040" s="140"/>
      <c r="F1040" s="139"/>
      <c r="G1040" s="139"/>
      <c r="H1040" s="139"/>
      <c r="I1040" s="139"/>
      <c r="J1040" s="139"/>
      <c r="K1040" s="141"/>
      <c r="L1040" s="139"/>
      <c r="M1040" s="142"/>
    </row>
    <row r="1041" ht="49.5" customHeight="1">
      <c r="A1041" s="139"/>
      <c r="B1041" s="139"/>
      <c r="C1041" s="139"/>
      <c r="D1041" s="139"/>
      <c r="E1041" s="140"/>
      <c r="F1041" s="139"/>
      <c r="G1041" s="139"/>
      <c r="H1041" s="139"/>
      <c r="I1041" s="139"/>
      <c r="J1041" s="139"/>
      <c r="K1041" s="141"/>
      <c r="L1041" s="139"/>
      <c r="M1041" s="142"/>
    </row>
    <row r="1042" ht="49.5" customHeight="1">
      <c r="A1042" s="139"/>
      <c r="B1042" s="139"/>
      <c r="C1042" s="139"/>
      <c r="D1042" s="139"/>
      <c r="E1042" s="140"/>
      <c r="F1042" s="139"/>
      <c r="G1042" s="139"/>
      <c r="H1042" s="139"/>
      <c r="I1042" s="139"/>
      <c r="J1042" s="139"/>
      <c r="K1042" s="141"/>
      <c r="L1042" s="139"/>
      <c r="M1042" s="142"/>
    </row>
    <row r="1043" ht="49.5" customHeight="1">
      <c r="A1043" s="139"/>
      <c r="B1043" s="139"/>
      <c r="C1043" s="139"/>
      <c r="D1043" s="139"/>
      <c r="E1043" s="140"/>
      <c r="F1043" s="139"/>
      <c r="G1043" s="139"/>
      <c r="H1043" s="139"/>
      <c r="I1043" s="139"/>
      <c r="J1043" s="139"/>
      <c r="K1043" s="141"/>
      <c r="L1043" s="139"/>
      <c r="M1043" s="142"/>
    </row>
    <row r="1044" ht="49.5" customHeight="1">
      <c r="A1044" s="139"/>
      <c r="B1044" s="139"/>
      <c r="C1044" s="139"/>
      <c r="D1044" s="139"/>
      <c r="E1044" s="140"/>
      <c r="F1044" s="139"/>
      <c r="G1044" s="139"/>
      <c r="H1044" s="139"/>
      <c r="I1044" s="139"/>
      <c r="J1044" s="139"/>
      <c r="K1044" s="141"/>
      <c r="L1044" s="139"/>
      <c r="M1044" s="142"/>
    </row>
    <row r="1045" ht="49.5" customHeight="1">
      <c r="A1045" s="139"/>
      <c r="B1045" s="139"/>
      <c r="C1045" s="139"/>
      <c r="D1045" s="139"/>
      <c r="E1045" s="140"/>
      <c r="F1045" s="139"/>
      <c r="G1045" s="139"/>
      <c r="H1045" s="139"/>
      <c r="I1045" s="139"/>
      <c r="J1045" s="139"/>
      <c r="K1045" s="141"/>
      <c r="L1045" s="139"/>
      <c r="M1045" s="142"/>
    </row>
    <row r="1046" ht="49.5" customHeight="1">
      <c r="A1046" s="139"/>
      <c r="B1046" s="139"/>
      <c r="C1046" s="139"/>
      <c r="D1046" s="139"/>
      <c r="E1046" s="140"/>
      <c r="F1046" s="139"/>
      <c r="G1046" s="139"/>
      <c r="H1046" s="139"/>
      <c r="I1046" s="139"/>
      <c r="J1046" s="139"/>
      <c r="K1046" s="141"/>
      <c r="L1046" s="139"/>
      <c r="M1046" s="142"/>
    </row>
    <row r="1047" ht="49.5" customHeight="1">
      <c r="A1047" s="139"/>
      <c r="B1047" s="139"/>
      <c r="C1047" s="139"/>
      <c r="D1047" s="139"/>
      <c r="E1047" s="140"/>
      <c r="F1047" s="139"/>
      <c r="G1047" s="139"/>
      <c r="H1047" s="139"/>
      <c r="I1047" s="139"/>
      <c r="J1047" s="139"/>
      <c r="K1047" s="141"/>
      <c r="L1047" s="139"/>
      <c r="M1047" s="142"/>
    </row>
    <row r="1048" ht="49.5" customHeight="1">
      <c r="A1048" s="139"/>
      <c r="B1048" s="139"/>
      <c r="C1048" s="139"/>
      <c r="D1048" s="139"/>
      <c r="E1048" s="140"/>
      <c r="F1048" s="139"/>
      <c r="G1048" s="139"/>
      <c r="H1048" s="139"/>
      <c r="I1048" s="139"/>
      <c r="J1048" s="139"/>
      <c r="K1048" s="141"/>
      <c r="L1048" s="139"/>
      <c r="M1048" s="142"/>
    </row>
    <row r="1049" ht="49.5" customHeight="1">
      <c r="A1049" s="139"/>
      <c r="B1049" s="139"/>
      <c r="C1049" s="139"/>
      <c r="D1049" s="139"/>
      <c r="E1049" s="140"/>
      <c r="F1049" s="139"/>
      <c r="G1049" s="139"/>
      <c r="H1049" s="139"/>
      <c r="I1049" s="139"/>
      <c r="J1049" s="139"/>
      <c r="K1049" s="141"/>
      <c r="L1049" s="139"/>
      <c r="M1049" s="142"/>
    </row>
    <row r="1050" ht="49.5" customHeight="1">
      <c r="A1050" s="139"/>
      <c r="B1050" s="139"/>
      <c r="C1050" s="139"/>
      <c r="D1050" s="139"/>
      <c r="E1050" s="140"/>
      <c r="F1050" s="139"/>
      <c r="G1050" s="139"/>
      <c r="H1050" s="139"/>
      <c r="I1050" s="139"/>
      <c r="J1050" s="139"/>
      <c r="K1050" s="141"/>
      <c r="L1050" s="139"/>
      <c r="M1050" s="142"/>
    </row>
    <row r="1051" ht="49.5" customHeight="1">
      <c r="A1051" s="139"/>
      <c r="B1051" s="139"/>
      <c r="C1051" s="139"/>
      <c r="D1051" s="139"/>
      <c r="E1051" s="140"/>
      <c r="F1051" s="139"/>
      <c r="G1051" s="139"/>
      <c r="H1051" s="139"/>
      <c r="I1051" s="139"/>
      <c r="J1051" s="139"/>
      <c r="K1051" s="141"/>
      <c r="L1051" s="139"/>
      <c r="M1051" s="142"/>
    </row>
    <row r="1052" ht="49.5" customHeight="1">
      <c r="A1052" s="139"/>
      <c r="B1052" s="139"/>
      <c r="C1052" s="139"/>
      <c r="D1052" s="139"/>
      <c r="E1052" s="140"/>
      <c r="F1052" s="139"/>
      <c r="G1052" s="139"/>
      <c r="H1052" s="139"/>
      <c r="I1052" s="139"/>
      <c r="J1052" s="139"/>
      <c r="K1052" s="141"/>
      <c r="L1052" s="139"/>
      <c r="M1052" s="142"/>
    </row>
    <row r="1053" ht="49.5" customHeight="1">
      <c r="A1053" s="139"/>
      <c r="B1053" s="139"/>
      <c r="C1053" s="139"/>
      <c r="D1053" s="139"/>
      <c r="E1053" s="140"/>
      <c r="F1053" s="139"/>
      <c r="G1053" s="139"/>
      <c r="H1053" s="139"/>
      <c r="I1053" s="139"/>
      <c r="J1053" s="139"/>
      <c r="K1053" s="141"/>
      <c r="L1053" s="139"/>
      <c r="M1053" s="142"/>
    </row>
    <row r="1054" ht="49.5" customHeight="1">
      <c r="A1054" s="139"/>
      <c r="B1054" s="139"/>
      <c r="C1054" s="139"/>
      <c r="D1054" s="139"/>
      <c r="E1054" s="140"/>
      <c r="F1054" s="139"/>
      <c r="G1054" s="139"/>
      <c r="H1054" s="139"/>
      <c r="I1054" s="139"/>
      <c r="J1054" s="139"/>
      <c r="K1054" s="141"/>
      <c r="L1054" s="139"/>
      <c r="M1054" s="142"/>
    </row>
    <row r="1055" ht="49.5" customHeight="1">
      <c r="A1055" s="139"/>
      <c r="B1055" s="139"/>
      <c r="C1055" s="139"/>
      <c r="D1055" s="139"/>
      <c r="E1055" s="140"/>
      <c r="F1055" s="139"/>
      <c r="G1055" s="139"/>
      <c r="H1055" s="139"/>
      <c r="I1055" s="139"/>
      <c r="J1055" s="139"/>
      <c r="K1055" s="141"/>
      <c r="L1055" s="139"/>
      <c r="M1055" s="142"/>
    </row>
    <row r="1056" ht="49.5" customHeight="1">
      <c r="A1056" s="139"/>
      <c r="B1056" s="139"/>
      <c r="C1056" s="139"/>
      <c r="D1056" s="139"/>
      <c r="E1056" s="140"/>
      <c r="F1056" s="139"/>
      <c r="G1056" s="139"/>
      <c r="H1056" s="139"/>
      <c r="I1056" s="139"/>
      <c r="J1056" s="139"/>
      <c r="K1056" s="141"/>
      <c r="L1056" s="139"/>
      <c r="M1056" s="142"/>
    </row>
    <row r="1057" ht="49.5" customHeight="1">
      <c r="A1057" s="139"/>
      <c r="B1057" s="139"/>
      <c r="C1057" s="139"/>
      <c r="D1057" s="139"/>
      <c r="E1057" s="140"/>
      <c r="F1057" s="139"/>
      <c r="G1057" s="139"/>
      <c r="H1057" s="139"/>
      <c r="I1057" s="139"/>
      <c r="J1057" s="139"/>
      <c r="K1057" s="141"/>
      <c r="L1057" s="139"/>
      <c r="M1057" s="142"/>
    </row>
    <row r="1058" ht="49.5" customHeight="1">
      <c r="A1058" s="139"/>
      <c r="B1058" s="139"/>
      <c r="C1058" s="139"/>
      <c r="D1058" s="139"/>
      <c r="E1058" s="140"/>
      <c r="F1058" s="139"/>
      <c r="G1058" s="139"/>
      <c r="H1058" s="139"/>
      <c r="I1058" s="139"/>
      <c r="J1058" s="139"/>
      <c r="K1058" s="141"/>
      <c r="L1058" s="139"/>
      <c r="M1058" s="142"/>
    </row>
    <row r="1059" ht="49.5" customHeight="1">
      <c r="A1059" s="139"/>
      <c r="B1059" s="139"/>
      <c r="C1059" s="139"/>
      <c r="D1059" s="139"/>
      <c r="E1059" s="140"/>
      <c r="F1059" s="139"/>
      <c r="G1059" s="139"/>
      <c r="H1059" s="139"/>
      <c r="I1059" s="139"/>
      <c r="J1059" s="139"/>
      <c r="K1059" s="141"/>
      <c r="L1059" s="139"/>
      <c r="M1059" s="142"/>
    </row>
    <row r="1060" ht="49.5" customHeight="1">
      <c r="A1060" s="139"/>
      <c r="B1060" s="139"/>
      <c r="C1060" s="139"/>
      <c r="D1060" s="139"/>
      <c r="E1060" s="140"/>
      <c r="F1060" s="139"/>
      <c r="G1060" s="139"/>
      <c r="H1060" s="139"/>
      <c r="I1060" s="139"/>
      <c r="J1060" s="139"/>
      <c r="K1060" s="141"/>
      <c r="L1060" s="139"/>
      <c r="M1060" s="142"/>
    </row>
    <row r="1061" ht="49.5" customHeight="1">
      <c r="A1061" s="139"/>
      <c r="B1061" s="139"/>
      <c r="C1061" s="139"/>
      <c r="D1061" s="139"/>
      <c r="E1061" s="140"/>
      <c r="F1061" s="139"/>
      <c r="G1061" s="139"/>
      <c r="H1061" s="139"/>
      <c r="I1061" s="139"/>
      <c r="J1061" s="139"/>
      <c r="K1061" s="141"/>
      <c r="L1061" s="139"/>
      <c r="M1061" s="142"/>
    </row>
    <row r="1062" ht="49.5" customHeight="1">
      <c r="A1062" s="139"/>
      <c r="B1062" s="139"/>
      <c r="C1062" s="139"/>
      <c r="D1062" s="139"/>
      <c r="E1062" s="140"/>
      <c r="F1062" s="139"/>
      <c r="G1062" s="139"/>
      <c r="H1062" s="139"/>
      <c r="I1062" s="139"/>
      <c r="J1062" s="139"/>
      <c r="K1062" s="141"/>
      <c r="L1062" s="139"/>
      <c r="M1062" s="142"/>
    </row>
    <row r="1063" ht="49.5" customHeight="1">
      <c r="A1063" s="139"/>
      <c r="B1063" s="139"/>
      <c r="C1063" s="139"/>
      <c r="D1063" s="139"/>
      <c r="E1063" s="140"/>
      <c r="F1063" s="139"/>
      <c r="G1063" s="139"/>
      <c r="H1063" s="139"/>
      <c r="I1063" s="139"/>
      <c r="J1063" s="139"/>
      <c r="K1063" s="141"/>
      <c r="L1063" s="139"/>
      <c r="M1063" s="142"/>
    </row>
    <row r="1064" ht="49.5" customHeight="1">
      <c r="A1064" s="139"/>
      <c r="B1064" s="139"/>
      <c r="C1064" s="139"/>
      <c r="D1064" s="139"/>
      <c r="E1064" s="140"/>
      <c r="F1064" s="139"/>
      <c r="G1064" s="139"/>
      <c r="H1064" s="139"/>
      <c r="I1064" s="139"/>
      <c r="J1064" s="139"/>
      <c r="K1064" s="141"/>
      <c r="L1064" s="139"/>
      <c r="M1064" s="142"/>
    </row>
    <row r="1065" ht="49.5" customHeight="1">
      <c r="A1065" s="139"/>
      <c r="B1065" s="139"/>
      <c r="C1065" s="139"/>
      <c r="D1065" s="139"/>
      <c r="E1065" s="140"/>
      <c r="F1065" s="139"/>
      <c r="G1065" s="139"/>
      <c r="H1065" s="139"/>
      <c r="I1065" s="139"/>
      <c r="J1065" s="139"/>
      <c r="K1065" s="141"/>
      <c r="L1065" s="139"/>
      <c r="M1065" s="142"/>
    </row>
    <row r="1066" ht="49.5" customHeight="1">
      <c r="A1066" s="139"/>
      <c r="B1066" s="139"/>
      <c r="C1066" s="139"/>
      <c r="D1066" s="139"/>
      <c r="E1066" s="140"/>
      <c r="F1066" s="139"/>
      <c r="G1066" s="139"/>
      <c r="H1066" s="139"/>
      <c r="I1066" s="139"/>
      <c r="J1066" s="139"/>
      <c r="K1066" s="141"/>
      <c r="L1066" s="139"/>
      <c r="M1066" s="142"/>
    </row>
    <row r="1067" ht="49.5" customHeight="1">
      <c r="A1067" s="139"/>
      <c r="B1067" s="139"/>
      <c r="C1067" s="139"/>
      <c r="D1067" s="139"/>
      <c r="E1067" s="140"/>
      <c r="F1067" s="139"/>
      <c r="G1067" s="139"/>
      <c r="H1067" s="139"/>
      <c r="I1067" s="139"/>
      <c r="J1067" s="139"/>
      <c r="K1067" s="141"/>
      <c r="L1067" s="139"/>
      <c r="M1067" s="142"/>
    </row>
    <row r="1068" ht="49.5" customHeight="1">
      <c r="A1068" s="139"/>
      <c r="B1068" s="139"/>
      <c r="C1068" s="139"/>
      <c r="D1068" s="139"/>
      <c r="E1068" s="140"/>
      <c r="F1068" s="139"/>
      <c r="G1068" s="139"/>
      <c r="H1068" s="139"/>
      <c r="I1068" s="139"/>
      <c r="J1068" s="139"/>
      <c r="K1068" s="141"/>
      <c r="L1068" s="139"/>
      <c r="M1068" s="142"/>
    </row>
    <row r="1069" ht="49.5" customHeight="1">
      <c r="A1069" s="139"/>
      <c r="B1069" s="139"/>
      <c r="C1069" s="139"/>
      <c r="D1069" s="139"/>
      <c r="E1069" s="140"/>
      <c r="F1069" s="139"/>
      <c r="G1069" s="139"/>
      <c r="H1069" s="139"/>
      <c r="I1069" s="139"/>
      <c r="J1069" s="139"/>
      <c r="K1069" s="141"/>
      <c r="L1069" s="139"/>
      <c r="M1069" s="142"/>
    </row>
    <row r="1070" ht="49.5" customHeight="1">
      <c r="A1070" s="139"/>
      <c r="B1070" s="139"/>
      <c r="C1070" s="139"/>
      <c r="D1070" s="139"/>
      <c r="E1070" s="140"/>
      <c r="F1070" s="139"/>
      <c r="G1070" s="139"/>
      <c r="H1070" s="139"/>
      <c r="I1070" s="139"/>
      <c r="J1070" s="139"/>
      <c r="K1070" s="141"/>
      <c r="L1070" s="139"/>
      <c r="M1070" s="142"/>
    </row>
    <row r="1071" ht="49.5" customHeight="1">
      <c r="A1071" s="139"/>
      <c r="B1071" s="139"/>
      <c r="C1071" s="139"/>
      <c r="D1071" s="139"/>
      <c r="E1071" s="140"/>
      <c r="F1071" s="139"/>
      <c r="G1071" s="139"/>
      <c r="H1071" s="139"/>
      <c r="I1071" s="139"/>
      <c r="J1071" s="139"/>
      <c r="K1071" s="141"/>
      <c r="L1071" s="139"/>
      <c r="M1071" s="142"/>
    </row>
    <row r="1072" ht="49.5" customHeight="1">
      <c r="A1072" s="139"/>
      <c r="B1072" s="139"/>
      <c r="C1072" s="139"/>
      <c r="D1072" s="139"/>
      <c r="E1072" s="140"/>
      <c r="F1072" s="139"/>
      <c r="G1072" s="139"/>
      <c r="H1072" s="139"/>
      <c r="I1072" s="139"/>
      <c r="J1072" s="139"/>
      <c r="K1072" s="141"/>
      <c r="L1072" s="139"/>
      <c r="M1072" s="142"/>
    </row>
    <row r="1073" ht="49.5" customHeight="1">
      <c r="A1073" s="139"/>
      <c r="B1073" s="139"/>
      <c r="C1073" s="139"/>
      <c r="D1073" s="139"/>
      <c r="E1073" s="140"/>
      <c r="F1073" s="139"/>
      <c r="G1073" s="139"/>
      <c r="H1073" s="139"/>
      <c r="I1073" s="139"/>
      <c r="J1073" s="139"/>
      <c r="K1073" s="141"/>
      <c r="L1073" s="139"/>
      <c r="M1073" s="142"/>
    </row>
    <row r="1074" ht="49.5" customHeight="1">
      <c r="A1074" s="139"/>
      <c r="B1074" s="139"/>
      <c r="C1074" s="139"/>
      <c r="D1074" s="139"/>
      <c r="E1074" s="140"/>
      <c r="F1074" s="139"/>
      <c r="G1074" s="139"/>
      <c r="H1074" s="139"/>
      <c r="I1074" s="139"/>
      <c r="J1074" s="139"/>
      <c r="K1074" s="141"/>
      <c r="L1074" s="139"/>
      <c r="M1074" s="142"/>
    </row>
    <row r="1075" ht="49.5" customHeight="1">
      <c r="A1075" s="139"/>
      <c r="B1075" s="139"/>
      <c r="C1075" s="139"/>
      <c r="D1075" s="139"/>
      <c r="E1075" s="140"/>
      <c r="F1075" s="139"/>
      <c r="G1075" s="139"/>
      <c r="H1075" s="139"/>
      <c r="I1075" s="139"/>
      <c r="J1075" s="139"/>
      <c r="K1075" s="141"/>
      <c r="L1075" s="139"/>
      <c r="M1075" s="142"/>
    </row>
    <row r="1076" ht="49.5" customHeight="1">
      <c r="A1076" s="139"/>
      <c r="B1076" s="139"/>
      <c r="C1076" s="139"/>
      <c r="D1076" s="139"/>
      <c r="E1076" s="140"/>
      <c r="F1076" s="139"/>
      <c r="G1076" s="139"/>
      <c r="H1076" s="139"/>
      <c r="I1076" s="139"/>
      <c r="J1076" s="139"/>
      <c r="K1076" s="141"/>
      <c r="L1076" s="139"/>
      <c r="M1076" s="142"/>
    </row>
    <row r="1077" ht="49.5" customHeight="1">
      <c r="A1077" s="139"/>
      <c r="B1077" s="139"/>
      <c r="C1077" s="139"/>
      <c r="D1077" s="139"/>
      <c r="E1077" s="140"/>
      <c r="F1077" s="139"/>
      <c r="G1077" s="139"/>
      <c r="H1077" s="139"/>
      <c r="I1077" s="139"/>
      <c r="J1077" s="139"/>
      <c r="K1077" s="141"/>
      <c r="L1077" s="139"/>
      <c r="M1077" s="142"/>
    </row>
    <row r="1078" ht="49.5" customHeight="1">
      <c r="A1078" s="139"/>
      <c r="B1078" s="139"/>
      <c r="C1078" s="139"/>
      <c r="D1078" s="139"/>
      <c r="E1078" s="140"/>
      <c r="F1078" s="139"/>
      <c r="G1078" s="139"/>
      <c r="H1078" s="139"/>
      <c r="I1078" s="139"/>
      <c r="J1078" s="139"/>
      <c r="K1078" s="141"/>
      <c r="L1078" s="139"/>
      <c r="M1078" s="142"/>
    </row>
    <row r="1079" ht="49.5" customHeight="1">
      <c r="A1079" s="139"/>
      <c r="B1079" s="139"/>
      <c r="C1079" s="139"/>
      <c r="D1079" s="139"/>
      <c r="E1079" s="140"/>
      <c r="F1079" s="139"/>
      <c r="G1079" s="139"/>
      <c r="H1079" s="139"/>
      <c r="I1079" s="139"/>
      <c r="J1079" s="139"/>
      <c r="K1079" s="141"/>
      <c r="L1079" s="139"/>
      <c r="M1079" s="142"/>
    </row>
    <row r="1080" ht="49.5" customHeight="1">
      <c r="A1080" s="139"/>
      <c r="B1080" s="139"/>
      <c r="C1080" s="139"/>
      <c r="D1080" s="139"/>
      <c r="E1080" s="140"/>
      <c r="F1080" s="139"/>
      <c r="G1080" s="139"/>
      <c r="H1080" s="139"/>
      <c r="I1080" s="139"/>
      <c r="J1080" s="139"/>
      <c r="K1080" s="141"/>
      <c r="L1080" s="139"/>
      <c r="M1080" s="142"/>
    </row>
    <row r="1081" ht="49.5" customHeight="1">
      <c r="A1081" s="139"/>
      <c r="B1081" s="139"/>
      <c r="C1081" s="139"/>
      <c r="D1081" s="139"/>
      <c r="E1081" s="140"/>
      <c r="F1081" s="139"/>
      <c r="G1081" s="139"/>
      <c r="H1081" s="139"/>
      <c r="I1081" s="139"/>
      <c r="J1081" s="139"/>
      <c r="K1081" s="141"/>
      <c r="L1081" s="139"/>
      <c r="M1081" s="142"/>
    </row>
    <row r="1082" ht="49.5" customHeight="1">
      <c r="A1082" s="139"/>
      <c r="B1082" s="139"/>
      <c r="C1082" s="139"/>
      <c r="D1082" s="139"/>
      <c r="E1082" s="140"/>
      <c r="F1082" s="139"/>
      <c r="G1082" s="139"/>
      <c r="H1082" s="139"/>
      <c r="I1082" s="139"/>
      <c r="J1082" s="139"/>
      <c r="K1082" s="141"/>
      <c r="L1082" s="139"/>
      <c r="M1082" s="142"/>
    </row>
    <row r="1083" ht="49.5" customHeight="1">
      <c r="A1083" s="139"/>
      <c r="B1083" s="139"/>
      <c r="C1083" s="139"/>
      <c r="D1083" s="139"/>
      <c r="E1083" s="140"/>
      <c r="F1083" s="139"/>
      <c r="G1083" s="139"/>
      <c r="H1083" s="139"/>
      <c r="I1083" s="139"/>
      <c r="J1083" s="139"/>
      <c r="K1083" s="141"/>
      <c r="L1083" s="139"/>
      <c r="M1083" s="142"/>
    </row>
    <row r="1084" ht="49.5" customHeight="1">
      <c r="A1084" s="139"/>
      <c r="B1084" s="139"/>
      <c r="C1084" s="139"/>
      <c r="D1084" s="139"/>
      <c r="E1084" s="140"/>
      <c r="F1084" s="139"/>
      <c r="G1084" s="139"/>
      <c r="H1084" s="139"/>
      <c r="I1084" s="139"/>
      <c r="J1084" s="139"/>
      <c r="K1084" s="141"/>
      <c r="L1084" s="139"/>
      <c r="M1084" s="142"/>
    </row>
    <row r="1085" ht="49.5" customHeight="1">
      <c r="A1085" s="139"/>
      <c r="B1085" s="139"/>
      <c r="C1085" s="139"/>
      <c r="D1085" s="139"/>
      <c r="E1085" s="140"/>
      <c r="F1085" s="139"/>
      <c r="G1085" s="139"/>
      <c r="H1085" s="139"/>
      <c r="I1085" s="139"/>
      <c r="J1085" s="139"/>
      <c r="K1085" s="141"/>
      <c r="L1085" s="139"/>
      <c r="M1085" s="142"/>
    </row>
    <row r="1086" ht="49.5" customHeight="1">
      <c r="A1086" s="139"/>
      <c r="B1086" s="139"/>
      <c r="C1086" s="139"/>
      <c r="D1086" s="139"/>
      <c r="E1086" s="140"/>
      <c r="F1086" s="139"/>
      <c r="G1086" s="139"/>
      <c r="H1086" s="139"/>
      <c r="I1086" s="139"/>
      <c r="J1086" s="139"/>
      <c r="K1086" s="141"/>
      <c r="L1086" s="139"/>
      <c r="M1086" s="142"/>
    </row>
    <row r="1087" ht="49.5" customHeight="1">
      <c r="A1087" s="139"/>
      <c r="B1087" s="139"/>
      <c r="C1087" s="139"/>
      <c r="D1087" s="139"/>
      <c r="E1087" s="140"/>
      <c r="F1087" s="139"/>
      <c r="G1087" s="139"/>
      <c r="H1087" s="139"/>
      <c r="I1087" s="139"/>
      <c r="J1087" s="139"/>
      <c r="K1087" s="141"/>
      <c r="L1087" s="139"/>
      <c r="M1087" s="142"/>
    </row>
    <row r="1088" ht="49.5" customHeight="1">
      <c r="A1088" s="139"/>
      <c r="B1088" s="139"/>
      <c r="C1088" s="139"/>
      <c r="D1088" s="139"/>
      <c r="E1088" s="140"/>
      <c r="F1088" s="139"/>
      <c r="G1088" s="139"/>
      <c r="H1088" s="139"/>
      <c r="I1088" s="139"/>
      <c r="J1088" s="139"/>
      <c r="K1088" s="141"/>
      <c r="L1088" s="139"/>
      <c r="M1088" s="142"/>
    </row>
    <row r="1089" ht="49.5" customHeight="1">
      <c r="A1089" s="139"/>
      <c r="B1089" s="139"/>
      <c r="C1089" s="139"/>
      <c r="D1089" s="139"/>
      <c r="E1089" s="140"/>
      <c r="F1089" s="139"/>
      <c r="G1089" s="139"/>
      <c r="H1089" s="139"/>
      <c r="I1089" s="139"/>
      <c r="J1089" s="139"/>
      <c r="K1089" s="141"/>
      <c r="L1089" s="139"/>
      <c r="M1089" s="142"/>
    </row>
    <row r="1090" ht="49.5" customHeight="1">
      <c r="A1090" s="139"/>
      <c r="B1090" s="139"/>
      <c r="C1090" s="139"/>
      <c r="D1090" s="139"/>
      <c r="E1090" s="140"/>
      <c r="F1090" s="139"/>
      <c r="G1090" s="139"/>
      <c r="H1090" s="139"/>
      <c r="I1090" s="139"/>
      <c r="J1090" s="139"/>
      <c r="K1090" s="141"/>
      <c r="L1090" s="139"/>
      <c r="M1090" s="142"/>
    </row>
    <row r="1091" ht="49.5" customHeight="1">
      <c r="A1091" s="139"/>
      <c r="B1091" s="139"/>
      <c r="C1091" s="139"/>
      <c r="D1091" s="139"/>
      <c r="E1091" s="140"/>
      <c r="F1091" s="139"/>
      <c r="G1091" s="139"/>
      <c r="H1091" s="139"/>
      <c r="I1091" s="139"/>
      <c r="J1091" s="139"/>
      <c r="K1091" s="141"/>
      <c r="L1091" s="139"/>
      <c r="M1091" s="142"/>
    </row>
    <row r="1092" ht="49.5" customHeight="1">
      <c r="A1092" s="139"/>
      <c r="B1092" s="139"/>
      <c r="C1092" s="139"/>
      <c r="D1092" s="139"/>
      <c r="E1092" s="140"/>
      <c r="F1092" s="139"/>
      <c r="G1092" s="139"/>
      <c r="H1092" s="139"/>
      <c r="I1092" s="139"/>
      <c r="J1092" s="139"/>
      <c r="K1092" s="141"/>
      <c r="L1092" s="139"/>
      <c r="M1092" s="142"/>
    </row>
    <row r="1093" ht="49.5" customHeight="1">
      <c r="A1093" s="139"/>
      <c r="B1093" s="139"/>
      <c r="C1093" s="139"/>
      <c r="D1093" s="139"/>
      <c r="E1093" s="140"/>
      <c r="F1093" s="139"/>
      <c r="G1093" s="139"/>
      <c r="H1093" s="139"/>
      <c r="I1093" s="139"/>
      <c r="J1093" s="139"/>
      <c r="K1093" s="141"/>
      <c r="L1093" s="139"/>
      <c r="M1093" s="142"/>
    </row>
    <row r="1094" ht="49.5" customHeight="1">
      <c r="A1094" s="139"/>
      <c r="B1094" s="139"/>
      <c r="C1094" s="139"/>
      <c r="D1094" s="139"/>
      <c r="E1094" s="140"/>
      <c r="F1094" s="139"/>
      <c r="G1094" s="139"/>
      <c r="H1094" s="139"/>
      <c r="I1094" s="139"/>
      <c r="J1094" s="139"/>
      <c r="K1094" s="141"/>
      <c r="L1094" s="139"/>
      <c r="M1094" s="142"/>
    </row>
    <row r="1095" ht="49.5" customHeight="1">
      <c r="A1095" s="139"/>
      <c r="B1095" s="139"/>
      <c r="C1095" s="139"/>
      <c r="D1095" s="139"/>
      <c r="E1095" s="140"/>
      <c r="F1095" s="139"/>
      <c r="G1095" s="139"/>
      <c r="H1095" s="139"/>
      <c r="I1095" s="139"/>
      <c r="J1095" s="139"/>
      <c r="K1095" s="141"/>
      <c r="L1095" s="139"/>
      <c r="M1095" s="142"/>
    </row>
    <row r="1096" ht="49.5" customHeight="1">
      <c r="A1096" s="139"/>
      <c r="B1096" s="139"/>
      <c r="C1096" s="139"/>
      <c r="D1096" s="139"/>
      <c r="E1096" s="140"/>
      <c r="F1096" s="139"/>
      <c r="G1096" s="139"/>
      <c r="H1096" s="139"/>
      <c r="I1096" s="139"/>
      <c r="J1096" s="139"/>
      <c r="K1096" s="141"/>
      <c r="L1096" s="139"/>
      <c r="M1096" s="142"/>
    </row>
    <row r="1097" ht="49.5" customHeight="1">
      <c r="A1097" s="139"/>
      <c r="B1097" s="139"/>
      <c r="C1097" s="139"/>
      <c r="D1097" s="139"/>
      <c r="E1097" s="140"/>
      <c r="F1097" s="139"/>
      <c r="G1097" s="139"/>
      <c r="H1097" s="139"/>
      <c r="I1097" s="139"/>
      <c r="J1097" s="139"/>
      <c r="K1097" s="141"/>
      <c r="L1097" s="139"/>
      <c r="M1097" s="142"/>
    </row>
    <row r="1098" ht="49.5" customHeight="1">
      <c r="A1098" s="139"/>
      <c r="B1098" s="139"/>
      <c r="C1098" s="139"/>
      <c r="D1098" s="139"/>
      <c r="E1098" s="140"/>
      <c r="F1098" s="139"/>
      <c r="G1098" s="139"/>
      <c r="H1098" s="139"/>
      <c r="I1098" s="139"/>
      <c r="J1098" s="139"/>
      <c r="K1098" s="141"/>
      <c r="L1098" s="139"/>
      <c r="M1098" s="142"/>
    </row>
    <row r="1099" ht="49.5" customHeight="1">
      <c r="A1099" s="139"/>
      <c r="B1099" s="139"/>
      <c r="C1099" s="139"/>
      <c r="D1099" s="139"/>
      <c r="E1099" s="140"/>
      <c r="F1099" s="139"/>
      <c r="G1099" s="139"/>
      <c r="H1099" s="139"/>
      <c r="I1099" s="139"/>
      <c r="J1099" s="139"/>
      <c r="K1099" s="141"/>
      <c r="L1099" s="139"/>
      <c r="M1099" s="142"/>
    </row>
    <row r="1100" ht="49.5" customHeight="1">
      <c r="A1100" s="139"/>
      <c r="B1100" s="139"/>
      <c r="C1100" s="139"/>
      <c r="D1100" s="139"/>
      <c r="E1100" s="140"/>
      <c r="F1100" s="139"/>
      <c r="G1100" s="139"/>
      <c r="H1100" s="139"/>
      <c r="I1100" s="139"/>
      <c r="J1100" s="139"/>
      <c r="K1100" s="141"/>
      <c r="L1100" s="139"/>
      <c r="M1100" s="142"/>
    </row>
    <row r="1101" ht="49.5" customHeight="1">
      <c r="A1101" s="139"/>
      <c r="B1101" s="139"/>
      <c r="C1101" s="139"/>
      <c r="D1101" s="139"/>
      <c r="E1101" s="140"/>
      <c r="F1101" s="139"/>
      <c r="G1101" s="139"/>
      <c r="H1101" s="139"/>
      <c r="I1101" s="139"/>
      <c r="J1101" s="139"/>
      <c r="K1101" s="141"/>
      <c r="L1101" s="139"/>
      <c r="M1101" s="142"/>
    </row>
    <row r="1102" ht="49.5" customHeight="1">
      <c r="A1102" s="139"/>
      <c r="B1102" s="139"/>
      <c r="C1102" s="139"/>
      <c r="D1102" s="139"/>
      <c r="E1102" s="140"/>
      <c r="F1102" s="139"/>
      <c r="G1102" s="139"/>
      <c r="H1102" s="139"/>
      <c r="I1102" s="139"/>
      <c r="J1102" s="139"/>
      <c r="K1102" s="141"/>
      <c r="L1102" s="139"/>
      <c r="M1102" s="142"/>
    </row>
    <row r="1103" ht="49.5" customHeight="1">
      <c r="A1103" s="139"/>
      <c r="B1103" s="139"/>
      <c r="C1103" s="139"/>
      <c r="D1103" s="139"/>
      <c r="E1103" s="140"/>
      <c r="F1103" s="139"/>
      <c r="G1103" s="139"/>
      <c r="H1103" s="139"/>
      <c r="I1103" s="139"/>
      <c r="J1103" s="139"/>
      <c r="K1103" s="141"/>
      <c r="L1103" s="139"/>
      <c r="M1103" s="142"/>
    </row>
    <row r="1104" ht="49.5" customHeight="1">
      <c r="A1104" s="139"/>
      <c r="B1104" s="139"/>
      <c r="C1104" s="139"/>
      <c r="D1104" s="139"/>
      <c r="E1104" s="140"/>
      <c r="F1104" s="139"/>
      <c r="G1104" s="139"/>
      <c r="H1104" s="139"/>
      <c r="I1104" s="139"/>
      <c r="J1104" s="139"/>
      <c r="K1104" s="141"/>
      <c r="L1104" s="139"/>
      <c r="M1104" s="142"/>
    </row>
    <row r="1105" ht="49.5" customHeight="1">
      <c r="A1105" s="139"/>
      <c r="B1105" s="139"/>
      <c r="C1105" s="139"/>
      <c r="D1105" s="139"/>
      <c r="E1105" s="140"/>
      <c r="F1105" s="139"/>
      <c r="G1105" s="139"/>
      <c r="H1105" s="139"/>
      <c r="I1105" s="139"/>
      <c r="J1105" s="139"/>
      <c r="K1105" s="141"/>
      <c r="L1105" s="139"/>
      <c r="M1105" s="142"/>
    </row>
    <row r="1106" ht="49.5" customHeight="1">
      <c r="A1106" s="139"/>
      <c r="B1106" s="139"/>
      <c r="C1106" s="139"/>
      <c r="D1106" s="139"/>
      <c r="E1106" s="140"/>
      <c r="F1106" s="139"/>
      <c r="G1106" s="139"/>
      <c r="H1106" s="139"/>
      <c r="I1106" s="139"/>
      <c r="J1106" s="139"/>
      <c r="K1106" s="141"/>
      <c r="L1106" s="139"/>
      <c r="M1106" s="142"/>
    </row>
    <row r="1107" ht="49.5" customHeight="1">
      <c r="A1107" s="139"/>
      <c r="B1107" s="139"/>
      <c r="C1107" s="139"/>
      <c r="D1107" s="139"/>
      <c r="E1107" s="140"/>
      <c r="F1107" s="139"/>
      <c r="G1107" s="139"/>
      <c r="H1107" s="139"/>
      <c r="I1107" s="139"/>
      <c r="J1107" s="139"/>
      <c r="K1107" s="141"/>
      <c r="L1107" s="139"/>
      <c r="M1107" s="142"/>
    </row>
    <row r="1108" ht="49.5" customHeight="1">
      <c r="A1108" s="139"/>
      <c r="B1108" s="139"/>
      <c r="C1108" s="139"/>
      <c r="D1108" s="139"/>
      <c r="E1108" s="140"/>
      <c r="F1108" s="139"/>
      <c r="G1108" s="139"/>
      <c r="H1108" s="139"/>
      <c r="I1108" s="139"/>
      <c r="J1108" s="139"/>
      <c r="K1108" s="141"/>
      <c r="L1108" s="139"/>
      <c r="M1108" s="142"/>
    </row>
    <row r="1109" ht="49.5" customHeight="1">
      <c r="A1109" s="139"/>
      <c r="B1109" s="139"/>
      <c r="C1109" s="139"/>
      <c r="D1109" s="139"/>
      <c r="E1109" s="140"/>
      <c r="F1109" s="139"/>
      <c r="G1109" s="139"/>
      <c r="H1109" s="139"/>
      <c r="I1109" s="139"/>
      <c r="J1109" s="139"/>
      <c r="K1109" s="141"/>
      <c r="L1109" s="139"/>
      <c r="M1109" s="142"/>
    </row>
    <row r="1110" ht="49.5" customHeight="1">
      <c r="A1110" s="139"/>
      <c r="B1110" s="139"/>
      <c r="C1110" s="139"/>
      <c r="D1110" s="139"/>
      <c r="E1110" s="140"/>
      <c r="F1110" s="139"/>
      <c r="G1110" s="139"/>
      <c r="H1110" s="139"/>
      <c r="I1110" s="139"/>
      <c r="J1110" s="139"/>
      <c r="K1110" s="141"/>
      <c r="L1110" s="139"/>
      <c r="M1110" s="142"/>
    </row>
    <row r="1111" ht="49.5" customHeight="1">
      <c r="A1111" s="139"/>
      <c r="B1111" s="139"/>
      <c r="C1111" s="139"/>
      <c r="D1111" s="139"/>
      <c r="E1111" s="140"/>
      <c r="F1111" s="139"/>
      <c r="G1111" s="139"/>
      <c r="H1111" s="139"/>
      <c r="I1111" s="139"/>
      <c r="J1111" s="139"/>
      <c r="K1111" s="141"/>
      <c r="L1111" s="139"/>
      <c r="M1111" s="142"/>
    </row>
    <row r="1112" ht="49.5" customHeight="1">
      <c r="A1112" s="139"/>
      <c r="B1112" s="139"/>
      <c r="C1112" s="139"/>
      <c r="D1112" s="139"/>
      <c r="E1112" s="140"/>
      <c r="F1112" s="139"/>
      <c r="G1112" s="139"/>
      <c r="H1112" s="139"/>
      <c r="I1112" s="139"/>
      <c r="J1112" s="139"/>
      <c r="K1112" s="141"/>
      <c r="L1112" s="139"/>
      <c r="M1112" s="142"/>
    </row>
    <row r="1113" ht="49.5" customHeight="1">
      <c r="A1113" s="139"/>
      <c r="B1113" s="139"/>
      <c r="C1113" s="139"/>
      <c r="D1113" s="139"/>
      <c r="E1113" s="140"/>
      <c r="F1113" s="139"/>
      <c r="G1113" s="139"/>
      <c r="H1113" s="139"/>
      <c r="I1113" s="139"/>
      <c r="J1113" s="139"/>
      <c r="K1113" s="141"/>
      <c r="L1113" s="139"/>
      <c r="M1113" s="142"/>
    </row>
    <row r="1114" ht="49.5" customHeight="1">
      <c r="A1114" s="139"/>
      <c r="B1114" s="139"/>
      <c r="C1114" s="139"/>
      <c r="D1114" s="139"/>
      <c r="E1114" s="140"/>
      <c r="F1114" s="139"/>
      <c r="G1114" s="139"/>
      <c r="H1114" s="139"/>
      <c r="I1114" s="139"/>
      <c r="J1114" s="139"/>
      <c r="K1114" s="141"/>
      <c r="L1114" s="139"/>
      <c r="M1114" s="142"/>
    </row>
    <row r="1115" ht="49.5" customHeight="1">
      <c r="A1115" s="139"/>
      <c r="B1115" s="139"/>
      <c r="C1115" s="139"/>
      <c r="D1115" s="139"/>
      <c r="E1115" s="140"/>
      <c r="F1115" s="139"/>
      <c r="G1115" s="139"/>
      <c r="H1115" s="139"/>
      <c r="I1115" s="139"/>
      <c r="J1115" s="139"/>
      <c r="K1115" s="141"/>
      <c r="L1115" s="139"/>
      <c r="M1115" s="142"/>
    </row>
    <row r="1116" ht="49.5" customHeight="1">
      <c r="A1116" s="139"/>
      <c r="B1116" s="139"/>
      <c r="C1116" s="139"/>
      <c r="D1116" s="139"/>
      <c r="E1116" s="140"/>
      <c r="F1116" s="139"/>
      <c r="G1116" s="139"/>
      <c r="H1116" s="139"/>
      <c r="I1116" s="139"/>
      <c r="J1116" s="139"/>
      <c r="K1116" s="141"/>
      <c r="L1116" s="139"/>
      <c r="M1116" s="142"/>
    </row>
    <row r="1117" ht="49.5" customHeight="1">
      <c r="A1117" s="139"/>
      <c r="B1117" s="139"/>
      <c r="C1117" s="139"/>
      <c r="D1117" s="139"/>
      <c r="E1117" s="140"/>
      <c r="F1117" s="139"/>
      <c r="G1117" s="139"/>
      <c r="H1117" s="139"/>
      <c r="I1117" s="139"/>
      <c r="J1117" s="139"/>
      <c r="K1117" s="141"/>
      <c r="L1117" s="139"/>
      <c r="M1117" s="142"/>
    </row>
    <row r="1118" ht="49.5" customHeight="1">
      <c r="A1118" s="139"/>
      <c r="B1118" s="139"/>
      <c r="C1118" s="139"/>
      <c r="D1118" s="139"/>
      <c r="E1118" s="140"/>
      <c r="F1118" s="139"/>
      <c r="G1118" s="139"/>
      <c r="H1118" s="139"/>
      <c r="I1118" s="139"/>
      <c r="J1118" s="139"/>
      <c r="K1118" s="141"/>
      <c r="L1118" s="139"/>
      <c r="M1118" s="142"/>
    </row>
    <row r="1119" ht="49.5" customHeight="1">
      <c r="A1119" s="139"/>
      <c r="B1119" s="139"/>
      <c r="C1119" s="139"/>
      <c r="D1119" s="139"/>
      <c r="E1119" s="140"/>
      <c r="F1119" s="139"/>
      <c r="G1119" s="139"/>
      <c r="H1119" s="139"/>
      <c r="I1119" s="139"/>
      <c r="J1119" s="139"/>
      <c r="K1119" s="141"/>
      <c r="L1119" s="139"/>
      <c r="M1119" s="142"/>
    </row>
    <row r="1120" ht="49.5" customHeight="1">
      <c r="A1120" s="139"/>
      <c r="B1120" s="139"/>
      <c r="C1120" s="139"/>
      <c r="D1120" s="139"/>
      <c r="E1120" s="140"/>
      <c r="F1120" s="139"/>
      <c r="G1120" s="139"/>
      <c r="H1120" s="139"/>
      <c r="I1120" s="139"/>
      <c r="J1120" s="139"/>
      <c r="K1120" s="141"/>
      <c r="L1120" s="139"/>
      <c r="M1120" s="142"/>
    </row>
    <row r="1121" ht="49.5" customHeight="1">
      <c r="A1121" s="139"/>
      <c r="B1121" s="139"/>
      <c r="C1121" s="139"/>
      <c r="D1121" s="139"/>
      <c r="E1121" s="140"/>
      <c r="F1121" s="139"/>
      <c r="G1121" s="139"/>
      <c r="H1121" s="139"/>
      <c r="I1121" s="139"/>
      <c r="J1121" s="139"/>
      <c r="K1121" s="141"/>
      <c r="L1121" s="139"/>
      <c r="M1121" s="142"/>
    </row>
    <row r="1122" ht="49.5" customHeight="1">
      <c r="A1122" s="139"/>
      <c r="B1122" s="139"/>
      <c r="C1122" s="139"/>
      <c r="D1122" s="139"/>
      <c r="E1122" s="140"/>
      <c r="F1122" s="139"/>
      <c r="G1122" s="139"/>
      <c r="H1122" s="139"/>
      <c r="I1122" s="139"/>
      <c r="J1122" s="139"/>
      <c r="K1122" s="141"/>
      <c r="L1122" s="139"/>
      <c r="M1122" s="142"/>
    </row>
    <row r="1123" ht="49.5" customHeight="1">
      <c r="A1123" s="139"/>
      <c r="B1123" s="139"/>
      <c r="C1123" s="139"/>
      <c r="D1123" s="139"/>
      <c r="E1123" s="140"/>
      <c r="F1123" s="139"/>
      <c r="G1123" s="139"/>
      <c r="H1123" s="139"/>
      <c r="I1123" s="139"/>
      <c r="J1123" s="139"/>
      <c r="K1123" s="141"/>
      <c r="L1123" s="139"/>
      <c r="M1123" s="142"/>
    </row>
    <row r="1124" ht="49.5" customHeight="1">
      <c r="A1124" s="139"/>
      <c r="B1124" s="139"/>
      <c r="C1124" s="139"/>
      <c r="D1124" s="139"/>
      <c r="E1124" s="140"/>
      <c r="F1124" s="139"/>
      <c r="G1124" s="139"/>
      <c r="H1124" s="139"/>
      <c r="I1124" s="139"/>
      <c r="J1124" s="139"/>
      <c r="K1124" s="141"/>
      <c r="L1124" s="139"/>
      <c r="M1124" s="142"/>
    </row>
    <row r="1125" ht="49.5" customHeight="1">
      <c r="A1125" s="139"/>
      <c r="B1125" s="139"/>
      <c r="C1125" s="139"/>
      <c r="D1125" s="139"/>
      <c r="E1125" s="140"/>
      <c r="F1125" s="139"/>
      <c r="G1125" s="139"/>
      <c r="H1125" s="139"/>
      <c r="I1125" s="139"/>
      <c r="J1125" s="139"/>
      <c r="K1125" s="141"/>
      <c r="L1125" s="139"/>
      <c r="M1125" s="142"/>
    </row>
    <row r="1126" ht="49.5" customHeight="1">
      <c r="A1126" s="139"/>
      <c r="B1126" s="139"/>
      <c r="C1126" s="139"/>
      <c r="D1126" s="139"/>
      <c r="E1126" s="140"/>
      <c r="F1126" s="139"/>
      <c r="G1126" s="139"/>
      <c r="H1126" s="139"/>
      <c r="I1126" s="139"/>
      <c r="J1126" s="139"/>
      <c r="K1126" s="141"/>
      <c r="L1126" s="139"/>
      <c r="M1126" s="142"/>
    </row>
    <row r="1127" ht="49.5" customHeight="1">
      <c r="A1127" s="139"/>
      <c r="B1127" s="139"/>
      <c r="C1127" s="139"/>
      <c r="D1127" s="139"/>
      <c r="E1127" s="140"/>
      <c r="F1127" s="139"/>
      <c r="G1127" s="139"/>
      <c r="H1127" s="139"/>
      <c r="I1127" s="139"/>
      <c r="J1127" s="139"/>
      <c r="K1127" s="141"/>
      <c r="L1127" s="139"/>
      <c r="M1127" s="142"/>
    </row>
    <row r="1128" ht="49.5" customHeight="1">
      <c r="A1128" s="139"/>
      <c r="B1128" s="139"/>
      <c r="C1128" s="139"/>
      <c r="D1128" s="139"/>
      <c r="E1128" s="140"/>
      <c r="F1128" s="139"/>
      <c r="G1128" s="139"/>
      <c r="H1128" s="139"/>
      <c r="I1128" s="139"/>
      <c r="J1128" s="139"/>
      <c r="K1128" s="141"/>
      <c r="L1128" s="139"/>
      <c r="M1128" s="142"/>
    </row>
    <row r="1129" ht="49.5" customHeight="1">
      <c r="A1129" s="139"/>
      <c r="B1129" s="139"/>
      <c r="C1129" s="139"/>
      <c r="D1129" s="139"/>
      <c r="E1129" s="140"/>
      <c r="F1129" s="139"/>
      <c r="G1129" s="139"/>
      <c r="H1129" s="139"/>
      <c r="I1129" s="139"/>
      <c r="J1129" s="139"/>
      <c r="K1129" s="141"/>
      <c r="L1129" s="139"/>
      <c r="M1129" s="142"/>
    </row>
    <row r="1130" ht="49.5" customHeight="1">
      <c r="A1130" s="139"/>
      <c r="B1130" s="139"/>
      <c r="C1130" s="139"/>
      <c r="D1130" s="139"/>
      <c r="E1130" s="140"/>
      <c r="F1130" s="139"/>
      <c r="G1130" s="139"/>
      <c r="H1130" s="139"/>
      <c r="I1130" s="139"/>
      <c r="J1130" s="139"/>
      <c r="K1130" s="141"/>
      <c r="L1130" s="139"/>
      <c r="M1130" s="142"/>
    </row>
    <row r="1131" ht="49.5" customHeight="1">
      <c r="A1131" s="139"/>
      <c r="B1131" s="139"/>
      <c r="C1131" s="139"/>
      <c r="D1131" s="139"/>
      <c r="E1131" s="140"/>
      <c r="F1131" s="139"/>
      <c r="G1131" s="139"/>
      <c r="H1131" s="139"/>
      <c r="I1131" s="139"/>
      <c r="J1131" s="139"/>
      <c r="K1131" s="141"/>
      <c r="L1131" s="139"/>
      <c r="M1131" s="142"/>
    </row>
    <row r="1132" ht="49.5" customHeight="1">
      <c r="A1132" s="139"/>
      <c r="B1132" s="139"/>
      <c r="C1132" s="139"/>
      <c r="D1132" s="139"/>
      <c r="E1132" s="140"/>
      <c r="F1132" s="139"/>
      <c r="G1132" s="139"/>
      <c r="H1132" s="139"/>
      <c r="I1132" s="139"/>
      <c r="J1132" s="139"/>
      <c r="K1132" s="141"/>
      <c r="L1132" s="139"/>
      <c r="M1132" s="142"/>
    </row>
    <row r="1133" ht="49.5" customHeight="1">
      <c r="A1133" s="139"/>
      <c r="B1133" s="139"/>
      <c r="C1133" s="139"/>
      <c r="D1133" s="139"/>
      <c r="E1133" s="140"/>
      <c r="F1133" s="139"/>
      <c r="G1133" s="139"/>
      <c r="H1133" s="139"/>
      <c r="I1133" s="139"/>
      <c r="J1133" s="139"/>
      <c r="K1133" s="141"/>
      <c r="L1133" s="139"/>
      <c r="M1133" s="142"/>
    </row>
    <row r="1134" ht="49.5" customHeight="1">
      <c r="A1134" s="139"/>
      <c r="B1134" s="139"/>
      <c r="C1134" s="139"/>
      <c r="D1134" s="139"/>
      <c r="E1134" s="140"/>
      <c r="F1134" s="139"/>
      <c r="G1134" s="139"/>
      <c r="H1134" s="139"/>
      <c r="I1134" s="139"/>
      <c r="J1134" s="139"/>
      <c r="K1134" s="141"/>
      <c r="L1134" s="139"/>
      <c r="M1134" s="142"/>
    </row>
    <row r="1135" ht="49.5" customHeight="1">
      <c r="A1135" s="139"/>
      <c r="B1135" s="139"/>
      <c r="C1135" s="139"/>
      <c r="D1135" s="139"/>
      <c r="E1135" s="140"/>
      <c r="F1135" s="139"/>
      <c r="G1135" s="139"/>
      <c r="H1135" s="139"/>
      <c r="I1135" s="139"/>
      <c r="J1135" s="139"/>
      <c r="K1135" s="141"/>
      <c r="L1135" s="139"/>
      <c r="M1135" s="142"/>
    </row>
    <row r="1136" ht="49.5" customHeight="1">
      <c r="A1136" s="139"/>
      <c r="B1136" s="139"/>
      <c r="C1136" s="139"/>
      <c r="D1136" s="139"/>
      <c r="E1136" s="140"/>
      <c r="F1136" s="139"/>
      <c r="G1136" s="139"/>
      <c r="H1136" s="139"/>
      <c r="I1136" s="139"/>
      <c r="J1136" s="139"/>
      <c r="K1136" s="141"/>
      <c r="L1136" s="139"/>
      <c r="M1136" s="142"/>
    </row>
    <row r="1137" ht="49.5" customHeight="1">
      <c r="A1137" s="139"/>
      <c r="B1137" s="139"/>
      <c r="C1137" s="139"/>
      <c r="D1137" s="139"/>
      <c r="E1137" s="140"/>
      <c r="F1137" s="139"/>
      <c r="G1137" s="139"/>
      <c r="H1137" s="139"/>
      <c r="I1137" s="139"/>
      <c r="J1137" s="139"/>
      <c r="K1137" s="141"/>
      <c r="L1137" s="139"/>
      <c r="M1137" s="142"/>
    </row>
    <row r="1138" ht="49.5" customHeight="1">
      <c r="A1138" s="139"/>
      <c r="B1138" s="139"/>
      <c r="C1138" s="139"/>
      <c r="D1138" s="139"/>
      <c r="E1138" s="140"/>
      <c r="F1138" s="139"/>
      <c r="G1138" s="139"/>
      <c r="H1138" s="139"/>
      <c r="I1138" s="139"/>
      <c r="J1138" s="139"/>
      <c r="K1138" s="141"/>
      <c r="L1138" s="139"/>
      <c r="M1138" s="142"/>
    </row>
    <row r="1139" ht="49.5" customHeight="1">
      <c r="A1139" s="139"/>
      <c r="B1139" s="139"/>
      <c r="C1139" s="139"/>
      <c r="D1139" s="139"/>
      <c r="E1139" s="140"/>
      <c r="F1139" s="139"/>
      <c r="G1139" s="139"/>
      <c r="H1139" s="139"/>
      <c r="I1139" s="139"/>
      <c r="J1139" s="139"/>
      <c r="K1139" s="141"/>
      <c r="L1139" s="139"/>
      <c r="M1139" s="142"/>
    </row>
    <row r="1140" ht="49.5" customHeight="1">
      <c r="A1140" s="139"/>
      <c r="B1140" s="139"/>
      <c r="C1140" s="139"/>
      <c r="D1140" s="139"/>
      <c r="E1140" s="140"/>
      <c r="F1140" s="139"/>
      <c r="G1140" s="139"/>
      <c r="H1140" s="139"/>
      <c r="I1140" s="139"/>
      <c r="J1140" s="139"/>
      <c r="K1140" s="141"/>
      <c r="L1140" s="139"/>
      <c r="M1140" s="142"/>
    </row>
    <row r="1141" ht="49.5" customHeight="1">
      <c r="A1141" s="139"/>
      <c r="B1141" s="139"/>
      <c r="C1141" s="139"/>
      <c r="D1141" s="139"/>
      <c r="E1141" s="140"/>
      <c r="F1141" s="139"/>
      <c r="G1141" s="139"/>
      <c r="H1141" s="139"/>
      <c r="I1141" s="139"/>
      <c r="J1141" s="139"/>
      <c r="K1141" s="141"/>
      <c r="L1141" s="139"/>
      <c r="M1141" s="142"/>
    </row>
    <row r="1142" ht="49.5" customHeight="1">
      <c r="A1142" s="139"/>
      <c r="B1142" s="139"/>
      <c r="C1142" s="139"/>
      <c r="D1142" s="139"/>
      <c r="E1142" s="140"/>
      <c r="F1142" s="139"/>
      <c r="G1142" s="139"/>
      <c r="H1142" s="139"/>
      <c r="I1142" s="139"/>
      <c r="J1142" s="139"/>
      <c r="K1142" s="141"/>
      <c r="L1142" s="139"/>
      <c r="M1142" s="142"/>
    </row>
    <row r="1143" ht="49.5" customHeight="1">
      <c r="A1143" s="139"/>
      <c r="B1143" s="139"/>
      <c r="C1143" s="139"/>
      <c r="D1143" s="139"/>
      <c r="E1143" s="140"/>
      <c r="F1143" s="139"/>
      <c r="G1143" s="139"/>
      <c r="H1143" s="139"/>
      <c r="I1143" s="139"/>
      <c r="J1143" s="139"/>
      <c r="K1143" s="141"/>
      <c r="L1143" s="139"/>
      <c r="M1143" s="142"/>
    </row>
    <row r="1144" ht="49.5" customHeight="1">
      <c r="A1144" s="139"/>
      <c r="B1144" s="139"/>
      <c r="C1144" s="139"/>
      <c r="D1144" s="139"/>
      <c r="E1144" s="140"/>
      <c r="F1144" s="139"/>
      <c r="G1144" s="139"/>
      <c r="H1144" s="139"/>
      <c r="I1144" s="139"/>
      <c r="J1144" s="139"/>
      <c r="K1144" s="141"/>
      <c r="L1144" s="139"/>
      <c r="M1144" s="142"/>
    </row>
    <row r="1145" ht="49.5" customHeight="1">
      <c r="A1145" s="139"/>
      <c r="B1145" s="139"/>
      <c r="C1145" s="139"/>
      <c r="D1145" s="139"/>
      <c r="E1145" s="140"/>
      <c r="F1145" s="139"/>
      <c r="G1145" s="139"/>
      <c r="H1145" s="139"/>
      <c r="I1145" s="139"/>
      <c r="J1145" s="139"/>
      <c r="K1145" s="141"/>
      <c r="L1145" s="139"/>
      <c r="M1145" s="142"/>
    </row>
    <row r="1146" ht="49.5" customHeight="1">
      <c r="A1146" s="139"/>
      <c r="B1146" s="139"/>
      <c r="C1146" s="139"/>
      <c r="D1146" s="139"/>
      <c r="E1146" s="140"/>
      <c r="F1146" s="139"/>
      <c r="G1146" s="139"/>
      <c r="H1146" s="139"/>
      <c r="I1146" s="139"/>
      <c r="J1146" s="139"/>
      <c r="K1146" s="141"/>
      <c r="L1146" s="139"/>
      <c r="M1146" s="142"/>
    </row>
    <row r="1147" ht="49.5" customHeight="1">
      <c r="A1147" s="139"/>
      <c r="B1147" s="139"/>
      <c r="C1147" s="139"/>
      <c r="D1147" s="139"/>
      <c r="E1147" s="140"/>
      <c r="F1147" s="139"/>
      <c r="G1147" s="139"/>
      <c r="H1147" s="139"/>
      <c r="I1147" s="139"/>
      <c r="J1147" s="139"/>
      <c r="K1147" s="141"/>
      <c r="L1147" s="139"/>
      <c r="M1147" s="142"/>
    </row>
    <row r="1148" ht="49.5" customHeight="1">
      <c r="A1148" s="139"/>
      <c r="B1148" s="139"/>
      <c r="C1148" s="139"/>
      <c r="D1148" s="139"/>
      <c r="E1148" s="140"/>
      <c r="F1148" s="139"/>
      <c r="G1148" s="139"/>
      <c r="H1148" s="139"/>
      <c r="I1148" s="139"/>
      <c r="J1148" s="139"/>
      <c r="K1148" s="141"/>
      <c r="L1148" s="139"/>
      <c r="M1148" s="142"/>
    </row>
    <row r="1149" ht="49.5" customHeight="1">
      <c r="A1149" s="139"/>
      <c r="B1149" s="139"/>
      <c r="C1149" s="139"/>
      <c r="D1149" s="139"/>
      <c r="E1149" s="140"/>
      <c r="F1149" s="139"/>
      <c r="G1149" s="139"/>
      <c r="H1149" s="139"/>
      <c r="I1149" s="139"/>
      <c r="J1149" s="139"/>
      <c r="K1149" s="141"/>
      <c r="L1149" s="139"/>
      <c r="M1149" s="142"/>
    </row>
    <row r="1150" ht="49.5" customHeight="1">
      <c r="A1150" s="139"/>
      <c r="B1150" s="139"/>
      <c r="C1150" s="139"/>
      <c r="D1150" s="139"/>
      <c r="E1150" s="140"/>
      <c r="F1150" s="139"/>
      <c r="G1150" s="139"/>
      <c r="H1150" s="139"/>
      <c r="I1150" s="139"/>
      <c r="J1150" s="139"/>
      <c r="K1150" s="141"/>
      <c r="L1150" s="139"/>
      <c r="M1150" s="142"/>
    </row>
    <row r="1151" ht="49.5" customHeight="1">
      <c r="A1151" s="139"/>
      <c r="B1151" s="139"/>
      <c r="C1151" s="139"/>
      <c r="D1151" s="139"/>
      <c r="E1151" s="140"/>
      <c r="F1151" s="139"/>
      <c r="G1151" s="139"/>
      <c r="H1151" s="139"/>
      <c r="I1151" s="139"/>
      <c r="J1151" s="139"/>
      <c r="K1151" s="141"/>
      <c r="L1151" s="139"/>
      <c r="M1151" s="142"/>
    </row>
    <row r="1152" ht="49.5" customHeight="1">
      <c r="A1152" s="139"/>
      <c r="B1152" s="139"/>
      <c r="C1152" s="139"/>
      <c r="D1152" s="139"/>
      <c r="E1152" s="140"/>
      <c r="F1152" s="139"/>
      <c r="G1152" s="139"/>
      <c r="H1152" s="139"/>
      <c r="I1152" s="139"/>
      <c r="J1152" s="139"/>
      <c r="K1152" s="141"/>
      <c r="L1152" s="139"/>
      <c r="M1152" s="142"/>
    </row>
    <row r="1153" ht="49.5" customHeight="1">
      <c r="A1153" s="139"/>
      <c r="B1153" s="139"/>
      <c r="C1153" s="139"/>
      <c r="D1153" s="139"/>
      <c r="E1153" s="140"/>
      <c r="F1153" s="139"/>
      <c r="G1153" s="139"/>
      <c r="H1153" s="139"/>
      <c r="I1153" s="139"/>
      <c r="J1153" s="139"/>
      <c r="K1153" s="141"/>
      <c r="L1153" s="139"/>
      <c r="M1153" s="142"/>
    </row>
    <row r="1154" ht="49.5" customHeight="1">
      <c r="A1154" s="139"/>
      <c r="B1154" s="139"/>
      <c r="C1154" s="139"/>
      <c r="D1154" s="139"/>
      <c r="E1154" s="140"/>
      <c r="F1154" s="139"/>
      <c r="G1154" s="139"/>
      <c r="H1154" s="139"/>
      <c r="I1154" s="139"/>
      <c r="J1154" s="139"/>
      <c r="K1154" s="141"/>
      <c r="L1154" s="139"/>
      <c r="M1154" s="142"/>
    </row>
    <row r="1155" ht="49.5" customHeight="1">
      <c r="A1155" s="139"/>
      <c r="B1155" s="139"/>
      <c r="C1155" s="139"/>
      <c r="D1155" s="139"/>
      <c r="E1155" s="140"/>
      <c r="F1155" s="139"/>
      <c r="G1155" s="139"/>
      <c r="H1155" s="139"/>
      <c r="I1155" s="139"/>
      <c r="J1155" s="139"/>
      <c r="K1155" s="141"/>
      <c r="L1155" s="139"/>
      <c r="M1155" s="142"/>
    </row>
    <row r="1156" ht="49.5" customHeight="1">
      <c r="A1156" s="139"/>
      <c r="B1156" s="139"/>
      <c r="C1156" s="139"/>
      <c r="D1156" s="139"/>
      <c r="E1156" s="140"/>
      <c r="F1156" s="139"/>
      <c r="G1156" s="139"/>
      <c r="H1156" s="139"/>
      <c r="I1156" s="139"/>
      <c r="J1156" s="139"/>
      <c r="K1156" s="141"/>
      <c r="L1156" s="139"/>
      <c r="M1156" s="142"/>
    </row>
    <row r="1157" ht="49.5" customHeight="1">
      <c r="A1157" s="139"/>
      <c r="B1157" s="139"/>
      <c r="C1157" s="139"/>
      <c r="D1157" s="139"/>
      <c r="E1157" s="140"/>
      <c r="F1157" s="139"/>
      <c r="G1157" s="139"/>
      <c r="H1157" s="139"/>
      <c r="I1157" s="139"/>
      <c r="J1157" s="139"/>
      <c r="K1157" s="141"/>
      <c r="L1157" s="139"/>
      <c r="M1157" s="142"/>
    </row>
    <row r="1158" ht="49.5" customHeight="1">
      <c r="A1158" s="139"/>
      <c r="B1158" s="139"/>
      <c r="C1158" s="139"/>
      <c r="D1158" s="139"/>
      <c r="E1158" s="140"/>
      <c r="F1158" s="139"/>
      <c r="G1158" s="139"/>
      <c r="H1158" s="139"/>
      <c r="I1158" s="139"/>
      <c r="J1158" s="139"/>
      <c r="K1158" s="141"/>
      <c r="L1158" s="139"/>
      <c r="M1158" s="142"/>
    </row>
    <row r="1159" ht="49.5" customHeight="1">
      <c r="A1159" s="139"/>
      <c r="B1159" s="139"/>
      <c r="C1159" s="139"/>
      <c r="D1159" s="139"/>
      <c r="E1159" s="140"/>
      <c r="F1159" s="139"/>
      <c r="G1159" s="139"/>
      <c r="H1159" s="139"/>
      <c r="I1159" s="139"/>
      <c r="J1159" s="139"/>
      <c r="K1159" s="141"/>
      <c r="L1159" s="139"/>
      <c r="M1159" s="142"/>
    </row>
    <row r="1160" ht="49.5" customHeight="1">
      <c r="A1160" s="139"/>
      <c r="B1160" s="139"/>
      <c r="C1160" s="139"/>
      <c r="D1160" s="139"/>
      <c r="E1160" s="140"/>
      <c r="F1160" s="139"/>
      <c r="G1160" s="139"/>
      <c r="H1160" s="139"/>
      <c r="I1160" s="139"/>
      <c r="J1160" s="139"/>
      <c r="K1160" s="141"/>
      <c r="L1160" s="139"/>
      <c r="M1160" s="142"/>
    </row>
    <row r="1161" ht="49.5" customHeight="1">
      <c r="A1161" s="139"/>
      <c r="B1161" s="139"/>
      <c r="C1161" s="139"/>
      <c r="D1161" s="139"/>
      <c r="E1161" s="140"/>
      <c r="F1161" s="139"/>
      <c r="G1161" s="139"/>
      <c r="H1161" s="139"/>
      <c r="I1161" s="139"/>
      <c r="J1161" s="139"/>
      <c r="K1161" s="141"/>
      <c r="L1161" s="139"/>
      <c r="M1161" s="142"/>
    </row>
    <row r="1162" ht="49.5" customHeight="1">
      <c r="A1162" s="139"/>
      <c r="B1162" s="139"/>
      <c r="C1162" s="139"/>
      <c r="D1162" s="139"/>
      <c r="E1162" s="140"/>
      <c r="F1162" s="139"/>
      <c r="G1162" s="139"/>
      <c r="H1162" s="139"/>
      <c r="I1162" s="139"/>
      <c r="J1162" s="139"/>
      <c r="K1162" s="141"/>
      <c r="L1162" s="139"/>
      <c r="M1162" s="142"/>
    </row>
    <row r="1163" ht="49.5" customHeight="1">
      <c r="A1163" s="139"/>
      <c r="B1163" s="139"/>
      <c r="C1163" s="139"/>
      <c r="D1163" s="139"/>
      <c r="E1163" s="140"/>
      <c r="F1163" s="139"/>
      <c r="G1163" s="139"/>
      <c r="H1163" s="139"/>
      <c r="I1163" s="139"/>
      <c r="J1163" s="139"/>
      <c r="K1163" s="141"/>
      <c r="L1163" s="139"/>
      <c r="M1163" s="142"/>
    </row>
    <row r="1164" ht="49.5" customHeight="1">
      <c r="A1164" s="139"/>
      <c r="B1164" s="139"/>
      <c r="C1164" s="139"/>
      <c r="D1164" s="139"/>
      <c r="E1164" s="140"/>
      <c r="F1164" s="139"/>
      <c r="G1164" s="139"/>
      <c r="H1164" s="139"/>
      <c r="I1164" s="139"/>
      <c r="J1164" s="139"/>
      <c r="K1164" s="141"/>
      <c r="L1164" s="139"/>
      <c r="M1164" s="142"/>
    </row>
    <row r="1165" ht="49.5" customHeight="1">
      <c r="A1165" s="139"/>
      <c r="B1165" s="139"/>
      <c r="C1165" s="139"/>
      <c r="D1165" s="139"/>
      <c r="E1165" s="140"/>
      <c r="F1165" s="139"/>
      <c r="G1165" s="139"/>
      <c r="H1165" s="139"/>
      <c r="I1165" s="139"/>
      <c r="J1165" s="139"/>
      <c r="K1165" s="141"/>
      <c r="L1165" s="139"/>
      <c r="M1165" s="142"/>
    </row>
    <row r="1166" ht="49.5" customHeight="1">
      <c r="A1166" s="139"/>
      <c r="B1166" s="139"/>
      <c r="C1166" s="139"/>
      <c r="D1166" s="139"/>
      <c r="E1166" s="140"/>
      <c r="F1166" s="139"/>
      <c r="G1166" s="139"/>
      <c r="H1166" s="139"/>
      <c r="I1166" s="139"/>
      <c r="J1166" s="139"/>
      <c r="K1166" s="141"/>
      <c r="L1166" s="139"/>
      <c r="M1166" s="142"/>
    </row>
    <row r="1167" ht="49.5" customHeight="1">
      <c r="A1167" s="139"/>
      <c r="B1167" s="139"/>
      <c r="C1167" s="139"/>
      <c r="D1167" s="139"/>
      <c r="E1167" s="140"/>
      <c r="F1167" s="139"/>
      <c r="G1167" s="139"/>
      <c r="H1167" s="139"/>
      <c r="I1167" s="139"/>
      <c r="J1167" s="139"/>
      <c r="K1167" s="141"/>
      <c r="L1167" s="139"/>
      <c r="M1167" s="142"/>
    </row>
    <row r="1168" ht="49.5" customHeight="1">
      <c r="A1168" s="139"/>
      <c r="B1168" s="139"/>
      <c r="C1168" s="139"/>
      <c r="D1168" s="139"/>
      <c r="E1168" s="140"/>
      <c r="F1168" s="139"/>
      <c r="G1168" s="139"/>
      <c r="H1168" s="139"/>
      <c r="I1168" s="139"/>
      <c r="J1168" s="139"/>
      <c r="K1168" s="141"/>
      <c r="L1168" s="139"/>
      <c r="M1168" s="142"/>
    </row>
    <row r="1169" ht="49.5" customHeight="1">
      <c r="A1169" s="139"/>
      <c r="B1169" s="139"/>
      <c r="C1169" s="139"/>
      <c r="D1169" s="139"/>
      <c r="E1169" s="140"/>
      <c r="F1169" s="139"/>
      <c r="G1169" s="139"/>
      <c r="H1169" s="139"/>
      <c r="I1169" s="139"/>
      <c r="J1169" s="139"/>
      <c r="K1169" s="141"/>
      <c r="L1169" s="139"/>
      <c r="M1169" s="142"/>
    </row>
    <row r="1170" ht="49.5" customHeight="1">
      <c r="A1170" s="139"/>
      <c r="B1170" s="139"/>
      <c r="C1170" s="139"/>
      <c r="D1170" s="139"/>
      <c r="E1170" s="140"/>
      <c r="F1170" s="139"/>
      <c r="G1170" s="139"/>
      <c r="H1170" s="139"/>
      <c r="I1170" s="139"/>
      <c r="J1170" s="139"/>
      <c r="K1170" s="141"/>
      <c r="L1170" s="139"/>
      <c r="M1170" s="142"/>
    </row>
    <row r="1171" ht="49.5" customHeight="1">
      <c r="A1171" s="139"/>
      <c r="B1171" s="139"/>
      <c r="C1171" s="139"/>
      <c r="D1171" s="139"/>
      <c r="E1171" s="140"/>
      <c r="F1171" s="139"/>
      <c r="G1171" s="139"/>
      <c r="H1171" s="139"/>
      <c r="I1171" s="139"/>
      <c r="J1171" s="139"/>
      <c r="K1171" s="141"/>
      <c r="L1171" s="139"/>
      <c r="M1171" s="142"/>
    </row>
    <row r="1172" ht="49.5" customHeight="1">
      <c r="A1172" s="139"/>
      <c r="B1172" s="139"/>
      <c r="C1172" s="139"/>
      <c r="D1172" s="139"/>
      <c r="E1172" s="140"/>
      <c r="F1172" s="139"/>
      <c r="G1172" s="139"/>
      <c r="H1172" s="139"/>
      <c r="I1172" s="139"/>
      <c r="J1172" s="139"/>
      <c r="K1172" s="141"/>
      <c r="L1172" s="139"/>
      <c r="M1172" s="142"/>
    </row>
    <row r="1173" ht="49.5" customHeight="1">
      <c r="A1173" s="139"/>
      <c r="B1173" s="139"/>
      <c r="C1173" s="139"/>
      <c r="D1173" s="139"/>
      <c r="E1173" s="140"/>
      <c r="F1173" s="139"/>
      <c r="G1173" s="139"/>
      <c r="H1173" s="139"/>
      <c r="I1173" s="139"/>
      <c r="J1173" s="139"/>
      <c r="K1173" s="141"/>
      <c r="L1173" s="139"/>
      <c r="M1173" s="142"/>
    </row>
    <row r="1174" ht="49.5" customHeight="1">
      <c r="A1174" s="139"/>
      <c r="B1174" s="139"/>
      <c r="C1174" s="139"/>
      <c r="D1174" s="139"/>
      <c r="E1174" s="140"/>
      <c r="F1174" s="139"/>
      <c r="G1174" s="139"/>
      <c r="H1174" s="139"/>
      <c r="I1174" s="139"/>
      <c r="J1174" s="139"/>
      <c r="K1174" s="141"/>
      <c r="L1174" s="139"/>
      <c r="M1174" s="142"/>
    </row>
    <row r="1175" ht="49.5" customHeight="1">
      <c r="A1175" s="139"/>
      <c r="B1175" s="139"/>
      <c r="C1175" s="139"/>
      <c r="D1175" s="139"/>
      <c r="E1175" s="140"/>
      <c r="F1175" s="139"/>
      <c r="G1175" s="139"/>
      <c r="H1175" s="139"/>
      <c r="I1175" s="139"/>
      <c r="J1175" s="139"/>
      <c r="K1175" s="141"/>
      <c r="L1175" s="139"/>
      <c r="M1175" s="142"/>
    </row>
    <row r="1176" ht="49.5" customHeight="1">
      <c r="A1176" s="139"/>
      <c r="B1176" s="139"/>
      <c r="C1176" s="139"/>
      <c r="D1176" s="139"/>
      <c r="E1176" s="140"/>
      <c r="F1176" s="139"/>
      <c r="G1176" s="139"/>
      <c r="H1176" s="139"/>
      <c r="I1176" s="139"/>
      <c r="J1176" s="139"/>
      <c r="K1176" s="141"/>
      <c r="L1176" s="139"/>
      <c r="M1176" s="142"/>
    </row>
    <row r="1177" ht="49.5" customHeight="1">
      <c r="A1177" s="139"/>
      <c r="B1177" s="139"/>
      <c r="C1177" s="139"/>
      <c r="D1177" s="139"/>
      <c r="E1177" s="140"/>
      <c r="F1177" s="139"/>
      <c r="G1177" s="139"/>
      <c r="H1177" s="139"/>
      <c r="I1177" s="139"/>
      <c r="J1177" s="139"/>
      <c r="K1177" s="141"/>
      <c r="L1177" s="139"/>
      <c r="M1177" s="142"/>
    </row>
    <row r="1178" ht="49.5" customHeight="1">
      <c r="A1178" s="139"/>
      <c r="B1178" s="139"/>
      <c r="C1178" s="139"/>
      <c r="D1178" s="139"/>
      <c r="E1178" s="140"/>
      <c r="F1178" s="139"/>
      <c r="G1178" s="139"/>
      <c r="H1178" s="139"/>
      <c r="I1178" s="139"/>
      <c r="J1178" s="139"/>
      <c r="K1178" s="141"/>
      <c r="L1178" s="139"/>
      <c r="M1178" s="142"/>
    </row>
    <row r="1179" ht="49.5" customHeight="1">
      <c r="A1179" s="139"/>
      <c r="B1179" s="139"/>
      <c r="C1179" s="139"/>
      <c r="D1179" s="139"/>
      <c r="E1179" s="140"/>
      <c r="F1179" s="139"/>
      <c r="G1179" s="139"/>
      <c r="H1179" s="139"/>
      <c r="I1179" s="139"/>
      <c r="J1179" s="139"/>
      <c r="K1179" s="141"/>
      <c r="L1179" s="139"/>
      <c r="M1179" s="142"/>
    </row>
    <row r="1180" ht="49.5" customHeight="1">
      <c r="A1180" s="139"/>
      <c r="B1180" s="139"/>
      <c r="C1180" s="139"/>
      <c r="D1180" s="139"/>
      <c r="E1180" s="140"/>
      <c r="F1180" s="139"/>
      <c r="G1180" s="139"/>
      <c r="H1180" s="139"/>
      <c r="I1180" s="139"/>
      <c r="J1180" s="139"/>
      <c r="K1180" s="141"/>
      <c r="L1180" s="139"/>
      <c r="M1180" s="142"/>
    </row>
    <row r="1181" ht="49.5" customHeight="1">
      <c r="A1181" s="139"/>
      <c r="B1181" s="139"/>
      <c r="C1181" s="139"/>
      <c r="D1181" s="139"/>
      <c r="E1181" s="140"/>
      <c r="F1181" s="139"/>
      <c r="G1181" s="139"/>
      <c r="H1181" s="139"/>
      <c r="I1181" s="139"/>
      <c r="J1181" s="139"/>
      <c r="K1181" s="141"/>
      <c r="L1181" s="139"/>
      <c r="M1181" s="142"/>
    </row>
    <row r="1182" ht="49.5" customHeight="1">
      <c r="A1182" s="139"/>
      <c r="B1182" s="139"/>
      <c r="C1182" s="139"/>
      <c r="D1182" s="139"/>
      <c r="E1182" s="140"/>
      <c r="F1182" s="139"/>
      <c r="G1182" s="139"/>
      <c r="H1182" s="139"/>
      <c r="I1182" s="139"/>
      <c r="J1182" s="139"/>
      <c r="K1182" s="141"/>
      <c r="L1182" s="139"/>
      <c r="M1182" s="142"/>
    </row>
    <row r="1183" ht="49.5" customHeight="1">
      <c r="A1183" s="139"/>
      <c r="B1183" s="139"/>
      <c r="C1183" s="139"/>
      <c r="D1183" s="139"/>
      <c r="E1183" s="140"/>
      <c r="F1183" s="139"/>
      <c r="G1183" s="139"/>
      <c r="H1183" s="139"/>
      <c r="I1183" s="139"/>
      <c r="J1183" s="139"/>
      <c r="K1183" s="141"/>
      <c r="L1183" s="139"/>
      <c r="M1183" s="142"/>
    </row>
    <row r="1184" ht="49.5" customHeight="1">
      <c r="A1184" s="139"/>
      <c r="B1184" s="139"/>
      <c r="C1184" s="139"/>
      <c r="D1184" s="139"/>
      <c r="E1184" s="140"/>
      <c r="F1184" s="139"/>
      <c r="G1184" s="139"/>
      <c r="H1184" s="139"/>
      <c r="I1184" s="139"/>
      <c r="J1184" s="139"/>
      <c r="K1184" s="141"/>
      <c r="L1184" s="139"/>
      <c r="M1184" s="142"/>
    </row>
    <row r="1185" ht="49.5" customHeight="1">
      <c r="A1185" s="139"/>
      <c r="B1185" s="139"/>
      <c r="C1185" s="139"/>
      <c r="D1185" s="139"/>
      <c r="E1185" s="140"/>
      <c r="F1185" s="139"/>
      <c r="G1185" s="139"/>
      <c r="H1185" s="139"/>
      <c r="I1185" s="139"/>
      <c r="J1185" s="139"/>
      <c r="K1185" s="141"/>
      <c r="L1185" s="139"/>
      <c r="M1185" s="142"/>
    </row>
    <row r="1186" ht="49.5" customHeight="1">
      <c r="A1186" s="139"/>
      <c r="B1186" s="139"/>
      <c r="C1186" s="139"/>
      <c r="D1186" s="139"/>
      <c r="E1186" s="140"/>
      <c r="F1186" s="139"/>
      <c r="G1186" s="139"/>
      <c r="H1186" s="139"/>
      <c r="I1186" s="139"/>
      <c r="J1186" s="139"/>
      <c r="K1186" s="141"/>
      <c r="L1186" s="139"/>
      <c r="M1186" s="142"/>
    </row>
    <row r="1187" ht="49.5" customHeight="1">
      <c r="A1187" s="139"/>
      <c r="B1187" s="139"/>
      <c r="C1187" s="139"/>
      <c r="D1187" s="139"/>
      <c r="E1187" s="140"/>
      <c r="F1187" s="139"/>
      <c r="G1187" s="139"/>
      <c r="H1187" s="139"/>
      <c r="I1187" s="139"/>
      <c r="J1187" s="139"/>
      <c r="K1187" s="141"/>
      <c r="L1187" s="139"/>
      <c r="M1187" s="142"/>
    </row>
    <row r="1188" ht="49.5" customHeight="1">
      <c r="A1188" s="139"/>
      <c r="B1188" s="139"/>
      <c r="C1188" s="139"/>
      <c r="D1188" s="139"/>
      <c r="E1188" s="140"/>
      <c r="F1188" s="139"/>
      <c r="G1188" s="139"/>
      <c r="H1188" s="139"/>
      <c r="I1188" s="139"/>
      <c r="J1188" s="139"/>
      <c r="K1188" s="141"/>
      <c r="L1188" s="139"/>
      <c r="M1188" s="142"/>
    </row>
    <row r="1189" ht="49.5" customHeight="1">
      <c r="A1189" s="139"/>
      <c r="B1189" s="139"/>
      <c r="C1189" s="139"/>
      <c r="D1189" s="139"/>
      <c r="E1189" s="140"/>
      <c r="F1189" s="139"/>
      <c r="G1189" s="139"/>
      <c r="H1189" s="139"/>
      <c r="I1189" s="139"/>
      <c r="J1189" s="139"/>
      <c r="K1189" s="141"/>
      <c r="L1189" s="139"/>
      <c r="M1189" s="142"/>
    </row>
    <row r="1190" ht="49.5" customHeight="1">
      <c r="A1190" s="139"/>
      <c r="B1190" s="139"/>
      <c r="C1190" s="139"/>
      <c r="D1190" s="139"/>
      <c r="E1190" s="140"/>
      <c r="F1190" s="139"/>
      <c r="G1190" s="139"/>
      <c r="H1190" s="139"/>
      <c r="I1190" s="139"/>
      <c r="J1190" s="139"/>
      <c r="K1190" s="141"/>
      <c r="L1190" s="139"/>
      <c r="M1190" s="142"/>
    </row>
    <row r="1191" ht="49.5" customHeight="1">
      <c r="A1191" s="139"/>
      <c r="B1191" s="139"/>
      <c r="C1191" s="139"/>
      <c r="D1191" s="139"/>
      <c r="E1191" s="140"/>
      <c r="F1191" s="139"/>
      <c r="G1191" s="139"/>
      <c r="H1191" s="139"/>
      <c r="I1191" s="139"/>
      <c r="J1191" s="139"/>
      <c r="K1191" s="141"/>
      <c r="L1191" s="139"/>
      <c r="M1191" s="142"/>
    </row>
    <row r="1192" ht="49.5" customHeight="1">
      <c r="A1192" s="139"/>
      <c r="B1192" s="139"/>
      <c r="C1192" s="139"/>
      <c r="D1192" s="139"/>
      <c r="E1192" s="140"/>
      <c r="F1192" s="139"/>
      <c r="G1192" s="139"/>
      <c r="H1192" s="139"/>
      <c r="I1192" s="139"/>
      <c r="J1192" s="139"/>
      <c r="K1192" s="141"/>
      <c r="L1192" s="139"/>
      <c r="M1192" s="142"/>
    </row>
    <row r="1193" ht="49.5" customHeight="1">
      <c r="A1193" s="139"/>
      <c r="B1193" s="139"/>
      <c r="C1193" s="139"/>
      <c r="D1193" s="139"/>
      <c r="E1193" s="140"/>
      <c r="F1193" s="139"/>
      <c r="G1193" s="139"/>
      <c r="H1193" s="139"/>
      <c r="I1193" s="139"/>
      <c r="J1193" s="139"/>
      <c r="K1193" s="141"/>
      <c r="L1193" s="139"/>
      <c r="M1193" s="142"/>
    </row>
    <row r="1194" ht="49.5" customHeight="1">
      <c r="A1194" s="139"/>
      <c r="B1194" s="139"/>
      <c r="C1194" s="139"/>
      <c r="D1194" s="139"/>
      <c r="E1194" s="140"/>
      <c r="F1194" s="139"/>
      <c r="G1194" s="139"/>
      <c r="H1194" s="139"/>
      <c r="I1194" s="139"/>
      <c r="J1194" s="139"/>
      <c r="K1194" s="141"/>
      <c r="L1194" s="139"/>
      <c r="M1194" s="142"/>
    </row>
    <row r="1195" ht="49.5" customHeight="1">
      <c r="A1195" s="139"/>
      <c r="B1195" s="139"/>
      <c r="C1195" s="139"/>
      <c r="D1195" s="139"/>
      <c r="E1195" s="140"/>
      <c r="F1195" s="139"/>
      <c r="G1195" s="139"/>
      <c r="H1195" s="139"/>
      <c r="I1195" s="139"/>
      <c r="J1195" s="139"/>
      <c r="K1195" s="141"/>
      <c r="L1195" s="139"/>
      <c r="M1195" s="142"/>
    </row>
    <row r="1196" ht="49.5" customHeight="1">
      <c r="A1196" s="139"/>
      <c r="B1196" s="139"/>
      <c r="C1196" s="139"/>
      <c r="D1196" s="139"/>
      <c r="E1196" s="140"/>
      <c r="F1196" s="139"/>
      <c r="G1196" s="139"/>
      <c r="H1196" s="139"/>
      <c r="I1196" s="139"/>
      <c r="J1196" s="139"/>
      <c r="K1196" s="141"/>
      <c r="L1196" s="139"/>
      <c r="M1196" s="142"/>
    </row>
    <row r="1197" ht="49.5" customHeight="1">
      <c r="A1197" s="139"/>
      <c r="B1197" s="139"/>
      <c r="C1197" s="139"/>
      <c r="D1197" s="139"/>
      <c r="E1197" s="140"/>
      <c r="F1197" s="139"/>
      <c r="G1197" s="139"/>
      <c r="H1197" s="139"/>
      <c r="I1197" s="139"/>
      <c r="J1197" s="139"/>
      <c r="K1197" s="141"/>
      <c r="L1197" s="139"/>
      <c r="M1197" s="142"/>
    </row>
    <row r="1198" ht="49.5" customHeight="1">
      <c r="A1198" s="139"/>
      <c r="B1198" s="139"/>
      <c r="C1198" s="139"/>
      <c r="D1198" s="139"/>
      <c r="E1198" s="140"/>
      <c r="F1198" s="139"/>
      <c r="G1198" s="139"/>
      <c r="H1198" s="139"/>
      <c r="I1198" s="139"/>
      <c r="J1198" s="139"/>
      <c r="K1198" s="141"/>
      <c r="L1198" s="139"/>
      <c r="M1198" s="142"/>
    </row>
    <row r="1199" ht="49.5" customHeight="1">
      <c r="A1199" s="139"/>
      <c r="B1199" s="139"/>
      <c r="C1199" s="139"/>
      <c r="D1199" s="139"/>
      <c r="E1199" s="140"/>
      <c r="F1199" s="139"/>
      <c r="G1199" s="139"/>
      <c r="H1199" s="139"/>
      <c r="I1199" s="139"/>
      <c r="J1199" s="139"/>
      <c r="K1199" s="141"/>
      <c r="L1199" s="139"/>
      <c r="M1199" s="142"/>
    </row>
    <row r="1200" ht="49.5" customHeight="1">
      <c r="A1200" s="139"/>
      <c r="B1200" s="139"/>
      <c r="C1200" s="139"/>
      <c r="D1200" s="139"/>
      <c r="E1200" s="140"/>
      <c r="F1200" s="139"/>
      <c r="G1200" s="139"/>
      <c r="H1200" s="139"/>
      <c r="I1200" s="139"/>
      <c r="J1200" s="139"/>
      <c r="K1200" s="141"/>
      <c r="L1200" s="139"/>
      <c r="M1200" s="142"/>
    </row>
    <row r="1201" ht="49.5" customHeight="1">
      <c r="A1201" s="139"/>
      <c r="B1201" s="139"/>
      <c r="C1201" s="139"/>
      <c r="D1201" s="139"/>
      <c r="E1201" s="140"/>
      <c r="F1201" s="139"/>
      <c r="G1201" s="139"/>
      <c r="H1201" s="139"/>
      <c r="I1201" s="139"/>
      <c r="J1201" s="139"/>
      <c r="K1201" s="141"/>
      <c r="L1201" s="139"/>
      <c r="M1201" s="142"/>
    </row>
    <row r="1202" ht="49.5" customHeight="1">
      <c r="A1202" s="139"/>
      <c r="B1202" s="139"/>
      <c r="C1202" s="139"/>
      <c r="D1202" s="139"/>
      <c r="E1202" s="140"/>
      <c r="F1202" s="139"/>
      <c r="G1202" s="139"/>
      <c r="H1202" s="139"/>
      <c r="I1202" s="139"/>
      <c r="J1202" s="139"/>
      <c r="K1202" s="141"/>
      <c r="L1202" s="139"/>
      <c r="M1202" s="142"/>
    </row>
    <row r="1203" ht="49.5" customHeight="1">
      <c r="A1203" s="139"/>
      <c r="B1203" s="139"/>
      <c r="C1203" s="139"/>
      <c r="D1203" s="139"/>
      <c r="E1203" s="140"/>
      <c r="F1203" s="139"/>
      <c r="G1203" s="139"/>
      <c r="H1203" s="139"/>
      <c r="I1203" s="139"/>
      <c r="J1203" s="139"/>
      <c r="K1203" s="141"/>
      <c r="L1203" s="139"/>
      <c r="M1203" s="142"/>
    </row>
    <row r="1204" ht="49.5" customHeight="1">
      <c r="A1204" s="139"/>
      <c r="B1204" s="139"/>
      <c r="C1204" s="139"/>
      <c r="D1204" s="139"/>
      <c r="E1204" s="140"/>
      <c r="F1204" s="139"/>
      <c r="G1204" s="139"/>
      <c r="H1204" s="139"/>
      <c r="I1204" s="139"/>
      <c r="J1204" s="139"/>
      <c r="K1204" s="141"/>
      <c r="L1204" s="139"/>
      <c r="M1204" s="142"/>
    </row>
    <row r="1205" ht="49.5" customHeight="1">
      <c r="A1205" s="139"/>
      <c r="B1205" s="139"/>
      <c r="C1205" s="139"/>
      <c r="D1205" s="139"/>
      <c r="E1205" s="140"/>
      <c r="F1205" s="139"/>
      <c r="G1205" s="139"/>
      <c r="H1205" s="139"/>
      <c r="I1205" s="139"/>
      <c r="J1205" s="139"/>
      <c r="K1205" s="141"/>
      <c r="L1205" s="139"/>
      <c r="M1205" s="142"/>
    </row>
    <row r="1206" ht="49.5" customHeight="1">
      <c r="A1206" s="139"/>
      <c r="B1206" s="139"/>
      <c r="C1206" s="139"/>
      <c r="D1206" s="139"/>
      <c r="E1206" s="140"/>
      <c r="F1206" s="139"/>
      <c r="G1206" s="139"/>
      <c r="H1206" s="139"/>
      <c r="I1206" s="139"/>
      <c r="J1206" s="139"/>
      <c r="K1206" s="141"/>
      <c r="L1206" s="139"/>
      <c r="M1206" s="142"/>
    </row>
    <row r="1207" ht="49.5" customHeight="1">
      <c r="A1207" s="139"/>
      <c r="B1207" s="139"/>
      <c r="C1207" s="139"/>
      <c r="D1207" s="139"/>
      <c r="E1207" s="140"/>
      <c r="F1207" s="139"/>
      <c r="G1207" s="139"/>
      <c r="H1207" s="139"/>
      <c r="I1207" s="139"/>
      <c r="J1207" s="139"/>
      <c r="K1207" s="141"/>
      <c r="L1207" s="139"/>
      <c r="M1207" s="142"/>
    </row>
    <row r="1208" ht="49.5" customHeight="1">
      <c r="A1208" s="139"/>
      <c r="B1208" s="139"/>
      <c r="C1208" s="139"/>
      <c r="D1208" s="139"/>
      <c r="E1208" s="140"/>
      <c r="F1208" s="139"/>
      <c r="G1208" s="139"/>
      <c r="H1208" s="139"/>
      <c r="I1208" s="139"/>
      <c r="J1208" s="139"/>
      <c r="K1208" s="141"/>
      <c r="L1208" s="139"/>
      <c r="M1208" s="142"/>
    </row>
    <row r="1209" ht="49.5" customHeight="1">
      <c r="A1209" s="139"/>
      <c r="B1209" s="139"/>
      <c r="C1209" s="139"/>
      <c r="D1209" s="139"/>
      <c r="E1209" s="140"/>
      <c r="F1209" s="139"/>
      <c r="G1209" s="139"/>
      <c r="H1209" s="139"/>
      <c r="I1209" s="139"/>
      <c r="J1209" s="139"/>
      <c r="K1209" s="141"/>
      <c r="L1209" s="139"/>
      <c r="M1209" s="142"/>
    </row>
    <row r="1210" ht="49.5" customHeight="1">
      <c r="A1210" s="139"/>
      <c r="B1210" s="139"/>
      <c r="C1210" s="139"/>
      <c r="D1210" s="139"/>
      <c r="E1210" s="140"/>
      <c r="F1210" s="139"/>
      <c r="G1210" s="139"/>
      <c r="H1210" s="139"/>
      <c r="I1210" s="139"/>
      <c r="J1210" s="139"/>
      <c r="K1210" s="141"/>
      <c r="L1210" s="139"/>
      <c r="M1210" s="142"/>
    </row>
    <row r="1211" ht="49.5" customHeight="1">
      <c r="A1211" s="139"/>
      <c r="B1211" s="139"/>
      <c r="C1211" s="139"/>
      <c r="D1211" s="139"/>
      <c r="E1211" s="140"/>
      <c r="F1211" s="139"/>
      <c r="G1211" s="139"/>
      <c r="H1211" s="139"/>
      <c r="I1211" s="139"/>
      <c r="J1211" s="139"/>
      <c r="K1211" s="141"/>
      <c r="L1211" s="139"/>
      <c r="M1211" s="142"/>
    </row>
    <row r="1212" ht="49.5" customHeight="1">
      <c r="A1212" s="139"/>
      <c r="B1212" s="139"/>
      <c r="C1212" s="139"/>
      <c r="D1212" s="139"/>
      <c r="E1212" s="140"/>
      <c r="F1212" s="139"/>
      <c r="G1212" s="139"/>
      <c r="H1212" s="139"/>
      <c r="I1212" s="139"/>
      <c r="J1212" s="139"/>
      <c r="K1212" s="141"/>
      <c r="L1212" s="139"/>
      <c r="M1212" s="142"/>
    </row>
    <row r="1213" ht="49.5" customHeight="1">
      <c r="A1213" s="139"/>
      <c r="B1213" s="139"/>
      <c r="C1213" s="139"/>
      <c r="D1213" s="139"/>
      <c r="E1213" s="140"/>
      <c r="F1213" s="139"/>
      <c r="G1213" s="139"/>
      <c r="H1213" s="139"/>
      <c r="I1213" s="139"/>
      <c r="J1213" s="139"/>
      <c r="K1213" s="141"/>
      <c r="L1213" s="139"/>
      <c r="M1213" s="142"/>
    </row>
    <row r="1214" ht="49.5" customHeight="1">
      <c r="A1214" s="139"/>
      <c r="B1214" s="139"/>
      <c r="C1214" s="139"/>
      <c r="D1214" s="139"/>
      <c r="E1214" s="140"/>
      <c r="F1214" s="139"/>
      <c r="G1214" s="139"/>
      <c r="H1214" s="139"/>
      <c r="I1214" s="139"/>
      <c r="J1214" s="139"/>
      <c r="K1214" s="141"/>
      <c r="L1214" s="139"/>
      <c r="M1214" s="142"/>
    </row>
    <row r="1215" ht="49.5" customHeight="1">
      <c r="A1215" s="139"/>
      <c r="B1215" s="139"/>
      <c r="C1215" s="139"/>
      <c r="D1215" s="139"/>
      <c r="E1215" s="140"/>
      <c r="F1215" s="139"/>
      <c r="G1215" s="139"/>
      <c r="H1215" s="139"/>
      <c r="I1215" s="139"/>
      <c r="J1215" s="139"/>
      <c r="K1215" s="141"/>
      <c r="L1215" s="139"/>
      <c r="M1215" s="142"/>
    </row>
    <row r="1216" ht="49.5" customHeight="1">
      <c r="A1216" s="139"/>
      <c r="B1216" s="139"/>
      <c r="C1216" s="139"/>
      <c r="D1216" s="139"/>
      <c r="E1216" s="140"/>
      <c r="F1216" s="139"/>
      <c r="G1216" s="139"/>
      <c r="H1216" s="139"/>
      <c r="I1216" s="139"/>
      <c r="J1216" s="139"/>
      <c r="K1216" s="141"/>
      <c r="L1216" s="139"/>
      <c r="M1216" s="142"/>
    </row>
    <row r="1217" ht="49.5" customHeight="1">
      <c r="A1217" s="139"/>
      <c r="B1217" s="139"/>
      <c r="C1217" s="139"/>
      <c r="D1217" s="139"/>
      <c r="E1217" s="140"/>
      <c r="F1217" s="139"/>
      <c r="G1217" s="139"/>
      <c r="H1217" s="139"/>
      <c r="I1217" s="139"/>
      <c r="J1217" s="139"/>
      <c r="K1217" s="141"/>
      <c r="L1217" s="139"/>
      <c r="M1217" s="142"/>
    </row>
    <row r="1218" ht="49.5" customHeight="1">
      <c r="A1218" s="139"/>
      <c r="B1218" s="139"/>
      <c r="C1218" s="139"/>
      <c r="D1218" s="139"/>
      <c r="E1218" s="140"/>
      <c r="F1218" s="139"/>
      <c r="G1218" s="139"/>
      <c r="H1218" s="139"/>
      <c r="I1218" s="139"/>
      <c r="J1218" s="139"/>
      <c r="K1218" s="141"/>
      <c r="L1218" s="139"/>
      <c r="M1218" s="142"/>
    </row>
    <row r="1219" ht="49.5" customHeight="1">
      <c r="A1219" s="139"/>
      <c r="B1219" s="139"/>
      <c r="C1219" s="139"/>
      <c r="D1219" s="139"/>
      <c r="E1219" s="140"/>
      <c r="F1219" s="139"/>
      <c r="G1219" s="139"/>
      <c r="H1219" s="139"/>
      <c r="I1219" s="139"/>
      <c r="J1219" s="139"/>
      <c r="K1219" s="141"/>
      <c r="L1219" s="139"/>
      <c r="M1219" s="142"/>
    </row>
    <row r="1220" ht="49.5" customHeight="1">
      <c r="A1220" s="139"/>
      <c r="B1220" s="139"/>
      <c r="C1220" s="139"/>
      <c r="D1220" s="139"/>
      <c r="E1220" s="140"/>
      <c r="F1220" s="139"/>
      <c r="G1220" s="139"/>
      <c r="H1220" s="139"/>
      <c r="I1220" s="139"/>
      <c r="J1220" s="139"/>
      <c r="K1220" s="141"/>
      <c r="L1220" s="139"/>
      <c r="M1220" s="142"/>
    </row>
    <row r="1221" ht="49.5" customHeight="1">
      <c r="A1221" s="139"/>
      <c r="B1221" s="139"/>
      <c r="C1221" s="139"/>
      <c r="D1221" s="139"/>
      <c r="E1221" s="140"/>
      <c r="F1221" s="139"/>
      <c r="G1221" s="139"/>
      <c r="H1221" s="139"/>
      <c r="I1221" s="139"/>
      <c r="J1221" s="139"/>
      <c r="K1221" s="141"/>
      <c r="L1221" s="139"/>
      <c r="M1221" s="142"/>
    </row>
    <row r="1222" ht="49.5" customHeight="1">
      <c r="A1222" s="139"/>
      <c r="B1222" s="139"/>
      <c r="C1222" s="139"/>
      <c r="D1222" s="139"/>
      <c r="E1222" s="140"/>
      <c r="F1222" s="139"/>
      <c r="G1222" s="139"/>
      <c r="H1222" s="139"/>
      <c r="I1222" s="139"/>
      <c r="J1222" s="139"/>
      <c r="K1222" s="141"/>
      <c r="L1222" s="139"/>
      <c r="M1222" s="142"/>
    </row>
    <row r="1223" ht="49.5" customHeight="1">
      <c r="A1223" s="139"/>
      <c r="B1223" s="139"/>
      <c r="C1223" s="139"/>
      <c r="D1223" s="139"/>
      <c r="E1223" s="140"/>
      <c r="F1223" s="139"/>
      <c r="G1223" s="139"/>
      <c r="H1223" s="139"/>
      <c r="I1223" s="139"/>
      <c r="J1223" s="139"/>
      <c r="K1223" s="141"/>
      <c r="L1223" s="139"/>
      <c r="M1223" s="142"/>
    </row>
    <row r="1224" ht="49.5" customHeight="1">
      <c r="A1224" s="139"/>
      <c r="B1224" s="139"/>
      <c r="C1224" s="139"/>
      <c r="D1224" s="139"/>
      <c r="E1224" s="140"/>
      <c r="F1224" s="139"/>
      <c r="G1224" s="139"/>
      <c r="H1224" s="139"/>
      <c r="I1224" s="139"/>
      <c r="J1224" s="139"/>
      <c r="K1224" s="141"/>
      <c r="L1224" s="139"/>
      <c r="M1224" s="142"/>
    </row>
    <row r="1225" ht="49.5" customHeight="1">
      <c r="A1225" s="139"/>
      <c r="B1225" s="139"/>
      <c r="C1225" s="139"/>
      <c r="D1225" s="139"/>
      <c r="E1225" s="140"/>
      <c r="F1225" s="139"/>
      <c r="G1225" s="139"/>
      <c r="H1225" s="139"/>
      <c r="I1225" s="139"/>
      <c r="J1225" s="139"/>
      <c r="K1225" s="141"/>
      <c r="L1225" s="139"/>
      <c r="M1225" s="142"/>
    </row>
    <row r="1226" ht="49.5" customHeight="1">
      <c r="A1226" s="139"/>
      <c r="B1226" s="139"/>
      <c r="C1226" s="139"/>
      <c r="D1226" s="139"/>
      <c r="E1226" s="140"/>
      <c r="F1226" s="139"/>
      <c r="G1226" s="139"/>
      <c r="H1226" s="139"/>
      <c r="I1226" s="139"/>
      <c r="J1226" s="139"/>
      <c r="K1226" s="141"/>
      <c r="L1226" s="139"/>
      <c r="M1226" s="142"/>
    </row>
    <row r="1227" ht="49.5" customHeight="1">
      <c r="A1227" s="139"/>
      <c r="B1227" s="139"/>
      <c r="C1227" s="139"/>
      <c r="D1227" s="139"/>
      <c r="E1227" s="140"/>
      <c r="F1227" s="139"/>
      <c r="G1227" s="139"/>
      <c r="H1227" s="139"/>
      <c r="I1227" s="139"/>
      <c r="J1227" s="139"/>
      <c r="K1227" s="141"/>
      <c r="L1227" s="139"/>
      <c r="M1227" s="142"/>
    </row>
    <row r="1228" ht="49.5" customHeight="1">
      <c r="A1228" s="139"/>
      <c r="B1228" s="139"/>
      <c r="C1228" s="139"/>
      <c r="D1228" s="139"/>
      <c r="E1228" s="140"/>
      <c r="F1228" s="139"/>
      <c r="G1228" s="139"/>
      <c r="H1228" s="139"/>
      <c r="I1228" s="139"/>
      <c r="J1228" s="139"/>
      <c r="K1228" s="141"/>
      <c r="L1228" s="139"/>
      <c r="M1228" s="142"/>
    </row>
    <row r="1229" ht="49.5" customHeight="1">
      <c r="A1229" s="139"/>
      <c r="B1229" s="139"/>
      <c r="C1229" s="139"/>
      <c r="D1229" s="139"/>
      <c r="E1229" s="140"/>
      <c r="F1229" s="139"/>
      <c r="G1229" s="139"/>
      <c r="H1229" s="139"/>
      <c r="I1229" s="139"/>
      <c r="J1229" s="139"/>
      <c r="K1229" s="141"/>
      <c r="L1229" s="139"/>
      <c r="M1229" s="142"/>
    </row>
    <row r="1230" ht="49.5" customHeight="1">
      <c r="A1230" s="139"/>
      <c r="B1230" s="139"/>
      <c r="C1230" s="139"/>
      <c r="D1230" s="139"/>
      <c r="E1230" s="140"/>
      <c r="F1230" s="139"/>
      <c r="G1230" s="139"/>
      <c r="H1230" s="139"/>
      <c r="I1230" s="139"/>
      <c r="J1230" s="139"/>
      <c r="K1230" s="141"/>
      <c r="L1230" s="139"/>
      <c r="M1230" s="142"/>
    </row>
    <row r="1231" ht="49.5" customHeight="1">
      <c r="A1231" s="139"/>
      <c r="B1231" s="139"/>
      <c r="C1231" s="139"/>
      <c r="D1231" s="139"/>
      <c r="E1231" s="140"/>
      <c r="F1231" s="139"/>
      <c r="G1231" s="139"/>
      <c r="H1231" s="139"/>
      <c r="I1231" s="139"/>
      <c r="J1231" s="139"/>
      <c r="K1231" s="141"/>
      <c r="L1231" s="139"/>
      <c r="M1231" s="142"/>
    </row>
    <row r="1232" ht="49.5" customHeight="1">
      <c r="A1232" s="139"/>
      <c r="B1232" s="139"/>
      <c r="C1232" s="139"/>
      <c r="D1232" s="139"/>
      <c r="E1232" s="140"/>
      <c r="F1232" s="139"/>
      <c r="G1232" s="139"/>
      <c r="H1232" s="139"/>
      <c r="I1232" s="139"/>
      <c r="J1232" s="139"/>
      <c r="K1232" s="141"/>
      <c r="L1232" s="139"/>
      <c r="M1232" s="142"/>
    </row>
    <row r="1233" ht="49.5" customHeight="1">
      <c r="A1233" s="139"/>
      <c r="B1233" s="139"/>
      <c r="C1233" s="139"/>
      <c r="D1233" s="139"/>
      <c r="E1233" s="140"/>
      <c r="F1233" s="139"/>
      <c r="G1233" s="139"/>
      <c r="H1233" s="139"/>
      <c r="I1233" s="139"/>
      <c r="J1233" s="139"/>
      <c r="K1233" s="141"/>
      <c r="L1233" s="139"/>
      <c r="M1233" s="142"/>
    </row>
    <row r="1234" ht="49.5" customHeight="1">
      <c r="A1234" s="139"/>
      <c r="B1234" s="139"/>
      <c r="C1234" s="139"/>
      <c r="D1234" s="139"/>
      <c r="E1234" s="140"/>
      <c r="F1234" s="139"/>
      <c r="G1234" s="139"/>
      <c r="H1234" s="139"/>
      <c r="I1234" s="139"/>
      <c r="J1234" s="139"/>
      <c r="K1234" s="141"/>
      <c r="L1234" s="139"/>
      <c r="M1234" s="142"/>
    </row>
    <row r="1235" ht="49.5" customHeight="1">
      <c r="A1235" s="139"/>
      <c r="B1235" s="139"/>
      <c r="C1235" s="139"/>
      <c r="D1235" s="139"/>
      <c r="E1235" s="140"/>
      <c r="F1235" s="139"/>
      <c r="G1235" s="139"/>
      <c r="H1235" s="139"/>
      <c r="I1235" s="139"/>
      <c r="J1235" s="139"/>
      <c r="K1235" s="141"/>
      <c r="L1235" s="139"/>
      <c r="M1235" s="142"/>
    </row>
    <row r="1236" ht="49.5" customHeight="1">
      <c r="A1236" s="139"/>
      <c r="B1236" s="139"/>
      <c r="C1236" s="139"/>
      <c r="D1236" s="139"/>
      <c r="E1236" s="140"/>
      <c r="F1236" s="139"/>
      <c r="G1236" s="139"/>
      <c r="H1236" s="139"/>
      <c r="I1236" s="139"/>
      <c r="J1236" s="139"/>
      <c r="K1236" s="141"/>
      <c r="L1236" s="139"/>
      <c r="M1236" s="142"/>
    </row>
    <row r="1237" ht="49.5" customHeight="1">
      <c r="A1237" s="139"/>
      <c r="B1237" s="139"/>
      <c r="C1237" s="139"/>
      <c r="D1237" s="139"/>
      <c r="E1237" s="140"/>
      <c r="F1237" s="139"/>
      <c r="G1237" s="139"/>
      <c r="H1237" s="139"/>
      <c r="I1237" s="139"/>
      <c r="J1237" s="139"/>
      <c r="K1237" s="141"/>
      <c r="L1237" s="139"/>
      <c r="M1237" s="142"/>
    </row>
    <row r="1238" ht="49.5" customHeight="1">
      <c r="A1238" s="139"/>
      <c r="B1238" s="139"/>
      <c r="C1238" s="139"/>
      <c r="D1238" s="139"/>
      <c r="E1238" s="140"/>
      <c r="F1238" s="139"/>
      <c r="G1238" s="139"/>
      <c r="H1238" s="139"/>
      <c r="I1238" s="139"/>
      <c r="J1238" s="139"/>
      <c r="K1238" s="141"/>
      <c r="L1238" s="139"/>
      <c r="M1238" s="142"/>
    </row>
    <row r="1239" ht="49.5" customHeight="1">
      <c r="A1239" s="139"/>
      <c r="B1239" s="139"/>
      <c r="C1239" s="139"/>
      <c r="D1239" s="139"/>
      <c r="E1239" s="140"/>
      <c r="F1239" s="139"/>
      <c r="G1239" s="139"/>
      <c r="H1239" s="139"/>
      <c r="I1239" s="139"/>
      <c r="J1239" s="139"/>
      <c r="K1239" s="141"/>
      <c r="L1239" s="139"/>
      <c r="M1239" s="142"/>
    </row>
    <row r="1240" ht="49.5" customHeight="1">
      <c r="A1240" s="139"/>
      <c r="B1240" s="139"/>
      <c r="C1240" s="139"/>
      <c r="D1240" s="139"/>
      <c r="E1240" s="140"/>
      <c r="F1240" s="139"/>
      <c r="G1240" s="139"/>
      <c r="H1240" s="139"/>
      <c r="I1240" s="139"/>
      <c r="J1240" s="139"/>
      <c r="K1240" s="141"/>
      <c r="L1240" s="139"/>
      <c r="M1240" s="142"/>
    </row>
    <row r="1241" ht="49.5" customHeight="1">
      <c r="A1241" s="139"/>
      <c r="B1241" s="139"/>
      <c r="C1241" s="139"/>
      <c r="D1241" s="139"/>
      <c r="E1241" s="140"/>
      <c r="F1241" s="139"/>
      <c r="G1241" s="139"/>
      <c r="H1241" s="139"/>
      <c r="I1241" s="139"/>
      <c r="J1241" s="139"/>
      <c r="K1241" s="141"/>
      <c r="L1241" s="139"/>
      <c r="M1241" s="142"/>
    </row>
    <row r="1242" ht="49.5" customHeight="1">
      <c r="A1242" s="139"/>
      <c r="B1242" s="139"/>
      <c r="C1242" s="139"/>
      <c r="D1242" s="139"/>
      <c r="E1242" s="140"/>
      <c r="F1242" s="139"/>
      <c r="G1242" s="139"/>
      <c r="H1242" s="139"/>
      <c r="I1242" s="139"/>
      <c r="J1242" s="139"/>
      <c r="K1242" s="141"/>
      <c r="L1242" s="139"/>
      <c r="M1242" s="142"/>
    </row>
    <row r="1243" ht="49.5" customHeight="1">
      <c r="A1243" s="139"/>
      <c r="B1243" s="139"/>
      <c r="C1243" s="139"/>
      <c r="D1243" s="139"/>
      <c r="E1243" s="140"/>
      <c r="F1243" s="139"/>
      <c r="G1243" s="139"/>
      <c r="H1243" s="139"/>
      <c r="I1243" s="139"/>
      <c r="J1243" s="139"/>
      <c r="K1243" s="141"/>
      <c r="L1243" s="139"/>
      <c r="M1243" s="142"/>
    </row>
    <row r="1244" ht="49.5" customHeight="1">
      <c r="A1244" s="139"/>
      <c r="B1244" s="139"/>
      <c r="C1244" s="139"/>
      <c r="D1244" s="139"/>
      <c r="E1244" s="140"/>
      <c r="F1244" s="139"/>
      <c r="G1244" s="139"/>
      <c r="H1244" s="139"/>
      <c r="I1244" s="139"/>
      <c r="J1244" s="139"/>
      <c r="K1244" s="141"/>
      <c r="L1244" s="139"/>
      <c r="M1244" s="142"/>
    </row>
    <row r="1245" ht="49.5" customHeight="1">
      <c r="A1245" s="139"/>
      <c r="B1245" s="139"/>
      <c r="C1245" s="139"/>
      <c r="D1245" s="139"/>
      <c r="E1245" s="140"/>
      <c r="F1245" s="139"/>
      <c r="G1245" s="139"/>
      <c r="H1245" s="139"/>
      <c r="I1245" s="139"/>
      <c r="J1245" s="139"/>
      <c r="K1245" s="141"/>
      <c r="L1245" s="139"/>
      <c r="M1245" s="142"/>
    </row>
    <row r="1246" ht="49.5" customHeight="1">
      <c r="A1246" s="139"/>
      <c r="B1246" s="139"/>
      <c r="C1246" s="139"/>
      <c r="D1246" s="139"/>
      <c r="E1246" s="140"/>
      <c r="F1246" s="139"/>
      <c r="G1246" s="139"/>
      <c r="H1246" s="139"/>
      <c r="I1246" s="139"/>
      <c r="J1246" s="139"/>
      <c r="K1246" s="141"/>
      <c r="L1246" s="139"/>
      <c r="M1246" s="142"/>
    </row>
    <row r="1247" ht="49.5" customHeight="1">
      <c r="A1247" s="139"/>
      <c r="B1247" s="139"/>
      <c r="C1247" s="139"/>
      <c r="D1247" s="139"/>
      <c r="E1247" s="140"/>
      <c r="F1247" s="139"/>
      <c r="G1247" s="139"/>
      <c r="H1247" s="139"/>
      <c r="I1247" s="139"/>
      <c r="J1247" s="139"/>
      <c r="K1247" s="141"/>
      <c r="L1247" s="139"/>
      <c r="M1247" s="142"/>
    </row>
    <row r="1248" ht="49.5" customHeight="1">
      <c r="A1248" s="139"/>
      <c r="B1248" s="139"/>
      <c r="C1248" s="139"/>
      <c r="D1248" s="139"/>
      <c r="E1248" s="140"/>
      <c r="F1248" s="139"/>
      <c r="G1248" s="139"/>
      <c r="H1248" s="139"/>
      <c r="I1248" s="139"/>
      <c r="J1248" s="139"/>
      <c r="K1248" s="141"/>
      <c r="L1248" s="139"/>
      <c r="M1248" s="142"/>
    </row>
    <row r="1249" ht="49.5" customHeight="1">
      <c r="A1249" s="139"/>
      <c r="B1249" s="139"/>
      <c r="C1249" s="139"/>
      <c r="D1249" s="139"/>
      <c r="E1249" s="140"/>
      <c r="F1249" s="139"/>
      <c r="G1249" s="139"/>
      <c r="H1249" s="139"/>
      <c r="I1249" s="139"/>
      <c r="J1249" s="139"/>
      <c r="K1249" s="141"/>
      <c r="L1249" s="139"/>
      <c r="M1249" s="142"/>
    </row>
    <row r="1250" ht="49.5" customHeight="1">
      <c r="A1250" s="139"/>
      <c r="B1250" s="139"/>
      <c r="C1250" s="139"/>
      <c r="D1250" s="139"/>
      <c r="E1250" s="140"/>
      <c r="F1250" s="139"/>
      <c r="G1250" s="139"/>
      <c r="H1250" s="139"/>
      <c r="I1250" s="139"/>
      <c r="J1250" s="139"/>
      <c r="K1250" s="141"/>
      <c r="L1250" s="139"/>
      <c r="M1250" s="142"/>
    </row>
    <row r="1251" ht="49.5" customHeight="1">
      <c r="A1251" s="139"/>
      <c r="B1251" s="139"/>
      <c r="C1251" s="139"/>
      <c r="D1251" s="139"/>
      <c r="E1251" s="140"/>
      <c r="F1251" s="139"/>
      <c r="G1251" s="139"/>
      <c r="H1251" s="139"/>
      <c r="I1251" s="139"/>
      <c r="J1251" s="139"/>
      <c r="K1251" s="141"/>
      <c r="L1251" s="139"/>
      <c r="M1251" s="142"/>
    </row>
    <row r="1252" ht="49.5" customHeight="1">
      <c r="A1252" s="139"/>
      <c r="B1252" s="139"/>
      <c r="C1252" s="139"/>
      <c r="D1252" s="139"/>
      <c r="E1252" s="140"/>
      <c r="F1252" s="139"/>
      <c r="G1252" s="139"/>
      <c r="H1252" s="139"/>
      <c r="I1252" s="139"/>
      <c r="J1252" s="139"/>
      <c r="K1252" s="141"/>
      <c r="L1252" s="139"/>
      <c r="M1252" s="142"/>
    </row>
    <row r="1253" ht="49.5" customHeight="1">
      <c r="A1253" s="139"/>
      <c r="B1253" s="139"/>
      <c r="C1253" s="139"/>
      <c r="D1253" s="139"/>
      <c r="E1253" s="140"/>
      <c r="F1253" s="139"/>
      <c r="G1253" s="139"/>
      <c r="H1253" s="139"/>
      <c r="I1253" s="139"/>
      <c r="J1253" s="139"/>
      <c r="K1253" s="141"/>
      <c r="L1253" s="139"/>
      <c r="M1253" s="142"/>
    </row>
    <row r="1254" ht="49.5" customHeight="1">
      <c r="A1254" s="139"/>
      <c r="B1254" s="139"/>
      <c r="C1254" s="139"/>
      <c r="D1254" s="139"/>
      <c r="E1254" s="140"/>
      <c r="F1254" s="139"/>
      <c r="G1254" s="139"/>
      <c r="H1254" s="139"/>
      <c r="I1254" s="139"/>
      <c r="J1254" s="139"/>
      <c r="K1254" s="141"/>
      <c r="L1254" s="139"/>
      <c r="M1254" s="142"/>
    </row>
    <row r="1255" ht="49.5" customHeight="1">
      <c r="A1255" s="139"/>
      <c r="B1255" s="139"/>
      <c r="C1255" s="139"/>
      <c r="D1255" s="139"/>
      <c r="E1255" s="140"/>
      <c r="F1255" s="139"/>
      <c r="G1255" s="139"/>
      <c r="H1255" s="139"/>
      <c r="I1255" s="139"/>
      <c r="J1255" s="139"/>
      <c r="K1255" s="141"/>
      <c r="L1255" s="139"/>
      <c r="M1255" s="142"/>
    </row>
    <row r="1256" ht="49.5" customHeight="1">
      <c r="A1256" s="139"/>
      <c r="B1256" s="139"/>
      <c r="C1256" s="139"/>
      <c r="D1256" s="139"/>
      <c r="E1256" s="140"/>
      <c r="F1256" s="139"/>
      <c r="G1256" s="139"/>
      <c r="H1256" s="139"/>
      <c r="I1256" s="139"/>
      <c r="J1256" s="139"/>
      <c r="K1256" s="141"/>
      <c r="L1256" s="139"/>
      <c r="M1256" s="142"/>
    </row>
    <row r="1257" ht="49.5" customHeight="1">
      <c r="A1257" s="139"/>
      <c r="B1257" s="139"/>
      <c r="C1257" s="139"/>
      <c r="D1257" s="139"/>
      <c r="E1257" s="140"/>
      <c r="F1257" s="139"/>
      <c r="G1257" s="139"/>
      <c r="H1257" s="139"/>
      <c r="I1257" s="139"/>
      <c r="J1257" s="139"/>
      <c r="K1257" s="141"/>
      <c r="L1257" s="139"/>
      <c r="M1257" s="142"/>
    </row>
    <row r="1258" ht="49.5" customHeight="1">
      <c r="A1258" s="139"/>
      <c r="B1258" s="139"/>
      <c r="C1258" s="139"/>
      <c r="D1258" s="139"/>
      <c r="E1258" s="140"/>
      <c r="F1258" s="139"/>
      <c r="G1258" s="139"/>
      <c r="H1258" s="139"/>
      <c r="I1258" s="139"/>
      <c r="J1258" s="139"/>
      <c r="K1258" s="141"/>
      <c r="L1258" s="139"/>
      <c r="M1258" s="142"/>
    </row>
    <row r="1259" ht="49.5" customHeight="1">
      <c r="A1259" s="139"/>
      <c r="B1259" s="139"/>
      <c r="C1259" s="139"/>
      <c r="D1259" s="139"/>
      <c r="E1259" s="140"/>
      <c r="F1259" s="139"/>
      <c r="G1259" s="139"/>
      <c r="H1259" s="139"/>
      <c r="I1259" s="139"/>
      <c r="J1259" s="139"/>
      <c r="K1259" s="141"/>
      <c r="L1259" s="139"/>
      <c r="M1259" s="142"/>
    </row>
    <row r="1260" ht="49.5" customHeight="1">
      <c r="A1260" s="139"/>
      <c r="B1260" s="139"/>
      <c r="C1260" s="139"/>
      <c r="D1260" s="139"/>
      <c r="E1260" s="140"/>
      <c r="F1260" s="139"/>
      <c r="G1260" s="139"/>
      <c r="H1260" s="139"/>
      <c r="I1260" s="139"/>
      <c r="J1260" s="139"/>
      <c r="K1260" s="141"/>
      <c r="L1260" s="139"/>
      <c r="M1260" s="142"/>
    </row>
    <row r="1261" ht="49.5" customHeight="1">
      <c r="A1261" s="139"/>
      <c r="B1261" s="139"/>
      <c r="C1261" s="139"/>
      <c r="D1261" s="139"/>
      <c r="E1261" s="140"/>
      <c r="F1261" s="139"/>
      <c r="G1261" s="139"/>
      <c r="H1261" s="139"/>
      <c r="I1261" s="139"/>
      <c r="J1261" s="139"/>
      <c r="K1261" s="141"/>
      <c r="L1261" s="139"/>
      <c r="M1261" s="142"/>
    </row>
    <row r="1262" ht="49.5" customHeight="1">
      <c r="A1262" s="139"/>
      <c r="B1262" s="139"/>
      <c r="C1262" s="139"/>
      <c r="D1262" s="139"/>
      <c r="E1262" s="140"/>
      <c r="F1262" s="139"/>
      <c r="G1262" s="139"/>
      <c r="H1262" s="139"/>
      <c r="I1262" s="139"/>
      <c r="J1262" s="139"/>
      <c r="K1262" s="141"/>
      <c r="L1262" s="139"/>
      <c r="M1262" s="142"/>
    </row>
    <row r="1263" ht="49.5" customHeight="1">
      <c r="A1263" s="139"/>
      <c r="B1263" s="139"/>
      <c r="C1263" s="139"/>
      <c r="D1263" s="139"/>
      <c r="E1263" s="140"/>
      <c r="F1263" s="139"/>
      <c r="G1263" s="139"/>
      <c r="H1263" s="139"/>
      <c r="I1263" s="139"/>
      <c r="J1263" s="139"/>
      <c r="K1263" s="141"/>
      <c r="L1263" s="139"/>
      <c r="M1263" s="142"/>
    </row>
    <row r="1264" ht="49.5" customHeight="1">
      <c r="A1264" s="139"/>
      <c r="B1264" s="139"/>
      <c r="C1264" s="139"/>
      <c r="D1264" s="139"/>
      <c r="E1264" s="140"/>
      <c r="F1264" s="139"/>
      <c r="G1264" s="139"/>
      <c r="H1264" s="139"/>
      <c r="I1264" s="139"/>
      <c r="J1264" s="139"/>
      <c r="K1264" s="141"/>
      <c r="L1264" s="139"/>
      <c r="M1264" s="142"/>
    </row>
    <row r="1265" ht="49.5" customHeight="1">
      <c r="A1265" s="139"/>
      <c r="B1265" s="139"/>
      <c r="C1265" s="139"/>
      <c r="D1265" s="139"/>
      <c r="E1265" s="140"/>
      <c r="F1265" s="139"/>
      <c r="G1265" s="139"/>
      <c r="H1265" s="139"/>
      <c r="I1265" s="139"/>
      <c r="J1265" s="139"/>
      <c r="K1265" s="141"/>
      <c r="L1265" s="139"/>
      <c r="M1265" s="142"/>
    </row>
    <row r="1266" ht="49.5" customHeight="1">
      <c r="A1266" s="139"/>
      <c r="B1266" s="139"/>
      <c r="C1266" s="139"/>
      <c r="D1266" s="139"/>
      <c r="E1266" s="140"/>
      <c r="F1266" s="139"/>
      <c r="G1266" s="139"/>
      <c r="H1266" s="139"/>
      <c r="I1266" s="139"/>
      <c r="J1266" s="139"/>
      <c r="K1266" s="141"/>
      <c r="L1266" s="139"/>
      <c r="M1266" s="142"/>
    </row>
    <row r="1267" ht="49.5" customHeight="1">
      <c r="A1267" s="139"/>
      <c r="B1267" s="139"/>
      <c r="C1267" s="139"/>
      <c r="D1267" s="139"/>
      <c r="E1267" s="140"/>
      <c r="F1267" s="139"/>
      <c r="G1267" s="139"/>
      <c r="H1267" s="139"/>
      <c r="I1267" s="139"/>
      <c r="J1267" s="139"/>
      <c r="K1267" s="141"/>
      <c r="L1267" s="139"/>
      <c r="M1267" s="142"/>
    </row>
    <row r="1268" ht="49.5" customHeight="1">
      <c r="A1268" s="139"/>
      <c r="B1268" s="139"/>
      <c r="C1268" s="139"/>
      <c r="D1268" s="139"/>
      <c r="E1268" s="140"/>
      <c r="F1268" s="139"/>
      <c r="G1268" s="139"/>
      <c r="H1268" s="139"/>
      <c r="I1268" s="139"/>
      <c r="J1268" s="139"/>
      <c r="K1268" s="141"/>
      <c r="L1268" s="139"/>
      <c r="M1268" s="142"/>
    </row>
    <row r="1269" ht="49.5" customHeight="1">
      <c r="A1269" s="139"/>
      <c r="B1269" s="139"/>
      <c r="C1269" s="139"/>
      <c r="D1269" s="139"/>
      <c r="E1269" s="140"/>
      <c r="F1269" s="139"/>
      <c r="G1269" s="139"/>
      <c r="H1269" s="139"/>
      <c r="I1269" s="139"/>
      <c r="J1269" s="139"/>
      <c r="K1269" s="141"/>
      <c r="L1269" s="139"/>
      <c r="M1269" s="142"/>
    </row>
    <row r="1270" ht="49.5" customHeight="1">
      <c r="A1270" s="139"/>
      <c r="B1270" s="139"/>
      <c r="C1270" s="139"/>
      <c r="D1270" s="139"/>
      <c r="E1270" s="140"/>
      <c r="F1270" s="139"/>
      <c r="G1270" s="139"/>
      <c r="H1270" s="139"/>
      <c r="I1270" s="139"/>
      <c r="J1270" s="139"/>
      <c r="K1270" s="141"/>
      <c r="L1270" s="139"/>
      <c r="M1270" s="142"/>
    </row>
    <row r="1271" ht="49.5" customHeight="1">
      <c r="A1271" s="139"/>
      <c r="B1271" s="139"/>
      <c r="C1271" s="139"/>
      <c r="D1271" s="139"/>
      <c r="E1271" s="140"/>
      <c r="F1271" s="139"/>
      <c r="G1271" s="139"/>
      <c r="H1271" s="139"/>
      <c r="I1271" s="139"/>
      <c r="J1271" s="139"/>
      <c r="K1271" s="141"/>
      <c r="L1271" s="139"/>
      <c r="M1271" s="142"/>
    </row>
    <row r="1272" ht="49.5" customHeight="1">
      <c r="A1272" s="139"/>
      <c r="B1272" s="139"/>
      <c r="C1272" s="139"/>
      <c r="D1272" s="139"/>
      <c r="E1272" s="140"/>
      <c r="F1272" s="139"/>
      <c r="G1272" s="139"/>
      <c r="H1272" s="139"/>
      <c r="I1272" s="139"/>
      <c r="J1272" s="139"/>
      <c r="K1272" s="141"/>
      <c r="L1272" s="139"/>
      <c r="M1272" s="142"/>
    </row>
    <row r="1273" ht="49.5" customHeight="1">
      <c r="A1273" s="139"/>
      <c r="B1273" s="139"/>
      <c r="C1273" s="139"/>
      <c r="D1273" s="139"/>
      <c r="E1273" s="140"/>
      <c r="F1273" s="139"/>
      <c r="G1273" s="139"/>
      <c r="H1273" s="139"/>
      <c r="I1273" s="139"/>
      <c r="J1273" s="139"/>
      <c r="K1273" s="141"/>
      <c r="L1273" s="139"/>
      <c r="M1273" s="142"/>
    </row>
    <row r="1274" ht="49.5" customHeight="1">
      <c r="A1274" s="139"/>
      <c r="B1274" s="139"/>
      <c r="C1274" s="139"/>
      <c r="D1274" s="139"/>
      <c r="E1274" s="140"/>
      <c r="F1274" s="139"/>
      <c r="G1274" s="139"/>
      <c r="H1274" s="139"/>
      <c r="I1274" s="139"/>
      <c r="J1274" s="139"/>
      <c r="K1274" s="141"/>
      <c r="L1274" s="139"/>
      <c r="M1274" s="142"/>
    </row>
    <row r="1275" ht="49.5" customHeight="1">
      <c r="A1275" s="139"/>
      <c r="B1275" s="139"/>
      <c r="C1275" s="139"/>
      <c r="D1275" s="139"/>
      <c r="E1275" s="140"/>
      <c r="F1275" s="139"/>
      <c r="G1275" s="139"/>
      <c r="H1275" s="139"/>
      <c r="I1275" s="139"/>
      <c r="J1275" s="139"/>
      <c r="K1275" s="141"/>
      <c r="L1275" s="139"/>
      <c r="M1275" s="142"/>
    </row>
    <row r="1276" ht="49.5" customHeight="1">
      <c r="A1276" s="139"/>
      <c r="B1276" s="139"/>
      <c r="C1276" s="139"/>
      <c r="D1276" s="139"/>
      <c r="E1276" s="140"/>
      <c r="F1276" s="139"/>
      <c r="G1276" s="139"/>
      <c r="H1276" s="139"/>
      <c r="I1276" s="139"/>
      <c r="J1276" s="139"/>
      <c r="K1276" s="141"/>
      <c r="L1276" s="139"/>
      <c r="M1276" s="142"/>
    </row>
    <row r="1277" ht="49.5" customHeight="1">
      <c r="A1277" s="139"/>
      <c r="B1277" s="139"/>
      <c r="C1277" s="139"/>
      <c r="D1277" s="139"/>
      <c r="E1277" s="140"/>
      <c r="F1277" s="139"/>
      <c r="G1277" s="139"/>
      <c r="H1277" s="139"/>
      <c r="I1277" s="139"/>
      <c r="J1277" s="139"/>
      <c r="K1277" s="141"/>
      <c r="L1277" s="139"/>
      <c r="M1277" s="142"/>
    </row>
    <row r="1278" ht="49.5" customHeight="1">
      <c r="A1278" s="139"/>
      <c r="B1278" s="139"/>
      <c r="C1278" s="139"/>
      <c r="D1278" s="139"/>
      <c r="E1278" s="140"/>
      <c r="F1278" s="139"/>
      <c r="G1278" s="139"/>
      <c r="H1278" s="139"/>
      <c r="I1278" s="139"/>
      <c r="J1278" s="139"/>
      <c r="K1278" s="141"/>
      <c r="L1278" s="139"/>
      <c r="M1278" s="142"/>
    </row>
    <row r="1279" ht="49.5" customHeight="1">
      <c r="A1279" s="139"/>
      <c r="B1279" s="139"/>
      <c r="C1279" s="139"/>
      <c r="D1279" s="139"/>
      <c r="E1279" s="140"/>
      <c r="F1279" s="139"/>
      <c r="G1279" s="139"/>
      <c r="H1279" s="139"/>
      <c r="I1279" s="139"/>
      <c r="J1279" s="139"/>
      <c r="K1279" s="141"/>
      <c r="L1279" s="139"/>
      <c r="M1279" s="142"/>
    </row>
    <row r="1280" ht="49.5" customHeight="1">
      <c r="A1280" s="139"/>
      <c r="B1280" s="139"/>
      <c r="C1280" s="139"/>
      <c r="D1280" s="139"/>
      <c r="E1280" s="140"/>
      <c r="F1280" s="139"/>
      <c r="G1280" s="139"/>
      <c r="H1280" s="139"/>
      <c r="I1280" s="139"/>
      <c r="J1280" s="139"/>
      <c r="K1280" s="141"/>
      <c r="L1280" s="139"/>
      <c r="M1280" s="142"/>
    </row>
    <row r="1281" ht="49.5" customHeight="1">
      <c r="A1281" s="139"/>
      <c r="B1281" s="139"/>
      <c r="C1281" s="139"/>
      <c r="D1281" s="139"/>
      <c r="E1281" s="140"/>
      <c r="F1281" s="139"/>
      <c r="G1281" s="139"/>
      <c r="H1281" s="139"/>
      <c r="I1281" s="139"/>
      <c r="J1281" s="139"/>
      <c r="K1281" s="141"/>
      <c r="L1281" s="139"/>
      <c r="M1281" s="142"/>
    </row>
    <row r="1282" ht="49.5" customHeight="1">
      <c r="A1282" s="139"/>
      <c r="B1282" s="139"/>
      <c r="C1282" s="139"/>
      <c r="D1282" s="139"/>
      <c r="E1282" s="140"/>
      <c r="F1282" s="139"/>
      <c r="G1282" s="139"/>
      <c r="H1282" s="139"/>
      <c r="I1282" s="139"/>
      <c r="J1282" s="139"/>
      <c r="K1282" s="141"/>
      <c r="L1282" s="139"/>
      <c r="M1282" s="142"/>
    </row>
    <row r="1283" ht="49.5" customHeight="1">
      <c r="A1283" s="139"/>
      <c r="B1283" s="139"/>
      <c r="C1283" s="139"/>
      <c r="D1283" s="139"/>
      <c r="E1283" s="140"/>
      <c r="F1283" s="139"/>
      <c r="G1283" s="139"/>
      <c r="H1283" s="139"/>
      <c r="I1283" s="139"/>
      <c r="J1283" s="139"/>
      <c r="K1283" s="141"/>
      <c r="L1283" s="139"/>
      <c r="M1283" s="142"/>
    </row>
    <row r="1284" ht="49.5" customHeight="1">
      <c r="A1284" s="139"/>
      <c r="B1284" s="139"/>
      <c r="C1284" s="139"/>
      <c r="D1284" s="139"/>
      <c r="E1284" s="140"/>
      <c r="F1284" s="139"/>
      <c r="G1284" s="139"/>
      <c r="H1284" s="139"/>
      <c r="I1284" s="139"/>
      <c r="J1284" s="139"/>
      <c r="K1284" s="141"/>
      <c r="L1284" s="139"/>
      <c r="M1284" s="142"/>
    </row>
    <row r="1285" ht="49.5" customHeight="1">
      <c r="A1285" s="139"/>
      <c r="B1285" s="139"/>
      <c r="C1285" s="139"/>
      <c r="D1285" s="139"/>
      <c r="E1285" s="140"/>
      <c r="F1285" s="139"/>
      <c r="G1285" s="139"/>
      <c r="H1285" s="139"/>
      <c r="I1285" s="139"/>
      <c r="J1285" s="139"/>
      <c r="K1285" s="141"/>
      <c r="L1285" s="139"/>
      <c r="M1285" s="142"/>
    </row>
    <row r="1286" ht="49.5" customHeight="1">
      <c r="A1286" s="139"/>
      <c r="B1286" s="139"/>
      <c r="C1286" s="139"/>
      <c r="D1286" s="139"/>
      <c r="E1286" s="140"/>
      <c r="F1286" s="139"/>
      <c r="G1286" s="139"/>
      <c r="H1286" s="139"/>
      <c r="I1286" s="139"/>
      <c r="J1286" s="139"/>
      <c r="K1286" s="141"/>
      <c r="L1286" s="139"/>
      <c r="M1286" s="142"/>
    </row>
    <row r="1287" ht="49.5" customHeight="1">
      <c r="A1287" s="139"/>
      <c r="B1287" s="139"/>
      <c r="C1287" s="139"/>
      <c r="D1287" s="139"/>
      <c r="E1287" s="140"/>
      <c r="F1287" s="139"/>
      <c r="G1287" s="139"/>
      <c r="H1287" s="139"/>
      <c r="I1287" s="139"/>
      <c r="J1287" s="139"/>
      <c r="K1287" s="141"/>
      <c r="L1287" s="139"/>
      <c r="M1287" s="142"/>
    </row>
    <row r="1288" ht="49.5" customHeight="1">
      <c r="A1288" s="139"/>
      <c r="B1288" s="139"/>
      <c r="C1288" s="139"/>
      <c r="D1288" s="139"/>
      <c r="E1288" s="140"/>
      <c r="F1288" s="139"/>
      <c r="G1288" s="139"/>
      <c r="H1288" s="139"/>
      <c r="I1288" s="139"/>
      <c r="J1288" s="139"/>
      <c r="K1288" s="141"/>
      <c r="L1288" s="139"/>
      <c r="M1288" s="142"/>
    </row>
    <row r="1289" ht="49.5" customHeight="1">
      <c r="A1289" s="139"/>
      <c r="B1289" s="139"/>
      <c r="C1289" s="139"/>
      <c r="D1289" s="139"/>
      <c r="E1289" s="140"/>
      <c r="F1289" s="139"/>
      <c r="G1289" s="139"/>
      <c r="H1289" s="139"/>
      <c r="I1289" s="139"/>
      <c r="J1289" s="139"/>
      <c r="K1289" s="141"/>
      <c r="L1289" s="139"/>
      <c r="M1289" s="142"/>
    </row>
    <row r="1290" ht="49.5" customHeight="1">
      <c r="A1290" s="139"/>
      <c r="B1290" s="139"/>
      <c r="C1290" s="139"/>
      <c r="D1290" s="139"/>
      <c r="E1290" s="140"/>
      <c r="F1290" s="139"/>
      <c r="G1290" s="139"/>
      <c r="H1290" s="139"/>
      <c r="I1290" s="139"/>
      <c r="J1290" s="139"/>
      <c r="K1290" s="141"/>
      <c r="L1290" s="139"/>
      <c r="M1290" s="142"/>
    </row>
    <row r="1291" ht="49.5" customHeight="1">
      <c r="A1291" s="139"/>
      <c r="B1291" s="139"/>
      <c r="C1291" s="139"/>
      <c r="D1291" s="139"/>
      <c r="E1291" s="140"/>
      <c r="F1291" s="139"/>
      <c r="G1291" s="139"/>
      <c r="H1291" s="139"/>
      <c r="I1291" s="139"/>
      <c r="J1291" s="139"/>
      <c r="K1291" s="141"/>
      <c r="L1291" s="139"/>
      <c r="M1291" s="142"/>
    </row>
    <row r="1292" ht="49.5" customHeight="1">
      <c r="A1292" s="139"/>
      <c r="B1292" s="139"/>
      <c r="C1292" s="139"/>
      <c r="D1292" s="139"/>
      <c r="E1292" s="140"/>
      <c r="F1292" s="139"/>
      <c r="G1292" s="139"/>
      <c r="H1292" s="139"/>
      <c r="I1292" s="139"/>
      <c r="J1292" s="139"/>
      <c r="K1292" s="141"/>
      <c r="L1292" s="139"/>
      <c r="M1292" s="142"/>
    </row>
    <row r="1293" ht="49.5" customHeight="1">
      <c r="A1293" s="139"/>
      <c r="B1293" s="139"/>
      <c r="C1293" s="139"/>
      <c r="D1293" s="139"/>
      <c r="E1293" s="140"/>
      <c r="F1293" s="139"/>
      <c r="G1293" s="139"/>
      <c r="H1293" s="139"/>
      <c r="I1293" s="139"/>
      <c r="J1293" s="139"/>
      <c r="K1293" s="141"/>
      <c r="L1293" s="139"/>
      <c r="M1293" s="142"/>
    </row>
    <row r="1294" ht="49.5" customHeight="1">
      <c r="A1294" s="139"/>
      <c r="B1294" s="139"/>
      <c r="C1294" s="139"/>
      <c r="D1294" s="139"/>
      <c r="E1294" s="140"/>
      <c r="F1294" s="139"/>
      <c r="G1294" s="139"/>
      <c r="H1294" s="139"/>
      <c r="I1294" s="139"/>
      <c r="J1294" s="139"/>
      <c r="K1294" s="141"/>
      <c r="L1294" s="139"/>
      <c r="M1294" s="142"/>
    </row>
    <row r="1295" ht="49.5" customHeight="1">
      <c r="A1295" s="139"/>
      <c r="B1295" s="139"/>
      <c r="C1295" s="139"/>
      <c r="D1295" s="139"/>
      <c r="E1295" s="140"/>
      <c r="F1295" s="139"/>
      <c r="G1295" s="139"/>
      <c r="H1295" s="139"/>
      <c r="I1295" s="139"/>
      <c r="J1295" s="139"/>
      <c r="K1295" s="141"/>
      <c r="L1295" s="139"/>
      <c r="M1295" s="142"/>
    </row>
    <row r="1296" ht="49.5" customHeight="1">
      <c r="A1296" s="139"/>
      <c r="B1296" s="139"/>
      <c r="C1296" s="139"/>
      <c r="D1296" s="139"/>
      <c r="E1296" s="140"/>
      <c r="F1296" s="139"/>
      <c r="G1296" s="139"/>
      <c r="H1296" s="139"/>
      <c r="I1296" s="139"/>
      <c r="J1296" s="139"/>
      <c r="K1296" s="141"/>
      <c r="L1296" s="139"/>
      <c r="M1296" s="142"/>
    </row>
    <row r="1297" ht="49.5" customHeight="1">
      <c r="A1297" s="139"/>
      <c r="B1297" s="139"/>
      <c r="C1297" s="139"/>
      <c r="D1297" s="139"/>
      <c r="E1297" s="140"/>
      <c r="F1297" s="139"/>
      <c r="G1297" s="139"/>
      <c r="H1297" s="139"/>
      <c r="I1297" s="139"/>
      <c r="J1297" s="139"/>
      <c r="K1297" s="141"/>
      <c r="L1297" s="139"/>
      <c r="M1297" s="142"/>
    </row>
    <row r="1298" ht="49.5" customHeight="1">
      <c r="A1298" s="139"/>
      <c r="B1298" s="139"/>
      <c r="C1298" s="139"/>
      <c r="D1298" s="139"/>
      <c r="E1298" s="140"/>
      <c r="F1298" s="139"/>
      <c r="G1298" s="139"/>
      <c r="H1298" s="139"/>
      <c r="I1298" s="139"/>
      <c r="J1298" s="139"/>
      <c r="K1298" s="141"/>
      <c r="L1298" s="139"/>
      <c r="M1298" s="142"/>
    </row>
    <row r="1299" ht="49.5" customHeight="1">
      <c r="A1299" s="139"/>
      <c r="B1299" s="139"/>
      <c r="C1299" s="139"/>
      <c r="D1299" s="139"/>
      <c r="E1299" s="140"/>
      <c r="F1299" s="139"/>
      <c r="G1299" s="139"/>
      <c r="H1299" s="139"/>
      <c r="I1299" s="139"/>
      <c r="J1299" s="139"/>
      <c r="K1299" s="141"/>
      <c r="L1299" s="139"/>
      <c r="M1299" s="142"/>
    </row>
    <row r="1300" ht="49.5" customHeight="1">
      <c r="A1300" s="139"/>
      <c r="B1300" s="139"/>
      <c r="C1300" s="139"/>
      <c r="D1300" s="139"/>
      <c r="E1300" s="140"/>
      <c r="F1300" s="139"/>
      <c r="G1300" s="139"/>
      <c r="H1300" s="139"/>
      <c r="I1300" s="139"/>
      <c r="J1300" s="139"/>
      <c r="K1300" s="141"/>
      <c r="L1300" s="139"/>
      <c r="M1300" s="142"/>
    </row>
    <row r="1301" ht="49.5" customHeight="1">
      <c r="A1301" s="139"/>
      <c r="B1301" s="139"/>
      <c r="C1301" s="139"/>
      <c r="D1301" s="139"/>
      <c r="E1301" s="140"/>
      <c r="F1301" s="139"/>
      <c r="G1301" s="139"/>
      <c r="H1301" s="139"/>
      <c r="I1301" s="139"/>
      <c r="J1301" s="139"/>
      <c r="K1301" s="141"/>
      <c r="L1301" s="139"/>
      <c r="M1301" s="142"/>
    </row>
    <row r="1302" ht="49.5" customHeight="1">
      <c r="A1302" s="139"/>
      <c r="B1302" s="139"/>
      <c r="C1302" s="139"/>
      <c r="D1302" s="139"/>
      <c r="E1302" s="140"/>
      <c r="F1302" s="139"/>
      <c r="G1302" s="139"/>
      <c r="H1302" s="139"/>
      <c r="I1302" s="139"/>
      <c r="J1302" s="139"/>
      <c r="K1302" s="141"/>
      <c r="L1302" s="139"/>
      <c r="M1302" s="142"/>
    </row>
    <row r="1303" ht="49.5" customHeight="1">
      <c r="A1303" s="139"/>
      <c r="B1303" s="139"/>
      <c r="C1303" s="139"/>
      <c r="D1303" s="139"/>
      <c r="E1303" s="140"/>
      <c r="F1303" s="139"/>
      <c r="G1303" s="139"/>
      <c r="H1303" s="139"/>
      <c r="I1303" s="139"/>
      <c r="J1303" s="139"/>
      <c r="K1303" s="141"/>
      <c r="L1303" s="139"/>
      <c r="M1303" s="142"/>
    </row>
    <row r="1304" ht="49.5" customHeight="1">
      <c r="A1304" s="139"/>
      <c r="B1304" s="139"/>
      <c r="C1304" s="139"/>
      <c r="D1304" s="139"/>
      <c r="E1304" s="140"/>
      <c r="F1304" s="139"/>
      <c r="G1304" s="139"/>
      <c r="H1304" s="139"/>
      <c r="I1304" s="139"/>
      <c r="J1304" s="139"/>
      <c r="K1304" s="141"/>
      <c r="L1304" s="139"/>
      <c r="M1304" s="142"/>
    </row>
    <row r="1305" ht="49.5" customHeight="1">
      <c r="A1305" s="139"/>
      <c r="B1305" s="139"/>
      <c r="C1305" s="139"/>
      <c r="D1305" s="139"/>
      <c r="E1305" s="140"/>
      <c r="F1305" s="139"/>
      <c r="G1305" s="139"/>
      <c r="H1305" s="139"/>
      <c r="I1305" s="139"/>
      <c r="J1305" s="139"/>
      <c r="K1305" s="141"/>
      <c r="L1305" s="139"/>
      <c r="M1305" s="142"/>
    </row>
    <row r="1306" ht="49.5" customHeight="1">
      <c r="A1306" s="139"/>
      <c r="B1306" s="139"/>
      <c r="C1306" s="139"/>
      <c r="D1306" s="139"/>
      <c r="E1306" s="140"/>
      <c r="F1306" s="139"/>
      <c r="G1306" s="139"/>
      <c r="H1306" s="139"/>
      <c r="I1306" s="139"/>
      <c r="J1306" s="139"/>
      <c r="K1306" s="141"/>
      <c r="L1306" s="139"/>
      <c r="M1306" s="142"/>
    </row>
    <row r="1307" ht="49.5" customHeight="1">
      <c r="A1307" s="139"/>
      <c r="B1307" s="139"/>
      <c r="C1307" s="139"/>
      <c r="D1307" s="139"/>
      <c r="E1307" s="140"/>
      <c r="F1307" s="139"/>
      <c r="G1307" s="139"/>
      <c r="H1307" s="139"/>
      <c r="I1307" s="139"/>
      <c r="J1307" s="139"/>
      <c r="K1307" s="141"/>
      <c r="L1307" s="139"/>
      <c r="M1307" s="142"/>
    </row>
    <row r="1308" ht="49.5" customHeight="1">
      <c r="A1308" s="139"/>
      <c r="B1308" s="139"/>
      <c r="C1308" s="139"/>
      <c r="D1308" s="139"/>
      <c r="E1308" s="140"/>
      <c r="F1308" s="139"/>
      <c r="G1308" s="139"/>
      <c r="H1308" s="139"/>
      <c r="I1308" s="139"/>
      <c r="J1308" s="139"/>
      <c r="K1308" s="141"/>
      <c r="L1308" s="139"/>
      <c r="M1308" s="142"/>
    </row>
    <row r="1309" ht="49.5" customHeight="1">
      <c r="A1309" s="139"/>
      <c r="B1309" s="139"/>
      <c r="C1309" s="139"/>
      <c r="D1309" s="139"/>
      <c r="E1309" s="140"/>
      <c r="F1309" s="139"/>
      <c r="G1309" s="139"/>
      <c r="H1309" s="139"/>
      <c r="I1309" s="139"/>
      <c r="J1309" s="139"/>
      <c r="K1309" s="141"/>
      <c r="L1309" s="139"/>
      <c r="M1309" s="142"/>
    </row>
    <row r="1310" ht="49.5" customHeight="1">
      <c r="A1310" s="139"/>
      <c r="B1310" s="139"/>
      <c r="C1310" s="139"/>
      <c r="D1310" s="139"/>
      <c r="E1310" s="140"/>
      <c r="F1310" s="139"/>
      <c r="G1310" s="139"/>
      <c r="H1310" s="139"/>
      <c r="I1310" s="139"/>
      <c r="J1310" s="139"/>
      <c r="K1310" s="141"/>
      <c r="L1310" s="139"/>
      <c r="M1310" s="142"/>
    </row>
    <row r="1311" ht="49.5" customHeight="1">
      <c r="A1311" s="139"/>
      <c r="B1311" s="139"/>
      <c r="C1311" s="139"/>
      <c r="D1311" s="139"/>
      <c r="E1311" s="140"/>
      <c r="F1311" s="139"/>
      <c r="G1311" s="139"/>
      <c r="H1311" s="139"/>
      <c r="I1311" s="139"/>
      <c r="J1311" s="139"/>
      <c r="K1311" s="141"/>
      <c r="L1311" s="139"/>
      <c r="M1311" s="142"/>
    </row>
    <row r="1312" ht="49.5" customHeight="1">
      <c r="A1312" s="139"/>
      <c r="B1312" s="139"/>
      <c r="C1312" s="139"/>
      <c r="D1312" s="139"/>
      <c r="E1312" s="140"/>
      <c r="F1312" s="139"/>
      <c r="G1312" s="139"/>
      <c r="H1312" s="139"/>
      <c r="I1312" s="139"/>
      <c r="J1312" s="139"/>
      <c r="K1312" s="141"/>
      <c r="L1312" s="139"/>
      <c r="M1312" s="142"/>
    </row>
    <row r="1313" ht="49.5" customHeight="1">
      <c r="A1313" s="139"/>
      <c r="B1313" s="139"/>
      <c r="C1313" s="139"/>
      <c r="D1313" s="139"/>
      <c r="E1313" s="140"/>
      <c r="F1313" s="139"/>
      <c r="G1313" s="139"/>
      <c r="H1313" s="139"/>
      <c r="I1313" s="139"/>
      <c r="J1313" s="139"/>
      <c r="K1313" s="141"/>
      <c r="L1313" s="139"/>
      <c r="M1313" s="142"/>
    </row>
    <row r="1314" ht="49.5" customHeight="1">
      <c r="A1314" s="139"/>
      <c r="B1314" s="139"/>
      <c r="C1314" s="139"/>
      <c r="D1314" s="139"/>
      <c r="E1314" s="140"/>
      <c r="F1314" s="139"/>
      <c r="G1314" s="139"/>
      <c r="H1314" s="139"/>
      <c r="I1314" s="139"/>
      <c r="J1314" s="139"/>
      <c r="K1314" s="141"/>
      <c r="L1314" s="139"/>
      <c r="M1314" s="142"/>
    </row>
    <row r="1315" ht="49.5" customHeight="1">
      <c r="A1315" s="139"/>
      <c r="B1315" s="139"/>
      <c r="C1315" s="139"/>
      <c r="D1315" s="139"/>
      <c r="E1315" s="140"/>
      <c r="F1315" s="139"/>
      <c r="G1315" s="139"/>
      <c r="H1315" s="139"/>
      <c r="I1315" s="139"/>
      <c r="J1315" s="139"/>
      <c r="K1315" s="141"/>
      <c r="L1315" s="139"/>
      <c r="M1315" s="142"/>
    </row>
    <row r="1316" ht="49.5" customHeight="1">
      <c r="A1316" s="139"/>
      <c r="B1316" s="139"/>
      <c r="C1316" s="139"/>
      <c r="D1316" s="139"/>
      <c r="E1316" s="140"/>
      <c r="F1316" s="139"/>
      <c r="G1316" s="139"/>
      <c r="H1316" s="139"/>
      <c r="I1316" s="139"/>
      <c r="J1316" s="139"/>
      <c r="K1316" s="141"/>
      <c r="L1316" s="139"/>
      <c r="M1316" s="142"/>
    </row>
    <row r="1317" ht="49.5" customHeight="1">
      <c r="A1317" s="139"/>
      <c r="B1317" s="139"/>
      <c r="C1317" s="139"/>
      <c r="D1317" s="139"/>
      <c r="E1317" s="140"/>
      <c r="F1317" s="139"/>
      <c r="G1317" s="139"/>
      <c r="H1317" s="139"/>
      <c r="I1317" s="139"/>
      <c r="J1317" s="139"/>
      <c r="K1317" s="141"/>
      <c r="L1317" s="139"/>
      <c r="M1317" s="142"/>
    </row>
    <row r="1318" ht="49.5" customHeight="1">
      <c r="A1318" s="139"/>
      <c r="B1318" s="139"/>
      <c r="C1318" s="139"/>
      <c r="D1318" s="139"/>
      <c r="E1318" s="140"/>
      <c r="F1318" s="139"/>
      <c r="G1318" s="139"/>
      <c r="H1318" s="139"/>
      <c r="I1318" s="139"/>
      <c r="J1318" s="139"/>
      <c r="K1318" s="141"/>
      <c r="L1318" s="139"/>
      <c r="M1318" s="142"/>
    </row>
    <row r="1319" ht="49.5" customHeight="1">
      <c r="A1319" s="139"/>
      <c r="B1319" s="139"/>
      <c r="C1319" s="139"/>
      <c r="D1319" s="139"/>
      <c r="E1319" s="140"/>
      <c r="F1319" s="139"/>
      <c r="G1319" s="139"/>
      <c r="H1319" s="139"/>
      <c r="I1319" s="139"/>
      <c r="J1319" s="139"/>
      <c r="K1319" s="141"/>
      <c r="L1319" s="139"/>
      <c r="M1319" s="142"/>
    </row>
    <row r="1320" ht="49.5" customHeight="1">
      <c r="A1320" s="139"/>
      <c r="B1320" s="139"/>
      <c r="C1320" s="139"/>
      <c r="D1320" s="139"/>
      <c r="E1320" s="140"/>
      <c r="F1320" s="139"/>
      <c r="G1320" s="139"/>
      <c r="H1320" s="139"/>
      <c r="I1320" s="139"/>
      <c r="J1320" s="139"/>
      <c r="K1320" s="141"/>
      <c r="L1320" s="139"/>
      <c r="M1320" s="142"/>
    </row>
    <row r="1321" ht="49.5" customHeight="1">
      <c r="A1321" s="139"/>
      <c r="B1321" s="139"/>
      <c r="C1321" s="139"/>
      <c r="D1321" s="139"/>
      <c r="E1321" s="140"/>
      <c r="F1321" s="139"/>
      <c r="G1321" s="139"/>
      <c r="H1321" s="139"/>
      <c r="I1321" s="139"/>
      <c r="J1321" s="139"/>
      <c r="K1321" s="141"/>
      <c r="L1321" s="139"/>
      <c r="M1321" s="142"/>
    </row>
    <row r="1322" ht="49.5" customHeight="1">
      <c r="A1322" s="139"/>
      <c r="B1322" s="139"/>
      <c r="C1322" s="139"/>
      <c r="D1322" s="139"/>
      <c r="E1322" s="140"/>
      <c r="F1322" s="139"/>
      <c r="G1322" s="139"/>
      <c r="H1322" s="139"/>
      <c r="I1322" s="139"/>
      <c r="J1322" s="139"/>
      <c r="K1322" s="141"/>
      <c r="L1322" s="139"/>
      <c r="M1322" s="142"/>
    </row>
    <row r="1323" ht="49.5" customHeight="1">
      <c r="A1323" s="139"/>
      <c r="B1323" s="139"/>
      <c r="C1323" s="139"/>
      <c r="D1323" s="139"/>
      <c r="E1323" s="140"/>
      <c r="F1323" s="139"/>
      <c r="G1323" s="139"/>
      <c r="H1323" s="139"/>
      <c r="I1323" s="139"/>
      <c r="J1323" s="139"/>
      <c r="K1323" s="141"/>
      <c r="L1323" s="139"/>
      <c r="M1323" s="142"/>
    </row>
    <row r="1324" ht="49.5" customHeight="1">
      <c r="A1324" s="139"/>
      <c r="B1324" s="139"/>
      <c r="C1324" s="139"/>
      <c r="D1324" s="139"/>
      <c r="E1324" s="140"/>
      <c r="F1324" s="139"/>
      <c r="G1324" s="139"/>
      <c r="H1324" s="139"/>
      <c r="I1324" s="139"/>
      <c r="J1324" s="139"/>
      <c r="K1324" s="141"/>
      <c r="L1324" s="139"/>
      <c r="M1324" s="142"/>
    </row>
    <row r="1325" ht="49.5" customHeight="1">
      <c r="A1325" s="139"/>
      <c r="B1325" s="139"/>
      <c r="C1325" s="139"/>
      <c r="D1325" s="139"/>
      <c r="E1325" s="140"/>
      <c r="F1325" s="139"/>
      <c r="G1325" s="139"/>
      <c r="H1325" s="139"/>
      <c r="I1325" s="139"/>
      <c r="J1325" s="139"/>
      <c r="K1325" s="141"/>
      <c r="L1325" s="139"/>
      <c r="M1325" s="142"/>
    </row>
    <row r="1326" ht="49.5" customHeight="1">
      <c r="A1326" s="139"/>
      <c r="B1326" s="139"/>
      <c r="C1326" s="139"/>
      <c r="D1326" s="139"/>
      <c r="E1326" s="140"/>
      <c r="F1326" s="139"/>
      <c r="G1326" s="139"/>
      <c r="H1326" s="139"/>
      <c r="I1326" s="139"/>
      <c r="J1326" s="139"/>
      <c r="K1326" s="141"/>
      <c r="L1326" s="139"/>
      <c r="M1326" s="142"/>
    </row>
    <row r="1327" ht="49.5" customHeight="1">
      <c r="A1327" s="139"/>
      <c r="B1327" s="139"/>
      <c r="C1327" s="139"/>
      <c r="D1327" s="139"/>
      <c r="E1327" s="140"/>
      <c r="F1327" s="139"/>
      <c r="G1327" s="139"/>
      <c r="H1327" s="139"/>
      <c r="I1327" s="139"/>
      <c r="J1327" s="139"/>
      <c r="K1327" s="141"/>
      <c r="L1327" s="139"/>
      <c r="M1327" s="142"/>
    </row>
    <row r="1328" ht="49.5" customHeight="1">
      <c r="A1328" s="139"/>
      <c r="B1328" s="139"/>
      <c r="C1328" s="139"/>
      <c r="D1328" s="139"/>
      <c r="E1328" s="140"/>
      <c r="F1328" s="139"/>
      <c r="G1328" s="139"/>
      <c r="H1328" s="139"/>
      <c r="I1328" s="139"/>
      <c r="J1328" s="139"/>
      <c r="K1328" s="141"/>
      <c r="L1328" s="139"/>
      <c r="M1328" s="142"/>
    </row>
    <row r="1329" ht="49.5" customHeight="1">
      <c r="A1329" s="139"/>
      <c r="B1329" s="139"/>
      <c r="C1329" s="139"/>
      <c r="D1329" s="139"/>
      <c r="E1329" s="140"/>
      <c r="F1329" s="139"/>
      <c r="G1329" s="139"/>
      <c r="H1329" s="139"/>
      <c r="I1329" s="139"/>
      <c r="J1329" s="139"/>
      <c r="K1329" s="141"/>
      <c r="L1329" s="139"/>
      <c r="M1329" s="142"/>
    </row>
    <row r="1330" ht="49.5" customHeight="1">
      <c r="A1330" s="139"/>
      <c r="B1330" s="139"/>
      <c r="C1330" s="139"/>
      <c r="D1330" s="139"/>
      <c r="E1330" s="140"/>
      <c r="F1330" s="139"/>
      <c r="G1330" s="139"/>
      <c r="H1330" s="139"/>
      <c r="I1330" s="139"/>
      <c r="J1330" s="139"/>
      <c r="K1330" s="141"/>
      <c r="L1330" s="139"/>
      <c r="M1330" s="142"/>
    </row>
    <row r="1331" ht="49.5" customHeight="1">
      <c r="A1331" s="139"/>
      <c r="B1331" s="139"/>
      <c r="C1331" s="139"/>
      <c r="D1331" s="139"/>
      <c r="E1331" s="140"/>
      <c r="F1331" s="139"/>
      <c r="G1331" s="139"/>
      <c r="H1331" s="139"/>
      <c r="I1331" s="139"/>
      <c r="J1331" s="139"/>
      <c r="K1331" s="141"/>
      <c r="L1331" s="139"/>
      <c r="M1331" s="142"/>
    </row>
    <row r="1332" ht="49.5" customHeight="1">
      <c r="A1332" s="139"/>
      <c r="B1332" s="139"/>
      <c r="C1332" s="139"/>
      <c r="D1332" s="139"/>
      <c r="E1332" s="140"/>
      <c r="F1332" s="139"/>
      <c r="G1332" s="139"/>
      <c r="H1332" s="139"/>
      <c r="I1332" s="139"/>
      <c r="J1332" s="139"/>
      <c r="K1332" s="141"/>
      <c r="L1332" s="139"/>
      <c r="M1332" s="142"/>
    </row>
    <row r="1333" ht="49.5" customHeight="1">
      <c r="A1333" s="139"/>
      <c r="B1333" s="139"/>
      <c r="C1333" s="139"/>
      <c r="D1333" s="139"/>
      <c r="E1333" s="140"/>
      <c r="F1333" s="139"/>
      <c r="G1333" s="139"/>
      <c r="H1333" s="139"/>
      <c r="I1333" s="139"/>
      <c r="J1333" s="139"/>
      <c r="K1333" s="141"/>
      <c r="L1333" s="139"/>
      <c r="M1333" s="142"/>
    </row>
    <row r="1334" ht="49.5" customHeight="1">
      <c r="A1334" s="139"/>
      <c r="B1334" s="139"/>
      <c r="C1334" s="139"/>
      <c r="D1334" s="139"/>
      <c r="E1334" s="140"/>
      <c r="F1334" s="139"/>
      <c r="G1334" s="139"/>
      <c r="H1334" s="139"/>
      <c r="I1334" s="139"/>
      <c r="J1334" s="139"/>
      <c r="K1334" s="141"/>
      <c r="L1334" s="139"/>
      <c r="M1334" s="142"/>
    </row>
    <row r="1335" ht="49.5" customHeight="1">
      <c r="A1335" s="139"/>
      <c r="B1335" s="139"/>
      <c r="C1335" s="139"/>
      <c r="D1335" s="139"/>
      <c r="E1335" s="140"/>
      <c r="F1335" s="139"/>
      <c r="G1335" s="139"/>
      <c r="H1335" s="139"/>
      <c r="I1335" s="139"/>
      <c r="J1335" s="139"/>
      <c r="K1335" s="141"/>
      <c r="L1335" s="139"/>
      <c r="M1335" s="142"/>
    </row>
    <row r="1336" ht="49.5" customHeight="1">
      <c r="A1336" s="139"/>
      <c r="B1336" s="139"/>
      <c r="C1336" s="139"/>
      <c r="D1336" s="139"/>
      <c r="E1336" s="140"/>
      <c r="F1336" s="139"/>
      <c r="G1336" s="139"/>
      <c r="H1336" s="139"/>
      <c r="I1336" s="139"/>
      <c r="J1336" s="139"/>
      <c r="K1336" s="141"/>
      <c r="L1336" s="139"/>
      <c r="M1336" s="142"/>
    </row>
    <row r="1337" ht="49.5" customHeight="1">
      <c r="A1337" s="139"/>
      <c r="B1337" s="139"/>
      <c r="C1337" s="139"/>
      <c r="D1337" s="139"/>
      <c r="E1337" s="140"/>
      <c r="F1337" s="139"/>
      <c r="G1337" s="139"/>
      <c r="H1337" s="139"/>
      <c r="I1337" s="139"/>
      <c r="J1337" s="139"/>
      <c r="K1337" s="141"/>
      <c r="L1337" s="139"/>
      <c r="M1337" s="142"/>
    </row>
    <row r="1338" ht="49.5" customHeight="1">
      <c r="A1338" s="139"/>
      <c r="B1338" s="139"/>
      <c r="C1338" s="139"/>
      <c r="D1338" s="139"/>
      <c r="E1338" s="140"/>
      <c r="F1338" s="139"/>
      <c r="G1338" s="139"/>
      <c r="H1338" s="139"/>
      <c r="I1338" s="139"/>
      <c r="J1338" s="139"/>
      <c r="K1338" s="141"/>
      <c r="L1338" s="139"/>
      <c r="M1338" s="142"/>
    </row>
    <row r="1339" ht="49.5" customHeight="1">
      <c r="A1339" s="139"/>
      <c r="B1339" s="139"/>
      <c r="C1339" s="139"/>
      <c r="D1339" s="139"/>
      <c r="E1339" s="140"/>
      <c r="F1339" s="139"/>
      <c r="G1339" s="139"/>
      <c r="H1339" s="139"/>
      <c r="I1339" s="139"/>
      <c r="J1339" s="139"/>
      <c r="K1339" s="141"/>
      <c r="L1339" s="139"/>
      <c r="M1339" s="14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63"/>
    <col customWidth="1" min="4" max="4" width="61.25"/>
    <col customWidth="1" min="7" max="7" width="30.5"/>
  </cols>
  <sheetData>
    <row r="1">
      <c r="A1" s="143" t="s">
        <v>2037</v>
      </c>
      <c r="B1" s="143" t="s">
        <v>2038</v>
      </c>
      <c r="C1" s="143" t="s">
        <v>2039</v>
      </c>
      <c r="D1" s="143" t="s">
        <v>2040</v>
      </c>
      <c r="E1" s="143" t="s">
        <v>2041</v>
      </c>
      <c r="F1" s="143" t="s">
        <v>2042</v>
      </c>
      <c r="G1" s="143" t="s">
        <v>2043</v>
      </c>
    </row>
    <row r="2">
      <c r="A2" s="144" t="str">
        <f>IFERROR(__xludf.DUMMYFUNCTION("QUERY('Consolidated Sheet'!A:M,""SELECT A, B, D, E, F, K, L, M WHERE B='S4'"",0)"),"AGRI")</f>
        <v>AGRI</v>
      </c>
      <c r="B2" s="144" t="str">
        <f>IFERROR(__xludf.DUMMYFUNCTION("""COMPUTED_VALUE"""),"S4")</f>
        <v>S4</v>
      </c>
      <c r="C2" s="144" t="str">
        <f>IFERROR(__xludf.DUMMYFUNCTION("""COMPUTED_VALUE"""),"22AG401")</f>
        <v>22AG401</v>
      </c>
      <c r="D2" s="144" t="str">
        <f>IFERROR(__xludf.DUMMYFUNCTION("""COMPUTED_VALUE"""),"CROP PRODUCTION TECHNOLOGY")</f>
        <v>CROP PRODUCTION TECHNOLOGY</v>
      </c>
      <c r="E2" s="144" t="str">
        <f>IFERROR(__xludf.DUMMYFUNCTION("""COMPUTED_VALUE"""),"THEORY WITH LAB")</f>
        <v>THEORY WITH LAB</v>
      </c>
      <c r="F2" s="144" t="str">
        <f>IFERROR(__xludf.DUMMYFUNCTION("""COMPUTED_VALUE"""),"AG11083")</f>
        <v>AG11083</v>
      </c>
      <c r="G2" s="144" t="str">
        <f>IFERROR(__xludf.DUMMYFUNCTION("""COMPUTED_VALUE"""),"Dr.RAGHUL S")</f>
        <v>Dr.RAGHUL S</v>
      </c>
      <c r="H2" s="144" t="str">
        <f>IFERROR(__xludf.DUMMYFUNCTION("""COMPUTED_VALUE"""),"raghul@bitsathy.ac.in")</f>
        <v>raghul@bitsathy.ac.in</v>
      </c>
    </row>
    <row r="3">
      <c r="A3" s="144" t="str">
        <f>IFERROR(__xludf.DUMMYFUNCTION("""COMPUTED_VALUE"""),"AGRI")</f>
        <v>AGRI</v>
      </c>
      <c r="B3" s="144" t="str">
        <f>IFERROR(__xludf.DUMMYFUNCTION("""COMPUTED_VALUE"""),"S4")</f>
        <v>S4</v>
      </c>
      <c r="C3" s="144" t="str">
        <f>IFERROR(__xludf.DUMMYFUNCTION("""COMPUTED_VALUE"""),"22AG402")</f>
        <v>22AG402</v>
      </c>
      <c r="D3" s="144" t="str">
        <f>IFERROR(__xludf.DUMMYFUNCTION("""COMPUTED_VALUE"""),"HEAT AND MASS TRANSFER")</f>
        <v>HEAT AND MASS TRANSFER</v>
      </c>
      <c r="E3" s="144" t="str">
        <f>IFERROR(__xludf.DUMMYFUNCTION("""COMPUTED_VALUE"""),"THEORY WITH LAB")</f>
        <v>THEORY WITH LAB</v>
      </c>
      <c r="F3" s="144" t="str">
        <f>IFERROR(__xludf.DUMMYFUNCTION("""COMPUTED_VALUE"""),"AG10172")</f>
        <v>AG10172</v>
      </c>
      <c r="G3" s="144" t="str">
        <f>IFERROR(__xludf.DUMMYFUNCTION("""COMPUTED_VALUE"""),"Dr.VINOTH KUMAR J")</f>
        <v>Dr.VINOTH KUMAR J</v>
      </c>
      <c r="H3" s="144" t="str">
        <f>IFERROR(__xludf.DUMMYFUNCTION("""COMPUTED_VALUE"""),"vinothkumar@bitsathy.ac.in")</f>
        <v>vinothkumar@bitsathy.ac.in</v>
      </c>
    </row>
    <row r="4">
      <c r="A4" s="144" t="str">
        <f>IFERROR(__xludf.DUMMYFUNCTION("""COMPUTED_VALUE"""),"AGRI")</f>
        <v>AGRI</v>
      </c>
      <c r="B4" s="144" t="str">
        <f>IFERROR(__xludf.DUMMYFUNCTION("""COMPUTED_VALUE"""),"S4")</f>
        <v>S4</v>
      </c>
      <c r="C4" s="144" t="str">
        <f>IFERROR(__xludf.DUMMYFUNCTION("""COMPUTED_VALUE"""),"22AG403")</f>
        <v>22AG403</v>
      </c>
      <c r="D4" s="144" t="str">
        <f>IFERROR(__xludf.DUMMYFUNCTION("""COMPUTED_VALUE"""),"STRENGTH OF MATERIALS")</f>
        <v>STRENGTH OF MATERIALS</v>
      </c>
      <c r="E4" s="144" t="str">
        <f>IFERROR(__xludf.DUMMYFUNCTION("""COMPUTED_VALUE"""),"THEORY")</f>
        <v>THEORY</v>
      </c>
      <c r="F4" s="144" t="str">
        <f>IFERROR(__xludf.DUMMYFUNCTION("""COMPUTED_VALUE"""),"MC10299")</f>
        <v>MC10299</v>
      </c>
      <c r="G4" s="144" t="str">
        <f>IFERROR(__xludf.DUMMYFUNCTION("""COMPUTED_VALUE"""),"Mr.VIGNESH S")</f>
        <v>Mr.VIGNESH S</v>
      </c>
      <c r="H4" s="144" t="str">
        <f>IFERROR(__xludf.DUMMYFUNCTION("""COMPUTED_VALUE"""),"vignesh@bitsathy.ac.in")</f>
        <v>vignesh@bitsathy.ac.in</v>
      </c>
    </row>
    <row r="5">
      <c r="A5" s="144" t="str">
        <f>IFERROR(__xludf.DUMMYFUNCTION("""COMPUTED_VALUE"""),"AGRI")</f>
        <v>AGRI</v>
      </c>
      <c r="B5" s="144" t="str">
        <f>IFERROR(__xludf.DUMMYFUNCTION("""COMPUTED_VALUE"""),"S4")</f>
        <v>S4</v>
      </c>
      <c r="C5" s="144" t="str">
        <f>IFERROR(__xludf.DUMMYFUNCTION("""COMPUTED_VALUE"""),"22AG403")</f>
        <v>22AG403</v>
      </c>
      <c r="D5" s="144" t="str">
        <f>IFERROR(__xludf.DUMMYFUNCTION("""COMPUTED_VALUE"""),"STRENGTH OF MATERIALS")</f>
        <v>STRENGTH OF MATERIALS</v>
      </c>
      <c r="E5" s="144" t="str">
        <f>IFERROR(__xludf.DUMMYFUNCTION("""COMPUTED_VALUE"""),"LAB")</f>
        <v>LAB</v>
      </c>
      <c r="F5" s="144" t="str">
        <f>IFERROR(__xludf.DUMMYFUNCTION("""COMPUTED_VALUE"""),"MC10299")</f>
        <v>MC10299</v>
      </c>
      <c r="G5" s="144" t="str">
        <f>IFERROR(__xludf.DUMMYFUNCTION("""COMPUTED_VALUE"""),"Mr.VIGNESH S")</f>
        <v>Mr.VIGNESH S</v>
      </c>
      <c r="H5" s="144" t="str">
        <f>IFERROR(__xludf.DUMMYFUNCTION("""COMPUTED_VALUE"""),"vignesh@bitsathy.ac.in")</f>
        <v>vignesh@bitsathy.ac.in</v>
      </c>
    </row>
    <row r="6">
      <c r="A6" s="144" t="str">
        <f>IFERROR(__xludf.DUMMYFUNCTION("""COMPUTED_VALUE"""),"AGRI")</f>
        <v>AGRI</v>
      </c>
      <c r="B6" s="144" t="str">
        <f>IFERROR(__xludf.DUMMYFUNCTION("""COMPUTED_VALUE"""),"S4")</f>
        <v>S4</v>
      </c>
      <c r="C6" s="144" t="str">
        <f>IFERROR(__xludf.DUMMYFUNCTION("""COMPUTED_VALUE"""),"22AG404")</f>
        <v>22AG404</v>
      </c>
      <c r="D6" s="144" t="str">
        <f>IFERROR(__xludf.DUMMYFUNCTION("""COMPUTED_VALUE"""),"THEORY OF MACHINES")</f>
        <v>THEORY OF MACHINES</v>
      </c>
      <c r="E6" s="144" t="str">
        <f>IFERROR(__xludf.DUMMYFUNCTION("""COMPUTED_VALUE"""),"THEORY WITH LAB")</f>
        <v>THEORY WITH LAB</v>
      </c>
      <c r="F6" s="144" t="str">
        <f>IFERROR(__xludf.DUMMYFUNCTION("""COMPUTED_VALUE"""),"AG1312")</f>
        <v>AG1312</v>
      </c>
      <c r="G6" s="144" t="str">
        <f>IFERROR(__xludf.DUMMYFUNCTION("""COMPUTED_VALUE"""),"Dr.UVARAJA V C")</f>
        <v>Dr.UVARAJA V C</v>
      </c>
      <c r="H6" s="144" t="str">
        <f>IFERROR(__xludf.DUMMYFUNCTION("""COMPUTED_VALUE"""),"uvarajavc@bitsathy.ac.in")</f>
        <v>uvarajavc@bitsathy.ac.in</v>
      </c>
    </row>
    <row r="7">
      <c r="A7" s="144" t="str">
        <f>IFERROR(__xludf.DUMMYFUNCTION("""COMPUTED_VALUE"""),"AGRI")</f>
        <v>AGRI</v>
      </c>
      <c r="B7" s="144" t="str">
        <f>IFERROR(__xludf.DUMMYFUNCTION("""COMPUTED_VALUE"""),"S4")</f>
        <v>S4</v>
      </c>
      <c r="C7" s="144" t="str">
        <f>IFERROR(__xludf.DUMMYFUNCTION("""COMPUTED_VALUE"""),"22AG405")</f>
        <v>22AG405</v>
      </c>
      <c r="D7" s="144" t="str">
        <f>IFERROR(__xludf.DUMMYFUNCTION("""COMPUTED_VALUE"""),"HYDROLOGY")</f>
        <v>HYDROLOGY</v>
      </c>
      <c r="E7" s="144" t="str">
        <f>IFERROR(__xludf.DUMMYFUNCTION("""COMPUTED_VALUE"""),"THEORY")</f>
        <v>THEORY</v>
      </c>
      <c r="F7" s="144" t="str">
        <f>IFERROR(__xludf.DUMMYFUNCTION("""COMPUTED_VALUE"""),"AG10092")</f>
        <v>AG10092</v>
      </c>
      <c r="G7" s="144" t="str">
        <f>IFERROR(__xludf.DUMMYFUNCTION("""COMPUTED_VALUE"""),"Dr.VASUDEVAN M")</f>
        <v>Dr.VASUDEVAN M</v>
      </c>
      <c r="H7" s="144" t="str">
        <f>IFERROR(__xludf.DUMMYFUNCTION("""COMPUTED_VALUE"""),"vasudevan@bitsathy.ac.in")</f>
        <v>vasudevan@bitsathy.ac.in</v>
      </c>
    </row>
    <row r="8">
      <c r="A8" s="144" t="str">
        <f>IFERROR(__xludf.DUMMYFUNCTION("""COMPUTED_VALUE"""),"AGRI")</f>
        <v>AGRI</v>
      </c>
      <c r="B8" s="144" t="str">
        <f>IFERROR(__xludf.DUMMYFUNCTION("""COMPUTED_VALUE"""),"S4")</f>
        <v>S4</v>
      </c>
      <c r="C8" s="144" t="str">
        <f>IFERROR(__xludf.DUMMYFUNCTION("""COMPUTED_VALUE"""),"22AG040")</f>
        <v>22AG040</v>
      </c>
      <c r="D8" s="144" t="str">
        <f>IFERROR(__xludf.DUMMYFUNCTION("""COMPUTED_VALUE"""),"TECHNOLOGY OF SEED PROCESSING")</f>
        <v>TECHNOLOGY OF SEED PROCESSING</v>
      </c>
      <c r="E8" s="144" t="str">
        <f>IFERROR(__xludf.DUMMYFUNCTION("""COMPUTED_VALUE"""),"THEORY")</f>
        <v>THEORY</v>
      </c>
      <c r="F8" s="144" t="str">
        <f>IFERROR(__xludf.DUMMYFUNCTION("""COMPUTED_VALUE"""),"AG10895")</f>
        <v>AG10895</v>
      </c>
      <c r="G8" s="144" t="str">
        <f>IFERROR(__xludf.DUMMYFUNCTION("""COMPUTED_VALUE"""),"Ms.ANANTHI D")</f>
        <v>Ms.ANANTHI D</v>
      </c>
      <c r="H8" s="144" t="str">
        <f>IFERROR(__xludf.DUMMYFUNCTION("""COMPUTED_VALUE"""),"ananthid@bitsathy.ac.in")</f>
        <v>ananthid@bitsathy.ac.in</v>
      </c>
    </row>
    <row r="9">
      <c r="A9" s="144" t="str">
        <f>IFERROR(__xludf.DUMMYFUNCTION("""COMPUTED_VALUE"""),"AGRI")</f>
        <v>AGRI</v>
      </c>
      <c r="B9" s="144" t="str">
        <f>IFERROR(__xludf.DUMMYFUNCTION("""COMPUTED_VALUE"""),"S4")</f>
        <v>S4</v>
      </c>
      <c r="C9" s="144" t="str">
        <f>IFERROR(__xludf.DUMMYFUNCTION("""COMPUTED_VALUE"""),"22HS007")</f>
        <v>22HS007</v>
      </c>
      <c r="D9" s="144" t="str">
        <f>IFERROR(__xludf.DUMMYFUNCTION("""COMPUTED_VALUE"""),"ENVIRONMENTAL SCIENCE")</f>
        <v>ENVIRONMENTAL SCIENCE</v>
      </c>
      <c r="E9" s="144" t="str">
        <f>IFERROR(__xludf.DUMMYFUNCTION("""COMPUTED_VALUE"""),"LAB")</f>
        <v>LAB</v>
      </c>
      <c r="F9" s="144" t="str">
        <f>IFERROR(__xludf.DUMMYFUNCTION("""COMPUTED_VALUE"""),"CH1558")</f>
        <v>CH1558</v>
      </c>
      <c r="G9" s="144" t="str">
        <f>IFERROR(__xludf.DUMMYFUNCTION("""COMPUTED_VALUE"""),"Dr.PRAVEENA R")</f>
        <v>Dr.PRAVEENA R</v>
      </c>
      <c r="H9" s="144" t="str">
        <f>IFERROR(__xludf.DUMMYFUNCTION("""COMPUTED_VALUE"""),"praveenar@bitsathy.ac.in")</f>
        <v>praveenar@bitsathy.ac.in</v>
      </c>
    </row>
    <row r="10">
      <c r="A10" s="144" t="str">
        <f>IFERROR(__xludf.DUMMYFUNCTION("""COMPUTED_VALUE"""),"AGRI")</f>
        <v>AGRI</v>
      </c>
      <c r="B10" s="144" t="str">
        <f>IFERROR(__xludf.DUMMYFUNCTION("""COMPUTED_VALUE"""),"S4")</f>
        <v>S4</v>
      </c>
      <c r="C10" s="144" t="str">
        <f>IFERROR(__xludf.DUMMYFUNCTION("""COMPUTED_VALUE"""),"22HS008")</f>
        <v>22HS008</v>
      </c>
      <c r="D10" s="144" t="str">
        <f>IFERROR(__xludf.DUMMYFUNCTION("""COMPUTED_VALUE"""),"ADVANCED ENGLISH AND TECHNICAL EXPRESSION ")</f>
        <v>ADVANCED ENGLISH AND TECHNICAL EXPRESSION </v>
      </c>
      <c r="E10" s="144" t="str">
        <f>IFERROR(__xludf.DUMMYFUNCTION("""COMPUTED_VALUE"""),"LAB")</f>
        <v>LAB</v>
      </c>
      <c r="F10" s="144" t="str">
        <f>IFERROR(__xludf.DUMMYFUNCTION("""COMPUTED_VALUE"""),"HU11011")</f>
        <v>HU11011</v>
      </c>
      <c r="G10" s="144" t="str">
        <f>IFERROR(__xludf.DUMMYFUNCTION("""COMPUTED_VALUE"""),"Dr.AJAI A")</f>
        <v>Dr.AJAI A</v>
      </c>
      <c r="H10" s="144" t="str">
        <f>IFERROR(__xludf.DUMMYFUNCTION("""COMPUTED_VALUE"""),"ajai@bitsathy.ac.in")</f>
        <v>ajai@bitsathy.ac.in</v>
      </c>
    </row>
    <row r="11">
      <c r="A11" s="144" t="str">
        <f>IFERROR(__xludf.DUMMYFUNCTION("""COMPUTED_VALUE"""),"AIDS")</f>
        <v>AIDS</v>
      </c>
      <c r="B11" s="144" t="str">
        <f>IFERROR(__xludf.DUMMYFUNCTION("""COMPUTED_VALUE"""),"S4")</f>
        <v>S4</v>
      </c>
      <c r="C11" s="144" t="str">
        <f>IFERROR(__xludf.DUMMYFUNCTION("""COMPUTED_VALUE"""),"22AI401")</f>
        <v>22AI401</v>
      </c>
      <c r="D11" s="144" t="str">
        <f>IFERROR(__xludf.DUMMYFUNCTION("""COMPUTED_VALUE"""),"APPLIED LINEAR ALGEBRA")</f>
        <v>APPLIED LINEAR ALGEBRA</v>
      </c>
      <c r="E11" s="144" t="str">
        <f>IFERROR(__xludf.DUMMYFUNCTION("""COMPUTED_VALUE"""),"THEORY")</f>
        <v>THEORY</v>
      </c>
      <c r="F11" s="144" t="str">
        <f>IFERROR(__xludf.DUMMYFUNCTION("""COMPUTED_VALUE"""),"MA1327")</f>
        <v>MA1327</v>
      </c>
      <c r="G11" s="144" t="str">
        <f>IFERROR(__xludf.DUMMYFUNCTION("""COMPUTED_VALUE"""),"Dr.THULASIMANI T")</f>
        <v>Dr.THULASIMANI T</v>
      </c>
      <c r="H11" s="144" t="str">
        <f>IFERROR(__xludf.DUMMYFUNCTION("""COMPUTED_VALUE"""),"thulasimanit@bitsathy.ac.in")</f>
        <v>thulasimanit@bitsathy.ac.in</v>
      </c>
    </row>
    <row r="12">
      <c r="A12" s="144" t="str">
        <f>IFERROR(__xludf.DUMMYFUNCTION("""COMPUTED_VALUE"""),"AIDS")</f>
        <v>AIDS</v>
      </c>
      <c r="B12" s="144" t="str">
        <f>IFERROR(__xludf.DUMMYFUNCTION("""COMPUTED_VALUE"""),"S4")</f>
        <v>S4</v>
      </c>
      <c r="C12" s="144" t="str">
        <f>IFERROR(__xludf.DUMMYFUNCTION("""COMPUTED_VALUE"""),"22AI401")</f>
        <v>22AI401</v>
      </c>
      <c r="D12" s="144" t="str">
        <f>IFERROR(__xludf.DUMMYFUNCTION("""COMPUTED_VALUE"""),"APPLIED LINEAR ALGEBRA")</f>
        <v>APPLIED LINEAR ALGEBRA</v>
      </c>
      <c r="E12" s="144" t="str">
        <f>IFERROR(__xludf.DUMMYFUNCTION("""COMPUTED_VALUE"""),"THEORY")</f>
        <v>THEORY</v>
      </c>
      <c r="F12" s="144" t="str">
        <f>IFERROR(__xludf.DUMMYFUNCTION("""COMPUTED_VALUE"""),"MA11028")</f>
        <v>MA11028</v>
      </c>
      <c r="G12" s="144" t="str">
        <f>IFERROR(__xludf.DUMMYFUNCTION("""COMPUTED_VALUE"""),"Mr.SURESH R")</f>
        <v>Mr.SURESH R</v>
      </c>
      <c r="H12" s="144" t="str">
        <f>IFERROR(__xludf.DUMMYFUNCTION("""COMPUTED_VALUE"""),"sureshr@bitsathy.ac.in")</f>
        <v>sureshr@bitsathy.ac.in</v>
      </c>
    </row>
    <row r="13">
      <c r="A13" s="144" t="str">
        <f>IFERROR(__xludf.DUMMYFUNCTION("""COMPUTED_VALUE"""),"AIDS")</f>
        <v>AIDS</v>
      </c>
      <c r="B13" s="144" t="str">
        <f>IFERROR(__xludf.DUMMYFUNCTION("""COMPUTED_VALUE"""),"S4")</f>
        <v>S4</v>
      </c>
      <c r="C13" s="144" t="str">
        <f>IFERROR(__xludf.DUMMYFUNCTION("""COMPUTED_VALUE"""),"22AI401")</f>
        <v>22AI401</v>
      </c>
      <c r="D13" s="144" t="str">
        <f>IFERROR(__xludf.DUMMYFUNCTION("""COMPUTED_VALUE"""),"APPLIED LINEAR ALGEBRA")</f>
        <v>APPLIED LINEAR ALGEBRA</v>
      </c>
      <c r="E13" s="144" t="str">
        <f>IFERROR(__xludf.DUMMYFUNCTION("""COMPUTED_VALUE"""),"THEORY")</f>
        <v>THEORY</v>
      </c>
      <c r="F13" s="144" t="str">
        <f>IFERROR(__xludf.DUMMYFUNCTION("""COMPUTED_VALUE"""),"MA10763")</f>
        <v>MA10763</v>
      </c>
      <c r="G13" s="144" t="str">
        <f>IFERROR(__xludf.DUMMYFUNCTION("""COMPUTED_VALUE"""),"Dr.REVATHI V M")</f>
        <v>Dr.REVATHI V M</v>
      </c>
      <c r="H13" s="144" t="str">
        <f>IFERROR(__xludf.DUMMYFUNCTION("""COMPUTED_VALUE"""),"revathivm@bitsathy.ac.in")</f>
        <v>revathivm@bitsathy.ac.in</v>
      </c>
    </row>
    <row r="14">
      <c r="A14" s="144" t="str">
        <f>IFERROR(__xludf.DUMMYFUNCTION("""COMPUTED_VALUE"""),"AIDS")</f>
        <v>AIDS</v>
      </c>
      <c r="B14" s="144" t="str">
        <f>IFERROR(__xludf.DUMMYFUNCTION("""COMPUTED_VALUE"""),"S4")</f>
        <v>S4</v>
      </c>
      <c r="C14" s="144" t="str">
        <f>IFERROR(__xludf.DUMMYFUNCTION("""COMPUTED_VALUE"""),"22AI401")</f>
        <v>22AI401</v>
      </c>
      <c r="D14" s="144" t="str">
        <f>IFERROR(__xludf.DUMMYFUNCTION("""COMPUTED_VALUE"""),"APPLIED LINEAR ALGEBRA")</f>
        <v>APPLIED LINEAR ALGEBRA</v>
      </c>
      <c r="E14" s="144" t="str">
        <f>IFERROR(__xludf.DUMMYFUNCTION("""COMPUTED_VALUE"""),"THEORY")</f>
        <v>THEORY</v>
      </c>
      <c r="F14" s="144" t="str">
        <f>IFERROR(__xludf.DUMMYFUNCTION("""COMPUTED_VALUE"""),"MA11122")</f>
        <v>MA11122</v>
      </c>
      <c r="G14" s="144" t="str">
        <f>IFERROR(__xludf.DUMMYFUNCTION("""COMPUTED_VALUE"""),"Dr.AKALYADEVI K")</f>
        <v>Dr.AKALYADEVI K</v>
      </c>
      <c r="H14" s="144" t="str">
        <f>IFERROR(__xludf.DUMMYFUNCTION("""COMPUTED_VALUE"""),"akalyadevi@bitsathy.ac.in")</f>
        <v>akalyadevi@bitsathy.ac.in</v>
      </c>
    </row>
    <row r="15">
      <c r="A15" s="144" t="str">
        <f>IFERROR(__xludf.DUMMYFUNCTION("""COMPUTED_VALUE"""),"AIDS")</f>
        <v>AIDS</v>
      </c>
      <c r="B15" s="144" t="str">
        <f>IFERROR(__xludf.DUMMYFUNCTION("""COMPUTED_VALUE"""),"S4")</f>
        <v>S4</v>
      </c>
      <c r="C15" s="144" t="str">
        <f>IFERROR(__xludf.DUMMYFUNCTION("""COMPUTED_VALUE"""),"22AI402")</f>
        <v>22AI402</v>
      </c>
      <c r="D15" s="144" t="str">
        <f>IFERROR(__xludf.DUMMYFUNCTION("""COMPUTED_VALUE"""),"DATA STRUCTURES II")</f>
        <v>DATA STRUCTURES II</v>
      </c>
      <c r="E15" s="144" t="str">
        <f>IFERROR(__xludf.DUMMYFUNCTION("""COMPUTED_VALUE"""),"THEORY")</f>
        <v>THEORY</v>
      </c>
      <c r="F15" s="144" t="str">
        <f>IFERROR(__xludf.DUMMYFUNCTION("""COMPUTED_VALUE"""),"AD10953")</f>
        <v>AD10953</v>
      </c>
      <c r="G15" s="144" t="str">
        <f>IFERROR(__xludf.DUMMYFUNCTION("""COMPUTED_VALUE"""),"Mr.RAJ KUMAR V S")</f>
        <v>Mr.RAJ KUMAR V S</v>
      </c>
      <c r="H15" s="144" t="str">
        <f>IFERROR(__xludf.DUMMYFUNCTION("""COMPUTED_VALUE"""),"rajkumarvs@bitsathy.ac.in")</f>
        <v>rajkumarvs@bitsathy.ac.in</v>
      </c>
    </row>
    <row r="16">
      <c r="A16" s="144" t="str">
        <f>IFERROR(__xludf.DUMMYFUNCTION("""COMPUTED_VALUE"""),"AIDS")</f>
        <v>AIDS</v>
      </c>
      <c r="B16" s="144" t="str">
        <f>IFERROR(__xludf.DUMMYFUNCTION("""COMPUTED_VALUE"""),"S4")</f>
        <v>S4</v>
      </c>
      <c r="C16" s="144" t="str">
        <f>IFERROR(__xludf.DUMMYFUNCTION("""COMPUTED_VALUE"""),"22AI402")</f>
        <v>22AI402</v>
      </c>
      <c r="D16" s="144" t="str">
        <f>IFERROR(__xludf.DUMMYFUNCTION("""COMPUTED_VALUE"""),"DATA STRUCTURES II")</f>
        <v>DATA STRUCTURES II</v>
      </c>
      <c r="E16" s="144" t="str">
        <f>IFERROR(__xludf.DUMMYFUNCTION("""COMPUTED_VALUE"""),"LAB")</f>
        <v>LAB</v>
      </c>
      <c r="F16" s="144" t="str">
        <f>IFERROR(__xludf.DUMMYFUNCTION("""COMPUTED_VALUE"""),"AD10955")</f>
        <v>AD10955</v>
      </c>
      <c r="G16" s="144" t="str">
        <f>IFERROR(__xludf.DUMMYFUNCTION("""COMPUTED_VALUE"""),"Ms.ESAKKI MADURA E")</f>
        <v>Ms.ESAKKI MADURA E</v>
      </c>
      <c r="H16" s="144" t="str">
        <f>IFERROR(__xludf.DUMMYFUNCTION("""COMPUTED_VALUE"""),"esakkimadurae@bitsathy.ac.in")</f>
        <v>esakkimadurae@bitsathy.ac.in</v>
      </c>
    </row>
    <row r="17">
      <c r="A17" s="144" t="str">
        <f>IFERROR(__xludf.DUMMYFUNCTION("""COMPUTED_VALUE"""),"AIDS")</f>
        <v>AIDS</v>
      </c>
      <c r="B17" s="144" t="str">
        <f>IFERROR(__xludf.DUMMYFUNCTION("""COMPUTED_VALUE"""),"S4")</f>
        <v>S4</v>
      </c>
      <c r="C17" s="144" t="str">
        <f>IFERROR(__xludf.DUMMYFUNCTION("""COMPUTED_VALUE"""),"22AI402")</f>
        <v>22AI402</v>
      </c>
      <c r="D17" s="144" t="str">
        <f>IFERROR(__xludf.DUMMYFUNCTION("""COMPUTED_VALUE"""),"DATA STRUCTURES II")</f>
        <v>DATA STRUCTURES II</v>
      </c>
      <c r="E17" s="144" t="str">
        <f>IFERROR(__xludf.DUMMYFUNCTION("""COMPUTED_VALUE"""),"THEORY WITH LAB")</f>
        <v>THEORY WITH LAB</v>
      </c>
      <c r="F17" s="144" t="str">
        <f>IFERROR(__xludf.DUMMYFUNCTION("""COMPUTED_VALUE"""),"AD11089")</f>
        <v>AD11089</v>
      </c>
      <c r="G17" s="144" t="str">
        <f>IFERROR(__xludf.DUMMYFUNCTION("""COMPUTED_VALUE"""),"Mrs.RESHMI T S")</f>
        <v>Mrs.RESHMI T S</v>
      </c>
      <c r="H17" s="144" t="str">
        <f>IFERROR(__xludf.DUMMYFUNCTION("""COMPUTED_VALUE"""),"reshmits@bitsathy.ac.in")</f>
        <v>reshmits@bitsathy.ac.in</v>
      </c>
    </row>
    <row r="18">
      <c r="A18" s="144" t="str">
        <f>IFERROR(__xludf.DUMMYFUNCTION("""COMPUTED_VALUE"""),"AIDS")</f>
        <v>AIDS</v>
      </c>
      <c r="B18" s="144" t="str">
        <f>IFERROR(__xludf.DUMMYFUNCTION("""COMPUTED_VALUE"""),"S4")</f>
        <v>S4</v>
      </c>
      <c r="C18" s="144" t="str">
        <f>IFERROR(__xludf.DUMMYFUNCTION("""COMPUTED_VALUE"""),"22AI402")</f>
        <v>22AI402</v>
      </c>
      <c r="D18" s="144" t="str">
        <f>IFERROR(__xludf.DUMMYFUNCTION("""COMPUTED_VALUE"""),"DATA STRUCTURES II")</f>
        <v>DATA STRUCTURES II</v>
      </c>
      <c r="E18" s="144" t="str">
        <f>IFERROR(__xludf.DUMMYFUNCTION("""COMPUTED_VALUE"""),"THEORY")</f>
        <v>THEORY</v>
      </c>
      <c r="F18" s="144" t="str">
        <f>IFERROR(__xludf.DUMMYFUNCTION("""COMPUTED_VALUE"""),"AD10928")</f>
        <v>AD10928</v>
      </c>
      <c r="G18" s="144" t="str">
        <f>IFERROR(__xludf.DUMMYFUNCTION("""COMPUTED_VALUE"""),"Mrs.NISHA DEVI K")</f>
        <v>Mrs.NISHA DEVI K</v>
      </c>
      <c r="H18" s="144" t="str">
        <f>IFERROR(__xludf.DUMMYFUNCTION("""COMPUTED_VALUE"""),"nishadevik@bitsathy.ac.in")</f>
        <v>nishadevik@bitsathy.ac.in</v>
      </c>
    </row>
    <row r="19">
      <c r="A19" s="144" t="str">
        <f>IFERROR(__xludf.DUMMYFUNCTION("""COMPUTED_VALUE"""),"AIDS")</f>
        <v>AIDS</v>
      </c>
      <c r="B19" s="144" t="str">
        <f>IFERROR(__xludf.DUMMYFUNCTION("""COMPUTED_VALUE"""),"S4")</f>
        <v>S4</v>
      </c>
      <c r="C19" s="144" t="str">
        <f>IFERROR(__xludf.DUMMYFUNCTION("""COMPUTED_VALUE"""),"22AI402")</f>
        <v>22AI402</v>
      </c>
      <c r="D19" s="144" t="str">
        <f>IFERROR(__xludf.DUMMYFUNCTION("""COMPUTED_VALUE"""),"DATA STRUCTURES II")</f>
        <v>DATA STRUCTURES II</v>
      </c>
      <c r="E19" s="144" t="str">
        <f>IFERROR(__xludf.DUMMYFUNCTION("""COMPUTED_VALUE"""),"LAB")</f>
        <v>LAB</v>
      </c>
      <c r="F19" s="144" t="str">
        <f>IFERROR(__xludf.DUMMYFUNCTION("""COMPUTED_VALUE"""),"AD11041")</f>
        <v>AD11041</v>
      </c>
      <c r="G19" s="144" t="str">
        <f>IFERROR(__xludf.DUMMYFUNCTION("""COMPUTED_VALUE"""),"Mrs.ASHFORN HERMINA J M")</f>
        <v>Mrs.ASHFORN HERMINA J M</v>
      </c>
      <c r="H19" s="144" t="str">
        <f>IFERROR(__xludf.DUMMYFUNCTION("""COMPUTED_VALUE"""),"ashfornherminajm@bitsathy.ac.in")</f>
        <v>ashfornherminajm@bitsathy.ac.in</v>
      </c>
    </row>
    <row r="20">
      <c r="A20" s="144" t="str">
        <f>IFERROR(__xludf.DUMMYFUNCTION("""COMPUTED_VALUE"""),"AIDS")</f>
        <v>AIDS</v>
      </c>
      <c r="B20" s="144" t="str">
        <f>IFERROR(__xludf.DUMMYFUNCTION("""COMPUTED_VALUE"""),"S4")</f>
        <v>S4</v>
      </c>
      <c r="C20" s="144" t="str">
        <f>IFERROR(__xludf.DUMMYFUNCTION("""COMPUTED_VALUE"""),"22AI402")</f>
        <v>22AI402</v>
      </c>
      <c r="D20" s="144" t="str">
        <f>IFERROR(__xludf.DUMMYFUNCTION("""COMPUTED_VALUE"""),"DATA STRUCTURES II")</f>
        <v>DATA STRUCTURES II</v>
      </c>
      <c r="E20" s="144" t="str">
        <f>IFERROR(__xludf.DUMMYFUNCTION("""COMPUTED_VALUE"""),"THEORY WITH LAB")</f>
        <v>THEORY WITH LAB</v>
      </c>
      <c r="F20" s="144" t="str">
        <f>IFERROR(__xludf.DUMMYFUNCTION("""COMPUTED_VALUE"""),"AD11114")</f>
        <v>AD11114</v>
      </c>
      <c r="G20" s="144" t="str">
        <f>IFERROR(__xludf.DUMMYFUNCTION("""COMPUTED_VALUE"""),"Mrs.MANJU M")</f>
        <v>Mrs.MANJU M</v>
      </c>
      <c r="H20" s="144" t="str">
        <f>IFERROR(__xludf.DUMMYFUNCTION("""COMPUTED_VALUE"""),"manju@bitsathy.ac.in")</f>
        <v>manju@bitsathy.ac.in</v>
      </c>
    </row>
    <row r="21">
      <c r="A21" s="144" t="str">
        <f>IFERROR(__xludf.DUMMYFUNCTION("""COMPUTED_VALUE"""),"AIDS")</f>
        <v>AIDS</v>
      </c>
      <c r="B21" s="144" t="str">
        <f>IFERROR(__xludf.DUMMYFUNCTION("""COMPUTED_VALUE"""),"S4")</f>
        <v>S4</v>
      </c>
      <c r="C21" s="144" t="str">
        <f>IFERROR(__xludf.DUMMYFUNCTION("""COMPUTED_VALUE"""),"22AI403")</f>
        <v>22AI403</v>
      </c>
      <c r="D21" s="144" t="str">
        <f>IFERROR(__xludf.DUMMYFUNCTION("""COMPUTED_VALUE"""),"OPERATING SYSTEMS")</f>
        <v>OPERATING SYSTEMS</v>
      </c>
      <c r="E21" s="144" t="str">
        <f>IFERROR(__xludf.DUMMYFUNCTION("""COMPUTED_VALUE"""),"THEORY")</f>
        <v>THEORY</v>
      </c>
      <c r="F21" s="144" t="str">
        <f>IFERROR(__xludf.DUMMYFUNCTION("""COMPUTED_VALUE"""),"AD10628")</f>
        <v>AD10628</v>
      </c>
      <c r="G21" s="144" t="str">
        <f>IFERROR(__xludf.DUMMYFUNCTION("""COMPUTED_VALUE"""),"Dr.ARUN KUMAR R")</f>
        <v>Dr.ARUN KUMAR R</v>
      </c>
      <c r="H21" s="144" t="str">
        <f>IFERROR(__xludf.DUMMYFUNCTION("""COMPUTED_VALUE"""),"arunkumarr@bitsathy.ac.in")</f>
        <v>arunkumarr@bitsathy.ac.in</v>
      </c>
    </row>
    <row r="22">
      <c r="A22" s="144" t="str">
        <f>IFERROR(__xludf.DUMMYFUNCTION("""COMPUTED_VALUE"""),"AIDS")</f>
        <v>AIDS</v>
      </c>
      <c r="B22" s="144" t="str">
        <f>IFERROR(__xludf.DUMMYFUNCTION("""COMPUTED_VALUE"""),"S4")</f>
        <v>S4</v>
      </c>
      <c r="C22" s="144" t="str">
        <f>IFERROR(__xludf.DUMMYFUNCTION("""COMPUTED_VALUE"""),"22AI403")</f>
        <v>22AI403</v>
      </c>
      <c r="D22" s="144" t="str">
        <f>IFERROR(__xludf.DUMMYFUNCTION("""COMPUTED_VALUE"""),"OPERATING SYSTEMS")</f>
        <v>OPERATING SYSTEMS</v>
      </c>
      <c r="E22" s="144" t="str">
        <f>IFERROR(__xludf.DUMMYFUNCTION("""COMPUTED_VALUE"""),"THEORY")</f>
        <v>THEORY</v>
      </c>
      <c r="F22" s="144" t="str">
        <f>IFERROR(__xludf.DUMMYFUNCTION("""COMPUTED_VALUE"""),"AD10818")</f>
        <v>AD10818</v>
      </c>
      <c r="G22" s="144" t="str">
        <f>IFERROR(__xludf.DUMMYFUNCTION("""COMPUTED_VALUE"""),"Dr.ESWARAMOORTHY V")</f>
        <v>Dr.ESWARAMOORTHY V</v>
      </c>
      <c r="H22" s="144" t="str">
        <f>IFERROR(__xludf.DUMMYFUNCTION("""COMPUTED_VALUE"""),"eswaramoorthyv@bitsathy.ac.in")</f>
        <v>eswaramoorthyv@bitsathy.ac.in</v>
      </c>
    </row>
    <row r="23">
      <c r="A23" s="144" t="str">
        <f>IFERROR(__xludf.DUMMYFUNCTION("""COMPUTED_VALUE"""),"AIDS")</f>
        <v>AIDS</v>
      </c>
      <c r="B23" s="144" t="str">
        <f>IFERROR(__xludf.DUMMYFUNCTION("""COMPUTED_VALUE"""),"S4")</f>
        <v>S4</v>
      </c>
      <c r="C23" s="144" t="str">
        <f>IFERROR(__xludf.DUMMYFUNCTION("""COMPUTED_VALUE"""),"22AI403")</f>
        <v>22AI403</v>
      </c>
      <c r="D23" s="144" t="str">
        <f>IFERROR(__xludf.DUMMYFUNCTION("""COMPUTED_VALUE"""),"OPERATING SYSTEMS")</f>
        <v>OPERATING SYSTEMS</v>
      </c>
      <c r="E23" s="144" t="str">
        <f>IFERROR(__xludf.DUMMYFUNCTION("""COMPUTED_VALUE"""),"THEORY")</f>
        <v>THEORY</v>
      </c>
      <c r="F23" s="144" t="str">
        <f>IFERROR(__xludf.DUMMYFUNCTION("""COMPUTED_VALUE"""),"AD11068")</f>
        <v>AD11068</v>
      </c>
      <c r="G23" s="144" t="str">
        <f>IFERROR(__xludf.DUMMYFUNCTION("""COMPUTED_VALUE"""),"Ms.BENITA GRACIA THANGAM J")</f>
        <v>Ms.BENITA GRACIA THANGAM J</v>
      </c>
      <c r="H23" s="144" t="str">
        <f>IFERROR(__xludf.DUMMYFUNCTION("""COMPUTED_VALUE"""),"benitagraciathangam@bitsathy.ac.in")</f>
        <v>benitagraciathangam@bitsathy.ac.in</v>
      </c>
    </row>
    <row r="24">
      <c r="A24" s="144" t="str">
        <f>IFERROR(__xludf.DUMMYFUNCTION("""COMPUTED_VALUE"""),"AIDS")</f>
        <v>AIDS</v>
      </c>
      <c r="B24" s="144" t="str">
        <f>IFERROR(__xludf.DUMMYFUNCTION("""COMPUTED_VALUE"""),"S4")</f>
        <v>S4</v>
      </c>
      <c r="C24" s="144" t="str">
        <f>IFERROR(__xludf.DUMMYFUNCTION("""COMPUTED_VALUE"""),"22AI403")</f>
        <v>22AI403</v>
      </c>
      <c r="D24" s="144" t="str">
        <f>IFERROR(__xludf.DUMMYFUNCTION("""COMPUTED_VALUE"""),"OPERATING SYSTEMS")</f>
        <v>OPERATING SYSTEMS</v>
      </c>
      <c r="E24" s="144" t="str">
        <f>IFERROR(__xludf.DUMMYFUNCTION("""COMPUTED_VALUE"""),"THEORY")</f>
        <v>THEORY</v>
      </c>
      <c r="F24" s="144" t="str">
        <f>IFERROR(__xludf.DUMMYFUNCTION("""COMPUTED_VALUE"""),"AD11164")</f>
        <v>AD11164</v>
      </c>
      <c r="G24" s="144" t="str">
        <f>IFERROR(__xludf.DUMMYFUNCTION("""COMPUTED_VALUE"""),"Mr.SASSON TAFFWIN MOSES S")</f>
        <v>Mr.SASSON TAFFWIN MOSES S</v>
      </c>
      <c r="H24" s="144" t="str">
        <f>IFERROR(__xludf.DUMMYFUNCTION("""COMPUTED_VALUE"""),"sassontaffwinmosess@bitsathy.ac.in")</f>
        <v>sassontaffwinmosess@bitsathy.ac.in</v>
      </c>
    </row>
    <row r="25">
      <c r="A25" s="144" t="str">
        <f>IFERROR(__xludf.DUMMYFUNCTION("""COMPUTED_VALUE"""),"AIDS")</f>
        <v>AIDS</v>
      </c>
      <c r="B25" s="144" t="str">
        <f>IFERROR(__xludf.DUMMYFUNCTION("""COMPUTED_VALUE"""),"S4")</f>
        <v>S4</v>
      </c>
      <c r="C25" s="144" t="str">
        <f>IFERROR(__xludf.DUMMYFUNCTION("""COMPUTED_VALUE"""),"22AI404")</f>
        <v>22AI404</v>
      </c>
      <c r="D25" s="144" t="str">
        <f>IFERROR(__xludf.DUMMYFUNCTION("""COMPUTED_VALUE"""),"WEB TECHNOLOGY AND FRAMEWORKS")</f>
        <v>WEB TECHNOLOGY AND FRAMEWORKS</v>
      </c>
      <c r="E25" s="144" t="str">
        <f>IFERROR(__xludf.DUMMYFUNCTION("""COMPUTED_VALUE"""),"LAB")</f>
        <v>LAB</v>
      </c>
      <c r="F25" s="144" t="str">
        <f>IFERROR(__xludf.DUMMYFUNCTION("""COMPUTED_VALUE"""),"AD11019")</f>
        <v>AD11019</v>
      </c>
      <c r="G25" s="144" t="str">
        <f>IFERROR(__xludf.DUMMYFUNCTION("""COMPUTED_VALUE"""),"Mrs.KIRUTHIGA R")</f>
        <v>Mrs.KIRUTHIGA R</v>
      </c>
      <c r="H25" s="144" t="str">
        <f>IFERROR(__xludf.DUMMYFUNCTION("""COMPUTED_VALUE"""),"kiruthigar@bitsathy.ac.in")</f>
        <v>kiruthigar@bitsathy.ac.in</v>
      </c>
    </row>
    <row r="26">
      <c r="A26" s="144" t="str">
        <f>IFERROR(__xludf.DUMMYFUNCTION("""COMPUTED_VALUE"""),"AIDS")</f>
        <v>AIDS</v>
      </c>
      <c r="B26" s="144" t="str">
        <f>IFERROR(__xludf.DUMMYFUNCTION("""COMPUTED_VALUE"""),"S4")</f>
        <v>S4</v>
      </c>
      <c r="C26" s="144" t="str">
        <f>IFERROR(__xludf.DUMMYFUNCTION("""COMPUTED_VALUE"""),"22AI404")</f>
        <v>22AI404</v>
      </c>
      <c r="D26" s="144" t="str">
        <f>IFERROR(__xludf.DUMMYFUNCTION("""COMPUTED_VALUE"""),"WEB TECHNOLOGY AND FRAMEWORKS")</f>
        <v>WEB TECHNOLOGY AND FRAMEWORKS</v>
      </c>
      <c r="E26" s="144" t="str">
        <f>IFERROR(__xludf.DUMMYFUNCTION("""COMPUTED_VALUE"""),"THEORY")</f>
        <v>THEORY</v>
      </c>
      <c r="F26" s="144" t="str">
        <f>IFERROR(__xludf.DUMMYFUNCTION("""COMPUTED_VALUE"""),"AD11193")</f>
        <v>AD11193</v>
      </c>
      <c r="G26" s="144" t="str">
        <f>IFERROR(__xludf.DUMMYFUNCTION("""COMPUTED_VALUE"""),"Mr.NAVANEETH KUMAR K")</f>
        <v>Mr.NAVANEETH KUMAR K</v>
      </c>
      <c r="H26" s="144" t="str">
        <f>IFERROR(__xludf.DUMMYFUNCTION("""COMPUTED_VALUE"""),"navaneethkumark@bitsathy.ac.in")</f>
        <v>navaneethkumark@bitsathy.ac.in</v>
      </c>
    </row>
    <row r="27">
      <c r="A27" s="144" t="str">
        <f>IFERROR(__xludf.DUMMYFUNCTION("""COMPUTED_VALUE"""),"AIDS")</f>
        <v>AIDS</v>
      </c>
      <c r="B27" s="144" t="str">
        <f>IFERROR(__xludf.DUMMYFUNCTION("""COMPUTED_VALUE"""),"S4")</f>
        <v>S4</v>
      </c>
      <c r="C27" s="144" t="str">
        <f>IFERROR(__xludf.DUMMYFUNCTION("""COMPUTED_VALUE"""),"22AI404")</f>
        <v>22AI404</v>
      </c>
      <c r="D27" s="144" t="str">
        <f>IFERROR(__xludf.DUMMYFUNCTION("""COMPUTED_VALUE"""),"WEB TECHNOLOGY AND FRAMEWORKS")</f>
        <v>WEB TECHNOLOGY AND FRAMEWORKS</v>
      </c>
      <c r="E27" s="144" t="str">
        <f>IFERROR(__xludf.DUMMYFUNCTION("""COMPUTED_VALUE"""),"THEORY WITH LAB")</f>
        <v>THEORY WITH LAB</v>
      </c>
      <c r="F27" s="144" t="str">
        <f>IFERROR(__xludf.DUMMYFUNCTION("""COMPUTED_VALUE"""),"AD11026")</f>
        <v>AD11026</v>
      </c>
      <c r="G27" s="144" t="str">
        <f>IFERROR(__xludf.DUMMYFUNCTION("""COMPUTED_VALUE"""),"Mr.CHOZHARAJAN P")</f>
        <v>Mr.CHOZHARAJAN P</v>
      </c>
      <c r="H27" s="144" t="str">
        <f>IFERROR(__xludf.DUMMYFUNCTION("""COMPUTED_VALUE"""),"chozharajanp@bitsathy.ac.in")</f>
        <v>chozharajanp@bitsathy.ac.in</v>
      </c>
    </row>
    <row r="28">
      <c r="A28" s="144" t="str">
        <f>IFERROR(__xludf.DUMMYFUNCTION("""COMPUTED_VALUE"""),"AIDS")</f>
        <v>AIDS</v>
      </c>
      <c r="B28" s="144" t="str">
        <f>IFERROR(__xludf.DUMMYFUNCTION("""COMPUTED_VALUE"""),"S4")</f>
        <v>S4</v>
      </c>
      <c r="C28" s="144" t="str">
        <f>IFERROR(__xludf.DUMMYFUNCTION("""COMPUTED_VALUE"""),"22AI404")</f>
        <v>22AI404</v>
      </c>
      <c r="D28" s="144" t="str">
        <f>IFERROR(__xludf.DUMMYFUNCTION("""COMPUTED_VALUE"""),"WEB TECHNOLOGY AND FRAMEWORKS")</f>
        <v>WEB TECHNOLOGY AND FRAMEWORKS</v>
      </c>
      <c r="E28" s="144" t="str">
        <f>IFERROR(__xludf.DUMMYFUNCTION("""COMPUTED_VALUE"""),"THEORY WITH LAB")</f>
        <v>THEORY WITH LAB</v>
      </c>
      <c r="F28" s="144" t="str">
        <f>IFERROR(__xludf.DUMMYFUNCTION("""COMPUTED_VALUE"""),"AD11023")</f>
        <v>AD11023</v>
      </c>
      <c r="G28" s="144" t="str">
        <f>IFERROR(__xludf.DUMMYFUNCTION("""COMPUTED_VALUE"""),"Mrs.VAANATHI S")</f>
        <v>Mrs.VAANATHI S</v>
      </c>
      <c r="H28" s="144" t="str">
        <f>IFERROR(__xludf.DUMMYFUNCTION("""COMPUTED_VALUE"""),"vaanathi@bitsathy.ac.in")</f>
        <v>vaanathi@bitsathy.ac.in</v>
      </c>
    </row>
    <row r="29">
      <c r="A29" s="144" t="str">
        <f>IFERROR(__xludf.DUMMYFUNCTION("""COMPUTED_VALUE"""),"AIDS")</f>
        <v>AIDS</v>
      </c>
      <c r="B29" s="144" t="str">
        <f>IFERROR(__xludf.DUMMYFUNCTION("""COMPUTED_VALUE"""),"S4")</f>
        <v>S4</v>
      </c>
      <c r="C29" s="144" t="str">
        <f>IFERROR(__xludf.DUMMYFUNCTION("""COMPUTED_VALUE"""),"22AI404")</f>
        <v>22AI404</v>
      </c>
      <c r="D29" s="144" t="str">
        <f>IFERROR(__xludf.DUMMYFUNCTION("""COMPUTED_VALUE"""),"WEB TECHNOLOGY AND FRAMEWORKS")</f>
        <v>WEB TECHNOLOGY AND FRAMEWORKS</v>
      </c>
      <c r="E29" s="144" t="str">
        <f>IFERROR(__xludf.DUMMYFUNCTION("""COMPUTED_VALUE"""),"THEORY WITH LAB")</f>
        <v>THEORY WITH LAB</v>
      </c>
      <c r="F29" s="144" t="str">
        <f>IFERROR(__xludf.DUMMYFUNCTION("""COMPUTED_VALUE"""),"AD11104")</f>
        <v>AD11104</v>
      </c>
      <c r="G29" s="144" t="str">
        <f>IFERROR(__xludf.DUMMYFUNCTION("""COMPUTED_VALUE"""),"Mrs.KALPANA R")</f>
        <v>Mrs.KALPANA R</v>
      </c>
      <c r="H29" s="144" t="str">
        <f>IFERROR(__xludf.DUMMYFUNCTION("""COMPUTED_VALUE"""),"kalpana@bitsathy.ac.in")</f>
        <v>kalpana@bitsathy.ac.in</v>
      </c>
    </row>
    <row r="30">
      <c r="A30" s="144" t="str">
        <f>IFERROR(__xludf.DUMMYFUNCTION("""COMPUTED_VALUE"""),"AIDS")</f>
        <v>AIDS</v>
      </c>
      <c r="B30" s="144" t="str">
        <f>IFERROR(__xludf.DUMMYFUNCTION("""COMPUTED_VALUE"""),"S4")</f>
        <v>S4</v>
      </c>
      <c r="C30" s="144" t="str">
        <f>IFERROR(__xludf.DUMMYFUNCTION("""COMPUTED_VALUE"""),"22AI405")</f>
        <v>22AI405</v>
      </c>
      <c r="D30" s="144" t="str">
        <f>IFERROR(__xludf.DUMMYFUNCTION("""COMPUTED_VALUE"""),"DATABASE MANAGEMENT SYSTEM")</f>
        <v>DATABASE MANAGEMENT SYSTEM</v>
      </c>
      <c r="E30" s="144" t="str">
        <f>IFERROR(__xludf.DUMMYFUNCTION("""COMPUTED_VALUE"""),"THEORY WITH LAB")</f>
        <v>THEORY WITH LAB</v>
      </c>
      <c r="F30" s="144" t="str">
        <f>IFERROR(__xludf.DUMMYFUNCTION("""COMPUTED_VALUE"""),"AD10838")</f>
        <v>AD10838</v>
      </c>
      <c r="G30" s="144" t="str">
        <f>IFERROR(__xludf.DUMMYFUNCTION("""COMPUTED_VALUE"""),"Mrs.NITHYAPRIYA S")</f>
        <v>Mrs.NITHYAPRIYA S</v>
      </c>
      <c r="H30" s="144" t="str">
        <f>IFERROR(__xludf.DUMMYFUNCTION("""COMPUTED_VALUE"""),"nithyapriyas@bitsathy.ac.in")</f>
        <v>nithyapriyas@bitsathy.ac.in</v>
      </c>
    </row>
    <row r="31">
      <c r="A31" s="144" t="str">
        <f>IFERROR(__xludf.DUMMYFUNCTION("""COMPUTED_VALUE"""),"AIDS")</f>
        <v>AIDS</v>
      </c>
      <c r="B31" s="144" t="str">
        <f>IFERROR(__xludf.DUMMYFUNCTION("""COMPUTED_VALUE"""),"S4")</f>
        <v>S4</v>
      </c>
      <c r="C31" s="144" t="str">
        <f>IFERROR(__xludf.DUMMYFUNCTION("""COMPUTED_VALUE"""),"22AI405")</f>
        <v>22AI405</v>
      </c>
      <c r="D31" s="144" t="str">
        <f>IFERROR(__xludf.DUMMYFUNCTION("""COMPUTED_VALUE"""),"DATABASE MANAGEMENT SYSTEM")</f>
        <v>DATABASE MANAGEMENT SYSTEM</v>
      </c>
      <c r="E31" s="144" t="str">
        <f>IFERROR(__xludf.DUMMYFUNCTION("""COMPUTED_VALUE"""),"THEORY WITH LAB")</f>
        <v>THEORY WITH LAB</v>
      </c>
      <c r="F31" s="144" t="str">
        <f>IFERROR(__xludf.DUMMYFUNCTION("""COMPUTED_VALUE"""),"AD11096")</f>
        <v>AD11096</v>
      </c>
      <c r="G31" s="144" t="str">
        <f>IFERROR(__xludf.DUMMYFUNCTION("""COMPUTED_VALUE"""),"Dr.SUBBULAKSHMI M")</f>
        <v>Dr.SUBBULAKSHMI M</v>
      </c>
      <c r="H31" s="144" t="str">
        <f>IFERROR(__xludf.DUMMYFUNCTION("""COMPUTED_VALUE"""),"subbulakshmi@bitsathy.ac.in")</f>
        <v>subbulakshmi@bitsathy.ac.in</v>
      </c>
    </row>
    <row r="32">
      <c r="A32" s="144" t="str">
        <f>IFERROR(__xludf.DUMMYFUNCTION("""COMPUTED_VALUE"""),"AIDS")</f>
        <v>AIDS</v>
      </c>
      <c r="B32" s="144" t="str">
        <f>IFERROR(__xludf.DUMMYFUNCTION("""COMPUTED_VALUE"""),"S4")</f>
        <v>S4</v>
      </c>
      <c r="C32" s="144" t="str">
        <f>IFERROR(__xludf.DUMMYFUNCTION("""COMPUTED_VALUE"""),"22AI405")</f>
        <v>22AI405</v>
      </c>
      <c r="D32" s="144" t="str">
        <f>IFERROR(__xludf.DUMMYFUNCTION("""COMPUTED_VALUE"""),"DATABASE MANAGEMENT SYSTEM")</f>
        <v>DATABASE MANAGEMENT SYSTEM</v>
      </c>
      <c r="E32" s="144" t="str">
        <f>IFERROR(__xludf.DUMMYFUNCTION("""COMPUTED_VALUE"""),"THEORY WITH LAB")</f>
        <v>THEORY WITH LAB</v>
      </c>
      <c r="F32" s="144" t="str">
        <f>IFERROR(__xludf.DUMMYFUNCTION("""COMPUTED_VALUE"""),"AD11016")</f>
        <v>AD11016</v>
      </c>
      <c r="G32" s="144" t="str">
        <f>IFERROR(__xludf.DUMMYFUNCTION("""COMPUTED_VALUE"""),"Mr.SATHEESHKUMAR S")</f>
        <v>Mr.SATHEESHKUMAR S</v>
      </c>
      <c r="H32" s="144" t="str">
        <f>IFERROR(__xludf.DUMMYFUNCTION("""COMPUTED_VALUE"""),"satheeshkumars@bitsathy.ac.in")</f>
        <v>satheeshkumars@bitsathy.ac.in</v>
      </c>
    </row>
    <row r="33">
      <c r="A33" s="144" t="str">
        <f>IFERROR(__xludf.DUMMYFUNCTION("""COMPUTED_VALUE"""),"AIDS")</f>
        <v>AIDS</v>
      </c>
      <c r="B33" s="144" t="str">
        <f>IFERROR(__xludf.DUMMYFUNCTION("""COMPUTED_VALUE"""),"S4")</f>
        <v>S4</v>
      </c>
      <c r="C33" s="144" t="str">
        <f>IFERROR(__xludf.DUMMYFUNCTION("""COMPUTED_VALUE"""),"22AI405")</f>
        <v>22AI405</v>
      </c>
      <c r="D33" s="144" t="str">
        <f>IFERROR(__xludf.DUMMYFUNCTION("""COMPUTED_VALUE"""),"DATABASE MANAGEMENT SYSTEM")</f>
        <v>DATABASE MANAGEMENT SYSTEM</v>
      </c>
      <c r="E33" s="144" t="str">
        <f>IFERROR(__xludf.DUMMYFUNCTION("""COMPUTED_VALUE"""),"THEORY WITH LAB")</f>
        <v>THEORY WITH LAB</v>
      </c>
      <c r="F33" s="144" t="str">
        <f>IFERROR(__xludf.DUMMYFUNCTION("""COMPUTED_VALUE"""),"AD10931")</f>
        <v>AD10931</v>
      </c>
      <c r="G33" s="144" t="str">
        <f>IFERROR(__xludf.DUMMYFUNCTION("""COMPUTED_VALUE"""),"Mr.BALASAMY K")</f>
        <v>Mr.BALASAMY K</v>
      </c>
      <c r="H33" s="144" t="str">
        <f>IFERROR(__xludf.DUMMYFUNCTION("""COMPUTED_VALUE"""),"balasamyk@bitsathy.ac.in")</f>
        <v>balasamyk@bitsathy.ac.in</v>
      </c>
    </row>
    <row r="34">
      <c r="A34" s="144" t="str">
        <f>IFERROR(__xludf.DUMMYFUNCTION("""COMPUTED_VALUE"""),"AIDS")</f>
        <v>AIDS</v>
      </c>
      <c r="B34" s="144" t="str">
        <f>IFERROR(__xludf.DUMMYFUNCTION("""COMPUTED_VALUE"""),"S4")</f>
        <v>S4</v>
      </c>
      <c r="C34" s="144" t="str">
        <f>IFERROR(__xludf.DUMMYFUNCTION("""COMPUTED_VALUE"""),"22AI043")</f>
        <v>22AI043</v>
      </c>
      <c r="D34" s="144" t="str">
        <f>IFERROR(__xludf.DUMMYFUNCTION("""COMPUTED_VALUE"""),"PYTHON FOR DATA SCIENCE")</f>
        <v>PYTHON FOR DATA SCIENCE</v>
      </c>
      <c r="E34" s="144" t="str">
        <f>IFERROR(__xludf.DUMMYFUNCTION("""COMPUTED_VALUE"""),"THEORY")</f>
        <v>THEORY</v>
      </c>
      <c r="F34" s="144" t="str">
        <f>IFERROR(__xludf.DUMMYFUNCTION("""COMPUTED_VALUE"""),"AD1444")</f>
        <v>AD1444</v>
      </c>
      <c r="G34" s="144" t="str">
        <f>IFERROR(__xludf.DUMMYFUNCTION("""COMPUTED_VALUE"""),"Dr.GOMATHI R")</f>
        <v>Dr.GOMATHI R</v>
      </c>
      <c r="H34" s="144" t="str">
        <f>IFERROR(__xludf.DUMMYFUNCTION("""COMPUTED_VALUE"""),"gomathir@bitsathy.ac.in")</f>
        <v>gomathir@bitsathy.ac.in</v>
      </c>
    </row>
    <row r="35">
      <c r="A35" s="144" t="str">
        <f>IFERROR(__xludf.DUMMYFUNCTION("""COMPUTED_VALUE"""),"AIDS")</f>
        <v>AIDS</v>
      </c>
      <c r="B35" s="144" t="str">
        <f>IFERROR(__xludf.DUMMYFUNCTION("""COMPUTED_VALUE"""),"S4")</f>
        <v>S4</v>
      </c>
      <c r="C35" s="144" t="str">
        <f>IFERROR(__xludf.DUMMYFUNCTION("""COMPUTED_VALUE"""),"22AI043")</f>
        <v>22AI043</v>
      </c>
      <c r="D35" s="144" t="str">
        <f>IFERROR(__xludf.DUMMYFUNCTION("""COMPUTED_VALUE"""),"PYTHON FOR DATA SCIENCE")</f>
        <v>PYTHON FOR DATA SCIENCE</v>
      </c>
      <c r="E35" s="144" t="str">
        <f>IFERROR(__xludf.DUMMYFUNCTION("""COMPUTED_VALUE"""),"THEORY")</f>
        <v>THEORY</v>
      </c>
      <c r="F35" s="144" t="str">
        <f>IFERROR(__xludf.DUMMYFUNCTION("""COMPUTED_VALUE"""),"AD11111")</f>
        <v>AD11111</v>
      </c>
      <c r="G35" s="144" t="str">
        <f>IFERROR(__xludf.DUMMYFUNCTION("""COMPUTED_VALUE"""),"Ms.SURIYA V")</f>
        <v>Ms.SURIYA V</v>
      </c>
      <c r="H35" s="144" t="str">
        <f>IFERROR(__xludf.DUMMYFUNCTION("""COMPUTED_VALUE"""),"suriya@bitsathy.ac.in")</f>
        <v>suriya@bitsathy.ac.in</v>
      </c>
    </row>
    <row r="36">
      <c r="A36" s="144" t="str">
        <f>IFERROR(__xludf.DUMMYFUNCTION("""COMPUTED_VALUE"""),"AIDS")</f>
        <v>AIDS</v>
      </c>
      <c r="B36" s="144" t="str">
        <f>IFERROR(__xludf.DUMMYFUNCTION("""COMPUTED_VALUE"""),"S4")</f>
        <v>S4</v>
      </c>
      <c r="C36" s="144" t="str">
        <f>IFERROR(__xludf.DUMMYFUNCTION("""COMPUTED_VALUE"""),"22AI002")</f>
        <v>22AI002</v>
      </c>
      <c r="D36" s="144" t="str">
        <f>IFERROR(__xludf.DUMMYFUNCTION("""COMPUTED_VALUE"""),"UI AND UX DESIGN")</f>
        <v>UI AND UX DESIGN</v>
      </c>
      <c r="E36" s="144" t="str">
        <f>IFERROR(__xludf.DUMMYFUNCTION("""COMPUTED_VALUE"""),"THEORY")</f>
        <v>THEORY</v>
      </c>
      <c r="F36" s="144" t="str">
        <f>IFERROR(__xludf.DUMMYFUNCTION("""COMPUTED_VALUE"""),"AD1108")</f>
        <v>AD1108</v>
      </c>
      <c r="G36" s="144" t="str">
        <f>IFERROR(__xludf.DUMMYFUNCTION("""COMPUTED_VALUE"""),"Dr.SUNDARA MURTHY S")</f>
        <v>Dr.SUNDARA MURTHY S</v>
      </c>
      <c r="H36" s="144" t="str">
        <f>IFERROR(__xludf.DUMMYFUNCTION("""COMPUTED_VALUE"""),"sundaramurthys@bitsathy.ac.in")</f>
        <v>sundaramurthys@bitsathy.ac.in</v>
      </c>
    </row>
    <row r="37">
      <c r="A37" s="144" t="str">
        <f>IFERROR(__xludf.DUMMYFUNCTION("""COMPUTED_VALUE"""),"AIDS")</f>
        <v>AIDS</v>
      </c>
      <c r="B37" s="144" t="str">
        <f>IFERROR(__xludf.DUMMYFUNCTION("""COMPUTED_VALUE"""),"S4")</f>
        <v>S4</v>
      </c>
      <c r="C37" s="144" t="str">
        <f>IFERROR(__xludf.DUMMYFUNCTION("""COMPUTED_VALUE"""),"22AI002")</f>
        <v>22AI002</v>
      </c>
      <c r="D37" s="144" t="str">
        <f>IFERROR(__xludf.DUMMYFUNCTION("""COMPUTED_VALUE"""),"UI AND UX DESIGN")</f>
        <v>UI AND UX DESIGN</v>
      </c>
      <c r="E37" s="144" t="str">
        <f>IFERROR(__xludf.DUMMYFUNCTION("""COMPUTED_VALUE"""),"THEORY")</f>
        <v>THEORY</v>
      </c>
      <c r="F37" s="144" t="str">
        <f>IFERROR(__xludf.DUMMYFUNCTION("""COMPUTED_VALUE"""),"AD11009")</f>
        <v>AD11009</v>
      </c>
      <c r="G37" s="144" t="str">
        <f>IFERROR(__xludf.DUMMYFUNCTION("""COMPUTED_VALUE"""),"Mrs.DIVYABARATHI P")</f>
        <v>Mrs.DIVYABARATHI P</v>
      </c>
      <c r="H37" s="144" t="str">
        <f>IFERROR(__xludf.DUMMYFUNCTION("""COMPUTED_VALUE"""),"divyabarathip@bitsathy.ac.in")</f>
        <v>divyabarathip@bitsathy.ac.in</v>
      </c>
    </row>
    <row r="38">
      <c r="A38" s="144" t="str">
        <f>IFERROR(__xludf.DUMMYFUNCTION("""COMPUTED_VALUE"""),"AIDS")</f>
        <v>AIDS</v>
      </c>
      <c r="B38" s="144" t="str">
        <f>IFERROR(__xludf.DUMMYFUNCTION("""COMPUTED_VALUE"""),"S4")</f>
        <v>S4</v>
      </c>
      <c r="C38" s="144" t="str">
        <f>IFERROR(__xludf.DUMMYFUNCTION("""COMPUTED_VALUE"""),"22HS007")</f>
        <v>22HS007</v>
      </c>
      <c r="D38" s="144" t="str">
        <f>IFERROR(__xludf.DUMMYFUNCTION("""COMPUTED_VALUE"""),"ENVIRONMENTAL SCIENCE")</f>
        <v>ENVIRONMENTAL SCIENCE</v>
      </c>
      <c r="E38" s="144" t="str">
        <f>IFERROR(__xludf.DUMMYFUNCTION("""COMPUTED_VALUE"""),"LAB")</f>
        <v>LAB</v>
      </c>
      <c r="F38" s="144" t="str">
        <f>IFERROR(__xludf.DUMMYFUNCTION("""COMPUTED_VALUE"""),"CH1894")</f>
        <v>CH1894</v>
      </c>
      <c r="G38" s="144" t="str">
        <f>IFERROR(__xludf.DUMMYFUNCTION("""COMPUTED_VALUE"""),"Dr.MALATHI MAHALINGAM")</f>
        <v>Dr.MALATHI MAHALINGAM</v>
      </c>
      <c r="H38" s="144" t="str">
        <f>IFERROR(__xludf.DUMMYFUNCTION("""COMPUTED_VALUE"""),"malathimahalingamm@bitsathy.ac.in")</f>
        <v>malathimahalingamm@bitsathy.ac.in</v>
      </c>
    </row>
    <row r="39">
      <c r="A39" s="144" t="str">
        <f>IFERROR(__xludf.DUMMYFUNCTION("""COMPUTED_VALUE"""),"AIDS")</f>
        <v>AIDS</v>
      </c>
      <c r="B39" s="144" t="str">
        <f>IFERROR(__xludf.DUMMYFUNCTION("""COMPUTED_VALUE"""),"S4")</f>
        <v>S4</v>
      </c>
      <c r="C39" s="144" t="str">
        <f>IFERROR(__xludf.DUMMYFUNCTION("""COMPUTED_VALUE"""),"22HS007")</f>
        <v>22HS007</v>
      </c>
      <c r="D39" s="144" t="str">
        <f>IFERROR(__xludf.DUMMYFUNCTION("""COMPUTED_VALUE"""),"ENVIRONMENTAL SCIENCE")</f>
        <v>ENVIRONMENTAL SCIENCE</v>
      </c>
      <c r="E39" s="144" t="str">
        <f>IFERROR(__xludf.DUMMYFUNCTION("""COMPUTED_VALUE"""),"LAB")</f>
        <v>LAB</v>
      </c>
      <c r="F39" s="144" t="str">
        <f>IFERROR(__xludf.DUMMYFUNCTION("""COMPUTED_VALUE"""),"CH1557")</f>
        <v>CH1557</v>
      </c>
      <c r="G39" s="144" t="str">
        <f>IFERROR(__xludf.DUMMYFUNCTION("""COMPUTED_VALUE"""),"Dr.VIJAYANAND P S")</f>
        <v>Dr.VIJAYANAND P S</v>
      </c>
      <c r="H39" s="144" t="str">
        <f>IFERROR(__xludf.DUMMYFUNCTION("""COMPUTED_VALUE"""),"vijayanandps@bitsathy.ac.in")</f>
        <v>vijayanandps@bitsathy.ac.in</v>
      </c>
    </row>
    <row r="40">
      <c r="A40" s="144" t="str">
        <f>IFERROR(__xludf.DUMMYFUNCTION("""COMPUTED_VALUE"""),"AIDS")</f>
        <v>AIDS</v>
      </c>
      <c r="B40" s="144" t="str">
        <f>IFERROR(__xludf.DUMMYFUNCTION("""COMPUTED_VALUE"""),"S4")</f>
        <v>S4</v>
      </c>
      <c r="C40" s="144" t="str">
        <f>IFERROR(__xludf.DUMMYFUNCTION("""COMPUTED_VALUE"""),"22HS007")</f>
        <v>22HS007</v>
      </c>
      <c r="D40" s="144" t="str">
        <f>IFERROR(__xludf.DUMMYFUNCTION("""COMPUTED_VALUE"""),"ENVIRONMENTAL SCIENCE")</f>
        <v>ENVIRONMENTAL SCIENCE</v>
      </c>
      <c r="E40" s="144" t="str">
        <f>IFERROR(__xludf.DUMMYFUNCTION("""COMPUTED_VALUE"""),"LAB")</f>
        <v>LAB</v>
      </c>
      <c r="F40" s="144" t="str">
        <f>IFERROR(__xludf.DUMMYFUNCTION("""COMPUTED_VALUE"""),"CH10957")</f>
        <v>CH10957</v>
      </c>
      <c r="G40" s="144" t="str">
        <f>IFERROR(__xludf.DUMMYFUNCTION("""COMPUTED_VALUE"""),"Dr.DEEPHA V")</f>
        <v>Dr.DEEPHA V</v>
      </c>
      <c r="H40" s="144" t="str">
        <f>IFERROR(__xludf.DUMMYFUNCTION("""COMPUTED_VALUE"""),"deephav@bitsathy.ac.in")</f>
        <v>deephav@bitsathy.ac.in</v>
      </c>
    </row>
    <row r="41">
      <c r="A41" s="144" t="str">
        <f>IFERROR(__xludf.DUMMYFUNCTION("""COMPUTED_VALUE"""),"AIDS")</f>
        <v>AIDS</v>
      </c>
      <c r="B41" s="144" t="str">
        <f>IFERROR(__xludf.DUMMYFUNCTION("""COMPUTED_VALUE"""),"S4")</f>
        <v>S4</v>
      </c>
      <c r="C41" s="144" t="str">
        <f>IFERROR(__xludf.DUMMYFUNCTION("""COMPUTED_VALUE"""),"22HS007")</f>
        <v>22HS007</v>
      </c>
      <c r="D41" s="144" t="str">
        <f>IFERROR(__xludf.DUMMYFUNCTION("""COMPUTED_VALUE"""),"ENVIRONMENTAL SCIENCE")</f>
        <v>ENVIRONMENTAL SCIENCE</v>
      </c>
      <c r="E41" s="144" t="str">
        <f>IFERROR(__xludf.DUMMYFUNCTION("""COMPUTED_VALUE"""),"LAB")</f>
        <v>LAB</v>
      </c>
      <c r="F41" s="144" t="str">
        <f>IFERROR(__xludf.DUMMYFUNCTION("""COMPUTED_VALUE"""),"CH11127")</f>
        <v>CH11127</v>
      </c>
      <c r="G41" s="144" t="str">
        <f>IFERROR(__xludf.DUMMYFUNCTION("""COMPUTED_VALUE"""),"Dr.MANIGANDAN S")</f>
        <v>Dr.MANIGANDAN S</v>
      </c>
      <c r="H41" s="144" t="str">
        <f>IFERROR(__xludf.DUMMYFUNCTION("""COMPUTED_VALUE"""),"manigandan@bitsathy.ac.in")</f>
        <v>manigandan@bitsathy.ac.in</v>
      </c>
    </row>
    <row r="42">
      <c r="A42" s="144" t="str">
        <f>IFERROR(__xludf.DUMMYFUNCTION("""COMPUTED_VALUE"""),"AIDS")</f>
        <v>AIDS</v>
      </c>
      <c r="B42" s="144" t="str">
        <f>IFERROR(__xludf.DUMMYFUNCTION("""COMPUTED_VALUE"""),"S4")</f>
        <v>S4</v>
      </c>
      <c r="C42" s="144" t="str">
        <f>IFERROR(__xludf.DUMMYFUNCTION("""COMPUTED_VALUE"""),"22HS008")</f>
        <v>22HS008</v>
      </c>
      <c r="D42" s="144" t="str">
        <f>IFERROR(__xludf.DUMMYFUNCTION("""COMPUTED_VALUE"""),"ADVANCED ENGLISH AND TECHNICAL EXPRESSION ")</f>
        <v>ADVANCED ENGLISH AND TECHNICAL EXPRESSION </v>
      </c>
      <c r="E42" s="144" t="str">
        <f>IFERROR(__xludf.DUMMYFUNCTION("""COMPUTED_VALUE"""),"LAB")</f>
        <v>LAB</v>
      </c>
      <c r="F42" s="144" t="str">
        <f>IFERROR(__xludf.DUMMYFUNCTION("""COMPUTED_VALUE"""),"HU11125")</f>
        <v>HU11125</v>
      </c>
      <c r="G42" s="144" t="str">
        <f>IFERROR(__xludf.DUMMYFUNCTION("""COMPUTED_VALUE"""),"Dr.GAYATHRI G M")</f>
        <v>Dr.GAYATHRI G M</v>
      </c>
      <c r="H42" s="144" t="str">
        <f>IFERROR(__xludf.DUMMYFUNCTION("""COMPUTED_VALUE"""),"gayathri@bitsathy.ac.in")</f>
        <v>gayathri@bitsathy.ac.in</v>
      </c>
    </row>
    <row r="43">
      <c r="A43" s="144" t="str">
        <f>IFERROR(__xludf.DUMMYFUNCTION("""COMPUTED_VALUE"""),"AIDS")</f>
        <v>AIDS</v>
      </c>
      <c r="B43" s="144" t="str">
        <f>IFERROR(__xludf.DUMMYFUNCTION("""COMPUTED_VALUE"""),"S4")</f>
        <v>S4</v>
      </c>
      <c r="C43" s="144" t="str">
        <f>IFERROR(__xludf.DUMMYFUNCTION("""COMPUTED_VALUE"""),"22HS008")</f>
        <v>22HS008</v>
      </c>
      <c r="D43" s="144" t="str">
        <f>IFERROR(__xludf.DUMMYFUNCTION("""COMPUTED_VALUE"""),"ADVANCED ENGLISH AND TECHNICAL EXPRESSION ")</f>
        <v>ADVANCED ENGLISH AND TECHNICAL EXPRESSION </v>
      </c>
      <c r="E43" s="144" t="str">
        <f>IFERROR(__xludf.DUMMYFUNCTION("""COMPUTED_VALUE"""),"LAB")</f>
        <v>LAB</v>
      </c>
      <c r="F43" s="144" t="str">
        <f>IFERROR(__xludf.DUMMYFUNCTION("""COMPUTED_VALUE"""),"HU11139")</f>
        <v>HU11139</v>
      </c>
      <c r="G43" s="144" t="str">
        <f>IFERROR(__xludf.DUMMYFUNCTION("""COMPUTED_VALUE"""),"Dr.ASLIN JERUSHA D")</f>
        <v>Dr.ASLIN JERUSHA D</v>
      </c>
      <c r="H43" s="144" t="str">
        <f>IFERROR(__xludf.DUMMYFUNCTION("""COMPUTED_VALUE"""),"aslinjerusha@bitsathy.ac.in")</f>
        <v>aslinjerusha@bitsathy.ac.in</v>
      </c>
    </row>
    <row r="44">
      <c r="A44" s="144" t="str">
        <f>IFERROR(__xludf.DUMMYFUNCTION("""COMPUTED_VALUE"""),"AIDS")</f>
        <v>AIDS</v>
      </c>
      <c r="B44" s="144" t="str">
        <f>IFERROR(__xludf.DUMMYFUNCTION("""COMPUTED_VALUE"""),"S4")</f>
        <v>S4</v>
      </c>
      <c r="C44" s="144" t="str">
        <f>IFERROR(__xludf.DUMMYFUNCTION("""COMPUTED_VALUE"""),"22HS008")</f>
        <v>22HS008</v>
      </c>
      <c r="D44" s="144" t="str">
        <f>IFERROR(__xludf.DUMMYFUNCTION("""COMPUTED_VALUE"""),"ADVANCED ENGLISH AND TECHNICAL EXPRESSION ")</f>
        <v>ADVANCED ENGLISH AND TECHNICAL EXPRESSION </v>
      </c>
      <c r="E44" s="144" t="str">
        <f>IFERROR(__xludf.DUMMYFUNCTION("""COMPUTED_VALUE"""),"LAB")</f>
        <v>LAB</v>
      </c>
      <c r="F44" s="144" t="str">
        <f>IFERROR(__xludf.DUMMYFUNCTION("""COMPUTED_VALUE"""),"HU11141")</f>
        <v>HU11141</v>
      </c>
      <c r="G44" s="144" t="str">
        <f>IFERROR(__xludf.DUMMYFUNCTION("""COMPUTED_VALUE"""),"Dr.EZHIL G")</f>
        <v>Dr.EZHIL G</v>
      </c>
      <c r="H44" s="144" t="str">
        <f>IFERROR(__xludf.DUMMYFUNCTION("""COMPUTED_VALUE"""),"ezhil@bitsathy.ac.in")</f>
        <v>ezhil@bitsathy.ac.in</v>
      </c>
    </row>
    <row r="45">
      <c r="A45" s="144" t="str">
        <f>IFERROR(__xludf.DUMMYFUNCTION("""COMPUTED_VALUE"""),"AIDS")</f>
        <v>AIDS</v>
      </c>
      <c r="B45" s="144" t="str">
        <f>IFERROR(__xludf.DUMMYFUNCTION("""COMPUTED_VALUE"""),"S4")</f>
        <v>S4</v>
      </c>
      <c r="C45" s="144" t="str">
        <f>IFERROR(__xludf.DUMMYFUNCTION("""COMPUTED_VALUE"""),"22HS008")</f>
        <v>22HS008</v>
      </c>
      <c r="D45" s="144" t="str">
        <f>IFERROR(__xludf.DUMMYFUNCTION("""COMPUTED_VALUE"""),"ADVANCED ENGLISH AND TECHNICAL EXPRESSION ")</f>
        <v>ADVANCED ENGLISH AND TECHNICAL EXPRESSION </v>
      </c>
      <c r="E45" s="144" t="str">
        <f>IFERROR(__xludf.DUMMYFUNCTION("""COMPUTED_VALUE"""),"LAB")</f>
        <v>LAB</v>
      </c>
      <c r="F45" s="144" t="str">
        <f>IFERROR(__xludf.DUMMYFUNCTION("""COMPUTED_VALUE"""),"HU11151")</f>
        <v>HU11151</v>
      </c>
      <c r="G45" s="144" t="str">
        <f>IFERROR(__xludf.DUMMYFUNCTION("""COMPUTED_VALUE"""),"Dr.NITHYA S")</f>
        <v>Dr.NITHYA S</v>
      </c>
      <c r="H45" s="144" t="str">
        <f>IFERROR(__xludf.DUMMYFUNCTION("""COMPUTED_VALUE"""),"nithyas@bitsathy.ac.in")</f>
        <v>nithyas@bitsathy.ac.in</v>
      </c>
    </row>
    <row r="46">
      <c r="A46" s="144" t="str">
        <f>IFERROR(__xludf.DUMMYFUNCTION("""COMPUTED_VALUE"""),"AIML")</f>
        <v>AIML</v>
      </c>
      <c r="B46" s="144" t="str">
        <f>IFERROR(__xludf.DUMMYFUNCTION("""COMPUTED_VALUE"""),"S4")</f>
        <v>S4</v>
      </c>
      <c r="C46" s="144" t="str">
        <f>IFERROR(__xludf.DUMMYFUNCTION("""COMPUTED_VALUE"""),"22AM401")</f>
        <v>22AM401</v>
      </c>
      <c r="D46" s="144" t="str">
        <f>IFERROR(__xludf.DUMMYFUNCTION("""COMPUTED_VALUE"""),"APPLIED LINEAR ALGEBRA")</f>
        <v>APPLIED LINEAR ALGEBRA</v>
      </c>
      <c r="E46" s="144" t="str">
        <f>IFERROR(__xludf.DUMMYFUNCTION("""COMPUTED_VALUE"""),"THEORY")</f>
        <v>THEORY</v>
      </c>
      <c r="F46" s="144" t="str">
        <f>IFERROR(__xludf.DUMMYFUNCTION("""COMPUTED_VALUE"""),"MA10763")</f>
        <v>MA10763</v>
      </c>
      <c r="G46" s="144" t="str">
        <f>IFERROR(__xludf.DUMMYFUNCTION("""COMPUTED_VALUE"""),"Dr.REVATHI V M")</f>
        <v>Dr.REVATHI V M</v>
      </c>
      <c r="H46" s="144" t="str">
        <f>IFERROR(__xludf.DUMMYFUNCTION("""COMPUTED_VALUE"""),"revathivm@bitsathy.ac.in")</f>
        <v>revathivm@bitsathy.ac.in</v>
      </c>
    </row>
    <row r="47">
      <c r="A47" s="144" t="str">
        <f>IFERROR(__xludf.DUMMYFUNCTION("""COMPUTED_VALUE"""),"AIML")</f>
        <v>AIML</v>
      </c>
      <c r="B47" s="144" t="str">
        <f>IFERROR(__xludf.DUMMYFUNCTION("""COMPUTED_VALUE"""),"S4")</f>
        <v>S4</v>
      </c>
      <c r="C47" s="144" t="str">
        <f>IFERROR(__xludf.DUMMYFUNCTION("""COMPUTED_VALUE"""),"22AM401")</f>
        <v>22AM401</v>
      </c>
      <c r="D47" s="144" t="str">
        <f>IFERROR(__xludf.DUMMYFUNCTION("""COMPUTED_VALUE"""),"APPLIED LINEAR ALGEBRA")</f>
        <v>APPLIED LINEAR ALGEBRA</v>
      </c>
      <c r="E47" s="144" t="str">
        <f>IFERROR(__xludf.DUMMYFUNCTION("""COMPUTED_VALUE"""),"THEORY")</f>
        <v>THEORY</v>
      </c>
      <c r="F47" s="144" t="str">
        <f>IFERROR(__xludf.DUMMYFUNCTION("""COMPUTED_VALUE"""),"MA10986")</f>
        <v>MA10986</v>
      </c>
      <c r="G47" s="144" t="str">
        <f>IFERROR(__xludf.DUMMYFUNCTION("""COMPUTED_VALUE"""),"Dr.GOMATHI M")</f>
        <v>Dr.GOMATHI M</v>
      </c>
      <c r="H47" s="144" t="str">
        <f>IFERROR(__xludf.DUMMYFUNCTION("""COMPUTED_VALUE"""),"gomathim@bitsathy.ac.in")</f>
        <v>gomathim@bitsathy.ac.in</v>
      </c>
    </row>
    <row r="48">
      <c r="A48" s="144" t="str">
        <f>IFERROR(__xludf.DUMMYFUNCTION("""COMPUTED_VALUE"""),"AIML")</f>
        <v>AIML</v>
      </c>
      <c r="B48" s="144" t="str">
        <f>IFERROR(__xludf.DUMMYFUNCTION("""COMPUTED_VALUE"""),"S4")</f>
        <v>S4</v>
      </c>
      <c r="C48" s="144" t="str">
        <f>IFERROR(__xludf.DUMMYFUNCTION("""COMPUTED_VALUE"""),"22AM402")</f>
        <v>22AM402</v>
      </c>
      <c r="D48" s="144" t="str">
        <f>IFERROR(__xludf.DUMMYFUNCTION("""COMPUTED_VALUE"""),"DATA STRUCTURES II")</f>
        <v>DATA STRUCTURES II</v>
      </c>
      <c r="E48" s="144" t="str">
        <f>IFERROR(__xludf.DUMMYFUNCTION("""COMPUTED_VALUE"""),"THEORY WITH LAB")</f>
        <v>THEORY WITH LAB</v>
      </c>
      <c r="F48" s="144" t="str">
        <f>IFERROR(__xludf.DUMMYFUNCTION("""COMPUTED_VALUE"""),"AM11095")</f>
        <v>AM11095</v>
      </c>
      <c r="G48" s="144" t="str">
        <f>IFERROR(__xludf.DUMMYFUNCTION("""COMPUTED_VALUE"""),"Mrs.GAYATHRIDEVI M")</f>
        <v>Mrs.GAYATHRIDEVI M</v>
      </c>
      <c r="H48" s="144" t="str">
        <f>IFERROR(__xludf.DUMMYFUNCTION("""COMPUTED_VALUE"""),"gayathridevi@bitsathy.ac.in")</f>
        <v>gayathridevi@bitsathy.ac.in</v>
      </c>
    </row>
    <row r="49">
      <c r="A49" s="144" t="str">
        <f>IFERROR(__xludf.DUMMYFUNCTION("""COMPUTED_VALUE"""),"AIML")</f>
        <v>AIML</v>
      </c>
      <c r="B49" s="144" t="str">
        <f>IFERROR(__xludf.DUMMYFUNCTION("""COMPUTED_VALUE"""),"S4")</f>
        <v>S4</v>
      </c>
      <c r="C49" s="144" t="str">
        <f>IFERROR(__xludf.DUMMYFUNCTION("""COMPUTED_VALUE"""),"22AM402")</f>
        <v>22AM402</v>
      </c>
      <c r="D49" s="144" t="str">
        <f>IFERROR(__xludf.DUMMYFUNCTION("""COMPUTED_VALUE"""),"DATA STRUCTURES II")</f>
        <v>DATA STRUCTURES II</v>
      </c>
      <c r="E49" s="144" t="str">
        <f>IFERROR(__xludf.DUMMYFUNCTION("""COMPUTED_VALUE"""),"THEORY WITH LAB")</f>
        <v>THEORY WITH LAB</v>
      </c>
      <c r="F49" s="144" t="str">
        <f>IFERROR(__xludf.DUMMYFUNCTION("""COMPUTED_VALUE"""),"AM11100")</f>
        <v>AM11100</v>
      </c>
      <c r="G49" s="144" t="str">
        <f>IFERROR(__xludf.DUMMYFUNCTION("""COMPUTED_VALUE"""),"Ms.NISHANTHINI S")</f>
        <v>Ms.NISHANTHINI S</v>
      </c>
      <c r="H49" s="144" t="str">
        <f>IFERROR(__xludf.DUMMYFUNCTION("""COMPUTED_VALUE"""),"nishanthinis@bitsathy.ac.in")</f>
        <v>nishanthinis@bitsathy.ac.in</v>
      </c>
    </row>
    <row r="50">
      <c r="A50" s="144" t="str">
        <f>IFERROR(__xludf.DUMMYFUNCTION("""COMPUTED_VALUE"""),"AIML")</f>
        <v>AIML</v>
      </c>
      <c r="B50" s="144" t="str">
        <f>IFERROR(__xludf.DUMMYFUNCTION("""COMPUTED_VALUE"""),"S4")</f>
        <v>S4</v>
      </c>
      <c r="C50" s="144" t="str">
        <f>IFERROR(__xludf.DUMMYFUNCTION("""COMPUTED_VALUE"""),"22AM403")</f>
        <v>22AM403</v>
      </c>
      <c r="D50" s="144" t="str">
        <f>IFERROR(__xludf.DUMMYFUNCTION("""COMPUTED_VALUE"""),"OPERATING SYSTEMS")</f>
        <v>OPERATING SYSTEMS</v>
      </c>
      <c r="E50" s="144" t="str">
        <f>IFERROR(__xludf.DUMMYFUNCTION("""COMPUTED_VALUE"""),"THEORY")</f>
        <v>THEORY</v>
      </c>
      <c r="F50" s="144" t="str">
        <f>IFERROR(__xludf.DUMMYFUNCTION("""COMPUTED_VALUE"""),"AM10956")</f>
        <v>AM10956</v>
      </c>
      <c r="G50" s="144" t="str">
        <f>IFERROR(__xludf.DUMMYFUNCTION("""COMPUTED_VALUE"""),"Ms.KARTHIKA S")</f>
        <v>Ms.KARTHIKA S</v>
      </c>
      <c r="H50" s="144" t="str">
        <f>IFERROR(__xludf.DUMMYFUNCTION("""COMPUTED_VALUE"""),"karthikas@bitsathy.ac.in")</f>
        <v>karthikas@bitsathy.ac.in</v>
      </c>
    </row>
    <row r="51">
      <c r="A51" s="144" t="str">
        <f>IFERROR(__xludf.DUMMYFUNCTION("""COMPUTED_VALUE"""),"AIML")</f>
        <v>AIML</v>
      </c>
      <c r="B51" s="144" t="str">
        <f>IFERROR(__xludf.DUMMYFUNCTION("""COMPUTED_VALUE"""),"S4")</f>
        <v>S4</v>
      </c>
      <c r="C51" s="144" t="str">
        <f>IFERROR(__xludf.DUMMYFUNCTION("""COMPUTED_VALUE"""),"22AM403")</f>
        <v>22AM403</v>
      </c>
      <c r="D51" s="144" t="str">
        <f>IFERROR(__xludf.DUMMYFUNCTION("""COMPUTED_VALUE"""),"OPERATING SYSTEMS")</f>
        <v>OPERATING SYSTEMS</v>
      </c>
      <c r="E51" s="144" t="str">
        <f>IFERROR(__xludf.DUMMYFUNCTION("""COMPUTED_VALUE"""),"THEORY")</f>
        <v>THEORY</v>
      </c>
      <c r="F51" s="144" t="str">
        <f>IFERROR(__xludf.DUMMYFUNCTION("""COMPUTED_VALUE"""),"AM11058")</f>
        <v>AM11058</v>
      </c>
      <c r="G51" s="144" t="str">
        <f>IFERROR(__xludf.DUMMYFUNCTION("""COMPUTED_VALUE"""),"Mr.BALAMURUGAN E")</f>
        <v>Mr.BALAMURUGAN E</v>
      </c>
      <c r="H51" s="144" t="str">
        <f>IFERROR(__xludf.DUMMYFUNCTION("""COMPUTED_VALUE"""),"balamurugane@bitsathy.ac.in")</f>
        <v>balamurugane@bitsathy.ac.in</v>
      </c>
    </row>
    <row r="52">
      <c r="A52" s="144" t="str">
        <f>IFERROR(__xludf.DUMMYFUNCTION("""COMPUTED_VALUE"""),"AIML")</f>
        <v>AIML</v>
      </c>
      <c r="B52" s="144" t="str">
        <f>IFERROR(__xludf.DUMMYFUNCTION("""COMPUTED_VALUE"""),"S4")</f>
        <v>S4</v>
      </c>
      <c r="C52" s="144" t="str">
        <f>IFERROR(__xludf.DUMMYFUNCTION("""COMPUTED_VALUE"""),"22AM404")</f>
        <v>22AM404</v>
      </c>
      <c r="D52" s="144" t="str">
        <f>IFERROR(__xludf.DUMMYFUNCTION("""COMPUTED_VALUE"""),"WEB TECHNOLOGY AND FRAMEWORKS")</f>
        <v>WEB TECHNOLOGY AND FRAMEWORKS</v>
      </c>
      <c r="E52" s="144" t="str">
        <f>IFERROR(__xludf.DUMMYFUNCTION("""COMPUTED_VALUE"""),"THEORY WITH LAB")</f>
        <v>THEORY WITH LAB</v>
      </c>
      <c r="F52" s="144" t="str">
        <f>IFERROR(__xludf.DUMMYFUNCTION("""COMPUTED_VALUE"""),"IT11142")</f>
        <v>IT11142</v>
      </c>
      <c r="G52" s="144" t="str">
        <f>IFERROR(__xludf.DUMMYFUNCTION("""COMPUTED_VALUE"""),"Mrs.KEERTHANA K")</f>
        <v>Mrs.KEERTHANA K</v>
      </c>
      <c r="H52" s="144" t="str">
        <f>IFERROR(__xludf.DUMMYFUNCTION("""COMPUTED_VALUE"""),"keerthana@bitsathy.ac.in")</f>
        <v>keerthana@bitsathy.ac.in</v>
      </c>
    </row>
    <row r="53">
      <c r="A53" s="144" t="str">
        <f>IFERROR(__xludf.DUMMYFUNCTION("""COMPUTED_VALUE"""),"AIML")</f>
        <v>AIML</v>
      </c>
      <c r="B53" s="144" t="str">
        <f>IFERROR(__xludf.DUMMYFUNCTION("""COMPUTED_VALUE"""),"S4")</f>
        <v>S4</v>
      </c>
      <c r="C53" s="144" t="str">
        <f>IFERROR(__xludf.DUMMYFUNCTION("""COMPUTED_VALUE"""),"22AM404")</f>
        <v>22AM404</v>
      </c>
      <c r="D53" s="144" t="str">
        <f>IFERROR(__xludf.DUMMYFUNCTION("""COMPUTED_VALUE"""),"WEB TECHNOLOGY AND FRAMEWORKS")</f>
        <v>WEB TECHNOLOGY AND FRAMEWORKS</v>
      </c>
      <c r="E53" s="144" t="str">
        <f>IFERROR(__xludf.DUMMYFUNCTION("""COMPUTED_VALUE"""),"THEORY WITH LAB")</f>
        <v>THEORY WITH LAB</v>
      </c>
      <c r="F53" s="144" t="str">
        <f>IFERROR(__xludf.DUMMYFUNCTION("""COMPUTED_VALUE"""),"AM11166")</f>
        <v>AM11166</v>
      </c>
      <c r="G53" s="144" t="str">
        <f>IFERROR(__xludf.DUMMYFUNCTION("""COMPUTED_VALUE"""),"Mrs.SARANYA M K")</f>
        <v>Mrs.SARANYA M K</v>
      </c>
      <c r="H53" s="144" t="str">
        <f>IFERROR(__xludf.DUMMYFUNCTION("""COMPUTED_VALUE"""),"saranyamk@bitsathy.ac.in")</f>
        <v>saranyamk@bitsathy.ac.in</v>
      </c>
    </row>
    <row r="54">
      <c r="A54" s="144" t="str">
        <f>IFERROR(__xludf.DUMMYFUNCTION("""COMPUTED_VALUE"""),"AIML")</f>
        <v>AIML</v>
      </c>
      <c r="B54" s="144" t="str">
        <f>IFERROR(__xludf.DUMMYFUNCTION("""COMPUTED_VALUE"""),"S4")</f>
        <v>S4</v>
      </c>
      <c r="C54" s="144" t="str">
        <f>IFERROR(__xludf.DUMMYFUNCTION("""COMPUTED_VALUE"""),"22AM405")</f>
        <v>22AM405</v>
      </c>
      <c r="D54" s="144" t="str">
        <f>IFERROR(__xludf.DUMMYFUNCTION("""COMPUTED_VALUE"""),"DATABASE MANAGEMENT SYSTEM")</f>
        <v>DATABASE MANAGEMENT SYSTEM</v>
      </c>
      <c r="E54" s="144" t="str">
        <f>IFERROR(__xludf.DUMMYFUNCTION("""COMPUTED_VALUE"""),"THEORY WITH LAB")</f>
        <v>THEORY WITH LAB</v>
      </c>
      <c r="F54" s="144" t="str">
        <f>IFERROR(__xludf.DUMMYFUNCTION("""COMPUTED_VALUE"""),"AM11092")</f>
        <v>AM11092</v>
      </c>
      <c r="G54" s="144" t="str">
        <f>IFERROR(__xludf.DUMMYFUNCTION("""COMPUTED_VALUE"""),"Ms.KANIMOZHI A")</f>
        <v>Ms.KANIMOZHI A</v>
      </c>
      <c r="H54" s="144" t="str">
        <f>IFERROR(__xludf.DUMMYFUNCTION("""COMPUTED_VALUE"""),"kanimozhi@bitsathy.ac.in")</f>
        <v>kanimozhi@bitsathy.ac.in</v>
      </c>
    </row>
    <row r="55">
      <c r="A55" s="144" t="str">
        <f>IFERROR(__xludf.DUMMYFUNCTION("""COMPUTED_VALUE"""),"AIML")</f>
        <v>AIML</v>
      </c>
      <c r="B55" s="144" t="str">
        <f>IFERROR(__xludf.DUMMYFUNCTION("""COMPUTED_VALUE"""),"S4")</f>
        <v>S4</v>
      </c>
      <c r="C55" s="144" t="str">
        <f>IFERROR(__xludf.DUMMYFUNCTION("""COMPUTED_VALUE"""),"22AM405")</f>
        <v>22AM405</v>
      </c>
      <c r="D55" s="144" t="str">
        <f>IFERROR(__xludf.DUMMYFUNCTION("""COMPUTED_VALUE"""),"DATABASE MANAGEMENT SYSTEM")</f>
        <v>DATABASE MANAGEMENT SYSTEM</v>
      </c>
      <c r="E55" s="144" t="str">
        <f>IFERROR(__xludf.DUMMYFUNCTION("""COMPUTED_VALUE"""),"THEORY WITH LAB")</f>
        <v>THEORY WITH LAB</v>
      </c>
      <c r="F55" s="144" t="str">
        <f>IFERROR(__xludf.DUMMYFUNCTION("""COMPUTED_VALUE"""),"AM11052")</f>
        <v>AM11052</v>
      </c>
      <c r="G55" s="144" t="str">
        <f>IFERROR(__xludf.DUMMYFUNCTION("""COMPUTED_VALUE"""),"Ms.MOHANAPRIYA K")</f>
        <v>Ms.MOHANAPRIYA K</v>
      </c>
      <c r="H55" s="144" t="str">
        <f>IFERROR(__xludf.DUMMYFUNCTION("""COMPUTED_VALUE"""),"mohanapriyak@bitsathy.ac.in")</f>
        <v>mohanapriyak@bitsathy.ac.in</v>
      </c>
    </row>
    <row r="56">
      <c r="A56" s="144" t="str">
        <f>IFERROR(__xludf.DUMMYFUNCTION("""COMPUTED_VALUE"""),"AIML")</f>
        <v>AIML</v>
      </c>
      <c r="B56" s="144" t="str">
        <f>IFERROR(__xludf.DUMMYFUNCTION("""COMPUTED_VALUE"""),"S4")</f>
        <v>S4</v>
      </c>
      <c r="C56" s="144" t="str">
        <f>IFERROR(__xludf.DUMMYFUNCTION("""COMPUTED_VALUE"""),"22AM027")</f>
        <v>22AM027</v>
      </c>
      <c r="D56" s="144" t="str">
        <f>IFERROR(__xludf.DUMMYFUNCTION("""COMPUTED_VALUE"""),"MOBILE AND WEB APPLICATION")</f>
        <v>MOBILE AND WEB APPLICATION</v>
      </c>
      <c r="E56" s="144" t="str">
        <f>IFERROR(__xludf.DUMMYFUNCTION("""COMPUTED_VALUE"""),"THEORY")</f>
        <v>THEORY</v>
      </c>
      <c r="F56" s="144" t="str">
        <f>IFERROR(__xludf.DUMMYFUNCTION("""COMPUTED_VALUE"""),"AD11169")</f>
        <v>AD11169</v>
      </c>
      <c r="G56" s="144" t="str">
        <f>IFERROR(__xludf.DUMMYFUNCTION("""COMPUTED_VALUE"""),"Mrs.MANOCHITRA A S")</f>
        <v>Mrs.MANOCHITRA A S</v>
      </c>
      <c r="H56" s="144" t="str">
        <f>IFERROR(__xludf.DUMMYFUNCTION("""COMPUTED_VALUE"""),"manochitra@bitsathy.ac.in")</f>
        <v>manochitra@bitsathy.ac.in</v>
      </c>
    </row>
    <row r="57">
      <c r="A57" s="144" t="str">
        <f>IFERROR(__xludf.DUMMYFUNCTION("""COMPUTED_VALUE"""),"AIML")</f>
        <v>AIML</v>
      </c>
      <c r="B57" s="144" t="str">
        <f>IFERROR(__xludf.DUMMYFUNCTION("""COMPUTED_VALUE"""),"S4")</f>
        <v>S4</v>
      </c>
      <c r="C57" s="144" t="str">
        <f>IFERROR(__xludf.DUMMYFUNCTION("""COMPUTED_VALUE"""),"22AM027")</f>
        <v>22AM027</v>
      </c>
      <c r="D57" s="144" t="str">
        <f>IFERROR(__xludf.DUMMYFUNCTION("""COMPUTED_VALUE"""),"MOBILE AND WEB APPLICATION")</f>
        <v>MOBILE AND WEB APPLICATION</v>
      </c>
      <c r="E57" s="144" t="str">
        <f>IFERROR(__xludf.DUMMYFUNCTION("""COMPUTED_VALUE"""),"THEORY")</f>
        <v>THEORY</v>
      </c>
      <c r="F57" s="144" t="str">
        <f>IFERROR(__xludf.DUMMYFUNCTION("""COMPUTED_VALUE"""),"AM11161")</f>
        <v>AM11161</v>
      </c>
      <c r="G57" s="144" t="str">
        <f>IFERROR(__xludf.DUMMYFUNCTION("""COMPUTED_VALUE"""),"Dr.KARTHIKEYAN G")</f>
        <v>Dr.KARTHIKEYAN G</v>
      </c>
      <c r="H57" s="144" t="str">
        <f>IFERROR(__xludf.DUMMYFUNCTION("""COMPUTED_VALUE"""),"karthikeyang@bitsathy.ac.in")</f>
        <v>karthikeyang@bitsathy.ac.in</v>
      </c>
    </row>
    <row r="58">
      <c r="A58" s="144" t="str">
        <f>IFERROR(__xludf.DUMMYFUNCTION("""COMPUTED_VALUE"""),"AIML")</f>
        <v>AIML</v>
      </c>
      <c r="B58" s="144" t="str">
        <f>IFERROR(__xludf.DUMMYFUNCTION("""COMPUTED_VALUE"""),"S4")</f>
        <v>S4</v>
      </c>
      <c r="C58" s="144" t="str">
        <f>IFERROR(__xludf.DUMMYFUNCTION("""COMPUTED_VALUE"""),"22AM002")</f>
        <v>22AM002</v>
      </c>
      <c r="D58" s="144" t="str">
        <f>IFERROR(__xludf.DUMMYFUNCTION("""COMPUTED_VALUE"""),"UI AND UX DESIGN")</f>
        <v>UI AND UX DESIGN</v>
      </c>
      <c r="E58" s="144" t="str">
        <f>IFERROR(__xludf.DUMMYFUNCTION("""COMPUTED_VALUE"""),"THEORY")</f>
        <v>THEORY</v>
      </c>
      <c r="F58" s="144" t="str">
        <f>IFERROR(__xludf.DUMMYFUNCTION("""COMPUTED_VALUE"""),"AM2241")</f>
        <v>AM2241</v>
      </c>
      <c r="G58" s="144" t="str">
        <f>IFERROR(__xludf.DUMMYFUNCTION("""COMPUTED_VALUE"""),"Dr.KODIESWARI A")</f>
        <v>Dr.KODIESWARI A</v>
      </c>
      <c r="H58" s="144" t="str">
        <f>IFERROR(__xludf.DUMMYFUNCTION("""COMPUTED_VALUE"""),"kodieswaria@bitsathy.ac.in")</f>
        <v>kodieswaria@bitsathy.ac.in</v>
      </c>
    </row>
    <row r="59">
      <c r="A59" s="144" t="str">
        <f>IFERROR(__xludf.DUMMYFUNCTION("""COMPUTED_VALUE"""),"AIML")</f>
        <v>AIML</v>
      </c>
      <c r="B59" s="144" t="str">
        <f>IFERROR(__xludf.DUMMYFUNCTION("""COMPUTED_VALUE"""),"S4")</f>
        <v>S4</v>
      </c>
      <c r="C59" s="144" t="str">
        <f>IFERROR(__xludf.DUMMYFUNCTION("""COMPUTED_VALUE"""),"22HS007")</f>
        <v>22HS007</v>
      </c>
      <c r="D59" s="144" t="str">
        <f>IFERROR(__xludf.DUMMYFUNCTION("""COMPUTED_VALUE"""),"ENVIRONMENTAL SCIENCE")</f>
        <v>ENVIRONMENTAL SCIENCE</v>
      </c>
      <c r="E59" s="144" t="str">
        <f>IFERROR(__xludf.DUMMYFUNCTION("""COMPUTED_VALUE"""),"LAB")</f>
        <v>LAB</v>
      </c>
      <c r="F59" s="144" t="str">
        <f>IFERROR(__xludf.DUMMYFUNCTION("""COMPUTED_VALUE"""),"CH10957")</f>
        <v>CH10957</v>
      </c>
      <c r="G59" s="144" t="str">
        <f>IFERROR(__xludf.DUMMYFUNCTION("""COMPUTED_VALUE"""),"Dr.DEEPHA V")</f>
        <v>Dr.DEEPHA V</v>
      </c>
      <c r="H59" s="144" t="str">
        <f>IFERROR(__xludf.DUMMYFUNCTION("""COMPUTED_VALUE"""),"deephav@bitsathy.ac.in")</f>
        <v>deephav@bitsathy.ac.in</v>
      </c>
    </row>
    <row r="60">
      <c r="A60" s="144" t="str">
        <f>IFERROR(__xludf.DUMMYFUNCTION("""COMPUTED_VALUE"""),"AIML")</f>
        <v>AIML</v>
      </c>
      <c r="B60" s="144" t="str">
        <f>IFERROR(__xludf.DUMMYFUNCTION("""COMPUTED_VALUE"""),"S4")</f>
        <v>S4</v>
      </c>
      <c r="C60" s="144" t="str">
        <f>IFERROR(__xludf.DUMMYFUNCTION("""COMPUTED_VALUE"""),"22HS007")</f>
        <v>22HS007</v>
      </c>
      <c r="D60" s="144" t="str">
        <f>IFERROR(__xludf.DUMMYFUNCTION("""COMPUTED_VALUE"""),"ENVIRONMENTAL SCIENCE")</f>
        <v>ENVIRONMENTAL SCIENCE</v>
      </c>
      <c r="E60" s="144" t="str">
        <f>IFERROR(__xludf.DUMMYFUNCTION("""COMPUTED_VALUE"""),"LAB")</f>
        <v>LAB</v>
      </c>
      <c r="F60" s="144" t="str">
        <f>IFERROR(__xludf.DUMMYFUNCTION("""COMPUTED_VALUE"""),"CH1558")</f>
        <v>CH1558</v>
      </c>
      <c r="G60" s="144" t="str">
        <f>IFERROR(__xludf.DUMMYFUNCTION("""COMPUTED_VALUE"""),"Dr.PRAVEENA R")</f>
        <v>Dr.PRAVEENA R</v>
      </c>
      <c r="H60" s="144" t="str">
        <f>IFERROR(__xludf.DUMMYFUNCTION("""COMPUTED_VALUE"""),"praveenar@bitsathy.ac.in")</f>
        <v>praveenar@bitsathy.ac.in</v>
      </c>
    </row>
    <row r="61">
      <c r="A61" s="144" t="str">
        <f>IFERROR(__xludf.DUMMYFUNCTION("""COMPUTED_VALUE"""),"AIML")</f>
        <v>AIML</v>
      </c>
      <c r="B61" s="144" t="str">
        <f>IFERROR(__xludf.DUMMYFUNCTION("""COMPUTED_VALUE"""),"S4")</f>
        <v>S4</v>
      </c>
      <c r="C61" s="144" t="str">
        <f>IFERROR(__xludf.DUMMYFUNCTION("""COMPUTED_VALUE"""),"22HS008")</f>
        <v>22HS008</v>
      </c>
      <c r="D61" s="144" t="str">
        <f>IFERROR(__xludf.DUMMYFUNCTION("""COMPUTED_VALUE"""),"ADVANCED ENGLISH AND TECHNICAL EXPRESSION ")</f>
        <v>ADVANCED ENGLISH AND TECHNICAL EXPRESSION </v>
      </c>
      <c r="E61" s="144" t="str">
        <f>IFERROR(__xludf.DUMMYFUNCTION("""COMPUTED_VALUE"""),"LAB")</f>
        <v>LAB</v>
      </c>
      <c r="F61" s="144" t="str">
        <f>IFERROR(__xludf.DUMMYFUNCTION("""COMPUTED_VALUE"""),"HU11151")</f>
        <v>HU11151</v>
      </c>
      <c r="G61" s="144" t="str">
        <f>IFERROR(__xludf.DUMMYFUNCTION("""COMPUTED_VALUE"""),"Dr.NITHYA S")</f>
        <v>Dr.NITHYA S</v>
      </c>
      <c r="H61" s="144" t="str">
        <f>IFERROR(__xludf.DUMMYFUNCTION("""COMPUTED_VALUE"""),"nithyas@bitsathy.ac.in")</f>
        <v>nithyas@bitsathy.ac.in</v>
      </c>
    </row>
    <row r="62">
      <c r="A62" s="144" t="str">
        <f>IFERROR(__xludf.DUMMYFUNCTION("""COMPUTED_VALUE"""),"AIML")</f>
        <v>AIML</v>
      </c>
      <c r="B62" s="144" t="str">
        <f>IFERROR(__xludf.DUMMYFUNCTION("""COMPUTED_VALUE"""),"S4")</f>
        <v>S4</v>
      </c>
      <c r="C62" s="144" t="str">
        <f>IFERROR(__xludf.DUMMYFUNCTION("""COMPUTED_VALUE"""),"22HS008")</f>
        <v>22HS008</v>
      </c>
      <c r="D62" s="144" t="str">
        <f>IFERROR(__xludf.DUMMYFUNCTION("""COMPUTED_VALUE"""),"ADVANCED ENGLISH AND TECHNICAL EXPRESSION ")</f>
        <v>ADVANCED ENGLISH AND TECHNICAL EXPRESSION </v>
      </c>
      <c r="E62" s="144" t="str">
        <f>IFERROR(__xludf.DUMMYFUNCTION("""COMPUTED_VALUE"""),"LAB")</f>
        <v>LAB</v>
      </c>
      <c r="F62" s="144" t="str">
        <f>IFERROR(__xludf.DUMMYFUNCTION("""COMPUTED_VALUE"""),"HU11159")</f>
        <v>HU11159</v>
      </c>
      <c r="G62" s="144" t="str">
        <f>IFERROR(__xludf.DUMMYFUNCTION("""COMPUTED_VALUE"""),"Dr.JAYA K")</f>
        <v>Dr.JAYA K</v>
      </c>
      <c r="H62" s="144" t="str">
        <f>IFERROR(__xludf.DUMMYFUNCTION("""COMPUTED_VALUE"""),"jayak@bitsathy.ac.in")</f>
        <v>jayak@bitsathy.ac.in</v>
      </c>
    </row>
    <row r="63">
      <c r="A63" s="144" t="str">
        <f>IFERROR(__xludf.DUMMYFUNCTION("""COMPUTED_VALUE"""),"BT")</f>
        <v>BT</v>
      </c>
      <c r="B63" s="144" t="str">
        <f>IFERROR(__xludf.DUMMYFUNCTION("""COMPUTED_VALUE"""),"S4")</f>
        <v>S4</v>
      </c>
      <c r="C63" s="144" t="str">
        <f>IFERROR(__xludf.DUMMYFUNCTION("""COMPUTED_VALUE"""),"22BT401")</f>
        <v>22BT401</v>
      </c>
      <c r="D63" s="144" t="str">
        <f>IFERROR(__xludf.DUMMYFUNCTION("""COMPUTED_VALUE"""),"BIOORGANIC CHEMISTRY")</f>
        <v>BIOORGANIC CHEMISTRY</v>
      </c>
      <c r="E63" s="144" t="str">
        <f>IFERROR(__xludf.DUMMYFUNCTION("""COMPUTED_VALUE"""),"THEORY WITH LAB")</f>
        <v>THEORY WITH LAB</v>
      </c>
      <c r="F63" s="144" t="str">
        <f>IFERROR(__xludf.DUMMYFUNCTION("""COMPUTED_VALUE"""),"BT1477")</f>
        <v>BT1477</v>
      </c>
      <c r="G63" s="144" t="str">
        <f>IFERROR(__xludf.DUMMYFUNCTION("""COMPUTED_VALUE"""),"Dr.TAMILSELVI S")</f>
        <v>Dr.TAMILSELVI S</v>
      </c>
      <c r="H63" s="144" t="str">
        <f>IFERROR(__xludf.DUMMYFUNCTION("""COMPUTED_VALUE"""),"tamilselvis@bitsathy.ac.in")</f>
        <v>tamilselvis@bitsathy.ac.in</v>
      </c>
    </row>
    <row r="64">
      <c r="A64" s="144" t="str">
        <f>IFERROR(__xludf.DUMMYFUNCTION("""COMPUTED_VALUE"""),"BT")</f>
        <v>BT</v>
      </c>
      <c r="B64" s="144" t="str">
        <f>IFERROR(__xludf.DUMMYFUNCTION("""COMPUTED_VALUE"""),"S4")</f>
        <v>S4</v>
      </c>
      <c r="C64" s="144" t="str">
        <f>IFERROR(__xludf.DUMMYFUNCTION("""COMPUTED_VALUE"""),"22BT401")</f>
        <v>22BT401</v>
      </c>
      <c r="D64" s="144" t="str">
        <f>IFERROR(__xludf.DUMMYFUNCTION("""COMPUTED_VALUE"""),"BIOORGANIC CHEMISTRY")</f>
        <v>BIOORGANIC CHEMISTRY</v>
      </c>
      <c r="E64" s="144" t="str">
        <f>IFERROR(__xludf.DUMMYFUNCTION("""COMPUTED_VALUE"""),"THEORY WITH LAB")</f>
        <v>THEORY WITH LAB</v>
      </c>
      <c r="F64" s="144" t="str">
        <f>IFERROR(__xludf.DUMMYFUNCTION("""COMPUTED_VALUE"""),"BT11033")</f>
        <v>BT11033</v>
      </c>
      <c r="G64" s="144" t="str">
        <f>IFERROR(__xludf.DUMMYFUNCTION("""COMPUTED_VALUE"""),"Dr.SURESH CHALUVADI")</f>
        <v>Dr.SURESH CHALUVADI</v>
      </c>
      <c r="H64" s="144" t="str">
        <f>IFERROR(__xludf.DUMMYFUNCTION("""COMPUTED_VALUE"""),"sureshchaluvadi@bitsathy.ac.in")</f>
        <v>sureshchaluvadi@bitsathy.ac.in</v>
      </c>
    </row>
    <row r="65">
      <c r="A65" s="144" t="str">
        <f>IFERROR(__xludf.DUMMYFUNCTION("""COMPUTED_VALUE"""),"BT")</f>
        <v>BT</v>
      </c>
      <c r="B65" s="144" t="str">
        <f>IFERROR(__xludf.DUMMYFUNCTION("""COMPUTED_VALUE"""),"S4")</f>
        <v>S4</v>
      </c>
      <c r="C65" s="144" t="str">
        <f>IFERROR(__xludf.DUMMYFUNCTION("""COMPUTED_VALUE"""),"22BT402")</f>
        <v>22BT402</v>
      </c>
      <c r="D65" s="144" t="str">
        <f>IFERROR(__xludf.DUMMYFUNCTION("""COMPUTED_VALUE"""),"HEAT AND MASS TRANSFER")</f>
        <v>HEAT AND MASS TRANSFER</v>
      </c>
      <c r="E65" s="144" t="str">
        <f>IFERROR(__xludf.DUMMYFUNCTION("""COMPUTED_VALUE"""),"THEORY")</f>
        <v>THEORY</v>
      </c>
      <c r="F65" s="144" t="str">
        <f>IFERROR(__xludf.DUMMYFUNCTION("""COMPUTED_VALUE"""),"ME10081")</f>
        <v>ME10081</v>
      </c>
      <c r="G65" s="144" t="str">
        <f>IFERROR(__xludf.DUMMYFUNCTION("""COMPUTED_VALUE"""),"Dr.KUMARESAN G")</f>
        <v>Dr.KUMARESAN G</v>
      </c>
      <c r="H65" s="144" t="str">
        <f>IFERROR(__xludf.DUMMYFUNCTION("""COMPUTED_VALUE"""),"kumaresan@bitsathy.ac.in")</f>
        <v>kumaresan@bitsathy.ac.in</v>
      </c>
    </row>
    <row r="66">
      <c r="A66" s="144" t="str">
        <f>IFERROR(__xludf.DUMMYFUNCTION("""COMPUTED_VALUE"""),"BT")</f>
        <v>BT</v>
      </c>
      <c r="B66" s="144" t="str">
        <f>IFERROR(__xludf.DUMMYFUNCTION("""COMPUTED_VALUE"""),"S4")</f>
        <v>S4</v>
      </c>
      <c r="C66" s="144" t="str">
        <f>IFERROR(__xludf.DUMMYFUNCTION("""COMPUTED_VALUE"""),"22BT402")</f>
        <v>22BT402</v>
      </c>
      <c r="D66" s="144" t="str">
        <f>IFERROR(__xludf.DUMMYFUNCTION("""COMPUTED_VALUE"""),"HEAT AND MASS TRANSFER")</f>
        <v>HEAT AND MASS TRANSFER</v>
      </c>
      <c r="E66" s="144" t="str">
        <f>IFERROR(__xludf.DUMMYFUNCTION("""COMPUTED_VALUE"""),"LAB")</f>
        <v>LAB</v>
      </c>
      <c r="F66" s="144" t="str">
        <f>IFERROR(__xludf.DUMMYFUNCTION("""COMPUTED_VALUE"""),"ME1819")</f>
        <v>ME1819</v>
      </c>
      <c r="G66" s="144" t="str">
        <f>IFERROR(__xludf.DUMMYFUNCTION("""COMPUTED_VALUE"""),"Dr.DINESH D")</f>
        <v>Dr.DINESH D</v>
      </c>
      <c r="H66" s="144" t="str">
        <f>IFERROR(__xludf.DUMMYFUNCTION("""COMPUTED_VALUE"""),"dineshd@bitsathy.ac.in")</f>
        <v>dineshd@bitsathy.ac.in</v>
      </c>
    </row>
    <row r="67">
      <c r="A67" s="144" t="str">
        <f>IFERROR(__xludf.DUMMYFUNCTION("""COMPUTED_VALUE"""),"BT")</f>
        <v>BT</v>
      </c>
      <c r="B67" s="144" t="str">
        <f>IFERROR(__xludf.DUMMYFUNCTION("""COMPUTED_VALUE"""),"S4")</f>
        <v>S4</v>
      </c>
      <c r="C67" s="144" t="str">
        <f>IFERROR(__xludf.DUMMYFUNCTION("""COMPUTED_VALUE"""),"22BT402")</f>
        <v>22BT402</v>
      </c>
      <c r="D67" s="144" t="str">
        <f>IFERROR(__xludf.DUMMYFUNCTION("""COMPUTED_VALUE"""),"HEAT AND MASS TRANSFER")</f>
        <v>HEAT AND MASS TRANSFER</v>
      </c>
      <c r="E67" s="144" t="str">
        <f>IFERROR(__xludf.DUMMYFUNCTION("""COMPUTED_VALUE"""),"THEORY")</f>
        <v>THEORY</v>
      </c>
      <c r="F67" s="144" t="str">
        <f>IFERROR(__xludf.DUMMYFUNCTION("""COMPUTED_VALUE"""),"ME10492")</f>
        <v>ME10492</v>
      </c>
      <c r="G67" s="144" t="str">
        <f>IFERROR(__xludf.DUMMYFUNCTION("""COMPUTED_VALUE"""),"Dr.PRAKASH K B")</f>
        <v>Dr.PRAKASH K B</v>
      </c>
      <c r="H67" s="144" t="str">
        <f>IFERROR(__xludf.DUMMYFUNCTION("""COMPUTED_VALUE"""),"prakashkb@bitsathy.ac.in")</f>
        <v>prakashkb@bitsathy.ac.in</v>
      </c>
    </row>
    <row r="68">
      <c r="A68" s="144" t="str">
        <f>IFERROR(__xludf.DUMMYFUNCTION("""COMPUTED_VALUE"""),"BT")</f>
        <v>BT</v>
      </c>
      <c r="B68" s="144" t="str">
        <f>IFERROR(__xludf.DUMMYFUNCTION("""COMPUTED_VALUE"""),"S4")</f>
        <v>S4</v>
      </c>
      <c r="C68" s="144" t="str">
        <f>IFERROR(__xludf.DUMMYFUNCTION("""COMPUTED_VALUE"""),"22BT402")</f>
        <v>22BT402</v>
      </c>
      <c r="D68" s="144" t="str">
        <f>IFERROR(__xludf.DUMMYFUNCTION("""COMPUTED_VALUE"""),"HEAT AND MASS TRANSFER")</f>
        <v>HEAT AND MASS TRANSFER</v>
      </c>
      <c r="E68" s="144" t="str">
        <f>IFERROR(__xludf.DUMMYFUNCTION("""COMPUTED_VALUE"""),"LAB")</f>
        <v>LAB</v>
      </c>
      <c r="F68" s="144" t="str">
        <f>IFERROR(__xludf.DUMMYFUNCTION("""COMPUTED_VALUE"""),"ME10492")</f>
        <v>ME10492</v>
      </c>
      <c r="G68" s="144" t="str">
        <f>IFERROR(__xludf.DUMMYFUNCTION("""COMPUTED_VALUE"""),"Dr.PRAKASH K B")</f>
        <v>Dr.PRAKASH K B</v>
      </c>
      <c r="H68" s="144" t="str">
        <f>IFERROR(__xludf.DUMMYFUNCTION("""COMPUTED_VALUE"""),"prakashkb@bitsathy.ac.in")</f>
        <v>prakashkb@bitsathy.ac.in</v>
      </c>
    </row>
    <row r="69">
      <c r="A69" s="144" t="str">
        <f>IFERROR(__xludf.DUMMYFUNCTION("""COMPUTED_VALUE"""),"BT")</f>
        <v>BT</v>
      </c>
      <c r="B69" s="144" t="str">
        <f>IFERROR(__xludf.DUMMYFUNCTION("""COMPUTED_VALUE"""),"S4")</f>
        <v>S4</v>
      </c>
      <c r="C69" s="144" t="str">
        <f>IFERROR(__xludf.DUMMYFUNCTION("""COMPUTED_VALUE"""),"22BT403")</f>
        <v>22BT403</v>
      </c>
      <c r="D69" s="144" t="str">
        <f>IFERROR(__xludf.DUMMYFUNCTION("""COMPUTED_VALUE"""),"CELL AND MOLECULAR BIOLOGY")</f>
        <v>CELL AND MOLECULAR BIOLOGY</v>
      </c>
      <c r="E69" s="144" t="str">
        <f>IFERROR(__xludf.DUMMYFUNCTION("""COMPUTED_VALUE"""),"THEORY WITH LAB")</f>
        <v>THEORY WITH LAB</v>
      </c>
      <c r="F69" s="144" t="str">
        <f>IFERROR(__xludf.DUMMYFUNCTION("""COMPUTED_VALUE"""),"BT11050")</f>
        <v>BT11050</v>
      </c>
      <c r="G69" s="144" t="str">
        <f>IFERROR(__xludf.DUMMYFUNCTION("""COMPUTED_VALUE"""),"Mrs.VINODHINI R T")</f>
        <v>Mrs.VINODHINI R T</v>
      </c>
      <c r="H69" s="144" t="str">
        <f>IFERROR(__xludf.DUMMYFUNCTION("""COMPUTED_VALUE"""),"vinodhinirt@bitsathy.ac.in")</f>
        <v>vinodhinirt@bitsathy.ac.in</v>
      </c>
    </row>
    <row r="70">
      <c r="A70" s="144" t="str">
        <f>IFERROR(__xludf.DUMMYFUNCTION("""COMPUTED_VALUE"""),"BT")</f>
        <v>BT</v>
      </c>
      <c r="B70" s="144" t="str">
        <f>IFERROR(__xludf.DUMMYFUNCTION("""COMPUTED_VALUE"""),"S4")</f>
        <v>S4</v>
      </c>
      <c r="C70" s="144" t="str">
        <f>IFERROR(__xludf.DUMMYFUNCTION("""COMPUTED_VALUE"""),"22BT403")</f>
        <v>22BT403</v>
      </c>
      <c r="D70" s="144" t="str">
        <f>IFERROR(__xludf.DUMMYFUNCTION("""COMPUTED_VALUE"""),"CELL AND MOLECULAR BIOLOGY")</f>
        <v>CELL AND MOLECULAR BIOLOGY</v>
      </c>
      <c r="E70" s="144" t="str">
        <f>IFERROR(__xludf.DUMMYFUNCTION("""COMPUTED_VALUE"""),"THEORY WITH LAB")</f>
        <v>THEORY WITH LAB</v>
      </c>
      <c r="F70" s="144" t="str">
        <f>IFERROR(__xludf.DUMMYFUNCTION("""COMPUTED_VALUE"""),"BT10984")</f>
        <v>BT10984</v>
      </c>
      <c r="G70" s="144" t="str">
        <f>IFERROR(__xludf.DUMMYFUNCTION("""COMPUTED_VALUE"""),"Mrs.MAHIMA P")</f>
        <v>Mrs.MAHIMA P</v>
      </c>
      <c r="H70" s="144" t="str">
        <f>IFERROR(__xludf.DUMMYFUNCTION("""COMPUTED_VALUE"""),"mahimap@bitsathy.ac.in")</f>
        <v>mahimap@bitsathy.ac.in</v>
      </c>
    </row>
    <row r="71">
      <c r="A71" s="144" t="str">
        <f>IFERROR(__xludf.DUMMYFUNCTION("""COMPUTED_VALUE"""),"BT")</f>
        <v>BT</v>
      </c>
      <c r="B71" s="144" t="str">
        <f>IFERROR(__xludf.DUMMYFUNCTION("""COMPUTED_VALUE"""),"S4")</f>
        <v>S4</v>
      </c>
      <c r="C71" s="144" t="str">
        <f>IFERROR(__xludf.DUMMYFUNCTION("""COMPUTED_VALUE"""),"22BT404")</f>
        <v>22BT404</v>
      </c>
      <c r="D71" s="144" t="str">
        <f>IFERROR(__xludf.DUMMYFUNCTION("""COMPUTED_VALUE"""),"INSTRUMENTAL METHODS OF ANALYSIS")</f>
        <v>INSTRUMENTAL METHODS OF ANALYSIS</v>
      </c>
      <c r="E71" s="144" t="str">
        <f>IFERROR(__xludf.DUMMYFUNCTION("""COMPUTED_VALUE"""),"THEORY WITH LAB")</f>
        <v>THEORY WITH LAB</v>
      </c>
      <c r="F71" s="144" t="str">
        <f>IFERROR(__xludf.DUMMYFUNCTION("""COMPUTED_VALUE"""),"BT11198")</f>
        <v>BT11198</v>
      </c>
      <c r="G71" s="144" t="str">
        <f>IFERROR(__xludf.DUMMYFUNCTION("""COMPUTED_VALUE"""),"Mrs.SHANKARI V")</f>
        <v>Mrs.SHANKARI V</v>
      </c>
      <c r="H71" s="144" t="str">
        <f>IFERROR(__xludf.DUMMYFUNCTION("""COMPUTED_VALUE"""),"shankariv@bitsathy.ac.in")</f>
        <v>shankariv@bitsathy.ac.in</v>
      </c>
    </row>
    <row r="72">
      <c r="A72" s="144" t="str">
        <f>IFERROR(__xludf.DUMMYFUNCTION("""COMPUTED_VALUE"""),"BT")</f>
        <v>BT</v>
      </c>
      <c r="B72" s="144" t="str">
        <f>IFERROR(__xludf.DUMMYFUNCTION("""COMPUTED_VALUE"""),"S4")</f>
        <v>S4</v>
      </c>
      <c r="C72" s="144" t="str">
        <f>IFERROR(__xludf.DUMMYFUNCTION("""COMPUTED_VALUE"""),"22BT404")</f>
        <v>22BT404</v>
      </c>
      <c r="D72" s="144" t="str">
        <f>IFERROR(__xludf.DUMMYFUNCTION("""COMPUTED_VALUE"""),"INSTRUMENTAL METHODS OF ANALYSIS")</f>
        <v>INSTRUMENTAL METHODS OF ANALYSIS</v>
      </c>
      <c r="E72" s="144" t="str">
        <f>IFERROR(__xludf.DUMMYFUNCTION("""COMPUTED_VALUE"""),"THEORY")</f>
        <v>THEORY</v>
      </c>
      <c r="F72" s="144" t="str">
        <f>IFERROR(__xludf.DUMMYFUNCTION("""COMPUTED_VALUE"""),"BT10708")</f>
        <v>BT10708</v>
      </c>
      <c r="G72" s="144" t="str">
        <f>IFERROR(__xludf.DUMMYFUNCTION("""COMPUTED_VALUE"""),"Mr.RAJASEETHARAMA S")</f>
        <v>Mr.RAJASEETHARAMA S</v>
      </c>
      <c r="H72" s="144" t="str">
        <f>IFERROR(__xludf.DUMMYFUNCTION("""COMPUTED_VALUE"""),"rajaseetharama@bitsathy.ac.in")</f>
        <v>rajaseetharama@bitsathy.ac.in</v>
      </c>
    </row>
    <row r="73">
      <c r="A73" s="144" t="str">
        <f>IFERROR(__xludf.DUMMYFUNCTION("""COMPUTED_VALUE"""),"BT")</f>
        <v>BT</v>
      </c>
      <c r="B73" s="144" t="str">
        <f>IFERROR(__xludf.DUMMYFUNCTION("""COMPUTED_VALUE"""),"S4")</f>
        <v>S4</v>
      </c>
      <c r="C73" s="144" t="str">
        <f>IFERROR(__xludf.DUMMYFUNCTION("""COMPUTED_VALUE"""),"22BT404")</f>
        <v>22BT404</v>
      </c>
      <c r="D73" s="144" t="str">
        <f>IFERROR(__xludf.DUMMYFUNCTION("""COMPUTED_VALUE"""),"INSTRUMENTAL METHODS OF ANALYSIS")</f>
        <v>INSTRUMENTAL METHODS OF ANALYSIS</v>
      </c>
      <c r="E73" s="144" t="str">
        <f>IFERROR(__xludf.DUMMYFUNCTION("""COMPUTED_VALUE"""),"LAB")</f>
        <v>LAB</v>
      </c>
      <c r="F73" s="144" t="str">
        <f>IFERROR(__xludf.DUMMYFUNCTION("""COMPUTED_VALUE"""),"BT11035")</f>
        <v>BT11035</v>
      </c>
      <c r="G73" s="144" t="str">
        <f>IFERROR(__xludf.DUMMYFUNCTION("""COMPUTED_VALUE"""),"Ms.NANDHINI N")</f>
        <v>Ms.NANDHINI N</v>
      </c>
      <c r="H73" s="144" t="str">
        <f>IFERROR(__xludf.DUMMYFUNCTION("""COMPUTED_VALUE"""),"nandhinin@bitsathy.ac.in")</f>
        <v>nandhinin@bitsathy.ac.in</v>
      </c>
    </row>
    <row r="74">
      <c r="A74" s="144" t="str">
        <f>IFERROR(__xludf.DUMMYFUNCTION("""COMPUTED_VALUE"""),"BT")</f>
        <v>BT</v>
      </c>
      <c r="B74" s="144" t="str">
        <f>IFERROR(__xludf.DUMMYFUNCTION("""COMPUTED_VALUE"""),"S4")</f>
        <v>S4</v>
      </c>
      <c r="C74" s="144" t="str">
        <f>IFERROR(__xludf.DUMMYFUNCTION("""COMPUTED_VALUE"""),"22BT405")</f>
        <v>22BT405</v>
      </c>
      <c r="D74" s="144" t="str">
        <f>IFERROR(__xludf.DUMMYFUNCTION("""COMPUTED_VALUE"""),"PLANT TISSUE CULTURE")</f>
        <v>PLANT TISSUE CULTURE</v>
      </c>
      <c r="E74" s="144" t="str">
        <f>IFERROR(__xludf.DUMMYFUNCTION("""COMPUTED_VALUE"""),"THEORY WITH LAB")</f>
        <v>THEORY WITH LAB</v>
      </c>
      <c r="F74" s="144" t="str">
        <f>IFERROR(__xludf.DUMMYFUNCTION("""COMPUTED_VALUE"""),"BT1388")</f>
        <v>BT1388</v>
      </c>
      <c r="G74" s="144" t="str">
        <f>IFERROR(__xludf.DUMMYFUNCTION("""COMPUTED_VALUE"""),"Dr.KANNAN K P")</f>
        <v>Dr.KANNAN K P</v>
      </c>
      <c r="H74" s="144" t="str">
        <f>IFERROR(__xludf.DUMMYFUNCTION("""COMPUTED_VALUE"""),"kannankp@bitsathy.ac.in")</f>
        <v>kannankp@bitsathy.ac.in</v>
      </c>
    </row>
    <row r="75">
      <c r="A75" s="144" t="str">
        <f>IFERROR(__xludf.DUMMYFUNCTION("""COMPUTED_VALUE"""),"BT")</f>
        <v>BT</v>
      </c>
      <c r="B75" s="144" t="str">
        <f>IFERROR(__xludf.DUMMYFUNCTION("""COMPUTED_VALUE"""),"S4")</f>
        <v>S4</v>
      </c>
      <c r="C75" s="144" t="str">
        <f>IFERROR(__xludf.DUMMYFUNCTION("""COMPUTED_VALUE"""),"22BT405")</f>
        <v>22BT405</v>
      </c>
      <c r="D75" s="144" t="str">
        <f>IFERROR(__xludf.DUMMYFUNCTION("""COMPUTED_VALUE"""),"PLANT TISSUE CULTURE")</f>
        <v>PLANT TISSUE CULTURE</v>
      </c>
      <c r="E75" s="144" t="str">
        <f>IFERROR(__xludf.DUMMYFUNCTION("""COMPUTED_VALUE"""),"THEORY WITH LAB")</f>
        <v>THEORY WITH LAB</v>
      </c>
      <c r="F75" s="144" t="str">
        <f>IFERROR(__xludf.DUMMYFUNCTION("""COMPUTED_VALUE"""),"BT1930")</f>
        <v>BT1930</v>
      </c>
      <c r="G75" s="144" t="str">
        <f>IFERROR(__xludf.DUMMYFUNCTION("""COMPUTED_VALUE"""),"Dr.PAVITHRA MKS")</f>
        <v>Dr.PAVITHRA MKS</v>
      </c>
      <c r="H75" s="144" t="str">
        <f>IFERROR(__xludf.DUMMYFUNCTION("""COMPUTED_VALUE"""),"pavithramks@bitsathy.ac.in")</f>
        <v>pavithramks@bitsathy.ac.in</v>
      </c>
    </row>
    <row r="76">
      <c r="A76" s="144" t="str">
        <f>IFERROR(__xludf.DUMMYFUNCTION("""COMPUTED_VALUE"""),"BT")</f>
        <v>BT</v>
      </c>
      <c r="B76" s="144" t="str">
        <f>IFERROR(__xludf.DUMMYFUNCTION("""COMPUTED_VALUE"""),"S4")</f>
        <v>S4</v>
      </c>
      <c r="C76" s="144" t="str">
        <f>IFERROR(__xludf.DUMMYFUNCTION("""COMPUTED_VALUE"""),"22BT012")</f>
        <v>22BT012</v>
      </c>
      <c r="D76" s="144" t="str">
        <f>IFERROR(__xludf.DUMMYFUNCTION("""COMPUTED_VALUE"""),"BIODIVERSITY AND AGROFORESTRY")</f>
        <v>BIODIVERSITY AND AGROFORESTRY</v>
      </c>
      <c r="E76" s="144" t="str">
        <f>IFERROR(__xludf.DUMMYFUNCTION("""COMPUTED_VALUE"""),"THEORY")</f>
        <v>THEORY</v>
      </c>
      <c r="F76" s="144" t="str">
        <f>IFERROR(__xludf.DUMMYFUNCTION("""COMPUTED_VALUE"""),"BT10978")</f>
        <v>BT10978</v>
      </c>
      <c r="G76" s="144" t="str">
        <f>IFERROR(__xludf.DUMMYFUNCTION("""COMPUTED_VALUE"""),"Mrs.SAKTHISHOBANA K")</f>
        <v>Mrs.SAKTHISHOBANA K</v>
      </c>
      <c r="H76" s="144" t="str">
        <f>IFERROR(__xludf.DUMMYFUNCTION("""COMPUTED_VALUE"""),"sakthishobanak@bitsathy.ac.in")</f>
        <v>sakthishobanak@bitsathy.ac.in</v>
      </c>
    </row>
    <row r="77">
      <c r="A77" s="144" t="str">
        <f>IFERROR(__xludf.DUMMYFUNCTION("""COMPUTED_VALUE"""),"BT")</f>
        <v>BT</v>
      </c>
      <c r="B77" s="144" t="str">
        <f>IFERROR(__xludf.DUMMYFUNCTION("""COMPUTED_VALUE"""),"S4")</f>
        <v>S4</v>
      </c>
      <c r="C77" s="144" t="str">
        <f>IFERROR(__xludf.DUMMYFUNCTION("""COMPUTED_VALUE"""),"22BT003")</f>
        <v>22BT003</v>
      </c>
      <c r="D77" s="144" t="str">
        <f>IFERROR(__xludf.DUMMYFUNCTION("""COMPUTED_VALUE"""),"ENVIRONMENTAL BIOTECHNOLOGY")</f>
        <v>ENVIRONMENTAL BIOTECHNOLOGY</v>
      </c>
      <c r="E77" s="144" t="str">
        <f>IFERROR(__xludf.DUMMYFUNCTION("""COMPUTED_VALUE"""),"THEORY")</f>
        <v>THEORY</v>
      </c>
      <c r="F77" s="144" t="str">
        <f>IFERROR(__xludf.DUMMYFUNCTION("""COMPUTED_VALUE"""),"BT1849")</f>
        <v>BT1849</v>
      </c>
      <c r="G77" s="144" t="str">
        <f>IFERROR(__xludf.DUMMYFUNCTION("""COMPUTED_VALUE"""),"Dr.KIRUPA SANKAR M")</f>
        <v>Dr.KIRUPA SANKAR M</v>
      </c>
      <c r="H77" s="144" t="str">
        <f>IFERROR(__xludf.DUMMYFUNCTION("""COMPUTED_VALUE"""),"kirupasankarm@bitsathy.ac.in")</f>
        <v>kirupasankarm@bitsathy.ac.in</v>
      </c>
    </row>
    <row r="78">
      <c r="A78" s="144" t="str">
        <f>IFERROR(__xludf.DUMMYFUNCTION("""COMPUTED_VALUE"""),"BT")</f>
        <v>BT</v>
      </c>
      <c r="B78" s="144" t="str">
        <f>IFERROR(__xludf.DUMMYFUNCTION("""COMPUTED_VALUE"""),"S4")</f>
        <v>S4</v>
      </c>
      <c r="C78" s="144" t="str">
        <f>IFERROR(__xludf.DUMMYFUNCTION("""COMPUTED_VALUE"""),"22BT003")</f>
        <v>22BT003</v>
      </c>
      <c r="D78" s="144" t="str">
        <f>IFERROR(__xludf.DUMMYFUNCTION("""COMPUTED_VALUE"""),"ENVIRONMENTAL BIOTECHNOLOGY")</f>
        <v>ENVIRONMENTAL BIOTECHNOLOGY</v>
      </c>
      <c r="E78" s="144" t="str">
        <f>IFERROR(__xludf.DUMMYFUNCTION("""COMPUTED_VALUE"""),"THEORY")</f>
        <v>THEORY</v>
      </c>
      <c r="F78" s="144" t="str">
        <f>IFERROR(__xludf.DUMMYFUNCTION("""COMPUTED_VALUE"""),"BT10375")</f>
        <v>BT10375</v>
      </c>
      <c r="G78" s="144" t="str">
        <f>IFERROR(__xludf.DUMMYFUNCTION("""COMPUTED_VALUE"""),"Dr.ASHWIN  RAJ S")</f>
        <v>Dr.ASHWIN  RAJ S</v>
      </c>
      <c r="H78" s="144" t="str">
        <f>IFERROR(__xludf.DUMMYFUNCTION("""COMPUTED_VALUE"""),"ashwinraj@bitsathy.ac.in")</f>
        <v>ashwinraj@bitsathy.ac.in</v>
      </c>
    </row>
    <row r="79">
      <c r="A79" s="144" t="str">
        <f>IFERROR(__xludf.DUMMYFUNCTION("""COMPUTED_VALUE"""),"BT")</f>
        <v>BT</v>
      </c>
      <c r="B79" s="144" t="str">
        <f>IFERROR(__xludf.DUMMYFUNCTION("""COMPUTED_VALUE"""),"S4")</f>
        <v>S4</v>
      </c>
      <c r="C79" s="144" t="str">
        <f>IFERROR(__xludf.DUMMYFUNCTION("""COMPUTED_VALUE"""),"22HS007")</f>
        <v>22HS007</v>
      </c>
      <c r="D79" s="144" t="str">
        <f>IFERROR(__xludf.DUMMYFUNCTION("""COMPUTED_VALUE"""),"ENVIRONMENTAL SCIENCE")</f>
        <v>ENVIRONMENTAL SCIENCE</v>
      </c>
      <c r="E79" s="144" t="str">
        <f>IFERROR(__xludf.DUMMYFUNCTION("""COMPUTED_VALUE"""),"LAB")</f>
        <v>LAB</v>
      </c>
      <c r="F79" s="144" t="str">
        <f>IFERROR(__xludf.DUMMYFUNCTION("""COMPUTED_VALUE"""),"CH1493")</f>
        <v>CH1493</v>
      </c>
      <c r="G79" s="144" t="str">
        <f>IFERROR(__xludf.DUMMYFUNCTION("""COMPUTED_VALUE"""),"Dr.SUBHAPRIYA P")</f>
        <v>Dr.SUBHAPRIYA P</v>
      </c>
      <c r="H79" s="144" t="str">
        <f>IFERROR(__xludf.DUMMYFUNCTION("""COMPUTED_VALUE"""),"subhapriyap@bitsathy.ac.in")</f>
        <v>subhapriyap@bitsathy.ac.in</v>
      </c>
    </row>
    <row r="80">
      <c r="A80" s="144" t="str">
        <f>IFERROR(__xludf.DUMMYFUNCTION("""COMPUTED_VALUE"""),"BT")</f>
        <v>BT</v>
      </c>
      <c r="B80" s="144" t="str">
        <f>IFERROR(__xludf.DUMMYFUNCTION("""COMPUTED_VALUE"""),"S4")</f>
        <v>S4</v>
      </c>
      <c r="C80" s="144" t="str">
        <f>IFERROR(__xludf.DUMMYFUNCTION("""COMPUTED_VALUE"""),"22HS007")</f>
        <v>22HS007</v>
      </c>
      <c r="D80" s="144" t="str">
        <f>IFERROR(__xludf.DUMMYFUNCTION("""COMPUTED_VALUE"""),"ENVIRONMENTAL SCIENCE")</f>
        <v>ENVIRONMENTAL SCIENCE</v>
      </c>
      <c r="E80" s="144" t="str">
        <f>IFERROR(__xludf.DUMMYFUNCTION("""COMPUTED_VALUE"""),"LAB")</f>
        <v>LAB</v>
      </c>
      <c r="F80" s="144" t="str">
        <f>IFERROR(__xludf.DUMMYFUNCTION("""COMPUTED_VALUE"""),"CH10372")</f>
        <v>CH10372</v>
      </c>
      <c r="G80" s="144" t="str">
        <f>IFERROR(__xludf.DUMMYFUNCTION("""COMPUTED_VALUE"""),"Dr.RAMESHKUMAR A")</f>
        <v>Dr.RAMESHKUMAR A</v>
      </c>
      <c r="H80" s="144" t="str">
        <f>IFERROR(__xludf.DUMMYFUNCTION("""COMPUTED_VALUE"""),"rameshkumar@bitsathy.ac.in")</f>
        <v>rameshkumar@bitsathy.ac.in</v>
      </c>
    </row>
    <row r="81">
      <c r="A81" s="144" t="str">
        <f>IFERROR(__xludf.DUMMYFUNCTION("""COMPUTED_VALUE"""),"BT")</f>
        <v>BT</v>
      </c>
      <c r="B81" s="144" t="str">
        <f>IFERROR(__xludf.DUMMYFUNCTION("""COMPUTED_VALUE"""),"S4")</f>
        <v>S4</v>
      </c>
      <c r="C81" s="144" t="str">
        <f>IFERROR(__xludf.DUMMYFUNCTION("""COMPUTED_VALUE"""),"22HS008")</f>
        <v>22HS008</v>
      </c>
      <c r="D81" s="144" t="str">
        <f>IFERROR(__xludf.DUMMYFUNCTION("""COMPUTED_VALUE"""),"ADVANCED ENGLISH AND TECHNICAL EXPRESSION ")</f>
        <v>ADVANCED ENGLISH AND TECHNICAL EXPRESSION </v>
      </c>
      <c r="E81" s="144" t="str">
        <f>IFERROR(__xludf.DUMMYFUNCTION("""COMPUTED_VALUE"""),"LAB")</f>
        <v>LAB</v>
      </c>
      <c r="F81" s="144" t="str">
        <f>IFERROR(__xludf.DUMMYFUNCTION("""COMPUTED_VALUE"""),"HU11139")</f>
        <v>HU11139</v>
      </c>
      <c r="G81" s="144" t="str">
        <f>IFERROR(__xludf.DUMMYFUNCTION("""COMPUTED_VALUE"""),"Dr.ASLIN JERUSHA D")</f>
        <v>Dr.ASLIN JERUSHA D</v>
      </c>
      <c r="H81" s="144" t="str">
        <f>IFERROR(__xludf.DUMMYFUNCTION("""COMPUTED_VALUE"""),"aslinjerusha@bitsathy.ac.in")</f>
        <v>aslinjerusha@bitsathy.ac.in</v>
      </c>
    </row>
    <row r="82">
      <c r="A82" s="144" t="str">
        <f>IFERROR(__xludf.DUMMYFUNCTION("""COMPUTED_VALUE"""),"BT")</f>
        <v>BT</v>
      </c>
      <c r="B82" s="144" t="str">
        <f>IFERROR(__xludf.DUMMYFUNCTION("""COMPUTED_VALUE"""),"S4")</f>
        <v>S4</v>
      </c>
      <c r="C82" s="144" t="str">
        <f>IFERROR(__xludf.DUMMYFUNCTION("""COMPUTED_VALUE"""),"22HS008")</f>
        <v>22HS008</v>
      </c>
      <c r="D82" s="144" t="str">
        <f>IFERROR(__xludf.DUMMYFUNCTION("""COMPUTED_VALUE"""),"ADVANCED ENGLISH AND TECHNICAL EXPRESSION ")</f>
        <v>ADVANCED ENGLISH AND TECHNICAL EXPRESSION </v>
      </c>
      <c r="E82" s="144" t="str">
        <f>IFERROR(__xludf.DUMMYFUNCTION("""COMPUTED_VALUE"""),"LAB")</f>
        <v>LAB</v>
      </c>
      <c r="F82" s="144" t="str">
        <f>IFERROR(__xludf.DUMMYFUNCTION("""COMPUTED_VALUE"""),"HU11151")</f>
        <v>HU11151</v>
      </c>
      <c r="G82" s="144" t="str">
        <f>IFERROR(__xludf.DUMMYFUNCTION("""COMPUTED_VALUE"""),"Dr.NITHYA S")</f>
        <v>Dr.NITHYA S</v>
      </c>
      <c r="H82" s="144" t="str">
        <f>IFERROR(__xludf.DUMMYFUNCTION("""COMPUTED_VALUE"""),"nithyas@bitsathy.ac.in")</f>
        <v>nithyas@bitsathy.ac.in</v>
      </c>
    </row>
    <row r="83">
      <c r="A83" s="144" t="str">
        <f>IFERROR(__xludf.DUMMYFUNCTION("""COMPUTED_VALUE"""),"CSE")</f>
        <v>CSE</v>
      </c>
      <c r="B83" s="144" t="str">
        <f>IFERROR(__xludf.DUMMYFUNCTION("""COMPUTED_VALUE"""),"S4")</f>
        <v>S4</v>
      </c>
      <c r="C83" s="144" t="str">
        <f>IFERROR(__xludf.DUMMYFUNCTION("""COMPUTED_VALUE"""),"22CS401")</f>
        <v>22CS401</v>
      </c>
      <c r="D83" s="144" t="str">
        <f>IFERROR(__xludf.DUMMYFUNCTION("""COMPUTED_VALUE"""),"DISCRETE MATHEMATICS")</f>
        <v>DISCRETE MATHEMATICS</v>
      </c>
      <c r="E83" s="144" t="str">
        <f>IFERROR(__xludf.DUMMYFUNCTION("""COMPUTED_VALUE"""),"THEORY")</f>
        <v>THEORY</v>
      </c>
      <c r="F83" s="144" t="str">
        <f>IFERROR(__xludf.DUMMYFUNCTION("""COMPUTED_VALUE"""),"MA1566")</f>
        <v>MA1566</v>
      </c>
      <c r="G83" s="144" t="str">
        <f>IFERROR(__xludf.DUMMYFUNCTION("""COMPUTED_VALUE"""),"Dr.PARIMALA M")</f>
        <v>Dr.PARIMALA M</v>
      </c>
      <c r="H83" s="144" t="str">
        <f>IFERROR(__xludf.DUMMYFUNCTION("""COMPUTED_VALUE"""),"parimalam@bitsathy.ac.in")</f>
        <v>parimalam@bitsathy.ac.in</v>
      </c>
    </row>
    <row r="84">
      <c r="A84" s="144" t="str">
        <f>IFERROR(__xludf.DUMMYFUNCTION("""COMPUTED_VALUE"""),"CSE")</f>
        <v>CSE</v>
      </c>
      <c r="B84" s="144" t="str">
        <f>IFERROR(__xludf.DUMMYFUNCTION("""COMPUTED_VALUE"""),"S4")</f>
        <v>S4</v>
      </c>
      <c r="C84" s="144" t="str">
        <f>IFERROR(__xludf.DUMMYFUNCTION("""COMPUTED_VALUE"""),"22CS401")</f>
        <v>22CS401</v>
      </c>
      <c r="D84" s="144" t="str">
        <f>IFERROR(__xludf.DUMMYFUNCTION("""COMPUTED_VALUE"""),"DISCRETE MATHEMATICS")</f>
        <v>DISCRETE MATHEMATICS</v>
      </c>
      <c r="E84" s="144" t="str">
        <f>IFERROR(__xludf.DUMMYFUNCTION("""COMPUTED_VALUE"""),"THEORY")</f>
        <v>THEORY</v>
      </c>
      <c r="F84" s="144" t="str">
        <f>IFERROR(__xludf.DUMMYFUNCTION("""COMPUTED_VALUE"""),"MA1465")</f>
        <v>MA1465</v>
      </c>
      <c r="G84" s="144" t="str">
        <f>IFERROR(__xludf.DUMMYFUNCTION("""COMPUTED_VALUE"""),"Dr.PRAKASH K")</f>
        <v>Dr.PRAKASH K</v>
      </c>
      <c r="H84" s="144" t="str">
        <f>IFERROR(__xludf.DUMMYFUNCTION("""COMPUTED_VALUE"""),"prakashk@bitsathy.ac.in")</f>
        <v>prakashk@bitsathy.ac.in</v>
      </c>
    </row>
    <row r="85">
      <c r="A85" s="144" t="str">
        <f>IFERROR(__xludf.DUMMYFUNCTION("""COMPUTED_VALUE"""),"CSE")</f>
        <v>CSE</v>
      </c>
      <c r="B85" s="144" t="str">
        <f>IFERROR(__xludf.DUMMYFUNCTION("""COMPUTED_VALUE"""),"S4")</f>
        <v>S4</v>
      </c>
      <c r="C85" s="144" t="str">
        <f>IFERROR(__xludf.DUMMYFUNCTION("""COMPUTED_VALUE"""),"22CS401")</f>
        <v>22CS401</v>
      </c>
      <c r="D85" s="144" t="str">
        <f>IFERROR(__xludf.DUMMYFUNCTION("""COMPUTED_VALUE"""),"DISCRETE MATHEMATICS")</f>
        <v>DISCRETE MATHEMATICS</v>
      </c>
      <c r="E85" s="144" t="str">
        <f>IFERROR(__xludf.DUMMYFUNCTION("""COMPUTED_VALUE"""),"THEORY")</f>
        <v>THEORY</v>
      </c>
      <c r="F85" s="144" t="str">
        <f>IFERROR(__xludf.DUMMYFUNCTION("""COMPUTED_VALUE"""),"MA1702")</f>
        <v>MA1702</v>
      </c>
      <c r="G85" s="144" t="str">
        <f>IFERROR(__xludf.DUMMYFUNCTION("""COMPUTED_VALUE"""),"Dr.UMAMAGESWARI D")</f>
        <v>Dr.UMAMAGESWARI D</v>
      </c>
      <c r="H85" s="144" t="str">
        <f>IFERROR(__xludf.DUMMYFUNCTION("""COMPUTED_VALUE"""),"umamageswarid@bitsathy.ac.in")</f>
        <v>umamageswarid@bitsathy.ac.in</v>
      </c>
    </row>
    <row r="86">
      <c r="A86" s="144" t="str">
        <f>IFERROR(__xludf.DUMMYFUNCTION("""COMPUTED_VALUE"""),"CSE")</f>
        <v>CSE</v>
      </c>
      <c r="B86" s="144" t="str">
        <f>IFERROR(__xludf.DUMMYFUNCTION("""COMPUTED_VALUE"""),"S4")</f>
        <v>S4</v>
      </c>
      <c r="C86" s="144" t="str">
        <f>IFERROR(__xludf.DUMMYFUNCTION("""COMPUTED_VALUE"""),"22CS401")</f>
        <v>22CS401</v>
      </c>
      <c r="D86" s="144" t="str">
        <f>IFERROR(__xludf.DUMMYFUNCTION("""COMPUTED_VALUE"""),"DISCRETE MATHEMATICS")</f>
        <v>DISCRETE MATHEMATICS</v>
      </c>
      <c r="E86" s="144" t="str">
        <f>IFERROR(__xludf.DUMMYFUNCTION("""COMPUTED_VALUE"""),"THEORY")</f>
        <v>THEORY</v>
      </c>
      <c r="F86" s="144" t="str">
        <f>IFERROR(__xludf.DUMMYFUNCTION("""COMPUTED_VALUE"""),"MA10071")</f>
        <v>MA10071</v>
      </c>
      <c r="G86" s="144" t="str">
        <f>IFERROR(__xludf.DUMMYFUNCTION("""COMPUTED_VALUE"""),"Mrs.PREETHA R")</f>
        <v>Mrs.PREETHA R</v>
      </c>
      <c r="H86" s="144" t="str">
        <f>IFERROR(__xludf.DUMMYFUNCTION("""COMPUTED_VALUE"""),"preetha@bitsathy.ac.in")</f>
        <v>preetha@bitsathy.ac.in</v>
      </c>
    </row>
    <row r="87">
      <c r="A87" s="144" t="str">
        <f>IFERROR(__xludf.DUMMYFUNCTION("""COMPUTED_VALUE"""),"CSE")</f>
        <v>CSE</v>
      </c>
      <c r="B87" s="144" t="str">
        <f>IFERROR(__xludf.DUMMYFUNCTION("""COMPUTED_VALUE"""),"S4")</f>
        <v>S4</v>
      </c>
      <c r="C87" s="144" t="str">
        <f>IFERROR(__xludf.DUMMYFUNCTION("""COMPUTED_VALUE"""),"22CS401")</f>
        <v>22CS401</v>
      </c>
      <c r="D87" s="144" t="str">
        <f>IFERROR(__xludf.DUMMYFUNCTION("""COMPUTED_VALUE"""),"DISCRETE MATHEMATICS")</f>
        <v>DISCRETE MATHEMATICS</v>
      </c>
      <c r="E87" s="144" t="str">
        <f>IFERROR(__xludf.DUMMYFUNCTION("""COMPUTED_VALUE"""),"THEORY")</f>
        <v>THEORY</v>
      </c>
      <c r="F87" s="144" t="str">
        <f>IFERROR(__xludf.DUMMYFUNCTION("""COMPUTED_VALUE"""),"MA10119")</f>
        <v>MA10119</v>
      </c>
      <c r="G87" s="144" t="str">
        <f>IFERROR(__xludf.DUMMYFUNCTION("""COMPUTED_VALUE"""),"Dr.SARANYA D")</f>
        <v>Dr.SARANYA D</v>
      </c>
      <c r="H87" s="144" t="str">
        <f>IFERROR(__xludf.DUMMYFUNCTION("""COMPUTED_VALUE"""),"saranyad@bitsathy.ac.in")</f>
        <v>saranyad@bitsathy.ac.in</v>
      </c>
    </row>
    <row r="88">
      <c r="A88" s="144" t="str">
        <f>IFERROR(__xludf.DUMMYFUNCTION("""COMPUTED_VALUE"""),"CSE")</f>
        <v>CSE</v>
      </c>
      <c r="B88" s="144" t="str">
        <f>IFERROR(__xludf.DUMMYFUNCTION("""COMPUTED_VALUE"""),"S4")</f>
        <v>S4</v>
      </c>
      <c r="C88" s="144" t="str">
        <f>IFERROR(__xludf.DUMMYFUNCTION("""COMPUTED_VALUE"""),"22CS401")</f>
        <v>22CS401</v>
      </c>
      <c r="D88" s="144" t="str">
        <f>IFERROR(__xludf.DUMMYFUNCTION("""COMPUTED_VALUE"""),"DISCRETE MATHEMATICS")</f>
        <v>DISCRETE MATHEMATICS</v>
      </c>
      <c r="E88" s="144" t="str">
        <f>IFERROR(__xludf.DUMMYFUNCTION("""COMPUTED_VALUE"""),"THEORY")</f>
        <v>THEORY</v>
      </c>
      <c r="F88" s="144" t="str">
        <f>IFERROR(__xludf.DUMMYFUNCTION("""COMPUTED_VALUE"""),"MA11181")</f>
        <v>MA11181</v>
      </c>
      <c r="G88" s="144" t="str">
        <f>IFERROR(__xludf.DUMMYFUNCTION("""COMPUTED_VALUE"""),"Dr.HEMALATHA B")</f>
        <v>Dr.HEMALATHA B</v>
      </c>
      <c r="H88" s="144" t="str">
        <f>IFERROR(__xludf.DUMMYFUNCTION("""COMPUTED_VALUE"""),"hemalathab@bitsathy.ac.in")</f>
        <v>hemalathab@bitsathy.ac.in</v>
      </c>
    </row>
    <row r="89">
      <c r="A89" s="144" t="str">
        <f>IFERROR(__xludf.DUMMYFUNCTION("""COMPUTED_VALUE"""),"CSE")</f>
        <v>CSE</v>
      </c>
      <c r="B89" s="144" t="str">
        <f>IFERROR(__xludf.DUMMYFUNCTION("""COMPUTED_VALUE"""),"S4")</f>
        <v>S4</v>
      </c>
      <c r="C89" s="144" t="str">
        <f>IFERROR(__xludf.DUMMYFUNCTION("""COMPUTED_VALUE"""),"22CS402")</f>
        <v>22CS402</v>
      </c>
      <c r="D89" s="144" t="str">
        <f>IFERROR(__xludf.DUMMYFUNCTION("""COMPUTED_VALUE"""),"DATA STRUCTURES II")</f>
        <v>DATA STRUCTURES II</v>
      </c>
      <c r="E89" s="144" t="str">
        <f>IFERROR(__xludf.DUMMYFUNCTION("""COMPUTED_VALUE"""),"THEORY WITH LAB")</f>
        <v>THEORY WITH LAB</v>
      </c>
      <c r="F89" s="144" t="str">
        <f>IFERROR(__xludf.DUMMYFUNCTION("""COMPUTED_VALUE"""),"CS10797")</f>
        <v>CS10797</v>
      </c>
      <c r="G89" s="144" t="str">
        <f>IFERROR(__xludf.DUMMYFUNCTION("""COMPUTED_VALUE"""),"Dr.SANGEETHAA SN")</f>
        <v>Dr.SANGEETHAA SN</v>
      </c>
      <c r="H89" s="144" t="str">
        <f>IFERROR(__xludf.DUMMYFUNCTION("""COMPUTED_VALUE"""),"sangeethaasn@bitsathy.ac.in")</f>
        <v>sangeethaasn@bitsathy.ac.in</v>
      </c>
    </row>
    <row r="90">
      <c r="A90" s="144" t="str">
        <f>IFERROR(__xludf.DUMMYFUNCTION("""COMPUTED_VALUE"""),"CSE")</f>
        <v>CSE</v>
      </c>
      <c r="B90" s="144" t="str">
        <f>IFERROR(__xludf.DUMMYFUNCTION("""COMPUTED_VALUE"""),"S4")</f>
        <v>S4</v>
      </c>
      <c r="C90" s="144" t="str">
        <f>IFERROR(__xludf.DUMMYFUNCTION("""COMPUTED_VALUE"""),"22CS402")</f>
        <v>22CS402</v>
      </c>
      <c r="D90" s="144" t="str">
        <f>IFERROR(__xludf.DUMMYFUNCTION("""COMPUTED_VALUE"""),"DATA STRUCTURES II")</f>
        <v>DATA STRUCTURES II</v>
      </c>
      <c r="E90" s="144" t="str">
        <f>IFERROR(__xludf.DUMMYFUNCTION("""COMPUTED_VALUE"""),"THEORY WITH LAB")</f>
        <v>THEORY WITH LAB</v>
      </c>
      <c r="F90" s="144" t="str">
        <f>IFERROR(__xludf.DUMMYFUNCTION("""COMPUTED_VALUE"""),"CS1906")</f>
        <v>CS1906</v>
      </c>
      <c r="G90" s="144" t="str">
        <f>IFERROR(__xludf.DUMMYFUNCTION("""COMPUTED_VALUE"""),"Dr.RAMYA R")</f>
        <v>Dr.RAMYA R</v>
      </c>
      <c r="H90" s="144" t="str">
        <f>IFERROR(__xludf.DUMMYFUNCTION("""COMPUTED_VALUE"""),"ramyarv@bitsathy.ac.in")</f>
        <v>ramyarv@bitsathy.ac.in</v>
      </c>
    </row>
    <row r="91">
      <c r="A91" s="144" t="str">
        <f>IFERROR(__xludf.DUMMYFUNCTION("""COMPUTED_VALUE"""),"CSE")</f>
        <v>CSE</v>
      </c>
      <c r="B91" s="144" t="str">
        <f>IFERROR(__xludf.DUMMYFUNCTION("""COMPUTED_VALUE"""),"S4")</f>
        <v>S4</v>
      </c>
      <c r="C91" s="144" t="str">
        <f>IFERROR(__xludf.DUMMYFUNCTION("""COMPUTED_VALUE"""),"22CS402")</f>
        <v>22CS402</v>
      </c>
      <c r="D91" s="144" t="str">
        <f>IFERROR(__xludf.DUMMYFUNCTION("""COMPUTED_VALUE"""),"DATA STRUCTURES II")</f>
        <v>DATA STRUCTURES II</v>
      </c>
      <c r="E91" s="144" t="str">
        <f>IFERROR(__xludf.DUMMYFUNCTION("""COMPUTED_VALUE"""),"THEORY WITH LAB")</f>
        <v>THEORY WITH LAB</v>
      </c>
      <c r="F91" s="144" t="str">
        <f>IFERROR(__xludf.DUMMYFUNCTION("""COMPUTED_VALUE"""),"CS11080")</f>
        <v>CS11080</v>
      </c>
      <c r="G91" s="144" t="str">
        <f>IFERROR(__xludf.DUMMYFUNCTION("""COMPUTED_VALUE"""),"Mrs.AMMU V")</f>
        <v>Mrs.AMMU V</v>
      </c>
      <c r="H91" s="144" t="str">
        <f>IFERROR(__xludf.DUMMYFUNCTION("""COMPUTED_VALUE"""),"ammu@bitsathy.ac.in")</f>
        <v>ammu@bitsathy.ac.in</v>
      </c>
    </row>
    <row r="92">
      <c r="A92" s="144" t="str">
        <f>IFERROR(__xludf.DUMMYFUNCTION("""COMPUTED_VALUE"""),"CSE")</f>
        <v>CSE</v>
      </c>
      <c r="B92" s="144" t="str">
        <f>IFERROR(__xludf.DUMMYFUNCTION("""COMPUTED_VALUE"""),"S4")</f>
        <v>S4</v>
      </c>
      <c r="C92" s="144" t="str">
        <f>IFERROR(__xludf.DUMMYFUNCTION("""COMPUTED_VALUE"""),"22CS402")</f>
        <v>22CS402</v>
      </c>
      <c r="D92" s="144" t="str">
        <f>IFERROR(__xludf.DUMMYFUNCTION("""COMPUTED_VALUE"""),"DATA STRUCTURES II")</f>
        <v>DATA STRUCTURES II</v>
      </c>
      <c r="E92" s="144" t="str">
        <f>IFERROR(__xludf.DUMMYFUNCTION("""COMPUTED_VALUE"""),"THEORY WITH LAB")</f>
        <v>THEORY WITH LAB</v>
      </c>
      <c r="F92" s="144" t="str">
        <f>IFERROR(__xludf.DUMMYFUNCTION("""COMPUTED_VALUE"""),"CS11158")</f>
        <v>CS11158</v>
      </c>
      <c r="G92" s="144" t="str">
        <f>IFERROR(__xludf.DUMMYFUNCTION("""COMPUTED_VALUE"""),"Mrs.KAYALVIZHI B")</f>
        <v>Mrs.KAYALVIZHI B</v>
      </c>
      <c r="H92" s="144" t="str">
        <f>IFERROR(__xludf.DUMMYFUNCTION("""COMPUTED_VALUE"""),"kayalvizhib@bitsathy.ac.in")</f>
        <v>kayalvizhib@bitsathy.ac.in</v>
      </c>
    </row>
    <row r="93">
      <c r="A93" s="144" t="str">
        <f>IFERROR(__xludf.DUMMYFUNCTION("""COMPUTED_VALUE"""),"CSE")</f>
        <v>CSE</v>
      </c>
      <c r="B93" s="144" t="str">
        <f>IFERROR(__xludf.DUMMYFUNCTION("""COMPUTED_VALUE"""),"S4")</f>
        <v>S4</v>
      </c>
      <c r="C93" s="144" t="str">
        <f>IFERROR(__xludf.DUMMYFUNCTION("""COMPUTED_VALUE"""),"22CS402")</f>
        <v>22CS402</v>
      </c>
      <c r="D93" s="144" t="str">
        <f>IFERROR(__xludf.DUMMYFUNCTION("""COMPUTED_VALUE"""),"DATA STRUCTURES II")</f>
        <v>DATA STRUCTURES II</v>
      </c>
      <c r="E93" s="144" t="str">
        <f>IFERROR(__xludf.DUMMYFUNCTION("""COMPUTED_VALUE"""),"THEORY WITH LAB")</f>
        <v>THEORY WITH LAB</v>
      </c>
      <c r="F93" s="144" t="str">
        <f>IFERROR(__xludf.DUMMYFUNCTION("""COMPUTED_VALUE"""),"CS11094")</f>
        <v>CS11094</v>
      </c>
      <c r="G93" s="144" t="str">
        <f>IFERROR(__xludf.DUMMYFUNCTION("""COMPUTED_VALUE"""),"Ms.RATHNA S")</f>
        <v>Ms.RATHNA S</v>
      </c>
      <c r="H93" s="144" t="str">
        <f>IFERROR(__xludf.DUMMYFUNCTION("""COMPUTED_VALUE"""),"rathna@bitsathy.ac.in")</f>
        <v>rathna@bitsathy.ac.in</v>
      </c>
    </row>
    <row r="94">
      <c r="A94" s="144" t="str">
        <f>IFERROR(__xludf.DUMMYFUNCTION("""COMPUTED_VALUE"""),"CSE")</f>
        <v>CSE</v>
      </c>
      <c r="B94" s="144" t="str">
        <f>IFERROR(__xludf.DUMMYFUNCTION("""COMPUTED_VALUE"""),"S4")</f>
        <v>S4</v>
      </c>
      <c r="C94" s="144" t="str">
        <f>IFERROR(__xludf.DUMMYFUNCTION("""COMPUTED_VALUE"""),"22CS402")</f>
        <v>22CS402</v>
      </c>
      <c r="D94" s="144" t="str">
        <f>IFERROR(__xludf.DUMMYFUNCTION("""COMPUTED_VALUE"""),"DATA STRUCTURES II")</f>
        <v>DATA STRUCTURES II</v>
      </c>
      <c r="E94" s="144" t="str">
        <f>IFERROR(__xludf.DUMMYFUNCTION("""COMPUTED_VALUE"""),"THEORY WITH LAB")</f>
        <v>THEORY WITH LAB</v>
      </c>
      <c r="F94" s="144" t="str">
        <f>IFERROR(__xludf.DUMMYFUNCTION("""COMPUTED_VALUE"""),"CS11162")</f>
        <v>CS11162</v>
      </c>
      <c r="G94" s="144" t="str">
        <f>IFERROR(__xludf.DUMMYFUNCTION("""COMPUTED_VALUE"""),"Ms.THANGATAMILSELVI S")</f>
        <v>Ms.THANGATAMILSELVI S</v>
      </c>
      <c r="H94" s="144" t="str">
        <f>IFERROR(__xludf.DUMMYFUNCTION("""COMPUTED_VALUE"""),"thangatamilselvis@bitsathy.ac.in")</f>
        <v>thangatamilselvis@bitsathy.ac.in</v>
      </c>
    </row>
    <row r="95">
      <c r="A95" s="144" t="str">
        <f>IFERROR(__xludf.DUMMYFUNCTION("""COMPUTED_VALUE"""),"CSE")</f>
        <v>CSE</v>
      </c>
      <c r="B95" s="144" t="str">
        <f>IFERROR(__xludf.DUMMYFUNCTION("""COMPUTED_VALUE"""),"S4")</f>
        <v>S4</v>
      </c>
      <c r="C95" s="144" t="str">
        <f>IFERROR(__xludf.DUMMYFUNCTION("""COMPUTED_VALUE"""),"22CS403")</f>
        <v>22CS403</v>
      </c>
      <c r="D95" s="144" t="str">
        <f>IFERROR(__xludf.DUMMYFUNCTION("""COMPUTED_VALUE"""),"OPERATING SYSTEMS")</f>
        <v>OPERATING SYSTEMS</v>
      </c>
      <c r="E95" s="144" t="str">
        <f>IFERROR(__xludf.DUMMYFUNCTION("""COMPUTED_VALUE"""),"THEORY")</f>
        <v>THEORY</v>
      </c>
      <c r="F95" s="144" t="str">
        <f>IFERROR(__xludf.DUMMYFUNCTION("""COMPUTED_VALUE"""),"CS1110")</f>
        <v>CS1110</v>
      </c>
      <c r="G95" s="144" t="str">
        <f>IFERROR(__xludf.DUMMYFUNCTION("""COMPUTED_VALUE"""),"Dr.SASIKALA D")</f>
        <v>Dr.SASIKALA D</v>
      </c>
      <c r="H95" s="144" t="str">
        <f>IFERROR(__xludf.DUMMYFUNCTION("""COMPUTED_VALUE"""),"sasikalad@bitsathy.ac.in")</f>
        <v>sasikalad@bitsathy.ac.in</v>
      </c>
    </row>
    <row r="96">
      <c r="A96" s="144" t="str">
        <f>IFERROR(__xludf.DUMMYFUNCTION("""COMPUTED_VALUE"""),"CSE")</f>
        <v>CSE</v>
      </c>
      <c r="B96" s="144" t="str">
        <f>IFERROR(__xludf.DUMMYFUNCTION("""COMPUTED_VALUE"""),"S4")</f>
        <v>S4</v>
      </c>
      <c r="C96" s="144" t="str">
        <f>IFERROR(__xludf.DUMMYFUNCTION("""COMPUTED_VALUE"""),"22CS403")</f>
        <v>22CS403</v>
      </c>
      <c r="D96" s="144" t="str">
        <f>IFERROR(__xludf.DUMMYFUNCTION("""COMPUTED_VALUE"""),"OPERATING SYSTEMS")</f>
        <v>OPERATING SYSTEMS</v>
      </c>
      <c r="E96" s="144" t="str">
        <f>IFERROR(__xludf.DUMMYFUNCTION("""COMPUTED_VALUE"""),"THEORY")</f>
        <v>THEORY</v>
      </c>
      <c r="F96" s="144" t="str">
        <f>IFERROR(__xludf.DUMMYFUNCTION("""COMPUTED_VALUE"""),"CS10946")</f>
        <v>CS10946</v>
      </c>
      <c r="G96" s="144" t="str">
        <f>IFERROR(__xludf.DUMMYFUNCTION("""COMPUTED_VALUE"""),"Mr.RAMASAMI S")</f>
        <v>Mr.RAMASAMI S</v>
      </c>
      <c r="H96" s="144" t="str">
        <f>IFERROR(__xludf.DUMMYFUNCTION("""COMPUTED_VALUE"""),"ramasamis@bitsathy.ac.in")</f>
        <v>ramasamis@bitsathy.ac.in</v>
      </c>
    </row>
    <row r="97">
      <c r="A97" s="144" t="str">
        <f>IFERROR(__xludf.DUMMYFUNCTION("""COMPUTED_VALUE"""),"CSE")</f>
        <v>CSE</v>
      </c>
      <c r="B97" s="144" t="str">
        <f>IFERROR(__xludf.DUMMYFUNCTION("""COMPUTED_VALUE"""),"S4")</f>
        <v>S4</v>
      </c>
      <c r="C97" s="144" t="str">
        <f>IFERROR(__xludf.DUMMYFUNCTION("""COMPUTED_VALUE"""),"22CS403")</f>
        <v>22CS403</v>
      </c>
      <c r="D97" s="144" t="str">
        <f>IFERROR(__xludf.DUMMYFUNCTION("""COMPUTED_VALUE"""),"OPERATING SYSTEMS")</f>
        <v>OPERATING SYSTEMS</v>
      </c>
      <c r="E97" s="144" t="str">
        <f>IFERROR(__xludf.DUMMYFUNCTION("""COMPUTED_VALUE"""),"THEORY")</f>
        <v>THEORY</v>
      </c>
      <c r="F97" s="144" t="str">
        <f>IFERROR(__xludf.DUMMYFUNCTION("""COMPUTED_VALUE"""),"CS10767")</f>
        <v>CS10767</v>
      </c>
      <c r="G97" s="144" t="str">
        <f>IFERROR(__xludf.DUMMYFUNCTION("""COMPUTED_VALUE"""),"Mr.MAGESH KUMAR B")</f>
        <v>Mr.MAGESH KUMAR B</v>
      </c>
      <c r="H97" s="144" t="str">
        <f>IFERROR(__xludf.DUMMYFUNCTION("""COMPUTED_VALUE"""),"mageshkumar@bitsathy.ac.in")</f>
        <v>mageshkumar@bitsathy.ac.in</v>
      </c>
    </row>
    <row r="98">
      <c r="A98" s="144" t="str">
        <f>IFERROR(__xludf.DUMMYFUNCTION("""COMPUTED_VALUE"""),"CSE")</f>
        <v>CSE</v>
      </c>
      <c r="B98" s="144" t="str">
        <f>IFERROR(__xludf.DUMMYFUNCTION("""COMPUTED_VALUE"""),"S4")</f>
        <v>S4</v>
      </c>
      <c r="C98" s="144" t="str">
        <f>IFERROR(__xludf.DUMMYFUNCTION("""COMPUTED_VALUE"""),"22CS403")</f>
        <v>22CS403</v>
      </c>
      <c r="D98" s="144" t="str">
        <f>IFERROR(__xludf.DUMMYFUNCTION("""COMPUTED_VALUE"""),"OPERATING SYSTEMS")</f>
        <v>OPERATING SYSTEMS</v>
      </c>
      <c r="E98" s="144" t="str">
        <f>IFERROR(__xludf.DUMMYFUNCTION("""COMPUTED_VALUE"""),"THEORY")</f>
        <v>THEORY</v>
      </c>
      <c r="F98" s="144" t="str">
        <f>IFERROR(__xludf.DUMMYFUNCTION("""COMPUTED_VALUE"""),"CS11086")</f>
        <v>CS11086</v>
      </c>
      <c r="G98" s="144" t="str">
        <f>IFERROR(__xludf.DUMMYFUNCTION("""COMPUTED_VALUE"""),"Mrs.GAYATHRI S")</f>
        <v>Mrs.GAYATHRI S</v>
      </c>
      <c r="H98" s="144" t="str">
        <f>IFERROR(__xludf.DUMMYFUNCTION("""COMPUTED_VALUE"""),"gayathris@bitsathy.ac.in")</f>
        <v>gayathris@bitsathy.ac.in</v>
      </c>
    </row>
    <row r="99">
      <c r="A99" s="144" t="str">
        <f>IFERROR(__xludf.DUMMYFUNCTION("""COMPUTED_VALUE"""),"CSE")</f>
        <v>CSE</v>
      </c>
      <c r="B99" s="144" t="str">
        <f>IFERROR(__xludf.DUMMYFUNCTION("""COMPUTED_VALUE"""),"S4")</f>
        <v>S4</v>
      </c>
      <c r="C99" s="144" t="str">
        <f>IFERROR(__xludf.DUMMYFUNCTION("""COMPUTED_VALUE"""),"22CS403")</f>
        <v>22CS403</v>
      </c>
      <c r="D99" s="144" t="str">
        <f>IFERROR(__xludf.DUMMYFUNCTION("""COMPUTED_VALUE"""),"OPERATING SYSTEMS")</f>
        <v>OPERATING SYSTEMS</v>
      </c>
      <c r="E99" s="144" t="str">
        <f>IFERROR(__xludf.DUMMYFUNCTION("""COMPUTED_VALUE"""),"THEORY")</f>
        <v>THEORY</v>
      </c>
      <c r="F99" s="144" t="str">
        <f>IFERROR(__xludf.DUMMYFUNCTION("""COMPUTED_VALUE"""),"CS11119")</f>
        <v>CS11119</v>
      </c>
      <c r="G99" s="144" t="str">
        <f>IFERROR(__xludf.DUMMYFUNCTION("""COMPUTED_VALUE"""),"Ms.PARKAVI S")</f>
        <v>Ms.PARKAVI S</v>
      </c>
      <c r="H99" s="144" t="str">
        <f>IFERROR(__xludf.DUMMYFUNCTION("""COMPUTED_VALUE"""),"parkavi@bitsathy.ac.in")</f>
        <v>parkavi@bitsathy.ac.in</v>
      </c>
    </row>
    <row r="100">
      <c r="A100" s="144" t="str">
        <f>IFERROR(__xludf.DUMMYFUNCTION("""COMPUTED_VALUE"""),"CSE")</f>
        <v>CSE</v>
      </c>
      <c r="B100" s="144" t="str">
        <f>IFERROR(__xludf.DUMMYFUNCTION("""COMPUTED_VALUE"""),"S4")</f>
        <v>S4</v>
      </c>
      <c r="C100" s="144" t="str">
        <f>IFERROR(__xludf.DUMMYFUNCTION("""COMPUTED_VALUE"""),"22CS403")</f>
        <v>22CS403</v>
      </c>
      <c r="D100" s="144" t="str">
        <f>IFERROR(__xludf.DUMMYFUNCTION("""COMPUTED_VALUE"""),"OPERATING SYSTEMS")</f>
        <v>OPERATING SYSTEMS</v>
      </c>
      <c r="E100" s="144" t="str">
        <f>IFERROR(__xludf.DUMMYFUNCTION("""COMPUTED_VALUE"""),"THEORY")</f>
        <v>THEORY</v>
      </c>
      <c r="F100" s="144" t="str">
        <f>IFERROR(__xludf.DUMMYFUNCTION("""COMPUTED_VALUE"""),"CS10025")</f>
        <v>CS10025</v>
      </c>
      <c r="G100" s="144" t="str">
        <f>IFERROR(__xludf.DUMMYFUNCTION("""COMPUTED_VALUE"""),"Mr.DINESH P S")</f>
        <v>Mr.DINESH P S</v>
      </c>
      <c r="H100" s="144" t="str">
        <f>IFERROR(__xludf.DUMMYFUNCTION("""COMPUTED_VALUE"""),"dineshps@bitsathy.ac.in")</f>
        <v>dineshps@bitsathy.ac.in</v>
      </c>
    </row>
    <row r="101">
      <c r="A101" s="144" t="str">
        <f>IFERROR(__xludf.DUMMYFUNCTION("""COMPUTED_VALUE"""),"CSE")</f>
        <v>CSE</v>
      </c>
      <c r="B101" s="144" t="str">
        <f>IFERROR(__xludf.DUMMYFUNCTION("""COMPUTED_VALUE"""),"S4")</f>
        <v>S4</v>
      </c>
      <c r="C101" s="144" t="str">
        <f>IFERROR(__xludf.DUMMYFUNCTION("""COMPUTED_VALUE"""),"22CS404")</f>
        <v>22CS404</v>
      </c>
      <c r="D101" s="144" t="str">
        <f>IFERROR(__xludf.DUMMYFUNCTION("""COMPUTED_VALUE"""),"WEB TECHNOLOGY AND FRAMEWORKS")</f>
        <v>WEB TECHNOLOGY AND FRAMEWORKS</v>
      </c>
      <c r="E101" s="144" t="str">
        <f>IFERROR(__xludf.DUMMYFUNCTION("""COMPUTED_VALUE"""),"THEORY WITH LAB")</f>
        <v>THEORY WITH LAB</v>
      </c>
      <c r="F101" s="144" t="str">
        <f>IFERROR(__xludf.DUMMYFUNCTION("""COMPUTED_VALUE"""),"CS10789")</f>
        <v>CS10789</v>
      </c>
      <c r="G101" s="144" t="str">
        <f>IFERROR(__xludf.DUMMYFUNCTION("""COMPUTED_VALUE"""),"Dr.DHIVYA P")</f>
        <v>Dr.DHIVYA P</v>
      </c>
      <c r="H101" s="144" t="str">
        <f>IFERROR(__xludf.DUMMYFUNCTION("""COMPUTED_VALUE"""),"dhivyap@bitsathy.ac.in")</f>
        <v>dhivyap@bitsathy.ac.in</v>
      </c>
    </row>
    <row r="102">
      <c r="A102" s="144" t="str">
        <f>IFERROR(__xludf.DUMMYFUNCTION("""COMPUTED_VALUE"""),"CSE")</f>
        <v>CSE</v>
      </c>
      <c r="B102" s="144" t="str">
        <f>IFERROR(__xludf.DUMMYFUNCTION("""COMPUTED_VALUE"""),"S4")</f>
        <v>S4</v>
      </c>
      <c r="C102" s="144" t="str">
        <f>IFERROR(__xludf.DUMMYFUNCTION("""COMPUTED_VALUE"""),"22CS404")</f>
        <v>22CS404</v>
      </c>
      <c r="D102" s="144" t="str">
        <f>IFERROR(__xludf.DUMMYFUNCTION("""COMPUTED_VALUE"""),"WEB TECHNOLOGY AND FRAMEWORKS")</f>
        <v>WEB TECHNOLOGY AND FRAMEWORKS</v>
      </c>
      <c r="E102" s="144" t="str">
        <f>IFERROR(__xludf.DUMMYFUNCTION("""COMPUTED_VALUE"""),"THEORY WITH LAB")</f>
        <v>THEORY WITH LAB</v>
      </c>
      <c r="F102" s="144" t="str">
        <f>IFERROR(__xludf.DUMMYFUNCTION("""COMPUTED_VALUE"""),"CS10787")</f>
        <v>CS10787</v>
      </c>
      <c r="G102" s="144" t="str">
        <f>IFERROR(__xludf.DUMMYFUNCTION("""COMPUTED_VALUE"""),"Dr.PARTHASARATHI P")</f>
        <v>Dr.PARTHASARATHI P</v>
      </c>
      <c r="H102" s="144" t="str">
        <f>IFERROR(__xludf.DUMMYFUNCTION("""COMPUTED_VALUE"""),"parthasarathip@bitsathy.ac.in")</f>
        <v>parthasarathip@bitsathy.ac.in</v>
      </c>
    </row>
    <row r="103">
      <c r="A103" s="144" t="str">
        <f>IFERROR(__xludf.DUMMYFUNCTION("""COMPUTED_VALUE"""),"CSE")</f>
        <v>CSE</v>
      </c>
      <c r="B103" s="144" t="str">
        <f>IFERROR(__xludf.DUMMYFUNCTION("""COMPUTED_VALUE"""),"S4")</f>
        <v>S4</v>
      </c>
      <c r="C103" s="144" t="str">
        <f>IFERROR(__xludf.DUMMYFUNCTION("""COMPUTED_VALUE"""),"22CS404")</f>
        <v>22CS404</v>
      </c>
      <c r="D103" s="144" t="str">
        <f>IFERROR(__xludf.DUMMYFUNCTION("""COMPUTED_VALUE"""),"WEB TECHNOLOGY AND FRAMEWORKS")</f>
        <v>WEB TECHNOLOGY AND FRAMEWORKS</v>
      </c>
      <c r="E103" s="144" t="str">
        <f>IFERROR(__xludf.DUMMYFUNCTION("""COMPUTED_VALUE"""),"THEORY WITH LAB")</f>
        <v>THEORY WITH LAB</v>
      </c>
      <c r="F103" s="144" t="str">
        <f>IFERROR(__xludf.DUMMYFUNCTION("""COMPUTED_VALUE"""),"CS10449")</f>
        <v>CS10449</v>
      </c>
      <c r="G103" s="144" t="str">
        <f>IFERROR(__xludf.DUMMYFUNCTION("""COMPUTED_VALUE"""),"Mrs.PRABHA DEVI D")</f>
        <v>Mrs.PRABHA DEVI D</v>
      </c>
      <c r="H103" s="144" t="str">
        <f>IFERROR(__xludf.DUMMYFUNCTION("""COMPUTED_VALUE"""),"prabhadevi@bitsathy.ac.in")</f>
        <v>prabhadevi@bitsathy.ac.in</v>
      </c>
    </row>
    <row r="104">
      <c r="A104" s="144" t="str">
        <f>IFERROR(__xludf.DUMMYFUNCTION("""COMPUTED_VALUE"""),"CSE")</f>
        <v>CSE</v>
      </c>
      <c r="B104" s="144" t="str">
        <f>IFERROR(__xludf.DUMMYFUNCTION("""COMPUTED_VALUE"""),"S4")</f>
        <v>S4</v>
      </c>
      <c r="C104" s="144" t="str">
        <f>IFERROR(__xludf.DUMMYFUNCTION("""COMPUTED_VALUE"""),"22CS404")</f>
        <v>22CS404</v>
      </c>
      <c r="D104" s="144" t="str">
        <f>IFERROR(__xludf.DUMMYFUNCTION("""COMPUTED_VALUE"""),"WEB TECHNOLOGY AND FRAMEWORKS")</f>
        <v>WEB TECHNOLOGY AND FRAMEWORKS</v>
      </c>
      <c r="E104" s="144" t="str">
        <f>IFERROR(__xludf.DUMMYFUNCTION("""COMPUTED_VALUE"""),"THEORY WITH LAB")</f>
        <v>THEORY WITH LAB</v>
      </c>
      <c r="F104" s="144" t="str">
        <f>IFERROR(__xludf.DUMMYFUNCTION("""COMPUTED_VALUE"""),"IS10823")</f>
        <v>IS10823</v>
      </c>
      <c r="G104" s="144" t="str">
        <f>IFERROR(__xludf.DUMMYFUNCTION("""COMPUTED_VALUE"""),"Mr.GOPAL R")</f>
        <v>Mr.GOPAL R</v>
      </c>
      <c r="H104" s="144" t="str">
        <f>IFERROR(__xludf.DUMMYFUNCTION("""COMPUTED_VALUE"""),"gopalr@bitsathy.ac.in")</f>
        <v>gopalr@bitsathy.ac.in</v>
      </c>
    </row>
    <row r="105">
      <c r="A105" s="144" t="str">
        <f>IFERROR(__xludf.DUMMYFUNCTION("""COMPUTED_VALUE"""),"CSE")</f>
        <v>CSE</v>
      </c>
      <c r="B105" s="144" t="str">
        <f>IFERROR(__xludf.DUMMYFUNCTION("""COMPUTED_VALUE"""),"S4")</f>
        <v>S4</v>
      </c>
      <c r="C105" s="144" t="str">
        <f>IFERROR(__xludf.DUMMYFUNCTION("""COMPUTED_VALUE"""),"22CS404")</f>
        <v>22CS404</v>
      </c>
      <c r="D105" s="144" t="str">
        <f>IFERROR(__xludf.DUMMYFUNCTION("""COMPUTED_VALUE"""),"WEB TECHNOLOGY AND FRAMEWORKS")</f>
        <v>WEB TECHNOLOGY AND FRAMEWORKS</v>
      </c>
      <c r="E105" s="144" t="str">
        <f>IFERROR(__xludf.DUMMYFUNCTION("""COMPUTED_VALUE"""),"THEORY WITH LAB")</f>
        <v>THEORY WITH LAB</v>
      </c>
      <c r="F105" s="144" t="str">
        <f>IFERROR(__xludf.DUMMYFUNCTION("""COMPUTED_VALUE"""),"CT11020")</f>
        <v>CT11020</v>
      </c>
      <c r="G105" s="144" t="str">
        <f>IFERROR(__xludf.DUMMYFUNCTION("""COMPUTED_VALUE"""),"Mr.ANANDAN P")</f>
        <v>Mr.ANANDAN P</v>
      </c>
      <c r="H105" s="144" t="str">
        <f>IFERROR(__xludf.DUMMYFUNCTION("""COMPUTED_VALUE"""),"anandan@bitsathy.ac.in")</f>
        <v>anandan@bitsathy.ac.in</v>
      </c>
    </row>
    <row r="106">
      <c r="A106" s="144" t="str">
        <f>IFERROR(__xludf.DUMMYFUNCTION("""COMPUTED_VALUE"""),"CSE")</f>
        <v>CSE</v>
      </c>
      <c r="B106" s="144" t="str">
        <f>IFERROR(__xludf.DUMMYFUNCTION("""COMPUTED_VALUE"""),"S4")</f>
        <v>S4</v>
      </c>
      <c r="C106" s="144" t="str">
        <f>IFERROR(__xludf.DUMMYFUNCTION("""COMPUTED_VALUE"""),"22CS404")</f>
        <v>22CS404</v>
      </c>
      <c r="D106" s="144" t="str">
        <f>IFERROR(__xludf.DUMMYFUNCTION("""COMPUTED_VALUE"""),"WEB TECHNOLOGY AND FRAMEWORKS")</f>
        <v>WEB TECHNOLOGY AND FRAMEWORKS</v>
      </c>
      <c r="E106" s="144" t="str">
        <f>IFERROR(__xludf.DUMMYFUNCTION("""COMPUTED_VALUE"""),"THEORY WITH LAB")</f>
        <v>THEORY WITH LAB</v>
      </c>
      <c r="F106" s="144" t="str">
        <f>IFERROR(__xludf.DUMMYFUNCTION("""COMPUTED_VALUE"""),"CS10825")</f>
        <v>CS10825</v>
      </c>
      <c r="G106" s="144" t="str">
        <f>IFERROR(__xludf.DUMMYFUNCTION("""COMPUTED_VALUE"""),"Ms.KIRUTHIKA V R")</f>
        <v>Ms.KIRUTHIKA V R</v>
      </c>
      <c r="H106" s="144" t="str">
        <f>IFERROR(__xludf.DUMMYFUNCTION("""COMPUTED_VALUE"""),"kiruthikavr@bitsathy.ac.in")</f>
        <v>kiruthikavr@bitsathy.ac.in</v>
      </c>
    </row>
    <row r="107">
      <c r="A107" s="144" t="str">
        <f>IFERROR(__xludf.DUMMYFUNCTION("""COMPUTED_VALUE"""),"CSE")</f>
        <v>CSE</v>
      </c>
      <c r="B107" s="144" t="str">
        <f>IFERROR(__xludf.DUMMYFUNCTION("""COMPUTED_VALUE"""),"S4")</f>
        <v>S4</v>
      </c>
      <c r="C107" s="144" t="str">
        <f>IFERROR(__xludf.DUMMYFUNCTION("""COMPUTED_VALUE"""),"22CS405")</f>
        <v>22CS405</v>
      </c>
      <c r="D107" s="144" t="str">
        <f>IFERROR(__xludf.DUMMYFUNCTION("""COMPUTED_VALUE"""),"DATABASE MANAGEMENT SYSTEM")</f>
        <v>DATABASE MANAGEMENT SYSTEM</v>
      </c>
      <c r="E107" s="144" t="str">
        <f>IFERROR(__xludf.DUMMYFUNCTION("""COMPUTED_VALUE"""),"THEORY WITH LAB")</f>
        <v>THEORY WITH LAB</v>
      </c>
      <c r="F107" s="144" t="str">
        <f>IFERROR(__xludf.DUMMYFUNCTION("""COMPUTED_VALUE"""),"CS11081")</f>
        <v>CS11081</v>
      </c>
      <c r="G107" s="144" t="str">
        <f>IFERROR(__xludf.DUMMYFUNCTION("""COMPUTED_VALUE"""),"Dr.DEEPA PRIYA B S")</f>
        <v>Dr.DEEPA PRIYA B S</v>
      </c>
      <c r="H107" s="144" t="str">
        <f>IFERROR(__xludf.DUMMYFUNCTION("""COMPUTED_VALUE"""),"deepapriya@bitsathy.ac.in")</f>
        <v>deepapriya@bitsathy.ac.in</v>
      </c>
    </row>
    <row r="108">
      <c r="A108" s="144" t="str">
        <f>IFERROR(__xludf.DUMMYFUNCTION("""COMPUTED_VALUE"""),"CSE")</f>
        <v>CSE</v>
      </c>
      <c r="B108" s="144" t="str">
        <f>IFERROR(__xludf.DUMMYFUNCTION("""COMPUTED_VALUE"""),"S4")</f>
        <v>S4</v>
      </c>
      <c r="C108" s="144" t="str">
        <f>IFERROR(__xludf.DUMMYFUNCTION("""COMPUTED_VALUE"""),"22CS405")</f>
        <v>22CS405</v>
      </c>
      <c r="D108" s="144" t="str">
        <f>IFERROR(__xludf.DUMMYFUNCTION("""COMPUTED_VALUE"""),"DATABASE MANAGEMENT SYSTEM")</f>
        <v>DATABASE MANAGEMENT SYSTEM</v>
      </c>
      <c r="E108" s="144" t="str">
        <f>IFERROR(__xludf.DUMMYFUNCTION("""COMPUTED_VALUE"""),"THEORY WITH LAB")</f>
        <v>THEORY WITH LAB</v>
      </c>
      <c r="F108" s="144" t="str">
        <f>IFERROR(__xludf.DUMMYFUNCTION("""COMPUTED_VALUE"""),"CS10560")</f>
        <v>CS10560</v>
      </c>
      <c r="G108" s="144" t="str">
        <f>IFERROR(__xludf.DUMMYFUNCTION("""COMPUTED_VALUE"""),"Dr.SWATHYPRIYADHARSINI P")</f>
        <v>Dr.SWATHYPRIYADHARSINI P</v>
      </c>
      <c r="H108" s="144" t="str">
        <f>IFERROR(__xludf.DUMMYFUNCTION("""COMPUTED_VALUE"""),"swathypriyadharsini@bitsathy.ac.in")</f>
        <v>swathypriyadharsini@bitsathy.ac.in</v>
      </c>
    </row>
    <row r="109">
      <c r="A109" s="144" t="str">
        <f>IFERROR(__xludf.DUMMYFUNCTION("""COMPUTED_VALUE"""),"CSE")</f>
        <v>CSE</v>
      </c>
      <c r="B109" s="144" t="str">
        <f>IFERROR(__xludf.DUMMYFUNCTION("""COMPUTED_VALUE"""),"S4")</f>
        <v>S4</v>
      </c>
      <c r="C109" s="144" t="str">
        <f>IFERROR(__xludf.DUMMYFUNCTION("""COMPUTED_VALUE"""),"22CS405")</f>
        <v>22CS405</v>
      </c>
      <c r="D109" s="144" t="str">
        <f>IFERROR(__xludf.DUMMYFUNCTION("""COMPUTED_VALUE"""),"DATABASE MANAGEMENT SYSTEM")</f>
        <v>DATABASE MANAGEMENT SYSTEM</v>
      </c>
      <c r="E109" s="144" t="str">
        <f>IFERROR(__xludf.DUMMYFUNCTION("""COMPUTED_VALUE"""),"THEORY WITH LAB")</f>
        <v>THEORY WITH LAB</v>
      </c>
      <c r="F109" s="144" t="str">
        <f>IFERROR(__xludf.DUMMYFUNCTION("""COMPUTED_VALUE"""),"CS11101")</f>
        <v>CS11101</v>
      </c>
      <c r="G109" s="144" t="str">
        <f>IFERROR(__xludf.DUMMYFUNCTION("""COMPUTED_VALUE"""),"Mrs.ALAMELU M")</f>
        <v>Mrs.ALAMELU M</v>
      </c>
      <c r="H109" s="144" t="str">
        <f>IFERROR(__xludf.DUMMYFUNCTION("""COMPUTED_VALUE"""),"alamelu@bitsathy.ac.in")</f>
        <v>alamelu@bitsathy.ac.in</v>
      </c>
    </row>
    <row r="110">
      <c r="A110" s="144" t="str">
        <f>IFERROR(__xludf.DUMMYFUNCTION("""COMPUTED_VALUE"""),"CSE")</f>
        <v>CSE</v>
      </c>
      <c r="B110" s="144" t="str">
        <f>IFERROR(__xludf.DUMMYFUNCTION("""COMPUTED_VALUE"""),"S4")</f>
        <v>S4</v>
      </c>
      <c r="C110" s="144" t="str">
        <f>IFERROR(__xludf.DUMMYFUNCTION("""COMPUTED_VALUE"""),"22CS405")</f>
        <v>22CS405</v>
      </c>
      <c r="D110" s="144" t="str">
        <f>IFERROR(__xludf.DUMMYFUNCTION("""COMPUTED_VALUE"""),"DATABASE MANAGEMENT SYSTEM")</f>
        <v>DATABASE MANAGEMENT SYSTEM</v>
      </c>
      <c r="E110" s="144" t="str">
        <f>IFERROR(__xludf.DUMMYFUNCTION("""COMPUTED_VALUE"""),"THEORY WITH LAB")</f>
        <v>THEORY WITH LAB</v>
      </c>
      <c r="F110" s="144" t="str">
        <f>IFERROR(__xludf.DUMMYFUNCTION("""COMPUTED_VALUE"""),"CS10473")</f>
        <v>CS10473</v>
      </c>
      <c r="G110" s="144" t="str">
        <f>IFERROR(__xludf.DUMMYFUNCTION("""COMPUTED_VALUE"""),"Ms.SOUNDARIYA R S")</f>
        <v>Ms.SOUNDARIYA R S</v>
      </c>
      <c r="H110" s="144" t="str">
        <f>IFERROR(__xludf.DUMMYFUNCTION("""COMPUTED_VALUE"""),"soundariya@bitsathy.ac.in")</f>
        <v>soundariya@bitsathy.ac.in</v>
      </c>
    </row>
    <row r="111">
      <c r="A111" s="144" t="str">
        <f>IFERROR(__xludf.DUMMYFUNCTION("""COMPUTED_VALUE"""),"CSE")</f>
        <v>CSE</v>
      </c>
      <c r="B111" s="144" t="str">
        <f>IFERROR(__xludf.DUMMYFUNCTION("""COMPUTED_VALUE"""),"S4")</f>
        <v>S4</v>
      </c>
      <c r="C111" s="144" t="str">
        <f>IFERROR(__xludf.DUMMYFUNCTION("""COMPUTED_VALUE"""),"22CS405")</f>
        <v>22CS405</v>
      </c>
      <c r="D111" s="144" t="str">
        <f>IFERROR(__xludf.DUMMYFUNCTION("""COMPUTED_VALUE"""),"DATABASE MANAGEMENT SYSTEM")</f>
        <v>DATABASE MANAGEMENT SYSTEM</v>
      </c>
      <c r="E111" s="144" t="str">
        <f>IFERROR(__xludf.DUMMYFUNCTION("""COMPUTED_VALUE"""),"THEORY WITH LAB")</f>
        <v>THEORY WITH LAB</v>
      </c>
      <c r="F111" s="144" t="str">
        <f>IFERROR(__xludf.DUMMYFUNCTION("""COMPUTED_VALUE"""),"CS11075")</f>
        <v>CS11075</v>
      </c>
      <c r="G111" s="144" t="str">
        <f>IFERROR(__xludf.DUMMYFUNCTION("""COMPUTED_VALUE"""),"Mrs.CHITRADEVI T N")</f>
        <v>Mrs.CHITRADEVI T N</v>
      </c>
      <c r="H111" s="144" t="str">
        <f>IFERROR(__xludf.DUMMYFUNCTION("""COMPUTED_VALUE"""),"chitradevi@bitsathy.ac.in")</f>
        <v>chitradevi@bitsathy.ac.in</v>
      </c>
    </row>
    <row r="112">
      <c r="A112" s="144" t="str">
        <f>IFERROR(__xludf.DUMMYFUNCTION("""COMPUTED_VALUE"""),"CSE")</f>
        <v>CSE</v>
      </c>
      <c r="B112" s="144" t="str">
        <f>IFERROR(__xludf.DUMMYFUNCTION("""COMPUTED_VALUE"""),"S4")</f>
        <v>S4</v>
      </c>
      <c r="C112" s="144" t="str">
        <f>IFERROR(__xludf.DUMMYFUNCTION("""COMPUTED_VALUE"""),"22CS405")</f>
        <v>22CS405</v>
      </c>
      <c r="D112" s="144" t="str">
        <f>IFERROR(__xludf.DUMMYFUNCTION("""COMPUTED_VALUE"""),"DATABASE MANAGEMENT SYSTEM")</f>
        <v>DATABASE MANAGEMENT SYSTEM</v>
      </c>
      <c r="E112" s="144" t="str">
        <f>IFERROR(__xludf.DUMMYFUNCTION("""COMPUTED_VALUE"""),"THEORY WITH LAB")</f>
        <v>THEORY WITH LAB</v>
      </c>
      <c r="F112" s="144" t="str">
        <f>IFERROR(__xludf.DUMMYFUNCTION("""COMPUTED_VALUE"""),"CS10880")</f>
        <v>CS10880</v>
      </c>
      <c r="G112" s="144" t="str">
        <f>IFERROR(__xludf.DUMMYFUNCTION("""COMPUTED_VALUE"""),"Mrs.KALAIVANI E")</f>
        <v>Mrs.KALAIVANI E</v>
      </c>
      <c r="H112" s="144" t="str">
        <f>IFERROR(__xludf.DUMMYFUNCTION("""COMPUTED_VALUE"""),"kalaivanie@bitsathy.ac.in")</f>
        <v>kalaivanie@bitsathy.ac.in</v>
      </c>
    </row>
    <row r="113">
      <c r="A113" s="144" t="str">
        <f>IFERROR(__xludf.DUMMYFUNCTION("""COMPUTED_VALUE"""),"CSE")</f>
        <v>CSE</v>
      </c>
      <c r="B113" s="144" t="str">
        <f>IFERROR(__xludf.DUMMYFUNCTION("""COMPUTED_VALUE"""),"S4")</f>
        <v>S4</v>
      </c>
      <c r="C113" s="144" t="str">
        <f>IFERROR(__xludf.DUMMYFUNCTION("""COMPUTED_VALUE"""),"22CS008")</f>
        <v>22CS008</v>
      </c>
      <c r="D113" s="144" t="str">
        <f>IFERROR(__xludf.DUMMYFUNCTION("""COMPUTED_VALUE"""),"UI AND UX DESIGN")</f>
        <v>UI AND UX DESIGN</v>
      </c>
      <c r="E113" s="144" t="str">
        <f>IFERROR(__xludf.DUMMYFUNCTION("""COMPUTED_VALUE"""),"THEORY")</f>
        <v>THEORY</v>
      </c>
      <c r="F113" s="144" t="str">
        <f>IFERROR(__xludf.DUMMYFUNCTION("""COMPUTED_VALUE"""),"CS10538")</f>
        <v>CS10538</v>
      </c>
      <c r="G113" s="144" t="str">
        <f>IFERROR(__xludf.DUMMYFUNCTION("""COMPUTED_VALUE"""),"Dr.PRAVEEN V")</f>
        <v>Dr.PRAVEEN V</v>
      </c>
      <c r="H113" s="144" t="str">
        <f>IFERROR(__xludf.DUMMYFUNCTION("""COMPUTED_VALUE"""),"praveen@bitsathy.ac.in")</f>
        <v>praveen@bitsathy.ac.in</v>
      </c>
    </row>
    <row r="114">
      <c r="A114" s="144" t="str">
        <f>IFERROR(__xludf.DUMMYFUNCTION("""COMPUTED_VALUE"""),"CSE")</f>
        <v>CSE</v>
      </c>
      <c r="B114" s="144" t="str">
        <f>IFERROR(__xludf.DUMMYFUNCTION("""COMPUTED_VALUE"""),"S4")</f>
        <v>S4</v>
      </c>
      <c r="C114" s="144" t="str">
        <f>IFERROR(__xludf.DUMMYFUNCTION("""COMPUTED_VALUE"""),"22CS008")</f>
        <v>22CS008</v>
      </c>
      <c r="D114" s="144" t="str">
        <f>IFERROR(__xludf.DUMMYFUNCTION("""COMPUTED_VALUE"""),"UI AND UX DESIGN")</f>
        <v>UI AND UX DESIGN</v>
      </c>
      <c r="E114" s="144" t="str">
        <f>IFERROR(__xludf.DUMMYFUNCTION("""COMPUTED_VALUE"""),"THEORY")</f>
        <v>THEORY</v>
      </c>
      <c r="F114" s="144" t="str">
        <f>IFERROR(__xludf.DUMMYFUNCTION("""COMPUTED_VALUE"""),"CS11150")</f>
        <v>CS11150</v>
      </c>
      <c r="G114" s="144" t="str">
        <f>IFERROR(__xludf.DUMMYFUNCTION("""COMPUTED_VALUE"""),"Mrs.MYTHILI G M")</f>
        <v>Mrs.MYTHILI G M</v>
      </c>
      <c r="H114" s="144" t="str">
        <f>IFERROR(__xludf.DUMMYFUNCTION("""COMPUTED_VALUE"""),"mythili@bitsathy.ac.in")</f>
        <v>mythili@bitsathy.ac.in</v>
      </c>
    </row>
    <row r="115">
      <c r="A115" s="144" t="str">
        <f>IFERROR(__xludf.DUMMYFUNCTION("""COMPUTED_VALUE"""),"CSE")</f>
        <v>CSE</v>
      </c>
      <c r="B115" s="144" t="str">
        <f>IFERROR(__xludf.DUMMYFUNCTION("""COMPUTED_VALUE"""),"S4")</f>
        <v>S4</v>
      </c>
      <c r="C115" s="144" t="str">
        <f>IFERROR(__xludf.DUMMYFUNCTION("""COMPUTED_VALUE"""),"22CS008")</f>
        <v>22CS008</v>
      </c>
      <c r="D115" s="144" t="str">
        <f>IFERROR(__xludf.DUMMYFUNCTION("""COMPUTED_VALUE"""),"UI AND UX DESIGN")</f>
        <v>UI AND UX DESIGN</v>
      </c>
      <c r="E115" s="144" t="str">
        <f>IFERROR(__xludf.DUMMYFUNCTION("""COMPUTED_VALUE"""),"THEORY")</f>
        <v>THEORY</v>
      </c>
      <c r="F115" s="144" t="str">
        <f>IFERROR(__xludf.DUMMYFUNCTION("""COMPUTED_VALUE"""),"CS11163")</f>
        <v>CS11163</v>
      </c>
      <c r="G115" s="144" t="str">
        <f>IFERROR(__xludf.DUMMYFUNCTION("""COMPUTED_VALUE"""),"Ms.MAHESH S")</f>
        <v>Ms.MAHESH S</v>
      </c>
      <c r="H115" s="144" t="str">
        <f>IFERROR(__xludf.DUMMYFUNCTION("""COMPUTED_VALUE"""),"maheshs@bitsathy.ac.in")</f>
        <v>maheshs@bitsathy.ac.in</v>
      </c>
    </row>
    <row r="116">
      <c r="A116" s="144" t="str">
        <f>IFERROR(__xludf.DUMMYFUNCTION("""COMPUTED_VALUE"""),"CSE")</f>
        <v>CSE</v>
      </c>
      <c r="B116" s="144" t="str">
        <f>IFERROR(__xludf.DUMMYFUNCTION("""COMPUTED_VALUE"""),"S4")</f>
        <v>S4</v>
      </c>
      <c r="C116" s="144" t="str">
        <f>IFERROR(__xludf.DUMMYFUNCTION("""COMPUTED_VALUE"""),"22CS008")</f>
        <v>22CS008</v>
      </c>
      <c r="D116" s="144" t="str">
        <f>IFERROR(__xludf.DUMMYFUNCTION("""COMPUTED_VALUE"""),"UI AND UX DESIGN")</f>
        <v>UI AND UX DESIGN</v>
      </c>
      <c r="E116" s="144" t="str">
        <f>IFERROR(__xludf.DUMMYFUNCTION("""COMPUTED_VALUE"""),"THEORY")</f>
        <v>THEORY</v>
      </c>
      <c r="F116" s="144" t="str">
        <f>IFERROR(__xludf.DUMMYFUNCTION("""COMPUTED_VALUE"""),"CS11185")</f>
        <v>CS11185</v>
      </c>
      <c r="G116" s="144" t="str">
        <f>IFERROR(__xludf.DUMMYFUNCTION("""COMPUTED_VALUE"""),"Mr.ASWIN JAYA SURYA M J")</f>
        <v>Mr.ASWIN JAYA SURYA M J</v>
      </c>
      <c r="H116" s="144" t="str">
        <f>IFERROR(__xludf.DUMMYFUNCTION("""COMPUTED_VALUE"""),"aswinjayasuryamj@bitsathy.ac.in")</f>
        <v>aswinjayasuryamj@bitsathy.ac.in</v>
      </c>
    </row>
    <row r="117">
      <c r="A117" s="144" t="str">
        <f>IFERROR(__xludf.DUMMYFUNCTION("""COMPUTED_VALUE"""),"CSE")</f>
        <v>CSE</v>
      </c>
      <c r="B117" s="144" t="str">
        <f>IFERROR(__xludf.DUMMYFUNCTION("""COMPUTED_VALUE"""),"S4")</f>
        <v>S4</v>
      </c>
      <c r="C117" s="144" t="str">
        <f>IFERROR(__xludf.DUMMYFUNCTION("""COMPUTED_VALUE"""),"22CS008")</f>
        <v>22CS008</v>
      </c>
      <c r="D117" s="144" t="str">
        <f>IFERROR(__xludf.DUMMYFUNCTION("""COMPUTED_VALUE"""),"UI AND UX DESIGN")</f>
        <v>UI AND UX DESIGN</v>
      </c>
      <c r="E117" s="144" t="str">
        <f>IFERROR(__xludf.DUMMYFUNCTION("""COMPUTED_VALUE"""),"THEORY")</f>
        <v>THEORY</v>
      </c>
      <c r="F117" s="144" t="str">
        <f>IFERROR(__xludf.DUMMYFUNCTION("""COMPUTED_VALUE"""),"CS11087")</f>
        <v>CS11087</v>
      </c>
      <c r="G117" s="144" t="str">
        <f>IFERROR(__xludf.DUMMYFUNCTION("""COMPUTED_VALUE"""),"Mrs.PRIYANGA M A")</f>
        <v>Mrs.PRIYANGA M A</v>
      </c>
      <c r="H117" s="144" t="str">
        <f>IFERROR(__xludf.DUMMYFUNCTION("""COMPUTED_VALUE"""),"priyanga@bitsathy.ac.in")</f>
        <v>priyanga@bitsathy.ac.in</v>
      </c>
    </row>
    <row r="118">
      <c r="A118" s="144" t="str">
        <f>IFERROR(__xludf.DUMMYFUNCTION("""COMPUTED_VALUE"""),"CSE")</f>
        <v>CSE</v>
      </c>
      <c r="B118" s="144" t="str">
        <f>IFERROR(__xludf.DUMMYFUNCTION("""COMPUTED_VALUE"""),"S4")</f>
        <v>S4</v>
      </c>
      <c r="C118" s="144" t="str">
        <f>IFERROR(__xludf.DUMMYFUNCTION("""COMPUTED_VALUE"""),"22CS008")</f>
        <v>22CS008</v>
      </c>
      <c r="D118" s="144" t="str">
        <f>IFERROR(__xludf.DUMMYFUNCTION("""COMPUTED_VALUE"""),"UI AND UX DESIGN")</f>
        <v>UI AND UX DESIGN</v>
      </c>
      <c r="E118" s="144" t="str">
        <f>IFERROR(__xludf.DUMMYFUNCTION("""COMPUTED_VALUE"""),"THEORY")</f>
        <v>THEORY</v>
      </c>
      <c r="F118" s="144" t="str">
        <f>IFERROR(__xludf.DUMMYFUNCTION("""COMPUTED_VALUE"""),"CS11064")</f>
        <v>CS11064</v>
      </c>
      <c r="G118" s="144" t="str">
        <f>IFERROR(__xludf.DUMMYFUNCTION("""COMPUTED_VALUE"""),"Mrs.MOHANAMBAL K")</f>
        <v>Mrs.MOHANAMBAL K</v>
      </c>
      <c r="H118" s="144" t="str">
        <f>IFERROR(__xludf.DUMMYFUNCTION("""COMPUTED_VALUE"""),"mohanambal@bitsathy.ac.in")</f>
        <v>mohanambal@bitsathy.ac.in</v>
      </c>
    </row>
    <row r="119">
      <c r="A119" s="144" t="str">
        <f>IFERROR(__xludf.DUMMYFUNCTION("""COMPUTED_VALUE"""),"CSE")</f>
        <v>CSE</v>
      </c>
      <c r="B119" s="144" t="str">
        <f>IFERROR(__xludf.DUMMYFUNCTION("""COMPUTED_VALUE"""),"S4")</f>
        <v>S4</v>
      </c>
      <c r="C119" s="144" t="str">
        <f>IFERROR(__xludf.DUMMYFUNCTION("""COMPUTED_VALUE"""),"22CS039")</f>
        <v>22CS039</v>
      </c>
      <c r="D119" s="144" t="str">
        <f>IFERROR(__xludf.DUMMYFUNCTION("""COMPUTED_VALUE"""),"INTERNET OF THINGS")</f>
        <v>INTERNET OF THINGS</v>
      </c>
      <c r="E119" s="144" t="str">
        <f>IFERROR(__xludf.DUMMYFUNCTION("""COMPUTED_VALUE"""),"THEORY")</f>
        <v>THEORY</v>
      </c>
      <c r="F119" s="144" t="str">
        <f>IFERROR(__xludf.DUMMYFUNCTION("""COMPUTED_VALUE"""),"CS10963")</f>
        <v>CS10963</v>
      </c>
      <c r="G119" s="144" t="str">
        <f>IFERROR(__xludf.DUMMYFUNCTION("""COMPUTED_VALUE"""),"Dr.RAJESHKUMAR G")</f>
        <v>Dr.RAJESHKUMAR G</v>
      </c>
      <c r="H119" s="144" t="str">
        <f>IFERROR(__xludf.DUMMYFUNCTION("""COMPUTED_VALUE"""),"rajeshkumarg@bitsathy.ac.in")</f>
        <v>rajeshkumarg@bitsathy.ac.in</v>
      </c>
    </row>
    <row r="120">
      <c r="A120" s="144" t="str">
        <f>IFERROR(__xludf.DUMMYFUNCTION("""COMPUTED_VALUE"""),"CSE")</f>
        <v>CSE</v>
      </c>
      <c r="B120" s="144" t="str">
        <f>IFERROR(__xludf.DUMMYFUNCTION("""COMPUTED_VALUE"""),"S4")</f>
        <v>S4</v>
      </c>
      <c r="C120" s="144" t="str">
        <f>IFERROR(__xludf.DUMMYFUNCTION("""COMPUTED_VALUE"""),"22CS007")</f>
        <v>22CS007</v>
      </c>
      <c r="D120" s="144" t="str">
        <f>IFERROR(__xludf.DUMMYFUNCTION("""COMPUTED_VALUE"""),"AGILE SOFTWARE DEVELOPMENT")</f>
        <v>AGILE SOFTWARE DEVELOPMENT</v>
      </c>
      <c r="E120" s="144" t="str">
        <f>IFERROR(__xludf.DUMMYFUNCTION("""COMPUTED_VALUE"""),"THEORY")</f>
        <v>THEORY</v>
      </c>
      <c r="F120" s="144" t="str">
        <f>IFERROR(__xludf.DUMMYFUNCTION("""COMPUTED_VALUE"""),"CS10861")</f>
        <v>CS10861</v>
      </c>
      <c r="G120" s="144" t="str">
        <f>IFERROR(__xludf.DUMMYFUNCTION("""COMPUTED_VALUE"""),"Ms.SANGAVI N")</f>
        <v>Ms.SANGAVI N</v>
      </c>
      <c r="H120" s="144" t="str">
        <f>IFERROR(__xludf.DUMMYFUNCTION("""COMPUTED_VALUE"""),"sangavin@bitsathy.ac.in")</f>
        <v>sangavin@bitsathy.ac.in</v>
      </c>
    </row>
    <row r="121">
      <c r="A121" s="144" t="str">
        <f>IFERROR(__xludf.DUMMYFUNCTION("""COMPUTED_VALUE"""),"CSE")</f>
        <v>CSE</v>
      </c>
      <c r="B121" s="144" t="str">
        <f>IFERROR(__xludf.DUMMYFUNCTION("""COMPUTED_VALUE"""),"S4")</f>
        <v>S4</v>
      </c>
      <c r="C121" s="144" t="str">
        <f>IFERROR(__xludf.DUMMYFUNCTION("""COMPUTED_VALUE"""),"22HS007")</f>
        <v>22HS007</v>
      </c>
      <c r="D121" s="144" t="str">
        <f>IFERROR(__xludf.DUMMYFUNCTION("""COMPUTED_VALUE"""),"ENVIRONMENTAL SCIENCE")</f>
        <v>ENVIRONMENTAL SCIENCE</v>
      </c>
      <c r="E121" s="144" t="str">
        <f>IFERROR(__xludf.DUMMYFUNCTION("""COMPUTED_VALUE"""),"LAB")</f>
        <v>LAB</v>
      </c>
      <c r="F121" s="144" t="str">
        <f>IFERROR(__xludf.DUMMYFUNCTION("""COMPUTED_VALUE"""),"CH1578")</f>
        <v>CH1578</v>
      </c>
      <c r="G121" s="144" t="str">
        <f>IFERROR(__xludf.DUMMYFUNCTION("""COMPUTED_VALUE"""),"Dr.KAVITHA C")</f>
        <v>Dr.KAVITHA C</v>
      </c>
      <c r="H121" s="144" t="str">
        <f>IFERROR(__xludf.DUMMYFUNCTION("""COMPUTED_VALUE"""),"kavithac@bitsathy.ac.in")</f>
        <v>kavithac@bitsathy.ac.in</v>
      </c>
    </row>
    <row r="122">
      <c r="A122" s="144" t="str">
        <f>IFERROR(__xludf.DUMMYFUNCTION("""COMPUTED_VALUE"""),"CSE")</f>
        <v>CSE</v>
      </c>
      <c r="B122" s="144" t="str">
        <f>IFERROR(__xludf.DUMMYFUNCTION("""COMPUTED_VALUE"""),"S4")</f>
        <v>S4</v>
      </c>
      <c r="C122" s="144" t="str">
        <f>IFERROR(__xludf.DUMMYFUNCTION("""COMPUTED_VALUE"""),"22HS007")</f>
        <v>22HS007</v>
      </c>
      <c r="D122" s="144" t="str">
        <f>IFERROR(__xludf.DUMMYFUNCTION("""COMPUTED_VALUE"""),"ENVIRONMENTAL SCIENCE")</f>
        <v>ENVIRONMENTAL SCIENCE</v>
      </c>
      <c r="E122" s="144" t="str">
        <f>IFERROR(__xludf.DUMMYFUNCTION("""COMPUTED_VALUE"""),"LAB")</f>
        <v>LAB</v>
      </c>
      <c r="F122" s="144" t="str">
        <f>IFERROR(__xludf.DUMMYFUNCTION("""COMPUTED_VALUE"""),"CH10314")</f>
        <v>CH10314</v>
      </c>
      <c r="G122" s="144" t="str">
        <f>IFERROR(__xludf.DUMMYFUNCTION("""COMPUTED_VALUE"""),"Dr.VISWANATHAN G")</f>
        <v>Dr.VISWANATHAN G</v>
      </c>
      <c r="H122" s="144" t="str">
        <f>IFERROR(__xludf.DUMMYFUNCTION("""COMPUTED_VALUE"""),"viswanathan@bitsathy.ac.in")</f>
        <v>viswanathan@bitsathy.ac.in</v>
      </c>
    </row>
    <row r="123">
      <c r="A123" s="144" t="str">
        <f>IFERROR(__xludf.DUMMYFUNCTION("""COMPUTED_VALUE"""),"CSE")</f>
        <v>CSE</v>
      </c>
      <c r="B123" s="144" t="str">
        <f>IFERROR(__xludf.DUMMYFUNCTION("""COMPUTED_VALUE"""),"S4")</f>
        <v>S4</v>
      </c>
      <c r="C123" s="144" t="str">
        <f>IFERROR(__xludf.DUMMYFUNCTION("""COMPUTED_VALUE"""),"22HS007")</f>
        <v>22HS007</v>
      </c>
      <c r="D123" s="144" t="str">
        <f>IFERROR(__xludf.DUMMYFUNCTION("""COMPUTED_VALUE"""),"ENVIRONMENTAL SCIENCE")</f>
        <v>ENVIRONMENTAL SCIENCE</v>
      </c>
      <c r="E123" s="144" t="str">
        <f>IFERROR(__xludf.DUMMYFUNCTION("""COMPUTED_VALUE"""),"LAB")</f>
        <v>LAB</v>
      </c>
      <c r="F123" s="144" t="str">
        <f>IFERROR(__xludf.DUMMYFUNCTION("""COMPUTED_VALUE"""),"CH10225")</f>
        <v>CH10225</v>
      </c>
      <c r="G123" s="144" t="str">
        <f>IFERROR(__xludf.DUMMYFUNCTION("""COMPUTED_VALUE"""),"Dr.MUTHUKUMAR P")</f>
        <v>Dr.MUTHUKUMAR P</v>
      </c>
      <c r="H123" s="144" t="str">
        <f>IFERROR(__xludf.DUMMYFUNCTION("""COMPUTED_VALUE"""),"muthukumar@bitsathy.ac.in")</f>
        <v>muthukumar@bitsathy.ac.in</v>
      </c>
    </row>
    <row r="124">
      <c r="A124" s="144" t="str">
        <f>IFERROR(__xludf.DUMMYFUNCTION("""COMPUTED_VALUE"""),"CSE")</f>
        <v>CSE</v>
      </c>
      <c r="B124" s="144" t="str">
        <f>IFERROR(__xludf.DUMMYFUNCTION("""COMPUTED_VALUE"""),"S4")</f>
        <v>S4</v>
      </c>
      <c r="C124" s="144" t="str">
        <f>IFERROR(__xludf.DUMMYFUNCTION("""COMPUTED_VALUE"""),"22HS007")</f>
        <v>22HS007</v>
      </c>
      <c r="D124" s="144" t="str">
        <f>IFERROR(__xludf.DUMMYFUNCTION("""COMPUTED_VALUE"""),"ENVIRONMENTAL SCIENCE")</f>
        <v>ENVIRONMENTAL SCIENCE</v>
      </c>
      <c r="E124" s="144" t="str">
        <f>IFERROR(__xludf.DUMMYFUNCTION("""COMPUTED_VALUE"""),"LAB")</f>
        <v>LAB</v>
      </c>
      <c r="F124" s="144" t="str">
        <f>IFERROR(__xludf.DUMMYFUNCTION("""COMPUTED_VALUE"""),"CH11156")</f>
        <v>CH11156</v>
      </c>
      <c r="G124" s="144" t="str">
        <f>IFERROR(__xludf.DUMMYFUNCTION("""COMPUTED_VALUE"""),"Dr.KASTHURI S")</f>
        <v>Dr.KASTHURI S</v>
      </c>
      <c r="H124" s="144" t="str">
        <f>IFERROR(__xludf.DUMMYFUNCTION("""COMPUTED_VALUE"""),"kasthuris@bitsathy.ac.in")</f>
        <v>kasthuris@bitsathy.ac.in</v>
      </c>
    </row>
    <row r="125">
      <c r="A125" s="144" t="str">
        <f>IFERROR(__xludf.DUMMYFUNCTION("""COMPUTED_VALUE"""),"CSE")</f>
        <v>CSE</v>
      </c>
      <c r="B125" s="144" t="str">
        <f>IFERROR(__xludf.DUMMYFUNCTION("""COMPUTED_VALUE"""),"S4")</f>
        <v>S4</v>
      </c>
      <c r="C125" s="144" t="str">
        <f>IFERROR(__xludf.DUMMYFUNCTION("""COMPUTED_VALUE"""),"22HS007")</f>
        <v>22HS007</v>
      </c>
      <c r="D125" s="144" t="str">
        <f>IFERROR(__xludf.DUMMYFUNCTION("""COMPUTED_VALUE"""),"ENVIRONMENTAL SCIENCE")</f>
        <v>ENVIRONMENTAL SCIENCE</v>
      </c>
      <c r="E125" s="144" t="str">
        <f>IFERROR(__xludf.DUMMYFUNCTION("""COMPUTED_VALUE"""),"LAB")</f>
        <v>LAB</v>
      </c>
      <c r="F125" s="144" t="str">
        <f>IFERROR(__xludf.DUMMYFUNCTION("""COMPUTED_VALUE"""),"CH11126")</f>
        <v>CH11126</v>
      </c>
      <c r="G125" s="144" t="str">
        <f>IFERROR(__xludf.DUMMYFUNCTION("""COMPUTED_VALUE"""),"Dr.JESIN BENETO A")</f>
        <v>Dr.JESIN BENETO A</v>
      </c>
      <c r="H125" s="144" t="str">
        <f>IFERROR(__xludf.DUMMYFUNCTION("""COMPUTED_VALUE"""),"jesinbeneto@bitsathy.ac.in")</f>
        <v>jesinbeneto@bitsathy.ac.in</v>
      </c>
    </row>
    <row r="126">
      <c r="A126" s="144" t="str">
        <f>IFERROR(__xludf.DUMMYFUNCTION("""COMPUTED_VALUE"""),"CSE")</f>
        <v>CSE</v>
      </c>
      <c r="B126" s="144" t="str">
        <f>IFERROR(__xludf.DUMMYFUNCTION("""COMPUTED_VALUE"""),"S4")</f>
        <v>S4</v>
      </c>
      <c r="C126" s="144" t="str">
        <f>IFERROR(__xludf.DUMMYFUNCTION("""COMPUTED_VALUE"""),"22HS007")</f>
        <v>22HS007</v>
      </c>
      <c r="D126" s="144" t="str">
        <f>IFERROR(__xludf.DUMMYFUNCTION("""COMPUTED_VALUE"""),"ENVIRONMENTAL SCIENCE")</f>
        <v>ENVIRONMENTAL SCIENCE</v>
      </c>
      <c r="E126" s="144" t="str">
        <f>IFERROR(__xludf.DUMMYFUNCTION("""COMPUTED_VALUE"""),"LAB")</f>
        <v>LAB</v>
      </c>
      <c r="F126" s="144" t="str">
        <f>IFERROR(__xludf.DUMMYFUNCTION("""COMPUTED_VALUE"""),"CH10003")</f>
        <v>CH10003</v>
      </c>
      <c r="G126" s="144" t="str">
        <f>IFERROR(__xludf.DUMMYFUNCTION("""COMPUTED_VALUE"""),"Dr.SATHISH V")</f>
        <v>Dr.SATHISH V</v>
      </c>
      <c r="H126" s="144" t="str">
        <f>IFERROR(__xludf.DUMMYFUNCTION("""COMPUTED_VALUE"""),"sathishv@bitsathy.ac.in")</f>
        <v>sathishv@bitsathy.ac.in</v>
      </c>
    </row>
    <row r="127">
      <c r="A127" s="144" t="str">
        <f>IFERROR(__xludf.DUMMYFUNCTION("""COMPUTED_VALUE"""),"CSE")</f>
        <v>CSE</v>
      </c>
      <c r="B127" s="144" t="str">
        <f>IFERROR(__xludf.DUMMYFUNCTION("""COMPUTED_VALUE"""),"S4")</f>
        <v>S4</v>
      </c>
      <c r="C127" s="144" t="str">
        <f>IFERROR(__xludf.DUMMYFUNCTION("""COMPUTED_VALUE"""),"22HS008")</f>
        <v>22HS008</v>
      </c>
      <c r="D127" s="144" t="str">
        <f>IFERROR(__xludf.DUMMYFUNCTION("""COMPUTED_VALUE"""),"ADVANCED ENGLISH AND TECHNICAL EXPRESSION ")</f>
        <v>ADVANCED ENGLISH AND TECHNICAL EXPRESSION </v>
      </c>
      <c r="E127" s="144" t="str">
        <f>IFERROR(__xludf.DUMMYFUNCTION("""COMPUTED_VALUE"""),"LAB")</f>
        <v>LAB</v>
      </c>
      <c r="F127" s="144" t="str">
        <f>IFERROR(__xludf.DUMMYFUNCTION("""COMPUTED_VALUE"""),"HU11125")</f>
        <v>HU11125</v>
      </c>
      <c r="G127" s="144" t="str">
        <f>IFERROR(__xludf.DUMMYFUNCTION("""COMPUTED_VALUE"""),"Dr.GAYATHRI G M")</f>
        <v>Dr.GAYATHRI G M</v>
      </c>
      <c r="H127" s="144" t="str">
        <f>IFERROR(__xludf.DUMMYFUNCTION("""COMPUTED_VALUE"""),"gayathri@bitsathy.ac.in")</f>
        <v>gayathri@bitsathy.ac.in</v>
      </c>
    </row>
    <row r="128">
      <c r="A128" s="144" t="str">
        <f>IFERROR(__xludf.DUMMYFUNCTION("""COMPUTED_VALUE"""),"CSE")</f>
        <v>CSE</v>
      </c>
      <c r="B128" s="144" t="str">
        <f>IFERROR(__xludf.DUMMYFUNCTION("""COMPUTED_VALUE"""),"S4")</f>
        <v>S4</v>
      </c>
      <c r="C128" s="144" t="str">
        <f>IFERROR(__xludf.DUMMYFUNCTION("""COMPUTED_VALUE"""),"22HS008")</f>
        <v>22HS008</v>
      </c>
      <c r="D128" s="144" t="str">
        <f>IFERROR(__xludf.DUMMYFUNCTION("""COMPUTED_VALUE"""),"ADVANCED ENGLISH AND TECHNICAL EXPRESSION ")</f>
        <v>ADVANCED ENGLISH AND TECHNICAL EXPRESSION </v>
      </c>
      <c r="E128" s="144" t="str">
        <f>IFERROR(__xludf.DUMMYFUNCTION("""COMPUTED_VALUE"""),"LAB")</f>
        <v>LAB</v>
      </c>
      <c r="F128" s="144" t="str">
        <f>IFERROR(__xludf.DUMMYFUNCTION("""COMPUTED_VALUE"""),"HU11141")</f>
        <v>HU11141</v>
      </c>
      <c r="G128" s="144" t="str">
        <f>IFERROR(__xludf.DUMMYFUNCTION("""COMPUTED_VALUE"""),"Dr.EZHIL G")</f>
        <v>Dr.EZHIL G</v>
      </c>
      <c r="H128" s="144" t="str">
        <f>IFERROR(__xludf.DUMMYFUNCTION("""COMPUTED_VALUE"""),"ezhil@bitsathy.ac.in")</f>
        <v>ezhil@bitsathy.ac.in</v>
      </c>
    </row>
    <row r="129">
      <c r="A129" s="144" t="str">
        <f>IFERROR(__xludf.DUMMYFUNCTION("""COMPUTED_VALUE"""),"CSE")</f>
        <v>CSE</v>
      </c>
      <c r="B129" s="144" t="str">
        <f>IFERROR(__xludf.DUMMYFUNCTION("""COMPUTED_VALUE"""),"S4")</f>
        <v>S4</v>
      </c>
      <c r="C129" s="144" t="str">
        <f>IFERROR(__xludf.DUMMYFUNCTION("""COMPUTED_VALUE"""),"22HS008")</f>
        <v>22HS008</v>
      </c>
      <c r="D129" s="144" t="str">
        <f>IFERROR(__xludf.DUMMYFUNCTION("""COMPUTED_VALUE"""),"ADVANCED ENGLISH AND TECHNICAL EXPRESSION ")</f>
        <v>ADVANCED ENGLISH AND TECHNICAL EXPRESSION </v>
      </c>
      <c r="E129" s="144" t="str">
        <f>IFERROR(__xludf.DUMMYFUNCTION("""COMPUTED_VALUE"""),"LAB")</f>
        <v>LAB</v>
      </c>
      <c r="F129" s="144" t="str">
        <f>IFERROR(__xludf.DUMMYFUNCTION("""COMPUTED_VALUE"""),"HU11139")</f>
        <v>HU11139</v>
      </c>
      <c r="G129" s="144" t="str">
        <f>IFERROR(__xludf.DUMMYFUNCTION("""COMPUTED_VALUE"""),"Dr.ASLIN JERUSHA D")</f>
        <v>Dr.ASLIN JERUSHA D</v>
      </c>
      <c r="H129" s="144" t="str">
        <f>IFERROR(__xludf.DUMMYFUNCTION("""COMPUTED_VALUE"""),"aslinjerusha@bitsathy.ac.in")</f>
        <v>aslinjerusha@bitsathy.ac.in</v>
      </c>
    </row>
    <row r="130">
      <c r="A130" s="144" t="str">
        <f>IFERROR(__xludf.DUMMYFUNCTION("""COMPUTED_VALUE"""),"CSE")</f>
        <v>CSE</v>
      </c>
      <c r="B130" s="144" t="str">
        <f>IFERROR(__xludf.DUMMYFUNCTION("""COMPUTED_VALUE"""),"S4")</f>
        <v>S4</v>
      </c>
      <c r="C130" s="144" t="str">
        <f>IFERROR(__xludf.DUMMYFUNCTION("""COMPUTED_VALUE"""),"22HS008")</f>
        <v>22HS008</v>
      </c>
      <c r="D130" s="144" t="str">
        <f>IFERROR(__xludf.DUMMYFUNCTION("""COMPUTED_VALUE"""),"ADVANCED ENGLISH AND TECHNICAL EXPRESSION ")</f>
        <v>ADVANCED ENGLISH AND TECHNICAL EXPRESSION </v>
      </c>
      <c r="E130" s="144" t="str">
        <f>IFERROR(__xludf.DUMMYFUNCTION("""COMPUTED_VALUE"""),"LAB")</f>
        <v>LAB</v>
      </c>
      <c r="F130" s="144" t="str">
        <f>IFERROR(__xludf.DUMMYFUNCTION("""COMPUTED_VALUE"""),"HU11151")</f>
        <v>HU11151</v>
      </c>
      <c r="G130" s="144" t="str">
        <f>IFERROR(__xludf.DUMMYFUNCTION("""COMPUTED_VALUE"""),"Dr.NITHYA S")</f>
        <v>Dr.NITHYA S</v>
      </c>
      <c r="H130" s="144" t="str">
        <f>IFERROR(__xludf.DUMMYFUNCTION("""COMPUTED_VALUE"""),"nithyas@bitsathy.ac.in")</f>
        <v>nithyas@bitsathy.ac.in</v>
      </c>
    </row>
    <row r="131">
      <c r="A131" s="144" t="str">
        <f>IFERROR(__xludf.DUMMYFUNCTION("""COMPUTED_VALUE"""),"CSE")</f>
        <v>CSE</v>
      </c>
      <c r="B131" s="144" t="str">
        <f>IFERROR(__xludf.DUMMYFUNCTION("""COMPUTED_VALUE"""),"S4")</f>
        <v>S4</v>
      </c>
      <c r="C131" s="144" t="str">
        <f>IFERROR(__xludf.DUMMYFUNCTION("""COMPUTED_VALUE"""),"22HS008")</f>
        <v>22HS008</v>
      </c>
      <c r="D131" s="144" t="str">
        <f>IFERROR(__xludf.DUMMYFUNCTION("""COMPUTED_VALUE"""),"ADVANCED ENGLISH AND TECHNICAL EXPRESSION ")</f>
        <v>ADVANCED ENGLISH AND TECHNICAL EXPRESSION </v>
      </c>
      <c r="E131" s="144" t="str">
        <f>IFERROR(__xludf.DUMMYFUNCTION("""COMPUTED_VALUE"""),"LAB")</f>
        <v>LAB</v>
      </c>
      <c r="F131" s="144" t="str">
        <f>IFERROR(__xludf.DUMMYFUNCTION("""COMPUTED_VALUE"""),"HU11159")</f>
        <v>HU11159</v>
      </c>
      <c r="G131" s="144" t="str">
        <f>IFERROR(__xludf.DUMMYFUNCTION("""COMPUTED_VALUE"""),"Dr.JAYA K")</f>
        <v>Dr.JAYA K</v>
      </c>
      <c r="H131" s="144" t="str">
        <f>IFERROR(__xludf.DUMMYFUNCTION("""COMPUTED_VALUE"""),"jayak@bitsathy.ac.in")</f>
        <v>jayak@bitsathy.ac.in</v>
      </c>
    </row>
    <row r="132">
      <c r="A132" s="144" t="str">
        <f>IFERROR(__xludf.DUMMYFUNCTION("""COMPUTED_VALUE"""),"CSE")</f>
        <v>CSE</v>
      </c>
      <c r="B132" s="144" t="str">
        <f>IFERROR(__xludf.DUMMYFUNCTION("""COMPUTED_VALUE"""),"S4")</f>
        <v>S4</v>
      </c>
      <c r="C132" s="144" t="str">
        <f>IFERROR(__xludf.DUMMYFUNCTION("""COMPUTED_VALUE"""),"22HS008")</f>
        <v>22HS008</v>
      </c>
      <c r="D132" s="144" t="str">
        <f>IFERROR(__xludf.DUMMYFUNCTION("""COMPUTED_VALUE"""),"ADVANCED ENGLISH AND TECHNICAL EXPRESSION ")</f>
        <v>ADVANCED ENGLISH AND TECHNICAL EXPRESSION </v>
      </c>
      <c r="E132" s="144" t="str">
        <f>IFERROR(__xludf.DUMMYFUNCTION("""COMPUTED_VALUE"""),"LAB")</f>
        <v>LAB</v>
      </c>
      <c r="F132" s="144" t="str">
        <f>IFERROR(__xludf.DUMMYFUNCTION("""COMPUTED_VALUE"""),"HU11011")</f>
        <v>HU11011</v>
      </c>
      <c r="G132" s="144" t="str">
        <f>IFERROR(__xludf.DUMMYFUNCTION("""COMPUTED_VALUE"""),"Dr.AJAI A")</f>
        <v>Dr.AJAI A</v>
      </c>
      <c r="H132" s="144" t="str">
        <f>IFERROR(__xludf.DUMMYFUNCTION("""COMPUTED_VALUE"""),"ajai@bitsathy.ac.in")</f>
        <v>ajai@bitsathy.ac.in</v>
      </c>
    </row>
    <row r="133">
      <c r="A133" s="144" t="str">
        <f>IFERROR(__xludf.DUMMYFUNCTION("""COMPUTED_VALUE"""),"CSBS")</f>
        <v>CSBS</v>
      </c>
      <c r="B133" s="144" t="str">
        <f>IFERROR(__xludf.DUMMYFUNCTION("""COMPUTED_VALUE"""),"S4")</f>
        <v>S4</v>
      </c>
      <c r="C133" s="144" t="str">
        <f>IFERROR(__xludf.DUMMYFUNCTION("""COMPUTED_VALUE"""),"22CB401")</f>
        <v>22CB401</v>
      </c>
      <c r="D133" s="144" t="str">
        <f>IFERROR(__xludf.DUMMYFUNCTION("""COMPUTED_VALUE"""),"OPERATING SYSTEMS")</f>
        <v>OPERATING SYSTEMS</v>
      </c>
      <c r="E133" s="144" t="str">
        <f>IFERROR(__xludf.DUMMYFUNCTION("""COMPUTED_VALUE"""),"THEORY WITH LAB")</f>
        <v>THEORY WITH LAB</v>
      </c>
      <c r="F133" s="144" t="str">
        <f>IFERROR(__xludf.DUMMYFUNCTION("""COMPUTED_VALUE"""),"CB10992")</f>
        <v>CB10992</v>
      </c>
      <c r="G133" s="144" t="str">
        <f>IFERROR(__xludf.DUMMYFUNCTION("""COMPUTED_VALUE"""),"Mrs.SARANYA N")</f>
        <v>Mrs.SARANYA N</v>
      </c>
      <c r="H133" s="144" t="str">
        <f>IFERROR(__xludf.DUMMYFUNCTION("""COMPUTED_VALUE"""),"saranyanj@bitsathy.ac.in")</f>
        <v>saranyanj@bitsathy.ac.in</v>
      </c>
    </row>
    <row r="134">
      <c r="A134" s="144" t="str">
        <f>IFERROR(__xludf.DUMMYFUNCTION("""COMPUTED_VALUE"""),"CSBS")</f>
        <v>CSBS</v>
      </c>
      <c r="B134" s="144" t="str">
        <f>IFERROR(__xludf.DUMMYFUNCTION("""COMPUTED_VALUE"""),"S4")</f>
        <v>S4</v>
      </c>
      <c r="C134" s="144" t="str">
        <f>IFERROR(__xludf.DUMMYFUNCTION("""COMPUTED_VALUE"""),"22CB402")</f>
        <v>22CB402</v>
      </c>
      <c r="D134" s="144" t="str">
        <f>IFERROR(__xludf.DUMMYFUNCTION("""COMPUTED_VALUE"""),"SOFTWARE ENGINEERING")</f>
        <v>SOFTWARE ENGINEERING</v>
      </c>
      <c r="E134" s="144" t="str">
        <f>IFERROR(__xludf.DUMMYFUNCTION("""COMPUTED_VALUE"""),"THEORY WITH LAB")</f>
        <v>THEORY WITH LAB</v>
      </c>
      <c r="F134" s="144" t="str">
        <f>IFERROR(__xludf.DUMMYFUNCTION("""COMPUTED_VALUE"""),"AM11100")</f>
        <v>AM11100</v>
      </c>
      <c r="G134" s="144" t="str">
        <f>IFERROR(__xludf.DUMMYFUNCTION("""COMPUTED_VALUE"""),"Ms.NISHANTHINI S")</f>
        <v>Ms.NISHANTHINI S</v>
      </c>
      <c r="H134" s="144" t="str">
        <f>IFERROR(__xludf.DUMMYFUNCTION("""COMPUTED_VALUE"""),"nishanthinis@bitsathy.ac.in")</f>
        <v>nishanthinis@bitsathy.ac.in</v>
      </c>
    </row>
    <row r="135">
      <c r="A135" s="144" t="str">
        <f>IFERROR(__xludf.DUMMYFUNCTION("""COMPUTED_VALUE"""),"CSBS")</f>
        <v>CSBS</v>
      </c>
      <c r="B135" s="144" t="str">
        <f>IFERROR(__xludf.DUMMYFUNCTION("""COMPUTED_VALUE"""),"S4")</f>
        <v>S4</v>
      </c>
      <c r="C135" s="144" t="str">
        <f>IFERROR(__xludf.DUMMYFUNCTION("""COMPUTED_VALUE"""),"22CB403")</f>
        <v>22CB403</v>
      </c>
      <c r="D135" s="144" t="str">
        <f>IFERROR(__xludf.DUMMYFUNCTION("""COMPUTED_VALUE"""),"DESIGN AND ANALYSIS OF ALGORITHMS")</f>
        <v>DESIGN AND ANALYSIS OF ALGORITHMS</v>
      </c>
      <c r="E135" s="144" t="str">
        <f>IFERROR(__xludf.DUMMYFUNCTION("""COMPUTED_VALUE"""),"THEORY")</f>
        <v>THEORY</v>
      </c>
      <c r="F135" s="144" t="str">
        <f>IFERROR(__xludf.DUMMYFUNCTION("""COMPUTED_VALUE"""),"CB10791")</f>
        <v>CB10791</v>
      </c>
      <c r="G135" s="144" t="str">
        <f>IFERROR(__xludf.DUMMYFUNCTION("""COMPUTED_VALUE"""),"Mr.CHANDRU K S")</f>
        <v>Mr.CHANDRU K S</v>
      </c>
      <c r="H135" s="144" t="str">
        <f>IFERROR(__xludf.DUMMYFUNCTION("""COMPUTED_VALUE"""),"chandruks@bitsathy.ac.in")</f>
        <v>chandruks@bitsathy.ac.in</v>
      </c>
    </row>
    <row r="136">
      <c r="A136" s="144" t="str">
        <f>IFERROR(__xludf.DUMMYFUNCTION("""COMPUTED_VALUE"""),"CSBS")</f>
        <v>CSBS</v>
      </c>
      <c r="B136" s="144" t="str">
        <f>IFERROR(__xludf.DUMMYFUNCTION("""COMPUTED_VALUE"""),"S4")</f>
        <v>S4</v>
      </c>
      <c r="C136" s="144" t="str">
        <f>IFERROR(__xludf.DUMMYFUNCTION("""COMPUTED_VALUE"""),"22CB403")</f>
        <v>22CB403</v>
      </c>
      <c r="D136" s="144" t="str">
        <f>IFERROR(__xludf.DUMMYFUNCTION("""COMPUTED_VALUE"""),"DESIGN AND ANALYSIS OF ALGORITHMS")</f>
        <v>DESIGN AND ANALYSIS OF ALGORITHMS</v>
      </c>
      <c r="E136" s="144" t="str">
        <f>IFERROR(__xludf.DUMMYFUNCTION("""COMPUTED_VALUE"""),"LAB")</f>
        <v>LAB</v>
      </c>
      <c r="F136" s="144" t="str">
        <f>IFERROR(__xludf.DUMMYFUNCTION("""COMPUTED_VALUE"""),"CB10791")</f>
        <v>CB10791</v>
      </c>
      <c r="G136" s="144" t="str">
        <f>IFERROR(__xludf.DUMMYFUNCTION("""COMPUTED_VALUE"""),"Mr.CHANDRU K S")</f>
        <v>Mr.CHANDRU K S</v>
      </c>
      <c r="H136" s="144" t="str">
        <f>IFERROR(__xludf.DUMMYFUNCTION("""COMPUTED_VALUE"""),"chandruks@bitsathy.ac.in")</f>
        <v>chandruks@bitsathy.ac.in</v>
      </c>
    </row>
    <row r="137">
      <c r="A137" s="144" t="str">
        <f>IFERROR(__xludf.DUMMYFUNCTION("""COMPUTED_VALUE"""),"CSBS")</f>
        <v>CSBS</v>
      </c>
      <c r="B137" s="144" t="str">
        <f>IFERROR(__xludf.DUMMYFUNCTION("""COMPUTED_VALUE"""),"S4")</f>
        <v>S4</v>
      </c>
      <c r="C137" s="144" t="str">
        <f>IFERROR(__xludf.DUMMYFUNCTION("""COMPUTED_VALUE"""),"22CB404")</f>
        <v>22CB404</v>
      </c>
      <c r="D137" s="144" t="str">
        <f>IFERROR(__xludf.DUMMYFUNCTION("""COMPUTED_VALUE"""),"DESIGN THINKING")</f>
        <v>DESIGN THINKING</v>
      </c>
      <c r="E137" s="144" t="str">
        <f>IFERROR(__xludf.DUMMYFUNCTION("""COMPUTED_VALUE"""),"THEORY")</f>
        <v>THEORY</v>
      </c>
      <c r="F137" s="144" t="str">
        <f>IFERROR(__xludf.DUMMYFUNCTION("""COMPUTED_VALUE"""),"CS10974")</f>
        <v>CS10974</v>
      </c>
      <c r="G137" s="144" t="str">
        <f>IFERROR(__xludf.DUMMYFUNCTION("""COMPUTED_VALUE"""),"Mr.STEEPHAN AMALRAJ J")</f>
        <v>Mr.STEEPHAN AMALRAJ J</v>
      </c>
      <c r="H137" s="144" t="str">
        <f>IFERROR(__xludf.DUMMYFUNCTION("""COMPUTED_VALUE"""),"steephanamalrajj@bitsathy.ac.in")</f>
        <v>steephanamalrajj@bitsathy.ac.in</v>
      </c>
    </row>
    <row r="138">
      <c r="A138" s="144" t="str">
        <f>IFERROR(__xludf.DUMMYFUNCTION("""COMPUTED_VALUE"""),"CSBS")</f>
        <v>CSBS</v>
      </c>
      <c r="B138" s="144" t="str">
        <f>IFERROR(__xludf.DUMMYFUNCTION("""COMPUTED_VALUE"""),"S4")</f>
        <v>S4</v>
      </c>
      <c r="C138" s="144" t="str">
        <f>IFERROR(__xludf.DUMMYFUNCTION("""COMPUTED_VALUE"""),"22CB405")</f>
        <v>22CB405</v>
      </c>
      <c r="D138" s="144" t="str">
        <f>IFERROR(__xludf.DUMMYFUNCTION("""COMPUTED_VALUE"""),"OPERATIONS RESEARCH")</f>
        <v>OPERATIONS RESEARCH</v>
      </c>
      <c r="E138" s="144" t="str">
        <f>IFERROR(__xludf.DUMMYFUNCTION("""COMPUTED_VALUE"""),"THEORY WITH LAB")</f>
        <v>THEORY WITH LAB</v>
      </c>
      <c r="F138" s="144" t="str">
        <f>IFERROR(__xludf.DUMMYFUNCTION("""COMPUTED_VALUE"""),"MA1342")</f>
        <v>MA1342</v>
      </c>
      <c r="G138" s="144" t="str">
        <f>IFERROR(__xludf.DUMMYFUNCTION("""COMPUTED_VALUE"""),"Dr.VINOTHINI V R")</f>
        <v>Dr.VINOTHINI V R</v>
      </c>
      <c r="H138" s="144" t="str">
        <f>IFERROR(__xludf.DUMMYFUNCTION("""COMPUTED_VALUE"""),"vinothinivr@bitsathy.ac.in")</f>
        <v>vinothinivr@bitsathy.ac.in</v>
      </c>
    </row>
    <row r="139">
      <c r="A139" s="144" t="str">
        <f>IFERROR(__xludf.DUMMYFUNCTION("""COMPUTED_VALUE"""),"CSBS")</f>
        <v>CSBS</v>
      </c>
      <c r="B139" s="144" t="str">
        <f>IFERROR(__xludf.DUMMYFUNCTION("""COMPUTED_VALUE"""),"S4")</f>
        <v>S4</v>
      </c>
      <c r="C139" s="144" t="str">
        <f>IFERROR(__xludf.DUMMYFUNCTION("""COMPUTED_VALUE"""),"22CB406")</f>
        <v>22CB406</v>
      </c>
      <c r="D139" s="144" t="str">
        <f>IFERROR(__xludf.DUMMYFUNCTION("""COMPUTED_VALUE"""),"MARKETING RESEARCH AND MARKETING MANAGEMENT")</f>
        <v>MARKETING RESEARCH AND MARKETING MANAGEMENT</v>
      </c>
      <c r="E139" s="144" t="str">
        <f>IFERROR(__xludf.DUMMYFUNCTION("""COMPUTED_VALUE"""),"THEORY")</f>
        <v>THEORY</v>
      </c>
      <c r="F139" s="144" t="str">
        <f>IFERROR(__xludf.DUMMYFUNCTION("""COMPUTED_VALUE"""),"SM11120")</f>
        <v>SM11120</v>
      </c>
      <c r="G139" s="144" t="str">
        <f>IFERROR(__xludf.DUMMYFUNCTION("""COMPUTED_VALUE"""),"Dr.VIDHYA S")</f>
        <v>Dr.VIDHYA S</v>
      </c>
      <c r="H139" s="144" t="str">
        <f>IFERROR(__xludf.DUMMYFUNCTION("""COMPUTED_VALUE"""),"vidhyas@bitsathy.ac.in")</f>
        <v>vidhyas@bitsathy.ac.in</v>
      </c>
    </row>
    <row r="140">
      <c r="A140" s="144" t="str">
        <f>IFERROR(__xludf.DUMMYFUNCTION("""COMPUTED_VALUE"""),"CSBS")</f>
        <v>CSBS</v>
      </c>
      <c r="B140" s="144" t="str">
        <f>IFERROR(__xludf.DUMMYFUNCTION("""COMPUTED_VALUE"""),"S4")</f>
        <v>S4</v>
      </c>
      <c r="C140" s="144" t="str">
        <f>IFERROR(__xludf.DUMMYFUNCTION("""COMPUTED_VALUE"""),"22CB031")</f>
        <v>22CB031</v>
      </c>
      <c r="D140" s="144" t="str">
        <f>IFERROR(__xludf.DUMMYFUNCTION("""COMPUTED_VALUE"""),"INTRODUCTION TO INNOVATION IP MANAGEMENT AND ENTREPRENEURSHIP")</f>
        <v>INTRODUCTION TO INNOVATION IP MANAGEMENT AND ENTREPRENEURSHIP</v>
      </c>
      <c r="E140" s="144" t="str">
        <f>IFERROR(__xludf.DUMMYFUNCTION("""COMPUTED_VALUE"""),"THEORY")</f>
        <v>THEORY</v>
      </c>
      <c r="F140" s="144" t="str">
        <f>IFERROR(__xludf.DUMMYFUNCTION("""COMPUTED_VALUE"""),"CB11170")</f>
        <v>CB11170</v>
      </c>
      <c r="G140" s="144" t="str">
        <f>IFERROR(__xludf.DUMMYFUNCTION("""COMPUTED_VALUE"""),"Ms.VAISHNAVI N")</f>
        <v>Ms.VAISHNAVI N</v>
      </c>
      <c r="H140" s="144" t="str">
        <f>IFERROR(__xludf.DUMMYFUNCTION("""COMPUTED_VALUE"""),"vaishnavin@bitsathy.ac.in")</f>
        <v>vaishnavin@bitsathy.ac.in</v>
      </c>
    </row>
    <row r="141">
      <c r="A141" s="144" t="str">
        <f>IFERROR(__xludf.DUMMYFUNCTION("""COMPUTED_VALUE"""),"CSBS")</f>
        <v>CSBS</v>
      </c>
      <c r="B141" s="144" t="str">
        <f>IFERROR(__xludf.DUMMYFUNCTION("""COMPUTED_VALUE"""),"S4")</f>
        <v>S4</v>
      </c>
      <c r="C141" s="144" t="str">
        <f>IFERROR(__xludf.DUMMYFUNCTION("""COMPUTED_VALUE"""),"22HS007")</f>
        <v>22HS007</v>
      </c>
      <c r="D141" s="144" t="str">
        <f>IFERROR(__xludf.DUMMYFUNCTION("""COMPUTED_VALUE"""),"ENVIRONMENTAL SCIENCE")</f>
        <v>ENVIRONMENTAL SCIENCE</v>
      </c>
      <c r="E141" s="144" t="str">
        <f>IFERROR(__xludf.DUMMYFUNCTION("""COMPUTED_VALUE"""),"LAB")</f>
        <v>LAB</v>
      </c>
      <c r="F141" s="144" t="str">
        <f>IFERROR(__xludf.DUMMYFUNCTION("""COMPUTED_VALUE"""),"CH11127")</f>
        <v>CH11127</v>
      </c>
      <c r="G141" s="144" t="str">
        <f>IFERROR(__xludf.DUMMYFUNCTION("""COMPUTED_VALUE"""),"Dr.MANIGANDAN S")</f>
        <v>Dr.MANIGANDAN S</v>
      </c>
      <c r="H141" s="144" t="str">
        <f>IFERROR(__xludf.DUMMYFUNCTION("""COMPUTED_VALUE"""),"manigandan@bitsathy.ac.in")</f>
        <v>manigandan@bitsathy.ac.in</v>
      </c>
    </row>
    <row r="142">
      <c r="A142" s="144" t="str">
        <f>IFERROR(__xludf.DUMMYFUNCTION("""COMPUTED_VALUE"""),"EEE")</f>
        <v>EEE</v>
      </c>
      <c r="B142" s="144" t="str">
        <f>IFERROR(__xludf.DUMMYFUNCTION("""COMPUTED_VALUE"""),"S4")</f>
        <v>S4</v>
      </c>
      <c r="C142" s="144" t="str">
        <f>IFERROR(__xludf.DUMMYFUNCTION("""COMPUTED_VALUE"""),"22EE401")</f>
        <v>22EE401</v>
      </c>
      <c r="D142" s="144" t="str">
        <f>IFERROR(__xludf.DUMMYFUNCTION("""COMPUTED_VALUE"""),"POWER GENERATION, TRANSMISSION AND DISTRIBUTION")</f>
        <v>POWER GENERATION, TRANSMISSION AND DISTRIBUTION</v>
      </c>
      <c r="E142" s="144" t="str">
        <f>IFERROR(__xludf.DUMMYFUNCTION("""COMPUTED_VALUE"""),"THEORY")</f>
        <v>THEORY</v>
      </c>
      <c r="F142" s="144" t="str">
        <f>IFERROR(__xludf.DUMMYFUNCTION("""COMPUTED_VALUE"""),"EE10647")</f>
        <v>EE10647</v>
      </c>
      <c r="G142" s="144" t="str">
        <f>IFERROR(__xludf.DUMMYFUNCTION("""COMPUTED_VALUE"""),"Dr.SENTHIL KUMAR J")</f>
        <v>Dr.SENTHIL KUMAR J</v>
      </c>
      <c r="H142" s="144" t="str">
        <f>IFERROR(__xludf.DUMMYFUNCTION("""COMPUTED_VALUE"""),"senthilkumarj@bitsathy.ac.in")</f>
        <v>senthilkumarj@bitsathy.ac.in</v>
      </c>
    </row>
    <row r="143">
      <c r="A143" s="144" t="str">
        <f>IFERROR(__xludf.DUMMYFUNCTION("""COMPUTED_VALUE"""),"EEE")</f>
        <v>EEE</v>
      </c>
      <c r="B143" s="144" t="str">
        <f>IFERROR(__xludf.DUMMYFUNCTION("""COMPUTED_VALUE"""),"S4")</f>
        <v>S4</v>
      </c>
      <c r="C143" s="144" t="str">
        <f>IFERROR(__xludf.DUMMYFUNCTION("""COMPUTED_VALUE"""),"22EE401")</f>
        <v>22EE401</v>
      </c>
      <c r="D143" s="144" t="str">
        <f>IFERROR(__xludf.DUMMYFUNCTION("""COMPUTED_VALUE"""),"POWER GENERATION, TRANSMISSION AND DISTRIBUTION")</f>
        <v>POWER GENERATION, TRANSMISSION AND DISTRIBUTION</v>
      </c>
      <c r="E143" s="144" t="str">
        <f>IFERROR(__xludf.DUMMYFUNCTION("""COMPUTED_VALUE"""),"THEORY")</f>
        <v>THEORY</v>
      </c>
      <c r="F143" s="144" t="str">
        <f>IFERROR(__xludf.DUMMYFUNCTION("""COMPUTED_VALUE"""),"EE10873")</f>
        <v>EE10873</v>
      </c>
      <c r="G143" s="144" t="str">
        <f>IFERROR(__xludf.DUMMYFUNCTION("""COMPUTED_VALUE"""),"Dr.CHINNADURRAI CL")</f>
        <v>Dr.CHINNADURRAI CL</v>
      </c>
      <c r="H143" s="144" t="str">
        <f>IFERROR(__xludf.DUMMYFUNCTION("""COMPUTED_VALUE"""),"chinnadurraicl@bitsathy.ac.in")</f>
        <v>chinnadurraicl@bitsathy.ac.in</v>
      </c>
    </row>
    <row r="144">
      <c r="A144" s="144" t="str">
        <f>IFERROR(__xludf.DUMMYFUNCTION("""COMPUTED_VALUE"""),"EEE")</f>
        <v>EEE</v>
      </c>
      <c r="B144" s="144" t="str">
        <f>IFERROR(__xludf.DUMMYFUNCTION("""COMPUTED_VALUE"""),"S4")</f>
        <v>S4</v>
      </c>
      <c r="C144" s="144" t="str">
        <f>IFERROR(__xludf.DUMMYFUNCTION("""COMPUTED_VALUE"""),"22EE402")</f>
        <v>22EE402</v>
      </c>
      <c r="D144" s="144" t="str">
        <f>IFERROR(__xludf.DUMMYFUNCTION("""COMPUTED_VALUE"""),"ELECTRICAL MACHINES II")</f>
        <v>ELECTRICAL MACHINES II</v>
      </c>
      <c r="E144" s="144" t="str">
        <f>IFERROR(__xludf.DUMMYFUNCTION("""COMPUTED_VALUE"""),"THEORY")</f>
        <v>THEORY</v>
      </c>
      <c r="F144" s="144" t="str">
        <f>IFERROR(__xludf.DUMMYFUNCTION("""COMPUTED_VALUE"""),"EE1437")</f>
        <v>EE1437</v>
      </c>
      <c r="G144" s="144" t="str">
        <f>IFERROR(__xludf.DUMMYFUNCTION("""COMPUTED_VALUE"""),"Dr.VEERAKUMAR S")</f>
        <v>Dr.VEERAKUMAR S</v>
      </c>
      <c r="H144" s="144" t="str">
        <f>IFERROR(__xludf.DUMMYFUNCTION("""COMPUTED_VALUE"""),"veerakumars@bitsathy.ac.in")</f>
        <v>veerakumars@bitsathy.ac.in</v>
      </c>
    </row>
    <row r="145">
      <c r="A145" s="144" t="str">
        <f>IFERROR(__xludf.DUMMYFUNCTION("""COMPUTED_VALUE"""),"EEE")</f>
        <v>EEE</v>
      </c>
      <c r="B145" s="144" t="str">
        <f>IFERROR(__xludf.DUMMYFUNCTION("""COMPUTED_VALUE"""),"S4")</f>
        <v>S4</v>
      </c>
      <c r="C145" s="144" t="str">
        <f>IFERROR(__xludf.DUMMYFUNCTION("""COMPUTED_VALUE"""),"22EE402")</f>
        <v>22EE402</v>
      </c>
      <c r="D145" s="144" t="str">
        <f>IFERROR(__xludf.DUMMYFUNCTION("""COMPUTED_VALUE"""),"ELECTRICAL MACHINES II")</f>
        <v>ELECTRICAL MACHINES II</v>
      </c>
      <c r="E145" s="144" t="str">
        <f>IFERROR(__xludf.DUMMYFUNCTION("""COMPUTED_VALUE"""),"LAB")</f>
        <v>LAB</v>
      </c>
      <c r="F145" s="144" t="str">
        <f>IFERROR(__xludf.DUMMYFUNCTION("""COMPUTED_VALUE"""),"EE1695")</f>
        <v>EE1695</v>
      </c>
      <c r="G145" s="144" t="str">
        <f>IFERROR(__xludf.DUMMYFUNCTION("""COMPUTED_VALUE"""),"Dr.NANDHAKUMAR A")</f>
        <v>Dr.NANDHAKUMAR A</v>
      </c>
      <c r="H145" s="144" t="str">
        <f>IFERROR(__xludf.DUMMYFUNCTION("""COMPUTED_VALUE"""),"nandhakumara@bitsathy.ac.in")</f>
        <v>nandhakumara@bitsathy.ac.in</v>
      </c>
    </row>
    <row r="146">
      <c r="A146" s="144" t="str">
        <f>IFERROR(__xludf.DUMMYFUNCTION("""COMPUTED_VALUE"""),"EEE")</f>
        <v>EEE</v>
      </c>
      <c r="B146" s="144" t="str">
        <f>IFERROR(__xludf.DUMMYFUNCTION("""COMPUTED_VALUE"""),"S4")</f>
        <v>S4</v>
      </c>
      <c r="C146" s="144" t="str">
        <f>IFERROR(__xludf.DUMMYFUNCTION("""COMPUTED_VALUE"""),"22EE402")</f>
        <v>22EE402</v>
      </c>
      <c r="D146" s="144" t="str">
        <f>IFERROR(__xludf.DUMMYFUNCTION("""COMPUTED_VALUE"""),"ELECTRICAL MACHINES II")</f>
        <v>ELECTRICAL MACHINES II</v>
      </c>
      <c r="E146" s="144" t="str">
        <f>IFERROR(__xludf.DUMMYFUNCTION("""COMPUTED_VALUE"""),"THEORY")</f>
        <v>THEORY</v>
      </c>
      <c r="F146" s="144" t="str">
        <f>IFERROR(__xludf.DUMMYFUNCTION("""COMPUTED_VALUE"""),"EE1040")</f>
        <v>EE1040</v>
      </c>
      <c r="G146" s="144" t="str">
        <f>IFERROR(__xludf.DUMMYFUNCTION("""COMPUTED_VALUE"""),"Dr.BHARANI KUMAR R")</f>
        <v>Dr.BHARANI KUMAR R</v>
      </c>
      <c r="H146" s="144" t="str">
        <f>IFERROR(__xludf.DUMMYFUNCTION("""COMPUTED_VALUE"""),"bharanikumarr@bitsathy.ac.in")</f>
        <v>bharanikumarr@bitsathy.ac.in</v>
      </c>
    </row>
    <row r="147">
      <c r="A147" s="144" t="str">
        <f>IFERROR(__xludf.DUMMYFUNCTION("""COMPUTED_VALUE"""),"EEE")</f>
        <v>EEE</v>
      </c>
      <c r="B147" s="144" t="str">
        <f>IFERROR(__xludf.DUMMYFUNCTION("""COMPUTED_VALUE"""),"S4")</f>
        <v>S4</v>
      </c>
      <c r="C147" s="144" t="str">
        <f>IFERROR(__xludf.DUMMYFUNCTION("""COMPUTED_VALUE"""),"22EE402")</f>
        <v>22EE402</v>
      </c>
      <c r="D147" s="144" t="str">
        <f>IFERROR(__xludf.DUMMYFUNCTION("""COMPUTED_VALUE"""),"ELECTRICAL MACHINES II")</f>
        <v>ELECTRICAL MACHINES II</v>
      </c>
      <c r="E147" s="144" t="str">
        <f>IFERROR(__xludf.DUMMYFUNCTION("""COMPUTED_VALUE"""),"LAB")</f>
        <v>LAB</v>
      </c>
      <c r="F147" s="144" t="str">
        <f>IFERROR(__xludf.DUMMYFUNCTION("""COMPUTED_VALUE"""),"EE10317")</f>
        <v>EE10317</v>
      </c>
      <c r="G147" s="144" t="str">
        <f>IFERROR(__xludf.DUMMYFUNCTION("""COMPUTED_VALUE"""),"Mr.ARUN CHENDHURAN R")</f>
        <v>Mr.ARUN CHENDHURAN R</v>
      </c>
      <c r="H147" s="144" t="str">
        <f>IFERROR(__xludf.DUMMYFUNCTION("""COMPUTED_VALUE"""),"arunchendhuran@bitsathy.ac.in")</f>
        <v>arunchendhuran@bitsathy.ac.in</v>
      </c>
    </row>
    <row r="148">
      <c r="A148" s="144" t="str">
        <f>IFERROR(__xludf.DUMMYFUNCTION("""COMPUTED_VALUE"""),"EEE")</f>
        <v>EEE</v>
      </c>
      <c r="B148" s="144" t="str">
        <f>IFERROR(__xludf.DUMMYFUNCTION("""COMPUTED_VALUE"""),"S4")</f>
        <v>S4</v>
      </c>
      <c r="C148" s="144" t="str">
        <f>IFERROR(__xludf.DUMMYFUNCTION("""COMPUTED_VALUE"""),"22EE403")</f>
        <v>22EE403</v>
      </c>
      <c r="D148" s="144" t="str">
        <f>IFERROR(__xludf.DUMMYFUNCTION("""COMPUTED_VALUE"""),"MEASUREMENT AND INSTRUMENTATION")</f>
        <v>MEASUREMENT AND INSTRUMENTATION</v>
      </c>
      <c r="E148" s="144" t="str">
        <f>IFERROR(__xludf.DUMMYFUNCTION("""COMPUTED_VALUE"""),"THEORY WITH LAB")</f>
        <v>THEORY WITH LAB</v>
      </c>
      <c r="F148" s="144" t="str">
        <f>IFERROR(__xludf.DUMMYFUNCTION("""COMPUTED_VALUE"""),"EE1785")</f>
        <v>EE1785</v>
      </c>
      <c r="G148" s="144" t="str">
        <f>IFERROR(__xludf.DUMMYFUNCTION("""COMPUTED_VALUE"""),"Mrs.MOHANAPRIYA V")</f>
        <v>Mrs.MOHANAPRIYA V</v>
      </c>
      <c r="H148" s="144" t="str">
        <f>IFERROR(__xludf.DUMMYFUNCTION("""COMPUTED_VALUE"""),"mohanapriyav@bitsathy.ac.in")</f>
        <v>mohanapriyav@bitsathy.ac.in</v>
      </c>
    </row>
    <row r="149">
      <c r="A149" s="144" t="str">
        <f>IFERROR(__xludf.DUMMYFUNCTION("""COMPUTED_VALUE"""),"EEE")</f>
        <v>EEE</v>
      </c>
      <c r="B149" s="144" t="str">
        <f>IFERROR(__xludf.DUMMYFUNCTION("""COMPUTED_VALUE"""),"S4")</f>
        <v>S4</v>
      </c>
      <c r="C149" s="144" t="str">
        <f>IFERROR(__xludf.DUMMYFUNCTION("""COMPUTED_VALUE"""),"22EE403")</f>
        <v>22EE403</v>
      </c>
      <c r="D149" s="144" t="str">
        <f>IFERROR(__xludf.DUMMYFUNCTION("""COMPUTED_VALUE"""),"MEASUREMENT AND INSTRUMENTATION")</f>
        <v>MEASUREMENT AND INSTRUMENTATION</v>
      </c>
      <c r="E149" s="144" t="str">
        <f>IFERROR(__xludf.DUMMYFUNCTION("""COMPUTED_VALUE"""),"THEORY WITH LAB")</f>
        <v>THEORY WITH LAB</v>
      </c>
      <c r="F149" s="144" t="str">
        <f>IFERROR(__xludf.DUMMYFUNCTION("""COMPUTED_VALUE"""),"EE1908")</f>
        <v>EE1908</v>
      </c>
      <c r="G149" s="144" t="str">
        <f>IFERROR(__xludf.DUMMYFUNCTION("""COMPUTED_VALUE"""),"Mr.SUNDAR S")</f>
        <v>Mr.SUNDAR S</v>
      </c>
      <c r="H149" s="144" t="str">
        <f>IFERROR(__xludf.DUMMYFUNCTION("""COMPUTED_VALUE"""),"sundars@bitsathy.ac.in")</f>
        <v>sundars@bitsathy.ac.in</v>
      </c>
    </row>
    <row r="150">
      <c r="A150" s="144" t="str">
        <f>IFERROR(__xludf.DUMMYFUNCTION("""COMPUTED_VALUE"""),"EEE")</f>
        <v>EEE</v>
      </c>
      <c r="B150" s="144" t="str">
        <f>IFERROR(__xludf.DUMMYFUNCTION("""COMPUTED_VALUE"""),"S4")</f>
        <v>S4</v>
      </c>
      <c r="C150" s="144" t="str">
        <f>IFERROR(__xludf.DUMMYFUNCTION("""COMPUTED_VALUE"""),"22EE404")</f>
        <v>22EE404</v>
      </c>
      <c r="D150" s="144" t="str">
        <f>IFERROR(__xludf.DUMMYFUNCTION("""COMPUTED_VALUE"""),"DIGITAL LOGIC CIRCUIT DESIGN")</f>
        <v>DIGITAL LOGIC CIRCUIT DESIGN</v>
      </c>
      <c r="E150" s="144" t="str">
        <f>IFERROR(__xludf.DUMMYFUNCTION("""COMPUTED_VALUE"""),"THEORY WITH LAB")</f>
        <v>THEORY WITH LAB</v>
      </c>
      <c r="F150" s="144" t="str">
        <f>IFERROR(__xludf.DUMMYFUNCTION("""COMPUTED_VALUE"""),"EE1747")</f>
        <v>EE1747</v>
      </c>
      <c r="G150" s="144" t="str">
        <f>IFERROR(__xludf.DUMMYFUNCTION("""COMPUTED_VALUE"""),"Dr.SRITHA P")</f>
        <v>Dr.SRITHA P</v>
      </c>
      <c r="H150" s="144" t="str">
        <f>IFERROR(__xludf.DUMMYFUNCTION("""COMPUTED_VALUE"""),"srithap@bitsathy.ac.in")</f>
        <v>srithap@bitsathy.ac.in</v>
      </c>
    </row>
    <row r="151">
      <c r="A151" s="144" t="str">
        <f>IFERROR(__xludf.DUMMYFUNCTION("""COMPUTED_VALUE"""),"EEE")</f>
        <v>EEE</v>
      </c>
      <c r="B151" s="144" t="str">
        <f>IFERROR(__xludf.DUMMYFUNCTION("""COMPUTED_VALUE"""),"S4")</f>
        <v>S4</v>
      </c>
      <c r="C151" s="144" t="str">
        <f>IFERROR(__xludf.DUMMYFUNCTION("""COMPUTED_VALUE"""),"22EE404")</f>
        <v>22EE404</v>
      </c>
      <c r="D151" s="144" t="str">
        <f>IFERROR(__xludf.DUMMYFUNCTION("""COMPUTED_VALUE"""),"DIGITAL LOGIC CIRCUIT DESIGN")</f>
        <v>DIGITAL LOGIC CIRCUIT DESIGN</v>
      </c>
      <c r="E151" s="144" t="str">
        <f>IFERROR(__xludf.DUMMYFUNCTION("""COMPUTED_VALUE"""),"THEORY WITH LAB")</f>
        <v>THEORY WITH LAB</v>
      </c>
      <c r="F151" s="144" t="str">
        <f>IFERROR(__xludf.DUMMYFUNCTION("""COMPUTED_VALUE"""),"EE10721")</f>
        <v>EE10721</v>
      </c>
      <c r="G151" s="144" t="str">
        <f>IFERROR(__xludf.DUMMYFUNCTION("""COMPUTED_VALUE"""),"Mrs.GOPIKA N P")</f>
        <v>Mrs.GOPIKA N P</v>
      </c>
      <c r="H151" s="144" t="str">
        <f>IFERROR(__xludf.DUMMYFUNCTION("""COMPUTED_VALUE"""),"gopika@bitsathy.ac.in")</f>
        <v>gopika@bitsathy.ac.in</v>
      </c>
    </row>
    <row r="152">
      <c r="A152" s="144" t="str">
        <f>IFERROR(__xludf.DUMMYFUNCTION("""COMPUTED_VALUE"""),"EEE")</f>
        <v>EEE</v>
      </c>
      <c r="B152" s="144" t="str">
        <f>IFERROR(__xludf.DUMMYFUNCTION("""COMPUTED_VALUE"""),"S4")</f>
        <v>S4</v>
      </c>
      <c r="C152" s="144" t="str">
        <f>IFERROR(__xludf.DUMMYFUNCTION("""COMPUTED_VALUE"""),"22EE405")</f>
        <v>22EE405</v>
      </c>
      <c r="D152" s="144" t="str">
        <f>IFERROR(__xludf.DUMMYFUNCTION("""COMPUTED_VALUE"""),"EMBEDDED SYSTEMS")</f>
        <v>EMBEDDED SYSTEMS</v>
      </c>
      <c r="E152" s="144" t="str">
        <f>IFERROR(__xludf.DUMMYFUNCTION("""COMPUTED_VALUE"""),"THEORY")</f>
        <v>THEORY</v>
      </c>
      <c r="F152" s="144" t="str">
        <f>IFERROR(__xludf.DUMMYFUNCTION("""COMPUTED_VALUE"""),"EE10786")</f>
        <v>EE10786</v>
      </c>
      <c r="G152" s="144" t="str">
        <f>IFERROR(__xludf.DUMMYFUNCTION("""COMPUTED_VALUE"""),"Dr.MANOJKUMAR P")</f>
        <v>Dr.MANOJKUMAR P</v>
      </c>
      <c r="H152" s="144" t="str">
        <f>IFERROR(__xludf.DUMMYFUNCTION("""COMPUTED_VALUE"""),"manojkumarp@bitsathy.ac.in")</f>
        <v>manojkumarp@bitsathy.ac.in</v>
      </c>
    </row>
    <row r="153">
      <c r="A153" s="144" t="str">
        <f>IFERROR(__xludf.DUMMYFUNCTION("""COMPUTED_VALUE"""),"EEE")</f>
        <v>EEE</v>
      </c>
      <c r="B153" s="144" t="str">
        <f>IFERROR(__xludf.DUMMYFUNCTION("""COMPUTED_VALUE"""),"S4")</f>
        <v>S4</v>
      </c>
      <c r="C153" s="144" t="str">
        <f>IFERROR(__xludf.DUMMYFUNCTION("""COMPUTED_VALUE"""),"22EE405")</f>
        <v>22EE405</v>
      </c>
      <c r="D153" s="144" t="str">
        <f>IFERROR(__xludf.DUMMYFUNCTION("""COMPUTED_VALUE"""),"EMBEDDED SYSTEMS")</f>
        <v>EMBEDDED SYSTEMS</v>
      </c>
      <c r="E153" s="144" t="str">
        <f>IFERROR(__xludf.DUMMYFUNCTION("""COMPUTED_VALUE"""),"LAB")</f>
        <v>LAB</v>
      </c>
      <c r="F153" s="144" t="str">
        <f>IFERROR(__xludf.DUMMYFUNCTION("""COMPUTED_VALUE"""),"EE10616")</f>
        <v>EE10616</v>
      </c>
      <c r="G153" s="144" t="str">
        <f>IFERROR(__xludf.DUMMYFUNCTION("""COMPUTED_VALUE"""),"Mrs.NITHYA G")</f>
        <v>Mrs.NITHYA G</v>
      </c>
      <c r="H153" s="144" t="str">
        <f>IFERROR(__xludf.DUMMYFUNCTION("""COMPUTED_VALUE"""),"nithyag@bitsathy.ac.in")</f>
        <v>nithyag@bitsathy.ac.in</v>
      </c>
    </row>
    <row r="154">
      <c r="A154" s="144" t="str">
        <f>IFERROR(__xludf.DUMMYFUNCTION("""COMPUTED_VALUE"""),"EEE")</f>
        <v>EEE</v>
      </c>
      <c r="B154" s="144" t="str">
        <f>IFERROR(__xludf.DUMMYFUNCTION("""COMPUTED_VALUE"""),"S4")</f>
        <v>S4</v>
      </c>
      <c r="C154" s="144" t="str">
        <f>IFERROR(__xludf.DUMMYFUNCTION("""COMPUTED_VALUE"""),"22EE405")</f>
        <v>22EE405</v>
      </c>
      <c r="D154" s="144" t="str">
        <f>IFERROR(__xludf.DUMMYFUNCTION("""COMPUTED_VALUE"""),"EMBEDDED SYSTEMS")</f>
        <v>EMBEDDED SYSTEMS</v>
      </c>
      <c r="E154" s="144" t="str">
        <f>IFERROR(__xludf.DUMMYFUNCTION("""COMPUTED_VALUE"""),"THEORY")</f>
        <v>THEORY</v>
      </c>
      <c r="F154" s="144" t="str">
        <f>IFERROR(__xludf.DUMMYFUNCTION("""COMPUTED_VALUE"""),"EE10397")</f>
        <v>EE10397</v>
      </c>
      <c r="G154" s="144" t="str">
        <f>IFERROR(__xludf.DUMMYFUNCTION("""COMPUTED_VALUE"""),"Dr.SATHISHKUMAR S")</f>
        <v>Dr.SATHISHKUMAR S</v>
      </c>
      <c r="H154" s="144" t="str">
        <f>IFERROR(__xludf.DUMMYFUNCTION("""COMPUTED_VALUE"""),"sathishkumars@bitsathy.ac.in")</f>
        <v>sathishkumars@bitsathy.ac.in</v>
      </c>
    </row>
    <row r="155">
      <c r="A155" s="144" t="str">
        <f>IFERROR(__xludf.DUMMYFUNCTION("""COMPUTED_VALUE"""),"EEE")</f>
        <v>EEE</v>
      </c>
      <c r="B155" s="144" t="str">
        <f>IFERROR(__xludf.DUMMYFUNCTION("""COMPUTED_VALUE"""),"S4")</f>
        <v>S4</v>
      </c>
      <c r="C155" s="144" t="str">
        <f>IFERROR(__xludf.DUMMYFUNCTION("""COMPUTED_VALUE"""),"22EE405")</f>
        <v>22EE405</v>
      </c>
      <c r="D155" s="144" t="str">
        <f>IFERROR(__xludf.DUMMYFUNCTION("""COMPUTED_VALUE"""),"EMBEDDED SYSTEMS")</f>
        <v>EMBEDDED SYSTEMS</v>
      </c>
      <c r="E155" s="144" t="str">
        <f>IFERROR(__xludf.DUMMYFUNCTION("""COMPUTED_VALUE"""),"LAB")</f>
        <v>LAB</v>
      </c>
      <c r="F155" s="144" t="str">
        <f>IFERROR(__xludf.DUMMYFUNCTION("""COMPUTED_VALUE"""),"EE10647")</f>
        <v>EE10647</v>
      </c>
      <c r="G155" s="144" t="str">
        <f>IFERROR(__xludf.DUMMYFUNCTION("""COMPUTED_VALUE"""),"Dr.SENTHIL KUMAR J")</f>
        <v>Dr.SENTHIL KUMAR J</v>
      </c>
      <c r="H155" s="144" t="str">
        <f>IFERROR(__xludf.DUMMYFUNCTION("""COMPUTED_VALUE"""),"senthilkumarj@bitsathy.ac.in")</f>
        <v>senthilkumarj@bitsathy.ac.in</v>
      </c>
    </row>
    <row r="156">
      <c r="A156" s="144" t="str">
        <f>IFERROR(__xludf.DUMMYFUNCTION("""COMPUTED_VALUE"""),"EEE")</f>
        <v>EEE</v>
      </c>
      <c r="B156" s="144" t="str">
        <f>IFERROR(__xludf.DUMMYFUNCTION("""COMPUTED_VALUE"""),"S4")</f>
        <v>S4</v>
      </c>
      <c r="C156" s="144" t="str">
        <f>IFERROR(__xludf.DUMMYFUNCTION("""COMPUTED_VALUE"""),"22EE007")</f>
        <v>22EE007</v>
      </c>
      <c r="D156" s="144" t="str">
        <f>IFERROR(__xludf.DUMMYFUNCTION("""COMPUTED_VALUE"""),"ADVANCED POWER SEMICONDUCTOR DEVICES")</f>
        <v>ADVANCED POWER SEMICONDUCTOR DEVICES</v>
      </c>
      <c r="E156" s="144" t="str">
        <f>IFERROR(__xludf.DUMMYFUNCTION("""COMPUTED_VALUE"""),"THEORY")</f>
        <v>THEORY</v>
      </c>
      <c r="F156" s="144" t="str">
        <f>IFERROR(__xludf.DUMMYFUNCTION("""COMPUTED_VALUE"""),"EE10616")</f>
        <v>EE10616</v>
      </c>
      <c r="G156" s="144" t="str">
        <f>IFERROR(__xludf.DUMMYFUNCTION("""COMPUTED_VALUE"""),"Mrs.NITHYA G")</f>
        <v>Mrs.NITHYA G</v>
      </c>
      <c r="H156" s="144" t="str">
        <f>IFERROR(__xludf.DUMMYFUNCTION("""COMPUTED_VALUE"""),"nithyag@bitsathy.ac.in")</f>
        <v>nithyag@bitsathy.ac.in</v>
      </c>
    </row>
    <row r="157">
      <c r="A157" s="144" t="str">
        <f>IFERROR(__xludf.DUMMYFUNCTION("""COMPUTED_VALUE"""),"EEE")</f>
        <v>EEE</v>
      </c>
      <c r="B157" s="144" t="str">
        <f>IFERROR(__xludf.DUMMYFUNCTION("""COMPUTED_VALUE"""),"S4")</f>
        <v>S4</v>
      </c>
      <c r="C157" s="144" t="str">
        <f>IFERROR(__xludf.DUMMYFUNCTION("""COMPUTED_VALUE"""),"22EE007")</f>
        <v>22EE007</v>
      </c>
      <c r="D157" s="144" t="str">
        <f>IFERROR(__xludf.DUMMYFUNCTION("""COMPUTED_VALUE"""),"ADVANCED POWER SEMICONDUCTOR DEVICES")</f>
        <v>ADVANCED POWER SEMICONDUCTOR DEVICES</v>
      </c>
      <c r="E157" s="144" t="str">
        <f>IFERROR(__xludf.DUMMYFUNCTION("""COMPUTED_VALUE"""),"THEORY")</f>
        <v>THEORY</v>
      </c>
      <c r="F157" s="144" t="str">
        <f>IFERROR(__xludf.DUMMYFUNCTION("""COMPUTED_VALUE"""),"EE1682")</f>
        <v>EE1682</v>
      </c>
      <c r="G157" s="144" t="str">
        <f>IFERROR(__xludf.DUMMYFUNCTION("""COMPUTED_VALUE"""),"Dr.MAHESWARI K T")</f>
        <v>Dr.MAHESWARI K T</v>
      </c>
      <c r="H157" s="144" t="str">
        <f>IFERROR(__xludf.DUMMYFUNCTION("""COMPUTED_VALUE"""),"maheswarikt@bitsathy.ac.in")</f>
        <v>maheswarikt@bitsathy.ac.in</v>
      </c>
    </row>
    <row r="158">
      <c r="A158" s="144" t="str">
        <f>IFERROR(__xludf.DUMMYFUNCTION("""COMPUTED_VALUE"""),"EEE")</f>
        <v>EEE</v>
      </c>
      <c r="B158" s="144" t="str">
        <f>IFERROR(__xludf.DUMMYFUNCTION("""COMPUTED_VALUE"""),"S4")</f>
        <v>S4</v>
      </c>
      <c r="C158" s="144" t="str">
        <f>IFERROR(__xludf.DUMMYFUNCTION("""COMPUTED_VALUE"""),"22EE033")</f>
        <v>22EE033</v>
      </c>
      <c r="D158" s="144" t="str">
        <f>IFERROR(__xludf.DUMMYFUNCTION("""COMPUTED_VALUE"""),"ILLUMINATION ENGINEERING")</f>
        <v>ILLUMINATION ENGINEERING</v>
      </c>
      <c r="E158" s="144" t="str">
        <f>IFERROR(__xludf.DUMMYFUNCTION("""COMPUTED_VALUE"""),"THEORY")</f>
        <v>THEORY</v>
      </c>
      <c r="F158" s="144" t="str">
        <f>IFERROR(__xludf.DUMMYFUNCTION("""COMPUTED_VALUE"""),"EE1311")</f>
        <v>EE1311</v>
      </c>
      <c r="G158" s="144" t="str">
        <f>IFERROR(__xludf.DUMMYFUNCTION("""COMPUTED_VALUE"""),"Dr.SRINIVASAN M")</f>
        <v>Dr.SRINIVASAN M</v>
      </c>
      <c r="H158" s="144" t="str">
        <f>IFERROR(__xludf.DUMMYFUNCTION("""COMPUTED_VALUE"""),"srinivasanm@bitsathy.ac.in")</f>
        <v>srinivasanm@bitsathy.ac.in</v>
      </c>
    </row>
    <row r="159">
      <c r="A159" s="144" t="str">
        <f>IFERROR(__xludf.DUMMYFUNCTION("""COMPUTED_VALUE"""),"EEE")</f>
        <v>EEE</v>
      </c>
      <c r="B159" s="144" t="str">
        <f>IFERROR(__xludf.DUMMYFUNCTION("""COMPUTED_VALUE"""),"S4")</f>
        <v>S4</v>
      </c>
      <c r="C159" s="144" t="str">
        <f>IFERROR(__xludf.DUMMYFUNCTION("""COMPUTED_VALUE"""),"22HS007")</f>
        <v>22HS007</v>
      </c>
      <c r="D159" s="144" t="str">
        <f>IFERROR(__xludf.DUMMYFUNCTION("""COMPUTED_VALUE"""),"ENVIRONMENTAL SCIENCE")</f>
        <v>ENVIRONMENTAL SCIENCE</v>
      </c>
      <c r="E159" s="144" t="str">
        <f>IFERROR(__xludf.DUMMYFUNCTION("""COMPUTED_VALUE"""),"LAB")</f>
        <v>LAB</v>
      </c>
      <c r="F159" s="144" t="str">
        <f>IFERROR(__xludf.DUMMYFUNCTION("""COMPUTED_VALUE"""),"CH1493")</f>
        <v>CH1493</v>
      </c>
      <c r="G159" s="144" t="str">
        <f>IFERROR(__xludf.DUMMYFUNCTION("""COMPUTED_VALUE"""),"Dr.SUBHAPRIYA P")</f>
        <v>Dr.SUBHAPRIYA P</v>
      </c>
      <c r="H159" s="144" t="str">
        <f>IFERROR(__xludf.DUMMYFUNCTION("""COMPUTED_VALUE"""),"subhapriyap@bitsathy.ac.in")</f>
        <v>subhapriyap@bitsathy.ac.in</v>
      </c>
    </row>
    <row r="160">
      <c r="A160" s="144" t="str">
        <f>IFERROR(__xludf.DUMMYFUNCTION("""COMPUTED_VALUE"""),"EEE")</f>
        <v>EEE</v>
      </c>
      <c r="B160" s="144" t="str">
        <f>IFERROR(__xludf.DUMMYFUNCTION("""COMPUTED_VALUE"""),"S4")</f>
        <v>S4</v>
      </c>
      <c r="C160" s="144" t="str">
        <f>IFERROR(__xludf.DUMMYFUNCTION("""COMPUTED_VALUE"""),"22HS007")</f>
        <v>22HS007</v>
      </c>
      <c r="D160" s="144" t="str">
        <f>IFERROR(__xludf.DUMMYFUNCTION("""COMPUTED_VALUE"""),"ENVIRONMENTAL SCIENCE")</f>
        <v>ENVIRONMENTAL SCIENCE</v>
      </c>
      <c r="E160" s="144" t="str">
        <f>IFERROR(__xludf.DUMMYFUNCTION("""COMPUTED_VALUE"""),"LAB")</f>
        <v>LAB</v>
      </c>
      <c r="F160" s="144" t="str">
        <f>IFERROR(__xludf.DUMMYFUNCTION("""COMPUTED_VALUE"""),"CH10333")</f>
        <v>CH10333</v>
      </c>
      <c r="G160" s="144" t="str">
        <f>IFERROR(__xludf.DUMMYFUNCTION("""COMPUTED_VALUE"""),"Dr.MURALI KRISHNAN M")</f>
        <v>Dr.MURALI KRISHNAN M</v>
      </c>
      <c r="H160" s="144" t="str">
        <f>IFERROR(__xludf.DUMMYFUNCTION("""COMPUTED_VALUE"""),"muralikrishnan@bitsathy.ac.in")</f>
        <v>muralikrishnan@bitsathy.ac.in</v>
      </c>
    </row>
    <row r="161">
      <c r="A161" s="144" t="str">
        <f>IFERROR(__xludf.DUMMYFUNCTION("""COMPUTED_VALUE"""),"EEE")</f>
        <v>EEE</v>
      </c>
      <c r="B161" s="144" t="str">
        <f>IFERROR(__xludf.DUMMYFUNCTION("""COMPUTED_VALUE"""),"S4")</f>
        <v>S4</v>
      </c>
      <c r="C161" s="144" t="str">
        <f>IFERROR(__xludf.DUMMYFUNCTION("""COMPUTED_VALUE"""),"22HS008")</f>
        <v>22HS008</v>
      </c>
      <c r="D161" s="144" t="str">
        <f>IFERROR(__xludf.DUMMYFUNCTION("""COMPUTED_VALUE"""),"ADVANCED ENGLISH AND TECHNICAL EXPRESSION ")</f>
        <v>ADVANCED ENGLISH AND TECHNICAL EXPRESSION </v>
      </c>
      <c r="E161" s="144" t="str">
        <f>IFERROR(__xludf.DUMMYFUNCTION("""COMPUTED_VALUE"""),"LAB")</f>
        <v>LAB</v>
      </c>
      <c r="F161" s="144" t="str">
        <f>IFERROR(__xludf.DUMMYFUNCTION("""COMPUTED_VALUE"""),"HU11139")</f>
        <v>HU11139</v>
      </c>
      <c r="G161" s="144" t="str">
        <f>IFERROR(__xludf.DUMMYFUNCTION("""COMPUTED_VALUE"""),"Dr.ASLIN JERUSHA D")</f>
        <v>Dr.ASLIN JERUSHA D</v>
      </c>
      <c r="H161" s="144" t="str">
        <f>IFERROR(__xludf.DUMMYFUNCTION("""COMPUTED_VALUE"""),"aslinjerusha@bitsathy.ac.in")</f>
        <v>aslinjerusha@bitsathy.ac.in</v>
      </c>
    </row>
    <row r="162">
      <c r="A162" s="144" t="str">
        <f>IFERROR(__xludf.DUMMYFUNCTION("""COMPUTED_VALUE"""),"EEE")</f>
        <v>EEE</v>
      </c>
      <c r="B162" s="144" t="str">
        <f>IFERROR(__xludf.DUMMYFUNCTION("""COMPUTED_VALUE"""),"S4")</f>
        <v>S4</v>
      </c>
      <c r="C162" s="144" t="str">
        <f>IFERROR(__xludf.DUMMYFUNCTION("""COMPUTED_VALUE"""),"22HS008")</f>
        <v>22HS008</v>
      </c>
      <c r="D162" s="144" t="str">
        <f>IFERROR(__xludf.DUMMYFUNCTION("""COMPUTED_VALUE"""),"ADVANCED ENGLISH AND TECHNICAL EXPRESSION ")</f>
        <v>ADVANCED ENGLISH AND TECHNICAL EXPRESSION </v>
      </c>
      <c r="E162" s="144" t="str">
        <f>IFERROR(__xludf.DUMMYFUNCTION("""COMPUTED_VALUE"""),"LAB")</f>
        <v>LAB</v>
      </c>
      <c r="F162" s="144" t="str">
        <f>IFERROR(__xludf.DUMMYFUNCTION("""COMPUTED_VALUE"""),"HU11151")</f>
        <v>HU11151</v>
      </c>
      <c r="G162" s="144" t="str">
        <f>IFERROR(__xludf.DUMMYFUNCTION("""COMPUTED_VALUE"""),"Dr.NITHYA S")</f>
        <v>Dr.NITHYA S</v>
      </c>
      <c r="H162" s="144" t="str">
        <f>IFERROR(__xludf.DUMMYFUNCTION("""COMPUTED_VALUE"""),"nithyas@bitsathy.ac.in")</f>
        <v>nithyas@bitsathy.ac.in</v>
      </c>
    </row>
    <row r="163">
      <c r="A163" s="144" t="str">
        <f>IFERROR(__xludf.DUMMYFUNCTION("""COMPUTED_VALUE"""),"ECE")</f>
        <v>ECE</v>
      </c>
      <c r="B163" s="144" t="str">
        <f>IFERROR(__xludf.DUMMYFUNCTION("""COMPUTED_VALUE"""),"S4")</f>
        <v>S4</v>
      </c>
      <c r="C163" s="144" t="str">
        <f>IFERROR(__xludf.DUMMYFUNCTION("""COMPUTED_VALUE"""),"22EC401")</f>
        <v>22EC401</v>
      </c>
      <c r="D163" s="144" t="str">
        <f>IFERROR(__xludf.DUMMYFUNCTION("""COMPUTED_VALUE"""),"SIGNALS AND SYSTEMS")</f>
        <v>SIGNALS AND SYSTEMS</v>
      </c>
      <c r="E163" s="144" t="str">
        <f>IFERROR(__xludf.DUMMYFUNCTION("""COMPUTED_VALUE"""),"THEORY")</f>
        <v>THEORY</v>
      </c>
      <c r="F163" s="144" t="str">
        <f>IFERROR(__xludf.DUMMYFUNCTION("""COMPUTED_VALUE"""),"BM1429")</f>
        <v>BM1429</v>
      </c>
      <c r="G163" s="144" t="str">
        <f>IFERROR(__xludf.DUMMYFUNCTION("""COMPUTED_VALUE"""),"Dr.DEEPA D")</f>
        <v>Dr.DEEPA D</v>
      </c>
      <c r="H163" s="144" t="str">
        <f>IFERROR(__xludf.DUMMYFUNCTION("""COMPUTED_VALUE"""),"ddeepa@bitsathy.ac.in")</f>
        <v>ddeepa@bitsathy.ac.in</v>
      </c>
    </row>
    <row r="164">
      <c r="A164" s="144" t="str">
        <f>IFERROR(__xludf.DUMMYFUNCTION("""COMPUTED_VALUE"""),"ECE")</f>
        <v>ECE</v>
      </c>
      <c r="B164" s="144" t="str">
        <f>IFERROR(__xludf.DUMMYFUNCTION("""COMPUTED_VALUE"""),"S4")</f>
        <v>S4</v>
      </c>
      <c r="C164" s="144" t="str">
        <f>IFERROR(__xludf.DUMMYFUNCTION("""COMPUTED_VALUE"""),"22EC401")</f>
        <v>22EC401</v>
      </c>
      <c r="D164" s="144" t="str">
        <f>IFERROR(__xludf.DUMMYFUNCTION("""COMPUTED_VALUE"""),"SIGNALS AND SYSTEMS")</f>
        <v>SIGNALS AND SYSTEMS</v>
      </c>
      <c r="E164" s="144" t="str">
        <f>IFERROR(__xludf.DUMMYFUNCTION("""COMPUTED_VALUE"""),"THEORY")</f>
        <v>THEORY</v>
      </c>
      <c r="F164" s="144" t="str">
        <f>IFERROR(__xludf.DUMMYFUNCTION("""COMPUTED_VALUE"""),"EC10005")</f>
        <v>EC10005</v>
      </c>
      <c r="G164" s="144" t="str">
        <f>IFERROR(__xludf.DUMMYFUNCTION("""COMPUTED_VALUE"""),"Dr.SANNASI CHAKRAVARTHY S R")</f>
        <v>Dr.SANNASI CHAKRAVARTHY S R</v>
      </c>
      <c r="H164" s="144" t="str">
        <f>IFERROR(__xludf.DUMMYFUNCTION("""COMPUTED_VALUE"""),"sannasi@bitsathy.ac.in")</f>
        <v>sannasi@bitsathy.ac.in</v>
      </c>
    </row>
    <row r="165">
      <c r="A165" s="144" t="str">
        <f>IFERROR(__xludf.DUMMYFUNCTION("""COMPUTED_VALUE"""),"ECE")</f>
        <v>ECE</v>
      </c>
      <c r="B165" s="144" t="str">
        <f>IFERROR(__xludf.DUMMYFUNCTION("""COMPUTED_VALUE"""),"S4")</f>
        <v>S4</v>
      </c>
      <c r="C165" s="144" t="str">
        <f>IFERROR(__xludf.DUMMYFUNCTION("""COMPUTED_VALUE"""),"22EC401")</f>
        <v>22EC401</v>
      </c>
      <c r="D165" s="144" t="str">
        <f>IFERROR(__xludf.DUMMYFUNCTION("""COMPUTED_VALUE"""),"SIGNALS AND SYSTEMS")</f>
        <v>SIGNALS AND SYSTEMS</v>
      </c>
      <c r="E165" s="144" t="str">
        <f>IFERROR(__xludf.DUMMYFUNCTION("""COMPUTED_VALUE"""),"THEORY")</f>
        <v>THEORY</v>
      </c>
      <c r="F165" s="144" t="str">
        <f>IFERROR(__xludf.DUMMYFUNCTION("""COMPUTED_VALUE"""),"EC1417")</f>
        <v>EC1417</v>
      </c>
      <c r="G165" s="144" t="str">
        <f>IFERROR(__xludf.DUMMYFUNCTION("""COMPUTED_VALUE"""),"Dr.HARIKUMAR R")</f>
        <v>Dr.HARIKUMAR R</v>
      </c>
      <c r="H165" s="144" t="str">
        <f>IFERROR(__xludf.DUMMYFUNCTION("""COMPUTED_VALUE"""),"harikumarr@bitsathy.ac.in")</f>
        <v>harikumarr@bitsathy.ac.in</v>
      </c>
    </row>
    <row r="166">
      <c r="A166" s="144" t="str">
        <f>IFERROR(__xludf.DUMMYFUNCTION("""COMPUTED_VALUE"""),"ECE")</f>
        <v>ECE</v>
      </c>
      <c r="B166" s="144" t="str">
        <f>IFERROR(__xludf.DUMMYFUNCTION("""COMPUTED_VALUE"""),"S4")</f>
        <v>S4</v>
      </c>
      <c r="C166" s="144" t="str">
        <f>IFERROR(__xludf.DUMMYFUNCTION("""COMPUTED_VALUE"""),"22EC401")</f>
        <v>22EC401</v>
      </c>
      <c r="D166" s="144" t="str">
        <f>IFERROR(__xludf.DUMMYFUNCTION("""COMPUTED_VALUE"""),"SIGNALS AND SYSTEMS")</f>
        <v>SIGNALS AND SYSTEMS</v>
      </c>
      <c r="E166" s="144" t="str">
        <f>IFERROR(__xludf.DUMMYFUNCTION("""COMPUTED_VALUE"""),"THEORY")</f>
        <v>THEORY</v>
      </c>
      <c r="F166" s="144" t="str">
        <f>IFERROR(__xludf.DUMMYFUNCTION("""COMPUTED_VALUE"""),"EC11131")</f>
        <v>EC11131</v>
      </c>
      <c r="G166" s="144" t="str">
        <f>IFERROR(__xludf.DUMMYFUNCTION("""COMPUTED_VALUE"""),"Dr.SANKARANANTH S")</f>
        <v>Dr.SANKARANANTH S</v>
      </c>
      <c r="H166" s="144" t="str">
        <f>IFERROR(__xludf.DUMMYFUNCTION("""COMPUTED_VALUE"""),"sankarananth@bitsathy.ac.in")</f>
        <v>sankarananth@bitsathy.ac.in</v>
      </c>
    </row>
    <row r="167">
      <c r="A167" s="144" t="str">
        <f>IFERROR(__xludf.DUMMYFUNCTION("""COMPUTED_VALUE"""),"ECE")</f>
        <v>ECE</v>
      </c>
      <c r="B167" s="144" t="str">
        <f>IFERROR(__xludf.DUMMYFUNCTION("""COMPUTED_VALUE"""),"S4")</f>
        <v>S4</v>
      </c>
      <c r="C167" s="144" t="str">
        <f>IFERROR(__xludf.DUMMYFUNCTION("""COMPUTED_VALUE"""),"22EC402")</f>
        <v>22EC402</v>
      </c>
      <c r="D167" s="144" t="str">
        <f>IFERROR(__xludf.DUMMYFUNCTION("""COMPUTED_VALUE"""),"ANALOG COMMUNICATION")</f>
        <v>ANALOG COMMUNICATION</v>
      </c>
      <c r="E167" s="144" t="str">
        <f>IFERROR(__xludf.DUMMYFUNCTION("""COMPUTED_VALUE"""),"THEORY")</f>
        <v>THEORY</v>
      </c>
      <c r="F167" s="144" t="str">
        <f>IFERROR(__xludf.DUMMYFUNCTION("""COMPUTED_VALUE"""),"EC1417")</f>
        <v>EC1417</v>
      </c>
      <c r="G167" s="144" t="str">
        <f>IFERROR(__xludf.DUMMYFUNCTION("""COMPUTED_VALUE"""),"Dr.HARIKUMAR R")</f>
        <v>Dr.HARIKUMAR R</v>
      </c>
      <c r="H167" s="144" t="str">
        <f>IFERROR(__xludf.DUMMYFUNCTION("""COMPUTED_VALUE"""),"harikumarr@bitsathy.ac.in")</f>
        <v>harikumarr@bitsathy.ac.in</v>
      </c>
    </row>
    <row r="168">
      <c r="A168" s="144" t="str">
        <f>IFERROR(__xludf.DUMMYFUNCTION("""COMPUTED_VALUE"""),"ECE")</f>
        <v>ECE</v>
      </c>
      <c r="B168" s="144" t="str">
        <f>IFERROR(__xludf.DUMMYFUNCTION("""COMPUTED_VALUE"""),"S4")</f>
        <v>S4</v>
      </c>
      <c r="C168" s="144" t="str">
        <f>IFERROR(__xludf.DUMMYFUNCTION("""COMPUTED_VALUE"""),"22EC402")</f>
        <v>22EC402</v>
      </c>
      <c r="D168" s="144" t="str">
        <f>IFERROR(__xludf.DUMMYFUNCTION("""COMPUTED_VALUE"""),"ANALOG COMMUNICATION")</f>
        <v>ANALOG COMMUNICATION</v>
      </c>
      <c r="E168" s="144" t="str">
        <f>IFERROR(__xludf.DUMMYFUNCTION("""COMPUTED_VALUE"""),"LAB")</f>
        <v>LAB</v>
      </c>
      <c r="F168" s="144" t="str">
        <f>IFERROR(__xludf.DUMMYFUNCTION("""COMPUTED_VALUE"""),"EC11044")</f>
        <v>EC11044</v>
      </c>
      <c r="G168" s="144" t="str">
        <f>IFERROR(__xludf.DUMMYFUNCTION("""COMPUTED_VALUE"""),"Mr.HARISH KUMAAR P")</f>
        <v>Mr.HARISH KUMAAR P</v>
      </c>
      <c r="H168" s="144" t="str">
        <f>IFERROR(__xludf.DUMMYFUNCTION("""COMPUTED_VALUE"""),"harishkumaarp@bitsathy.ac.in")</f>
        <v>harishkumaarp@bitsathy.ac.in</v>
      </c>
    </row>
    <row r="169">
      <c r="A169" s="144" t="str">
        <f>IFERROR(__xludf.DUMMYFUNCTION("""COMPUTED_VALUE"""),"ECE")</f>
        <v>ECE</v>
      </c>
      <c r="B169" s="144" t="str">
        <f>IFERROR(__xludf.DUMMYFUNCTION("""COMPUTED_VALUE"""),"S4")</f>
        <v>S4</v>
      </c>
      <c r="C169" s="144" t="str">
        <f>IFERROR(__xludf.DUMMYFUNCTION("""COMPUTED_VALUE"""),"22EC402")</f>
        <v>22EC402</v>
      </c>
      <c r="D169" s="144" t="str">
        <f>IFERROR(__xludf.DUMMYFUNCTION("""COMPUTED_VALUE"""),"ANALOG COMMUNICATION")</f>
        <v>ANALOG COMMUNICATION</v>
      </c>
      <c r="E169" s="144" t="str">
        <f>IFERROR(__xludf.DUMMYFUNCTION("""COMPUTED_VALUE"""),"THEORY WITH LAB")</f>
        <v>THEORY WITH LAB</v>
      </c>
      <c r="F169" s="144" t="str">
        <f>IFERROR(__xludf.DUMMYFUNCTION("""COMPUTED_VALUE"""),"EC10680")</f>
        <v>EC10680</v>
      </c>
      <c r="G169" s="144" t="str">
        <f>IFERROR(__xludf.DUMMYFUNCTION("""COMPUTED_VALUE"""),"Dr.PERARASI T")</f>
        <v>Dr.PERARASI T</v>
      </c>
      <c r="H169" s="144" t="str">
        <f>IFERROR(__xludf.DUMMYFUNCTION("""COMPUTED_VALUE"""),"perarasi@bitsathy.ac.in")</f>
        <v>perarasi@bitsathy.ac.in</v>
      </c>
    </row>
    <row r="170">
      <c r="A170" s="144" t="str">
        <f>IFERROR(__xludf.DUMMYFUNCTION("""COMPUTED_VALUE"""),"ECE")</f>
        <v>ECE</v>
      </c>
      <c r="B170" s="144" t="str">
        <f>IFERROR(__xludf.DUMMYFUNCTION("""COMPUTED_VALUE"""),"S4")</f>
        <v>S4</v>
      </c>
      <c r="C170" s="144" t="str">
        <f>IFERROR(__xludf.DUMMYFUNCTION("""COMPUTED_VALUE"""),"22EC402")</f>
        <v>22EC402</v>
      </c>
      <c r="D170" s="144" t="str">
        <f>IFERROR(__xludf.DUMMYFUNCTION("""COMPUTED_VALUE"""),"ANALOG COMMUNICATION")</f>
        <v>ANALOG COMMUNICATION</v>
      </c>
      <c r="E170" s="144" t="str">
        <f>IFERROR(__xludf.DUMMYFUNCTION("""COMPUTED_VALUE"""),"THEORY WITH LAB")</f>
        <v>THEORY WITH LAB</v>
      </c>
      <c r="F170" s="144" t="str">
        <f>IFERROR(__xludf.DUMMYFUNCTION("""COMPUTED_VALUE"""),"EC10678")</f>
        <v>EC10678</v>
      </c>
      <c r="G170" s="144" t="str">
        <f>IFERROR(__xludf.DUMMYFUNCTION("""COMPUTED_VALUE"""),"Dr.LEEBAN MOSES M")</f>
        <v>Dr.LEEBAN MOSES M</v>
      </c>
      <c r="H170" s="144" t="str">
        <f>IFERROR(__xludf.DUMMYFUNCTION("""COMPUTED_VALUE"""),"leebanmoses@bitsathy.ac.in")</f>
        <v>leebanmoses@bitsathy.ac.in</v>
      </c>
    </row>
    <row r="171">
      <c r="A171" s="144" t="str">
        <f>IFERROR(__xludf.DUMMYFUNCTION("""COMPUTED_VALUE"""),"ECE")</f>
        <v>ECE</v>
      </c>
      <c r="B171" s="144" t="str">
        <f>IFERROR(__xludf.DUMMYFUNCTION("""COMPUTED_VALUE"""),"S4")</f>
        <v>S4</v>
      </c>
      <c r="C171" s="144" t="str">
        <f>IFERROR(__xludf.DUMMYFUNCTION("""COMPUTED_VALUE"""),"22EC402")</f>
        <v>22EC402</v>
      </c>
      <c r="D171" s="144" t="str">
        <f>IFERROR(__xludf.DUMMYFUNCTION("""COMPUTED_VALUE"""),"ANALOG COMMUNICATION")</f>
        <v>ANALOG COMMUNICATION</v>
      </c>
      <c r="E171" s="144" t="str">
        <f>IFERROR(__xludf.DUMMYFUNCTION("""COMPUTED_VALUE"""),"THEORY WITH LAB")</f>
        <v>THEORY WITH LAB</v>
      </c>
      <c r="F171" s="144" t="str">
        <f>IFERROR(__xludf.DUMMYFUNCTION("""COMPUTED_VALUE"""),"EC10194")</f>
        <v>EC10194</v>
      </c>
      <c r="G171" s="144" t="str">
        <f>IFERROR(__xludf.DUMMYFUNCTION("""COMPUTED_VALUE"""),"Mr.KARTHIKEYAN S")</f>
        <v>Mr.KARTHIKEYAN S</v>
      </c>
      <c r="H171" s="144" t="str">
        <f>IFERROR(__xludf.DUMMYFUNCTION("""COMPUTED_VALUE"""),"karthikeyan@bitsathy.ac.in")</f>
        <v>karthikeyan@bitsathy.ac.in</v>
      </c>
    </row>
    <row r="172">
      <c r="A172" s="144" t="str">
        <f>IFERROR(__xludf.DUMMYFUNCTION("""COMPUTED_VALUE"""),"ECE")</f>
        <v>ECE</v>
      </c>
      <c r="B172" s="144" t="str">
        <f>IFERROR(__xludf.DUMMYFUNCTION("""COMPUTED_VALUE"""),"S4")</f>
        <v>S4</v>
      </c>
      <c r="C172" s="144" t="str">
        <f>IFERROR(__xludf.DUMMYFUNCTION("""COMPUTED_VALUE"""),"22EC403")</f>
        <v>22EC403</v>
      </c>
      <c r="D172" s="144" t="str">
        <f>IFERROR(__xludf.DUMMYFUNCTION("""COMPUTED_VALUE"""),"ELECTROMAGNETIC FIELDS AND WAVEGUIDES")</f>
        <v>ELECTROMAGNETIC FIELDS AND WAVEGUIDES</v>
      </c>
      <c r="E172" s="144" t="str">
        <f>IFERROR(__xludf.DUMMYFUNCTION("""COMPUTED_VALUE"""),"THEORY")</f>
        <v>THEORY</v>
      </c>
      <c r="F172" s="144" t="str">
        <f>IFERROR(__xludf.DUMMYFUNCTION("""COMPUTED_VALUE"""),"EC1072")</f>
        <v>EC1072</v>
      </c>
      <c r="G172" s="144" t="str">
        <f>IFERROR(__xludf.DUMMYFUNCTION("""COMPUTED_VALUE"""),"Dr.POONGODI C")</f>
        <v>Dr.POONGODI C</v>
      </c>
      <c r="H172" s="144" t="str">
        <f>IFERROR(__xludf.DUMMYFUNCTION("""COMPUTED_VALUE"""),"poongodic@bitsathy.ac.in")</f>
        <v>poongodic@bitsathy.ac.in</v>
      </c>
    </row>
    <row r="173">
      <c r="A173" s="144" t="str">
        <f>IFERROR(__xludf.DUMMYFUNCTION("""COMPUTED_VALUE"""),"ECE")</f>
        <v>ECE</v>
      </c>
      <c r="B173" s="144" t="str">
        <f>IFERROR(__xludf.DUMMYFUNCTION("""COMPUTED_VALUE"""),"S4")</f>
        <v>S4</v>
      </c>
      <c r="C173" s="144" t="str">
        <f>IFERROR(__xludf.DUMMYFUNCTION("""COMPUTED_VALUE"""),"22EC403")</f>
        <v>22EC403</v>
      </c>
      <c r="D173" s="144" t="str">
        <f>IFERROR(__xludf.DUMMYFUNCTION("""COMPUTED_VALUE"""),"ELECTROMAGNETIC FIELDS AND WAVEGUIDES")</f>
        <v>ELECTROMAGNETIC FIELDS AND WAVEGUIDES</v>
      </c>
      <c r="E173" s="144" t="str">
        <f>IFERROR(__xludf.DUMMYFUNCTION("""COMPUTED_VALUE"""),"THEORY")</f>
        <v>THEORY</v>
      </c>
      <c r="F173" s="144" t="str">
        <f>IFERROR(__xludf.DUMMYFUNCTION("""COMPUTED_VALUE"""),"EC10969")</f>
        <v>EC10969</v>
      </c>
      <c r="G173" s="144" t="str">
        <f>IFERROR(__xludf.DUMMYFUNCTION("""COMPUTED_VALUE"""),"Dr.VENKATESHKUMAR U")</f>
        <v>Dr.VENKATESHKUMAR U</v>
      </c>
      <c r="H173" s="144" t="str">
        <f>IFERROR(__xludf.DUMMYFUNCTION("""COMPUTED_VALUE"""),"venkateshkumaru@bitsathy.ac.in")</f>
        <v>venkateshkumaru@bitsathy.ac.in</v>
      </c>
    </row>
    <row r="174">
      <c r="A174" s="144" t="str">
        <f>IFERROR(__xludf.DUMMYFUNCTION("""COMPUTED_VALUE"""),"ECE")</f>
        <v>ECE</v>
      </c>
      <c r="B174" s="144" t="str">
        <f>IFERROR(__xludf.DUMMYFUNCTION("""COMPUTED_VALUE"""),"S4")</f>
        <v>S4</v>
      </c>
      <c r="C174" s="144" t="str">
        <f>IFERROR(__xludf.DUMMYFUNCTION("""COMPUTED_VALUE"""),"22EC403")</f>
        <v>22EC403</v>
      </c>
      <c r="D174" s="144" t="str">
        <f>IFERROR(__xludf.DUMMYFUNCTION("""COMPUTED_VALUE"""),"ELECTROMAGNETIC FIELDS AND WAVEGUIDES")</f>
        <v>ELECTROMAGNETIC FIELDS AND WAVEGUIDES</v>
      </c>
      <c r="E174" s="144" t="str">
        <f>IFERROR(__xludf.DUMMYFUNCTION("""COMPUTED_VALUE"""),"THEORY")</f>
        <v>THEORY</v>
      </c>
      <c r="F174" s="144" t="str">
        <f>IFERROR(__xludf.DUMMYFUNCTION("""COMPUTED_VALUE"""),"EC1744")</f>
        <v>EC1744</v>
      </c>
      <c r="G174" s="144" t="str">
        <f>IFERROR(__xludf.DUMMYFUNCTION("""COMPUTED_VALUE"""),"Dr.RAMYA P")</f>
        <v>Dr.RAMYA P</v>
      </c>
      <c r="H174" s="144" t="str">
        <f>IFERROR(__xludf.DUMMYFUNCTION("""COMPUTED_VALUE"""),"ramyap@bitsathy.ac.in")</f>
        <v>ramyap@bitsathy.ac.in</v>
      </c>
    </row>
    <row r="175">
      <c r="A175" s="144" t="str">
        <f>IFERROR(__xludf.DUMMYFUNCTION("""COMPUTED_VALUE"""),"ECE")</f>
        <v>ECE</v>
      </c>
      <c r="B175" s="144" t="str">
        <f>IFERROR(__xludf.DUMMYFUNCTION("""COMPUTED_VALUE"""),"S4")</f>
        <v>S4</v>
      </c>
      <c r="C175" s="144" t="str">
        <f>IFERROR(__xludf.DUMMYFUNCTION("""COMPUTED_VALUE"""),"22EC403")</f>
        <v>22EC403</v>
      </c>
      <c r="D175" s="144" t="str">
        <f>IFERROR(__xludf.DUMMYFUNCTION("""COMPUTED_VALUE"""),"ELECTROMAGNETIC FIELDS AND WAVEGUIDES")</f>
        <v>ELECTROMAGNETIC FIELDS AND WAVEGUIDES</v>
      </c>
      <c r="E175" s="144" t="str">
        <f>IFERROR(__xludf.DUMMYFUNCTION("""COMPUTED_VALUE"""),"THEORY")</f>
        <v>THEORY</v>
      </c>
      <c r="F175" s="144" t="str">
        <f>IFERROR(__xludf.DUMMYFUNCTION("""COMPUTED_VALUE"""),"EC11044")</f>
        <v>EC11044</v>
      </c>
      <c r="G175" s="144" t="str">
        <f>IFERROR(__xludf.DUMMYFUNCTION("""COMPUTED_VALUE"""),"Mr.HARISH KUMAAR P")</f>
        <v>Mr.HARISH KUMAAR P</v>
      </c>
      <c r="H175" s="144" t="str">
        <f>IFERROR(__xludf.DUMMYFUNCTION("""COMPUTED_VALUE"""),"harishkumaarp@bitsathy.ac.in")</f>
        <v>harishkumaarp@bitsathy.ac.in</v>
      </c>
    </row>
    <row r="176">
      <c r="A176" s="144" t="str">
        <f>IFERROR(__xludf.DUMMYFUNCTION("""COMPUTED_VALUE"""),"ECE")</f>
        <v>ECE</v>
      </c>
      <c r="B176" s="144" t="str">
        <f>IFERROR(__xludf.DUMMYFUNCTION("""COMPUTED_VALUE"""),"S4")</f>
        <v>S4</v>
      </c>
      <c r="C176" s="144" t="str">
        <f>IFERROR(__xludf.DUMMYFUNCTION("""COMPUTED_VALUE"""),"22EC404")</f>
        <v>22EC404</v>
      </c>
      <c r="D176" s="144" t="str">
        <f>IFERROR(__xludf.DUMMYFUNCTION("""COMPUTED_VALUE"""),"CMOS DIGITAL INTEGRATED CIRCUITS")</f>
        <v>CMOS DIGITAL INTEGRATED CIRCUITS</v>
      </c>
      <c r="E176" s="144" t="str">
        <f>IFERROR(__xludf.DUMMYFUNCTION("""COMPUTED_VALUE"""),"THEORY")</f>
        <v>THEORY</v>
      </c>
      <c r="F176" s="144" t="str">
        <f>IFERROR(__xludf.DUMMYFUNCTION("""COMPUTED_VALUE"""),"EC1453")</f>
        <v>EC1453</v>
      </c>
      <c r="G176" s="144" t="str">
        <f>IFERROR(__xludf.DUMMYFUNCTION("""COMPUTED_VALUE"""),"Dr.PRAKASH S P")</f>
        <v>Dr.PRAKASH S P</v>
      </c>
      <c r="H176" s="144" t="str">
        <f>IFERROR(__xludf.DUMMYFUNCTION("""COMPUTED_VALUE"""),"prakashsp@bitsathy.ac.in")</f>
        <v>prakashsp@bitsathy.ac.in</v>
      </c>
    </row>
    <row r="177">
      <c r="A177" s="144" t="str">
        <f>IFERROR(__xludf.DUMMYFUNCTION("""COMPUTED_VALUE"""),"ECE")</f>
        <v>ECE</v>
      </c>
      <c r="B177" s="144" t="str">
        <f>IFERROR(__xludf.DUMMYFUNCTION("""COMPUTED_VALUE"""),"S4")</f>
        <v>S4</v>
      </c>
      <c r="C177" s="144" t="str">
        <f>IFERROR(__xludf.DUMMYFUNCTION("""COMPUTED_VALUE"""),"22EC404")</f>
        <v>22EC404</v>
      </c>
      <c r="D177" s="144" t="str">
        <f>IFERROR(__xludf.DUMMYFUNCTION("""COMPUTED_VALUE"""),"CMOS DIGITAL INTEGRATED CIRCUITS")</f>
        <v>CMOS DIGITAL INTEGRATED CIRCUITS</v>
      </c>
      <c r="E177" s="144" t="str">
        <f>IFERROR(__xludf.DUMMYFUNCTION("""COMPUTED_VALUE"""),"LAB")</f>
        <v>LAB</v>
      </c>
      <c r="F177" s="144" t="str">
        <f>IFERROR(__xludf.DUMMYFUNCTION("""COMPUTED_VALUE"""),"EC11043")</f>
        <v>EC11043</v>
      </c>
      <c r="G177" s="144" t="str">
        <f>IFERROR(__xludf.DUMMYFUNCTION("""COMPUTED_VALUE"""),"Mrs.NIVETHA G")</f>
        <v>Mrs.NIVETHA G</v>
      </c>
      <c r="H177" s="144" t="str">
        <f>IFERROR(__xludf.DUMMYFUNCTION("""COMPUTED_VALUE"""),"nivethag@bitsathy.ac.in")</f>
        <v>nivethag@bitsathy.ac.in</v>
      </c>
    </row>
    <row r="178">
      <c r="A178" s="144" t="str">
        <f>IFERROR(__xludf.DUMMYFUNCTION("""COMPUTED_VALUE"""),"ECE")</f>
        <v>ECE</v>
      </c>
      <c r="B178" s="144" t="str">
        <f>IFERROR(__xludf.DUMMYFUNCTION("""COMPUTED_VALUE"""),"S4")</f>
        <v>S4</v>
      </c>
      <c r="C178" s="144" t="str">
        <f>IFERROR(__xludf.DUMMYFUNCTION("""COMPUTED_VALUE"""),"22EC404")</f>
        <v>22EC404</v>
      </c>
      <c r="D178" s="144" t="str">
        <f>IFERROR(__xludf.DUMMYFUNCTION("""COMPUTED_VALUE"""),"CMOS DIGITAL INTEGRATED CIRCUITS")</f>
        <v>CMOS DIGITAL INTEGRATED CIRCUITS</v>
      </c>
      <c r="E178" s="144" t="str">
        <f>IFERROR(__xludf.DUMMYFUNCTION("""COMPUTED_VALUE"""),"THEORY WITH LAB")</f>
        <v>THEORY WITH LAB</v>
      </c>
      <c r="F178" s="144" t="str">
        <f>IFERROR(__xludf.DUMMYFUNCTION("""COMPUTED_VALUE"""),"EC10739")</f>
        <v>EC10739</v>
      </c>
      <c r="G178" s="144" t="str">
        <f>IFERROR(__xludf.DUMMYFUNCTION("""COMPUTED_VALUE"""),"Dr.ARULMURUGAN L")</f>
        <v>Dr.ARULMURUGAN L</v>
      </c>
      <c r="H178" s="144" t="str">
        <f>IFERROR(__xludf.DUMMYFUNCTION("""COMPUTED_VALUE"""),"arulmurugan@bitsathy.ac.in")</f>
        <v>arulmurugan@bitsathy.ac.in</v>
      </c>
    </row>
    <row r="179">
      <c r="A179" s="144" t="str">
        <f>IFERROR(__xludf.DUMMYFUNCTION("""COMPUTED_VALUE"""),"ECE")</f>
        <v>ECE</v>
      </c>
      <c r="B179" s="144" t="str">
        <f>IFERROR(__xludf.DUMMYFUNCTION("""COMPUTED_VALUE"""),"S4")</f>
        <v>S4</v>
      </c>
      <c r="C179" s="144" t="str">
        <f>IFERROR(__xludf.DUMMYFUNCTION("""COMPUTED_VALUE"""),"22EC404")</f>
        <v>22EC404</v>
      </c>
      <c r="D179" s="144" t="str">
        <f>IFERROR(__xludf.DUMMYFUNCTION("""COMPUTED_VALUE"""),"CMOS DIGITAL INTEGRATED CIRCUITS")</f>
        <v>CMOS DIGITAL INTEGRATED CIRCUITS</v>
      </c>
      <c r="E179" s="144" t="str">
        <f>IFERROR(__xludf.DUMMYFUNCTION("""COMPUTED_VALUE"""),"THEORY WITH LAB")</f>
        <v>THEORY WITH LAB</v>
      </c>
      <c r="F179" s="144" t="str">
        <f>IFERROR(__xludf.DUMMYFUNCTION("""COMPUTED_VALUE"""),"EC10603")</f>
        <v>EC10603</v>
      </c>
      <c r="G179" s="144" t="str">
        <f>IFERROR(__xludf.DUMMYFUNCTION("""COMPUTED_VALUE"""),"Mr.RAJA SEKAR S")</f>
        <v>Mr.RAJA SEKAR S</v>
      </c>
      <c r="H179" s="144" t="str">
        <f>IFERROR(__xludf.DUMMYFUNCTION("""COMPUTED_VALUE"""),"rajasekar@bitsathy.ac.in")</f>
        <v>rajasekar@bitsathy.ac.in</v>
      </c>
    </row>
    <row r="180">
      <c r="A180" s="144" t="str">
        <f>IFERROR(__xludf.DUMMYFUNCTION("""COMPUTED_VALUE"""),"ECE")</f>
        <v>ECE</v>
      </c>
      <c r="B180" s="144" t="str">
        <f>IFERROR(__xludf.DUMMYFUNCTION("""COMPUTED_VALUE"""),"S4")</f>
        <v>S4</v>
      </c>
      <c r="C180" s="144" t="str">
        <f>IFERROR(__xludf.DUMMYFUNCTION("""COMPUTED_VALUE"""),"22EC404")</f>
        <v>22EC404</v>
      </c>
      <c r="D180" s="144" t="str">
        <f>IFERROR(__xludf.DUMMYFUNCTION("""COMPUTED_VALUE"""),"CMOS DIGITAL INTEGRATED CIRCUITS")</f>
        <v>CMOS DIGITAL INTEGRATED CIRCUITS</v>
      </c>
      <c r="E180" s="144" t="str">
        <f>IFERROR(__xludf.DUMMYFUNCTION("""COMPUTED_VALUE"""),"THEORY WITH LAB")</f>
        <v>THEORY WITH LAB</v>
      </c>
      <c r="F180" s="144" t="str">
        <f>IFERROR(__xludf.DUMMYFUNCTION("""COMPUTED_VALUE"""),"EC10774")</f>
        <v>EC10774</v>
      </c>
      <c r="G180" s="144" t="str">
        <f>IFERROR(__xludf.DUMMYFUNCTION("""COMPUTED_VALUE"""),"Mr.KRISHNARAJ R")</f>
        <v>Mr.KRISHNARAJ R</v>
      </c>
      <c r="H180" s="144" t="str">
        <f>IFERROR(__xludf.DUMMYFUNCTION("""COMPUTED_VALUE"""),"krishnarajr@bitsathy.ac.in")</f>
        <v>krishnarajr@bitsathy.ac.in</v>
      </c>
    </row>
    <row r="181">
      <c r="A181" s="144" t="str">
        <f>IFERROR(__xludf.DUMMYFUNCTION("""COMPUTED_VALUE"""),"ECE")</f>
        <v>ECE</v>
      </c>
      <c r="B181" s="144" t="str">
        <f>IFERROR(__xludf.DUMMYFUNCTION("""COMPUTED_VALUE"""),"S4")</f>
        <v>S4</v>
      </c>
      <c r="C181" s="144" t="str">
        <f>IFERROR(__xludf.DUMMYFUNCTION("""COMPUTED_VALUE"""),"22EC405")</f>
        <v>22EC405</v>
      </c>
      <c r="D181" s="144" t="str">
        <f>IFERROR(__xludf.DUMMYFUNCTION("""COMPUTED_VALUE"""),"EMBEDDED SYSTEMS")</f>
        <v>EMBEDDED SYSTEMS</v>
      </c>
      <c r="E181" s="144" t="str">
        <f>IFERROR(__xludf.DUMMYFUNCTION("""COMPUTED_VALUE"""),"THEORY")</f>
        <v>THEORY</v>
      </c>
      <c r="F181" s="144" t="str">
        <f>IFERROR(__xludf.DUMMYFUNCTION("""COMPUTED_VALUE"""),"EC1834")</f>
        <v>EC1834</v>
      </c>
      <c r="G181" s="144" t="str">
        <f>IFERROR(__xludf.DUMMYFUNCTION("""COMPUTED_VALUE"""),"Dr.SANJOY DEB")</f>
        <v>Dr.SANJOY DEB</v>
      </c>
      <c r="H181" s="144" t="str">
        <f>IFERROR(__xludf.DUMMYFUNCTION("""COMPUTED_VALUE"""),"sanjoydeb@bitsathy.ac.in")</f>
        <v>sanjoydeb@bitsathy.ac.in</v>
      </c>
    </row>
    <row r="182">
      <c r="A182" s="144" t="str">
        <f>IFERROR(__xludf.DUMMYFUNCTION("""COMPUTED_VALUE"""),"ECE")</f>
        <v>ECE</v>
      </c>
      <c r="B182" s="144" t="str">
        <f>IFERROR(__xludf.DUMMYFUNCTION("""COMPUTED_VALUE"""),"S4")</f>
        <v>S4</v>
      </c>
      <c r="C182" s="144" t="str">
        <f>IFERROR(__xludf.DUMMYFUNCTION("""COMPUTED_VALUE"""),"22EC405")</f>
        <v>22EC405</v>
      </c>
      <c r="D182" s="144" t="str">
        <f>IFERROR(__xludf.DUMMYFUNCTION("""COMPUTED_VALUE"""),"EMBEDDED SYSTEMS")</f>
        <v>EMBEDDED SYSTEMS</v>
      </c>
      <c r="E182" s="144" t="str">
        <f>IFERROR(__xludf.DUMMYFUNCTION("""COMPUTED_VALUE"""),"LAB")</f>
        <v>LAB</v>
      </c>
      <c r="F182" s="144" t="str">
        <f>IFERROR(__xludf.DUMMYFUNCTION("""COMPUTED_VALUE"""),"EC10229")</f>
        <v>EC10229</v>
      </c>
      <c r="G182" s="144" t="str">
        <f>IFERROR(__xludf.DUMMYFUNCTION("""COMPUTED_VALUE"""),"Mrs.SARANYA N")</f>
        <v>Mrs.SARANYA N</v>
      </c>
      <c r="H182" s="144" t="str">
        <f>IFERROR(__xludf.DUMMYFUNCTION("""COMPUTED_VALUE"""),"saranyan@bitsathy.ac.in")</f>
        <v>saranyan@bitsathy.ac.in</v>
      </c>
    </row>
    <row r="183">
      <c r="A183" s="144" t="str">
        <f>IFERROR(__xludf.DUMMYFUNCTION("""COMPUTED_VALUE"""),"ECE")</f>
        <v>ECE</v>
      </c>
      <c r="B183" s="144" t="str">
        <f>IFERROR(__xludf.DUMMYFUNCTION("""COMPUTED_VALUE"""),"S4")</f>
        <v>S4</v>
      </c>
      <c r="C183" s="144" t="str">
        <f>IFERROR(__xludf.DUMMYFUNCTION("""COMPUTED_VALUE"""),"22EC405")</f>
        <v>22EC405</v>
      </c>
      <c r="D183" s="144" t="str">
        <f>IFERROR(__xludf.DUMMYFUNCTION("""COMPUTED_VALUE"""),"EMBEDDED SYSTEMS")</f>
        <v>EMBEDDED SYSTEMS</v>
      </c>
      <c r="E183" s="144" t="str">
        <f>IFERROR(__xludf.DUMMYFUNCTION("""COMPUTED_VALUE"""),"THEORY")</f>
        <v>THEORY</v>
      </c>
      <c r="F183" s="144" t="str">
        <f>IFERROR(__xludf.DUMMYFUNCTION("""COMPUTED_VALUE"""),"EC1938")</f>
        <v>EC1938</v>
      </c>
      <c r="G183" s="144" t="str">
        <f>IFERROR(__xludf.DUMMYFUNCTION("""COMPUTED_VALUE"""),"Dr.RAMKUMAR R")</f>
        <v>Dr.RAMKUMAR R</v>
      </c>
      <c r="H183" s="144" t="str">
        <f>IFERROR(__xludf.DUMMYFUNCTION("""COMPUTED_VALUE"""),"ramkumarr@bitsathy.ac.in")</f>
        <v>ramkumarr@bitsathy.ac.in</v>
      </c>
    </row>
    <row r="184">
      <c r="A184" s="144" t="str">
        <f>IFERROR(__xludf.DUMMYFUNCTION("""COMPUTED_VALUE"""),"ECE")</f>
        <v>ECE</v>
      </c>
      <c r="B184" s="144" t="str">
        <f>IFERROR(__xludf.DUMMYFUNCTION("""COMPUTED_VALUE"""),"S4")</f>
        <v>S4</v>
      </c>
      <c r="C184" s="144" t="str">
        <f>IFERROR(__xludf.DUMMYFUNCTION("""COMPUTED_VALUE"""),"22EC405")</f>
        <v>22EC405</v>
      </c>
      <c r="D184" s="144" t="str">
        <f>IFERROR(__xludf.DUMMYFUNCTION("""COMPUTED_VALUE"""),"EMBEDDED SYSTEMS")</f>
        <v>EMBEDDED SYSTEMS</v>
      </c>
      <c r="E184" s="144" t="str">
        <f>IFERROR(__xludf.DUMMYFUNCTION("""COMPUTED_VALUE"""),"LAB")</f>
        <v>LAB</v>
      </c>
      <c r="F184" s="144" t="str">
        <f>IFERROR(__xludf.DUMMYFUNCTION("""COMPUTED_VALUE"""),"EC11045")</f>
        <v>EC11045</v>
      </c>
      <c r="G184" s="144" t="str">
        <f>IFERROR(__xludf.DUMMYFUNCTION("""COMPUTED_VALUE"""),"Mrs.DHANALAKSHMI S")</f>
        <v>Mrs.DHANALAKSHMI S</v>
      </c>
      <c r="H184" s="144" t="str">
        <f>IFERROR(__xludf.DUMMYFUNCTION("""COMPUTED_VALUE"""),"dhanalakshmis@bitsathy.ac.in")</f>
        <v>dhanalakshmis@bitsathy.ac.in</v>
      </c>
    </row>
    <row r="185">
      <c r="A185" s="144" t="str">
        <f>IFERROR(__xludf.DUMMYFUNCTION("""COMPUTED_VALUE"""),"ECE")</f>
        <v>ECE</v>
      </c>
      <c r="B185" s="144" t="str">
        <f>IFERROR(__xludf.DUMMYFUNCTION("""COMPUTED_VALUE"""),"S4")</f>
        <v>S4</v>
      </c>
      <c r="C185" s="144" t="str">
        <f>IFERROR(__xludf.DUMMYFUNCTION("""COMPUTED_VALUE"""),"22EC405")</f>
        <v>22EC405</v>
      </c>
      <c r="D185" s="144" t="str">
        <f>IFERROR(__xludf.DUMMYFUNCTION("""COMPUTED_VALUE"""),"EMBEDDED SYSTEMS")</f>
        <v>EMBEDDED SYSTEMS</v>
      </c>
      <c r="E185" s="144" t="str">
        <f>IFERROR(__xludf.DUMMYFUNCTION("""COMPUTED_VALUE"""),"THEORY WITH LAB")</f>
        <v>THEORY WITH LAB</v>
      </c>
      <c r="F185" s="144" t="str">
        <f>IFERROR(__xludf.DUMMYFUNCTION("""COMPUTED_VALUE"""),"EC10813")</f>
        <v>EC10813</v>
      </c>
      <c r="G185" s="144" t="str">
        <f>IFERROR(__xludf.DUMMYFUNCTION("""COMPUTED_VALUE"""),"Ms.SHARMILA A")</f>
        <v>Ms.SHARMILA A</v>
      </c>
      <c r="H185" s="144" t="str">
        <f>IFERROR(__xludf.DUMMYFUNCTION("""COMPUTED_VALUE"""),"sharmilaa@bitsathy.ac.in")</f>
        <v>sharmilaa@bitsathy.ac.in</v>
      </c>
    </row>
    <row r="186">
      <c r="A186" s="144" t="str">
        <f>IFERROR(__xludf.DUMMYFUNCTION("""COMPUTED_VALUE"""),"ECE")</f>
        <v>ECE</v>
      </c>
      <c r="B186" s="144" t="str">
        <f>IFERROR(__xludf.DUMMYFUNCTION("""COMPUTED_VALUE"""),"S4")</f>
        <v>S4</v>
      </c>
      <c r="C186" s="144" t="str">
        <f>IFERROR(__xludf.DUMMYFUNCTION("""COMPUTED_VALUE"""),"22EC405")</f>
        <v>22EC405</v>
      </c>
      <c r="D186" s="144" t="str">
        <f>IFERROR(__xludf.DUMMYFUNCTION("""COMPUTED_VALUE"""),"EMBEDDED SYSTEMS")</f>
        <v>EMBEDDED SYSTEMS</v>
      </c>
      <c r="E186" s="144" t="str">
        <f>IFERROR(__xludf.DUMMYFUNCTION("""COMPUTED_VALUE"""),"THEORY")</f>
        <v>THEORY</v>
      </c>
      <c r="F186" s="144" t="str">
        <f>IFERROR(__xludf.DUMMYFUNCTION("""COMPUTED_VALUE"""),"EC1911")</f>
        <v>EC1911</v>
      </c>
      <c r="G186" s="144" t="str">
        <f>IFERROR(__xludf.DUMMYFUNCTION("""COMPUTED_VALUE"""),"Dr.DANIEL RAJ A")</f>
        <v>Dr.DANIEL RAJ A</v>
      </c>
      <c r="H186" s="144" t="str">
        <f>IFERROR(__xludf.DUMMYFUNCTION("""COMPUTED_VALUE"""),"danielraja@bitsathy.ac.in")</f>
        <v>danielraja@bitsathy.ac.in</v>
      </c>
    </row>
    <row r="187">
      <c r="A187" s="144" t="str">
        <f>IFERROR(__xludf.DUMMYFUNCTION("""COMPUTED_VALUE"""),"ECE")</f>
        <v>ECE</v>
      </c>
      <c r="B187" s="144" t="str">
        <f>IFERROR(__xludf.DUMMYFUNCTION("""COMPUTED_VALUE"""),"S4")</f>
        <v>S4</v>
      </c>
      <c r="C187" s="144" t="str">
        <f>IFERROR(__xludf.DUMMYFUNCTION("""COMPUTED_VALUE"""),"22EC405")</f>
        <v>22EC405</v>
      </c>
      <c r="D187" s="144" t="str">
        <f>IFERROR(__xludf.DUMMYFUNCTION("""COMPUTED_VALUE"""),"EMBEDDED SYSTEMS")</f>
        <v>EMBEDDED SYSTEMS</v>
      </c>
      <c r="E187" s="144" t="str">
        <f>IFERROR(__xludf.DUMMYFUNCTION("""COMPUTED_VALUE"""),"LAB")</f>
        <v>LAB</v>
      </c>
      <c r="F187" s="144" t="str">
        <f>IFERROR(__xludf.DUMMYFUNCTION("""COMPUTED_VALUE"""),"EC11147")</f>
        <v>EC11147</v>
      </c>
      <c r="G187" s="144" t="str">
        <f>IFERROR(__xludf.DUMMYFUNCTION("""COMPUTED_VALUE"""),"Mrs.RAGAVI M")</f>
        <v>Mrs.RAGAVI M</v>
      </c>
      <c r="H187" s="144" t="str">
        <f>IFERROR(__xludf.DUMMYFUNCTION("""COMPUTED_VALUE"""),"ragavim@bitsathy.ac.in")</f>
        <v>ragavim@bitsathy.ac.in</v>
      </c>
    </row>
    <row r="188">
      <c r="A188" s="144" t="str">
        <f>IFERROR(__xludf.DUMMYFUNCTION("""COMPUTED_VALUE"""),"ECE")</f>
        <v>ECE</v>
      </c>
      <c r="B188" s="144" t="str">
        <f>IFERROR(__xludf.DUMMYFUNCTION("""COMPUTED_VALUE"""),"S4")</f>
        <v>S4</v>
      </c>
      <c r="C188" s="144" t="str">
        <f>IFERROR(__xludf.DUMMYFUNCTION("""COMPUTED_VALUE"""),"22EC001")</f>
        <v>22EC001</v>
      </c>
      <c r="D188" s="144" t="str">
        <f>IFERROR(__xludf.DUMMYFUNCTION("""COMPUTED_VALUE"""),"ADVANCED PROCESSOR ARCHITECTURES")</f>
        <v>ADVANCED PROCESSOR ARCHITECTURES</v>
      </c>
      <c r="E188" s="144" t="str">
        <f>IFERROR(__xludf.DUMMYFUNCTION("""COMPUTED_VALUE"""),"THEORY")</f>
        <v>THEORY</v>
      </c>
      <c r="F188" s="144" t="str">
        <f>IFERROR(__xludf.DUMMYFUNCTION("""COMPUTED_VALUE"""),"EC11043")</f>
        <v>EC11043</v>
      </c>
      <c r="G188" s="144" t="str">
        <f>IFERROR(__xludf.DUMMYFUNCTION("""COMPUTED_VALUE"""),"Mrs.NIVETHA G")</f>
        <v>Mrs.NIVETHA G</v>
      </c>
      <c r="H188" s="144" t="str">
        <f>IFERROR(__xludf.DUMMYFUNCTION("""COMPUTED_VALUE"""),"nivethag@bitsathy.ac.in")</f>
        <v>nivethag@bitsathy.ac.in</v>
      </c>
    </row>
    <row r="189">
      <c r="A189" s="144" t="str">
        <f>IFERROR(__xludf.DUMMYFUNCTION("""COMPUTED_VALUE"""),"ECE")</f>
        <v>ECE</v>
      </c>
      <c r="B189" s="144" t="str">
        <f>IFERROR(__xludf.DUMMYFUNCTION("""COMPUTED_VALUE"""),"S4")</f>
        <v>S4</v>
      </c>
      <c r="C189" s="144" t="str">
        <f>IFERROR(__xludf.DUMMYFUNCTION("""COMPUTED_VALUE"""),"22EC001")</f>
        <v>22EC001</v>
      </c>
      <c r="D189" s="144" t="str">
        <f>IFERROR(__xludf.DUMMYFUNCTION("""COMPUTED_VALUE"""),"ADVANCED PROCESSOR ARCHITECTURES")</f>
        <v>ADVANCED PROCESSOR ARCHITECTURES</v>
      </c>
      <c r="E189" s="144" t="str">
        <f>IFERROR(__xludf.DUMMYFUNCTION("""COMPUTED_VALUE"""),"THEORY")</f>
        <v>THEORY</v>
      </c>
      <c r="F189" s="144" t="str">
        <f>IFERROR(__xludf.DUMMYFUNCTION("""COMPUTED_VALUE"""),"EC11147")</f>
        <v>EC11147</v>
      </c>
      <c r="G189" s="144" t="str">
        <f>IFERROR(__xludf.DUMMYFUNCTION("""COMPUTED_VALUE"""),"Mrs.RAGAVI M")</f>
        <v>Mrs.RAGAVI M</v>
      </c>
      <c r="H189" s="144" t="str">
        <f>IFERROR(__xludf.DUMMYFUNCTION("""COMPUTED_VALUE"""),"ragavim@bitsathy.ac.in")</f>
        <v>ragavim@bitsathy.ac.in</v>
      </c>
    </row>
    <row r="190">
      <c r="A190" s="144" t="str">
        <f>IFERROR(__xludf.DUMMYFUNCTION("""COMPUTED_VALUE"""),"ECE")</f>
        <v>ECE</v>
      </c>
      <c r="B190" s="144" t="str">
        <f>IFERROR(__xludf.DUMMYFUNCTION("""COMPUTED_VALUE"""),"S4")</f>
        <v>S4</v>
      </c>
      <c r="C190" s="144" t="str">
        <f>IFERROR(__xludf.DUMMYFUNCTION("""COMPUTED_VALUE"""),"22EC001")</f>
        <v>22EC001</v>
      </c>
      <c r="D190" s="144" t="str">
        <f>IFERROR(__xludf.DUMMYFUNCTION("""COMPUTED_VALUE"""),"ADVANCED PROCESSOR ARCHITECTURES")</f>
        <v>ADVANCED PROCESSOR ARCHITECTURES</v>
      </c>
      <c r="E190" s="144" t="str">
        <f>IFERROR(__xludf.DUMMYFUNCTION("""COMPUTED_VALUE"""),"THEORY")</f>
        <v>THEORY</v>
      </c>
      <c r="F190" s="144" t="str">
        <f>IFERROR(__xludf.DUMMYFUNCTION("""COMPUTED_VALUE"""),"EC1893")</f>
        <v>EC1893</v>
      </c>
      <c r="G190" s="144" t="str">
        <f>IFERROR(__xludf.DUMMYFUNCTION("""COMPUTED_VALUE"""),"Dr.ELANGO S")</f>
        <v>Dr.ELANGO S</v>
      </c>
      <c r="H190" s="144" t="str">
        <f>IFERROR(__xludf.DUMMYFUNCTION("""COMPUTED_VALUE"""),"elangos@bitsathy.ac.in")</f>
        <v>elangos@bitsathy.ac.in</v>
      </c>
    </row>
    <row r="191">
      <c r="A191" s="144" t="str">
        <f>IFERROR(__xludf.DUMMYFUNCTION("""COMPUTED_VALUE"""),"ECE")</f>
        <v>ECE</v>
      </c>
      <c r="B191" s="144" t="str">
        <f>IFERROR(__xludf.DUMMYFUNCTION("""COMPUTED_VALUE"""),"S4")</f>
        <v>S4</v>
      </c>
      <c r="C191" s="144" t="str">
        <f>IFERROR(__xludf.DUMMYFUNCTION("""COMPUTED_VALUE"""),"22EC040")</f>
        <v>22EC040</v>
      </c>
      <c r="D191" s="144" t="str">
        <f>IFERROR(__xludf.DUMMYFUNCTION("""COMPUTED_VALUE"""),"PYTHON PROGRAMMING FOR AI AND ML")</f>
        <v>PYTHON PROGRAMMING FOR AI AND ML</v>
      </c>
      <c r="E191" s="144" t="str">
        <f>IFERROR(__xludf.DUMMYFUNCTION("""COMPUTED_VALUE"""),"THEORY")</f>
        <v>THEORY</v>
      </c>
      <c r="F191" s="144" t="str">
        <f>IFERROR(__xludf.DUMMYFUNCTION("""COMPUTED_VALUE"""),"IT11173")</f>
        <v>IT11173</v>
      </c>
      <c r="G191" s="144" t="str">
        <f>IFERROR(__xludf.DUMMYFUNCTION("""COMPUTED_VALUE"""),"Mrs.GAYATHRI D")</f>
        <v>Mrs.GAYATHRI D</v>
      </c>
      <c r="H191" s="144" t="str">
        <f>IFERROR(__xludf.DUMMYFUNCTION("""COMPUTED_VALUE"""),"gayathrid@bitsathy.ac.in")</f>
        <v>gayathrid@bitsathy.ac.in</v>
      </c>
    </row>
    <row r="192">
      <c r="A192" s="144" t="str">
        <f>IFERROR(__xludf.DUMMYFUNCTION("""COMPUTED_VALUE"""),"ECE")</f>
        <v>ECE</v>
      </c>
      <c r="B192" s="144" t="str">
        <f>IFERROR(__xludf.DUMMYFUNCTION("""COMPUTED_VALUE"""),"S4")</f>
        <v>S4</v>
      </c>
      <c r="C192" s="144" t="str">
        <f>IFERROR(__xludf.DUMMYFUNCTION("""COMPUTED_VALUE"""),"22EC040")</f>
        <v>22EC040</v>
      </c>
      <c r="D192" s="144" t="str">
        <f>IFERROR(__xludf.DUMMYFUNCTION("""COMPUTED_VALUE"""),"PYTHON PROGRAMMING FOR AI AND ML")</f>
        <v>PYTHON PROGRAMMING FOR AI AND ML</v>
      </c>
      <c r="E192" s="144" t="str">
        <f>IFERROR(__xludf.DUMMYFUNCTION("""COMPUTED_VALUE"""),"THEORY")</f>
        <v>THEORY</v>
      </c>
      <c r="F192" s="144" t="str">
        <f>IFERROR(__xludf.DUMMYFUNCTION("""COMPUTED_VALUE"""),"CD11174")</f>
        <v>CD11174</v>
      </c>
      <c r="G192" s="144" t="str">
        <f>IFERROR(__xludf.DUMMYFUNCTION("""COMPUTED_VALUE"""),"Ms.KIRUTHIKA S")</f>
        <v>Ms.KIRUTHIKA S</v>
      </c>
      <c r="H192" s="144" t="str">
        <f>IFERROR(__xludf.DUMMYFUNCTION("""COMPUTED_VALUE"""),"kiruthikas@bitsathy.ac.in")</f>
        <v>kiruthikas@bitsathy.ac.in</v>
      </c>
    </row>
    <row r="193">
      <c r="A193" s="144" t="str">
        <f>IFERROR(__xludf.DUMMYFUNCTION("""COMPUTED_VALUE"""),"ECE")</f>
        <v>ECE</v>
      </c>
      <c r="B193" s="144" t="str">
        <f>IFERROR(__xludf.DUMMYFUNCTION("""COMPUTED_VALUE"""),"S4")</f>
        <v>S4</v>
      </c>
      <c r="C193" s="144" t="str">
        <f>IFERROR(__xludf.DUMMYFUNCTION("""COMPUTED_VALUE"""),"22HS007")</f>
        <v>22HS007</v>
      </c>
      <c r="D193" s="144" t="str">
        <f>IFERROR(__xludf.DUMMYFUNCTION("""COMPUTED_VALUE"""),"ENVIRONMENTAL SCIENCE")</f>
        <v>ENVIRONMENTAL SCIENCE</v>
      </c>
      <c r="E193" s="144" t="str">
        <f>IFERROR(__xludf.DUMMYFUNCTION("""COMPUTED_VALUE"""),"LAB")</f>
        <v>LAB</v>
      </c>
      <c r="F193" s="144" t="str">
        <f>IFERROR(__xludf.DUMMYFUNCTION("""COMPUTED_VALUE"""),"CH10003")</f>
        <v>CH10003</v>
      </c>
      <c r="G193" s="144" t="str">
        <f>IFERROR(__xludf.DUMMYFUNCTION("""COMPUTED_VALUE"""),"Dr.SATHISH V")</f>
        <v>Dr.SATHISH V</v>
      </c>
      <c r="H193" s="144" t="str">
        <f>IFERROR(__xludf.DUMMYFUNCTION("""COMPUTED_VALUE"""),"sathishv@bitsathy.ac.in")</f>
        <v>sathishv@bitsathy.ac.in</v>
      </c>
    </row>
    <row r="194">
      <c r="A194" s="144" t="str">
        <f>IFERROR(__xludf.DUMMYFUNCTION("""COMPUTED_VALUE"""),"ECE")</f>
        <v>ECE</v>
      </c>
      <c r="B194" s="144" t="str">
        <f>IFERROR(__xludf.DUMMYFUNCTION("""COMPUTED_VALUE"""),"S4")</f>
        <v>S4</v>
      </c>
      <c r="C194" s="144" t="str">
        <f>IFERROR(__xludf.DUMMYFUNCTION("""COMPUTED_VALUE"""),"22HS007")</f>
        <v>22HS007</v>
      </c>
      <c r="D194" s="144" t="str">
        <f>IFERROR(__xludf.DUMMYFUNCTION("""COMPUTED_VALUE"""),"ENVIRONMENTAL SCIENCE")</f>
        <v>ENVIRONMENTAL SCIENCE</v>
      </c>
      <c r="E194" s="144" t="str">
        <f>IFERROR(__xludf.DUMMYFUNCTION("""COMPUTED_VALUE"""),"LAB")</f>
        <v>LAB</v>
      </c>
      <c r="F194" s="144" t="str">
        <f>IFERROR(__xludf.DUMMYFUNCTION("""COMPUTED_VALUE"""),"CH10372")</f>
        <v>CH10372</v>
      </c>
      <c r="G194" s="144" t="str">
        <f>IFERROR(__xludf.DUMMYFUNCTION("""COMPUTED_VALUE"""),"Dr.RAMESHKUMAR A")</f>
        <v>Dr.RAMESHKUMAR A</v>
      </c>
      <c r="H194" s="144" t="str">
        <f>IFERROR(__xludf.DUMMYFUNCTION("""COMPUTED_VALUE"""),"rameshkumar@bitsathy.ac.in")</f>
        <v>rameshkumar@bitsathy.ac.in</v>
      </c>
    </row>
    <row r="195">
      <c r="A195" s="144" t="str">
        <f>IFERROR(__xludf.DUMMYFUNCTION("""COMPUTED_VALUE"""),"ECE")</f>
        <v>ECE</v>
      </c>
      <c r="B195" s="144" t="str">
        <f>IFERROR(__xludf.DUMMYFUNCTION("""COMPUTED_VALUE"""),"S4")</f>
        <v>S4</v>
      </c>
      <c r="C195" s="144" t="str">
        <f>IFERROR(__xludf.DUMMYFUNCTION("""COMPUTED_VALUE"""),"22HS007")</f>
        <v>22HS007</v>
      </c>
      <c r="D195" s="144" t="str">
        <f>IFERROR(__xludf.DUMMYFUNCTION("""COMPUTED_VALUE"""),"ENVIRONMENTAL SCIENCE")</f>
        <v>ENVIRONMENTAL SCIENCE</v>
      </c>
      <c r="E195" s="144" t="str">
        <f>IFERROR(__xludf.DUMMYFUNCTION("""COMPUTED_VALUE"""),"LAB")</f>
        <v>LAB</v>
      </c>
      <c r="F195" s="144" t="str">
        <f>IFERROR(__xludf.DUMMYFUNCTION("""COMPUTED_VALUE"""),"CH11057")</f>
        <v>CH11057</v>
      </c>
      <c r="G195" s="144" t="str">
        <f>IFERROR(__xludf.DUMMYFUNCTION("""COMPUTED_VALUE"""),"Dr.KARUPPUSAMY S")</f>
        <v>Dr.KARUPPUSAMY S</v>
      </c>
      <c r="H195" s="144" t="str">
        <f>IFERROR(__xludf.DUMMYFUNCTION("""COMPUTED_VALUE"""),"karuppusamys@bitsathy.ac.in")</f>
        <v>karuppusamys@bitsathy.ac.in</v>
      </c>
    </row>
    <row r="196">
      <c r="A196" s="144" t="str">
        <f>IFERROR(__xludf.DUMMYFUNCTION("""COMPUTED_VALUE"""),"ECE")</f>
        <v>ECE</v>
      </c>
      <c r="B196" s="144" t="str">
        <f>IFERROR(__xludf.DUMMYFUNCTION("""COMPUTED_VALUE"""),"S4")</f>
        <v>S4</v>
      </c>
      <c r="C196" s="144" t="str">
        <f>IFERROR(__xludf.DUMMYFUNCTION("""COMPUTED_VALUE"""),"22HS007")</f>
        <v>22HS007</v>
      </c>
      <c r="D196" s="144" t="str">
        <f>IFERROR(__xludf.DUMMYFUNCTION("""COMPUTED_VALUE"""),"ENVIRONMENTAL SCIENCE")</f>
        <v>ENVIRONMENTAL SCIENCE</v>
      </c>
      <c r="E196" s="144" t="str">
        <f>IFERROR(__xludf.DUMMYFUNCTION("""COMPUTED_VALUE"""),"LAB")</f>
        <v>LAB</v>
      </c>
      <c r="F196" s="144" t="str">
        <f>IFERROR(__xludf.DUMMYFUNCTION("""COMPUTED_VALUE"""),"CH11156")</f>
        <v>CH11156</v>
      </c>
      <c r="G196" s="144" t="str">
        <f>IFERROR(__xludf.DUMMYFUNCTION("""COMPUTED_VALUE"""),"Dr.KASTHURI S")</f>
        <v>Dr.KASTHURI S</v>
      </c>
      <c r="H196" s="144" t="str">
        <f>IFERROR(__xludf.DUMMYFUNCTION("""COMPUTED_VALUE"""),"kasthuris@bitsathy.ac.in")</f>
        <v>kasthuris@bitsathy.ac.in</v>
      </c>
    </row>
    <row r="197">
      <c r="A197" s="144" t="str">
        <f>IFERROR(__xludf.DUMMYFUNCTION("""COMPUTED_VALUE"""),"ECE")</f>
        <v>ECE</v>
      </c>
      <c r="B197" s="144" t="str">
        <f>IFERROR(__xludf.DUMMYFUNCTION("""COMPUTED_VALUE"""),"S4")</f>
        <v>S4</v>
      </c>
      <c r="C197" s="144" t="str">
        <f>IFERROR(__xludf.DUMMYFUNCTION("""COMPUTED_VALUE"""),"22HS008")</f>
        <v>22HS008</v>
      </c>
      <c r="D197" s="144" t="str">
        <f>IFERROR(__xludf.DUMMYFUNCTION("""COMPUTED_VALUE"""),"ADVANCED ENGLISH AND TECHNICAL EXPRESSION ")</f>
        <v>ADVANCED ENGLISH AND TECHNICAL EXPRESSION </v>
      </c>
      <c r="E197" s="144" t="str">
        <f>IFERROR(__xludf.DUMMYFUNCTION("""COMPUTED_VALUE"""),"LAB")</f>
        <v>LAB</v>
      </c>
      <c r="F197" s="144" t="str">
        <f>IFERROR(__xludf.DUMMYFUNCTION("""COMPUTED_VALUE"""),"HU11141")</f>
        <v>HU11141</v>
      </c>
      <c r="G197" s="144" t="str">
        <f>IFERROR(__xludf.DUMMYFUNCTION("""COMPUTED_VALUE"""),"Dr.EZHIL G")</f>
        <v>Dr.EZHIL G</v>
      </c>
      <c r="H197" s="144" t="str">
        <f>IFERROR(__xludf.DUMMYFUNCTION("""COMPUTED_VALUE"""),"ezhil@bitsathy.ac.in")</f>
        <v>ezhil@bitsathy.ac.in</v>
      </c>
    </row>
    <row r="198">
      <c r="A198" s="144" t="str">
        <f>IFERROR(__xludf.DUMMYFUNCTION("""COMPUTED_VALUE"""),"ECE")</f>
        <v>ECE</v>
      </c>
      <c r="B198" s="144" t="str">
        <f>IFERROR(__xludf.DUMMYFUNCTION("""COMPUTED_VALUE"""),"S4")</f>
        <v>S4</v>
      </c>
      <c r="C198" s="144" t="str">
        <f>IFERROR(__xludf.DUMMYFUNCTION("""COMPUTED_VALUE"""),"22HS008")</f>
        <v>22HS008</v>
      </c>
      <c r="D198" s="144" t="str">
        <f>IFERROR(__xludf.DUMMYFUNCTION("""COMPUTED_VALUE"""),"ADVANCED ENGLISH AND TECHNICAL EXPRESSION ")</f>
        <v>ADVANCED ENGLISH AND TECHNICAL EXPRESSION </v>
      </c>
      <c r="E198" s="144" t="str">
        <f>IFERROR(__xludf.DUMMYFUNCTION("""COMPUTED_VALUE"""),"LAB")</f>
        <v>LAB</v>
      </c>
      <c r="F198" s="144" t="str">
        <f>IFERROR(__xludf.DUMMYFUNCTION("""COMPUTED_VALUE"""),"HU11151")</f>
        <v>HU11151</v>
      </c>
      <c r="G198" s="144" t="str">
        <f>IFERROR(__xludf.DUMMYFUNCTION("""COMPUTED_VALUE"""),"Dr.NITHYA S")</f>
        <v>Dr.NITHYA S</v>
      </c>
      <c r="H198" s="144" t="str">
        <f>IFERROR(__xludf.DUMMYFUNCTION("""COMPUTED_VALUE"""),"nithyas@bitsathy.ac.in")</f>
        <v>nithyas@bitsathy.ac.in</v>
      </c>
    </row>
    <row r="199">
      <c r="A199" s="144" t="str">
        <f>IFERROR(__xludf.DUMMYFUNCTION("""COMPUTED_VALUE"""),"ECE")</f>
        <v>ECE</v>
      </c>
      <c r="B199" s="144" t="str">
        <f>IFERROR(__xludf.DUMMYFUNCTION("""COMPUTED_VALUE"""),"S4")</f>
        <v>S4</v>
      </c>
      <c r="C199" s="144" t="str">
        <f>IFERROR(__xludf.DUMMYFUNCTION("""COMPUTED_VALUE"""),"22HS008")</f>
        <v>22HS008</v>
      </c>
      <c r="D199" s="144" t="str">
        <f>IFERROR(__xludf.DUMMYFUNCTION("""COMPUTED_VALUE"""),"ADVANCED ENGLISH AND TECHNICAL EXPRESSION ")</f>
        <v>ADVANCED ENGLISH AND TECHNICAL EXPRESSION </v>
      </c>
      <c r="E199" s="144" t="str">
        <f>IFERROR(__xludf.DUMMYFUNCTION("""COMPUTED_VALUE"""),"LAB")</f>
        <v>LAB</v>
      </c>
      <c r="F199" s="144" t="str">
        <f>IFERROR(__xludf.DUMMYFUNCTION("""COMPUTED_VALUE"""),"HU11159")</f>
        <v>HU11159</v>
      </c>
      <c r="G199" s="144" t="str">
        <f>IFERROR(__xludf.DUMMYFUNCTION("""COMPUTED_VALUE"""),"Dr.JAYA K")</f>
        <v>Dr.JAYA K</v>
      </c>
      <c r="H199" s="144" t="str">
        <f>IFERROR(__xludf.DUMMYFUNCTION("""COMPUTED_VALUE"""),"jayak@bitsathy.ac.in")</f>
        <v>jayak@bitsathy.ac.in</v>
      </c>
    </row>
    <row r="200">
      <c r="A200" s="144" t="str">
        <f>IFERROR(__xludf.DUMMYFUNCTION("""COMPUTED_VALUE"""),"ECE")</f>
        <v>ECE</v>
      </c>
      <c r="B200" s="144" t="str">
        <f>IFERROR(__xludf.DUMMYFUNCTION("""COMPUTED_VALUE"""),"S4")</f>
        <v>S4</v>
      </c>
      <c r="C200" s="144" t="str">
        <f>IFERROR(__xludf.DUMMYFUNCTION("""COMPUTED_VALUE"""),"22HS008")</f>
        <v>22HS008</v>
      </c>
      <c r="D200" s="144" t="str">
        <f>IFERROR(__xludf.DUMMYFUNCTION("""COMPUTED_VALUE"""),"ADVANCED ENGLISH AND TECHNICAL EXPRESSION ")</f>
        <v>ADVANCED ENGLISH AND TECHNICAL EXPRESSION </v>
      </c>
      <c r="E200" s="144" t="str">
        <f>IFERROR(__xludf.DUMMYFUNCTION("""COMPUTED_VALUE"""),"LAB")</f>
        <v>LAB</v>
      </c>
      <c r="F200" s="144" t="str">
        <f>IFERROR(__xludf.DUMMYFUNCTION("""COMPUTED_VALUE"""),"HU11125")</f>
        <v>HU11125</v>
      </c>
      <c r="G200" s="144" t="str">
        <f>IFERROR(__xludf.DUMMYFUNCTION("""COMPUTED_VALUE"""),"Dr.GAYATHRI G M")</f>
        <v>Dr.GAYATHRI G M</v>
      </c>
      <c r="H200" s="144" t="str">
        <f>IFERROR(__xludf.DUMMYFUNCTION("""COMPUTED_VALUE"""),"gayathri@bitsathy.ac.in")</f>
        <v>gayathri@bitsathy.ac.in</v>
      </c>
    </row>
    <row r="201">
      <c r="A201" s="144" t="str">
        <f>IFERROR(__xludf.DUMMYFUNCTION("""COMPUTED_VALUE"""),"EIE")</f>
        <v>EIE</v>
      </c>
      <c r="B201" s="144" t="str">
        <f>IFERROR(__xludf.DUMMYFUNCTION("""COMPUTED_VALUE"""),"S4")</f>
        <v>S4</v>
      </c>
      <c r="C201" s="144" t="str">
        <f>IFERROR(__xludf.DUMMYFUNCTION("""COMPUTED_VALUE"""),"22EI401")</f>
        <v>22EI401</v>
      </c>
      <c r="D201" s="144" t="str">
        <f>IFERROR(__xludf.DUMMYFUNCTION("""COMPUTED_VALUE"""),"PROBABILITY, STATISTICS AND
RANDOM PROCESS")</f>
        <v>PROBABILITY, STATISTICS AND
RANDOM PROCESS</v>
      </c>
      <c r="E201" s="144" t="str">
        <f>IFERROR(__xludf.DUMMYFUNCTION("""COMPUTED_VALUE"""),"THEORY")</f>
        <v>THEORY</v>
      </c>
      <c r="F201" s="144" t="str">
        <f>IFERROR(__xludf.DUMMYFUNCTION("""COMPUTED_VALUE"""),"MA1373")</f>
        <v>MA1373</v>
      </c>
      <c r="G201" s="144" t="str">
        <f>IFERROR(__xludf.DUMMYFUNCTION("""COMPUTED_VALUE"""),"Dr.SARAVANA MOORTHI P")</f>
        <v>Dr.SARAVANA MOORTHI P</v>
      </c>
      <c r="H201" s="144" t="str">
        <f>IFERROR(__xludf.DUMMYFUNCTION("""COMPUTED_VALUE"""),"saravanamoorthip@bitsathy.ac.in")</f>
        <v>saravanamoorthip@bitsathy.ac.in</v>
      </c>
    </row>
    <row r="202">
      <c r="A202" s="144" t="str">
        <f>IFERROR(__xludf.DUMMYFUNCTION("""COMPUTED_VALUE"""),"EIE")</f>
        <v>EIE</v>
      </c>
      <c r="B202" s="144" t="str">
        <f>IFERROR(__xludf.DUMMYFUNCTION("""COMPUTED_VALUE"""),"S4")</f>
        <v>S4</v>
      </c>
      <c r="C202" s="144" t="str">
        <f>IFERROR(__xludf.DUMMYFUNCTION("""COMPUTED_VALUE"""),"22EI402")</f>
        <v>22EI402</v>
      </c>
      <c r="D202" s="144" t="str">
        <f>IFERROR(__xludf.DUMMYFUNCTION("""COMPUTED_VALUE"""),"SENSORS AND TRANSDUCER")</f>
        <v>SENSORS AND TRANSDUCER</v>
      </c>
      <c r="E202" s="144" t="str">
        <f>IFERROR(__xludf.DUMMYFUNCTION("""COMPUTED_VALUE"""),"THEORY")</f>
        <v>THEORY</v>
      </c>
      <c r="F202" s="144" t="str">
        <f>IFERROR(__xludf.DUMMYFUNCTION("""COMPUTED_VALUE"""),"EI1996")</f>
        <v>EI1996</v>
      </c>
      <c r="G202" s="144" t="str">
        <f>IFERROR(__xludf.DUMMYFUNCTION("""COMPUTED_VALUE"""),"Dr.ARUN JAYAKAR S")</f>
        <v>Dr.ARUN JAYAKAR S</v>
      </c>
      <c r="H202" s="144" t="str">
        <f>IFERROR(__xludf.DUMMYFUNCTION("""COMPUTED_VALUE"""),"arunjayakars@bitsathy.ac.in")</f>
        <v>arunjayakars@bitsathy.ac.in</v>
      </c>
    </row>
    <row r="203">
      <c r="A203" s="144" t="str">
        <f>IFERROR(__xludf.DUMMYFUNCTION("""COMPUTED_VALUE"""),"EIE")</f>
        <v>EIE</v>
      </c>
      <c r="B203" s="144" t="str">
        <f>IFERROR(__xludf.DUMMYFUNCTION("""COMPUTED_VALUE"""),"S4")</f>
        <v>S4</v>
      </c>
      <c r="C203" s="144" t="str">
        <f>IFERROR(__xludf.DUMMYFUNCTION("""COMPUTED_VALUE"""),"22EI402")</f>
        <v>22EI402</v>
      </c>
      <c r="D203" s="144" t="str">
        <f>IFERROR(__xludf.DUMMYFUNCTION("""COMPUTED_VALUE"""),"SENSORS AND TRANSDUCER")</f>
        <v>SENSORS AND TRANSDUCER</v>
      </c>
      <c r="E203" s="144" t="str">
        <f>IFERROR(__xludf.DUMMYFUNCTION("""COMPUTED_VALUE"""),"LAB")</f>
        <v>LAB</v>
      </c>
      <c r="F203" s="144" t="str">
        <f>IFERROR(__xludf.DUMMYFUNCTION("""COMPUTED_VALUE"""),"EI1688")</f>
        <v>EI1688</v>
      </c>
      <c r="G203" s="144" t="str">
        <f>IFERROR(__xludf.DUMMYFUNCTION("""COMPUTED_VALUE"""),"Dr.SUDHAHAR S")</f>
        <v>Dr.SUDHAHAR S</v>
      </c>
      <c r="H203" s="144" t="str">
        <f>IFERROR(__xludf.DUMMYFUNCTION("""COMPUTED_VALUE"""),"sudhahars@bitsathy.ac.in")</f>
        <v>sudhahars@bitsathy.ac.in</v>
      </c>
    </row>
    <row r="204">
      <c r="A204" s="144" t="str">
        <f>IFERROR(__xludf.DUMMYFUNCTION("""COMPUTED_VALUE"""),"EIE")</f>
        <v>EIE</v>
      </c>
      <c r="B204" s="144" t="str">
        <f>IFERROR(__xludf.DUMMYFUNCTION("""COMPUTED_VALUE"""),"S4")</f>
        <v>S4</v>
      </c>
      <c r="C204" s="144" t="str">
        <f>IFERROR(__xludf.DUMMYFUNCTION("""COMPUTED_VALUE"""),"22EI403")</f>
        <v>22EI403</v>
      </c>
      <c r="D204" s="144" t="str">
        <f>IFERROR(__xludf.DUMMYFUNCTION("""COMPUTED_VALUE"""),"ANALOG ELECTRONICS AND INTEGRATED CIRCUITS")</f>
        <v>ANALOG ELECTRONICS AND INTEGRATED CIRCUITS</v>
      </c>
      <c r="E204" s="144" t="str">
        <f>IFERROR(__xludf.DUMMYFUNCTION("""COMPUTED_VALUE"""),"THEORY")</f>
        <v>THEORY</v>
      </c>
      <c r="F204" s="144" t="str">
        <f>IFERROR(__xludf.DUMMYFUNCTION("""COMPUTED_VALUE"""),"EI10459")</f>
        <v>EI10459</v>
      </c>
      <c r="G204" s="144" t="str">
        <f>IFERROR(__xludf.DUMMYFUNCTION("""COMPUTED_VALUE"""),"Mr.PRAVIN SAVARIDASS M")</f>
        <v>Mr.PRAVIN SAVARIDASS M</v>
      </c>
      <c r="H204" s="144" t="str">
        <f>IFERROR(__xludf.DUMMYFUNCTION("""COMPUTED_VALUE"""),"pravinsavaridass@bitsathy.ac.in")</f>
        <v>pravinsavaridass@bitsathy.ac.in</v>
      </c>
    </row>
    <row r="205">
      <c r="A205" s="144" t="str">
        <f>IFERROR(__xludf.DUMMYFUNCTION("""COMPUTED_VALUE"""),"EIE")</f>
        <v>EIE</v>
      </c>
      <c r="B205" s="144" t="str">
        <f>IFERROR(__xludf.DUMMYFUNCTION("""COMPUTED_VALUE"""),"S4")</f>
        <v>S4</v>
      </c>
      <c r="C205" s="144" t="str">
        <f>IFERROR(__xludf.DUMMYFUNCTION("""COMPUTED_VALUE"""),"22EI403")</f>
        <v>22EI403</v>
      </c>
      <c r="D205" s="144" t="str">
        <f>IFERROR(__xludf.DUMMYFUNCTION("""COMPUTED_VALUE"""),"ANALOG ELECTRONICS AND INTEGRATED CIRCUITS")</f>
        <v>ANALOG ELECTRONICS AND INTEGRATED CIRCUITS</v>
      </c>
      <c r="E205" s="144" t="str">
        <f>IFERROR(__xludf.DUMMYFUNCTION("""COMPUTED_VALUE"""),"LAB")</f>
        <v>LAB</v>
      </c>
      <c r="F205" s="144" t="str">
        <f>IFERROR(__xludf.DUMMYFUNCTION("""COMPUTED_VALUE"""),"BM11175")</f>
        <v>BM11175</v>
      </c>
      <c r="G205" s="144" t="str">
        <f>IFERROR(__xludf.DUMMYFUNCTION("""COMPUTED_VALUE"""),"Ms.SREENIVEATHA P")</f>
        <v>Ms.SREENIVEATHA P</v>
      </c>
      <c r="H205" s="144" t="str">
        <f>IFERROR(__xludf.DUMMYFUNCTION("""COMPUTED_VALUE"""),"sreeniveathap@bitsathy.ac.in")</f>
        <v>sreeniveathap@bitsathy.ac.in</v>
      </c>
    </row>
    <row r="206">
      <c r="A206" s="144" t="str">
        <f>IFERROR(__xludf.DUMMYFUNCTION("""COMPUTED_VALUE"""),"EIE")</f>
        <v>EIE</v>
      </c>
      <c r="B206" s="144" t="str">
        <f>IFERROR(__xludf.DUMMYFUNCTION("""COMPUTED_VALUE"""),"S4")</f>
        <v>S4</v>
      </c>
      <c r="C206" s="144" t="str">
        <f>IFERROR(__xludf.DUMMYFUNCTION("""COMPUTED_VALUE"""),"22EI404")</f>
        <v>22EI404</v>
      </c>
      <c r="D206" s="144" t="str">
        <f>IFERROR(__xludf.DUMMYFUNCTION("""COMPUTED_VALUE"""),"COMMUNICATION ENGINEERING")</f>
        <v>COMMUNICATION ENGINEERING</v>
      </c>
      <c r="E206" s="144" t="str">
        <f>IFERROR(__xludf.DUMMYFUNCTION("""COMPUTED_VALUE"""),"THEORY")</f>
        <v>THEORY</v>
      </c>
      <c r="F206" s="144" t="str">
        <f>IFERROR(__xludf.DUMMYFUNCTION("""COMPUTED_VALUE"""),"EI1276")</f>
        <v>EI1276</v>
      </c>
      <c r="G206" s="144" t="str">
        <f>IFERROR(__xludf.DUMMYFUNCTION("""COMPUTED_VALUE"""),"Dr.GANESH BABU C")</f>
        <v>Dr.GANESH BABU C</v>
      </c>
      <c r="H206" s="144" t="str">
        <f>IFERROR(__xludf.DUMMYFUNCTION("""COMPUTED_VALUE"""),"ganeshbabuc@bitsathy.ac.in")</f>
        <v>ganeshbabuc@bitsathy.ac.in</v>
      </c>
    </row>
    <row r="207">
      <c r="A207" s="144" t="str">
        <f>IFERROR(__xludf.DUMMYFUNCTION("""COMPUTED_VALUE"""),"EIE")</f>
        <v>EIE</v>
      </c>
      <c r="B207" s="144" t="str">
        <f>IFERROR(__xludf.DUMMYFUNCTION("""COMPUTED_VALUE"""),"S4")</f>
        <v>S4</v>
      </c>
      <c r="C207" s="144" t="str">
        <f>IFERROR(__xludf.DUMMYFUNCTION("""COMPUTED_VALUE"""),"22EI405")</f>
        <v>22EI405</v>
      </c>
      <c r="D207" s="144" t="str">
        <f>IFERROR(__xludf.DUMMYFUNCTION("""COMPUTED_VALUE"""),"EMBEDDED SYSTEMS")</f>
        <v>EMBEDDED SYSTEMS</v>
      </c>
      <c r="E207" s="144" t="str">
        <f>IFERROR(__xludf.DUMMYFUNCTION("""COMPUTED_VALUE"""),"THEORY")</f>
        <v>THEORY</v>
      </c>
      <c r="F207" s="144" t="str">
        <f>IFERROR(__xludf.DUMMYFUNCTION("""COMPUTED_VALUE"""),"EI10266")</f>
        <v>EI10266</v>
      </c>
      <c r="G207" s="144" t="str">
        <f>IFERROR(__xludf.DUMMYFUNCTION("""COMPUTED_VALUE"""),"Dr.HARITHA J")</f>
        <v>Dr.HARITHA J</v>
      </c>
      <c r="H207" s="144" t="str">
        <f>IFERROR(__xludf.DUMMYFUNCTION("""COMPUTED_VALUE"""),"haritha@bitsathy.ac.in")</f>
        <v>haritha@bitsathy.ac.in</v>
      </c>
    </row>
    <row r="208">
      <c r="A208" s="144" t="str">
        <f>IFERROR(__xludf.DUMMYFUNCTION("""COMPUTED_VALUE"""),"EIE")</f>
        <v>EIE</v>
      </c>
      <c r="B208" s="144" t="str">
        <f>IFERROR(__xludf.DUMMYFUNCTION("""COMPUTED_VALUE"""),"S4")</f>
        <v>S4</v>
      </c>
      <c r="C208" s="144" t="str">
        <f>IFERROR(__xludf.DUMMYFUNCTION("""COMPUTED_VALUE"""),"22EI405")</f>
        <v>22EI405</v>
      </c>
      <c r="D208" s="144" t="str">
        <f>IFERROR(__xludf.DUMMYFUNCTION("""COMPUTED_VALUE"""),"EMBEDDED SYSTEMS")</f>
        <v>EMBEDDED SYSTEMS</v>
      </c>
      <c r="E208" s="144" t="str">
        <f>IFERROR(__xludf.DUMMYFUNCTION("""COMPUTED_VALUE"""),"LAB")</f>
        <v>LAB</v>
      </c>
      <c r="F208" s="144" t="str">
        <f>IFERROR(__xludf.DUMMYFUNCTION("""COMPUTED_VALUE"""),"BM11176")</f>
        <v>BM11176</v>
      </c>
      <c r="G208" s="144" t="str">
        <f>IFERROR(__xludf.DUMMYFUNCTION("""COMPUTED_VALUE"""),"Ms.PRATHEEBHA G")</f>
        <v>Ms.PRATHEEBHA G</v>
      </c>
      <c r="H208" s="144" t="str">
        <f>IFERROR(__xludf.DUMMYFUNCTION("""COMPUTED_VALUE"""),"pratheebhag@bitsathy.ac.in")</f>
        <v>pratheebhag@bitsathy.ac.in</v>
      </c>
    </row>
    <row r="209">
      <c r="A209" s="144" t="str">
        <f>IFERROR(__xludf.DUMMYFUNCTION("""COMPUTED_VALUE"""),"EIE")</f>
        <v>EIE</v>
      </c>
      <c r="B209" s="144" t="str">
        <f>IFERROR(__xludf.DUMMYFUNCTION("""COMPUTED_VALUE"""),"S4")</f>
        <v>S4</v>
      </c>
      <c r="C209" s="144" t="str">
        <f>IFERROR(__xludf.DUMMYFUNCTION("""COMPUTED_VALUE"""),"22EI014")</f>
        <v>22EI014</v>
      </c>
      <c r="D209" s="144" t="str">
        <f>IFERROR(__xludf.DUMMYFUNCTION("""COMPUTED_VALUE"""),"ANALYTICAL INSTRUMENTS")</f>
        <v>ANALYTICAL INSTRUMENTS</v>
      </c>
      <c r="E209" s="144" t="str">
        <f>IFERROR(__xludf.DUMMYFUNCTION("""COMPUTED_VALUE"""),"THEORY")</f>
        <v>THEORY</v>
      </c>
      <c r="F209" s="144" t="str">
        <f>IFERROR(__xludf.DUMMYFUNCTION("""COMPUTED_VALUE"""),"EI10249")</f>
        <v>EI10249</v>
      </c>
      <c r="G209" s="144" t="str">
        <f>IFERROR(__xludf.DUMMYFUNCTION("""COMPUTED_VALUE"""),"Dr.DHANASEKAR R")</f>
        <v>Dr.DHANASEKAR R</v>
      </c>
      <c r="H209" s="144" t="str">
        <f>IFERROR(__xludf.DUMMYFUNCTION("""COMPUTED_VALUE"""),"dhanasekar@bitsathy.ac.in")</f>
        <v>dhanasekar@bitsathy.ac.in</v>
      </c>
    </row>
    <row r="210">
      <c r="A210" s="144" t="str">
        <f>IFERROR(__xludf.DUMMYFUNCTION("""COMPUTED_VALUE"""),"EIE")</f>
        <v>EIE</v>
      </c>
      <c r="B210" s="144" t="str">
        <f>IFERROR(__xludf.DUMMYFUNCTION("""COMPUTED_VALUE"""),"S4")</f>
        <v>S4</v>
      </c>
      <c r="C210" s="144" t="str">
        <f>IFERROR(__xludf.DUMMYFUNCTION("""COMPUTED_VALUE"""),"22HS007")</f>
        <v>22HS007</v>
      </c>
      <c r="D210" s="144" t="str">
        <f>IFERROR(__xludf.DUMMYFUNCTION("""COMPUTED_VALUE"""),"ENVIRONMENTAL SCIENCE")</f>
        <v>ENVIRONMENTAL SCIENCE</v>
      </c>
      <c r="E210" s="144" t="str">
        <f>IFERROR(__xludf.DUMMYFUNCTION("""COMPUTED_VALUE"""),"LAB")</f>
        <v>LAB</v>
      </c>
      <c r="F210" s="144" t="str">
        <f>IFERROR(__xludf.DUMMYFUNCTION("""COMPUTED_VALUE"""),"CH1557")</f>
        <v>CH1557</v>
      </c>
      <c r="G210" s="144" t="str">
        <f>IFERROR(__xludf.DUMMYFUNCTION("""COMPUTED_VALUE"""),"Dr.VIJAYANAND P S")</f>
        <v>Dr.VIJAYANAND P S</v>
      </c>
      <c r="H210" s="144" t="str">
        <f>IFERROR(__xludf.DUMMYFUNCTION("""COMPUTED_VALUE"""),"vijayanandps@bitsathy.ac.in")</f>
        <v>vijayanandps@bitsathy.ac.in</v>
      </c>
    </row>
    <row r="211">
      <c r="A211" s="144" t="str">
        <f>IFERROR(__xludf.DUMMYFUNCTION("""COMPUTED_VALUE"""),"EIE")</f>
        <v>EIE</v>
      </c>
      <c r="B211" s="144" t="str">
        <f>IFERROR(__xludf.DUMMYFUNCTION("""COMPUTED_VALUE"""),"S4")</f>
        <v>S4</v>
      </c>
      <c r="C211" s="144" t="str">
        <f>IFERROR(__xludf.DUMMYFUNCTION("""COMPUTED_VALUE"""),"22HS008")</f>
        <v>22HS008</v>
      </c>
      <c r="D211" s="144" t="str">
        <f>IFERROR(__xludf.DUMMYFUNCTION("""COMPUTED_VALUE"""),"ADVANCED ENGLISH AND TECHNICAL EXPRESSION ")</f>
        <v>ADVANCED ENGLISH AND TECHNICAL EXPRESSION </v>
      </c>
      <c r="E211" s="144" t="str">
        <f>IFERROR(__xludf.DUMMYFUNCTION("""COMPUTED_VALUE"""),"LAB")</f>
        <v>LAB</v>
      </c>
      <c r="F211" s="144" t="str">
        <f>IFERROR(__xludf.DUMMYFUNCTION("""COMPUTED_VALUE"""),"HU11151")</f>
        <v>HU11151</v>
      </c>
      <c r="G211" s="144" t="str">
        <f>IFERROR(__xludf.DUMMYFUNCTION("""COMPUTED_VALUE"""),"Dr.NITHYA S")</f>
        <v>Dr.NITHYA S</v>
      </c>
      <c r="H211" s="144" t="str">
        <f>IFERROR(__xludf.DUMMYFUNCTION("""COMPUTED_VALUE"""),"nithyas@bitsathy.ac.in")</f>
        <v>nithyas@bitsathy.ac.in</v>
      </c>
    </row>
    <row r="212">
      <c r="A212" s="144" t="str">
        <f>IFERROR(__xludf.DUMMYFUNCTION("""COMPUTED_VALUE"""),"IT")</f>
        <v>IT</v>
      </c>
      <c r="B212" s="144" t="str">
        <f>IFERROR(__xludf.DUMMYFUNCTION("""COMPUTED_VALUE"""),"S4")</f>
        <v>S4</v>
      </c>
      <c r="C212" s="144" t="str">
        <f>IFERROR(__xludf.DUMMYFUNCTION("""COMPUTED_VALUE"""),"22IT401")</f>
        <v>22IT401</v>
      </c>
      <c r="D212" s="144" t="str">
        <f>IFERROR(__xludf.DUMMYFUNCTION("""COMPUTED_VALUE"""),"DISCRETE MATHEMATICS")</f>
        <v>DISCRETE MATHEMATICS</v>
      </c>
      <c r="E212" s="144" t="str">
        <f>IFERROR(__xludf.DUMMYFUNCTION("""COMPUTED_VALUE"""),"THEORY")</f>
        <v>THEORY</v>
      </c>
      <c r="F212" s="144" t="str">
        <f>IFERROR(__xludf.DUMMYFUNCTION("""COMPUTED_VALUE"""),"MA1303")</f>
        <v>MA1303</v>
      </c>
      <c r="G212" s="144" t="str">
        <f>IFERROR(__xludf.DUMMYFUNCTION("""COMPUTED_VALUE"""),"Dr.INDIRANI C")</f>
        <v>Dr.INDIRANI C</v>
      </c>
      <c r="H212" s="144" t="str">
        <f>IFERROR(__xludf.DUMMYFUNCTION("""COMPUTED_VALUE"""),"indiranic@bitsathy.ac.in")</f>
        <v>indiranic@bitsathy.ac.in</v>
      </c>
    </row>
    <row r="213">
      <c r="A213" s="144" t="str">
        <f>IFERROR(__xludf.DUMMYFUNCTION("""COMPUTED_VALUE"""),"IT")</f>
        <v>IT</v>
      </c>
      <c r="B213" s="144" t="str">
        <f>IFERROR(__xludf.DUMMYFUNCTION("""COMPUTED_VALUE"""),"S4")</f>
        <v>S4</v>
      </c>
      <c r="C213" s="144" t="str">
        <f>IFERROR(__xludf.DUMMYFUNCTION("""COMPUTED_VALUE"""),"22IT401")</f>
        <v>22IT401</v>
      </c>
      <c r="D213" s="144" t="str">
        <f>IFERROR(__xludf.DUMMYFUNCTION("""COMPUTED_VALUE"""),"DISCRETE MATHEMATICS")</f>
        <v>DISCRETE MATHEMATICS</v>
      </c>
      <c r="E213" s="144" t="str">
        <f>IFERROR(__xludf.DUMMYFUNCTION("""COMPUTED_VALUE"""),"THEORY")</f>
        <v>THEORY</v>
      </c>
      <c r="F213" s="144" t="str">
        <f>IFERROR(__xludf.DUMMYFUNCTION("""COMPUTED_VALUE"""),"MA10452")</f>
        <v>MA10452</v>
      </c>
      <c r="G213" s="144" t="str">
        <f>IFERROR(__xludf.DUMMYFUNCTION("""COMPUTED_VALUE"""),"Mr.KALAISELVAN S")</f>
        <v>Mr.KALAISELVAN S</v>
      </c>
      <c r="H213" s="144" t="str">
        <f>IFERROR(__xludf.DUMMYFUNCTION("""COMPUTED_VALUE"""),"kalaiselvan@bitsathy.ac.in")</f>
        <v>kalaiselvan@bitsathy.ac.in</v>
      </c>
    </row>
    <row r="214">
      <c r="A214" s="144" t="str">
        <f>IFERROR(__xludf.DUMMYFUNCTION("""COMPUTED_VALUE"""),"IT")</f>
        <v>IT</v>
      </c>
      <c r="B214" s="144" t="str">
        <f>IFERROR(__xludf.DUMMYFUNCTION("""COMPUTED_VALUE"""),"S4")</f>
        <v>S4</v>
      </c>
      <c r="C214" s="144" t="str">
        <f>IFERROR(__xludf.DUMMYFUNCTION("""COMPUTED_VALUE"""),"22IT401")</f>
        <v>22IT401</v>
      </c>
      <c r="D214" s="144" t="str">
        <f>IFERROR(__xludf.DUMMYFUNCTION("""COMPUTED_VALUE"""),"DISCRETE MATHEMATICS")</f>
        <v>DISCRETE MATHEMATICS</v>
      </c>
      <c r="E214" s="144" t="str">
        <f>IFERROR(__xludf.DUMMYFUNCTION("""COMPUTED_VALUE"""),"THEORY")</f>
        <v>THEORY</v>
      </c>
      <c r="F214" s="144" t="str">
        <f>IFERROR(__xludf.DUMMYFUNCTION("""COMPUTED_VALUE"""),"MA10518")</f>
        <v>MA10518</v>
      </c>
      <c r="G214" s="144" t="str">
        <f>IFERROR(__xludf.DUMMYFUNCTION("""COMPUTED_VALUE"""),"Dr.PRABAKARAN P")</f>
        <v>Dr.PRABAKARAN P</v>
      </c>
      <c r="H214" s="144" t="str">
        <f>IFERROR(__xludf.DUMMYFUNCTION("""COMPUTED_VALUE"""),"prabakaran@bitsathy.ac.in")</f>
        <v>prabakaran@bitsathy.ac.in</v>
      </c>
    </row>
    <row r="215">
      <c r="A215" s="144" t="str">
        <f>IFERROR(__xludf.DUMMYFUNCTION("""COMPUTED_VALUE"""),"IT")</f>
        <v>IT</v>
      </c>
      <c r="B215" s="144" t="str">
        <f>IFERROR(__xludf.DUMMYFUNCTION("""COMPUTED_VALUE"""),"S4")</f>
        <v>S4</v>
      </c>
      <c r="C215" s="144" t="str">
        <f>IFERROR(__xludf.DUMMYFUNCTION("""COMPUTED_VALUE"""),"22IT401")</f>
        <v>22IT401</v>
      </c>
      <c r="D215" s="144" t="str">
        <f>IFERROR(__xludf.DUMMYFUNCTION("""COMPUTED_VALUE"""),"DISCRETE MATHEMATICS")</f>
        <v>DISCRETE MATHEMATICS</v>
      </c>
      <c r="E215" s="144" t="str">
        <f>IFERROR(__xludf.DUMMYFUNCTION("""COMPUTED_VALUE"""),"THEORY")</f>
        <v>THEORY</v>
      </c>
      <c r="F215" s="144" t="str">
        <f>IFERROR(__xludf.DUMMYFUNCTION("""COMPUTED_VALUE"""),"MA11070")</f>
        <v>MA11070</v>
      </c>
      <c r="G215" s="144" t="str">
        <f>IFERROR(__xludf.DUMMYFUNCTION("""COMPUTED_VALUE"""),"Dr.MALATHI M")</f>
        <v>Dr.MALATHI M</v>
      </c>
      <c r="H215" s="144" t="str">
        <f>IFERROR(__xludf.DUMMYFUNCTION("""COMPUTED_VALUE"""),"malathim@bitsathy.ac.in")</f>
        <v>malathim@bitsathy.ac.in</v>
      </c>
    </row>
    <row r="216">
      <c r="A216" s="144" t="str">
        <f>IFERROR(__xludf.DUMMYFUNCTION("""COMPUTED_VALUE"""),"IT")</f>
        <v>IT</v>
      </c>
      <c r="B216" s="144" t="str">
        <f>IFERROR(__xludf.DUMMYFUNCTION("""COMPUTED_VALUE"""),"S4")</f>
        <v>S4</v>
      </c>
      <c r="C216" s="144" t="str">
        <f>IFERROR(__xludf.DUMMYFUNCTION("""COMPUTED_VALUE"""),"22IT402")</f>
        <v>22IT402</v>
      </c>
      <c r="D216" s="144" t="str">
        <f>IFERROR(__xludf.DUMMYFUNCTION("""COMPUTED_VALUE"""),"DATA STRUCTURES II")</f>
        <v>DATA STRUCTURES II</v>
      </c>
      <c r="E216" s="144" t="str">
        <f>IFERROR(__xludf.DUMMYFUNCTION("""COMPUTED_VALUE"""),"THEORY WITH LAB")</f>
        <v>THEORY WITH LAB</v>
      </c>
      <c r="F216" s="144" t="str">
        <f>IFERROR(__xludf.DUMMYFUNCTION("""COMPUTED_VALUE"""),"CD11179")</f>
        <v>CD11179</v>
      </c>
      <c r="G216" s="144" t="str">
        <f>IFERROR(__xludf.DUMMYFUNCTION("""COMPUTED_VALUE"""),"Mrs.SUBHASHREE P")</f>
        <v>Mrs.SUBHASHREE P</v>
      </c>
      <c r="H216" s="144" t="str">
        <f>IFERROR(__xludf.DUMMYFUNCTION("""COMPUTED_VALUE"""),"subhashreep@bitsathy.ac.in")</f>
        <v>subhashreep@bitsathy.ac.in</v>
      </c>
    </row>
    <row r="217">
      <c r="A217" s="144" t="str">
        <f>IFERROR(__xludf.DUMMYFUNCTION("""COMPUTED_VALUE"""),"IT")</f>
        <v>IT</v>
      </c>
      <c r="B217" s="144" t="str">
        <f>IFERROR(__xludf.DUMMYFUNCTION("""COMPUTED_VALUE"""),"S4")</f>
        <v>S4</v>
      </c>
      <c r="C217" s="144" t="str">
        <f>IFERROR(__xludf.DUMMYFUNCTION("""COMPUTED_VALUE"""),"22IT402")</f>
        <v>22IT402</v>
      </c>
      <c r="D217" s="144" t="str">
        <f>IFERROR(__xludf.DUMMYFUNCTION("""COMPUTED_VALUE"""),"DATA STRUCTURES II")</f>
        <v>DATA STRUCTURES II</v>
      </c>
      <c r="E217" s="144" t="str">
        <f>IFERROR(__xludf.DUMMYFUNCTION("""COMPUTED_VALUE"""),"THEORY WITH LAB")</f>
        <v>THEORY WITH LAB</v>
      </c>
      <c r="F217" s="144" t="str">
        <f>IFERROR(__xludf.DUMMYFUNCTION("""COMPUTED_VALUE"""),"IT11040")</f>
        <v>IT11040</v>
      </c>
      <c r="G217" s="144" t="str">
        <f>IFERROR(__xludf.DUMMYFUNCTION("""COMPUTED_VALUE"""),"Dr.PRIYA J")</f>
        <v>Dr.PRIYA J</v>
      </c>
      <c r="H217" s="144" t="str">
        <f>IFERROR(__xludf.DUMMYFUNCTION("""COMPUTED_VALUE"""),"priyajn@bitsathy.ac.in")</f>
        <v>priyajn@bitsathy.ac.in</v>
      </c>
    </row>
    <row r="218">
      <c r="A218" s="144" t="str">
        <f>IFERROR(__xludf.DUMMYFUNCTION("""COMPUTED_VALUE"""),"IT")</f>
        <v>IT</v>
      </c>
      <c r="B218" s="144" t="str">
        <f>IFERROR(__xludf.DUMMYFUNCTION("""COMPUTED_VALUE"""),"S4")</f>
        <v>S4</v>
      </c>
      <c r="C218" s="144" t="str">
        <f>IFERROR(__xludf.DUMMYFUNCTION("""COMPUTED_VALUE"""),"22IT402")</f>
        <v>22IT402</v>
      </c>
      <c r="D218" s="144" t="str">
        <f>IFERROR(__xludf.DUMMYFUNCTION("""COMPUTED_VALUE"""),"DATA STRUCTURES II")</f>
        <v>DATA STRUCTURES II</v>
      </c>
      <c r="E218" s="144" t="str">
        <f>IFERROR(__xludf.DUMMYFUNCTION("""COMPUTED_VALUE"""),"THEORY WITH LAB")</f>
        <v>THEORY WITH LAB</v>
      </c>
      <c r="F218" s="144" t="str">
        <f>IFERROR(__xludf.DUMMYFUNCTION("""COMPUTED_VALUE"""),"IT10262")</f>
        <v>IT10262</v>
      </c>
      <c r="G218" s="144" t="str">
        <f>IFERROR(__xludf.DUMMYFUNCTION("""COMPUTED_VALUE"""),"Ms.SABARMATHI K R")</f>
        <v>Ms.SABARMATHI K R</v>
      </c>
      <c r="H218" s="144" t="str">
        <f>IFERROR(__xludf.DUMMYFUNCTION("""COMPUTED_VALUE"""),"sabarmathi@bitsathy.ac.in")</f>
        <v>sabarmathi@bitsathy.ac.in</v>
      </c>
    </row>
    <row r="219">
      <c r="A219" s="144" t="str">
        <f>IFERROR(__xludf.DUMMYFUNCTION("""COMPUTED_VALUE"""),"IT")</f>
        <v>IT</v>
      </c>
      <c r="B219" s="144" t="str">
        <f>IFERROR(__xludf.DUMMYFUNCTION("""COMPUTED_VALUE"""),"S4")</f>
        <v>S4</v>
      </c>
      <c r="C219" s="144" t="str">
        <f>IFERROR(__xludf.DUMMYFUNCTION("""COMPUTED_VALUE"""),"22IT402")</f>
        <v>22IT402</v>
      </c>
      <c r="D219" s="144" t="str">
        <f>IFERROR(__xludf.DUMMYFUNCTION("""COMPUTED_VALUE"""),"DATA STRUCTURES II")</f>
        <v>DATA STRUCTURES II</v>
      </c>
      <c r="E219" s="144" t="str">
        <f>IFERROR(__xludf.DUMMYFUNCTION("""COMPUTED_VALUE"""),"THEORY WITH LAB")</f>
        <v>THEORY WITH LAB</v>
      </c>
      <c r="F219" s="144" t="str">
        <f>IFERROR(__xludf.DUMMYFUNCTION("""COMPUTED_VALUE"""),"CT11030")</f>
        <v>CT11030</v>
      </c>
      <c r="G219" s="144" t="str">
        <f>IFERROR(__xludf.DUMMYFUNCTION("""COMPUTED_VALUE"""),"Mrs.SAVEETHA R")</f>
        <v>Mrs.SAVEETHA R</v>
      </c>
      <c r="H219" s="144" t="str">
        <f>IFERROR(__xludf.DUMMYFUNCTION("""COMPUTED_VALUE"""),"saveethar@bitsathy.ac.in")</f>
        <v>saveethar@bitsathy.ac.in</v>
      </c>
    </row>
    <row r="220">
      <c r="A220" s="144" t="str">
        <f>IFERROR(__xludf.DUMMYFUNCTION("""COMPUTED_VALUE"""),"IT")</f>
        <v>IT</v>
      </c>
      <c r="B220" s="144" t="str">
        <f>IFERROR(__xludf.DUMMYFUNCTION("""COMPUTED_VALUE"""),"S4")</f>
        <v>S4</v>
      </c>
      <c r="C220" s="144" t="str">
        <f>IFERROR(__xludf.DUMMYFUNCTION("""COMPUTED_VALUE"""),"22IT403")</f>
        <v>22IT403</v>
      </c>
      <c r="D220" s="144" t="str">
        <f>IFERROR(__xludf.DUMMYFUNCTION("""COMPUTED_VALUE"""),"OPERATING SYSTEMS")</f>
        <v>OPERATING SYSTEMS</v>
      </c>
      <c r="E220" s="144" t="str">
        <f>IFERROR(__xludf.DUMMYFUNCTION("""COMPUTED_VALUE"""),"THEORY")</f>
        <v>THEORY</v>
      </c>
      <c r="F220" s="144" t="str">
        <f>IFERROR(__xludf.DUMMYFUNCTION("""COMPUTED_VALUE"""),"IT10395")</f>
        <v>IT10395</v>
      </c>
      <c r="G220" s="144" t="str">
        <f>IFERROR(__xludf.DUMMYFUNCTION("""COMPUTED_VALUE"""),"Dr.SRI VINITHA V")</f>
        <v>Dr.SRI VINITHA V</v>
      </c>
      <c r="H220" s="144" t="str">
        <f>IFERROR(__xludf.DUMMYFUNCTION("""COMPUTED_VALUE"""),"srivinitha@bitsathy.ac.in")</f>
        <v>srivinitha@bitsathy.ac.in</v>
      </c>
    </row>
    <row r="221">
      <c r="A221" s="144" t="str">
        <f>IFERROR(__xludf.DUMMYFUNCTION("""COMPUTED_VALUE"""),"IT")</f>
        <v>IT</v>
      </c>
      <c r="B221" s="144" t="str">
        <f>IFERROR(__xludf.DUMMYFUNCTION("""COMPUTED_VALUE"""),"S4")</f>
        <v>S4</v>
      </c>
      <c r="C221" s="144" t="str">
        <f>IFERROR(__xludf.DUMMYFUNCTION("""COMPUTED_VALUE"""),"22IT403")</f>
        <v>22IT403</v>
      </c>
      <c r="D221" s="144" t="str">
        <f>IFERROR(__xludf.DUMMYFUNCTION("""COMPUTED_VALUE"""),"OPERATING SYSTEMS")</f>
        <v>OPERATING SYSTEMS</v>
      </c>
      <c r="E221" s="144" t="str">
        <f>IFERROR(__xludf.DUMMYFUNCTION("""COMPUTED_VALUE"""),"THEORY")</f>
        <v>THEORY</v>
      </c>
      <c r="F221" s="144" t="str">
        <f>IFERROR(__xludf.DUMMYFUNCTION("""COMPUTED_VALUE"""),"CS10843")</f>
        <v>CS10843</v>
      </c>
      <c r="G221" s="144" t="str">
        <f>IFERROR(__xludf.DUMMYFUNCTION("""COMPUTED_VALUE"""),"Mrs.NITHYA R")</f>
        <v>Mrs.NITHYA R</v>
      </c>
      <c r="H221" s="144" t="str">
        <f>IFERROR(__xludf.DUMMYFUNCTION("""COMPUTED_VALUE"""),"nithyars@bitsathy.ac.in")</f>
        <v>nithyars@bitsathy.ac.in</v>
      </c>
    </row>
    <row r="222">
      <c r="A222" s="144" t="str">
        <f>IFERROR(__xludf.DUMMYFUNCTION("""COMPUTED_VALUE"""),"IT")</f>
        <v>IT</v>
      </c>
      <c r="B222" s="144" t="str">
        <f>IFERROR(__xludf.DUMMYFUNCTION("""COMPUTED_VALUE"""),"S4")</f>
        <v>S4</v>
      </c>
      <c r="C222" s="144" t="str">
        <f>IFERROR(__xludf.DUMMYFUNCTION("""COMPUTED_VALUE"""),"22IT403")</f>
        <v>22IT403</v>
      </c>
      <c r="D222" s="144" t="str">
        <f>IFERROR(__xludf.DUMMYFUNCTION("""COMPUTED_VALUE"""),"OPERATING SYSTEMS")</f>
        <v>OPERATING SYSTEMS</v>
      </c>
      <c r="E222" s="144" t="str">
        <f>IFERROR(__xludf.DUMMYFUNCTION("""COMPUTED_VALUE"""),"THEORY")</f>
        <v>THEORY</v>
      </c>
      <c r="F222" s="144" t="str">
        <f>IFERROR(__xludf.DUMMYFUNCTION("""COMPUTED_VALUE"""),"IT11144")</f>
        <v>IT11144</v>
      </c>
      <c r="G222" s="144" t="str">
        <f>IFERROR(__xludf.DUMMYFUNCTION("""COMPUTED_VALUE"""),"Mrs.SHANGARA NARAYANEE N P")</f>
        <v>Mrs.SHANGARA NARAYANEE N P</v>
      </c>
      <c r="H222" s="144" t="str">
        <f>IFERROR(__xludf.DUMMYFUNCTION("""COMPUTED_VALUE"""),"shangaranarayanee@bitsathy.ac.in")</f>
        <v>shangaranarayanee@bitsathy.ac.in</v>
      </c>
    </row>
    <row r="223">
      <c r="A223" s="144" t="str">
        <f>IFERROR(__xludf.DUMMYFUNCTION("""COMPUTED_VALUE"""),"IT")</f>
        <v>IT</v>
      </c>
      <c r="B223" s="144" t="str">
        <f>IFERROR(__xludf.DUMMYFUNCTION("""COMPUTED_VALUE"""),"S4")</f>
        <v>S4</v>
      </c>
      <c r="C223" s="144" t="str">
        <f>IFERROR(__xludf.DUMMYFUNCTION("""COMPUTED_VALUE"""),"22IT403")</f>
        <v>22IT403</v>
      </c>
      <c r="D223" s="144" t="str">
        <f>IFERROR(__xludf.DUMMYFUNCTION("""COMPUTED_VALUE"""),"OPERATING SYSTEMS")</f>
        <v>OPERATING SYSTEMS</v>
      </c>
      <c r="E223" s="144" t="str">
        <f>IFERROR(__xludf.DUMMYFUNCTION("""COMPUTED_VALUE"""),"THEORY")</f>
        <v>THEORY</v>
      </c>
      <c r="F223" s="144" t="str">
        <f>IFERROR(__xludf.DUMMYFUNCTION("""COMPUTED_VALUE"""),"IT11155")</f>
        <v>IT11155</v>
      </c>
      <c r="G223" s="144" t="str">
        <f>IFERROR(__xludf.DUMMYFUNCTION("""COMPUTED_VALUE"""),"Mrs.DEEPA SUMATHI M")</f>
        <v>Mrs.DEEPA SUMATHI M</v>
      </c>
      <c r="H223" s="144" t="str">
        <f>IFERROR(__xludf.DUMMYFUNCTION("""COMPUTED_VALUE"""),"deepasumathim@bitsathy.ac.in")</f>
        <v>deepasumathim@bitsathy.ac.in</v>
      </c>
    </row>
    <row r="224">
      <c r="A224" s="144" t="str">
        <f>IFERROR(__xludf.DUMMYFUNCTION("""COMPUTED_VALUE"""),"IT")</f>
        <v>IT</v>
      </c>
      <c r="B224" s="144" t="str">
        <f>IFERROR(__xludf.DUMMYFUNCTION("""COMPUTED_VALUE"""),"S4")</f>
        <v>S4</v>
      </c>
      <c r="C224" s="144" t="str">
        <f>IFERROR(__xludf.DUMMYFUNCTION("""COMPUTED_VALUE"""),"22IT404")</f>
        <v>22IT404</v>
      </c>
      <c r="D224" s="144" t="str">
        <f>IFERROR(__xludf.DUMMYFUNCTION("""COMPUTED_VALUE"""),"WEB TECHNOLOGY AND FRAMEWORKS")</f>
        <v>WEB TECHNOLOGY AND FRAMEWORKS</v>
      </c>
      <c r="E224" s="144" t="str">
        <f>IFERROR(__xludf.DUMMYFUNCTION("""COMPUTED_VALUE"""),"THEORY WITH LAB")</f>
        <v>THEORY WITH LAB</v>
      </c>
      <c r="F224" s="144" t="str">
        <f>IFERROR(__xludf.DUMMYFUNCTION("""COMPUTED_VALUE"""),"IT10824")</f>
        <v>IT10824</v>
      </c>
      <c r="G224" s="144" t="str">
        <f>IFERROR(__xludf.DUMMYFUNCTION("""COMPUTED_VALUE"""),"Dr.CHANDRAPRABHA K")</f>
        <v>Dr.CHANDRAPRABHA K</v>
      </c>
      <c r="H224" s="144" t="str">
        <f>IFERROR(__xludf.DUMMYFUNCTION("""COMPUTED_VALUE"""),"chandraprabhak@bitsathy.ac.in")</f>
        <v>chandraprabhak@bitsathy.ac.in</v>
      </c>
    </row>
    <row r="225">
      <c r="A225" s="144" t="str">
        <f>IFERROR(__xludf.DUMMYFUNCTION("""COMPUTED_VALUE"""),"IT")</f>
        <v>IT</v>
      </c>
      <c r="B225" s="144" t="str">
        <f>IFERROR(__xludf.DUMMYFUNCTION("""COMPUTED_VALUE"""),"S4")</f>
        <v>S4</v>
      </c>
      <c r="C225" s="144" t="str">
        <f>IFERROR(__xludf.DUMMYFUNCTION("""COMPUTED_VALUE"""),"22IT404")</f>
        <v>22IT404</v>
      </c>
      <c r="D225" s="144" t="str">
        <f>IFERROR(__xludf.DUMMYFUNCTION("""COMPUTED_VALUE"""),"WEB TECHNOLOGY AND FRAMEWORKS")</f>
        <v>WEB TECHNOLOGY AND FRAMEWORKS</v>
      </c>
      <c r="E225" s="144" t="str">
        <f>IFERROR(__xludf.DUMMYFUNCTION("""COMPUTED_VALUE"""),"THEORY WITH LAB")</f>
        <v>THEORY WITH LAB</v>
      </c>
      <c r="F225" s="144" t="str">
        <f>IFERROR(__xludf.DUMMYFUNCTION("""COMPUTED_VALUE"""),"IT10736")</f>
        <v>IT10736</v>
      </c>
      <c r="G225" s="144" t="str">
        <f>IFERROR(__xludf.DUMMYFUNCTION("""COMPUTED_VALUE"""),"Mrs.JANANI T")</f>
        <v>Mrs.JANANI T</v>
      </c>
      <c r="H225" s="144" t="str">
        <f>IFERROR(__xludf.DUMMYFUNCTION("""COMPUTED_VALUE"""),"jananit@bitsathy.ac.in")</f>
        <v>jananit@bitsathy.ac.in</v>
      </c>
    </row>
    <row r="226">
      <c r="A226" s="144" t="str">
        <f>IFERROR(__xludf.DUMMYFUNCTION("""COMPUTED_VALUE"""),"IT")</f>
        <v>IT</v>
      </c>
      <c r="B226" s="144" t="str">
        <f>IFERROR(__xludf.DUMMYFUNCTION("""COMPUTED_VALUE"""),"S4")</f>
        <v>S4</v>
      </c>
      <c r="C226" s="144" t="str">
        <f>IFERROR(__xludf.DUMMYFUNCTION("""COMPUTED_VALUE"""),"22IT404")</f>
        <v>22IT404</v>
      </c>
      <c r="D226" s="144" t="str">
        <f>IFERROR(__xludf.DUMMYFUNCTION("""COMPUTED_VALUE"""),"WEB TECHNOLOGY AND FRAMEWORKS")</f>
        <v>WEB TECHNOLOGY AND FRAMEWORKS</v>
      </c>
      <c r="E226" s="144" t="str">
        <f>IFERROR(__xludf.DUMMYFUNCTION("""COMPUTED_VALUE"""),"THEORY WITH LAB")</f>
        <v>THEORY WITH LAB</v>
      </c>
      <c r="F226" s="144" t="str">
        <f>IFERROR(__xludf.DUMMYFUNCTION("""COMPUTED_VALUE"""),"IT10846")</f>
        <v>IT10846</v>
      </c>
      <c r="G226" s="144" t="str">
        <f>IFERROR(__xludf.DUMMYFUNCTION("""COMPUTED_VALUE"""),"Mr.SELVAKUMAR M")</f>
        <v>Mr.SELVAKUMAR M</v>
      </c>
      <c r="H226" s="144" t="str">
        <f>IFERROR(__xludf.DUMMYFUNCTION("""COMPUTED_VALUE"""),"selvakumarm@bitsathy.ac.in")</f>
        <v>selvakumarm@bitsathy.ac.in</v>
      </c>
    </row>
    <row r="227">
      <c r="A227" s="144" t="str">
        <f>IFERROR(__xludf.DUMMYFUNCTION("""COMPUTED_VALUE"""),"IT")</f>
        <v>IT</v>
      </c>
      <c r="B227" s="144" t="str">
        <f>IFERROR(__xludf.DUMMYFUNCTION("""COMPUTED_VALUE"""),"S4")</f>
        <v>S4</v>
      </c>
      <c r="C227" s="144" t="str">
        <f>IFERROR(__xludf.DUMMYFUNCTION("""COMPUTED_VALUE"""),"22IT404")</f>
        <v>22IT404</v>
      </c>
      <c r="D227" s="144" t="str">
        <f>IFERROR(__xludf.DUMMYFUNCTION("""COMPUTED_VALUE"""),"WEB TECHNOLOGY AND FRAMEWORKS")</f>
        <v>WEB TECHNOLOGY AND FRAMEWORKS</v>
      </c>
      <c r="E227" s="144" t="str">
        <f>IFERROR(__xludf.DUMMYFUNCTION("""COMPUTED_VALUE"""),"THEORY WITH LAB")</f>
        <v>THEORY WITH LAB</v>
      </c>
      <c r="F227" s="144" t="str">
        <f>IFERROR(__xludf.DUMMYFUNCTION("""COMPUTED_VALUE"""),"IT11160")</f>
        <v>IT11160</v>
      </c>
      <c r="G227" s="144" t="str">
        <f>IFERROR(__xludf.DUMMYFUNCTION("""COMPUTED_VALUE"""),"Mrs.ELAVARASI T")</f>
        <v>Mrs.ELAVARASI T</v>
      </c>
      <c r="H227" s="144" t="str">
        <f>IFERROR(__xludf.DUMMYFUNCTION("""COMPUTED_VALUE"""),"elavarasit@bitsathy.ac.in")</f>
        <v>elavarasit@bitsathy.ac.in</v>
      </c>
    </row>
    <row r="228">
      <c r="A228" s="144" t="str">
        <f>IFERROR(__xludf.DUMMYFUNCTION("""COMPUTED_VALUE"""),"IT")</f>
        <v>IT</v>
      </c>
      <c r="B228" s="144" t="str">
        <f>IFERROR(__xludf.DUMMYFUNCTION("""COMPUTED_VALUE"""),"S4")</f>
        <v>S4</v>
      </c>
      <c r="C228" s="144" t="str">
        <f>IFERROR(__xludf.DUMMYFUNCTION("""COMPUTED_VALUE"""),"22IT405")</f>
        <v>22IT405</v>
      </c>
      <c r="D228" s="144" t="str">
        <f>IFERROR(__xludf.DUMMYFUNCTION("""COMPUTED_VALUE"""),"DATABASE MANAGEMENT SYSTEM")</f>
        <v>DATABASE MANAGEMENT SYSTEM</v>
      </c>
      <c r="E228" s="144" t="str">
        <f>IFERROR(__xludf.DUMMYFUNCTION("""COMPUTED_VALUE"""),"THEORY WITH LAB")</f>
        <v>THEORY WITH LAB</v>
      </c>
      <c r="F228" s="144" t="str">
        <f>IFERROR(__xludf.DUMMYFUNCTION("""COMPUTED_VALUE"""),"IT11132")</f>
        <v>IT11132</v>
      </c>
      <c r="G228" s="144" t="str">
        <f>IFERROR(__xludf.DUMMYFUNCTION("""COMPUTED_VALUE"""),"Mrs.KAVITHA V")</f>
        <v>Mrs.KAVITHA V</v>
      </c>
      <c r="H228" s="144" t="str">
        <f>IFERROR(__xludf.DUMMYFUNCTION("""COMPUTED_VALUE"""),"kavitha@bitsathy.ac.in")</f>
        <v>kavitha@bitsathy.ac.in</v>
      </c>
    </row>
    <row r="229">
      <c r="A229" s="144" t="str">
        <f>IFERROR(__xludf.DUMMYFUNCTION("""COMPUTED_VALUE"""),"IT")</f>
        <v>IT</v>
      </c>
      <c r="B229" s="144" t="str">
        <f>IFERROR(__xludf.DUMMYFUNCTION("""COMPUTED_VALUE"""),"S4")</f>
        <v>S4</v>
      </c>
      <c r="C229" s="144" t="str">
        <f>IFERROR(__xludf.DUMMYFUNCTION("""COMPUTED_VALUE"""),"22IT405")</f>
        <v>22IT405</v>
      </c>
      <c r="D229" s="144" t="str">
        <f>IFERROR(__xludf.DUMMYFUNCTION("""COMPUTED_VALUE"""),"DATABASE MANAGEMENT SYSTEM")</f>
        <v>DATABASE MANAGEMENT SYSTEM</v>
      </c>
      <c r="E229" s="144" t="str">
        <f>IFERROR(__xludf.DUMMYFUNCTION("""COMPUTED_VALUE"""),"THEORY WITH LAB")</f>
        <v>THEORY WITH LAB</v>
      </c>
      <c r="F229" s="144" t="str">
        <f>IFERROR(__xludf.DUMMYFUNCTION("""COMPUTED_VALUE"""),"IT11146")</f>
        <v>IT11146</v>
      </c>
      <c r="G229" s="144" t="str">
        <f>IFERROR(__xludf.DUMMYFUNCTION("""COMPUTED_VALUE"""),"Ms.INDHU BHASHINI V")</f>
        <v>Ms.INDHU BHASHINI V</v>
      </c>
      <c r="H229" s="144" t="str">
        <f>IFERROR(__xludf.DUMMYFUNCTION("""COMPUTED_VALUE"""),"indhubhashiniv@bitsathy.ac.in")</f>
        <v>indhubhashiniv@bitsathy.ac.in</v>
      </c>
    </row>
    <row r="230">
      <c r="A230" s="144" t="str">
        <f>IFERROR(__xludf.DUMMYFUNCTION("""COMPUTED_VALUE"""),"IT")</f>
        <v>IT</v>
      </c>
      <c r="B230" s="144" t="str">
        <f>IFERROR(__xludf.DUMMYFUNCTION("""COMPUTED_VALUE"""),"S4")</f>
        <v>S4</v>
      </c>
      <c r="C230" s="144" t="str">
        <f>IFERROR(__xludf.DUMMYFUNCTION("""COMPUTED_VALUE"""),"22IT405")</f>
        <v>22IT405</v>
      </c>
      <c r="D230" s="144" t="str">
        <f>IFERROR(__xludf.DUMMYFUNCTION("""COMPUTED_VALUE"""),"DATABASE MANAGEMENT SYSTEM")</f>
        <v>DATABASE MANAGEMENT SYSTEM</v>
      </c>
      <c r="E230" s="144" t="str">
        <f>IFERROR(__xludf.DUMMYFUNCTION("""COMPUTED_VALUE"""),"THEORY WITH LAB")</f>
        <v>THEORY WITH LAB</v>
      </c>
      <c r="F230" s="144" t="str">
        <f>IFERROR(__xludf.DUMMYFUNCTION("""COMPUTED_VALUE"""),"IT11124")</f>
        <v>IT11124</v>
      </c>
      <c r="G230" s="144" t="str">
        <f>IFERROR(__xludf.DUMMYFUNCTION("""COMPUTED_VALUE"""),"Ms.MUTHUMEENA S")</f>
        <v>Ms.MUTHUMEENA S</v>
      </c>
      <c r="H230" s="144" t="str">
        <f>IFERROR(__xludf.DUMMYFUNCTION("""COMPUTED_VALUE"""),"muthumeena@bitsathy.ac.in")</f>
        <v>muthumeena@bitsathy.ac.in</v>
      </c>
    </row>
    <row r="231">
      <c r="A231" s="144" t="str">
        <f>IFERROR(__xludf.DUMMYFUNCTION("""COMPUTED_VALUE"""),"IT")</f>
        <v>IT</v>
      </c>
      <c r="B231" s="144" t="str">
        <f>IFERROR(__xludf.DUMMYFUNCTION("""COMPUTED_VALUE"""),"S4")</f>
        <v>S4</v>
      </c>
      <c r="C231" s="144" t="str">
        <f>IFERROR(__xludf.DUMMYFUNCTION("""COMPUTED_VALUE"""),"22IT405")</f>
        <v>22IT405</v>
      </c>
      <c r="D231" s="144" t="str">
        <f>IFERROR(__xludf.DUMMYFUNCTION("""COMPUTED_VALUE"""),"DATABASE MANAGEMENT SYSTEM")</f>
        <v>DATABASE MANAGEMENT SYSTEM</v>
      </c>
      <c r="E231" s="144" t="str">
        <f>IFERROR(__xludf.DUMMYFUNCTION("""COMPUTED_VALUE"""),"THEORY WITH LAB")</f>
        <v>THEORY WITH LAB</v>
      </c>
      <c r="F231" s="144" t="str">
        <f>IFERROR(__xludf.DUMMYFUNCTION("""COMPUTED_VALUE"""),"IT11155")</f>
        <v>IT11155</v>
      </c>
      <c r="G231" s="144" t="str">
        <f>IFERROR(__xludf.DUMMYFUNCTION("""COMPUTED_VALUE"""),"Mrs.DEEPA SUMATHI M")</f>
        <v>Mrs.DEEPA SUMATHI M</v>
      </c>
      <c r="H231" s="144" t="str">
        <f>IFERROR(__xludf.DUMMYFUNCTION("""COMPUTED_VALUE"""),"deepasumathim@bitsathy.ac.in")</f>
        <v>deepasumathim@bitsathy.ac.in</v>
      </c>
    </row>
    <row r="232">
      <c r="A232" s="144" t="str">
        <f>IFERROR(__xludf.DUMMYFUNCTION("""COMPUTED_VALUE"""),"IT")</f>
        <v>IT</v>
      </c>
      <c r="B232" s="144" t="str">
        <f>IFERROR(__xludf.DUMMYFUNCTION("""COMPUTED_VALUE"""),"S4")</f>
        <v>S4</v>
      </c>
      <c r="C232" s="144" t="str">
        <f>IFERROR(__xludf.DUMMYFUNCTION("""COMPUTED_VALUE"""),"22IT007")</f>
        <v>22IT007</v>
      </c>
      <c r="D232" s="144" t="str">
        <f>IFERROR(__xludf.DUMMYFUNCTION("""COMPUTED_VALUE"""),"AGILE SOFTWARE DEVELOPMENT")</f>
        <v>AGILE SOFTWARE DEVELOPMENT</v>
      </c>
      <c r="E232" s="144" t="str">
        <f>IFERROR(__xludf.DUMMYFUNCTION("""COMPUTED_VALUE"""),"THEORY")</f>
        <v>THEORY</v>
      </c>
      <c r="F232" s="144" t="str">
        <f>IFERROR(__xludf.DUMMYFUNCTION("""COMPUTED_VALUE"""),"IT1846")</f>
        <v>IT1846</v>
      </c>
      <c r="G232" s="144" t="str">
        <f>IFERROR(__xludf.DUMMYFUNCTION("""COMPUTED_VALUE"""),"Dr.NAVEENA S")</f>
        <v>Dr.NAVEENA S</v>
      </c>
      <c r="H232" s="144" t="str">
        <f>IFERROR(__xludf.DUMMYFUNCTION("""COMPUTED_VALUE"""),"naveena@bitsathy.ac.in")</f>
        <v>naveena@bitsathy.ac.in</v>
      </c>
    </row>
    <row r="233">
      <c r="A233" s="144" t="str">
        <f>IFERROR(__xludf.DUMMYFUNCTION("""COMPUTED_VALUE"""),"IT")</f>
        <v>IT</v>
      </c>
      <c r="B233" s="144" t="str">
        <f>IFERROR(__xludf.DUMMYFUNCTION("""COMPUTED_VALUE"""),"S4")</f>
        <v>S4</v>
      </c>
      <c r="C233" s="144" t="str">
        <f>IFERROR(__xludf.DUMMYFUNCTION("""COMPUTED_VALUE"""),"22IT008")</f>
        <v>22IT008</v>
      </c>
      <c r="D233" s="144" t="str">
        <f>IFERROR(__xludf.DUMMYFUNCTION("""COMPUTED_VALUE"""),"UI AND UX DESIGN")</f>
        <v>UI AND UX DESIGN</v>
      </c>
      <c r="E233" s="144" t="str">
        <f>IFERROR(__xludf.DUMMYFUNCTION("""COMPUTED_VALUE"""),"THEORY")</f>
        <v>THEORY</v>
      </c>
      <c r="F233" s="144" t="str">
        <f>IFERROR(__xludf.DUMMYFUNCTION("""COMPUTED_VALUE"""),"IT1764")</f>
        <v>IT1764</v>
      </c>
      <c r="G233" s="144" t="str">
        <f>IFERROR(__xludf.DUMMYFUNCTION("""COMPUTED_VALUE"""),"Dr.SATHIS KUMAR K")</f>
        <v>Dr.SATHIS KUMAR K</v>
      </c>
      <c r="H233" s="144" t="str">
        <f>IFERROR(__xludf.DUMMYFUNCTION("""COMPUTED_VALUE"""),"sathiskumark@bitsathy.ac.in")</f>
        <v>sathiskumark@bitsathy.ac.in</v>
      </c>
    </row>
    <row r="234">
      <c r="A234" s="144" t="str">
        <f>IFERROR(__xludf.DUMMYFUNCTION("""COMPUTED_VALUE"""),"IT")</f>
        <v>IT</v>
      </c>
      <c r="B234" s="144" t="str">
        <f>IFERROR(__xludf.DUMMYFUNCTION("""COMPUTED_VALUE"""),"S4")</f>
        <v>S4</v>
      </c>
      <c r="C234" s="144" t="str">
        <f>IFERROR(__xludf.DUMMYFUNCTION("""COMPUTED_VALUE"""),"22IT008")</f>
        <v>22IT008</v>
      </c>
      <c r="D234" s="144" t="str">
        <f>IFERROR(__xludf.DUMMYFUNCTION("""COMPUTED_VALUE"""),"UI AND UX DESIGN")</f>
        <v>UI AND UX DESIGN</v>
      </c>
      <c r="E234" s="144" t="str">
        <f>IFERROR(__xludf.DUMMYFUNCTION("""COMPUTED_VALUE"""),"THEORY")</f>
        <v>THEORY</v>
      </c>
      <c r="F234" s="144" t="str">
        <f>IFERROR(__xludf.DUMMYFUNCTION("""COMPUTED_VALUE"""),"IT10262")</f>
        <v>IT10262</v>
      </c>
      <c r="G234" s="144" t="str">
        <f>IFERROR(__xludf.DUMMYFUNCTION("""COMPUTED_VALUE"""),"Ms.SABARMATHI K R")</f>
        <v>Ms.SABARMATHI K R</v>
      </c>
      <c r="H234" s="144" t="str">
        <f>IFERROR(__xludf.DUMMYFUNCTION("""COMPUTED_VALUE"""),"sabarmathi@bitsathy.ac.in")</f>
        <v>sabarmathi@bitsathy.ac.in</v>
      </c>
    </row>
    <row r="235">
      <c r="A235" s="144" t="str">
        <f>IFERROR(__xludf.DUMMYFUNCTION("""COMPUTED_VALUE"""),"IT")</f>
        <v>IT</v>
      </c>
      <c r="B235" s="144" t="str">
        <f>IFERROR(__xludf.DUMMYFUNCTION("""COMPUTED_VALUE"""),"S4")</f>
        <v>S4</v>
      </c>
      <c r="C235" s="144" t="str">
        <f>IFERROR(__xludf.DUMMYFUNCTION("""COMPUTED_VALUE"""),"22IT008")</f>
        <v>22IT008</v>
      </c>
      <c r="D235" s="144" t="str">
        <f>IFERROR(__xludf.DUMMYFUNCTION("""COMPUTED_VALUE"""),"UI AND UX DESIGN")</f>
        <v>UI AND UX DESIGN</v>
      </c>
      <c r="E235" s="144" t="str">
        <f>IFERROR(__xludf.DUMMYFUNCTION("""COMPUTED_VALUE"""),"THEORY")</f>
        <v>THEORY</v>
      </c>
      <c r="F235" s="144" t="str">
        <f>IFERROR(__xludf.DUMMYFUNCTION("""COMPUTED_VALUE"""),"IT11105")</f>
        <v>IT11105</v>
      </c>
      <c r="G235" s="144" t="str">
        <f>IFERROR(__xludf.DUMMYFUNCTION("""COMPUTED_VALUE"""),"Mrs.SANTHIYA B")</f>
        <v>Mrs.SANTHIYA B</v>
      </c>
      <c r="H235" s="144" t="str">
        <f>IFERROR(__xludf.DUMMYFUNCTION("""COMPUTED_VALUE"""),"santhiyab@bitsathy.ac.in")</f>
        <v>santhiyab@bitsathy.ac.in</v>
      </c>
    </row>
    <row r="236">
      <c r="A236" s="144" t="str">
        <f>IFERROR(__xludf.DUMMYFUNCTION("""COMPUTED_VALUE"""),"IT")</f>
        <v>IT</v>
      </c>
      <c r="B236" s="144" t="str">
        <f>IFERROR(__xludf.DUMMYFUNCTION("""COMPUTED_VALUE"""),"S4")</f>
        <v>S4</v>
      </c>
      <c r="C236" s="144" t="str">
        <f>IFERROR(__xludf.DUMMYFUNCTION("""COMPUTED_VALUE"""),"22IT008")</f>
        <v>22IT008</v>
      </c>
      <c r="D236" s="144" t="str">
        <f>IFERROR(__xludf.DUMMYFUNCTION("""COMPUTED_VALUE"""),"UI AND UX DESIGN")</f>
        <v>UI AND UX DESIGN</v>
      </c>
      <c r="E236" s="144" t="str">
        <f>IFERROR(__xludf.DUMMYFUNCTION("""COMPUTED_VALUE"""),"THEORY")</f>
        <v>THEORY</v>
      </c>
      <c r="F236" s="144" t="str">
        <f>IFERROR(__xludf.DUMMYFUNCTION("""COMPUTED_VALUE"""),"CT10933")</f>
        <v>CT10933</v>
      </c>
      <c r="G236" s="144" t="str">
        <f>IFERROR(__xludf.DUMMYFUNCTION("""COMPUTED_VALUE"""),"Mrs.SWEETY PRASANNA KIRUBA G")</f>
        <v>Mrs.SWEETY PRASANNA KIRUBA G</v>
      </c>
      <c r="H236" s="144" t="str">
        <f>IFERROR(__xludf.DUMMYFUNCTION("""COMPUTED_VALUE"""),"prasannakiruba@bitsathy.ac.in")</f>
        <v>prasannakiruba@bitsathy.ac.in</v>
      </c>
    </row>
    <row r="237">
      <c r="A237" s="144" t="str">
        <f>IFERROR(__xludf.DUMMYFUNCTION("""COMPUTED_VALUE"""),"IT")</f>
        <v>IT</v>
      </c>
      <c r="B237" s="144" t="str">
        <f>IFERROR(__xludf.DUMMYFUNCTION("""COMPUTED_VALUE"""),"S4")</f>
        <v>S4</v>
      </c>
      <c r="C237" s="144" t="str">
        <f>IFERROR(__xludf.DUMMYFUNCTION("""COMPUTED_VALUE"""),"22HS007")</f>
        <v>22HS007</v>
      </c>
      <c r="D237" s="144" t="str">
        <f>IFERROR(__xludf.DUMMYFUNCTION("""COMPUTED_VALUE"""),"ENVIRONMENTAL SCIENCE")</f>
        <v>ENVIRONMENTAL SCIENCE</v>
      </c>
      <c r="E237" s="144" t="str">
        <f>IFERROR(__xludf.DUMMYFUNCTION("""COMPUTED_VALUE"""),"LAB")</f>
        <v>LAB</v>
      </c>
      <c r="F237" s="144" t="str">
        <f>IFERROR(__xludf.DUMMYFUNCTION("""COMPUTED_VALUE"""),"CH1578")</f>
        <v>CH1578</v>
      </c>
      <c r="G237" s="144" t="str">
        <f>IFERROR(__xludf.DUMMYFUNCTION("""COMPUTED_VALUE"""),"Dr.KAVITHA C")</f>
        <v>Dr.KAVITHA C</v>
      </c>
      <c r="H237" s="144" t="str">
        <f>IFERROR(__xludf.DUMMYFUNCTION("""COMPUTED_VALUE"""),"kavithac@bitsathy.ac.in")</f>
        <v>kavithac@bitsathy.ac.in</v>
      </c>
    </row>
    <row r="238">
      <c r="A238" s="144" t="str">
        <f>IFERROR(__xludf.DUMMYFUNCTION("""COMPUTED_VALUE"""),"IT")</f>
        <v>IT</v>
      </c>
      <c r="B238" s="144" t="str">
        <f>IFERROR(__xludf.DUMMYFUNCTION("""COMPUTED_VALUE"""),"S4")</f>
        <v>S4</v>
      </c>
      <c r="C238" s="144" t="str">
        <f>IFERROR(__xludf.DUMMYFUNCTION("""COMPUTED_VALUE"""),"22HS007")</f>
        <v>22HS007</v>
      </c>
      <c r="D238" s="144" t="str">
        <f>IFERROR(__xludf.DUMMYFUNCTION("""COMPUTED_VALUE"""),"ENVIRONMENTAL SCIENCE")</f>
        <v>ENVIRONMENTAL SCIENCE</v>
      </c>
      <c r="E238" s="144" t="str">
        <f>IFERROR(__xludf.DUMMYFUNCTION("""COMPUTED_VALUE"""),"LAB")</f>
        <v>LAB</v>
      </c>
      <c r="F238" s="144" t="str">
        <f>IFERROR(__xludf.DUMMYFUNCTION("""COMPUTED_VALUE"""),"CH1894")</f>
        <v>CH1894</v>
      </c>
      <c r="G238" s="144" t="str">
        <f>IFERROR(__xludf.DUMMYFUNCTION("""COMPUTED_VALUE"""),"Dr.MALATHI MAHALINGAM")</f>
        <v>Dr.MALATHI MAHALINGAM</v>
      </c>
      <c r="H238" s="144" t="str">
        <f>IFERROR(__xludf.DUMMYFUNCTION("""COMPUTED_VALUE"""),"malathimahalingamm@bitsathy.ac.in")</f>
        <v>malathimahalingamm@bitsathy.ac.in</v>
      </c>
    </row>
    <row r="239">
      <c r="A239" s="144" t="str">
        <f>IFERROR(__xludf.DUMMYFUNCTION("""COMPUTED_VALUE"""),"IT")</f>
        <v>IT</v>
      </c>
      <c r="B239" s="144" t="str">
        <f>IFERROR(__xludf.DUMMYFUNCTION("""COMPUTED_VALUE"""),"S4")</f>
        <v>S4</v>
      </c>
      <c r="C239" s="144" t="str">
        <f>IFERROR(__xludf.DUMMYFUNCTION("""COMPUTED_VALUE"""),"22HS007")</f>
        <v>22HS007</v>
      </c>
      <c r="D239" s="144" t="str">
        <f>IFERROR(__xludf.DUMMYFUNCTION("""COMPUTED_VALUE"""),"ENVIRONMENTAL SCIENCE")</f>
        <v>ENVIRONMENTAL SCIENCE</v>
      </c>
      <c r="E239" s="144" t="str">
        <f>IFERROR(__xludf.DUMMYFUNCTION("""COMPUTED_VALUE"""),"LAB")</f>
        <v>LAB</v>
      </c>
      <c r="F239" s="144" t="str">
        <f>IFERROR(__xludf.DUMMYFUNCTION("""COMPUTED_VALUE"""),"CH10333")</f>
        <v>CH10333</v>
      </c>
      <c r="G239" s="144" t="str">
        <f>IFERROR(__xludf.DUMMYFUNCTION("""COMPUTED_VALUE"""),"Dr.MURALI KRISHNAN M")</f>
        <v>Dr.MURALI KRISHNAN M</v>
      </c>
      <c r="H239" s="144" t="str">
        <f>IFERROR(__xludf.DUMMYFUNCTION("""COMPUTED_VALUE"""),"muralikrishnan@bitsathy.ac.in")</f>
        <v>muralikrishnan@bitsathy.ac.in</v>
      </c>
    </row>
    <row r="240">
      <c r="A240" s="144" t="str">
        <f>IFERROR(__xludf.DUMMYFUNCTION("""COMPUTED_VALUE"""),"IT")</f>
        <v>IT</v>
      </c>
      <c r="B240" s="144" t="str">
        <f>IFERROR(__xludf.DUMMYFUNCTION("""COMPUTED_VALUE"""),"S4")</f>
        <v>S4</v>
      </c>
      <c r="C240" s="144" t="str">
        <f>IFERROR(__xludf.DUMMYFUNCTION("""COMPUTED_VALUE"""),"22HS007")</f>
        <v>22HS007</v>
      </c>
      <c r="D240" s="144" t="str">
        <f>IFERROR(__xludf.DUMMYFUNCTION("""COMPUTED_VALUE"""),"ENVIRONMENTAL SCIENCE")</f>
        <v>ENVIRONMENTAL SCIENCE</v>
      </c>
      <c r="E240" s="144" t="str">
        <f>IFERROR(__xludf.DUMMYFUNCTION("""COMPUTED_VALUE"""),"LAB")</f>
        <v>LAB</v>
      </c>
      <c r="F240" s="144" t="str">
        <f>IFERROR(__xludf.DUMMYFUNCTION("""COMPUTED_VALUE"""),"CH11126")</f>
        <v>CH11126</v>
      </c>
      <c r="G240" s="144" t="str">
        <f>IFERROR(__xludf.DUMMYFUNCTION("""COMPUTED_VALUE"""),"Dr.JESIN BENETO A")</f>
        <v>Dr.JESIN BENETO A</v>
      </c>
      <c r="H240" s="144" t="str">
        <f>IFERROR(__xludf.DUMMYFUNCTION("""COMPUTED_VALUE"""),"jesinbeneto@bitsathy.ac.in")</f>
        <v>jesinbeneto@bitsathy.ac.in</v>
      </c>
    </row>
    <row r="241">
      <c r="A241" s="144" t="str">
        <f>IFERROR(__xludf.DUMMYFUNCTION("""COMPUTED_VALUE"""),"IT")</f>
        <v>IT</v>
      </c>
      <c r="B241" s="144" t="str">
        <f>IFERROR(__xludf.DUMMYFUNCTION("""COMPUTED_VALUE"""),"S4")</f>
        <v>S4</v>
      </c>
      <c r="C241" s="144" t="str">
        <f>IFERROR(__xludf.DUMMYFUNCTION("""COMPUTED_VALUE"""),"22HS008")</f>
        <v>22HS008</v>
      </c>
      <c r="D241" s="144" t="str">
        <f>IFERROR(__xludf.DUMMYFUNCTION("""COMPUTED_VALUE"""),"ADVANCED ENGLISH AND TECHNICAL EXPRESSION ")</f>
        <v>ADVANCED ENGLISH AND TECHNICAL EXPRESSION </v>
      </c>
      <c r="E241" s="144" t="str">
        <f>IFERROR(__xludf.DUMMYFUNCTION("""COMPUTED_VALUE"""),"LAB")</f>
        <v>LAB</v>
      </c>
      <c r="F241" s="144" t="str">
        <f>IFERROR(__xludf.DUMMYFUNCTION("""COMPUTED_VALUE"""),"HU11125")</f>
        <v>HU11125</v>
      </c>
      <c r="G241" s="144" t="str">
        <f>IFERROR(__xludf.DUMMYFUNCTION("""COMPUTED_VALUE"""),"Dr.GAYATHRI G M")</f>
        <v>Dr.GAYATHRI G M</v>
      </c>
      <c r="H241" s="144" t="str">
        <f>IFERROR(__xludf.DUMMYFUNCTION("""COMPUTED_VALUE"""),"gayathri@bitsathy.ac.in")</f>
        <v>gayathri@bitsathy.ac.in</v>
      </c>
    </row>
    <row r="242">
      <c r="A242" s="144" t="str">
        <f>IFERROR(__xludf.DUMMYFUNCTION("""COMPUTED_VALUE"""),"IT")</f>
        <v>IT</v>
      </c>
      <c r="B242" s="144" t="str">
        <f>IFERROR(__xludf.DUMMYFUNCTION("""COMPUTED_VALUE"""),"S4")</f>
        <v>S4</v>
      </c>
      <c r="C242" s="144" t="str">
        <f>IFERROR(__xludf.DUMMYFUNCTION("""COMPUTED_VALUE"""),"22HS008")</f>
        <v>22HS008</v>
      </c>
      <c r="D242" s="144" t="str">
        <f>IFERROR(__xludf.DUMMYFUNCTION("""COMPUTED_VALUE"""),"ADVANCED ENGLISH AND TECHNICAL EXPRESSION ")</f>
        <v>ADVANCED ENGLISH AND TECHNICAL EXPRESSION </v>
      </c>
      <c r="E242" s="144" t="str">
        <f>IFERROR(__xludf.DUMMYFUNCTION("""COMPUTED_VALUE"""),"LAB")</f>
        <v>LAB</v>
      </c>
      <c r="F242" s="144" t="str">
        <f>IFERROR(__xludf.DUMMYFUNCTION("""COMPUTED_VALUE"""),"HU11139")</f>
        <v>HU11139</v>
      </c>
      <c r="G242" s="144" t="str">
        <f>IFERROR(__xludf.DUMMYFUNCTION("""COMPUTED_VALUE"""),"Dr.ASLIN JERUSHA D")</f>
        <v>Dr.ASLIN JERUSHA D</v>
      </c>
      <c r="H242" s="144" t="str">
        <f>IFERROR(__xludf.DUMMYFUNCTION("""COMPUTED_VALUE"""),"aslinjerusha@bitsathy.ac.in")</f>
        <v>aslinjerusha@bitsathy.ac.in</v>
      </c>
    </row>
    <row r="243">
      <c r="A243" s="144" t="str">
        <f>IFERROR(__xludf.DUMMYFUNCTION("""COMPUTED_VALUE"""),"IT")</f>
        <v>IT</v>
      </c>
      <c r="B243" s="144" t="str">
        <f>IFERROR(__xludf.DUMMYFUNCTION("""COMPUTED_VALUE"""),"S4")</f>
        <v>S4</v>
      </c>
      <c r="C243" s="144" t="str">
        <f>IFERROR(__xludf.DUMMYFUNCTION("""COMPUTED_VALUE"""),"22HS008")</f>
        <v>22HS008</v>
      </c>
      <c r="D243" s="144" t="str">
        <f>IFERROR(__xludf.DUMMYFUNCTION("""COMPUTED_VALUE"""),"ADVANCED ENGLISH AND TECHNICAL EXPRESSION ")</f>
        <v>ADVANCED ENGLISH AND TECHNICAL EXPRESSION </v>
      </c>
      <c r="E243" s="144" t="str">
        <f>IFERROR(__xludf.DUMMYFUNCTION("""COMPUTED_VALUE"""),"LAB")</f>
        <v>LAB</v>
      </c>
      <c r="F243" s="144" t="str">
        <f>IFERROR(__xludf.DUMMYFUNCTION("""COMPUTED_VALUE"""),"HU11141")</f>
        <v>HU11141</v>
      </c>
      <c r="G243" s="144" t="str">
        <f>IFERROR(__xludf.DUMMYFUNCTION("""COMPUTED_VALUE"""),"Dr.EZHIL G")</f>
        <v>Dr.EZHIL G</v>
      </c>
      <c r="H243" s="144" t="str">
        <f>IFERROR(__xludf.DUMMYFUNCTION("""COMPUTED_VALUE"""),"ezhil@bitsathy.ac.in")</f>
        <v>ezhil@bitsathy.ac.in</v>
      </c>
    </row>
    <row r="244">
      <c r="A244" s="144" t="str">
        <f>IFERROR(__xludf.DUMMYFUNCTION("""COMPUTED_VALUE"""),"IT")</f>
        <v>IT</v>
      </c>
      <c r="B244" s="144" t="str">
        <f>IFERROR(__xludf.DUMMYFUNCTION("""COMPUTED_VALUE"""),"S4")</f>
        <v>S4</v>
      </c>
      <c r="C244" s="144" t="str">
        <f>IFERROR(__xludf.DUMMYFUNCTION("""COMPUTED_VALUE"""),"22HS008")</f>
        <v>22HS008</v>
      </c>
      <c r="D244" s="144" t="str">
        <f>IFERROR(__xludf.DUMMYFUNCTION("""COMPUTED_VALUE"""),"ADVANCED ENGLISH AND TECHNICAL EXPRESSION ")</f>
        <v>ADVANCED ENGLISH AND TECHNICAL EXPRESSION </v>
      </c>
      <c r="E244" s="144" t="str">
        <f>IFERROR(__xludf.DUMMYFUNCTION("""COMPUTED_VALUE"""),"LAB")</f>
        <v>LAB</v>
      </c>
      <c r="F244" s="144" t="str">
        <f>IFERROR(__xludf.DUMMYFUNCTION("""COMPUTED_VALUE"""),"HU11151")</f>
        <v>HU11151</v>
      </c>
      <c r="G244" s="144" t="str">
        <f>IFERROR(__xludf.DUMMYFUNCTION("""COMPUTED_VALUE"""),"Dr.NITHYA S")</f>
        <v>Dr.NITHYA S</v>
      </c>
      <c r="H244" s="144" t="str">
        <f>IFERROR(__xludf.DUMMYFUNCTION("""COMPUTED_VALUE"""),"nithyas@bitsathy.ac.in")</f>
        <v>nithyas@bitsathy.ac.in</v>
      </c>
    </row>
    <row r="245">
      <c r="A245" s="144" t="str">
        <f>IFERROR(__xludf.DUMMYFUNCTION("""COMPUTED_VALUE"""),"MECH")</f>
        <v>MECH</v>
      </c>
      <c r="B245" s="144" t="str">
        <f>IFERROR(__xludf.DUMMYFUNCTION("""COMPUTED_VALUE"""),"S4")</f>
        <v>S4</v>
      </c>
      <c r="C245" s="144" t="str">
        <f>IFERROR(__xludf.DUMMYFUNCTION("""COMPUTED_VALUE"""),"22ME401")</f>
        <v>22ME401</v>
      </c>
      <c r="D245" s="144" t="str">
        <f>IFERROR(__xludf.DUMMYFUNCTION("""COMPUTED_VALUE"""),"KINEMATICS AND DYNAMICS OF MACHINERY")</f>
        <v>KINEMATICS AND DYNAMICS OF MACHINERY</v>
      </c>
      <c r="E245" s="144" t="str">
        <f>IFERROR(__xludf.DUMMYFUNCTION("""COMPUTED_VALUE"""),"THEORY")</f>
        <v>THEORY</v>
      </c>
      <c r="F245" s="144" t="str">
        <f>IFERROR(__xludf.DUMMYFUNCTION("""COMPUTED_VALUE"""),"ME1819")</f>
        <v>ME1819</v>
      </c>
      <c r="G245" s="144" t="str">
        <f>IFERROR(__xludf.DUMMYFUNCTION("""COMPUTED_VALUE"""),"Dr.DINESH D")</f>
        <v>Dr.DINESH D</v>
      </c>
      <c r="H245" s="144" t="str">
        <f>IFERROR(__xludf.DUMMYFUNCTION("""COMPUTED_VALUE"""),"dineshd@bitsathy.ac.in")</f>
        <v>dineshd@bitsathy.ac.in</v>
      </c>
    </row>
    <row r="246">
      <c r="A246" s="144" t="str">
        <f>IFERROR(__xludf.DUMMYFUNCTION("""COMPUTED_VALUE"""),"MECH")</f>
        <v>MECH</v>
      </c>
      <c r="B246" s="144" t="str">
        <f>IFERROR(__xludf.DUMMYFUNCTION("""COMPUTED_VALUE"""),"S4")</f>
        <v>S4</v>
      </c>
      <c r="C246" s="144" t="str">
        <f>IFERROR(__xludf.DUMMYFUNCTION("""COMPUTED_VALUE"""),"22ME401")</f>
        <v>22ME401</v>
      </c>
      <c r="D246" s="144" t="str">
        <f>IFERROR(__xludf.DUMMYFUNCTION("""COMPUTED_VALUE"""),"KINEMATICS AND DYNAMICS OF MACHINERY")</f>
        <v>KINEMATICS AND DYNAMICS OF MACHINERY</v>
      </c>
      <c r="E246" s="144" t="str">
        <f>IFERROR(__xludf.DUMMYFUNCTION("""COMPUTED_VALUE"""),"LAB")</f>
        <v>LAB</v>
      </c>
      <c r="F246" s="144" t="str">
        <f>IFERROR(__xludf.DUMMYFUNCTION("""COMPUTED_VALUE"""),"ME1819")</f>
        <v>ME1819</v>
      </c>
      <c r="G246" s="144" t="str">
        <f>IFERROR(__xludf.DUMMYFUNCTION("""COMPUTED_VALUE"""),"Dr.DINESH D")</f>
        <v>Dr.DINESH D</v>
      </c>
      <c r="H246" s="144" t="str">
        <f>IFERROR(__xludf.DUMMYFUNCTION("""COMPUTED_VALUE"""),"dineshd@bitsathy.ac.in")</f>
        <v>dineshd@bitsathy.ac.in</v>
      </c>
    </row>
    <row r="247">
      <c r="A247" s="144" t="str">
        <f>IFERROR(__xludf.DUMMYFUNCTION("""COMPUTED_VALUE"""),"MECH")</f>
        <v>MECH</v>
      </c>
      <c r="B247" s="144" t="str">
        <f>IFERROR(__xludf.DUMMYFUNCTION("""COMPUTED_VALUE"""),"S4")</f>
        <v>S4</v>
      </c>
      <c r="C247" s="144" t="str">
        <f>IFERROR(__xludf.DUMMYFUNCTION("""COMPUTED_VALUE"""),"22ME402")</f>
        <v>22ME402</v>
      </c>
      <c r="D247" s="144" t="str">
        <f>IFERROR(__xludf.DUMMYFUNCTION("""COMPUTED_VALUE"""),"SENSORS AND TRANSDUCER")</f>
        <v>SENSORS AND TRANSDUCER</v>
      </c>
      <c r="E247" s="144" t="str">
        <f>IFERROR(__xludf.DUMMYFUNCTION("""COMPUTED_VALUE"""),"THEORY")</f>
        <v>THEORY</v>
      </c>
      <c r="F247" s="144" t="str">
        <f>IFERROR(__xludf.DUMMYFUNCTION("""COMPUTED_VALUE"""),"AU10645")</f>
        <v>AU10645</v>
      </c>
      <c r="G247" s="144" t="str">
        <f>IFERROR(__xludf.DUMMYFUNCTION("""COMPUTED_VALUE"""),"Dr.DHAYANEETHI S")</f>
        <v>Dr.DHAYANEETHI S</v>
      </c>
      <c r="H247" s="144" t="str">
        <f>IFERROR(__xludf.DUMMYFUNCTION("""COMPUTED_VALUE"""),"dhayaneethi@bitsathy.ac.in")</f>
        <v>dhayaneethi@bitsathy.ac.in</v>
      </c>
    </row>
    <row r="248">
      <c r="A248" s="144" t="str">
        <f>IFERROR(__xludf.DUMMYFUNCTION("""COMPUTED_VALUE"""),"MECH")</f>
        <v>MECH</v>
      </c>
      <c r="B248" s="144" t="str">
        <f>IFERROR(__xludf.DUMMYFUNCTION("""COMPUTED_VALUE"""),"S4")</f>
        <v>S4</v>
      </c>
      <c r="C248" s="144" t="str">
        <f>IFERROR(__xludf.DUMMYFUNCTION("""COMPUTED_VALUE"""),"22ME402")</f>
        <v>22ME402</v>
      </c>
      <c r="D248" s="144" t="str">
        <f>IFERROR(__xludf.DUMMYFUNCTION("""COMPUTED_VALUE"""),"SENSORS AND TRANSDUCER")</f>
        <v>SENSORS AND TRANSDUCER</v>
      </c>
      <c r="E248" s="144" t="str">
        <f>IFERROR(__xludf.DUMMYFUNCTION("""COMPUTED_VALUE"""),"LAB")</f>
        <v>LAB</v>
      </c>
      <c r="F248" s="144" t="str">
        <f>IFERROR(__xludf.DUMMYFUNCTION("""COMPUTED_VALUE"""),"ME10699")</f>
        <v>ME10699</v>
      </c>
      <c r="G248" s="144" t="str">
        <f>IFERROR(__xludf.DUMMYFUNCTION("""COMPUTED_VALUE"""),"Dr.PRAVIN M C")</f>
        <v>Dr.PRAVIN M C</v>
      </c>
      <c r="H248" s="144" t="str">
        <f>IFERROR(__xludf.DUMMYFUNCTION("""COMPUTED_VALUE"""),"pravin@bitsathy.ac.in")</f>
        <v>pravin@bitsathy.ac.in</v>
      </c>
    </row>
    <row r="249">
      <c r="A249" s="144" t="str">
        <f>IFERROR(__xludf.DUMMYFUNCTION("""COMPUTED_VALUE"""),"MECH")</f>
        <v>MECH</v>
      </c>
      <c r="B249" s="144" t="str">
        <f>IFERROR(__xludf.DUMMYFUNCTION("""COMPUTED_VALUE"""),"S4")</f>
        <v>S4</v>
      </c>
      <c r="C249" s="144" t="str">
        <f>IFERROR(__xludf.DUMMYFUNCTION("""COMPUTED_VALUE"""),"22ME403")</f>
        <v>22ME403</v>
      </c>
      <c r="D249" s="144" t="str">
        <f>IFERROR(__xludf.DUMMYFUNCTION("""COMPUTED_VALUE"""),"STRENGTH OF MATERIALS")</f>
        <v>STRENGTH OF MATERIALS</v>
      </c>
      <c r="E249" s="144" t="str">
        <f>IFERROR(__xludf.DUMMYFUNCTION("""COMPUTED_VALUE"""),"THEORY")</f>
        <v>THEORY</v>
      </c>
      <c r="F249" s="144" t="str">
        <f>IFERROR(__xludf.DUMMYFUNCTION("""COMPUTED_VALUE"""),"ME10098")</f>
        <v>ME10098</v>
      </c>
      <c r="G249" s="144" t="str">
        <f>IFERROR(__xludf.DUMMYFUNCTION("""COMPUTED_VALUE"""),"Dr.PRADEEP A D")</f>
        <v>Dr.PRADEEP A D</v>
      </c>
      <c r="H249" s="144" t="str">
        <f>IFERROR(__xludf.DUMMYFUNCTION("""COMPUTED_VALUE"""),"pradeep@bitsathy.ac.in")</f>
        <v>pradeep@bitsathy.ac.in</v>
      </c>
    </row>
    <row r="250">
      <c r="A250" s="144" t="str">
        <f>IFERROR(__xludf.DUMMYFUNCTION("""COMPUTED_VALUE"""),"MECH")</f>
        <v>MECH</v>
      </c>
      <c r="B250" s="144" t="str">
        <f>IFERROR(__xludf.DUMMYFUNCTION("""COMPUTED_VALUE"""),"S4")</f>
        <v>S4</v>
      </c>
      <c r="C250" s="144" t="str">
        <f>IFERROR(__xludf.DUMMYFUNCTION("""COMPUTED_VALUE"""),"22ME403")</f>
        <v>22ME403</v>
      </c>
      <c r="D250" s="144" t="str">
        <f>IFERROR(__xludf.DUMMYFUNCTION("""COMPUTED_VALUE"""),"STRENGTH OF MATERIALS")</f>
        <v>STRENGTH OF MATERIALS</v>
      </c>
      <c r="E250" s="144" t="str">
        <f>IFERROR(__xludf.DUMMYFUNCTION("""COMPUTED_VALUE"""),"LAB")</f>
        <v>LAB</v>
      </c>
      <c r="F250" s="144" t="str">
        <f>IFERROR(__xludf.DUMMYFUNCTION("""COMPUTED_VALUE"""),"ME10098")</f>
        <v>ME10098</v>
      </c>
      <c r="G250" s="144" t="str">
        <f>IFERROR(__xludf.DUMMYFUNCTION("""COMPUTED_VALUE"""),"Dr.PRADEEP A D")</f>
        <v>Dr.PRADEEP A D</v>
      </c>
      <c r="H250" s="144" t="str">
        <f>IFERROR(__xludf.DUMMYFUNCTION("""COMPUTED_VALUE"""),"pradeep@bitsathy.ac.in")</f>
        <v>pradeep@bitsathy.ac.in</v>
      </c>
    </row>
    <row r="251">
      <c r="A251" s="144" t="str">
        <f>IFERROR(__xludf.DUMMYFUNCTION("""COMPUTED_VALUE"""),"MECH")</f>
        <v>MECH</v>
      </c>
      <c r="B251" s="144" t="str">
        <f>IFERROR(__xludf.DUMMYFUNCTION("""COMPUTED_VALUE"""),"S4")</f>
        <v>S4</v>
      </c>
      <c r="C251" s="144" t="str">
        <f>IFERROR(__xludf.DUMMYFUNCTION("""COMPUTED_VALUE"""),"22ME404")</f>
        <v>22ME404</v>
      </c>
      <c r="D251" s="144" t="str">
        <f>IFERROR(__xludf.DUMMYFUNCTION("""COMPUTED_VALUE"""),"INDUSTRIAL AUTOMATION WITH PLC")</f>
        <v>INDUSTRIAL AUTOMATION WITH PLC</v>
      </c>
      <c r="E251" s="144" t="str">
        <f>IFERROR(__xludf.DUMMYFUNCTION("""COMPUTED_VALUE"""),"THEORY")</f>
        <v>THEORY</v>
      </c>
      <c r="F251" s="144" t="str">
        <f>IFERROR(__xludf.DUMMYFUNCTION("""COMPUTED_VALUE"""),"ME1974")</f>
        <v>ME1974</v>
      </c>
      <c r="G251" s="144" t="str">
        <f>IFERROR(__xludf.DUMMYFUNCTION("""COMPUTED_VALUE"""),"Mr.SAKTHIVEL MURUGAN E")</f>
        <v>Mr.SAKTHIVEL MURUGAN E</v>
      </c>
      <c r="H251" s="144" t="str">
        <f>IFERROR(__xludf.DUMMYFUNCTION("""COMPUTED_VALUE"""),"sakthivelmurugane@bitsathy.ac.in")</f>
        <v>sakthivelmurugane@bitsathy.ac.in</v>
      </c>
    </row>
    <row r="252">
      <c r="A252" s="144" t="str">
        <f>IFERROR(__xludf.DUMMYFUNCTION("""COMPUTED_VALUE"""),"MECH")</f>
        <v>MECH</v>
      </c>
      <c r="B252" s="144" t="str">
        <f>IFERROR(__xludf.DUMMYFUNCTION("""COMPUTED_VALUE"""),"S4")</f>
        <v>S4</v>
      </c>
      <c r="C252" s="144" t="str">
        <f>IFERROR(__xludf.DUMMYFUNCTION("""COMPUTED_VALUE"""),"22ME404")</f>
        <v>22ME404</v>
      </c>
      <c r="D252" s="144" t="str">
        <f>IFERROR(__xludf.DUMMYFUNCTION("""COMPUTED_VALUE"""),"INDUSTRIAL AUTOMATION WITH PLC")</f>
        <v>INDUSTRIAL AUTOMATION WITH PLC</v>
      </c>
      <c r="E252" s="144" t="str">
        <f>IFERROR(__xludf.DUMMYFUNCTION("""COMPUTED_VALUE"""),"LAB")</f>
        <v>LAB</v>
      </c>
      <c r="F252" s="144" t="str">
        <f>IFERROR(__xludf.DUMMYFUNCTION("""COMPUTED_VALUE"""),"ME1974")</f>
        <v>ME1974</v>
      </c>
      <c r="G252" s="144" t="str">
        <f>IFERROR(__xludf.DUMMYFUNCTION("""COMPUTED_VALUE"""),"Mr.SAKTHIVEL MURUGAN E")</f>
        <v>Mr.SAKTHIVEL MURUGAN E</v>
      </c>
      <c r="H252" s="144" t="str">
        <f>IFERROR(__xludf.DUMMYFUNCTION("""COMPUTED_VALUE"""),"sakthivelmurugane@bitsathy.ac.in")</f>
        <v>sakthivelmurugane@bitsathy.ac.in</v>
      </c>
    </row>
    <row r="253">
      <c r="A253" s="144" t="str">
        <f>IFERROR(__xludf.DUMMYFUNCTION("""COMPUTED_VALUE"""),"MECH")</f>
        <v>MECH</v>
      </c>
      <c r="B253" s="144" t="str">
        <f>IFERROR(__xludf.DUMMYFUNCTION("""COMPUTED_VALUE"""),"S4")</f>
        <v>S4</v>
      </c>
      <c r="C253" s="144" t="str">
        <f>IFERROR(__xludf.DUMMYFUNCTION("""COMPUTED_VALUE"""),"22ME405")</f>
        <v>22ME405</v>
      </c>
      <c r="D253" s="144" t="str">
        <f>IFERROR(__xludf.DUMMYFUNCTION("""COMPUTED_VALUE"""),"MATERIALS AND MANUFACTURING PROCESSES")</f>
        <v>MATERIALS AND MANUFACTURING PROCESSES</v>
      </c>
      <c r="E253" s="144" t="str">
        <f>IFERROR(__xludf.DUMMYFUNCTION("""COMPUTED_VALUE"""),"THEORY")</f>
        <v>THEORY</v>
      </c>
      <c r="F253" s="144" t="str">
        <f>IFERROR(__xludf.DUMMYFUNCTION("""COMPUTED_VALUE"""),"ME1094")</f>
        <v>ME1094</v>
      </c>
      <c r="G253" s="144" t="str">
        <f>IFERROR(__xludf.DUMMYFUNCTION("""COMPUTED_VALUE"""),"Dr.SENTHILKUMAR G")</f>
        <v>Dr.SENTHILKUMAR G</v>
      </c>
      <c r="H253" s="144" t="str">
        <f>IFERROR(__xludf.DUMMYFUNCTION("""COMPUTED_VALUE"""),"senthilkumarg@bitsathy.ac.in")</f>
        <v>senthilkumarg@bitsathy.ac.in</v>
      </c>
    </row>
    <row r="254">
      <c r="A254" s="144" t="str">
        <f>IFERROR(__xludf.DUMMYFUNCTION("""COMPUTED_VALUE"""),"MECH")</f>
        <v>MECH</v>
      </c>
      <c r="B254" s="144" t="str">
        <f>IFERROR(__xludf.DUMMYFUNCTION("""COMPUTED_VALUE"""),"S4")</f>
        <v>S4</v>
      </c>
      <c r="C254" s="144" t="str">
        <f>IFERROR(__xludf.DUMMYFUNCTION("""COMPUTED_VALUE"""),"22ME405")</f>
        <v>22ME405</v>
      </c>
      <c r="D254" s="144" t="str">
        <f>IFERROR(__xludf.DUMMYFUNCTION("""COMPUTED_VALUE"""),"MATERIALS AND MANUFACTURING PROCESSES")</f>
        <v>MATERIALS AND MANUFACTURING PROCESSES</v>
      </c>
      <c r="E254" s="144" t="str">
        <f>IFERROR(__xludf.DUMMYFUNCTION("""COMPUTED_VALUE"""),"LAB")</f>
        <v>LAB</v>
      </c>
      <c r="F254" s="144" t="str">
        <f>IFERROR(__xludf.DUMMYFUNCTION("""COMPUTED_VALUE"""),"ME10416")</f>
        <v>ME10416</v>
      </c>
      <c r="G254" s="144" t="str">
        <f>IFERROR(__xludf.DUMMYFUNCTION("""COMPUTED_VALUE"""),"Mr.KAMAL BASHA K")</f>
        <v>Mr.KAMAL BASHA K</v>
      </c>
      <c r="H254" s="144" t="str">
        <f>IFERROR(__xludf.DUMMYFUNCTION("""COMPUTED_VALUE"""),"kamalbasha@bitsathy.ac.in")</f>
        <v>kamalbasha@bitsathy.ac.in</v>
      </c>
    </row>
    <row r="255">
      <c r="A255" s="144" t="str">
        <f>IFERROR(__xludf.DUMMYFUNCTION("""COMPUTED_VALUE"""),"MECH")</f>
        <v>MECH</v>
      </c>
      <c r="B255" s="144" t="str">
        <f>IFERROR(__xludf.DUMMYFUNCTION("""COMPUTED_VALUE"""),"S4")</f>
        <v>S4</v>
      </c>
      <c r="C255" s="144" t="str">
        <f>IFERROR(__xludf.DUMMYFUNCTION("""COMPUTED_VALUE"""),"22ME001")</f>
        <v>22ME001</v>
      </c>
      <c r="D255" s="144" t="str">
        <f>IFERROR(__xludf.DUMMYFUNCTION("""COMPUTED_VALUE"""),"CONCEPTS OF ENGINEERING DESIGN")</f>
        <v>CONCEPTS OF ENGINEERING DESIGN</v>
      </c>
      <c r="E255" s="144" t="str">
        <f>IFERROR(__xludf.DUMMYFUNCTION("""COMPUTED_VALUE"""),"THEORY")</f>
        <v>THEORY</v>
      </c>
      <c r="F255" s="144" t="str">
        <f>IFERROR(__xludf.DUMMYFUNCTION("""COMPUTED_VALUE"""),"ME1877")</f>
        <v>ME1877</v>
      </c>
      <c r="G255" s="144" t="str">
        <f>IFERROR(__xludf.DUMMYFUNCTION("""COMPUTED_VALUE"""),"Mr.SATHISHKUMAR C")</f>
        <v>Mr.SATHISHKUMAR C</v>
      </c>
      <c r="H255" s="144" t="str">
        <f>IFERROR(__xludf.DUMMYFUNCTION("""COMPUTED_VALUE"""),"sathishkumarc@bitsathy.ac.in")</f>
        <v>sathishkumarc@bitsathy.ac.in</v>
      </c>
    </row>
    <row r="256">
      <c r="A256" s="144" t="str">
        <f>IFERROR(__xludf.DUMMYFUNCTION("""COMPUTED_VALUE"""),"MECH")</f>
        <v>MECH</v>
      </c>
      <c r="B256" s="144" t="str">
        <f>IFERROR(__xludf.DUMMYFUNCTION("""COMPUTED_VALUE"""),"S4")</f>
        <v>S4</v>
      </c>
      <c r="C256" s="144" t="str">
        <f>IFERROR(__xludf.DUMMYFUNCTION("""COMPUTED_VALUE"""),"22HS007")</f>
        <v>22HS007</v>
      </c>
      <c r="D256" s="144" t="str">
        <f>IFERROR(__xludf.DUMMYFUNCTION("""COMPUTED_VALUE"""),"ENVIRONMENTAL SCIENCE")</f>
        <v>ENVIRONMENTAL SCIENCE</v>
      </c>
      <c r="E256" s="144" t="str">
        <f>IFERROR(__xludf.DUMMYFUNCTION("""COMPUTED_VALUE"""),"LAB")</f>
        <v>LAB</v>
      </c>
      <c r="F256" s="144" t="str">
        <f>IFERROR(__xludf.DUMMYFUNCTION("""COMPUTED_VALUE"""),"CH10314")</f>
        <v>CH10314</v>
      </c>
      <c r="G256" s="144" t="str">
        <f>IFERROR(__xludf.DUMMYFUNCTION("""COMPUTED_VALUE"""),"Dr.VISWANATHAN G")</f>
        <v>Dr.VISWANATHAN G</v>
      </c>
      <c r="H256" s="144" t="str">
        <f>IFERROR(__xludf.DUMMYFUNCTION("""COMPUTED_VALUE"""),"viswanathan@bitsathy.ac.in")</f>
        <v>viswanathan@bitsathy.ac.in</v>
      </c>
    </row>
    <row r="257">
      <c r="A257" s="144" t="str">
        <f>IFERROR(__xludf.DUMMYFUNCTION("""COMPUTED_VALUE"""),"MECH")</f>
        <v>MECH</v>
      </c>
      <c r="B257" s="144" t="str">
        <f>IFERROR(__xludf.DUMMYFUNCTION("""COMPUTED_VALUE"""),"S4")</f>
        <v>S4</v>
      </c>
      <c r="C257" s="144" t="str">
        <f>IFERROR(__xludf.DUMMYFUNCTION("""COMPUTED_VALUE"""),"22HS008")</f>
        <v>22HS008</v>
      </c>
      <c r="D257" s="144" t="str">
        <f>IFERROR(__xludf.DUMMYFUNCTION("""COMPUTED_VALUE"""),"ADVANCED ENGLISH AND TECHNICAL EXPRESSION ")</f>
        <v>ADVANCED ENGLISH AND TECHNICAL EXPRESSION </v>
      </c>
      <c r="E257" s="144" t="str">
        <f>IFERROR(__xludf.DUMMYFUNCTION("""COMPUTED_VALUE"""),"LAB")</f>
        <v>LAB</v>
      </c>
      <c r="F257" s="144" t="str">
        <f>IFERROR(__xludf.DUMMYFUNCTION("""COMPUTED_VALUE"""),"HU11151")</f>
        <v>HU11151</v>
      </c>
      <c r="G257" s="144" t="str">
        <f>IFERROR(__xludf.DUMMYFUNCTION("""COMPUTED_VALUE"""),"Dr.NITHYA S")</f>
        <v>Dr.NITHYA S</v>
      </c>
      <c r="H257" s="144" t="str">
        <f>IFERROR(__xludf.DUMMYFUNCTION("""COMPUTED_VALUE"""),"nithyas@bitsathy.ac.in")</f>
        <v>nithyas@bitsathy.ac.in</v>
      </c>
    </row>
    <row r="258">
      <c r="A258" s="144" t="str">
        <f>IFERROR(__xludf.DUMMYFUNCTION("""COMPUTED_VALUE"""),"MTRS")</f>
        <v>MTRS</v>
      </c>
      <c r="B258" s="144" t="str">
        <f>IFERROR(__xludf.DUMMYFUNCTION("""COMPUTED_VALUE"""),"S4")</f>
        <v>S4</v>
      </c>
      <c r="C258" s="144" t="str">
        <f>IFERROR(__xludf.DUMMYFUNCTION("""COMPUTED_VALUE"""),"22MC401")</f>
        <v>22MC401</v>
      </c>
      <c r="D258" s="144" t="str">
        <f>IFERROR(__xludf.DUMMYFUNCTION("""COMPUTED_VALUE"""),"PROBABILITY, STATISTICS AND
RANDOM PROCESS")</f>
        <v>PROBABILITY, STATISTICS AND
RANDOM PROCESS</v>
      </c>
      <c r="E258" s="144" t="str">
        <f>IFERROR(__xludf.DUMMYFUNCTION("""COMPUTED_VALUE"""),"THEORY")</f>
        <v>THEORY</v>
      </c>
      <c r="F258" s="144" t="str">
        <f>IFERROR(__xludf.DUMMYFUNCTION("""COMPUTED_VALUE"""),"MA1334")</f>
        <v>MA1334</v>
      </c>
      <c r="G258" s="144" t="str">
        <f>IFERROR(__xludf.DUMMYFUNCTION("""COMPUTED_VALUE"""),"Dr.PRABHAVATHI K")</f>
        <v>Dr.PRABHAVATHI K</v>
      </c>
      <c r="H258" s="144" t="str">
        <f>IFERROR(__xludf.DUMMYFUNCTION("""COMPUTED_VALUE"""),"prabhavathik@bitsathy.ac.in")</f>
        <v>prabhavathik@bitsathy.ac.in</v>
      </c>
    </row>
    <row r="259">
      <c r="A259" s="144" t="str">
        <f>IFERROR(__xludf.DUMMYFUNCTION("""COMPUTED_VALUE"""),"MTRS")</f>
        <v>MTRS</v>
      </c>
      <c r="B259" s="144" t="str">
        <f>IFERROR(__xludf.DUMMYFUNCTION("""COMPUTED_VALUE"""),"S4")</f>
        <v>S4</v>
      </c>
      <c r="C259" s="144" t="str">
        <f>IFERROR(__xludf.DUMMYFUNCTION("""COMPUTED_VALUE"""),"22MC402")</f>
        <v>22MC402</v>
      </c>
      <c r="D259" s="144" t="str">
        <f>IFERROR(__xludf.DUMMYFUNCTION("""COMPUTED_VALUE"""),"SENSORS AND TRANSDUCER")</f>
        <v>SENSORS AND TRANSDUCER</v>
      </c>
      <c r="E259" s="144" t="str">
        <f>IFERROR(__xludf.DUMMYFUNCTION("""COMPUTED_VALUE"""),"THEORY")</f>
        <v>THEORY</v>
      </c>
      <c r="F259" s="144" t="str">
        <f>IFERROR(__xludf.DUMMYFUNCTION("""COMPUTED_VALUE"""),"MC10597")</f>
        <v>MC10597</v>
      </c>
      <c r="G259" s="144" t="str">
        <f>IFERROR(__xludf.DUMMYFUNCTION("""COMPUTED_VALUE"""),"Dr.RAGHAVENDRA PRABHU S")</f>
        <v>Dr.RAGHAVENDRA PRABHU S</v>
      </c>
      <c r="H259" s="144" t="str">
        <f>IFERROR(__xludf.DUMMYFUNCTION("""COMPUTED_VALUE"""),"raghavendraprabhu@bitsathy.ac.in")</f>
        <v>raghavendraprabhu@bitsathy.ac.in</v>
      </c>
    </row>
    <row r="260">
      <c r="A260" s="144" t="str">
        <f>IFERROR(__xludf.DUMMYFUNCTION("""COMPUTED_VALUE"""),"MTRS")</f>
        <v>MTRS</v>
      </c>
      <c r="B260" s="144" t="str">
        <f>IFERROR(__xludf.DUMMYFUNCTION("""COMPUTED_VALUE"""),"S4")</f>
        <v>S4</v>
      </c>
      <c r="C260" s="144" t="str">
        <f>IFERROR(__xludf.DUMMYFUNCTION("""COMPUTED_VALUE"""),"22MC402")</f>
        <v>22MC402</v>
      </c>
      <c r="D260" s="144" t="str">
        <f>IFERROR(__xludf.DUMMYFUNCTION("""COMPUTED_VALUE"""),"SENSORS AND TRANSDUCER")</f>
        <v>SENSORS AND TRANSDUCER</v>
      </c>
      <c r="E260" s="144" t="str">
        <f>IFERROR(__xludf.DUMMYFUNCTION("""COMPUTED_VALUE"""),"LAB")</f>
        <v>LAB</v>
      </c>
      <c r="F260" s="144" t="str">
        <f>IFERROR(__xludf.DUMMYFUNCTION("""COMPUTED_VALUE"""),"MC10597")</f>
        <v>MC10597</v>
      </c>
      <c r="G260" s="144" t="str">
        <f>IFERROR(__xludf.DUMMYFUNCTION("""COMPUTED_VALUE"""),"Dr.RAGHAVENDRA PRABHU S")</f>
        <v>Dr.RAGHAVENDRA PRABHU S</v>
      </c>
      <c r="H260" s="144" t="str">
        <f>IFERROR(__xludf.DUMMYFUNCTION("""COMPUTED_VALUE"""),"raghavendraprabhu@bitsathy.ac.in")</f>
        <v>raghavendraprabhu@bitsathy.ac.in</v>
      </c>
    </row>
    <row r="261">
      <c r="A261" s="144" t="str">
        <f>IFERROR(__xludf.DUMMYFUNCTION("""COMPUTED_VALUE"""),"MTRS")</f>
        <v>MTRS</v>
      </c>
      <c r="B261" s="144" t="str">
        <f>IFERROR(__xludf.DUMMYFUNCTION("""COMPUTED_VALUE"""),"S4")</f>
        <v>S4</v>
      </c>
      <c r="C261" s="144" t="str">
        <f>IFERROR(__xludf.DUMMYFUNCTION("""COMPUTED_VALUE"""),"22MC403")</f>
        <v>22MC403</v>
      </c>
      <c r="D261" s="144" t="str">
        <f>IFERROR(__xludf.DUMMYFUNCTION("""COMPUTED_VALUE"""),"STRENGTH OF MATERIALS")</f>
        <v>STRENGTH OF MATERIALS</v>
      </c>
      <c r="E261" s="144" t="str">
        <f>IFERROR(__xludf.DUMMYFUNCTION("""COMPUTED_VALUE"""),"THEORY")</f>
        <v>THEORY</v>
      </c>
      <c r="F261" s="144" t="str">
        <f>IFERROR(__xludf.DUMMYFUNCTION("""COMPUTED_VALUE"""),"MC10697")</f>
        <v>MC10697</v>
      </c>
      <c r="G261" s="144" t="str">
        <f>IFERROR(__xludf.DUMMYFUNCTION("""COMPUTED_VALUE"""),"Dr.VADIVEL VIVEK V")</f>
        <v>Dr.VADIVEL VIVEK V</v>
      </c>
      <c r="H261" s="144" t="str">
        <f>IFERROR(__xludf.DUMMYFUNCTION("""COMPUTED_VALUE"""),"vadivelvivek@bitsathy.ac.in")</f>
        <v>vadivelvivek@bitsathy.ac.in</v>
      </c>
    </row>
    <row r="262">
      <c r="A262" s="144" t="str">
        <f>IFERROR(__xludf.DUMMYFUNCTION("""COMPUTED_VALUE"""),"MTRS")</f>
        <v>MTRS</v>
      </c>
      <c r="B262" s="144" t="str">
        <f>IFERROR(__xludf.DUMMYFUNCTION("""COMPUTED_VALUE"""),"S4")</f>
        <v>S4</v>
      </c>
      <c r="C262" s="144" t="str">
        <f>IFERROR(__xludf.DUMMYFUNCTION("""COMPUTED_VALUE"""),"22MC403")</f>
        <v>22MC403</v>
      </c>
      <c r="D262" s="144" t="str">
        <f>IFERROR(__xludf.DUMMYFUNCTION("""COMPUTED_VALUE"""),"STRENGTH OF MATERIALS")</f>
        <v>STRENGTH OF MATERIALS</v>
      </c>
      <c r="E262" s="144" t="str">
        <f>IFERROR(__xludf.DUMMYFUNCTION("""COMPUTED_VALUE"""),"LAB")</f>
        <v>LAB</v>
      </c>
      <c r="F262" s="144" t="str">
        <f>IFERROR(__xludf.DUMMYFUNCTION("""COMPUTED_VALUE"""),"ME10416")</f>
        <v>ME10416</v>
      </c>
      <c r="G262" s="144" t="str">
        <f>IFERROR(__xludf.DUMMYFUNCTION("""COMPUTED_VALUE"""),"Mr.KAMAL BASHA K")</f>
        <v>Mr.KAMAL BASHA K</v>
      </c>
      <c r="H262" s="144" t="str">
        <f>IFERROR(__xludf.DUMMYFUNCTION("""COMPUTED_VALUE"""),"kamalbasha@bitsathy.ac.in")</f>
        <v>kamalbasha@bitsathy.ac.in</v>
      </c>
    </row>
    <row r="263">
      <c r="A263" s="144" t="str">
        <f>IFERROR(__xludf.DUMMYFUNCTION("""COMPUTED_VALUE"""),"MTRS")</f>
        <v>MTRS</v>
      </c>
      <c r="B263" s="144" t="str">
        <f>IFERROR(__xludf.DUMMYFUNCTION("""COMPUTED_VALUE"""),"S4")</f>
        <v>S4</v>
      </c>
      <c r="C263" s="144" t="str">
        <f>IFERROR(__xludf.DUMMYFUNCTION("""COMPUTED_VALUE"""),"22MC404")</f>
        <v>22MC404</v>
      </c>
      <c r="D263" s="144" t="str">
        <f>IFERROR(__xludf.DUMMYFUNCTION("""COMPUTED_VALUE"""),"THEORY OF MACHINES")</f>
        <v>THEORY OF MACHINES</v>
      </c>
      <c r="E263" s="144" t="str">
        <f>IFERROR(__xludf.DUMMYFUNCTION("""COMPUTED_VALUE"""),"THEORY")</f>
        <v>THEORY</v>
      </c>
      <c r="F263" s="144" t="str">
        <f>IFERROR(__xludf.DUMMYFUNCTION("""COMPUTED_VALUE"""),"MC1843")</f>
        <v>MC1843</v>
      </c>
      <c r="G263" s="144" t="str">
        <f>IFERROR(__xludf.DUMMYFUNCTION("""COMPUTED_VALUE"""),"Dr.SENTHILKUMAR P")</f>
        <v>Dr.SENTHILKUMAR P</v>
      </c>
      <c r="H263" s="144" t="str">
        <f>IFERROR(__xludf.DUMMYFUNCTION("""COMPUTED_VALUE"""),"senthilkumarp@bitsathy.ac.in")</f>
        <v>senthilkumarp@bitsathy.ac.in</v>
      </c>
    </row>
    <row r="264">
      <c r="A264" s="144" t="str">
        <f>IFERROR(__xludf.DUMMYFUNCTION("""COMPUTED_VALUE"""),"MTRS")</f>
        <v>MTRS</v>
      </c>
      <c r="B264" s="144" t="str">
        <f>IFERROR(__xludf.DUMMYFUNCTION("""COMPUTED_VALUE"""),"S4")</f>
        <v>S4</v>
      </c>
      <c r="C264" s="144" t="str">
        <f>IFERROR(__xludf.DUMMYFUNCTION("""COMPUTED_VALUE"""),"22MC404")</f>
        <v>22MC404</v>
      </c>
      <c r="D264" s="144" t="str">
        <f>IFERROR(__xludf.DUMMYFUNCTION("""COMPUTED_VALUE"""),"THEORY OF MACHINES")</f>
        <v>THEORY OF MACHINES</v>
      </c>
      <c r="E264" s="144" t="str">
        <f>IFERROR(__xludf.DUMMYFUNCTION("""COMPUTED_VALUE"""),"LAB")</f>
        <v>LAB</v>
      </c>
      <c r="F264" s="144" t="str">
        <f>IFERROR(__xludf.DUMMYFUNCTION("""COMPUTED_VALUE"""),"ME1880")</f>
        <v>ME1880</v>
      </c>
      <c r="G264" s="144" t="str">
        <f>IFERROR(__xludf.DUMMYFUNCTION("""COMPUTED_VALUE"""),"Dr.SURESHKUMAR M")</f>
        <v>Dr.SURESHKUMAR M</v>
      </c>
      <c r="H264" s="144" t="str">
        <f>IFERROR(__xludf.DUMMYFUNCTION("""COMPUTED_VALUE"""),"sureshkumarm@bitsathy.ac.in")</f>
        <v>sureshkumarm@bitsathy.ac.in</v>
      </c>
    </row>
    <row r="265">
      <c r="A265" s="144" t="str">
        <f>IFERROR(__xludf.DUMMYFUNCTION("""COMPUTED_VALUE"""),"MTRS")</f>
        <v>MTRS</v>
      </c>
      <c r="B265" s="144" t="str">
        <f>IFERROR(__xludf.DUMMYFUNCTION("""COMPUTED_VALUE"""),"S4")</f>
        <v>S4</v>
      </c>
      <c r="C265" s="144" t="str">
        <f>IFERROR(__xludf.DUMMYFUNCTION("""COMPUTED_VALUE"""),"22MC405")</f>
        <v>22MC405</v>
      </c>
      <c r="D265" s="144" t="str">
        <f>IFERROR(__xludf.DUMMYFUNCTION("""COMPUTED_VALUE"""),"EMBEDDED SYSTEMS")</f>
        <v>EMBEDDED SYSTEMS</v>
      </c>
      <c r="E265" s="144" t="str">
        <f>IFERROR(__xludf.DUMMYFUNCTION("""COMPUTED_VALUE"""),"THEORY")</f>
        <v>THEORY</v>
      </c>
      <c r="F265" s="144" t="str">
        <f>IFERROR(__xludf.DUMMYFUNCTION("""COMPUTED_VALUE"""),"MC10369")</f>
        <v>MC10369</v>
      </c>
      <c r="G265" s="144" t="str">
        <f>IFERROR(__xludf.DUMMYFUNCTION("""COMPUTED_VALUE"""),"Dr.NIJANDHAN K")</f>
        <v>Dr.NIJANDHAN K</v>
      </c>
      <c r="H265" s="144" t="str">
        <f>IFERROR(__xludf.DUMMYFUNCTION("""COMPUTED_VALUE"""),"nijandhan@bitsathy.ac.in")</f>
        <v>nijandhan@bitsathy.ac.in</v>
      </c>
    </row>
    <row r="266">
      <c r="A266" s="144" t="str">
        <f>IFERROR(__xludf.DUMMYFUNCTION("""COMPUTED_VALUE"""),"MTRS")</f>
        <v>MTRS</v>
      </c>
      <c r="B266" s="144" t="str">
        <f>IFERROR(__xludf.DUMMYFUNCTION("""COMPUTED_VALUE"""),"S4")</f>
        <v>S4</v>
      </c>
      <c r="C266" s="144" t="str">
        <f>IFERROR(__xludf.DUMMYFUNCTION("""COMPUTED_VALUE"""),"22MC405")</f>
        <v>22MC405</v>
      </c>
      <c r="D266" s="144" t="str">
        <f>IFERROR(__xludf.DUMMYFUNCTION("""COMPUTED_VALUE"""),"EMBEDDED SYSTEMS")</f>
        <v>EMBEDDED SYSTEMS</v>
      </c>
      <c r="E266" s="144" t="str">
        <f>IFERROR(__xludf.DUMMYFUNCTION("""COMPUTED_VALUE"""),"LAB")</f>
        <v>LAB</v>
      </c>
      <c r="F266" s="144" t="str">
        <f>IFERROR(__xludf.DUMMYFUNCTION("""COMPUTED_VALUE"""),"MC10369")</f>
        <v>MC10369</v>
      </c>
      <c r="G266" s="144" t="str">
        <f>IFERROR(__xludf.DUMMYFUNCTION("""COMPUTED_VALUE"""),"Dr.NIJANDHAN K")</f>
        <v>Dr.NIJANDHAN K</v>
      </c>
      <c r="H266" s="144" t="str">
        <f>IFERROR(__xludf.DUMMYFUNCTION("""COMPUTED_VALUE"""),"nijandhan@bitsathy.ac.in")</f>
        <v>nijandhan@bitsathy.ac.in</v>
      </c>
    </row>
    <row r="267">
      <c r="A267" s="144" t="str">
        <f>IFERROR(__xludf.DUMMYFUNCTION("""COMPUTED_VALUE"""),"MTRS")</f>
        <v>MTRS</v>
      </c>
      <c r="B267" s="144" t="str">
        <f>IFERROR(__xludf.DUMMYFUNCTION("""COMPUTED_VALUE"""),"S4")</f>
        <v>S4</v>
      </c>
      <c r="C267" s="144" t="str">
        <f>IFERROR(__xludf.DUMMYFUNCTION("""COMPUTED_VALUE"""),"22MC013")</f>
        <v>22MC013</v>
      </c>
      <c r="D267" s="144" t="str">
        <f>IFERROR(__xludf.DUMMYFUNCTION("""COMPUTED_VALUE"""),"ELECTRIC AND HYBRID VEHICLES")</f>
        <v>ELECTRIC AND HYBRID VEHICLES</v>
      </c>
      <c r="E267" s="144" t="str">
        <f>IFERROR(__xludf.DUMMYFUNCTION("""COMPUTED_VALUE"""),"THEORY")</f>
        <v>THEORY</v>
      </c>
      <c r="F267" s="144" t="str">
        <f>IFERROR(__xludf.DUMMYFUNCTION("""COMPUTED_VALUE"""),"MC1878")</f>
        <v>MC1878</v>
      </c>
      <c r="G267" s="144" t="str">
        <f>IFERROR(__xludf.DUMMYFUNCTION("""COMPUTED_VALUE"""),"Dr.JEGADHEESWARAN S")</f>
        <v>Dr.JEGADHEESWARAN S</v>
      </c>
      <c r="H267" s="144" t="str">
        <f>IFERROR(__xludf.DUMMYFUNCTION("""COMPUTED_VALUE"""),"jegadheeswarans@bitsathy.ac.in")</f>
        <v>jegadheeswarans@bitsathy.ac.in</v>
      </c>
    </row>
    <row r="268">
      <c r="A268" s="144" t="str">
        <f>IFERROR(__xludf.DUMMYFUNCTION("""COMPUTED_VALUE"""),"MTRS")</f>
        <v>MTRS</v>
      </c>
      <c r="B268" s="144" t="str">
        <f>IFERROR(__xludf.DUMMYFUNCTION("""COMPUTED_VALUE"""),"S4")</f>
        <v>S4</v>
      </c>
      <c r="C268" s="144" t="str">
        <f>IFERROR(__xludf.DUMMYFUNCTION("""COMPUTED_VALUE"""),"22HS007")</f>
        <v>22HS007</v>
      </c>
      <c r="D268" s="144" t="str">
        <f>IFERROR(__xludf.DUMMYFUNCTION("""COMPUTED_VALUE"""),"ENVIRONMENTAL SCIENCE")</f>
        <v>ENVIRONMENTAL SCIENCE</v>
      </c>
      <c r="E268" s="144" t="str">
        <f>IFERROR(__xludf.DUMMYFUNCTION("""COMPUTED_VALUE"""),"LAB")</f>
        <v>LAB</v>
      </c>
      <c r="F268" s="144" t="str">
        <f>IFERROR(__xludf.DUMMYFUNCTION("""COMPUTED_VALUE"""),"CH10225")</f>
        <v>CH10225</v>
      </c>
      <c r="G268" s="144" t="str">
        <f>IFERROR(__xludf.DUMMYFUNCTION("""COMPUTED_VALUE"""),"Dr.MUTHUKUMAR P")</f>
        <v>Dr.MUTHUKUMAR P</v>
      </c>
      <c r="H268" s="144" t="str">
        <f>IFERROR(__xludf.DUMMYFUNCTION("""COMPUTED_VALUE"""),"muthukumar@bitsathy.ac.in")</f>
        <v>muthukumar@bitsathy.ac.in</v>
      </c>
    </row>
    <row r="269">
      <c r="A269" s="144" t="str">
        <f>IFERROR(__xludf.DUMMYFUNCTION("""COMPUTED_VALUE"""),"MTRS")</f>
        <v>MTRS</v>
      </c>
      <c r="B269" s="144" t="str">
        <f>IFERROR(__xludf.DUMMYFUNCTION("""COMPUTED_VALUE"""),"S4")</f>
        <v>S4</v>
      </c>
      <c r="C269" s="144" t="str">
        <f>IFERROR(__xludf.DUMMYFUNCTION("""COMPUTED_VALUE"""),"22HS008")</f>
        <v>22HS008</v>
      </c>
      <c r="D269" s="144" t="str">
        <f>IFERROR(__xludf.DUMMYFUNCTION("""COMPUTED_VALUE"""),"ADVANCED ENGLISH AND TECHNICAL EXPRESSION ")</f>
        <v>ADVANCED ENGLISH AND TECHNICAL EXPRESSION </v>
      </c>
      <c r="E269" s="144" t="str">
        <f>IFERROR(__xludf.DUMMYFUNCTION("""COMPUTED_VALUE"""),"LAB")</f>
        <v>LAB</v>
      </c>
      <c r="F269" s="144" t="str">
        <f>IFERROR(__xludf.DUMMYFUNCTION("""COMPUTED_VALUE"""),"HU11159")</f>
        <v>HU11159</v>
      </c>
      <c r="G269" s="144" t="str">
        <f>IFERROR(__xludf.DUMMYFUNCTION("""COMPUTED_VALUE"""),"Dr.JAYA K")</f>
        <v>Dr.JAYA K</v>
      </c>
      <c r="H269" s="144" t="str">
        <f>IFERROR(__xludf.DUMMYFUNCTION("""COMPUTED_VALUE"""),"jayak@bitsathy.ac.in")</f>
        <v>jayak@bitsathy.ac.in</v>
      </c>
    </row>
    <row r="270">
      <c r="A270" s="144" t="str">
        <f>IFERROR(__xludf.DUMMYFUNCTION("""COMPUTED_VALUE"""),"SMS")</f>
        <v>SMS</v>
      </c>
      <c r="B270" s="144" t="str">
        <f>IFERROR(__xludf.DUMMYFUNCTION("""COMPUTED_VALUE"""),"S4")</f>
        <v>S4</v>
      </c>
      <c r="C270" s="144" t="str">
        <f>IFERROR(__xludf.DUMMYFUNCTION("""COMPUTED_VALUE"""),"24MB401")</f>
        <v>24MB401</v>
      </c>
      <c r="D270" s="144" t="str">
        <f>IFERROR(__xludf.DUMMYFUNCTION("""COMPUTED_VALUE"""),"INTERNATIONAL BUSINESS MANAGEMENT")</f>
        <v>INTERNATIONAL BUSINESS MANAGEMENT</v>
      </c>
      <c r="E270" s="144" t="str">
        <f>IFERROR(__xludf.DUMMYFUNCTION("""COMPUTED_VALUE"""),"THEORY")</f>
        <v>THEORY</v>
      </c>
      <c r="F270" s="144" t="str">
        <f>IFERROR(__xludf.DUMMYFUNCTION("""COMPUTED_VALUE"""),"SM11188")</f>
        <v>SM11188</v>
      </c>
      <c r="G270" s="144" t="str">
        <f>IFERROR(__xludf.DUMMYFUNCTION("""COMPUTED_VALUE"""),"Dr.ADHINARAYANAN B")</f>
        <v>Dr.ADHINARAYANAN B</v>
      </c>
      <c r="H270" s="144" t="str">
        <f>IFERROR(__xludf.DUMMYFUNCTION("""COMPUTED_VALUE"""),"adhinarayananb@bitsathy.ac.in")</f>
        <v>adhinarayananb@bitsathy.ac.in</v>
      </c>
    </row>
    <row r="271">
      <c r="A271" s="144" t="str">
        <f>IFERROR(__xludf.DUMMYFUNCTION("""COMPUTED_VALUE"""),"SMS")</f>
        <v>SMS</v>
      </c>
      <c r="B271" s="144" t="str">
        <f>IFERROR(__xludf.DUMMYFUNCTION("""COMPUTED_VALUE"""),"S4")</f>
        <v>S4</v>
      </c>
      <c r="C271" s="144" t="str">
        <f>IFERROR(__xludf.DUMMYFUNCTION("""COMPUTED_VALUE"""),"24MBM01")</f>
        <v>24MBM01</v>
      </c>
      <c r="D271" s="144" t="str">
        <f>IFERROR(__xludf.DUMMYFUNCTION("""COMPUTED_VALUE"""),"BRAND MANAGEMENT")</f>
        <v>BRAND MANAGEMENT</v>
      </c>
      <c r="E271" s="144" t="str">
        <f>IFERROR(__xludf.DUMMYFUNCTION("""COMPUTED_VALUE"""),"THEORY")</f>
        <v>THEORY</v>
      </c>
      <c r="F271" s="144" t="str">
        <f>IFERROR(__xludf.DUMMYFUNCTION("""COMPUTED_VALUE"""),"SM10346")</f>
        <v>SM10346</v>
      </c>
      <c r="G271" s="144" t="str">
        <f>IFERROR(__xludf.DUMMYFUNCTION("""COMPUTED_VALUE"""),"Mrs.NANDHINI B")</f>
        <v>Mrs.NANDHINI B</v>
      </c>
      <c r="H271" s="144" t="str">
        <f>IFERROR(__xludf.DUMMYFUNCTION("""COMPUTED_VALUE"""),"nandhinib@bitsathy.ac.in")</f>
        <v>nandhinib@bitsathy.ac.in</v>
      </c>
    </row>
    <row r="272">
      <c r="A272" s="144" t="str">
        <f>IFERROR(__xludf.DUMMYFUNCTION("""COMPUTED_VALUE"""),"SMS")</f>
        <v>SMS</v>
      </c>
      <c r="B272" s="144" t="str">
        <f>IFERROR(__xludf.DUMMYFUNCTION("""COMPUTED_VALUE"""),"S4")</f>
        <v>S4</v>
      </c>
      <c r="C272" s="144" t="str">
        <f>IFERROR(__xludf.DUMMYFUNCTION("""COMPUTED_VALUE"""),"24MBM02")</f>
        <v>24MBM02</v>
      </c>
      <c r="D272" s="144" t="str">
        <f>IFERROR(__xludf.DUMMYFUNCTION("""COMPUTED_VALUE"""),"CUSTOMER RELATIONSHIP MANAGEMENT")</f>
        <v>CUSTOMER RELATIONSHIP MANAGEMENT</v>
      </c>
      <c r="E272" s="144" t="str">
        <f>IFERROR(__xludf.DUMMYFUNCTION("""COMPUTED_VALUE"""),"THEORY")</f>
        <v>THEORY</v>
      </c>
      <c r="F272" s="144" t="str">
        <f>IFERROR(__xludf.DUMMYFUNCTION("""COMPUTED_VALUE"""),"SM11187")</f>
        <v>SM11187</v>
      </c>
      <c r="G272" s="144" t="str">
        <f>IFERROR(__xludf.DUMMYFUNCTION("""COMPUTED_VALUE"""),"Mr.DHANABALU S N")</f>
        <v>Mr.DHANABALU S N</v>
      </c>
      <c r="H272" s="144" t="str">
        <f>IFERROR(__xludf.DUMMYFUNCTION("""COMPUTED_VALUE"""),"dhanabalusn@bitsathy.ac.in")</f>
        <v>dhanabalusn@bitsathy.ac.in</v>
      </c>
    </row>
    <row r="273">
      <c r="A273" s="144" t="str">
        <f>IFERROR(__xludf.DUMMYFUNCTION("""COMPUTED_VALUE"""),"SMS")</f>
        <v>SMS</v>
      </c>
      <c r="B273" s="144" t="str">
        <f>IFERROR(__xludf.DUMMYFUNCTION("""COMPUTED_VALUE"""),"S4")</f>
        <v>S4</v>
      </c>
      <c r="C273" s="144" t="str">
        <f>IFERROR(__xludf.DUMMYFUNCTION("""COMPUTED_VALUE"""),"24MBF01")</f>
        <v>24MBF01</v>
      </c>
      <c r="D273" s="144" t="str">
        <f>IFERROR(__xludf.DUMMYFUNCTION("""COMPUTED_VALUE"""),"BANKING SYSTEM AND PRACTICES")</f>
        <v>BANKING SYSTEM AND PRACTICES</v>
      </c>
      <c r="E273" s="144" t="str">
        <f>IFERROR(__xludf.DUMMYFUNCTION("""COMPUTED_VALUE"""),"THEORY")</f>
        <v>THEORY</v>
      </c>
      <c r="F273" s="144" t="str">
        <f>IFERROR(__xludf.DUMMYFUNCTION("""COMPUTED_VALUE"""),"SM11187")</f>
        <v>SM11187</v>
      </c>
      <c r="G273" s="144" t="str">
        <f>IFERROR(__xludf.DUMMYFUNCTION("""COMPUTED_VALUE"""),"Mr.DHANABALU S N")</f>
        <v>Mr.DHANABALU S N</v>
      </c>
      <c r="H273" s="144" t="str">
        <f>IFERROR(__xludf.DUMMYFUNCTION("""COMPUTED_VALUE"""),"dhanabalusn@bitsathy.ac.in")</f>
        <v>dhanabalusn@bitsathy.ac.in</v>
      </c>
    </row>
    <row r="274">
      <c r="A274" s="144" t="str">
        <f>IFERROR(__xludf.DUMMYFUNCTION("""COMPUTED_VALUE"""),"SMS")</f>
        <v>SMS</v>
      </c>
      <c r="B274" s="144" t="str">
        <f>IFERROR(__xludf.DUMMYFUNCTION("""COMPUTED_VALUE"""),"S4")</f>
        <v>S4</v>
      </c>
      <c r="C274" s="144" t="str">
        <f>IFERROR(__xludf.DUMMYFUNCTION("""COMPUTED_VALUE"""),"24MBF08")</f>
        <v>24MBF08</v>
      </c>
      <c r="D274" s="144" t="str">
        <f>IFERROR(__xludf.DUMMYFUNCTION("""COMPUTED_VALUE"""),"FINANCIAL MODELING")</f>
        <v>FINANCIAL MODELING</v>
      </c>
      <c r="E274" s="144" t="str">
        <f>IFERROR(__xludf.DUMMYFUNCTION("""COMPUTED_VALUE"""),"THEORY")</f>
        <v>THEORY</v>
      </c>
      <c r="F274" s="144" t="str">
        <f>IFERROR(__xludf.DUMMYFUNCTION("""COMPUTED_VALUE"""),"SM11065")</f>
        <v>SM11065</v>
      </c>
      <c r="G274" s="144" t="str">
        <f>IFERROR(__xludf.DUMMYFUNCTION("""COMPUTED_VALUE"""),"Mr.SENTHIL KUMAR N")</f>
        <v>Mr.SENTHIL KUMAR N</v>
      </c>
      <c r="H274" s="144" t="str">
        <f>IFERROR(__xludf.DUMMYFUNCTION("""COMPUTED_VALUE"""),"senthilkumar@bitsathy.ac.in")</f>
        <v>senthilkumar@bitsathy.ac.in</v>
      </c>
    </row>
    <row r="275">
      <c r="A275" s="144" t="str">
        <f>IFERROR(__xludf.DUMMYFUNCTION("""COMPUTED_VALUE"""),"SMS")</f>
        <v>SMS</v>
      </c>
      <c r="B275" s="144" t="str">
        <f>IFERROR(__xludf.DUMMYFUNCTION("""COMPUTED_VALUE"""),"S4")</f>
        <v>S4</v>
      </c>
      <c r="C275" s="144" t="str">
        <f>IFERROR(__xludf.DUMMYFUNCTION("""COMPUTED_VALUE"""),"24MBH01")</f>
        <v>24MBH01</v>
      </c>
      <c r="D275" s="144" t="str">
        <f>IFERROR(__xludf.DUMMYFUNCTION("""COMPUTED_VALUE"""),"INDUSTRIAL RELATIONS AND LABOUR LAWS")</f>
        <v>INDUSTRIAL RELATIONS AND LABOUR LAWS</v>
      </c>
      <c r="E275" s="144" t="str">
        <f>IFERROR(__xludf.DUMMYFUNCTION("""COMPUTED_VALUE"""),"THEORY")</f>
        <v>THEORY</v>
      </c>
      <c r="F275" s="144" t="str">
        <f>IFERROR(__xludf.DUMMYFUNCTION("""COMPUTED_VALUE"""),"SM11133")</f>
        <v>SM11133</v>
      </c>
      <c r="G275" s="144" t="str">
        <f>IFERROR(__xludf.DUMMYFUNCTION("""COMPUTED_VALUE"""),"Mr.MAGESWARAN J")</f>
        <v>Mr.MAGESWARAN J</v>
      </c>
      <c r="H275" s="144" t="str">
        <f>IFERROR(__xludf.DUMMYFUNCTION("""COMPUTED_VALUE"""),"mageswaran@bitsathy.ac.in")</f>
        <v>mageswaran@bitsathy.ac.in</v>
      </c>
    </row>
    <row r="276">
      <c r="A276" s="144" t="str">
        <f>IFERROR(__xludf.DUMMYFUNCTION("""COMPUTED_VALUE"""),"SMS")</f>
        <v>SMS</v>
      </c>
      <c r="B276" s="144" t="str">
        <f>IFERROR(__xludf.DUMMYFUNCTION("""COMPUTED_VALUE"""),"S4")</f>
        <v>S4</v>
      </c>
      <c r="C276" s="144" t="str">
        <f>IFERROR(__xludf.DUMMYFUNCTION("""COMPUTED_VALUE"""),"24MBH09")</f>
        <v>24MBH09</v>
      </c>
      <c r="D276" s="144" t="str">
        <f>IFERROR(__xludf.DUMMYFUNCTION("""COMPUTED_VALUE"""),"HR ANALYTICS")</f>
        <v>HR ANALYTICS</v>
      </c>
      <c r="E276" s="144" t="str">
        <f>IFERROR(__xludf.DUMMYFUNCTION("""COMPUTED_VALUE"""),"THEORY")</f>
        <v>THEORY</v>
      </c>
      <c r="F276" s="144" t="str">
        <f>IFERROR(__xludf.DUMMYFUNCTION("""COMPUTED_VALUE"""),"SM11186")</f>
        <v>SM11186</v>
      </c>
      <c r="G276" s="144" t="str">
        <f>IFERROR(__xludf.DUMMYFUNCTION("""COMPUTED_VALUE"""),"Mr.SUGANESH S")</f>
        <v>Mr.SUGANESH S</v>
      </c>
      <c r="H276" s="144" t="str">
        <f>IFERROR(__xludf.DUMMYFUNCTION("""COMPUTED_VALUE"""),"suganeshs@bitsathy.ac.in")</f>
        <v>suganeshs@bitsathy.ac.in</v>
      </c>
    </row>
    <row r="277">
      <c r="A277" s="144" t="str">
        <f>IFERROR(__xludf.DUMMYFUNCTION("""COMPUTED_VALUE"""),"SMS")</f>
        <v>SMS</v>
      </c>
      <c r="B277" s="144" t="str">
        <f>IFERROR(__xludf.DUMMYFUNCTION("""COMPUTED_VALUE"""),"S4")</f>
        <v>S4</v>
      </c>
      <c r="C277" s="144" t="str">
        <f>IFERROR(__xludf.DUMMYFUNCTION("""COMPUTED_VALUE"""),"24MB402")</f>
        <v>24MB402</v>
      </c>
      <c r="D277" s="144" t="str">
        <f>IFERROR(__xludf.DUMMYFUNCTION("""COMPUTED_VALUE"""),"PROJECT")</f>
        <v>PROJECT</v>
      </c>
      <c r="E277" s="144"/>
      <c r="F277" s="144" t="str">
        <f>IFERROR(__xludf.DUMMYFUNCTION("""COMPUTED_VALUE"""),"SM11186")</f>
        <v>SM11186</v>
      </c>
      <c r="G277" s="144" t="str">
        <f>IFERROR(__xludf.DUMMYFUNCTION("""COMPUTED_VALUE"""),"Mr.SUGANESH S")</f>
        <v>Mr.SUGANESH S</v>
      </c>
      <c r="H277" s="144" t="str">
        <f>IFERROR(__xludf.DUMMYFUNCTION("""COMPUTED_VALUE"""),"suganeshs@bitsathy.ac.in")</f>
        <v>suganeshs@bitsathy.ac.in</v>
      </c>
    </row>
    <row r="278">
      <c r="A278" s="144" t="str">
        <f>IFERROR(__xludf.DUMMYFUNCTION("""COMPUTED_VALUE"""),"SMS")</f>
        <v>SMS</v>
      </c>
      <c r="B278" s="144" t="str">
        <f>IFERROR(__xludf.DUMMYFUNCTION("""COMPUTED_VALUE"""),"S4")</f>
        <v>S4</v>
      </c>
      <c r="C278" s="144" t="str">
        <f>IFERROR(__xludf.DUMMYFUNCTION("""COMPUTED_VALUE"""),"24MB403")</f>
        <v>24MB403</v>
      </c>
      <c r="D278" s="144" t="str">
        <f>IFERROR(__xludf.DUMMYFUNCTION("""COMPUTED_VALUE"""),"COMPREHENSIVE VIVA-VOCE - II")</f>
        <v>COMPREHENSIVE VIVA-VOCE - II</v>
      </c>
      <c r="E278" s="144"/>
      <c r="F278" s="144" t="str">
        <f>IFERROR(__xludf.DUMMYFUNCTION("""COMPUTED_VALUE"""),"SM11188")</f>
        <v>SM11188</v>
      </c>
      <c r="G278" s="144" t="str">
        <f>IFERROR(__xludf.DUMMYFUNCTION("""COMPUTED_VALUE"""),"Dr.ADHINARAYANAN B")</f>
        <v>Dr.ADHINARAYANAN B</v>
      </c>
      <c r="H278" s="144" t="str">
        <f>IFERROR(__xludf.DUMMYFUNCTION("""COMPUTED_VALUE"""),"adhinarayananb@bitsathy.ac.in")</f>
        <v>adhinarayananb@bitsathy.ac.in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1.13"/>
    <col customWidth="1" min="6" max="6" width="24.25"/>
  </cols>
  <sheetData>
    <row r="1" ht="36.75" customHeight="1">
      <c r="A1" s="127" t="str">
        <f t="array" ref="A1:E485">sort(UNIQUE('Consolidated Sheet'!A:E),5,0)</f>
        <v>AGRI</v>
      </c>
      <c r="B1" s="127" t="s">
        <v>1572</v>
      </c>
      <c r="C1" s="127" t="s">
        <v>1573</v>
      </c>
      <c r="D1" s="127" t="s">
        <v>1589</v>
      </c>
      <c r="E1" s="127" t="s">
        <v>1590</v>
      </c>
      <c r="F1" s="145" t="s">
        <v>2044</v>
      </c>
    </row>
    <row r="2" ht="49.5" hidden="1" customHeight="1">
      <c r="A2" s="121" t="s">
        <v>4</v>
      </c>
      <c r="B2" s="121" t="s">
        <v>1572</v>
      </c>
      <c r="C2" s="121" t="s">
        <v>1573</v>
      </c>
      <c r="D2" s="121" t="s">
        <v>1589</v>
      </c>
      <c r="E2" s="133" t="s">
        <v>1590</v>
      </c>
      <c r="F2" s="121" t="str">
        <f>IFERROR(__xludf.DUMMYFUNCTION("TEXTJOIN("","",1,FILTER(A:A,E:E=E2))"),"AGRI,AIDS,AIML,BT,CSE,EEE,ECE,EIE,IT,MECH,MTRS")</f>
        <v>AGRI,AIDS,AIML,BT,CSE,EEE,ECE,EIE,IT,MECH,MTRS</v>
      </c>
    </row>
    <row r="3" ht="49.5" hidden="1" customHeight="1">
      <c r="A3" s="121" t="s">
        <v>9</v>
      </c>
      <c r="B3" s="121" t="s">
        <v>1572</v>
      </c>
      <c r="C3" s="121" t="s">
        <v>1573</v>
      </c>
      <c r="D3" s="121" t="s">
        <v>1589</v>
      </c>
      <c r="E3" s="133" t="s">
        <v>1590</v>
      </c>
      <c r="F3" s="121" t="str">
        <f>IFERROR(__xludf.DUMMYFUNCTION("TEXTJOIN("","",1,FILTER(A:A,E:E=E3))"),"AGRI,AIDS,AIML,BT,CSE,EEE,ECE,EIE,IT,MECH,MTRS")</f>
        <v>AGRI,AIDS,AIML,BT,CSE,EEE,ECE,EIE,IT,MECH,MTRS</v>
      </c>
    </row>
    <row r="4" ht="49.5" hidden="1" customHeight="1">
      <c r="A4" s="121" t="s">
        <v>13</v>
      </c>
      <c r="B4" s="121" t="s">
        <v>1572</v>
      </c>
      <c r="C4" s="121" t="s">
        <v>1573</v>
      </c>
      <c r="D4" s="121" t="s">
        <v>1589</v>
      </c>
      <c r="E4" s="133" t="s">
        <v>1590</v>
      </c>
      <c r="F4" s="121" t="str">
        <f>IFERROR(__xludf.DUMMYFUNCTION("TEXTJOIN("","",1,FILTER(A:A,E:E=E4))"),"AGRI,AIDS,AIML,BT,CSE,EEE,ECE,EIE,IT,MECH,MTRS")</f>
        <v>AGRI,AIDS,AIML,BT,CSE,EEE,ECE,EIE,IT,MECH,MTRS</v>
      </c>
    </row>
    <row r="5" ht="49.5" hidden="1" customHeight="1">
      <c r="A5" s="121" t="s">
        <v>18</v>
      </c>
      <c r="B5" s="121" t="s">
        <v>1572</v>
      </c>
      <c r="C5" s="121" t="s">
        <v>1573</v>
      </c>
      <c r="D5" s="121" t="s">
        <v>1589</v>
      </c>
      <c r="E5" s="133" t="s">
        <v>1590</v>
      </c>
      <c r="F5" s="121" t="str">
        <f>IFERROR(__xludf.DUMMYFUNCTION("TEXTJOIN("","",1,FILTER(A:A,E:E=E5))"),"AGRI,AIDS,AIML,BT,CSE,EEE,ECE,EIE,IT,MECH,MTRS")</f>
        <v>AGRI,AIDS,AIML,BT,CSE,EEE,ECE,EIE,IT,MECH,MTRS</v>
      </c>
    </row>
    <row r="6" ht="49.5" hidden="1" customHeight="1">
      <c r="A6" s="121" t="s">
        <v>27</v>
      </c>
      <c r="B6" s="121" t="s">
        <v>1572</v>
      </c>
      <c r="C6" s="121" t="s">
        <v>1573</v>
      </c>
      <c r="D6" s="121" t="s">
        <v>1589</v>
      </c>
      <c r="E6" s="133" t="s">
        <v>1590</v>
      </c>
      <c r="F6" s="121" t="str">
        <f>IFERROR(__xludf.DUMMYFUNCTION("TEXTJOIN("","",1,FILTER(A:A,E:E=E6))"),"AGRI,AIDS,AIML,BT,CSE,EEE,ECE,EIE,IT,MECH,MTRS")</f>
        <v>AGRI,AIDS,AIML,BT,CSE,EEE,ECE,EIE,IT,MECH,MTRS</v>
      </c>
    </row>
    <row r="7" ht="49.5" hidden="1" customHeight="1">
      <c r="A7" s="121" t="s">
        <v>32</v>
      </c>
      <c r="B7" s="121" t="s">
        <v>1572</v>
      </c>
      <c r="C7" s="121" t="s">
        <v>1573</v>
      </c>
      <c r="D7" s="121" t="s">
        <v>1589</v>
      </c>
      <c r="E7" s="133" t="s">
        <v>1590</v>
      </c>
      <c r="F7" s="121" t="str">
        <f>IFERROR(__xludf.DUMMYFUNCTION("TEXTJOIN("","",1,FILTER(A:A,E:E=E7))"),"AGRI,AIDS,AIML,BT,CSE,EEE,ECE,EIE,IT,MECH,MTRS")</f>
        <v>AGRI,AIDS,AIML,BT,CSE,EEE,ECE,EIE,IT,MECH,MTRS</v>
      </c>
    </row>
    <row r="8" ht="49.5" hidden="1" customHeight="1">
      <c r="A8" s="121" t="s">
        <v>37</v>
      </c>
      <c r="B8" s="121" t="s">
        <v>1572</v>
      </c>
      <c r="C8" s="121" t="s">
        <v>1573</v>
      </c>
      <c r="D8" s="121" t="s">
        <v>1589</v>
      </c>
      <c r="E8" s="133" t="s">
        <v>1590</v>
      </c>
      <c r="F8" s="121" t="str">
        <f>IFERROR(__xludf.DUMMYFUNCTION("TEXTJOIN("","",1,FILTER(A:A,E:E=E8))"),"AGRI,AIDS,AIML,BT,CSE,EEE,ECE,EIE,IT,MECH,MTRS")</f>
        <v>AGRI,AIDS,AIML,BT,CSE,EEE,ECE,EIE,IT,MECH,MTRS</v>
      </c>
    </row>
    <row r="9" ht="49.5" hidden="1" customHeight="1">
      <c r="A9" s="121" t="s">
        <v>40</v>
      </c>
      <c r="B9" s="121" t="s">
        <v>1572</v>
      </c>
      <c r="C9" s="121" t="s">
        <v>1573</v>
      </c>
      <c r="D9" s="121" t="s">
        <v>1589</v>
      </c>
      <c r="E9" s="133" t="s">
        <v>1590</v>
      </c>
      <c r="F9" s="121" t="str">
        <f>IFERROR(__xludf.DUMMYFUNCTION("TEXTJOIN("","",1,FILTER(A:A,E:E=E9))"),"AGRI,AIDS,AIML,BT,CSE,EEE,ECE,EIE,IT,MECH,MTRS")</f>
        <v>AGRI,AIDS,AIML,BT,CSE,EEE,ECE,EIE,IT,MECH,MTRS</v>
      </c>
    </row>
    <row r="10" ht="49.5" hidden="1" customHeight="1">
      <c r="A10" s="121" t="s">
        <v>43</v>
      </c>
      <c r="B10" s="121" t="s">
        <v>1572</v>
      </c>
      <c r="C10" s="121" t="s">
        <v>1573</v>
      </c>
      <c r="D10" s="121" t="s">
        <v>1589</v>
      </c>
      <c r="E10" s="133" t="s">
        <v>1590</v>
      </c>
      <c r="F10" s="121" t="str">
        <f>IFERROR(__xludf.DUMMYFUNCTION("TEXTJOIN("","",1,FILTER(A:A,E:E=E10))"),"AGRI,AIDS,AIML,BT,CSE,EEE,ECE,EIE,IT,MECH,MTRS")</f>
        <v>AGRI,AIDS,AIML,BT,CSE,EEE,ECE,EIE,IT,MECH,MTRS</v>
      </c>
    </row>
    <row r="11" ht="49.5" hidden="1" customHeight="1">
      <c r="A11" s="121" t="s">
        <v>46</v>
      </c>
      <c r="B11" s="121" t="s">
        <v>1572</v>
      </c>
      <c r="C11" s="121" t="s">
        <v>1573</v>
      </c>
      <c r="D11" s="121" t="s">
        <v>1589</v>
      </c>
      <c r="E11" s="133" t="s">
        <v>1590</v>
      </c>
      <c r="F11" s="121" t="str">
        <f>IFERROR(__xludf.DUMMYFUNCTION("TEXTJOIN("","",1,FILTER(A:A,E:E=E11))"),"AGRI,AIDS,AIML,BT,CSE,EEE,ECE,EIE,IT,MECH,MTRS")</f>
        <v>AGRI,AIDS,AIML,BT,CSE,EEE,ECE,EIE,IT,MECH,MTRS</v>
      </c>
    </row>
    <row r="12" ht="49.5" hidden="1" customHeight="1">
      <c r="A12" s="121" t="s">
        <v>43</v>
      </c>
      <c r="B12" s="121" t="s">
        <v>1949</v>
      </c>
      <c r="C12" s="121" t="s">
        <v>1755</v>
      </c>
      <c r="D12" s="121" t="s">
        <v>1960</v>
      </c>
      <c r="E12" s="133" t="s">
        <v>1961</v>
      </c>
      <c r="F12" s="121" t="str">
        <f>IFERROR(__xludf.DUMMYFUNCTION("TEXTJOIN("","",1,FILTER(A:A,E:E=E12))"),"MECH")</f>
        <v>MECH</v>
      </c>
    </row>
    <row r="13" ht="49.5" hidden="1" customHeight="1">
      <c r="A13" s="121" t="s">
        <v>32</v>
      </c>
      <c r="B13" s="121" t="s">
        <v>1612</v>
      </c>
      <c r="C13" s="121" t="s">
        <v>1623</v>
      </c>
      <c r="D13" s="121" t="s">
        <v>1860</v>
      </c>
      <c r="E13" s="133" t="s">
        <v>1861</v>
      </c>
      <c r="F13" s="121" t="str">
        <f>IFERROR(__xludf.DUMMYFUNCTION("TEXTJOIN("","",1,FILTER(A:A,E:E=E13))"),"ECE")</f>
        <v>ECE</v>
      </c>
    </row>
    <row r="14" ht="49.5" hidden="1" customHeight="1">
      <c r="A14" s="121" t="s">
        <v>27</v>
      </c>
      <c r="B14" s="121" t="s">
        <v>1612</v>
      </c>
      <c r="C14" s="121" t="s">
        <v>1619</v>
      </c>
      <c r="D14" s="121" t="s">
        <v>162</v>
      </c>
      <c r="E14" s="133" t="s">
        <v>163</v>
      </c>
      <c r="F14" s="121" t="str">
        <f>IFERROR(__xludf.DUMMYFUNCTION("TEXTJOIN("","",1,FILTER(A:A,E:E=E14))"),"EEE")</f>
        <v>EEE</v>
      </c>
    </row>
    <row r="15" ht="49.5" customHeight="1">
      <c r="A15" s="121" t="s">
        <v>4</v>
      </c>
      <c r="B15" s="121" t="s">
        <v>1596</v>
      </c>
      <c r="C15" s="121" t="s">
        <v>1573</v>
      </c>
      <c r="D15" s="121" t="s">
        <v>1652</v>
      </c>
      <c r="E15" s="133" t="s">
        <v>1653</v>
      </c>
      <c r="F15" s="121" t="str">
        <f>IFERROR(__xludf.DUMMYFUNCTION("TEXTJOIN("","",1,FILTER(A:A,E:E=E15))"),"AIDS,AIML,CSE,IT")</f>
        <v>AIDS,AIML,CSE,IT</v>
      </c>
    </row>
    <row r="16" ht="49.5" customHeight="1">
      <c r="A16" s="121" t="s">
        <v>9</v>
      </c>
      <c r="B16" s="121" t="s">
        <v>1596</v>
      </c>
      <c r="C16" s="121" t="s">
        <v>1573</v>
      </c>
      <c r="D16" s="121" t="s">
        <v>1672</v>
      </c>
      <c r="E16" s="133" t="s">
        <v>1653</v>
      </c>
      <c r="F16" s="121" t="str">
        <f>IFERROR(__xludf.DUMMYFUNCTION("TEXTJOIN("","",1,FILTER(A:A,E:E=E16))"),"AIDS,AIML,CSE,IT")</f>
        <v>AIDS,AIML,CSE,IT</v>
      </c>
    </row>
    <row r="17" ht="49.5" customHeight="1">
      <c r="A17" s="121" t="s">
        <v>18</v>
      </c>
      <c r="B17" s="121" t="s">
        <v>1596</v>
      </c>
      <c r="C17" s="121" t="s">
        <v>1573</v>
      </c>
      <c r="D17" s="121" t="s">
        <v>1731</v>
      </c>
      <c r="E17" s="133" t="s">
        <v>1653</v>
      </c>
      <c r="F17" s="121" t="str">
        <f>IFERROR(__xludf.DUMMYFUNCTION("TEXTJOIN("","",1,FILTER(A:A,E:E=E17))"),"AIDS,AIML,CSE,IT")</f>
        <v>AIDS,AIML,CSE,IT</v>
      </c>
    </row>
    <row r="18" ht="49.5" customHeight="1">
      <c r="A18" s="121" t="s">
        <v>40</v>
      </c>
      <c r="B18" s="121" t="s">
        <v>1596</v>
      </c>
      <c r="C18" s="121" t="s">
        <v>1573</v>
      </c>
      <c r="D18" s="121" t="s">
        <v>1901</v>
      </c>
      <c r="E18" s="133" t="s">
        <v>1653</v>
      </c>
      <c r="F18" s="121" t="str">
        <f>IFERROR(__xludf.DUMMYFUNCTION("TEXTJOIN("","",1,FILTER(A:A,E:E=E18))"),"AIDS,AIML,CSE,IT")</f>
        <v>AIDS,AIML,CSE,IT</v>
      </c>
    </row>
    <row r="19" ht="49.5" hidden="1" customHeight="1">
      <c r="A19" s="121" t="s">
        <v>1995</v>
      </c>
      <c r="B19" s="121" t="s">
        <v>1572</v>
      </c>
      <c r="C19" s="121" t="s">
        <v>2010</v>
      </c>
      <c r="D19" s="121" t="s">
        <v>2011</v>
      </c>
      <c r="E19" s="133" t="s">
        <v>2012</v>
      </c>
      <c r="F19" s="121" t="str">
        <f>IFERROR(__xludf.DUMMYFUNCTION("TEXTJOIN("","",1,FILTER(A:A,E:E=E19))"),"SMS")</f>
        <v>SMS</v>
      </c>
    </row>
    <row r="20" ht="49.5" hidden="1" customHeight="1">
      <c r="A20" s="121" t="s">
        <v>32</v>
      </c>
      <c r="B20" s="121" t="s">
        <v>1612</v>
      </c>
      <c r="C20" s="121" t="s">
        <v>1620</v>
      </c>
      <c r="D20" s="121" t="s">
        <v>176</v>
      </c>
      <c r="E20" s="133" t="s">
        <v>177</v>
      </c>
      <c r="F20" s="121" t="str">
        <f>IFERROR(__xludf.DUMMYFUNCTION("TEXTJOIN("","",1,FILTER(A:A,E:E=E20))"),"ECE")</f>
        <v>ECE</v>
      </c>
    </row>
    <row r="21" ht="49.5" hidden="1" customHeight="1">
      <c r="A21" s="121" t="s">
        <v>46</v>
      </c>
      <c r="B21" s="121" t="s">
        <v>1612</v>
      </c>
      <c r="C21" s="121" t="s">
        <v>1620</v>
      </c>
      <c r="D21" s="121" t="s">
        <v>1886</v>
      </c>
      <c r="E21" s="133" t="s">
        <v>1887</v>
      </c>
      <c r="F21" s="121" t="str">
        <f>IFERROR(__xludf.DUMMYFUNCTION("TEXTJOIN("","",1,FILTER(A:A,E:E=E21))"),"MTRS")</f>
        <v>MTRS</v>
      </c>
    </row>
    <row r="22" ht="49.5" hidden="1" customHeight="1">
      <c r="A22" s="121" t="s">
        <v>143</v>
      </c>
      <c r="B22" s="121" t="s">
        <v>1612</v>
      </c>
      <c r="C22" s="121" t="s">
        <v>1622</v>
      </c>
      <c r="D22" s="121" t="s">
        <v>144</v>
      </c>
      <c r="E22" s="133" t="s">
        <v>145</v>
      </c>
      <c r="F22" s="121" t="str">
        <f>IFERROR(__xludf.DUMMYFUNCTION("TEXTJOIN("","",1,FILTER(A:A,E:E=E22))"),"CSD")</f>
        <v>CSD</v>
      </c>
    </row>
    <row r="23" ht="49.5" hidden="1" customHeight="1">
      <c r="A23" s="121" t="s">
        <v>9</v>
      </c>
      <c r="B23" s="121" t="s">
        <v>1612</v>
      </c>
      <c r="C23" s="121" t="s">
        <v>1623</v>
      </c>
      <c r="D23" s="121" t="s">
        <v>1677</v>
      </c>
      <c r="E23" s="133" t="s">
        <v>1678</v>
      </c>
      <c r="F23" s="121" t="str">
        <f>IFERROR(__xludf.DUMMYFUNCTION("TEXTJOIN("","",1,FILTER(A:A,E:E=E23))"),"AIML")</f>
        <v>AIML</v>
      </c>
    </row>
    <row r="24" ht="49.5" hidden="1" customHeight="1">
      <c r="A24" s="121" t="s">
        <v>43</v>
      </c>
      <c r="B24" s="121" t="s">
        <v>1612</v>
      </c>
      <c r="C24" s="121" t="s">
        <v>1620</v>
      </c>
      <c r="D24" s="121" t="s">
        <v>240</v>
      </c>
      <c r="E24" s="133" t="s">
        <v>241</v>
      </c>
      <c r="F24" s="121" t="str">
        <f>IFERROR(__xludf.DUMMYFUNCTION("TEXTJOIN("","",1,FILTER(A:A,E:E=E24))"),"MECH")</f>
        <v>MECH</v>
      </c>
    </row>
    <row r="25" ht="49.5" hidden="1" customHeight="1">
      <c r="A25" s="121" t="s">
        <v>27</v>
      </c>
      <c r="B25" s="121" t="s">
        <v>1612</v>
      </c>
      <c r="C25" s="121" t="s">
        <v>86</v>
      </c>
      <c r="D25" s="121" t="s">
        <v>160</v>
      </c>
      <c r="E25" s="133" t="s">
        <v>161</v>
      </c>
      <c r="F25" s="121" t="str">
        <f>IFERROR(__xludf.DUMMYFUNCTION("TEXTJOIN("","",1,FILTER(A:A,E:E=E25))"),"EEE")</f>
        <v>EEE</v>
      </c>
    </row>
    <row r="26" ht="49.5" hidden="1" customHeight="1">
      <c r="A26" s="121" t="s">
        <v>13</v>
      </c>
      <c r="B26" s="121" t="s">
        <v>1612</v>
      </c>
      <c r="C26" s="121" t="s">
        <v>1621</v>
      </c>
      <c r="D26" s="121" t="s">
        <v>107</v>
      </c>
      <c r="E26" s="133" t="s">
        <v>108</v>
      </c>
      <c r="F26" s="121" t="str">
        <f>IFERROR(__xludf.DUMMYFUNCTION("TEXTJOIN("","",1,FILTER(A:A,E:E=E26))"),"BT")</f>
        <v>BT</v>
      </c>
    </row>
    <row r="27" ht="49.5" hidden="1" customHeight="1">
      <c r="A27" s="121" t="s">
        <v>4</v>
      </c>
      <c r="B27" s="121" t="s">
        <v>1596</v>
      </c>
      <c r="C27" s="121" t="s">
        <v>1607</v>
      </c>
      <c r="D27" s="121" t="s">
        <v>7</v>
      </c>
      <c r="E27" s="133" t="s">
        <v>8</v>
      </c>
      <c r="F27" s="121" t="str">
        <f>IFERROR(__xludf.DUMMYFUNCTION("TEXTJOIN("","",1,FILTER(A:A,E:E=E27))"),"AIDS,AIML,CSE,IT")</f>
        <v>AIDS,AIML,CSE,IT</v>
      </c>
    </row>
    <row r="28" ht="49.5" hidden="1" customHeight="1">
      <c r="A28" s="121" t="s">
        <v>9</v>
      </c>
      <c r="B28" s="121" t="s">
        <v>1596</v>
      </c>
      <c r="C28" s="121" t="s">
        <v>1607</v>
      </c>
      <c r="D28" s="121" t="s">
        <v>10</v>
      </c>
      <c r="E28" s="133" t="s">
        <v>8</v>
      </c>
      <c r="F28" s="121" t="str">
        <f>IFERROR(__xludf.DUMMYFUNCTION("TEXTJOIN("","",1,FILTER(A:A,E:E=E28))"),"AIDS,AIML,CSE,IT")</f>
        <v>AIDS,AIML,CSE,IT</v>
      </c>
    </row>
    <row r="29" ht="49.5" hidden="1" customHeight="1">
      <c r="A29" s="121" t="s">
        <v>18</v>
      </c>
      <c r="B29" s="121" t="s">
        <v>1596</v>
      </c>
      <c r="C29" s="121" t="s">
        <v>1607</v>
      </c>
      <c r="D29" s="121" t="s">
        <v>19</v>
      </c>
      <c r="E29" s="133" t="s">
        <v>8</v>
      </c>
      <c r="F29" s="121" t="str">
        <f>IFERROR(__xludf.DUMMYFUNCTION("TEXTJOIN("","",1,FILTER(A:A,E:E=E29))"),"AIDS,AIML,CSE,IT")</f>
        <v>AIDS,AIML,CSE,IT</v>
      </c>
    </row>
    <row r="30" ht="49.5" hidden="1" customHeight="1">
      <c r="A30" s="121" t="s">
        <v>40</v>
      </c>
      <c r="B30" s="121" t="s">
        <v>1596</v>
      </c>
      <c r="C30" s="121" t="s">
        <v>1607</v>
      </c>
      <c r="D30" s="121" t="s">
        <v>42</v>
      </c>
      <c r="E30" s="133" t="s">
        <v>8</v>
      </c>
      <c r="F30" s="121" t="str">
        <f>IFERROR(__xludf.DUMMYFUNCTION("TEXTJOIN("","",1,FILTER(A:A,E:E=E30))"),"AIDS,AIML,CSE,IT")</f>
        <v>AIDS,AIML,CSE,IT</v>
      </c>
    </row>
    <row r="31" ht="49.5" hidden="1" customHeight="1">
      <c r="A31" s="121" t="s">
        <v>43</v>
      </c>
      <c r="B31" s="121" t="s">
        <v>1612</v>
      </c>
      <c r="C31" s="121" t="s">
        <v>1622</v>
      </c>
      <c r="D31" s="121" t="s">
        <v>229</v>
      </c>
      <c r="E31" s="133" t="s">
        <v>230</v>
      </c>
      <c r="F31" s="121" t="str">
        <f>IFERROR(__xludf.DUMMYFUNCTION("TEXTJOIN("","",1,FILTER(A:A,E:E=E31))"),"MECH")</f>
        <v>MECH</v>
      </c>
    </row>
    <row r="32" ht="49.5" customHeight="1">
      <c r="A32" s="121" t="s">
        <v>200</v>
      </c>
      <c r="B32" s="121" t="s">
        <v>1612</v>
      </c>
      <c r="C32" s="121" t="s">
        <v>1620</v>
      </c>
      <c r="D32" s="121" t="s">
        <v>207</v>
      </c>
      <c r="E32" s="133" t="s">
        <v>208</v>
      </c>
      <c r="F32" s="121" t="str">
        <f>IFERROR(__xludf.DUMMYFUNCTION("TEXTJOIN("","",1,FILTER(A:A,E:E=E32))"),"FD")</f>
        <v>FD</v>
      </c>
    </row>
    <row r="33" ht="49.5" customHeight="1">
      <c r="A33" s="121" t="s">
        <v>0</v>
      </c>
      <c r="B33" s="121" t="s">
        <v>1596</v>
      </c>
      <c r="C33" s="121" t="s">
        <v>1573</v>
      </c>
      <c r="D33" s="121" t="s">
        <v>1603</v>
      </c>
      <c r="E33" s="133" t="s">
        <v>1604</v>
      </c>
      <c r="F33" s="121" t="str">
        <f>IFERROR(__xludf.DUMMYFUNCTION("TEXTJOIN("","",1,FILTER(A:A,E:E=E33))"),"AGRI,MTRS")</f>
        <v>AGRI,MTRS</v>
      </c>
    </row>
    <row r="34" ht="49.5" hidden="1" customHeight="1">
      <c r="A34" s="121" t="s">
        <v>46</v>
      </c>
      <c r="B34" s="121" t="s">
        <v>1596</v>
      </c>
      <c r="C34" s="121" t="s">
        <v>1573</v>
      </c>
      <c r="D34" s="121" t="s">
        <v>1876</v>
      </c>
      <c r="E34" s="133" t="s">
        <v>1604</v>
      </c>
      <c r="F34" s="121" t="str">
        <f>IFERROR(__xludf.DUMMYFUNCTION("TEXTJOIN("","",1,FILTER(A:A,E:E=E34))"),"AGRI,MTRS")</f>
        <v>AGRI,MTRS</v>
      </c>
    </row>
    <row r="35" ht="49.5" hidden="1" customHeight="1">
      <c r="A35" s="121" t="s">
        <v>0</v>
      </c>
      <c r="B35" s="121" t="s">
        <v>1596</v>
      </c>
      <c r="C35" s="121" t="s">
        <v>1607</v>
      </c>
      <c r="D35" s="121" t="s">
        <v>2</v>
      </c>
      <c r="E35" s="133" t="s">
        <v>3</v>
      </c>
      <c r="F35" s="121" t="str">
        <f>IFERROR(__xludf.DUMMYFUNCTION("TEXTJOIN("","",1,FILTER(A:A,E:E=E35))"),"AGRI")</f>
        <v>AGRI</v>
      </c>
    </row>
    <row r="36" ht="49.5" hidden="1" customHeight="1">
      <c r="A36" s="121" t="s">
        <v>111</v>
      </c>
      <c r="B36" s="121" t="s">
        <v>1612</v>
      </c>
      <c r="C36" s="121" t="s">
        <v>1623</v>
      </c>
      <c r="D36" s="121" t="s">
        <v>1828</v>
      </c>
      <c r="E36" s="133" t="s">
        <v>1829</v>
      </c>
      <c r="F36" s="121" t="str">
        <f>IFERROR(__xludf.DUMMYFUNCTION("TEXTJOIN("","",1,FILTER(A:A,E:E=E36))"),"CIVIL")</f>
        <v>CIVIL</v>
      </c>
    </row>
    <row r="37" ht="49.5" customHeight="1">
      <c r="A37" s="121" t="s">
        <v>111</v>
      </c>
      <c r="B37" s="121" t="s">
        <v>1612</v>
      </c>
      <c r="C37" s="121" t="s">
        <v>1573</v>
      </c>
      <c r="D37" s="121" t="s">
        <v>1822</v>
      </c>
      <c r="E37" s="133" t="s">
        <v>1823</v>
      </c>
      <c r="F37" s="121" t="str">
        <f>IFERROR(__xludf.DUMMYFUNCTION("TEXTJOIN("","",1,FILTER(A:A,E:E=E37))"),"CIVIL")</f>
        <v>CIVIL</v>
      </c>
    </row>
    <row r="38" ht="49.5" customHeight="1">
      <c r="A38" s="121" t="s">
        <v>0</v>
      </c>
      <c r="B38" s="121" t="s">
        <v>1596</v>
      </c>
      <c r="C38" s="121" t="s">
        <v>1573</v>
      </c>
      <c r="D38" s="121" t="s">
        <v>1601</v>
      </c>
      <c r="E38" s="133" t="s">
        <v>1602</v>
      </c>
      <c r="F38" s="121" t="str">
        <f>IFERROR(__xludf.DUMMYFUNCTION("TEXTJOIN("","",1,FILTER(A:A,E:E=E38))"),"AGRI,MECH,MTRS")</f>
        <v>AGRI,MECH,MTRS</v>
      </c>
    </row>
    <row r="39" ht="49.5" customHeight="1">
      <c r="A39" s="121" t="s">
        <v>43</v>
      </c>
      <c r="B39" s="121" t="s">
        <v>1596</v>
      </c>
      <c r="C39" s="121" t="s">
        <v>1573</v>
      </c>
      <c r="D39" s="121" t="s">
        <v>1944</v>
      </c>
      <c r="E39" s="133" t="s">
        <v>1602</v>
      </c>
      <c r="F39" s="121" t="str">
        <f>IFERROR(__xludf.DUMMYFUNCTION("TEXTJOIN("","",1,FILTER(A:A,E:E=E39))"),"AGRI,MECH,MTRS")</f>
        <v>AGRI,MECH,MTRS</v>
      </c>
    </row>
    <row r="40" ht="49.5" hidden="1" customHeight="1">
      <c r="A40" s="121" t="s">
        <v>46</v>
      </c>
      <c r="B40" s="121" t="s">
        <v>1596</v>
      </c>
      <c r="C40" s="121" t="s">
        <v>1573</v>
      </c>
      <c r="D40" s="121" t="s">
        <v>1875</v>
      </c>
      <c r="E40" s="133" t="s">
        <v>1602</v>
      </c>
      <c r="F40" s="121" t="str">
        <f>IFERROR(__xludf.DUMMYFUNCTION("TEXTJOIN("","",1,FILTER(A:A,E:E=E40))"),"AGRI,MECH,MTRS")</f>
        <v>AGRI,MECH,MTRS</v>
      </c>
    </row>
    <row r="41" ht="49.5" hidden="1" customHeight="1">
      <c r="A41" s="121" t="s">
        <v>0</v>
      </c>
      <c r="B41" s="121" t="s">
        <v>1572</v>
      </c>
      <c r="C41" s="121" t="s">
        <v>1573</v>
      </c>
      <c r="D41" s="121" t="s">
        <v>1586</v>
      </c>
      <c r="E41" s="133" t="s">
        <v>1587</v>
      </c>
      <c r="F41" s="121" t="str">
        <f>IFERROR(__xludf.DUMMYFUNCTION("TEXTJOIN("","",1,FILTER(A:A,E:E=E41))"),"AGRI,MECH,MTRS")</f>
        <v>AGRI,MECH,MTRS</v>
      </c>
    </row>
    <row r="42" ht="49.5" hidden="1" customHeight="1">
      <c r="A42" s="121" t="s">
        <v>43</v>
      </c>
      <c r="B42" s="121" t="s">
        <v>1572</v>
      </c>
      <c r="C42" s="121" t="s">
        <v>1573</v>
      </c>
      <c r="D42" s="121" t="s">
        <v>1586</v>
      </c>
      <c r="E42" s="133" t="s">
        <v>1587</v>
      </c>
      <c r="F42" s="121" t="str">
        <f>IFERROR(__xludf.DUMMYFUNCTION("TEXTJOIN("","",1,FILTER(A:A,E:E=E42))"),"AGRI,MECH,MTRS")</f>
        <v>AGRI,MECH,MTRS</v>
      </c>
    </row>
    <row r="43" ht="49.5" hidden="1" customHeight="1">
      <c r="A43" s="121" t="s">
        <v>46</v>
      </c>
      <c r="B43" s="121" t="s">
        <v>1572</v>
      </c>
      <c r="C43" s="121" t="s">
        <v>1573</v>
      </c>
      <c r="D43" s="121" t="s">
        <v>1586</v>
      </c>
      <c r="E43" s="133" t="s">
        <v>1587</v>
      </c>
      <c r="F43" s="121" t="str">
        <f>IFERROR(__xludf.DUMMYFUNCTION("TEXTJOIN("","",1,FILTER(A:A,E:E=E43))"),"AGRI,MECH,MTRS")</f>
        <v>AGRI,MECH,MTRS</v>
      </c>
    </row>
    <row r="44" ht="49.5" hidden="1" customHeight="1">
      <c r="A44" s="121" t="s">
        <v>9</v>
      </c>
      <c r="B44" s="121" t="s">
        <v>1612</v>
      </c>
      <c r="C44" s="121" t="s">
        <v>1619</v>
      </c>
      <c r="D44" s="121" t="s">
        <v>77</v>
      </c>
      <c r="E44" s="133" t="s">
        <v>78</v>
      </c>
      <c r="F44" s="121" t="str">
        <f>IFERROR(__xludf.DUMMYFUNCTION("TEXTJOIN("","",1,FILTER(A:A,E:E=E44))"),"AIML,CSE,IT")</f>
        <v>AIML,CSE,IT</v>
      </c>
    </row>
    <row r="45" ht="49.5" hidden="1" customHeight="1">
      <c r="A45" s="121" t="s">
        <v>18</v>
      </c>
      <c r="B45" s="121" t="s">
        <v>1612</v>
      </c>
      <c r="C45" s="121" t="s">
        <v>1619</v>
      </c>
      <c r="D45" s="121" t="s">
        <v>126</v>
      </c>
      <c r="E45" s="133" t="s">
        <v>78</v>
      </c>
      <c r="F45" s="121" t="str">
        <f>IFERROR(__xludf.DUMMYFUNCTION("TEXTJOIN("","",1,FILTER(A:A,E:E=E45))"),"AIML,CSE,IT")</f>
        <v>AIML,CSE,IT</v>
      </c>
    </row>
    <row r="46" ht="49.5" hidden="1" customHeight="1">
      <c r="A46" s="121" t="s">
        <v>40</v>
      </c>
      <c r="B46" s="121" t="s">
        <v>1612</v>
      </c>
      <c r="C46" s="121" t="s">
        <v>1619</v>
      </c>
      <c r="D46" s="121" t="s">
        <v>219</v>
      </c>
      <c r="E46" s="133" t="s">
        <v>78</v>
      </c>
      <c r="F46" s="121" t="str">
        <f>IFERROR(__xludf.DUMMYFUNCTION("TEXTJOIN("","",1,FILTER(A:A,E:E=E46))"),"AIML,CSE,IT")</f>
        <v>AIML,CSE,IT</v>
      </c>
    </row>
    <row r="47" ht="49.5" hidden="1" customHeight="1">
      <c r="A47" s="121" t="s">
        <v>18</v>
      </c>
      <c r="B47" s="121" t="s">
        <v>1612</v>
      </c>
      <c r="C47" s="121" t="s">
        <v>1619</v>
      </c>
      <c r="D47" s="121" t="s">
        <v>127</v>
      </c>
      <c r="E47" s="133" t="s">
        <v>128</v>
      </c>
      <c r="F47" s="121" t="str">
        <f>IFERROR(__xludf.DUMMYFUNCTION("TEXTJOIN("","",1,FILTER(A:A,E:E=E47))"),"CSE")</f>
        <v>CSE</v>
      </c>
    </row>
    <row r="48" ht="49.5" customHeight="1">
      <c r="A48" s="121" t="s">
        <v>40</v>
      </c>
      <c r="B48" s="121" t="s">
        <v>1612</v>
      </c>
      <c r="C48" s="121" t="s">
        <v>1681</v>
      </c>
      <c r="D48" s="121" t="s">
        <v>1909</v>
      </c>
      <c r="E48" s="133" t="s">
        <v>1910</v>
      </c>
      <c r="F48" s="121" t="str">
        <f>IFERROR(__xludf.DUMMYFUNCTION("TEXTJOIN("","",1,FILTER(A:A,E:E=E48))"),"IT")</f>
        <v>IT</v>
      </c>
    </row>
    <row r="49" ht="49.5" hidden="1" customHeight="1">
      <c r="A49" s="121" t="s">
        <v>24</v>
      </c>
      <c r="B49" s="121" t="s">
        <v>1596</v>
      </c>
      <c r="C49" s="121" t="s">
        <v>1573</v>
      </c>
      <c r="D49" s="121" t="s">
        <v>1703</v>
      </c>
      <c r="E49" s="133" t="s">
        <v>1704</v>
      </c>
      <c r="F49" s="121" t="str">
        <f>IFERROR(__xludf.DUMMYFUNCTION("TEXTJOIN("","",1,FILTER(A:A,E:E=E49))"),"CSBS")</f>
        <v>CSBS</v>
      </c>
    </row>
    <row r="50" ht="49.5" hidden="1" customHeight="1">
      <c r="A50" s="121" t="s">
        <v>18</v>
      </c>
      <c r="B50" s="121" t="s">
        <v>1612</v>
      </c>
      <c r="C50" s="121" t="s">
        <v>1620</v>
      </c>
      <c r="D50" s="121" t="s">
        <v>129</v>
      </c>
      <c r="E50" s="133" t="s">
        <v>130</v>
      </c>
      <c r="F50" s="121" t="str">
        <f>IFERROR(__xludf.DUMMYFUNCTION("TEXTJOIN("","",1,FILTER(A:A,E:E=E50))"),"CSE")</f>
        <v>CSE</v>
      </c>
    </row>
    <row r="51" ht="49.5" customHeight="1">
      <c r="A51" s="121" t="s">
        <v>193</v>
      </c>
      <c r="B51" s="121" t="s">
        <v>1612</v>
      </c>
      <c r="C51" s="121" t="s">
        <v>1623</v>
      </c>
      <c r="D51" s="121" t="s">
        <v>1989</v>
      </c>
      <c r="E51" s="133" t="s">
        <v>1990</v>
      </c>
      <c r="F51" s="121" t="str">
        <f>IFERROR(__xludf.DUMMYFUNCTION("TEXTJOIN("","",1,FILTER(A:A,E:E=E51))"),"FT")</f>
        <v>FT</v>
      </c>
    </row>
    <row r="52" ht="49.5" customHeight="1">
      <c r="A52" s="121" t="s">
        <v>32</v>
      </c>
      <c r="B52" s="121" t="s">
        <v>1596</v>
      </c>
      <c r="C52" s="121" t="s">
        <v>1573</v>
      </c>
      <c r="D52" s="121" t="s">
        <v>1842</v>
      </c>
      <c r="E52" s="133" t="s">
        <v>1843</v>
      </c>
      <c r="F52" s="121" t="str">
        <f>IFERROR(__xludf.DUMMYFUNCTION("TEXTJOIN("","",1,FILTER(A:A,E:E=E52))"),"ECE")</f>
        <v>ECE</v>
      </c>
    </row>
    <row r="53" ht="49.5" customHeight="1">
      <c r="A53" s="121" t="s">
        <v>37</v>
      </c>
      <c r="B53" s="121" t="s">
        <v>1596</v>
      </c>
      <c r="C53" s="121" t="s">
        <v>1573</v>
      </c>
      <c r="D53" s="121" t="s">
        <v>1915</v>
      </c>
      <c r="E53" s="133" t="s">
        <v>1874</v>
      </c>
      <c r="F53" s="121" t="str">
        <f>IFERROR(__xludf.DUMMYFUNCTION("TEXTJOIN("","",1,FILTER(A:A,E:E=E53))"),"EIE,MECH,MTRS")</f>
        <v>EIE,MECH,MTRS</v>
      </c>
    </row>
    <row r="54" ht="49.5" customHeight="1">
      <c r="A54" s="121" t="s">
        <v>43</v>
      </c>
      <c r="B54" s="121" t="s">
        <v>1596</v>
      </c>
      <c r="C54" s="121" t="s">
        <v>1573</v>
      </c>
      <c r="D54" s="121" t="s">
        <v>1943</v>
      </c>
      <c r="E54" s="133" t="s">
        <v>1874</v>
      </c>
      <c r="F54" s="121" t="str">
        <f>IFERROR(__xludf.DUMMYFUNCTION("TEXTJOIN("","",1,FILTER(A:A,E:E=E54))"),"EIE,MECH,MTRS")</f>
        <v>EIE,MECH,MTRS</v>
      </c>
    </row>
    <row r="55" ht="49.5" hidden="1" customHeight="1">
      <c r="A55" s="121" t="s">
        <v>46</v>
      </c>
      <c r="B55" s="121" t="s">
        <v>1596</v>
      </c>
      <c r="C55" s="121" t="s">
        <v>1573</v>
      </c>
      <c r="D55" s="121" t="s">
        <v>1873</v>
      </c>
      <c r="E55" s="133" t="s">
        <v>1874</v>
      </c>
      <c r="F55" s="121" t="str">
        <f>IFERROR(__xludf.DUMMYFUNCTION("TEXTJOIN("","",1,FILTER(A:A,E:E=E55))"),"EIE,MECH,MTRS")</f>
        <v>EIE,MECH,MTRS</v>
      </c>
    </row>
    <row r="56" ht="49.5" hidden="1" customHeight="1">
      <c r="A56" s="121" t="s">
        <v>43</v>
      </c>
      <c r="B56" s="121" t="s">
        <v>1949</v>
      </c>
      <c r="C56" s="121" t="s">
        <v>1573</v>
      </c>
      <c r="D56" s="121" t="s">
        <v>1950</v>
      </c>
      <c r="E56" s="133" t="s">
        <v>1951</v>
      </c>
      <c r="F56" s="121" t="str">
        <f>IFERROR(__xludf.DUMMYFUNCTION("TEXTJOIN("","",1,FILTER(A:A,E:E=E56))"),"MECH")</f>
        <v>MECH</v>
      </c>
    </row>
    <row r="57" ht="49.5" hidden="1" customHeight="1">
      <c r="A57" s="121" t="s">
        <v>43</v>
      </c>
      <c r="B57" s="121" t="s">
        <v>1949</v>
      </c>
      <c r="C57" s="121" t="s">
        <v>1607</v>
      </c>
      <c r="D57" s="121" t="s">
        <v>1958</v>
      </c>
      <c r="E57" s="133" t="s">
        <v>1959</v>
      </c>
      <c r="F57" s="121" t="str">
        <f>IFERROR(__xludf.DUMMYFUNCTION("TEXTJOIN("","",1,FILTER(A:A,E:E=E57))"),"MECH")</f>
        <v>MECH</v>
      </c>
    </row>
    <row r="58" ht="49.5" hidden="1" customHeight="1">
      <c r="A58" s="121" t="s">
        <v>43</v>
      </c>
      <c r="B58" s="121" t="s">
        <v>1612</v>
      </c>
      <c r="C58" s="121" t="s">
        <v>86</v>
      </c>
      <c r="D58" s="121" t="s">
        <v>231</v>
      </c>
      <c r="E58" s="133" t="s">
        <v>232</v>
      </c>
      <c r="F58" s="121" t="str">
        <f>IFERROR(__xludf.DUMMYFUNCTION("TEXTJOIN("","",1,FILTER(A:A,E:E=E58))"),"MECH")</f>
        <v>MECH</v>
      </c>
    </row>
    <row r="59" ht="49.5" hidden="1" customHeight="1">
      <c r="A59" s="121" t="s">
        <v>46</v>
      </c>
      <c r="B59" s="121" t="s">
        <v>1612</v>
      </c>
      <c r="C59" s="121" t="s">
        <v>1623</v>
      </c>
      <c r="D59" s="121" t="s">
        <v>1892</v>
      </c>
      <c r="E59" s="133" t="s">
        <v>1893</v>
      </c>
      <c r="F59" s="121" t="str">
        <f>IFERROR(__xludf.DUMMYFUNCTION("TEXTJOIN("","",1,FILTER(A:A,E:E=E59))"),"MTRS")</f>
        <v>MTRS</v>
      </c>
    </row>
    <row r="60" ht="49.5" hidden="1" customHeight="1">
      <c r="A60" s="121" t="s">
        <v>43</v>
      </c>
      <c r="B60" s="121" t="s">
        <v>1949</v>
      </c>
      <c r="C60" s="121" t="s">
        <v>1573</v>
      </c>
      <c r="D60" s="121" t="s">
        <v>1956</v>
      </c>
      <c r="E60" s="133" t="s">
        <v>1957</v>
      </c>
      <c r="F60" s="121" t="str">
        <f>IFERROR(__xludf.DUMMYFUNCTION("TEXTJOIN("","",1,FILTER(A:A,E:E=E60))"),"MECH")</f>
        <v>MECH</v>
      </c>
    </row>
    <row r="61" ht="49.5" hidden="1" customHeight="1">
      <c r="A61" s="121" t="s">
        <v>111</v>
      </c>
      <c r="B61" s="121" t="s">
        <v>1612</v>
      </c>
      <c r="C61" s="121" t="s">
        <v>1623</v>
      </c>
      <c r="D61" s="121" t="s">
        <v>1826</v>
      </c>
      <c r="E61" s="133" t="s">
        <v>1827</v>
      </c>
      <c r="F61" s="121" t="str">
        <f>IFERROR(__xludf.DUMMYFUNCTION("TEXTJOIN("","",1,FILTER(A:A,E:E=E61))"),"CIVIL")</f>
        <v>CIVIL</v>
      </c>
    </row>
    <row r="62" ht="49.5" hidden="1" customHeight="1">
      <c r="A62" s="121" t="s">
        <v>27</v>
      </c>
      <c r="B62" s="121" t="s">
        <v>1612</v>
      </c>
      <c r="C62" s="121" t="s">
        <v>1573</v>
      </c>
      <c r="D62" s="121" t="s">
        <v>1812</v>
      </c>
      <c r="E62" s="133" t="s">
        <v>1813</v>
      </c>
      <c r="F62" s="121" t="str">
        <f>IFERROR(__xludf.DUMMYFUNCTION("TEXTJOIN("","",1,FILTER(A:A,E:E=E62))"),"EEE")</f>
        <v>EEE</v>
      </c>
    </row>
    <row r="63" ht="49.5" hidden="1" customHeight="1">
      <c r="A63" s="121" t="s">
        <v>4</v>
      </c>
      <c r="B63" s="121" t="s">
        <v>1612</v>
      </c>
      <c r="C63" s="121" t="s">
        <v>1619</v>
      </c>
      <c r="D63" s="121" t="s">
        <v>65</v>
      </c>
      <c r="E63" s="133" t="s">
        <v>66</v>
      </c>
      <c r="F63" s="121" t="str">
        <f>IFERROR(__xludf.DUMMYFUNCTION("TEXTJOIN("","",1,FILTER(A:A,E:E=E63))"),"AIDS")</f>
        <v>AIDS</v>
      </c>
    </row>
    <row r="64" ht="49.5" hidden="1" customHeight="1">
      <c r="A64" s="121" t="s">
        <v>83</v>
      </c>
      <c r="B64" s="121" t="s">
        <v>1612</v>
      </c>
      <c r="C64" s="121" t="s">
        <v>1621</v>
      </c>
      <c r="D64" s="121" t="s">
        <v>93</v>
      </c>
      <c r="E64" s="133" t="s">
        <v>94</v>
      </c>
      <c r="F64" s="121" t="str">
        <f>IFERROR(__xludf.DUMMYFUNCTION("TEXTJOIN("","",1,FILTER(A:A,E:E=E64))"),"BME")</f>
        <v>BME</v>
      </c>
    </row>
    <row r="65" ht="49.5" hidden="1" customHeight="1">
      <c r="A65" s="121" t="s">
        <v>43</v>
      </c>
      <c r="B65" s="121" t="s">
        <v>1612</v>
      </c>
      <c r="C65" s="121" t="s">
        <v>1621</v>
      </c>
      <c r="D65" s="121" t="s">
        <v>242</v>
      </c>
      <c r="E65" s="133" t="s">
        <v>243</v>
      </c>
      <c r="F65" s="121" t="str">
        <f>IFERROR(__xludf.DUMMYFUNCTION("TEXTJOIN("","",1,FILTER(A:A,E:E=E65))"),"MECH")</f>
        <v>MECH</v>
      </c>
    </row>
    <row r="66" ht="49.5" hidden="1" customHeight="1">
      <c r="A66" s="121" t="s">
        <v>4</v>
      </c>
      <c r="B66" s="121" t="s">
        <v>1612</v>
      </c>
      <c r="C66" s="121" t="s">
        <v>1620</v>
      </c>
      <c r="D66" s="121" t="s">
        <v>67</v>
      </c>
      <c r="E66" s="133" t="s">
        <v>68</v>
      </c>
      <c r="F66" s="121" t="str">
        <f>IFERROR(__xludf.DUMMYFUNCTION("TEXTJOIN("","",1,FILTER(A:A,E:E=E66))"),"AIDS,CSE,IT")</f>
        <v>AIDS,CSE,IT</v>
      </c>
    </row>
    <row r="67" ht="49.5" hidden="1" customHeight="1">
      <c r="A67" s="121" t="s">
        <v>18</v>
      </c>
      <c r="B67" s="121" t="s">
        <v>1612</v>
      </c>
      <c r="C67" s="121" t="s">
        <v>1620</v>
      </c>
      <c r="D67" s="121" t="s">
        <v>131</v>
      </c>
      <c r="E67" s="133" t="s">
        <v>68</v>
      </c>
      <c r="F67" s="121" t="str">
        <f>IFERROR(__xludf.DUMMYFUNCTION("TEXTJOIN("","",1,FILTER(A:A,E:E=E67))"),"AIDS,CSE,IT")</f>
        <v>AIDS,CSE,IT</v>
      </c>
    </row>
    <row r="68" ht="49.5" hidden="1" customHeight="1">
      <c r="A68" s="121" t="s">
        <v>40</v>
      </c>
      <c r="B68" s="121" t="s">
        <v>1612</v>
      </c>
      <c r="C68" s="121" t="s">
        <v>1620</v>
      </c>
      <c r="D68" s="121" t="s">
        <v>221</v>
      </c>
      <c r="E68" s="133" t="s">
        <v>68</v>
      </c>
      <c r="F68" s="121" t="str">
        <f>IFERROR(__xludf.DUMMYFUNCTION("TEXTJOIN("","",1,FILTER(A:A,E:E=E68))"),"AIDS,CSE,IT")</f>
        <v>AIDS,CSE,IT</v>
      </c>
    </row>
    <row r="69" ht="49.5" hidden="1" customHeight="1">
      <c r="A69" s="121" t="s">
        <v>32</v>
      </c>
      <c r="B69" s="121" t="s">
        <v>1612</v>
      </c>
      <c r="C69" s="121" t="s">
        <v>1620</v>
      </c>
      <c r="D69" s="121" t="s">
        <v>178</v>
      </c>
      <c r="E69" s="133" t="s">
        <v>179</v>
      </c>
      <c r="F69" s="121" t="str">
        <f>IFERROR(__xludf.DUMMYFUNCTION("TEXTJOIN("","",1,FILTER(A:A,E:E=E69))"),"ECE")</f>
        <v>ECE</v>
      </c>
    </row>
    <row r="70" ht="49.5" hidden="1" customHeight="1">
      <c r="A70" s="121" t="s">
        <v>4</v>
      </c>
      <c r="B70" s="121" t="s">
        <v>1612</v>
      </c>
      <c r="C70" s="121" t="s">
        <v>1622</v>
      </c>
      <c r="D70" s="121" t="s">
        <v>61</v>
      </c>
      <c r="E70" s="133" t="s">
        <v>62</v>
      </c>
      <c r="F70" s="121" t="str">
        <f>IFERROR(__xludf.DUMMYFUNCTION("TEXTJOIN("","",1,FILTER(A:A,E:E=E70))"),"AIDS")</f>
        <v>AIDS</v>
      </c>
    </row>
    <row r="71" ht="49.5" hidden="1" customHeight="1">
      <c r="A71" s="121" t="s">
        <v>193</v>
      </c>
      <c r="B71" s="121" t="s">
        <v>1612</v>
      </c>
      <c r="C71" s="121" t="s">
        <v>1573</v>
      </c>
      <c r="D71" s="121" t="s">
        <v>1986</v>
      </c>
      <c r="E71" s="133" t="s">
        <v>1987</v>
      </c>
      <c r="F71" s="121" t="str">
        <f>IFERROR(__xludf.DUMMYFUNCTION("TEXTJOIN("","",1,FILTER(A:A,E:E=E71))"),"FT")</f>
        <v>FT</v>
      </c>
    </row>
    <row r="72" ht="49.5" hidden="1" customHeight="1">
      <c r="A72" s="121" t="s">
        <v>32</v>
      </c>
      <c r="B72" s="121" t="s">
        <v>1596</v>
      </c>
      <c r="C72" s="121" t="s">
        <v>1607</v>
      </c>
      <c r="D72" s="121" t="s">
        <v>35</v>
      </c>
      <c r="E72" s="133" t="s">
        <v>36</v>
      </c>
      <c r="F72" s="121" t="str">
        <f>IFERROR(__xludf.DUMMYFUNCTION("TEXTJOIN("","",1,FILTER(A:A,E:E=E72))"),"ECE")</f>
        <v>ECE</v>
      </c>
    </row>
    <row r="73" ht="49.5" hidden="1" customHeight="1">
      <c r="A73" s="121" t="s">
        <v>4</v>
      </c>
      <c r="B73" s="121" t="s">
        <v>1596</v>
      </c>
      <c r="C73" s="121" t="s">
        <v>1607</v>
      </c>
      <c r="D73" s="121" t="s">
        <v>5</v>
      </c>
      <c r="E73" s="133" t="s">
        <v>6</v>
      </c>
      <c r="F73" s="121" t="str">
        <f>IFERROR(__xludf.DUMMYFUNCTION("TEXTJOIN("","",1,FILTER(A:A,E:E=E73))"),"AIDS")</f>
        <v>AIDS</v>
      </c>
    </row>
    <row r="74" ht="49.5" hidden="1" customHeight="1">
      <c r="A74" s="121" t="s">
        <v>83</v>
      </c>
      <c r="B74" s="121" t="s">
        <v>1612</v>
      </c>
      <c r="C74" s="121" t="s">
        <v>1622</v>
      </c>
      <c r="D74" s="121" t="s">
        <v>84</v>
      </c>
      <c r="E74" s="133" t="s">
        <v>85</v>
      </c>
      <c r="F74" s="121" t="str">
        <f>IFERROR(__xludf.DUMMYFUNCTION("TEXTJOIN("","",1,FILTER(A:A,E:E=E74))"),"BME")</f>
        <v>BME</v>
      </c>
    </row>
    <row r="75" ht="49.5" hidden="1" customHeight="1">
      <c r="A75" s="121" t="s">
        <v>0</v>
      </c>
      <c r="B75" s="121" t="s">
        <v>1631</v>
      </c>
      <c r="C75" s="121" t="s">
        <v>1632</v>
      </c>
      <c r="D75" s="121" t="s">
        <v>1633</v>
      </c>
      <c r="E75" s="133" t="s">
        <v>1634</v>
      </c>
      <c r="F75" s="121" t="str">
        <f>IFERROR(__xludf.DUMMYFUNCTION("TEXTJOIN("","",1,FILTER(A:A,E:E=E75))"),"AGRI,AIDS,AIML,BME,BT,CIVIL,CSE,CT,EEE,ECE,EIE,FT,FD,ISE,IT,MECH,MTRS,TXT")</f>
        <v>AGRI,AIDS,AIML,BME,BT,CIVIL,CSE,CT,EEE,ECE,EIE,FT,FD,ISE,IT,MECH,MTRS,TXT</v>
      </c>
    </row>
    <row r="76" ht="49.5" hidden="1" customHeight="1">
      <c r="A76" s="121" t="s">
        <v>4</v>
      </c>
      <c r="B76" s="121" t="s">
        <v>1631</v>
      </c>
      <c r="C76" s="121" t="s">
        <v>1632</v>
      </c>
      <c r="D76" s="121" t="s">
        <v>1667</v>
      </c>
      <c r="E76" s="133" t="s">
        <v>1634</v>
      </c>
      <c r="F76" s="121" t="str">
        <f>IFERROR(__xludf.DUMMYFUNCTION("TEXTJOIN("","",1,FILTER(A:A,E:E=E76))"),"AGRI,AIDS,AIML,BME,BT,CIVIL,CSE,CT,EEE,ECE,EIE,FT,FD,ISE,IT,MECH,MTRS,TXT")</f>
        <v>AGRI,AIDS,AIML,BME,BT,CIVIL,CSE,CT,EEE,ECE,EIE,FT,FD,ISE,IT,MECH,MTRS,TXT</v>
      </c>
    </row>
    <row r="77" ht="49.5" hidden="1" customHeight="1">
      <c r="A77" s="121" t="s">
        <v>9</v>
      </c>
      <c r="B77" s="121" t="s">
        <v>1631</v>
      </c>
      <c r="C77" s="121" t="s">
        <v>1632</v>
      </c>
      <c r="D77" s="121" t="s">
        <v>1687</v>
      </c>
      <c r="E77" s="133" t="s">
        <v>1634</v>
      </c>
      <c r="F77" s="121" t="str">
        <f>IFERROR(__xludf.DUMMYFUNCTION("TEXTJOIN("","",1,FILTER(A:A,E:E=E77))"),"AGRI,AIDS,AIML,BME,BT,CIVIL,CSE,CT,EEE,ECE,EIE,FT,FD,ISE,IT,MECH,MTRS,TXT")</f>
        <v>AGRI,AIDS,AIML,BME,BT,CIVIL,CSE,CT,EEE,ECE,EIE,FT,FD,ISE,IT,MECH,MTRS,TXT</v>
      </c>
    </row>
    <row r="78" ht="49.5" hidden="1" customHeight="1">
      <c r="A78" s="121" t="s">
        <v>83</v>
      </c>
      <c r="B78" s="121" t="s">
        <v>1631</v>
      </c>
      <c r="C78" s="121" t="s">
        <v>1632</v>
      </c>
      <c r="D78" s="121" t="s">
        <v>1701</v>
      </c>
      <c r="E78" s="133" t="s">
        <v>1634</v>
      </c>
      <c r="F78" s="121" t="str">
        <f>IFERROR(__xludf.DUMMYFUNCTION("TEXTJOIN("","",1,FILTER(A:A,E:E=E78))"),"AGRI,AIDS,AIML,BME,BT,CIVIL,CSE,CT,EEE,ECE,EIE,FT,FD,ISE,IT,MECH,MTRS,TXT")</f>
        <v>AGRI,AIDS,AIML,BME,BT,CIVIL,CSE,CT,EEE,ECE,EIE,FT,FD,ISE,IT,MECH,MTRS,TXT</v>
      </c>
    </row>
    <row r="79" ht="49.5" hidden="1" customHeight="1">
      <c r="A79" s="121" t="s">
        <v>13</v>
      </c>
      <c r="B79" s="121" t="s">
        <v>1631</v>
      </c>
      <c r="C79" s="121" t="s">
        <v>1632</v>
      </c>
      <c r="D79" s="121" t="s">
        <v>1786</v>
      </c>
      <c r="E79" s="133" t="s">
        <v>1634</v>
      </c>
      <c r="F79" s="121" t="str">
        <f>IFERROR(__xludf.DUMMYFUNCTION("TEXTJOIN("","",1,FILTER(A:A,E:E=E79))"),"AGRI,AIDS,AIML,BME,BT,CIVIL,CSE,CT,EEE,ECE,EIE,FT,FD,ISE,IT,MECH,MTRS,TXT")</f>
        <v>AGRI,AIDS,AIML,BME,BT,CIVIL,CSE,CT,EEE,ECE,EIE,FT,FD,ISE,IT,MECH,MTRS,TXT</v>
      </c>
    </row>
    <row r="80" ht="49.5" hidden="1" customHeight="1">
      <c r="A80" s="121" t="s">
        <v>111</v>
      </c>
      <c r="B80" s="121" t="s">
        <v>1631</v>
      </c>
      <c r="C80" s="121" t="s">
        <v>1573</v>
      </c>
      <c r="D80" s="121" t="s">
        <v>1831</v>
      </c>
      <c r="E80" s="133" t="s">
        <v>1634</v>
      </c>
      <c r="F80" s="121" t="str">
        <f>IFERROR(__xludf.DUMMYFUNCTION("TEXTJOIN("","",1,FILTER(A:A,E:E=E80))"),"AGRI,AIDS,AIML,BME,BT,CIVIL,CSE,CT,EEE,ECE,EIE,FT,FD,ISE,IT,MECH,MTRS,TXT")</f>
        <v>AGRI,AIDS,AIML,BME,BT,CIVIL,CSE,CT,EEE,ECE,EIE,FT,FD,ISE,IT,MECH,MTRS,TXT</v>
      </c>
    </row>
    <row r="81" ht="49.5" hidden="1" customHeight="1">
      <c r="A81" s="121" t="s">
        <v>18</v>
      </c>
      <c r="B81" s="121" t="s">
        <v>1631</v>
      </c>
      <c r="C81" s="121" t="s">
        <v>1632</v>
      </c>
      <c r="D81" s="121" t="s">
        <v>1744</v>
      </c>
      <c r="E81" s="133" t="s">
        <v>1634</v>
      </c>
      <c r="F81" s="121" t="str">
        <f>IFERROR(__xludf.DUMMYFUNCTION("TEXTJOIN("","",1,FILTER(A:A,E:E=E81))"),"AGRI,AIDS,AIML,BME,BT,CIVIL,CSE,CT,EEE,ECE,EIE,FT,FD,ISE,IT,MECH,MTRS,TXT")</f>
        <v>AGRI,AIDS,AIML,BME,BT,CIVIL,CSE,CT,EEE,ECE,EIE,FT,FD,ISE,IT,MECH,MTRS,TXT</v>
      </c>
    </row>
    <row r="82" ht="49.5" hidden="1" customHeight="1">
      <c r="A82" s="121" t="s">
        <v>151</v>
      </c>
      <c r="B82" s="121" t="s">
        <v>1631</v>
      </c>
      <c r="C82" s="121" t="s">
        <v>1573</v>
      </c>
      <c r="D82" s="121" t="s">
        <v>1870</v>
      </c>
      <c r="E82" s="133" t="s">
        <v>1634</v>
      </c>
      <c r="F82" s="121" t="str">
        <f>IFERROR(__xludf.DUMMYFUNCTION("TEXTJOIN("","",1,FILTER(A:A,E:E=E82))"),"AGRI,AIDS,AIML,BME,BT,CIVIL,CSE,CT,EEE,ECE,EIE,FT,FD,ISE,IT,MECH,MTRS,TXT")</f>
        <v>AGRI,AIDS,AIML,BME,BT,CIVIL,CSE,CT,EEE,ECE,EIE,FT,FD,ISE,IT,MECH,MTRS,TXT</v>
      </c>
    </row>
    <row r="83" ht="49.5" hidden="1" customHeight="1">
      <c r="A83" s="121" t="s">
        <v>27</v>
      </c>
      <c r="B83" s="121" t="s">
        <v>1631</v>
      </c>
      <c r="C83" s="121" t="s">
        <v>1632</v>
      </c>
      <c r="D83" s="121" t="s">
        <v>1819</v>
      </c>
      <c r="E83" s="133" t="s">
        <v>1634</v>
      </c>
      <c r="F83" s="121" t="str">
        <f>IFERROR(__xludf.DUMMYFUNCTION("TEXTJOIN("","",1,FILTER(A:A,E:E=E83))"),"AGRI,AIDS,AIML,BME,BT,CIVIL,CSE,CT,EEE,ECE,EIE,FT,FD,ISE,IT,MECH,MTRS,TXT")</f>
        <v>AGRI,AIDS,AIML,BME,BT,CIVIL,CSE,CT,EEE,ECE,EIE,FT,FD,ISE,IT,MECH,MTRS,TXT</v>
      </c>
    </row>
    <row r="84" ht="49.5" hidden="1" customHeight="1">
      <c r="A84" s="121" t="s">
        <v>32</v>
      </c>
      <c r="B84" s="121" t="s">
        <v>1631</v>
      </c>
      <c r="C84" s="121" t="s">
        <v>1573</v>
      </c>
      <c r="D84" s="121" t="s">
        <v>1863</v>
      </c>
      <c r="E84" s="133" t="s">
        <v>1634</v>
      </c>
      <c r="F84" s="121" t="str">
        <f>IFERROR(__xludf.DUMMYFUNCTION("TEXTJOIN("","",1,FILTER(A:A,E:E=E84))"),"AGRI,AIDS,AIML,BME,BT,CIVIL,CSE,CT,EEE,ECE,EIE,FT,FD,ISE,IT,MECH,MTRS,TXT")</f>
        <v>AGRI,AIDS,AIML,BME,BT,CIVIL,CSE,CT,EEE,ECE,EIE,FT,FD,ISE,IT,MECH,MTRS,TXT</v>
      </c>
    </row>
    <row r="85" ht="49.5" hidden="1" customHeight="1">
      <c r="A85" s="121" t="s">
        <v>37</v>
      </c>
      <c r="B85" s="121" t="s">
        <v>1631</v>
      </c>
      <c r="C85" s="121" t="s">
        <v>1573</v>
      </c>
      <c r="D85" s="121" t="s">
        <v>1926</v>
      </c>
      <c r="E85" s="133" t="s">
        <v>1634</v>
      </c>
      <c r="F85" s="121" t="str">
        <f>IFERROR(__xludf.DUMMYFUNCTION("TEXTJOIN("","",1,FILTER(A:A,E:E=E85))"),"AGRI,AIDS,AIML,BME,BT,CIVIL,CSE,CT,EEE,ECE,EIE,FT,FD,ISE,IT,MECH,MTRS,TXT")</f>
        <v>AGRI,AIDS,AIML,BME,BT,CIVIL,CSE,CT,EEE,ECE,EIE,FT,FD,ISE,IT,MECH,MTRS,TXT</v>
      </c>
    </row>
    <row r="86" ht="49.5" hidden="1" customHeight="1">
      <c r="A86" s="121" t="s">
        <v>193</v>
      </c>
      <c r="B86" s="121" t="s">
        <v>1631</v>
      </c>
      <c r="C86" s="121" t="s">
        <v>1573</v>
      </c>
      <c r="D86" s="121" t="s">
        <v>1992</v>
      </c>
      <c r="E86" s="133" t="s">
        <v>1634</v>
      </c>
      <c r="F86" s="121" t="str">
        <f>IFERROR(__xludf.DUMMYFUNCTION("TEXTJOIN("","",1,FILTER(A:A,E:E=E86))"),"AGRI,AIDS,AIML,BME,BT,CIVIL,CSE,CT,EEE,ECE,EIE,FT,FD,ISE,IT,MECH,MTRS,TXT")</f>
        <v>AGRI,AIDS,AIML,BME,BT,CIVIL,CSE,CT,EEE,ECE,EIE,FT,FD,ISE,IT,MECH,MTRS,TXT</v>
      </c>
    </row>
    <row r="87" ht="49.5" hidden="1" customHeight="1">
      <c r="A87" s="121" t="s">
        <v>200</v>
      </c>
      <c r="B87" s="121" t="s">
        <v>1631</v>
      </c>
      <c r="C87" s="121" t="s">
        <v>1573</v>
      </c>
      <c r="D87" s="121" t="s">
        <v>1940</v>
      </c>
      <c r="E87" s="133" t="s">
        <v>1634</v>
      </c>
      <c r="F87" s="121" t="str">
        <f>IFERROR(__xludf.DUMMYFUNCTION("TEXTJOIN("","",1,FILTER(A:A,E:E=E87))"),"AGRI,AIDS,AIML,BME,BT,CIVIL,CSE,CT,EEE,ECE,EIE,FT,FD,ISE,IT,MECH,MTRS,TXT")</f>
        <v>AGRI,AIDS,AIML,BME,BT,CIVIL,CSE,CT,EEE,ECE,EIE,FT,FD,ISE,IT,MECH,MTRS,TXT</v>
      </c>
    </row>
    <row r="88" ht="49.5" hidden="1" customHeight="1">
      <c r="A88" s="121" t="s">
        <v>209</v>
      </c>
      <c r="B88" s="121" t="s">
        <v>1631</v>
      </c>
      <c r="C88" s="121" t="s">
        <v>1573</v>
      </c>
      <c r="D88" s="121" t="s">
        <v>1841</v>
      </c>
      <c r="E88" s="133" t="s">
        <v>1634</v>
      </c>
      <c r="F88" s="121" t="str">
        <f>IFERROR(__xludf.DUMMYFUNCTION("TEXTJOIN("","",1,FILTER(A:A,E:E=E88))"),"AGRI,AIDS,AIML,BME,BT,CIVIL,CSE,CT,EEE,ECE,EIE,FT,FD,ISE,IT,MECH,MTRS,TXT")</f>
        <v>AGRI,AIDS,AIML,BME,BT,CIVIL,CSE,CT,EEE,ECE,EIE,FT,FD,ISE,IT,MECH,MTRS,TXT</v>
      </c>
    </row>
    <row r="89" ht="49.5" hidden="1" customHeight="1">
      <c r="A89" s="121" t="s">
        <v>40</v>
      </c>
      <c r="B89" s="121" t="s">
        <v>1631</v>
      </c>
      <c r="C89" s="121" t="s">
        <v>1573</v>
      </c>
      <c r="D89" s="121" t="s">
        <v>1912</v>
      </c>
      <c r="E89" s="133" t="s">
        <v>1634</v>
      </c>
      <c r="F89" s="121" t="str">
        <f>IFERROR(__xludf.DUMMYFUNCTION("TEXTJOIN("","",1,FILTER(A:A,E:E=E89))"),"AGRI,AIDS,AIML,BME,BT,CIVIL,CSE,CT,EEE,ECE,EIE,FT,FD,ISE,IT,MECH,MTRS,TXT")</f>
        <v>AGRI,AIDS,AIML,BME,BT,CIVIL,CSE,CT,EEE,ECE,EIE,FT,FD,ISE,IT,MECH,MTRS,TXT</v>
      </c>
    </row>
    <row r="90" ht="49.5" hidden="1" customHeight="1">
      <c r="A90" s="121" t="s">
        <v>43</v>
      </c>
      <c r="B90" s="121" t="s">
        <v>1631</v>
      </c>
      <c r="C90" s="121" t="s">
        <v>1573</v>
      </c>
      <c r="D90" s="121" t="s">
        <v>1981</v>
      </c>
      <c r="E90" s="133" t="s">
        <v>1634</v>
      </c>
      <c r="F90" s="121" t="str">
        <f>IFERROR(__xludf.DUMMYFUNCTION("TEXTJOIN("","",1,FILTER(A:A,E:E=E90))"),"AGRI,AIDS,AIML,BME,BT,CIVIL,CSE,CT,EEE,ECE,EIE,FT,FD,ISE,IT,MECH,MTRS,TXT")</f>
        <v>AGRI,AIDS,AIML,BME,BT,CIVIL,CSE,CT,EEE,ECE,EIE,FT,FD,ISE,IT,MECH,MTRS,TXT</v>
      </c>
    </row>
    <row r="91" ht="49.5" hidden="1" customHeight="1">
      <c r="A91" s="121" t="s">
        <v>46</v>
      </c>
      <c r="B91" s="121" t="s">
        <v>1631</v>
      </c>
      <c r="C91" s="121" t="s">
        <v>1573</v>
      </c>
      <c r="D91" s="121" t="s">
        <v>1895</v>
      </c>
      <c r="E91" s="133" t="s">
        <v>1634</v>
      </c>
      <c r="F91" s="121" t="str">
        <f>IFERROR(__xludf.DUMMYFUNCTION("TEXTJOIN("","",1,FILTER(A:A,E:E=E91))"),"AGRI,AIDS,AIML,BME,BT,CIVIL,CSE,CT,EEE,ECE,EIE,FT,FD,ISE,IT,MECH,MTRS,TXT")</f>
        <v>AGRI,AIDS,AIML,BME,BT,CIVIL,CSE,CT,EEE,ECE,EIE,FT,FD,ISE,IT,MECH,MTRS,TXT</v>
      </c>
    </row>
    <row r="92" ht="49.5" hidden="1" customHeight="1">
      <c r="A92" s="121" t="s">
        <v>1993</v>
      </c>
      <c r="B92" s="121" t="s">
        <v>1631</v>
      </c>
      <c r="C92" s="121" t="s">
        <v>1573</v>
      </c>
      <c r="D92" s="121" t="s">
        <v>1994</v>
      </c>
      <c r="E92" s="133" t="s">
        <v>1634</v>
      </c>
      <c r="F92" s="121" t="str">
        <f>IFERROR(__xludf.DUMMYFUNCTION("TEXTJOIN("","",1,FILTER(A:A,E:E=E92))"),"AGRI,AIDS,AIML,BME,BT,CIVIL,CSE,CT,EEE,ECE,EIE,FT,FD,ISE,IT,MECH,MTRS,TXT")</f>
        <v>AGRI,AIDS,AIML,BME,BT,CIVIL,CSE,CT,EEE,ECE,EIE,FT,FD,ISE,IT,MECH,MTRS,TXT</v>
      </c>
    </row>
    <row r="93" ht="49.5" hidden="1" customHeight="1">
      <c r="A93" s="121" t="s">
        <v>24</v>
      </c>
      <c r="B93" s="121" t="s">
        <v>1631</v>
      </c>
      <c r="C93" s="121" t="s">
        <v>1632</v>
      </c>
      <c r="D93" s="121" t="s">
        <v>1722</v>
      </c>
      <c r="E93" s="133" t="s">
        <v>1723</v>
      </c>
      <c r="F93" s="121" t="str">
        <f>IFERROR(__xludf.DUMMYFUNCTION("TEXTJOIN("","",1,FILTER(A:A,E:E=E93))"),"CSBS")</f>
        <v>CSBS</v>
      </c>
    </row>
    <row r="94" ht="49.5" hidden="1" customHeight="1">
      <c r="A94" s="121" t="s">
        <v>1995</v>
      </c>
      <c r="B94" s="121" t="s">
        <v>1596</v>
      </c>
      <c r="C94" s="121" t="s">
        <v>1632</v>
      </c>
      <c r="D94" s="121" t="s">
        <v>2034</v>
      </c>
      <c r="E94" s="133" t="s">
        <v>1632</v>
      </c>
      <c r="F94" s="121" t="str">
        <f>IFERROR(__xludf.DUMMYFUNCTION("TEXTJOIN("","",1,FILTER(A:A,E:E=E94))"),"SMS")</f>
        <v>SMS</v>
      </c>
    </row>
    <row r="95" ht="49.5" hidden="1" customHeight="1">
      <c r="A95" s="121" t="s">
        <v>37</v>
      </c>
      <c r="B95" s="121" t="s">
        <v>1612</v>
      </c>
      <c r="C95" s="121" t="s">
        <v>86</v>
      </c>
      <c r="D95" s="121" t="s">
        <v>185</v>
      </c>
      <c r="E95" s="133" t="s">
        <v>186</v>
      </c>
      <c r="F95" s="121" t="str">
        <f>IFERROR(__xludf.DUMMYFUNCTION("TEXTJOIN("","",1,FILTER(A:A,E:E=E95))"),"EIE")</f>
        <v>EIE</v>
      </c>
    </row>
    <row r="96" ht="49.5" hidden="1" customHeight="1">
      <c r="A96" s="121" t="s">
        <v>43</v>
      </c>
      <c r="B96" s="121" t="s">
        <v>1612</v>
      </c>
      <c r="C96" s="121" t="s">
        <v>1623</v>
      </c>
      <c r="D96" s="121" t="s">
        <v>1978</v>
      </c>
      <c r="E96" s="133" t="s">
        <v>1979</v>
      </c>
      <c r="F96" s="121" t="str">
        <f>IFERROR(__xludf.DUMMYFUNCTION("TEXTJOIN("","",1,FILTER(A:A,E:E=E96))"),"MECH")</f>
        <v>MECH</v>
      </c>
    </row>
    <row r="97" ht="49.5" hidden="1" customHeight="1">
      <c r="A97" s="121" t="s">
        <v>43</v>
      </c>
      <c r="B97" s="121" t="s">
        <v>1612</v>
      </c>
      <c r="C97" s="121" t="s">
        <v>1620</v>
      </c>
      <c r="D97" s="121" t="s">
        <v>238</v>
      </c>
      <c r="E97" s="133" t="s">
        <v>239</v>
      </c>
      <c r="F97" s="121" t="str">
        <f>IFERROR(__xludf.DUMMYFUNCTION("TEXTJOIN("","",1,FILTER(A:A,E:E=E97))"),"MECH")</f>
        <v>MECH</v>
      </c>
    </row>
    <row r="98" ht="49.5" customHeight="1">
      <c r="A98" s="121" t="s">
        <v>37</v>
      </c>
      <c r="B98" s="121" t="s">
        <v>1612</v>
      </c>
      <c r="C98" s="121" t="s">
        <v>1573</v>
      </c>
      <c r="D98" s="121" t="s">
        <v>1921</v>
      </c>
      <c r="E98" s="133" t="s">
        <v>1922</v>
      </c>
      <c r="F98" s="121" t="str">
        <f>IFERROR(__xludf.DUMMYFUNCTION("TEXTJOIN("","",1,FILTER(A:A,E:E=E98))"),"EIE")</f>
        <v>EIE</v>
      </c>
    </row>
    <row r="99" ht="49.5" customHeight="1">
      <c r="A99" s="121" t="s">
        <v>37</v>
      </c>
      <c r="B99" s="121" t="s">
        <v>1596</v>
      </c>
      <c r="C99" s="121" t="s">
        <v>1573</v>
      </c>
      <c r="D99" s="121" t="s">
        <v>1914</v>
      </c>
      <c r="E99" s="133" t="s">
        <v>1872</v>
      </c>
      <c r="F99" s="121" t="str">
        <f>IFERROR(__xludf.DUMMYFUNCTION("TEXTJOIN("","",1,FILTER(A:A,E:E=E99))"),"EIE,MTRS")</f>
        <v>EIE,MTRS</v>
      </c>
    </row>
    <row r="100" ht="49.5" hidden="1" customHeight="1">
      <c r="A100" s="121" t="s">
        <v>46</v>
      </c>
      <c r="B100" s="121" t="s">
        <v>1596</v>
      </c>
      <c r="C100" s="121" t="s">
        <v>1573</v>
      </c>
      <c r="D100" s="121" t="s">
        <v>1871</v>
      </c>
      <c r="E100" s="133" t="s">
        <v>1872</v>
      </c>
      <c r="F100" s="121" t="str">
        <f>IFERROR(__xludf.DUMMYFUNCTION("TEXTJOIN("","",1,FILTER(A:A,E:E=E100))"),"EIE,MTRS")</f>
        <v>EIE,MTRS</v>
      </c>
    </row>
    <row r="101" ht="49.5" hidden="1" customHeight="1">
      <c r="A101" s="121" t="s">
        <v>18</v>
      </c>
      <c r="B101" s="121" t="s">
        <v>1612</v>
      </c>
      <c r="C101" s="121" t="s">
        <v>1573</v>
      </c>
      <c r="D101" s="121" t="s">
        <v>1735</v>
      </c>
      <c r="E101" s="133" t="s">
        <v>1736</v>
      </c>
      <c r="F101" s="121" t="str">
        <f>IFERROR(__xludf.DUMMYFUNCTION("TEXTJOIN("","",1,FILTER(A:A,E:E=E101))"),"CSE,CSD,IT")</f>
        <v>CSE,CSD,IT</v>
      </c>
    </row>
    <row r="102" ht="49.5" hidden="1" customHeight="1">
      <c r="A102" s="121" t="s">
        <v>143</v>
      </c>
      <c r="B102" s="121" t="s">
        <v>1612</v>
      </c>
      <c r="C102" s="121" t="s">
        <v>1573</v>
      </c>
      <c r="D102" s="121" t="s">
        <v>1789</v>
      </c>
      <c r="E102" s="133" t="s">
        <v>1736</v>
      </c>
      <c r="F102" s="121" t="str">
        <f>IFERROR(__xludf.DUMMYFUNCTION("TEXTJOIN("","",1,FILTER(A:A,E:E=E102))"),"CSE,CSD,IT")</f>
        <v>CSE,CSD,IT</v>
      </c>
    </row>
    <row r="103" ht="49.5" hidden="1" customHeight="1">
      <c r="A103" s="121" t="s">
        <v>40</v>
      </c>
      <c r="B103" s="121" t="s">
        <v>1612</v>
      </c>
      <c r="C103" s="121" t="s">
        <v>1573</v>
      </c>
      <c r="D103" s="121" t="s">
        <v>1905</v>
      </c>
      <c r="E103" s="133" t="s">
        <v>1736</v>
      </c>
      <c r="F103" s="121" t="str">
        <f>IFERROR(__xludf.DUMMYFUNCTION("TEXTJOIN("","",1,FILTER(A:A,E:E=E103))"),"CSE,CSD,IT")</f>
        <v>CSE,CSD,IT</v>
      </c>
    </row>
    <row r="104" ht="49.5" hidden="1" customHeight="1">
      <c r="A104" s="121" t="s">
        <v>32</v>
      </c>
      <c r="B104" s="121" t="s">
        <v>1612</v>
      </c>
      <c r="C104" s="121" t="s">
        <v>86</v>
      </c>
      <c r="D104" s="121" t="s">
        <v>170</v>
      </c>
      <c r="E104" s="133" t="s">
        <v>171</v>
      </c>
      <c r="F104" s="121" t="str">
        <f>IFERROR(__xludf.DUMMYFUNCTION("TEXTJOIN("","",1,FILTER(A:A,E:E=E104))"),"ECE")</f>
        <v>ECE</v>
      </c>
    </row>
    <row r="105" ht="49.5" hidden="1" customHeight="1">
      <c r="A105" s="121" t="s">
        <v>111</v>
      </c>
      <c r="B105" s="121" t="s">
        <v>1612</v>
      </c>
      <c r="C105" s="121" t="s">
        <v>1619</v>
      </c>
      <c r="D105" s="121" t="s">
        <v>116</v>
      </c>
      <c r="E105" s="133" t="s">
        <v>117</v>
      </c>
      <c r="F105" s="121" t="str">
        <f>IFERROR(__xludf.DUMMYFUNCTION("TEXTJOIN("","",1,FILTER(A:A,E:E=E105))"),"CIVIL")</f>
        <v>CIVIL</v>
      </c>
    </row>
    <row r="106" ht="49.5" hidden="1" customHeight="1">
      <c r="A106" s="121" t="s">
        <v>27</v>
      </c>
      <c r="B106" s="121" t="s">
        <v>1612</v>
      </c>
      <c r="C106" s="121" t="s">
        <v>1573</v>
      </c>
      <c r="D106" s="121" t="s">
        <v>1808</v>
      </c>
      <c r="E106" s="133" t="s">
        <v>1809</v>
      </c>
      <c r="F106" s="121" t="str">
        <f>IFERROR(__xludf.DUMMYFUNCTION("TEXTJOIN("","",1,FILTER(A:A,E:E=E106))"),"EEE")</f>
        <v>EEE</v>
      </c>
    </row>
    <row r="107" ht="49.5" hidden="1" customHeight="1">
      <c r="A107" s="121" t="s">
        <v>37</v>
      </c>
      <c r="B107" s="121" t="s">
        <v>1612</v>
      </c>
      <c r="C107" s="121" t="s">
        <v>1621</v>
      </c>
      <c r="D107" s="121" t="s">
        <v>191</v>
      </c>
      <c r="E107" s="133" t="s">
        <v>192</v>
      </c>
      <c r="F107" s="121" t="str">
        <f>IFERROR(__xludf.DUMMYFUNCTION("TEXTJOIN("","",1,FILTER(A:A,E:E=E107))"),"EIE")</f>
        <v>EIE</v>
      </c>
    </row>
    <row r="108" ht="49.5" customHeight="1">
      <c r="A108" s="121" t="s">
        <v>43</v>
      </c>
      <c r="B108" s="121" t="s">
        <v>1612</v>
      </c>
      <c r="C108" s="121" t="s">
        <v>1622</v>
      </c>
      <c r="D108" s="121" t="s">
        <v>227</v>
      </c>
      <c r="E108" s="133" t="s">
        <v>228</v>
      </c>
      <c r="F108" s="121" t="str">
        <f>IFERROR(__xludf.DUMMYFUNCTION("TEXTJOIN("","",1,FILTER(A:A,E:E=E108))"),"MECH")</f>
        <v>MECH</v>
      </c>
    </row>
    <row r="109" ht="49.5" hidden="1" customHeight="1">
      <c r="A109" s="121" t="s">
        <v>27</v>
      </c>
      <c r="B109" s="121" t="s">
        <v>1596</v>
      </c>
      <c r="C109" s="121" t="s">
        <v>1573</v>
      </c>
      <c r="D109" s="121" t="s">
        <v>1798</v>
      </c>
      <c r="E109" s="133" t="s">
        <v>1799</v>
      </c>
      <c r="F109" s="121" t="str">
        <f>IFERROR(__xludf.DUMMYFUNCTION("TEXTJOIN("","",1,FILTER(A:A,E:E=E109))"),"EEE")</f>
        <v>EEE</v>
      </c>
    </row>
    <row r="110" ht="49.5" hidden="1" customHeight="1">
      <c r="A110" s="121" t="s">
        <v>46</v>
      </c>
      <c r="B110" s="121" t="s">
        <v>1612</v>
      </c>
      <c r="C110" s="121" t="s">
        <v>1573</v>
      </c>
      <c r="D110" s="121" t="s">
        <v>1882</v>
      </c>
      <c r="E110" s="133" t="s">
        <v>1883</v>
      </c>
      <c r="F110" s="121" t="str">
        <f>IFERROR(__xludf.DUMMYFUNCTION("TEXTJOIN("","",1,FILTER(A:A,E:E=E110))"),"MTRS")</f>
        <v>MTRS</v>
      </c>
    </row>
    <row r="111" ht="49.5" customHeight="1">
      <c r="A111" s="121" t="s">
        <v>0</v>
      </c>
      <c r="B111" s="121" t="s">
        <v>1612</v>
      </c>
      <c r="C111" s="121" t="s">
        <v>1573</v>
      </c>
      <c r="D111" s="121" t="s">
        <v>1615</v>
      </c>
      <c r="E111" s="133" t="s">
        <v>1616</v>
      </c>
      <c r="F111" s="121" t="str">
        <f>IFERROR(__xludf.DUMMYFUNCTION("TEXTJOIN("","",1,FILTER(A:A,E:E=E111))"),"AGRI")</f>
        <v>AGRI</v>
      </c>
    </row>
    <row r="112" ht="49.5" hidden="1" customHeight="1">
      <c r="A112" s="121" t="s">
        <v>13</v>
      </c>
      <c r="B112" s="121" t="s">
        <v>1596</v>
      </c>
      <c r="C112" s="121" t="s">
        <v>1573</v>
      </c>
      <c r="D112" s="121" t="s">
        <v>1772</v>
      </c>
      <c r="E112" s="133" t="s">
        <v>1773</v>
      </c>
      <c r="F112" s="121" t="str">
        <f>IFERROR(__xludf.DUMMYFUNCTION("TEXTJOIN("","",1,FILTER(A:A,E:E=E112))"),"BT")</f>
        <v>BT</v>
      </c>
    </row>
    <row r="113" ht="49.5" hidden="1" customHeight="1">
      <c r="A113" s="121" t="s">
        <v>83</v>
      </c>
      <c r="B113" s="121" t="s">
        <v>1612</v>
      </c>
      <c r="C113" s="121" t="s">
        <v>1623</v>
      </c>
      <c r="D113" s="121" t="s">
        <v>1696</v>
      </c>
      <c r="E113" s="133" t="s">
        <v>1697</v>
      </c>
      <c r="F113" s="121" t="str">
        <f>IFERROR(__xludf.DUMMYFUNCTION("TEXTJOIN("","",1,FILTER(A:A,E:E=E113))"),"BME")</f>
        <v>BME</v>
      </c>
    </row>
    <row r="114" ht="49.5" customHeight="1">
      <c r="A114" s="121" t="s">
        <v>18</v>
      </c>
      <c r="B114" s="121" t="s">
        <v>1745</v>
      </c>
      <c r="C114" s="121" t="s">
        <v>1755</v>
      </c>
      <c r="D114" s="121" t="s">
        <v>1758</v>
      </c>
      <c r="E114" s="133" t="s">
        <v>1759</v>
      </c>
      <c r="F114" s="121" t="str">
        <f>IFERROR(__xludf.DUMMYFUNCTION("TEXTJOIN("","",1,FILTER(A:A,E:E=E114))"),"CSE")</f>
        <v>CSE</v>
      </c>
    </row>
    <row r="115" ht="49.5" hidden="1" customHeight="1">
      <c r="A115" s="121" t="s">
        <v>24</v>
      </c>
      <c r="B115" s="121" t="s">
        <v>1596</v>
      </c>
      <c r="C115" s="121" t="s">
        <v>1573</v>
      </c>
      <c r="D115" s="121" t="s">
        <v>1709</v>
      </c>
      <c r="E115" s="133" t="s">
        <v>1710</v>
      </c>
      <c r="F115" s="121" t="str">
        <f>IFERROR(__xludf.DUMMYFUNCTION("TEXTJOIN("","",1,FILTER(A:A,E:E=E115))"),"CSBS,SMS")</f>
        <v>CSBS,SMS</v>
      </c>
    </row>
    <row r="116" ht="49.5" hidden="1" customHeight="1">
      <c r="A116" s="121" t="s">
        <v>1995</v>
      </c>
      <c r="B116" s="121" t="s">
        <v>1572</v>
      </c>
      <c r="C116" s="121" t="s">
        <v>1573</v>
      </c>
      <c r="D116" s="121" t="s">
        <v>2003</v>
      </c>
      <c r="E116" s="133" t="s">
        <v>1710</v>
      </c>
      <c r="F116" s="121" t="str">
        <f>IFERROR(__xludf.DUMMYFUNCTION("TEXTJOIN("","",1,FILTER(A:A,E:E=E116))"),"CSBS,SMS")</f>
        <v>CSBS,SMS</v>
      </c>
    </row>
    <row r="117" ht="49.5" customHeight="1">
      <c r="A117" s="121" t="s">
        <v>1995</v>
      </c>
      <c r="B117" s="121" t="s">
        <v>1572</v>
      </c>
      <c r="C117" s="121" t="s">
        <v>1573</v>
      </c>
      <c r="D117" s="121" t="s">
        <v>2000</v>
      </c>
      <c r="E117" s="133" t="s">
        <v>2001</v>
      </c>
      <c r="F117" s="121" t="str">
        <f>IFERROR(__xludf.DUMMYFUNCTION("TEXTJOIN("","",1,FILTER(A:A,E:E=E117))"),"SMS")</f>
        <v>SMS</v>
      </c>
    </row>
    <row r="118" ht="49.5" customHeight="1">
      <c r="A118" s="121" t="s">
        <v>4</v>
      </c>
      <c r="B118" s="121" t="s">
        <v>1596</v>
      </c>
      <c r="C118" s="121" t="s">
        <v>1573</v>
      </c>
      <c r="D118" s="121" t="s">
        <v>1650</v>
      </c>
      <c r="E118" s="133" t="s">
        <v>1651</v>
      </c>
      <c r="F118" s="121" t="str">
        <f>IFERROR(__xludf.DUMMYFUNCTION("TEXTJOIN("","",1,FILTER(A:A,E:E=E118))"),"AIDS,AIML,CSE,CSBS,IT")</f>
        <v>AIDS,AIML,CSE,CSBS,IT</v>
      </c>
    </row>
    <row r="119" ht="49.5" customHeight="1">
      <c r="A119" s="121" t="s">
        <v>9</v>
      </c>
      <c r="B119" s="121" t="s">
        <v>1596</v>
      </c>
      <c r="C119" s="121" t="s">
        <v>1573</v>
      </c>
      <c r="D119" s="121" t="s">
        <v>1671</v>
      </c>
      <c r="E119" s="133" t="s">
        <v>1651</v>
      </c>
      <c r="F119" s="121" t="str">
        <f>IFERROR(__xludf.DUMMYFUNCTION("TEXTJOIN("","",1,FILTER(A:A,E:E=E119))"),"AIDS,AIML,CSE,CSBS,IT")</f>
        <v>AIDS,AIML,CSE,CSBS,IT</v>
      </c>
    </row>
    <row r="120" ht="49.5" customHeight="1">
      <c r="A120" s="121" t="s">
        <v>18</v>
      </c>
      <c r="B120" s="121" t="s">
        <v>1596</v>
      </c>
      <c r="C120" s="121" t="s">
        <v>1573</v>
      </c>
      <c r="D120" s="121" t="s">
        <v>1730</v>
      </c>
      <c r="E120" s="133" t="s">
        <v>1651</v>
      </c>
      <c r="F120" s="121" t="str">
        <f>IFERROR(__xludf.DUMMYFUNCTION("TEXTJOIN("","",1,FILTER(A:A,E:E=E120))"),"AIDS,AIML,CSE,CSBS,IT")</f>
        <v>AIDS,AIML,CSE,CSBS,IT</v>
      </c>
    </row>
    <row r="121" ht="49.5" customHeight="1">
      <c r="A121" s="121" t="s">
        <v>24</v>
      </c>
      <c r="B121" s="121" t="s">
        <v>1596</v>
      </c>
      <c r="C121" s="121" t="s">
        <v>1573</v>
      </c>
      <c r="D121" s="121" t="s">
        <v>1702</v>
      </c>
      <c r="E121" s="133" t="s">
        <v>1651</v>
      </c>
      <c r="F121" s="121" t="str">
        <f>IFERROR(__xludf.DUMMYFUNCTION("TEXTJOIN("","",1,FILTER(A:A,E:E=E121))"),"AIDS,AIML,CSE,CSBS,IT")</f>
        <v>AIDS,AIML,CSE,CSBS,IT</v>
      </c>
    </row>
    <row r="122" ht="49.5" hidden="1" customHeight="1">
      <c r="A122" s="121" t="s">
        <v>40</v>
      </c>
      <c r="B122" s="121" t="s">
        <v>1596</v>
      </c>
      <c r="C122" s="121" t="s">
        <v>1573</v>
      </c>
      <c r="D122" s="121" t="s">
        <v>1900</v>
      </c>
      <c r="E122" s="133" t="s">
        <v>1651</v>
      </c>
      <c r="F122" s="121" t="str">
        <f>IFERROR(__xludf.DUMMYFUNCTION("TEXTJOIN("","",1,FILTER(A:A,E:E=E122))"),"AIDS,AIML,CSE,CSBS,IT")</f>
        <v>AIDS,AIML,CSE,CSBS,IT</v>
      </c>
    </row>
    <row r="123" ht="49.5" hidden="1" customHeight="1">
      <c r="A123" s="121" t="s">
        <v>83</v>
      </c>
      <c r="B123" s="121" t="s">
        <v>1612</v>
      </c>
      <c r="C123" s="121" t="s">
        <v>86</v>
      </c>
      <c r="D123" s="121" t="s">
        <v>87</v>
      </c>
      <c r="E123" s="133" t="s">
        <v>1695</v>
      </c>
      <c r="F123" s="121" t="str">
        <f>IFERROR(__xludf.DUMMYFUNCTION("TEXTJOIN("","",1,FILTER(A:A,E:E=E123))"),"BME")</f>
        <v>BME</v>
      </c>
    </row>
    <row r="124" ht="49.5" hidden="1" customHeight="1">
      <c r="A124" s="121" t="s">
        <v>18</v>
      </c>
      <c r="B124" s="121" t="s">
        <v>1612</v>
      </c>
      <c r="C124" s="121" t="s">
        <v>86</v>
      </c>
      <c r="D124" s="121" t="s">
        <v>124</v>
      </c>
      <c r="E124" s="133" t="s">
        <v>125</v>
      </c>
      <c r="F124" s="121" t="str">
        <f>IFERROR(__xludf.DUMMYFUNCTION("TEXTJOIN("","",1,FILTER(A:A,E:E=E124))"),"CSE")</f>
        <v>CSE</v>
      </c>
    </row>
    <row r="125" ht="49.5" hidden="1" customHeight="1">
      <c r="A125" s="121" t="s">
        <v>200</v>
      </c>
      <c r="B125" s="121" t="s">
        <v>1612</v>
      </c>
      <c r="C125" s="121" t="s">
        <v>1621</v>
      </c>
      <c r="D125" s="121" t="s">
        <v>205</v>
      </c>
      <c r="E125" s="133" t="s">
        <v>1934</v>
      </c>
      <c r="F125" s="121" t="str">
        <f>IFERROR(__xludf.DUMMYFUNCTION("TEXTJOIN("","",1,FILTER(A:A,E:E=E125))"),"FD")</f>
        <v>FD</v>
      </c>
    </row>
    <row r="126" ht="49.5" hidden="1" customHeight="1">
      <c r="A126" s="121" t="s">
        <v>18</v>
      </c>
      <c r="B126" s="121" t="s">
        <v>1612</v>
      </c>
      <c r="C126" s="121" t="s">
        <v>1623</v>
      </c>
      <c r="D126" s="121" t="s">
        <v>1741</v>
      </c>
      <c r="E126" s="133" t="s">
        <v>1742</v>
      </c>
      <c r="F126" s="121" t="str">
        <f>IFERROR(__xludf.DUMMYFUNCTION("TEXTJOIN("","",1,FILTER(A:A,E:E=E126))"),"CSE")</f>
        <v>CSE</v>
      </c>
    </row>
    <row r="127" ht="49.5" hidden="1" customHeight="1">
      <c r="A127" s="121" t="s">
        <v>209</v>
      </c>
      <c r="B127" s="121" t="s">
        <v>1612</v>
      </c>
      <c r="C127" s="121" t="s">
        <v>1573</v>
      </c>
      <c r="D127" s="121" t="s">
        <v>1832</v>
      </c>
      <c r="E127" s="133" t="s">
        <v>1833</v>
      </c>
      <c r="F127" s="121" t="str">
        <f>IFERROR(__xludf.DUMMYFUNCTION("TEXTJOIN("","",1,FILTER(A:A,E:E=E127))"),"ISE")</f>
        <v>ISE</v>
      </c>
    </row>
    <row r="128" ht="49.5" hidden="1" customHeight="1">
      <c r="A128" s="121" t="s">
        <v>4</v>
      </c>
      <c r="B128" s="121" t="s">
        <v>1612</v>
      </c>
      <c r="C128" s="121" t="s">
        <v>1573</v>
      </c>
      <c r="D128" s="121" t="s">
        <v>1656</v>
      </c>
      <c r="E128" s="133" t="s">
        <v>1657</v>
      </c>
      <c r="F128" s="121" t="str">
        <f>IFERROR(__xludf.DUMMYFUNCTION("TEXTJOIN("","",1,FILTER(A:A,E:E=E128))"),"AIDS,AIML")</f>
        <v>AIDS,AIML</v>
      </c>
    </row>
    <row r="129" ht="49.5" hidden="1" customHeight="1">
      <c r="A129" s="121" t="s">
        <v>9</v>
      </c>
      <c r="B129" s="121" t="s">
        <v>1612</v>
      </c>
      <c r="C129" s="121" t="s">
        <v>1573</v>
      </c>
      <c r="D129" s="121" t="s">
        <v>1674</v>
      </c>
      <c r="E129" s="133" t="s">
        <v>1657</v>
      </c>
      <c r="F129" s="121" t="str">
        <f>IFERROR(__xludf.DUMMYFUNCTION("TEXTJOIN("","",1,FILTER(A:A,E:E=E129))"),"AIDS,AIML")</f>
        <v>AIDS,AIML</v>
      </c>
    </row>
    <row r="130" ht="49.5" hidden="1" customHeight="1">
      <c r="A130" s="121" t="s">
        <v>143</v>
      </c>
      <c r="B130" s="121" t="s">
        <v>1612</v>
      </c>
      <c r="C130" s="121" t="s">
        <v>1620</v>
      </c>
      <c r="D130" s="121" t="s">
        <v>147</v>
      </c>
      <c r="E130" s="133" t="s">
        <v>148</v>
      </c>
      <c r="F130" s="121" t="str">
        <f>IFERROR(__xludf.DUMMYFUNCTION("TEXTJOIN("","",1,FILTER(A:A,E:E=E130))"),"CSD,CT")</f>
        <v>CSD,CT</v>
      </c>
    </row>
    <row r="131" ht="49.5" hidden="1" customHeight="1">
      <c r="A131" s="121" t="s">
        <v>151</v>
      </c>
      <c r="B131" s="121" t="s">
        <v>1612</v>
      </c>
      <c r="C131" s="121" t="s">
        <v>1620</v>
      </c>
      <c r="D131" s="121" t="s">
        <v>156</v>
      </c>
      <c r="E131" s="133" t="s">
        <v>148</v>
      </c>
      <c r="F131" s="121" t="str">
        <f>IFERROR(__xludf.DUMMYFUNCTION("TEXTJOIN("","",1,FILTER(A:A,E:E=E131))"),"CSD,CT")</f>
        <v>CSD,CT</v>
      </c>
    </row>
    <row r="132" ht="49.5" hidden="1" customHeight="1">
      <c r="A132" s="121" t="s">
        <v>13</v>
      </c>
      <c r="B132" s="121" t="s">
        <v>1612</v>
      </c>
      <c r="C132" s="121" t="s">
        <v>1619</v>
      </c>
      <c r="D132" s="121" t="s">
        <v>99</v>
      </c>
      <c r="E132" s="133" t="s">
        <v>1780</v>
      </c>
      <c r="F132" s="121" t="str">
        <f>IFERROR(__xludf.DUMMYFUNCTION("TEXTJOIN("","",1,FILTER(A:A,E:E=E132))"),"BT")</f>
        <v>BT</v>
      </c>
    </row>
    <row r="133" ht="49.5" hidden="1" customHeight="1">
      <c r="A133" s="121" t="s">
        <v>24</v>
      </c>
      <c r="B133" s="121" t="s">
        <v>1612</v>
      </c>
      <c r="C133" s="121" t="s">
        <v>1619</v>
      </c>
      <c r="D133" s="121" t="s">
        <v>137</v>
      </c>
      <c r="E133" s="133" t="s">
        <v>138</v>
      </c>
      <c r="F133" s="121" t="str">
        <f>IFERROR(__xludf.DUMMYFUNCTION("TEXTJOIN("","",1,FILTER(A:A,E:E=E133))"),"CSBS")</f>
        <v>CSBS</v>
      </c>
    </row>
    <row r="134" ht="49.5" hidden="1" customHeight="1">
      <c r="A134" s="121" t="s">
        <v>9</v>
      </c>
      <c r="B134" s="121" t="s">
        <v>1612</v>
      </c>
      <c r="C134" s="121" t="s">
        <v>1620</v>
      </c>
      <c r="D134" s="121" t="s">
        <v>79</v>
      </c>
      <c r="E134" s="133" t="s">
        <v>223</v>
      </c>
      <c r="F134" s="121" t="str">
        <f>IFERROR(__xludf.DUMMYFUNCTION("TEXTJOIN("","",1,FILTER(A:A,E:E=E134))"),"AIML,IT")</f>
        <v>AIML,IT</v>
      </c>
    </row>
    <row r="135" ht="49.5" hidden="1" customHeight="1">
      <c r="A135" s="121" t="s">
        <v>40</v>
      </c>
      <c r="B135" s="121" t="s">
        <v>1612</v>
      </c>
      <c r="C135" s="121" t="s">
        <v>1620</v>
      </c>
      <c r="D135" s="121" t="s">
        <v>222</v>
      </c>
      <c r="E135" s="133" t="s">
        <v>223</v>
      </c>
      <c r="F135" s="121" t="str">
        <f>IFERROR(__xludf.DUMMYFUNCTION("TEXTJOIN("","",1,FILTER(A:A,E:E=E135))"),"AIML,IT")</f>
        <v>AIML,IT</v>
      </c>
    </row>
    <row r="136" ht="49.5" hidden="1" customHeight="1">
      <c r="A136" s="121" t="s">
        <v>9</v>
      </c>
      <c r="B136" s="121" t="s">
        <v>1596</v>
      </c>
      <c r="C136" s="121" t="s">
        <v>1607</v>
      </c>
      <c r="D136" s="121" t="s">
        <v>11</v>
      </c>
      <c r="E136" s="133" t="s">
        <v>12</v>
      </c>
      <c r="F136" s="121" t="str">
        <f>IFERROR(__xludf.DUMMYFUNCTION("TEXTJOIN("","",1,FILTER(A:A,E:E=E136))"),"AIML")</f>
        <v>AIML</v>
      </c>
    </row>
    <row r="137" ht="49.5" hidden="1" customHeight="1">
      <c r="A137" s="121" t="s">
        <v>0</v>
      </c>
      <c r="B137" s="121" t="s">
        <v>1612</v>
      </c>
      <c r="C137" s="121" t="s">
        <v>1628</v>
      </c>
      <c r="D137" s="121" t="s">
        <v>1629</v>
      </c>
      <c r="E137" s="133" t="s">
        <v>1630</v>
      </c>
      <c r="F137" s="121" t="str">
        <f>IFERROR(__xludf.DUMMYFUNCTION("TEXTJOIN("","",1,FILTER(A:A,E:E=E137))"),"AGRI,AIDS,AIML,BME,BT,CIVIL,CSE,CSBS,CSD,CT,EEE,ECE,EIE,FT,FD,ISE,IT,MECH,MTRS")</f>
        <v>AGRI,AIDS,AIML,BME,BT,CIVIL,CSE,CSBS,CSD,CT,EEE,ECE,EIE,FT,FD,ISE,IT,MECH,MTRS</v>
      </c>
    </row>
    <row r="138" ht="49.5" hidden="1" customHeight="1">
      <c r="A138" s="121" t="s">
        <v>4</v>
      </c>
      <c r="B138" s="121" t="s">
        <v>1612</v>
      </c>
      <c r="C138" s="121" t="s">
        <v>1632</v>
      </c>
      <c r="D138" s="121" t="s">
        <v>1666</v>
      </c>
      <c r="E138" s="133" t="s">
        <v>1630</v>
      </c>
      <c r="F138" s="121" t="str">
        <f>IFERROR(__xludf.DUMMYFUNCTION("TEXTJOIN("","",1,FILTER(A:A,E:E=E138))"),"AGRI,AIDS,AIML,BME,BT,CIVIL,CSE,CSBS,CSD,CT,EEE,ECE,EIE,FT,FD,ISE,IT,MECH,MTRS")</f>
        <v>AGRI,AIDS,AIML,BME,BT,CIVIL,CSE,CSBS,CSD,CT,EEE,ECE,EIE,FT,FD,ISE,IT,MECH,MTRS</v>
      </c>
    </row>
    <row r="139" ht="49.5" hidden="1" customHeight="1">
      <c r="A139" s="121" t="s">
        <v>9</v>
      </c>
      <c r="B139" s="121" t="s">
        <v>1612</v>
      </c>
      <c r="C139" s="121" t="s">
        <v>1628</v>
      </c>
      <c r="D139" s="121" t="s">
        <v>1686</v>
      </c>
      <c r="E139" s="133" t="s">
        <v>1630</v>
      </c>
      <c r="F139" s="121" t="str">
        <f>IFERROR(__xludf.DUMMYFUNCTION("TEXTJOIN("","",1,FILTER(A:A,E:E=E139))"),"AGRI,AIDS,AIML,BME,BT,CIVIL,CSE,CSBS,CSD,CT,EEE,ECE,EIE,FT,FD,ISE,IT,MECH,MTRS")</f>
        <v>AGRI,AIDS,AIML,BME,BT,CIVIL,CSE,CSBS,CSD,CT,EEE,ECE,EIE,FT,FD,ISE,IT,MECH,MTRS</v>
      </c>
    </row>
    <row r="140" ht="49.5" hidden="1" customHeight="1">
      <c r="A140" s="121" t="s">
        <v>83</v>
      </c>
      <c r="B140" s="121" t="s">
        <v>1612</v>
      </c>
      <c r="C140" s="121" t="s">
        <v>1628</v>
      </c>
      <c r="D140" s="121" t="s">
        <v>1700</v>
      </c>
      <c r="E140" s="133" t="s">
        <v>1630</v>
      </c>
      <c r="F140" s="121" t="str">
        <f>IFERROR(__xludf.DUMMYFUNCTION("TEXTJOIN("","",1,FILTER(A:A,E:E=E140))"),"AGRI,AIDS,AIML,BME,BT,CIVIL,CSE,CSBS,CSD,CT,EEE,ECE,EIE,FT,FD,ISE,IT,MECH,MTRS")</f>
        <v>AGRI,AIDS,AIML,BME,BT,CIVIL,CSE,CSBS,CSD,CT,EEE,ECE,EIE,FT,FD,ISE,IT,MECH,MTRS</v>
      </c>
    </row>
    <row r="141" ht="49.5" hidden="1" customHeight="1">
      <c r="A141" s="121" t="s">
        <v>13</v>
      </c>
      <c r="B141" s="121" t="s">
        <v>1612</v>
      </c>
      <c r="C141" s="121" t="s">
        <v>1628</v>
      </c>
      <c r="D141" s="121" t="s">
        <v>1785</v>
      </c>
      <c r="E141" s="133" t="s">
        <v>1630</v>
      </c>
      <c r="F141" s="121" t="str">
        <f>IFERROR(__xludf.DUMMYFUNCTION("TEXTJOIN("","",1,FILTER(A:A,E:E=E141))"),"AGRI,AIDS,AIML,BME,BT,CIVIL,CSE,CSBS,CSD,CT,EEE,ECE,EIE,FT,FD,ISE,IT,MECH,MTRS")</f>
        <v>AGRI,AIDS,AIML,BME,BT,CIVIL,CSE,CSBS,CSD,CT,EEE,ECE,EIE,FT,FD,ISE,IT,MECH,MTRS</v>
      </c>
    </row>
    <row r="142" ht="49.5" hidden="1" customHeight="1">
      <c r="A142" s="121" t="s">
        <v>111</v>
      </c>
      <c r="B142" s="121" t="s">
        <v>1612</v>
      </c>
      <c r="C142" s="121" t="s">
        <v>1573</v>
      </c>
      <c r="D142" s="121" t="s">
        <v>1830</v>
      </c>
      <c r="E142" s="133" t="s">
        <v>1630</v>
      </c>
      <c r="F142" s="121" t="str">
        <f>IFERROR(__xludf.DUMMYFUNCTION("TEXTJOIN("","",1,FILTER(A:A,E:E=E142))"),"AGRI,AIDS,AIML,BME,BT,CIVIL,CSE,CSBS,CSD,CT,EEE,ECE,EIE,FT,FD,ISE,IT,MECH,MTRS")</f>
        <v>AGRI,AIDS,AIML,BME,BT,CIVIL,CSE,CSBS,CSD,CT,EEE,ECE,EIE,FT,FD,ISE,IT,MECH,MTRS</v>
      </c>
    </row>
    <row r="143" ht="49.5" hidden="1" customHeight="1">
      <c r="A143" s="121" t="s">
        <v>18</v>
      </c>
      <c r="B143" s="121" t="s">
        <v>1612</v>
      </c>
      <c r="C143" s="121" t="s">
        <v>1628</v>
      </c>
      <c r="D143" s="121" t="s">
        <v>1743</v>
      </c>
      <c r="E143" s="133" t="s">
        <v>1630</v>
      </c>
      <c r="F143" s="121" t="str">
        <f>IFERROR(__xludf.DUMMYFUNCTION("TEXTJOIN("","",1,FILTER(A:A,E:E=E143))"),"AGRI,AIDS,AIML,BME,BT,CIVIL,CSE,CSBS,CSD,CT,EEE,ECE,EIE,FT,FD,ISE,IT,MECH,MTRS")</f>
        <v>AGRI,AIDS,AIML,BME,BT,CIVIL,CSE,CSBS,CSD,CT,EEE,ECE,EIE,FT,FD,ISE,IT,MECH,MTRS</v>
      </c>
    </row>
    <row r="144" ht="49.5" hidden="1" customHeight="1">
      <c r="A144" s="121" t="s">
        <v>24</v>
      </c>
      <c r="B144" s="121" t="s">
        <v>1612</v>
      </c>
      <c r="C144" s="121" t="s">
        <v>1628</v>
      </c>
      <c r="D144" s="121" t="s">
        <v>1721</v>
      </c>
      <c r="E144" s="133" t="s">
        <v>1630</v>
      </c>
      <c r="F144" s="121" t="str">
        <f>IFERROR(__xludf.DUMMYFUNCTION("TEXTJOIN("","",1,FILTER(A:A,E:E=E144))"),"AGRI,AIDS,AIML,BME,BT,CIVIL,CSE,CSBS,CSD,CT,EEE,ECE,EIE,FT,FD,ISE,IT,MECH,MTRS")</f>
        <v>AGRI,AIDS,AIML,BME,BT,CIVIL,CSE,CSBS,CSD,CT,EEE,ECE,EIE,FT,FD,ISE,IT,MECH,MTRS</v>
      </c>
    </row>
    <row r="145" ht="49.5" hidden="1" customHeight="1">
      <c r="A145" s="121" t="s">
        <v>143</v>
      </c>
      <c r="B145" s="121" t="s">
        <v>1612</v>
      </c>
      <c r="C145" s="121" t="s">
        <v>1628</v>
      </c>
      <c r="D145" s="121" t="s">
        <v>1796</v>
      </c>
      <c r="E145" s="133" t="s">
        <v>1630</v>
      </c>
      <c r="F145" s="121" t="str">
        <f>IFERROR(__xludf.DUMMYFUNCTION("TEXTJOIN("","",1,FILTER(A:A,E:E=E145))"),"AGRI,AIDS,AIML,BME,BT,CIVIL,CSE,CSBS,CSD,CT,EEE,ECE,EIE,FT,FD,ISE,IT,MECH,MTRS")</f>
        <v>AGRI,AIDS,AIML,BME,BT,CIVIL,CSE,CSBS,CSD,CT,EEE,ECE,EIE,FT,FD,ISE,IT,MECH,MTRS</v>
      </c>
    </row>
    <row r="146" ht="49.5" hidden="1" customHeight="1">
      <c r="A146" s="121" t="s">
        <v>151</v>
      </c>
      <c r="B146" s="121" t="s">
        <v>1612</v>
      </c>
      <c r="C146" s="121" t="s">
        <v>1573</v>
      </c>
      <c r="D146" s="121" t="s">
        <v>1869</v>
      </c>
      <c r="E146" s="133" t="s">
        <v>1630</v>
      </c>
      <c r="F146" s="121" t="str">
        <f>IFERROR(__xludf.DUMMYFUNCTION("TEXTJOIN("","",1,FILTER(A:A,E:E=E146))"),"AGRI,AIDS,AIML,BME,BT,CIVIL,CSE,CSBS,CSD,CT,EEE,ECE,EIE,FT,FD,ISE,IT,MECH,MTRS")</f>
        <v>AGRI,AIDS,AIML,BME,BT,CIVIL,CSE,CSBS,CSD,CT,EEE,ECE,EIE,FT,FD,ISE,IT,MECH,MTRS</v>
      </c>
    </row>
    <row r="147" ht="49.5" hidden="1" customHeight="1">
      <c r="A147" s="121" t="s">
        <v>27</v>
      </c>
      <c r="B147" s="121" t="s">
        <v>1612</v>
      </c>
      <c r="C147" s="121" t="s">
        <v>1628</v>
      </c>
      <c r="D147" s="121" t="s">
        <v>1818</v>
      </c>
      <c r="E147" s="133" t="s">
        <v>1630</v>
      </c>
      <c r="F147" s="121" t="str">
        <f>IFERROR(__xludf.DUMMYFUNCTION("TEXTJOIN("","",1,FILTER(A:A,E:E=E147))"),"AGRI,AIDS,AIML,BME,BT,CIVIL,CSE,CSBS,CSD,CT,EEE,ECE,EIE,FT,FD,ISE,IT,MECH,MTRS")</f>
        <v>AGRI,AIDS,AIML,BME,BT,CIVIL,CSE,CSBS,CSD,CT,EEE,ECE,EIE,FT,FD,ISE,IT,MECH,MTRS</v>
      </c>
    </row>
    <row r="148" ht="49.5" hidden="1" customHeight="1">
      <c r="A148" s="121" t="s">
        <v>32</v>
      </c>
      <c r="B148" s="121" t="s">
        <v>1612</v>
      </c>
      <c r="C148" s="121" t="s">
        <v>1628</v>
      </c>
      <c r="D148" s="121" t="s">
        <v>1862</v>
      </c>
      <c r="E148" s="133" t="s">
        <v>1630</v>
      </c>
      <c r="F148" s="121" t="str">
        <f>IFERROR(__xludf.DUMMYFUNCTION("TEXTJOIN("","",1,FILTER(A:A,E:E=E148))"),"AGRI,AIDS,AIML,BME,BT,CIVIL,CSE,CSBS,CSD,CT,EEE,ECE,EIE,FT,FD,ISE,IT,MECH,MTRS")</f>
        <v>AGRI,AIDS,AIML,BME,BT,CIVIL,CSE,CSBS,CSD,CT,EEE,ECE,EIE,FT,FD,ISE,IT,MECH,MTRS</v>
      </c>
    </row>
    <row r="149" ht="49.5" hidden="1" customHeight="1">
      <c r="A149" s="121" t="s">
        <v>37</v>
      </c>
      <c r="B149" s="121" t="s">
        <v>1612</v>
      </c>
      <c r="C149" s="121" t="s">
        <v>1628</v>
      </c>
      <c r="D149" s="121" t="s">
        <v>1925</v>
      </c>
      <c r="E149" s="133" t="s">
        <v>1630</v>
      </c>
      <c r="F149" s="121" t="str">
        <f>IFERROR(__xludf.DUMMYFUNCTION("TEXTJOIN("","",1,FILTER(A:A,E:E=E149))"),"AGRI,AIDS,AIML,BME,BT,CIVIL,CSE,CSBS,CSD,CT,EEE,ECE,EIE,FT,FD,ISE,IT,MECH,MTRS")</f>
        <v>AGRI,AIDS,AIML,BME,BT,CIVIL,CSE,CSBS,CSD,CT,EEE,ECE,EIE,FT,FD,ISE,IT,MECH,MTRS</v>
      </c>
    </row>
    <row r="150" ht="49.5" hidden="1" customHeight="1">
      <c r="A150" s="121" t="s">
        <v>193</v>
      </c>
      <c r="B150" s="121" t="s">
        <v>1612</v>
      </c>
      <c r="C150" s="121" t="s">
        <v>1628</v>
      </c>
      <c r="D150" s="121" t="s">
        <v>1991</v>
      </c>
      <c r="E150" s="133" t="s">
        <v>1630</v>
      </c>
      <c r="F150" s="121" t="str">
        <f>IFERROR(__xludf.DUMMYFUNCTION("TEXTJOIN("","",1,FILTER(A:A,E:E=E150))"),"AGRI,AIDS,AIML,BME,BT,CIVIL,CSE,CSBS,CSD,CT,EEE,ECE,EIE,FT,FD,ISE,IT,MECH,MTRS")</f>
        <v>AGRI,AIDS,AIML,BME,BT,CIVIL,CSE,CSBS,CSD,CT,EEE,ECE,EIE,FT,FD,ISE,IT,MECH,MTRS</v>
      </c>
    </row>
    <row r="151" ht="49.5" hidden="1" customHeight="1">
      <c r="A151" s="121" t="s">
        <v>200</v>
      </c>
      <c r="B151" s="121" t="s">
        <v>1612</v>
      </c>
      <c r="C151" s="121" t="s">
        <v>1573</v>
      </c>
      <c r="D151" s="121" t="s">
        <v>1939</v>
      </c>
      <c r="E151" s="133" t="s">
        <v>1630</v>
      </c>
      <c r="F151" s="121" t="str">
        <f>IFERROR(__xludf.DUMMYFUNCTION("TEXTJOIN("","",1,FILTER(A:A,E:E=E151))"),"AGRI,AIDS,AIML,BME,BT,CIVIL,CSE,CSBS,CSD,CT,EEE,ECE,EIE,FT,FD,ISE,IT,MECH,MTRS")</f>
        <v>AGRI,AIDS,AIML,BME,BT,CIVIL,CSE,CSBS,CSD,CT,EEE,ECE,EIE,FT,FD,ISE,IT,MECH,MTRS</v>
      </c>
    </row>
    <row r="152" ht="49.5" hidden="1" customHeight="1">
      <c r="A152" s="121" t="s">
        <v>209</v>
      </c>
      <c r="B152" s="121" t="s">
        <v>1612</v>
      </c>
      <c r="C152" s="121" t="s">
        <v>1628</v>
      </c>
      <c r="D152" s="121" t="s">
        <v>1840</v>
      </c>
      <c r="E152" s="133" t="s">
        <v>1630</v>
      </c>
      <c r="F152" s="121" t="str">
        <f>IFERROR(__xludf.DUMMYFUNCTION("TEXTJOIN("","",1,FILTER(A:A,E:E=E152))"),"AGRI,AIDS,AIML,BME,BT,CIVIL,CSE,CSBS,CSD,CT,EEE,ECE,EIE,FT,FD,ISE,IT,MECH,MTRS")</f>
        <v>AGRI,AIDS,AIML,BME,BT,CIVIL,CSE,CSBS,CSD,CT,EEE,ECE,EIE,FT,FD,ISE,IT,MECH,MTRS</v>
      </c>
    </row>
    <row r="153" ht="49.5" hidden="1" customHeight="1">
      <c r="A153" s="121" t="s">
        <v>40</v>
      </c>
      <c r="B153" s="121" t="s">
        <v>1612</v>
      </c>
      <c r="C153" s="121" t="s">
        <v>1628</v>
      </c>
      <c r="D153" s="121" t="s">
        <v>1911</v>
      </c>
      <c r="E153" s="133" t="s">
        <v>1630</v>
      </c>
      <c r="F153" s="121" t="str">
        <f>IFERROR(__xludf.DUMMYFUNCTION("TEXTJOIN("","",1,FILTER(A:A,E:E=E153))"),"AGRI,AIDS,AIML,BME,BT,CIVIL,CSE,CSBS,CSD,CT,EEE,ECE,EIE,FT,FD,ISE,IT,MECH,MTRS")</f>
        <v>AGRI,AIDS,AIML,BME,BT,CIVIL,CSE,CSBS,CSD,CT,EEE,ECE,EIE,FT,FD,ISE,IT,MECH,MTRS</v>
      </c>
    </row>
    <row r="154" ht="49.5" hidden="1" customHeight="1">
      <c r="A154" s="121" t="s">
        <v>43</v>
      </c>
      <c r="B154" s="121" t="s">
        <v>1612</v>
      </c>
      <c r="C154" s="121" t="s">
        <v>1573</v>
      </c>
      <c r="D154" s="121" t="s">
        <v>1980</v>
      </c>
      <c r="E154" s="133" t="s">
        <v>1630</v>
      </c>
      <c r="F154" s="121" t="str">
        <f>IFERROR(__xludf.DUMMYFUNCTION("TEXTJOIN("","",1,FILTER(A:A,E:E=E154))"),"AGRI,AIDS,AIML,BME,BT,CIVIL,CSE,CSBS,CSD,CT,EEE,ECE,EIE,FT,FD,ISE,IT,MECH,MTRS")</f>
        <v>AGRI,AIDS,AIML,BME,BT,CIVIL,CSE,CSBS,CSD,CT,EEE,ECE,EIE,FT,FD,ISE,IT,MECH,MTRS</v>
      </c>
    </row>
    <row r="155" ht="49.5" hidden="1" customHeight="1">
      <c r="A155" s="121" t="s">
        <v>46</v>
      </c>
      <c r="B155" s="121" t="s">
        <v>1612</v>
      </c>
      <c r="C155" s="121" t="s">
        <v>1628</v>
      </c>
      <c r="D155" s="121" t="s">
        <v>1894</v>
      </c>
      <c r="E155" s="133" t="s">
        <v>1630</v>
      </c>
      <c r="F155" s="121" t="str">
        <f>IFERROR(__xludf.DUMMYFUNCTION("TEXTJOIN("","",1,FILTER(A:A,E:E=E155))"),"AGRI,AIDS,AIML,BME,BT,CIVIL,CSE,CSBS,CSD,CT,EEE,ECE,EIE,FT,FD,ISE,IT,MECH,MTRS")</f>
        <v>AGRI,AIDS,AIML,BME,BT,CIVIL,CSE,CSBS,CSD,CT,EEE,ECE,EIE,FT,FD,ISE,IT,MECH,MTRS</v>
      </c>
    </row>
    <row r="156" ht="49.5" hidden="1" customHeight="1">
      <c r="A156" s="121" t="s">
        <v>18</v>
      </c>
      <c r="B156" s="121" t="s">
        <v>1745</v>
      </c>
      <c r="C156" s="121" t="s">
        <v>1573</v>
      </c>
      <c r="D156" s="121" t="s">
        <v>1762</v>
      </c>
      <c r="E156" s="133" t="s">
        <v>1628</v>
      </c>
      <c r="F156" s="121" t="str">
        <f>IFERROR(__xludf.DUMMYFUNCTION("TEXTJOIN("","",1,FILTER(A:A,E:E=E156))"),"CSE,MECH")</f>
        <v>CSE,MECH</v>
      </c>
    </row>
    <row r="157" ht="49.5" hidden="1" customHeight="1">
      <c r="A157" s="121" t="s">
        <v>43</v>
      </c>
      <c r="B157" s="121" t="s">
        <v>1949</v>
      </c>
      <c r="C157" s="121" t="s">
        <v>1628</v>
      </c>
      <c r="D157" s="121" t="s">
        <v>1964</v>
      </c>
      <c r="E157" s="133" t="s">
        <v>1628</v>
      </c>
      <c r="F157" s="121" t="str">
        <f>IFERROR(__xludf.DUMMYFUNCTION("TEXTJOIN("","",1,FILTER(A:A,E:E=E157))"),"CSE,MECH")</f>
        <v>CSE,MECH</v>
      </c>
    </row>
    <row r="158" ht="49.5" hidden="1" customHeight="1">
      <c r="A158" s="121" t="s">
        <v>143</v>
      </c>
      <c r="B158" s="121" t="s">
        <v>1612</v>
      </c>
      <c r="C158" s="121" t="s">
        <v>1623</v>
      </c>
      <c r="D158" s="121" t="s">
        <v>1792</v>
      </c>
      <c r="E158" s="133" t="s">
        <v>1793</v>
      </c>
      <c r="F158" s="121" t="str">
        <f>IFERROR(__xludf.DUMMYFUNCTION("TEXTJOIN("","",1,FILTER(A:A,E:E=E158))"),"CSD")</f>
        <v>CSD</v>
      </c>
    </row>
    <row r="159" ht="49.5" hidden="1" customHeight="1">
      <c r="A159" s="121" t="s">
        <v>83</v>
      </c>
      <c r="B159" s="121" t="s">
        <v>1612</v>
      </c>
      <c r="C159" s="121" t="s">
        <v>1620</v>
      </c>
      <c r="D159" s="121" t="s">
        <v>91</v>
      </c>
      <c r="E159" s="133" t="s">
        <v>92</v>
      </c>
      <c r="F159" s="121" t="str">
        <f>IFERROR(__xludf.DUMMYFUNCTION("TEXTJOIN("","",1,FILTER(A:A,E:E=E159))"),"BME")</f>
        <v>BME</v>
      </c>
    </row>
    <row r="160" ht="49.5" customHeight="1">
      <c r="A160" s="121" t="s">
        <v>83</v>
      </c>
      <c r="B160" s="121" t="s">
        <v>1612</v>
      </c>
      <c r="C160" s="121" t="s">
        <v>1623</v>
      </c>
      <c r="D160" s="121" t="s">
        <v>1698</v>
      </c>
      <c r="E160" s="133" t="s">
        <v>1699</v>
      </c>
      <c r="F160" s="121" t="str">
        <f>IFERROR(__xludf.DUMMYFUNCTION("TEXTJOIN("","",1,FILTER(A:A,E:E=E160))"),"BME")</f>
        <v>BME</v>
      </c>
    </row>
    <row r="161" ht="49.5" customHeight="1">
      <c r="A161" s="121" t="s">
        <v>27</v>
      </c>
      <c r="B161" s="121" t="s">
        <v>1596</v>
      </c>
      <c r="C161" s="121" t="s">
        <v>1573</v>
      </c>
      <c r="D161" s="121" t="s">
        <v>1802</v>
      </c>
      <c r="E161" s="133" t="s">
        <v>1803</v>
      </c>
      <c r="F161" s="121" t="str">
        <f>IFERROR(__xludf.DUMMYFUNCTION("TEXTJOIN("","",1,FILTER(A:A,E:E=E161))"),"EEE")</f>
        <v>EEE</v>
      </c>
    </row>
    <row r="162" ht="49.5" hidden="1" customHeight="1">
      <c r="A162" s="121" t="s">
        <v>43</v>
      </c>
      <c r="B162" s="121" t="s">
        <v>1596</v>
      </c>
      <c r="C162" s="121" t="s">
        <v>1573</v>
      </c>
      <c r="D162" s="121" t="s">
        <v>1947</v>
      </c>
      <c r="E162" s="133" t="s">
        <v>1948</v>
      </c>
      <c r="F162" s="121" t="str">
        <f>IFERROR(__xludf.DUMMYFUNCTION("TEXTJOIN("","",1,FILTER(A:A,E:E=E162))"),"MECH")</f>
        <v>MECH</v>
      </c>
    </row>
    <row r="163" ht="49.5" customHeight="1">
      <c r="A163" s="121" t="s">
        <v>111</v>
      </c>
      <c r="B163" s="121" t="s">
        <v>1612</v>
      </c>
      <c r="C163" s="121" t="s">
        <v>1621</v>
      </c>
      <c r="D163" s="121" t="s">
        <v>120</v>
      </c>
      <c r="E163" s="133" t="s">
        <v>121</v>
      </c>
      <c r="F163" s="121" t="str">
        <f>IFERROR(__xludf.DUMMYFUNCTION("TEXTJOIN("","",1,FILTER(A:A,E:E=E163))"),"CIVIL")</f>
        <v>CIVIL</v>
      </c>
    </row>
    <row r="164" ht="49.5" hidden="1" customHeight="1">
      <c r="A164" s="121" t="s">
        <v>24</v>
      </c>
      <c r="B164" s="121" t="s">
        <v>1596</v>
      </c>
      <c r="C164" s="121" t="s">
        <v>1573</v>
      </c>
      <c r="D164" s="121" t="s">
        <v>1711</v>
      </c>
      <c r="E164" s="133" t="s">
        <v>1712</v>
      </c>
      <c r="F164" s="121" t="str">
        <f>IFERROR(__xludf.DUMMYFUNCTION("TEXTJOIN("","",1,FILTER(A:A,E:E=E164))"),"CSBS")</f>
        <v>CSBS</v>
      </c>
    </row>
    <row r="165" ht="49.5" hidden="1" customHeight="1">
      <c r="A165" s="121" t="s">
        <v>1995</v>
      </c>
      <c r="B165" s="121" t="s">
        <v>1572</v>
      </c>
      <c r="C165" s="121" t="s">
        <v>1573</v>
      </c>
      <c r="D165" s="121" t="s">
        <v>1996</v>
      </c>
      <c r="E165" s="133" t="s">
        <v>1997</v>
      </c>
      <c r="F165" s="121" t="str">
        <f>IFERROR(__xludf.DUMMYFUNCTION("TEXTJOIN("","",1,FILTER(A:A,E:E=E165))"),"SMS")</f>
        <v>SMS</v>
      </c>
    </row>
    <row r="166" ht="49.5" hidden="1" customHeight="1">
      <c r="A166" s="121" t="s">
        <v>1995</v>
      </c>
      <c r="B166" s="121" t="s">
        <v>1572</v>
      </c>
      <c r="C166" s="121" t="s">
        <v>1573</v>
      </c>
      <c r="D166" s="121" t="s">
        <v>2006</v>
      </c>
      <c r="E166" s="133" t="s">
        <v>2007</v>
      </c>
      <c r="F166" s="121" t="str">
        <f>IFERROR(__xludf.DUMMYFUNCTION("TEXTJOIN("","",1,FILTER(A:A,E:E=E166))"),"SMS")</f>
        <v>SMS</v>
      </c>
    </row>
    <row r="167" ht="49.5" hidden="1" customHeight="1">
      <c r="A167" s="121" t="s">
        <v>43</v>
      </c>
      <c r="B167" s="121" t="s">
        <v>1612</v>
      </c>
      <c r="C167" s="121" t="s">
        <v>86</v>
      </c>
      <c r="D167" s="121" t="s">
        <v>233</v>
      </c>
      <c r="E167" s="133" t="s">
        <v>234</v>
      </c>
      <c r="F167" s="121" t="str">
        <f>IFERROR(__xludf.DUMMYFUNCTION("TEXTJOIN("","",1,FILTER(A:A,E:E=E167))"),"MECH")</f>
        <v>MECH</v>
      </c>
    </row>
    <row r="168" ht="49.5" hidden="1" customHeight="1">
      <c r="A168" s="121" t="s">
        <v>18</v>
      </c>
      <c r="B168" s="121" t="s">
        <v>1745</v>
      </c>
      <c r="C168" s="121" t="s">
        <v>1573</v>
      </c>
      <c r="D168" s="121" t="s">
        <v>1760</v>
      </c>
      <c r="E168" s="133" t="s">
        <v>1761</v>
      </c>
      <c r="F168" s="121" t="str">
        <f>IFERROR(__xludf.DUMMYFUNCTION("TEXTJOIN("","",1,FILTER(A:A,E:E=E168))"),"CSE")</f>
        <v>CSE</v>
      </c>
    </row>
    <row r="169" ht="49.5" hidden="1" customHeight="1">
      <c r="A169" s="121" t="s">
        <v>151</v>
      </c>
      <c r="B169" s="121" t="s">
        <v>1612</v>
      </c>
      <c r="C169" s="121" t="s">
        <v>1573</v>
      </c>
      <c r="D169" s="121" t="s">
        <v>1866</v>
      </c>
      <c r="E169" s="133" t="s">
        <v>1867</v>
      </c>
      <c r="F169" s="121" t="str">
        <f>IFERROR(__xludf.DUMMYFUNCTION("TEXTJOIN("","",1,FILTER(A:A,E:E=E169))"),"CT")</f>
        <v>CT</v>
      </c>
    </row>
    <row r="170" ht="49.5" hidden="1" customHeight="1">
      <c r="A170" s="121" t="s">
        <v>18</v>
      </c>
      <c r="B170" s="121" t="s">
        <v>1745</v>
      </c>
      <c r="C170" s="121" t="s">
        <v>1573</v>
      </c>
      <c r="D170" s="121" t="s">
        <v>1747</v>
      </c>
      <c r="E170" s="133" t="s">
        <v>140</v>
      </c>
      <c r="F170" s="121" t="str">
        <f>IFERROR(__xludf.DUMMYFUNCTION("TEXTJOIN("","",1,FILTER(A:A,E:E=E170))"),"CSE,CSBS")</f>
        <v>CSE,CSBS</v>
      </c>
    </row>
    <row r="171" ht="49.5" hidden="1" customHeight="1">
      <c r="A171" s="121" t="s">
        <v>24</v>
      </c>
      <c r="B171" s="121" t="s">
        <v>1612</v>
      </c>
      <c r="C171" s="121" t="s">
        <v>1620</v>
      </c>
      <c r="D171" s="121" t="s">
        <v>139</v>
      </c>
      <c r="E171" s="133" t="s">
        <v>140</v>
      </c>
      <c r="F171" s="121" t="str">
        <f>IFERROR(__xludf.DUMMYFUNCTION("TEXTJOIN("","",1,FILTER(A:A,E:E=E171))"),"CSE,CSBS")</f>
        <v>CSE,CSBS</v>
      </c>
    </row>
    <row r="172" ht="49.5" hidden="1" customHeight="1">
      <c r="A172" s="121" t="s">
        <v>193</v>
      </c>
      <c r="B172" s="121" t="s">
        <v>1612</v>
      </c>
      <c r="C172" s="121" t="s">
        <v>1623</v>
      </c>
      <c r="D172" s="121" t="s">
        <v>1988</v>
      </c>
      <c r="E172" s="133" t="s">
        <v>245</v>
      </c>
      <c r="F172" s="121" t="str">
        <f>IFERROR(__xludf.DUMMYFUNCTION("TEXTJOIN("","",1,FILTER(A:A,E:E=E172))"),"FT,MECH")</f>
        <v>FT,MECH</v>
      </c>
    </row>
    <row r="173" ht="49.5" hidden="1" customHeight="1">
      <c r="A173" s="121" t="s">
        <v>43</v>
      </c>
      <c r="B173" s="121" t="s">
        <v>1612</v>
      </c>
      <c r="C173" s="121" t="s">
        <v>1621</v>
      </c>
      <c r="D173" s="121" t="s">
        <v>244</v>
      </c>
      <c r="E173" s="133" t="s">
        <v>245</v>
      </c>
      <c r="F173" s="121" t="str">
        <f>IFERROR(__xludf.DUMMYFUNCTION("TEXTJOIN("","",1,FILTER(A:A,E:E=E173))"),"FT,MECH")</f>
        <v>FT,MECH</v>
      </c>
    </row>
    <row r="174" ht="49.5" hidden="1" customHeight="1">
      <c r="A174" s="121" t="s">
        <v>4</v>
      </c>
      <c r="B174" s="121" t="s">
        <v>1612</v>
      </c>
      <c r="C174" s="121" t="s">
        <v>1620</v>
      </c>
      <c r="D174" s="121" t="s">
        <v>69</v>
      </c>
      <c r="E174" s="133" t="s">
        <v>70</v>
      </c>
      <c r="F174" s="121" t="str">
        <f>IFERROR(__xludf.DUMMYFUNCTION("TEXTJOIN("","",1,FILTER(A:A,E:E=E174))"),"AIDS")</f>
        <v>AIDS</v>
      </c>
    </row>
    <row r="175" ht="49.5" customHeight="1">
      <c r="A175" s="121" t="s">
        <v>193</v>
      </c>
      <c r="B175" s="121" t="s">
        <v>1612</v>
      </c>
      <c r="C175" s="121" t="s">
        <v>1619</v>
      </c>
      <c r="D175" s="121" t="s">
        <v>194</v>
      </c>
      <c r="E175" s="133" t="s">
        <v>195</v>
      </c>
      <c r="F175" s="121" t="str">
        <f>IFERROR(__xludf.DUMMYFUNCTION("TEXTJOIN("","",1,FILTER(A:A,E:E=E175))"),"FT")</f>
        <v>FT</v>
      </c>
    </row>
    <row r="176" ht="49.5" hidden="1" customHeight="1">
      <c r="A176" s="121" t="s">
        <v>43</v>
      </c>
      <c r="B176" s="121" t="s">
        <v>1596</v>
      </c>
      <c r="C176" s="121" t="s">
        <v>1573</v>
      </c>
      <c r="D176" s="121" t="s">
        <v>1941</v>
      </c>
      <c r="E176" s="133" t="s">
        <v>1942</v>
      </c>
      <c r="F176" s="121" t="str">
        <f>IFERROR(__xludf.DUMMYFUNCTION("TEXTJOIN("","",1,FILTER(A:A,E:E=E176))"),"MECH")</f>
        <v>MECH</v>
      </c>
    </row>
    <row r="177" ht="49.5" hidden="1" customHeight="1">
      <c r="A177" s="121" t="s">
        <v>24</v>
      </c>
      <c r="B177" s="121" t="s">
        <v>1612</v>
      </c>
      <c r="C177" s="121" t="s">
        <v>1573</v>
      </c>
      <c r="D177" s="121" t="s">
        <v>1719</v>
      </c>
      <c r="E177" s="133" t="s">
        <v>1720</v>
      </c>
      <c r="F177" s="121" t="str">
        <f>IFERROR(__xludf.DUMMYFUNCTION("TEXTJOIN("","",1,FILTER(A:A,E:E=E177))"),"CSBS")</f>
        <v>CSBS</v>
      </c>
    </row>
    <row r="178" ht="49.5" hidden="1" customHeight="1">
      <c r="A178" s="121" t="s">
        <v>24</v>
      </c>
      <c r="B178" s="121" t="s">
        <v>1612</v>
      </c>
      <c r="C178" s="121" t="s">
        <v>1622</v>
      </c>
      <c r="D178" s="121" t="s">
        <v>135</v>
      </c>
      <c r="E178" s="133" t="s">
        <v>136</v>
      </c>
      <c r="F178" s="121" t="str">
        <f>IFERROR(__xludf.DUMMYFUNCTION("TEXTJOIN("","",1,FILTER(A:A,E:E=E178))"),"CSBS")</f>
        <v>CSBS</v>
      </c>
    </row>
    <row r="179" ht="49.5" hidden="1" customHeight="1">
      <c r="A179" s="121" t="s">
        <v>40</v>
      </c>
      <c r="B179" s="121" t="s">
        <v>1612</v>
      </c>
      <c r="C179" s="121" t="s">
        <v>1621</v>
      </c>
      <c r="D179" s="121" t="s">
        <v>224</v>
      </c>
      <c r="E179" s="133" t="s">
        <v>225</v>
      </c>
      <c r="F179" s="121" t="str">
        <f>IFERROR(__xludf.DUMMYFUNCTION("TEXTJOIN("","",1,FILTER(A:A,E:E=E179))"),"IT")</f>
        <v>IT</v>
      </c>
    </row>
    <row r="180" ht="49.5" hidden="1" customHeight="1">
      <c r="A180" s="121" t="s">
        <v>0</v>
      </c>
      <c r="B180" s="121" t="s">
        <v>1612</v>
      </c>
      <c r="C180" s="121" t="s">
        <v>1573</v>
      </c>
      <c r="D180" s="121" t="s">
        <v>1617</v>
      </c>
      <c r="E180" s="133" t="s">
        <v>1618</v>
      </c>
      <c r="F180" s="121" t="str">
        <f>IFERROR(__xludf.DUMMYFUNCTION("TEXTJOIN("","",1,FILTER(A:A,E:E=E180))"),"AGRI")</f>
        <v>AGRI</v>
      </c>
    </row>
    <row r="181" ht="49.5" hidden="1" customHeight="1">
      <c r="A181" s="121" t="s">
        <v>32</v>
      </c>
      <c r="B181" s="121" t="s">
        <v>1612</v>
      </c>
      <c r="C181" s="121" t="s">
        <v>1623</v>
      </c>
      <c r="D181" s="121" t="s">
        <v>1858</v>
      </c>
      <c r="E181" s="133" t="s">
        <v>1859</v>
      </c>
      <c r="F181" s="121" t="str">
        <f>IFERROR(__xludf.DUMMYFUNCTION("TEXTJOIN("","",1,FILTER(A:A,E:E=E181))"),"ECE")</f>
        <v>ECE</v>
      </c>
    </row>
    <row r="182" ht="49.5" hidden="1" customHeight="1">
      <c r="A182" s="121" t="s">
        <v>24</v>
      </c>
      <c r="B182" s="121" t="s">
        <v>1596</v>
      </c>
      <c r="C182" s="121" t="s">
        <v>1607</v>
      </c>
      <c r="D182" s="121" t="s">
        <v>25</v>
      </c>
      <c r="E182" s="133" t="s">
        <v>26</v>
      </c>
      <c r="F182" s="121" t="str">
        <f>IFERROR(__xludf.DUMMYFUNCTION("TEXTJOIN("","",1,FILTER(A:A,E:E=E182))"),"CSBS")</f>
        <v>CSBS</v>
      </c>
    </row>
    <row r="183" ht="49.5" hidden="1" customHeight="1">
      <c r="A183" s="121" t="s">
        <v>193</v>
      </c>
      <c r="B183" s="121" t="s">
        <v>1612</v>
      </c>
      <c r="C183" s="121" t="s">
        <v>1621</v>
      </c>
      <c r="D183" s="121" t="s">
        <v>198</v>
      </c>
      <c r="E183" s="133" t="s">
        <v>199</v>
      </c>
      <c r="F183" s="121" t="str">
        <f>IFERROR(__xludf.DUMMYFUNCTION("TEXTJOIN("","",1,FILTER(A:A,E:E=E183))"),"FT")</f>
        <v>FT</v>
      </c>
    </row>
    <row r="184" ht="49.5" hidden="1" customHeight="1">
      <c r="A184" s="121" t="s">
        <v>18</v>
      </c>
      <c r="B184" s="121" t="s">
        <v>1596</v>
      </c>
      <c r="C184" s="121" t="s">
        <v>1607</v>
      </c>
      <c r="D184" s="121" t="s">
        <v>22</v>
      </c>
      <c r="E184" s="133" t="s">
        <v>23</v>
      </c>
      <c r="F184" s="121" t="str">
        <f>IFERROR(__xludf.DUMMYFUNCTION("TEXTJOIN("","",1,FILTER(A:A,E:E=E184))"),"CSE,CSE")</f>
        <v>CSE,CSE</v>
      </c>
    </row>
    <row r="185" ht="49.5" hidden="1" customHeight="1">
      <c r="A185" s="121" t="s">
        <v>18</v>
      </c>
      <c r="B185" s="121" t="s">
        <v>1745</v>
      </c>
      <c r="C185" s="121" t="s">
        <v>1573</v>
      </c>
      <c r="D185" s="121" t="s">
        <v>1746</v>
      </c>
      <c r="E185" s="133" t="s">
        <v>23</v>
      </c>
      <c r="F185" s="121" t="str">
        <f>IFERROR(__xludf.DUMMYFUNCTION("TEXTJOIN("","",1,FILTER(A:A,E:E=E185))"),"CSE,CSE")</f>
        <v>CSE,CSE</v>
      </c>
    </row>
    <row r="186" ht="49.5" customHeight="1">
      <c r="A186" s="121" t="s">
        <v>209</v>
      </c>
      <c r="B186" s="121" t="s">
        <v>1612</v>
      </c>
      <c r="C186" s="121" t="s">
        <v>1622</v>
      </c>
      <c r="D186" s="121" t="s">
        <v>210</v>
      </c>
      <c r="E186" s="133" t="s">
        <v>211</v>
      </c>
      <c r="F186" s="121" t="str">
        <f>IFERROR(__xludf.DUMMYFUNCTION("TEXTJOIN("","",1,FILTER(A:A,E:E=E186))"),"ISE")</f>
        <v>ISE</v>
      </c>
    </row>
    <row r="187" ht="49.5" hidden="1" customHeight="1">
      <c r="A187" s="121" t="s">
        <v>1995</v>
      </c>
      <c r="B187" s="121" t="s">
        <v>1596</v>
      </c>
      <c r="C187" s="121" t="s">
        <v>1573</v>
      </c>
      <c r="D187" s="121" t="s">
        <v>2017</v>
      </c>
      <c r="E187" s="133" t="s">
        <v>2018</v>
      </c>
      <c r="F187" s="121" t="str">
        <f>IFERROR(__xludf.DUMMYFUNCTION("TEXTJOIN("","",1,FILTER(A:A,E:E=E187))"),"SMS")</f>
        <v>SMS</v>
      </c>
    </row>
    <row r="188" ht="49.5" hidden="1" customHeight="1">
      <c r="A188" s="121" t="s">
        <v>193</v>
      </c>
      <c r="B188" s="121" t="s">
        <v>1612</v>
      </c>
      <c r="C188" s="121" t="s">
        <v>1620</v>
      </c>
      <c r="D188" s="121" t="s">
        <v>196</v>
      </c>
      <c r="E188" s="133" t="s">
        <v>197</v>
      </c>
      <c r="F188" s="121" t="str">
        <f>IFERROR(__xludf.DUMMYFUNCTION("TEXTJOIN("","",1,FILTER(A:A,E:E=E188))"),"FT")</f>
        <v>FT</v>
      </c>
    </row>
    <row r="189" ht="49.5" customHeight="1">
      <c r="A189" s="121" t="s">
        <v>37</v>
      </c>
      <c r="B189" s="121" t="s">
        <v>1612</v>
      </c>
      <c r="C189" s="121" t="s">
        <v>1619</v>
      </c>
      <c r="D189" s="121" t="s">
        <v>187</v>
      </c>
      <c r="E189" s="133" t="s">
        <v>188</v>
      </c>
      <c r="F189" s="121" t="str">
        <f>IFERROR(__xludf.DUMMYFUNCTION("TEXTJOIN("","",1,FILTER(A:A,E:E=E189))"),"EIE")</f>
        <v>EIE</v>
      </c>
    </row>
    <row r="190" ht="49.5" hidden="1" customHeight="1">
      <c r="A190" s="121" t="s">
        <v>13</v>
      </c>
      <c r="B190" s="121" t="s">
        <v>1596</v>
      </c>
      <c r="C190" s="121" t="s">
        <v>1573</v>
      </c>
      <c r="D190" s="121" t="s">
        <v>1770</v>
      </c>
      <c r="E190" s="133" t="s">
        <v>1771</v>
      </c>
      <c r="F190" s="121" t="str">
        <f>IFERROR(__xludf.DUMMYFUNCTION("TEXTJOIN("","",1,FILTER(A:A,E:E=E190))"),"BT")</f>
        <v>BT</v>
      </c>
    </row>
    <row r="191" ht="49.5" hidden="1" customHeight="1">
      <c r="A191" s="121" t="s">
        <v>209</v>
      </c>
      <c r="B191" s="121" t="s">
        <v>1612</v>
      </c>
      <c r="C191" s="121" t="s">
        <v>1620</v>
      </c>
      <c r="D191" s="121" t="s">
        <v>213</v>
      </c>
      <c r="E191" s="133" t="s">
        <v>214</v>
      </c>
      <c r="F191" s="121" t="str">
        <f>IFERROR(__xludf.DUMMYFUNCTION("TEXTJOIN("","",1,FILTER(A:A,E:E=E191))"),"ISE")</f>
        <v>ISE</v>
      </c>
    </row>
    <row r="192" ht="49.5" hidden="1" customHeight="1">
      <c r="A192" s="121" t="s">
        <v>24</v>
      </c>
      <c r="B192" s="121" t="s">
        <v>1612</v>
      </c>
      <c r="C192" s="121" t="s">
        <v>1573</v>
      </c>
      <c r="D192" s="121" t="s">
        <v>1715</v>
      </c>
      <c r="E192" s="133" t="s">
        <v>1716</v>
      </c>
      <c r="F192" s="121" t="str">
        <f>IFERROR(__xludf.DUMMYFUNCTION("TEXTJOIN("","",1,FILTER(A:A,E:E=E192))"),"CSBS")</f>
        <v>CSBS</v>
      </c>
    </row>
    <row r="193" ht="49.5" hidden="1" customHeight="1">
      <c r="A193" s="121" t="s">
        <v>18</v>
      </c>
      <c r="B193" s="121" t="s">
        <v>1745</v>
      </c>
      <c r="C193" s="121" t="s">
        <v>1755</v>
      </c>
      <c r="D193" s="121" t="s">
        <v>1756</v>
      </c>
      <c r="E193" s="133" t="s">
        <v>1757</v>
      </c>
      <c r="F193" s="121" t="str">
        <f>IFERROR(__xludf.DUMMYFUNCTION("TEXTJOIN("","",1,FILTER(A:A,E:E=E193))"),"CSE")</f>
        <v>CSE</v>
      </c>
    </row>
    <row r="194" ht="49.5" hidden="1" customHeight="1">
      <c r="A194" s="121" t="s">
        <v>209</v>
      </c>
      <c r="B194" s="121" t="s">
        <v>1612</v>
      </c>
      <c r="C194" s="121" t="s">
        <v>1573</v>
      </c>
      <c r="D194" s="121" t="s">
        <v>1836</v>
      </c>
      <c r="E194" s="133" t="s">
        <v>1837</v>
      </c>
      <c r="F194" s="121" t="str">
        <f>IFERROR(__xludf.DUMMYFUNCTION("TEXTJOIN("","",1,FILTER(A:A,E:E=E194))"),"ISE")</f>
        <v>ISE</v>
      </c>
    </row>
    <row r="195" ht="49.5" hidden="1" customHeight="1">
      <c r="A195" s="121" t="s">
        <v>1995</v>
      </c>
      <c r="B195" s="121" t="s">
        <v>1596</v>
      </c>
      <c r="C195" s="121" t="s">
        <v>2024</v>
      </c>
      <c r="D195" s="121" t="s">
        <v>2030</v>
      </c>
      <c r="E195" s="133" t="s">
        <v>2031</v>
      </c>
      <c r="F195" s="121" t="str">
        <f>IFERROR(__xludf.DUMMYFUNCTION("TEXTJOIN("","",1,FILTER(A:A,E:E=E195))"),"SMS")</f>
        <v>SMS</v>
      </c>
    </row>
    <row r="196" ht="49.5" hidden="1" customHeight="1">
      <c r="A196" s="121" t="s">
        <v>43</v>
      </c>
      <c r="B196" s="121" t="s">
        <v>1949</v>
      </c>
      <c r="C196" s="121" t="s">
        <v>1573</v>
      </c>
      <c r="D196" s="121" t="s">
        <v>1962</v>
      </c>
      <c r="E196" s="133" t="s">
        <v>1963</v>
      </c>
      <c r="F196" s="121" t="str">
        <f>IFERROR(__xludf.DUMMYFUNCTION("TEXTJOIN("","",1,FILTER(A:A,E:E=E196))"),"MECH")</f>
        <v>MECH</v>
      </c>
    </row>
    <row r="197" ht="49.5" customHeight="1">
      <c r="A197" s="121" t="s">
        <v>46</v>
      </c>
      <c r="B197" s="121" t="s">
        <v>1612</v>
      </c>
      <c r="C197" s="121" t="s">
        <v>1622</v>
      </c>
      <c r="D197" s="121" t="s">
        <v>246</v>
      </c>
      <c r="E197" s="133" t="s">
        <v>247</v>
      </c>
      <c r="F197" s="121" t="str">
        <f>IFERROR(__xludf.DUMMYFUNCTION("TEXTJOIN("","",1,FILTER(A:A,E:E=E197))"),"MTRS")</f>
        <v>MTRS</v>
      </c>
    </row>
    <row r="198" ht="49.5" hidden="1" customHeight="1">
      <c r="A198" s="121" t="s">
        <v>43</v>
      </c>
      <c r="B198" s="121" t="s">
        <v>1596</v>
      </c>
      <c r="C198" s="121" t="s">
        <v>1573</v>
      </c>
      <c r="D198" s="121" t="s">
        <v>1945</v>
      </c>
      <c r="E198" s="133" t="s">
        <v>1946</v>
      </c>
      <c r="F198" s="121" t="str">
        <f>IFERROR(__xludf.DUMMYFUNCTION("TEXTJOIN("","",1,FILTER(A:A,E:E=E198))"),"MECH")</f>
        <v>MECH</v>
      </c>
    </row>
    <row r="199" ht="49.5" hidden="1" customHeight="1">
      <c r="A199" s="121" t="s">
        <v>46</v>
      </c>
      <c r="B199" s="121" t="s">
        <v>1612</v>
      </c>
      <c r="C199" s="121" t="s">
        <v>1573</v>
      </c>
      <c r="D199" s="121" t="s">
        <v>1880</v>
      </c>
      <c r="E199" s="133" t="s">
        <v>1881</v>
      </c>
      <c r="F199" s="121" t="str">
        <f>IFERROR(__xludf.DUMMYFUNCTION("TEXTJOIN("","",1,FILTER(A:A,E:E=E199))"),"MTRS")</f>
        <v>MTRS</v>
      </c>
    </row>
    <row r="200" ht="49.5" hidden="1" customHeight="1">
      <c r="A200" s="121" t="s">
        <v>13</v>
      </c>
      <c r="B200" s="121" t="s">
        <v>1612</v>
      </c>
      <c r="C200" s="121" t="s">
        <v>1573</v>
      </c>
      <c r="D200" s="121" t="s">
        <v>1776</v>
      </c>
      <c r="E200" s="133" t="s">
        <v>1777</v>
      </c>
      <c r="F200" s="121" t="str">
        <f>IFERROR(__xludf.DUMMYFUNCTION("TEXTJOIN("","",1,FILTER(A:A,E:E=E200))"),"BT")</f>
        <v>BT</v>
      </c>
    </row>
    <row r="201" ht="49.5" hidden="1" customHeight="1">
      <c r="A201" s="121" t="s">
        <v>143</v>
      </c>
      <c r="B201" s="121" t="s">
        <v>1612</v>
      </c>
      <c r="C201" s="121" t="s">
        <v>1623</v>
      </c>
      <c r="D201" s="121" t="s">
        <v>1794</v>
      </c>
      <c r="E201" s="133" t="s">
        <v>1795</v>
      </c>
      <c r="F201" s="121" t="str">
        <f>IFERROR(__xludf.DUMMYFUNCTION("TEXTJOIN("","",1,FILTER(A:A,E:E=E201))"),"CSD")</f>
        <v>CSD</v>
      </c>
    </row>
    <row r="202" ht="49.5" customHeight="1">
      <c r="A202" s="121" t="s">
        <v>27</v>
      </c>
      <c r="B202" s="121" t="s">
        <v>1596</v>
      </c>
      <c r="C202" s="121" t="s">
        <v>1607</v>
      </c>
      <c r="D202" s="121" t="s">
        <v>30</v>
      </c>
      <c r="E202" s="133" t="s">
        <v>31</v>
      </c>
      <c r="F202" s="121" t="str">
        <f>IFERROR(__xludf.DUMMYFUNCTION("TEXTJOIN("","",1,FILTER(A:A,E:E=E202))"),"EEE")</f>
        <v>EEE</v>
      </c>
    </row>
    <row r="203" ht="49.5" hidden="1" customHeight="1">
      <c r="A203" s="121" t="s">
        <v>0</v>
      </c>
      <c r="B203" s="121" t="s">
        <v>1596</v>
      </c>
      <c r="C203" s="121" t="s">
        <v>1573</v>
      </c>
      <c r="D203" s="121" t="s">
        <v>1605</v>
      </c>
      <c r="E203" s="133" t="s">
        <v>1606</v>
      </c>
      <c r="F203" s="121" t="str">
        <f>IFERROR(__xludf.DUMMYFUNCTION("TEXTJOIN("","",1,FILTER(A:A,E:E=E203))"),"AGRI")</f>
        <v>AGRI</v>
      </c>
    </row>
    <row r="204" ht="49.5" hidden="1" customHeight="1">
      <c r="A204" s="121" t="s">
        <v>1995</v>
      </c>
      <c r="B204" s="121" t="s">
        <v>1572</v>
      </c>
      <c r="C204" s="121" t="s">
        <v>1573</v>
      </c>
      <c r="D204" s="121" t="s">
        <v>1998</v>
      </c>
      <c r="E204" s="133" t="s">
        <v>1999</v>
      </c>
      <c r="F204" s="121" t="str">
        <f>IFERROR(__xludf.DUMMYFUNCTION("TEXTJOIN("","",1,FILTER(A:A,E:E=E204))"),"SMS")</f>
        <v>SMS</v>
      </c>
    </row>
    <row r="205" ht="49.5" hidden="1" customHeight="1">
      <c r="A205" s="121" t="s">
        <v>0</v>
      </c>
      <c r="B205" s="121" t="s">
        <v>1612</v>
      </c>
      <c r="C205" s="121" t="s">
        <v>1620</v>
      </c>
      <c r="D205" s="121" t="s">
        <v>56</v>
      </c>
      <c r="E205" s="133" t="s">
        <v>57</v>
      </c>
      <c r="F205" s="121" t="str">
        <f>IFERROR(__xludf.DUMMYFUNCTION("TEXTJOIN("","",1,FILTER(A:A,E:E=E205))"),"AGRI")</f>
        <v>AGRI</v>
      </c>
    </row>
    <row r="206" ht="49.5" hidden="1" customHeight="1">
      <c r="A206" s="121" t="s">
        <v>143</v>
      </c>
      <c r="B206" s="121" t="s">
        <v>1612</v>
      </c>
      <c r="C206" s="121" t="s">
        <v>1573</v>
      </c>
      <c r="D206" s="121" t="s">
        <v>1790</v>
      </c>
      <c r="E206" s="133" t="s">
        <v>153</v>
      </c>
      <c r="F206" s="121" t="str">
        <f>IFERROR(__xludf.DUMMYFUNCTION("TEXTJOIN("","",1,FILTER(A:A,E:E=E206))"),"CSD,CT,IT")</f>
        <v>CSD,CT,IT</v>
      </c>
    </row>
    <row r="207" ht="49.5" hidden="1" customHeight="1">
      <c r="A207" s="121" t="s">
        <v>151</v>
      </c>
      <c r="B207" s="121" t="s">
        <v>1612</v>
      </c>
      <c r="C207" s="121" t="s">
        <v>1622</v>
      </c>
      <c r="D207" s="121" t="s">
        <v>152</v>
      </c>
      <c r="E207" s="133" t="s">
        <v>153</v>
      </c>
      <c r="F207" s="121" t="str">
        <f>IFERROR(__xludf.DUMMYFUNCTION("TEXTJOIN("","",1,FILTER(A:A,E:E=E207))"),"CSD,CT,IT")</f>
        <v>CSD,CT,IT</v>
      </c>
    </row>
    <row r="208" ht="49.5" hidden="1" customHeight="1">
      <c r="A208" s="121" t="s">
        <v>40</v>
      </c>
      <c r="B208" s="121" t="s">
        <v>1612</v>
      </c>
      <c r="C208" s="121" t="s">
        <v>1622</v>
      </c>
      <c r="D208" s="121" t="s">
        <v>216</v>
      </c>
      <c r="E208" s="133" t="s">
        <v>153</v>
      </c>
      <c r="F208" s="121" t="str">
        <f>IFERROR(__xludf.DUMMYFUNCTION("TEXTJOIN("","",1,FILTER(A:A,E:E=E208))"),"CSD,CT,IT")</f>
        <v>CSD,CT,IT</v>
      </c>
    </row>
    <row r="209" ht="49.5" hidden="1" customHeight="1">
      <c r="A209" s="121" t="s">
        <v>1995</v>
      </c>
      <c r="B209" s="121" t="s">
        <v>1596</v>
      </c>
      <c r="C209" s="121" t="s">
        <v>2027</v>
      </c>
      <c r="D209" s="121" t="s">
        <v>2032</v>
      </c>
      <c r="E209" s="133" t="s">
        <v>2033</v>
      </c>
      <c r="F209" s="121" t="str">
        <f>IFERROR(__xludf.DUMMYFUNCTION("TEXTJOIN("","",1,FILTER(A:A,E:E=E209))"),"SMS")</f>
        <v>SMS</v>
      </c>
    </row>
    <row r="210" ht="49.5" hidden="1" customHeight="1">
      <c r="A210" s="121" t="s">
        <v>4</v>
      </c>
      <c r="B210" s="121" t="s">
        <v>1572</v>
      </c>
      <c r="C210" s="121" t="s">
        <v>1593</v>
      </c>
      <c r="D210" s="121" t="s">
        <v>1641</v>
      </c>
      <c r="E210" s="133" t="s">
        <v>1642</v>
      </c>
      <c r="F210" s="121" t="str">
        <f>IFERROR(__xludf.DUMMYFUNCTION("TEXTJOIN("","",1,FILTER(A:A,E:E=E210))"),"AIDS,AIML,BT,CSE,EEE,ECE,EIE")</f>
        <v>AIDS,AIML,BT,CSE,EEE,ECE,EIE</v>
      </c>
    </row>
    <row r="211" ht="49.5" hidden="1" customHeight="1">
      <c r="A211" s="121" t="s">
        <v>9</v>
      </c>
      <c r="B211" s="121" t="s">
        <v>1572</v>
      </c>
      <c r="C211" s="121" t="s">
        <v>1593</v>
      </c>
      <c r="D211" s="121" t="s">
        <v>1641</v>
      </c>
      <c r="E211" s="133" t="s">
        <v>1642</v>
      </c>
      <c r="F211" s="121" t="str">
        <f>IFERROR(__xludf.DUMMYFUNCTION("TEXTJOIN("","",1,FILTER(A:A,E:E=E211))"),"AIDS,AIML,BT,CSE,EEE,ECE,EIE")</f>
        <v>AIDS,AIML,BT,CSE,EEE,ECE,EIE</v>
      </c>
    </row>
    <row r="212" ht="49.5" hidden="1" customHeight="1">
      <c r="A212" s="121" t="s">
        <v>13</v>
      </c>
      <c r="B212" s="121" t="s">
        <v>1572</v>
      </c>
      <c r="C212" s="121" t="s">
        <v>1593</v>
      </c>
      <c r="D212" s="121" t="s">
        <v>1641</v>
      </c>
      <c r="E212" s="133" t="s">
        <v>1642</v>
      </c>
      <c r="F212" s="121" t="str">
        <f>IFERROR(__xludf.DUMMYFUNCTION("TEXTJOIN("","",1,FILTER(A:A,E:E=E212))"),"AIDS,AIML,BT,CSE,EEE,ECE,EIE")</f>
        <v>AIDS,AIML,BT,CSE,EEE,ECE,EIE</v>
      </c>
    </row>
    <row r="213" ht="49.5" hidden="1" customHeight="1">
      <c r="A213" s="121" t="s">
        <v>18</v>
      </c>
      <c r="B213" s="121" t="s">
        <v>1572</v>
      </c>
      <c r="C213" s="121" t="s">
        <v>1593</v>
      </c>
      <c r="D213" s="121" t="s">
        <v>1641</v>
      </c>
      <c r="E213" s="133" t="s">
        <v>1642</v>
      </c>
      <c r="F213" s="121" t="str">
        <f>IFERROR(__xludf.DUMMYFUNCTION("TEXTJOIN("","",1,FILTER(A:A,E:E=E213))"),"AIDS,AIML,BT,CSE,EEE,ECE,EIE")</f>
        <v>AIDS,AIML,BT,CSE,EEE,ECE,EIE</v>
      </c>
    </row>
    <row r="214" ht="49.5" hidden="1" customHeight="1">
      <c r="A214" s="121" t="s">
        <v>27</v>
      </c>
      <c r="B214" s="121" t="s">
        <v>1572</v>
      </c>
      <c r="C214" s="121" t="s">
        <v>1593</v>
      </c>
      <c r="D214" s="121" t="s">
        <v>1641</v>
      </c>
      <c r="E214" s="133" t="s">
        <v>1642</v>
      </c>
      <c r="F214" s="121" t="str">
        <f>IFERROR(__xludf.DUMMYFUNCTION("TEXTJOIN("","",1,FILTER(A:A,E:E=E214))"),"AIDS,AIML,BT,CSE,EEE,ECE,EIE")</f>
        <v>AIDS,AIML,BT,CSE,EEE,ECE,EIE</v>
      </c>
    </row>
    <row r="215" ht="49.5" hidden="1" customHeight="1">
      <c r="A215" s="121" t="s">
        <v>32</v>
      </c>
      <c r="B215" s="121" t="s">
        <v>1572</v>
      </c>
      <c r="C215" s="121" t="s">
        <v>1593</v>
      </c>
      <c r="D215" s="121" t="s">
        <v>1641</v>
      </c>
      <c r="E215" s="133" t="s">
        <v>1642</v>
      </c>
      <c r="F215" s="121" t="str">
        <f>IFERROR(__xludf.DUMMYFUNCTION("TEXTJOIN("","",1,FILTER(A:A,E:E=E215))"),"AIDS,AIML,BT,CSE,EEE,ECE,EIE")</f>
        <v>AIDS,AIML,BT,CSE,EEE,ECE,EIE</v>
      </c>
    </row>
    <row r="216" ht="49.5" customHeight="1">
      <c r="A216" s="121" t="s">
        <v>37</v>
      </c>
      <c r="B216" s="121" t="s">
        <v>1572</v>
      </c>
      <c r="C216" s="121" t="s">
        <v>1593</v>
      </c>
      <c r="D216" s="121" t="s">
        <v>1641</v>
      </c>
      <c r="E216" s="133" t="s">
        <v>1642</v>
      </c>
      <c r="F216" s="121" t="str">
        <f>IFERROR(__xludf.DUMMYFUNCTION("TEXTJOIN("","",1,FILTER(A:A,E:E=E216))"),"AIDS,AIML,BT,CSE,EEE,ECE,EIE")</f>
        <v>AIDS,AIML,BT,CSE,EEE,ECE,EIE</v>
      </c>
    </row>
    <row r="217" ht="49.5" customHeight="1">
      <c r="A217" s="121" t="s">
        <v>0</v>
      </c>
      <c r="B217" s="121" t="s">
        <v>1596</v>
      </c>
      <c r="C217" s="121" t="s">
        <v>1573</v>
      </c>
      <c r="D217" s="121" t="s">
        <v>1599</v>
      </c>
      <c r="E217" s="133" t="s">
        <v>1600</v>
      </c>
      <c r="F217" s="121" t="str">
        <f>IFERROR(__xludf.DUMMYFUNCTION("TEXTJOIN("","",1,FILTER(A:A,E:E=E217))"),"AGRI,BT,MECH")</f>
        <v>AGRI,BT,MECH</v>
      </c>
    </row>
    <row r="218" ht="49.5" hidden="1" customHeight="1">
      <c r="A218" s="121" t="s">
        <v>13</v>
      </c>
      <c r="B218" s="121" t="s">
        <v>1596</v>
      </c>
      <c r="C218" s="121" t="s">
        <v>1573</v>
      </c>
      <c r="D218" s="121" t="s">
        <v>1767</v>
      </c>
      <c r="E218" s="133" t="s">
        <v>1600</v>
      </c>
      <c r="F218" s="121" t="str">
        <f>IFERROR(__xludf.DUMMYFUNCTION("TEXTJOIN("","",1,FILTER(A:A,E:E=E218))"),"AGRI,BT,MECH")</f>
        <v>AGRI,BT,MECH</v>
      </c>
    </row>
    <row r="219" ht="49.5" hidden="1" customHeight="1">
      <c r="A219" s="121" t="s">
        <v>43</v>
      </c>
      <c r="B219" s="121" t="s">
        <v>1612</v>
      </c>
      <c r="C219" s="121" t="s">
        <v>1573</v>
      </c>
      <c r="D219" s="121" t="s">
        <v>1971</v>
      </c>
      <c r="E219" s="133" t="s">
        <v>1600</v>
      </c>
      <c r="F219" s="121" t="str">
        <f>IFERROR(__xludf.DUMMYFUNCTION("TEXTJOIN("","",1,FILTER(A:A,E:E=E219))"),"AGRI,BT,MECH")</f>
        <v>AGRI,BT,MECH</v>
      </c>
    </row>
    <row r="220" ht="49.5" hidden="1" customHeight="1">
      <c r="A220" s="121" t="s">
        <v>0</v>
      </c>
      <c r="B220" s="121" t="s">
        <v>1612</v>
      </c>
      <c r="C220" s="121" t="s">
        <v>1619</v>
      </c>
      <c r="D220" s="121" t="s">
        <v>53</v>
      </c>
      <c r="E220" s="133" t="s">
        <v>54</v>
      </c>
      <c r="F220" s="121" t="str">
        <f>IFERROR(__xludf.DUMMYFUNCTION("TEXTJOIN("","",1,FILTER(A:A,E:E=E220))"),"AGRI")</f>
        <v>AGRI</v>
      </c>
    </row>
    <row r="221" ht="49.5" hidden="1" customHeight="1">
      <c r="A221" s="121" t="s">
        <v>4</v>
      </c>
      <c r="B221" s="121" t="s">
        <v>1572</v>
      </c>
      <c r="C221" s="121" t="s">
        <v>1593</v>
      </c>
      <c r="D221" s="121" t="s">
        <v>1643</v>
      </c>
      <c r="E221" s="133" t="s">
        <v>1644</v>
      </c>
      <c r="F221" s="121" t="str">
        <f>IFERROR(__xludf.DUMMYFUNCTION("TEXTJOIN("","",1,FILTER(A:A,E:E=E221))"),"AIDS,AIML,BT,CSE,EEE,ECE,EIE")</f>
        <v>AIDS,AIML,BT,CSE,EEE,ECE,EIE</v>
      </c>
    </row>
    <row r="222" ht="49.5" hidden="1" customHeight="1">
      <c r="A222" s="121" t="s">
        <v>9</v>
      </c>
      <c r="B222" s="121" t="s">
        <v>1572</v>
      </c>
      <c r="C222" s="121" t="s">
        <v>1593</v>
      </c>
      <c r="D222" s="121" t="s">
        <v>1643</v>
      </c>
      <c r="E222" s="133" t="s">
        <v>1644</v>
      </c>
      <c r="F222" s="121" t="str">
        <f>IFERROR(__xludf.DUMMYFUNCTION("TEXTJOIN("","",1,FILTER(A:A,E:E=E222))"),"AIDS,AIML,BT,CSE,EEE,ECE,EIE")</f>
        <v>AIDS,AIML,BT,CSE,EEE,ECE,EIE</v>
      </c>
    </row>
    <row r="223" ht="49.5" hidden="1" customHeight="1">
      <c r="A223" s="121" t="s">
        <v>13</v>
      </c>
      <c r="B223" s="121" t="s">
        <v>1572</v>
      </c>
      <c r="C223" s="121" t="s">
        <v>1593</v>
      </c>
      <c r="D223" s="121" t="s">
        <v>1643</v>
      </c>
      <c r="E223" s="133" t="s">
        <v>1644</v>
      </c>
      <c r="F223" s="121" t="str">
        <f>IFERROR(__xludf.DUMMYFUNCTION("TEXTJOIN("","",1,FILTER(A:A,E:E=E223))"),"AIDS,AIML,BT,CSE,EEE,ECE,EIE")</f>
        <v>AIDS,AIML,BT,CSE,EEE,ECE,EIE</v>
      </c>
    </row>
    <row r="224" ht="49.5" hidden="1" customHeight="1">
      <c r="A224" s="121" t="s">
        <v>18</v>
      </c>
      <c r="B224" s="121" t="s">
        <v>1572</v>
      </c>
      <c r="C224" s="121" t="s">
        <v>1593</v>
      </c>
      <c r="D224" s="121" t="s">
        <v>1643</v>
      </c>
      <c r="E224" s="133" t="s">
        <v>1644</v>
      </c>
      <c r="F224" s="121" t="str">
        <f>IFERROR(__xludf.DUMMYFUNCTION("TEXTJOIN("","",1,FILTER(A:A,E:E=E224))"),"AIDS,AIML,BT,CSE,EEE,ECE,EIE")</f>
        <v>AIDS,AIML,BT,CSE,EEE,ECE,EIE</v>
      </c>
    </row>
    <row r="225" ht="49.5" hidden="1" customHeight="1">
      <c r="A225" s="121" t="s">
        <v>27</v>
      </c>
      <c r="B225" s="121" t="s">
        <v>1572</v>
      </c>
      <c r="C225" s="121" t="s">
        <v>1593</v>
      </c>
      <c r="D225" s="121" t="s">
        <v>1643</v>
      </c>
      <c r="E225" s="133" t="s">
        <v>1644</v>
      </c>
      <c r="F225" s="121" t="str">
        <f>IFERROR(__xludf.DUMMYFUNCTION("TEXTJOIN("","",1,FILTER(A:A,E:E=E225))"),"AIDS,AIML,BT,CSE,EEE,ECE,EIE")</f>
        <v>AIDS,AIML,BT,CSE,EEE,ECE,EIE</v>
      </c>
    </row>
    <row r="226" ht="49.5" hidden="1" customHeight="1">
      <c r="A226" s="121" t="s">
        <v>32</v>
      </c>
      <c r="B226" s="121" t="s">
        <v>1572</v>
      </c>
      <c r="C226" s="121" t="s">
        <v>1593</v>
      </c>
      <c r="D226" s="121" t="s">
        <v>1643</v>
      </c>
      <c r="E226" s="133" t="s">
        <v>1644</v>
      </c>
      <c r="F226" s="121" t="str">
        <f>IFERROR(__xludf.DUMMYFUNCTION("TEXTJOIN("","",1,FILTER(A:A,E:E=E226))"),"AIDS,AIML,BT,CSE,EEE,ECE,EIE")</f>
        <v>AIDS,AIML,BT,CSE,EEE,ECE,EIE</v>
      </c>
    </row>
    <row r="227" ht="49.5" hidden="1" customHeight="1">
      <c r="A227" s="121" t="s">
        <v>37</v>
      </c>
      <c r="B227" s="121" t="s">
        <v>1572</v>
      </c>
      <c r="C227" s="121" t="s">
        <v>1593</v>
      </c>
      <c r="D227" s="121" t="s">
        <v>1643</v>
      </c>
      <c r="E227" s="133" t="s">
        <v>1644</v>
      </c>
      <c r="F227" s="121" t="str">
        <f>IFERROR(__xludf.DUMMYFUNCTION("TEXTJOIN("","",1,FILTER(A:A,E:E=E227))"),"AIDS,AIML,BT,CSE,EEE,ECE,EIE")</f>
        <v>AIDS,AIML,BT,CSE,EEE,ECE,EIE</v>
      </c>
    </row>
    <row r="228" ht="49.5" hidden="1" customHeight="1">
      <c r="A228" s="121" t="s">
        <v>111</v>
      </c>
      <c r="B228" s="121" t="s">
        <v>1612</v>
      </c>
      <c r="C228" s="121" t="s">
        <v>1620</v>
      </c>
      <c r="D228" s="121" t="s">
        <v>118</v>
      </c>
      <c r="E228" s="133" t="s">
        <v>119</v>
      </c>
      <c r="F228" s="121" t="str">
        <f>IFERROR(__xludf.DUMMYFUNCTION("TEXTJOIN("","",1,FILTER(A:A,E:E=E228))"),"CIVIL")</f>
        <v>CIVIL</v>
      </c>
    </row>
    <row r="229" ht="49.5" hidden="1" customHeight="1">
      <c r="A229" s="121" t="s">
        <v>9</v>
      </c>
      <c r="B229" s="121" t="s">
        <v>1612</v>
      </c>
      <c r="C229" s="121" t="s">
        <v>1681</v>
      </c>
      <c r="D229" s="121" t="s">
        <v>1684</v>
      </c>
      <c r="E229" s="133" t="s">
        <v>1685</v>
      </c>
      <c r="F229" s="121" t="str">
        <f>IFERROR(__xludf.DUMMYFUNCTION("TEXTJOIN("","",1,FILTER(A:A,E:E=E229))"),"AIML")</f>
        <v>AIML</v>
      </c>
    </row>
    <row r="230" ht="49.5" hidden="1" customHeight="1">
      <c r="A230" s="121" t="s">
        <v>143</v>
      </c>
      <c r="B230" s="121" t="s">
        <v>1612</v>
      </c>
      <c r="C230" s="121" t="s">
        <v>1573</v>
      </c>
      <c r="D230" s="121" t="s">
        <v>1787</v>
      </c>
      <c r="E230" s="133" t="s">
        <v>1788</v>
      </c>
      <c r="F230" s="121" t="str">
        <f>IFERROR(__xludf.DUMMYFUNCTION("TEXTJOIN("","",1,FILTER(A:A,E:E=E230))"),"CSD")</f>
        <v>CSD</v>
      </c>
    </row>
    <row r="231" ht="49.5" hidden="1" customHeight="1">
      <c r="A231" s="121" t="s">
        <v>0</v>
      </c>
      <c r="B231" s="121" t="s">
        <v>1612</v>
      </c>
      <c r="C231" s="121" t="s">
        <v>1622</v>
      </c>
      <c r="D231" s="121" t="s">
        <v>50</v>
      </c>
      <c r="E231" s="133" t="s">
        <v>51</v>
      </c>
      <c r="F231" s="121" t="str">
        <f>IFERROR(__xludf.DUMMYFUNCTION("TEXTJOIN("","",1,FILTER(A:A,E:E=E231))"),"AGRI")</f>
        <v>AGRI</v>
      </c>
    </row>
    <row r="232" ht="49.5" hidden="1" customHeight="1">
      <c r="A232" s="121" t="s">
        <v>200</v>
      </c>
      <c r="B232" s="121" t="s">
        <v>1612</v>
      </c>
      <c r="C232" s="121" t="s">
        <v>1573</v>
      </c>
      <c r="D232" s="121" t="s">
        <v>1927</v>
      </c>
      <c r="E232" s="133" t="s">
        <v>1928</v>
      </c>
      <c r="F232" s="121" t="str">
        <f>IFERROR(__xludf.DUMMYFUNCTION("TEXTJOIN("","",1,FILTER(A:A,E:E=E232))"),"FD")</f>
        <v>FD</v>
      </c>
    </row>
    <row r="233" ht="49.5" hidden="1" customHeight="1">
      <c r="A233" s="121" t="s">
        <v>13</v>
      </c>
      <c r="B233" s="121" t="s">
        <v>1612</v>
      </c>
      <c r="C233" s="121" t="s">
        <v>1621</v>
      </c>
      <c r="D233" s="121" t="s">
        <v>109</v>
      </c>
      <c r="E233" s="133" t="s">
        <v>110</v>
      </c>
      <c r="F233" s="121" t="str">
        <f>IFERROR(__xludf.DUMMYFUNCTION("TEXTJOIN("","",1,FILTER(A:A,E:E=E233))"),"BT")</f>
        <v>BT</v>
      </c>
    </row>
    <row r="234" ht="49.5" hidden="1" customHeight="1">
      <c r="A234" s="121" t="s">
        <v>200</v>
      </c>
      <c r="B234" s="121" t="s">
        <v>1612</v>
      </c>
      <c r="C234" s="121" t="s">
        <v>1573</v>
      </c>
      <c r="D234" s="121" t="s">
        <v>1931</v>
      </c>
      <c r="E234" s="133" t="s">
        <v>1932</v>
      </c>
      <c r="F234" s="121" t="str">
        <f>IFERROR(__xludf.DUMMYFUNCTION("TEXTJOIN("","",1,FILTER(A:A,E:E=E234))"),"FD")</f>
        <v>FD</v>
      </c>
    </row>
    <row r="235" ht="49.5" hidden="1" customHeight="1">
      <c r="A235" s="121" t="s">
        <v>200</v>
      </c>
      <c r="B235" s="121" t="s">
        <v>1612</v>
      </c>
      <c r="C235" s="121" t="s">
        <v>1622</v>
      </c>
      <c r="D235" s="121" t="s">
        <v>201</v>
      </c>
      <c r="E235" s="133" t="s">
        <v>202</v>
      </c>
      <c r="F235" s="121" t="str">
        <f>IFERROR(__xludf.DUMMYFUNCTION("TEXTJOIN("","",1,FILTER(A:A,E:E=E235))"),"FD")</f>
        <v>FD</v>
      </c>
    </row>
    <row r="236" ht="49.5" hidden="1" customHeight="1">
      <c r="A236" s="121" t="s">
        <v>200</v>
      </c>
      <c r="B236" s="121" t="s">
        <v>1612</v>
      </c>
      <c r="C236" s="121" t="s">
        <v>1573</v>
      </c>
      <c r="D236" s="121" t="s">
        <v>1929</v>
      </c>
      <c r="E236" s="133" t="s">
        <v>1930</v>
      </c>
      <c r="F236" s="121" t="str">
        <f>IFERROR(__xludf.DUMMYFUNCTION("TEXTJOIN("","",1,FILTER(A:A,E:E=E236))"),"FD")</f>
        <v>FD</v>
      </c>
    </row>
    <row r="237" ht="49.5" hidden="1" customHeight="1">
      <c r="A237" s="121" t="s">
        <v>46</v>
      </c>
      <c r="B237" s="121" t="s">
        <v>1612</v>
      </c>
      <c r="C237" s="121" t="s">
        <v>1573</v>
      </c>
      <c r="D237" s="121" t="s">
        <v>1884</v>
      </c>
      <c r="E237" s="133" t="s">
        <v>1885</v>
      </c>
      <c r="F237" s="121" t="str">
        <f>IFERROR(__xludf.DUMMYFUNCTION("TEXTJOIN("","",1,FILTER(A:A,E:E=E237))"),"MTRS")</f>
        <v>MTRS</v>
      </c>
    </row>
    <row r="238" ht="49.5" hidden="1" customHeight="1">
      <c r="A238" s="121" t="s">
        <v>43</v>
      </c>
      <c r="B238" s="121" t="s">
        <v>1949</v>
      </c>
      <c r="C238" s="121" t="s">
        <v>1573</v>
      </c>
      <c r="D238" s="121" t="s">
        <v>1952</v>
      </c>
      <c r="E238" s="133" t="s">
        <v>1953</v>
      </c>
      <c r="F238" s="121" t="str">
        <f>IFERROR(__xludf.DUMMYFUNCTION("TEXTJOIN("","",1,FILTER(A:A,E:E=E238))"),"MECH")</f>
        <v>MECH</v>
      </c>
    </row>
    <row r="239" ht="49.5" hidden="1" customHeight="1">
      <c r="A239" s="121" t="s">
        <v>43</v>
      </c>
      <c r="B239" s="121" t="s">
        <v>1612</v>
      </c>
      <c r="C239" s="121" t="s">
        <v>1573</v>
      </c>
      <c r="D239" s="121" t="s">
        <v>1972</v>
      </c>
      <c r="E239" s="133" t="s">
        <v>1973</v>
      </c>
      <c r="F239" s="121" t="str">
        <f>IFERROR(__xludf.DUMMYFUNCTION("TEXTJOIN("","",1,FILTER(A:A,E:E=E239))"),"MECH")</f>
        <v>MECH</v>
      </c>
    </row>
    <row r="240" ht="49.5" hidden="1" customHeight="1">
      <c r="A240" s="121" t="s">
        <v>1995</v>
      </c>
      <c r="B240" s="121" t="s">
        <v>1596</v>
      </c>
      <c r="C240" s="121" t="s">
        <v>2027</v>
      </c>
      <c r="D240" s="121" t="s">
        <v>2028</v>
      </c>
      <c r="E240" s="133" t="s">
        <v>2029</v>
      </c>
      <c r="F240" s="121" t="str">
        <f>IFERROR(__xludf.DUMMYFUNCTION("TEXTJOIN("","",1,FILTER(A:A,E:E=E240))"),"SMS")</f>
        <v>SMS</v>
      </c>
    </row>
    <row r="241" ht="49.5" hidden="1" customHeight="1">
      <c r="A241" s="121" t="s">
        <v>24</v>
      </c>
      <c r="B241" s="121" t="s">
        <v>1612</v>
      </c>
      <c r="C241" s="121" t="s">
        <v>1621</v>
      </c>
      <c r="D241" s="121" t="s">
        <v>141</v>
      </c>
      <c r="E241" s="133" t="s">
        <v>142</v>
      </c>
      <c r="F241" s="121" t="str">
        <f>IFERROR(__xludf.DUMMYFUNCTION("TEXTJOIN("","",1,FILTER(A:A,E:E=E241))"),"CSBS,SMS")</f>
        <v>CSBS,SMS</v>
      </c>
    </row>
    <row r="242" ht="49.5" hidden="1" customHeight="1">
      <c r="A242" s="121" t="s">
        <v>1995</v>
      </c>
      <c r="B242" s="121" t="s">
        <v>1572</v>
      </c>
      <c r="C242" s="121" t="s">
        <v>1573</v>
      </c>
      <c r="D242" s="121" t="s">
        <v>2002</v>
      </c>
      <c r="E242" s="133" t="s">
        <v>142</v>
      </c>
      <c r="F242" s="121" t="str">
        <f>IFERROR(__xludf.DUMMYFUNCTION("TEXTJOIN("","",1,FILTER(A:A,E:E=E242))"),"CSBS,SMS")</f>
        <v>CSBS,SMS</v>
      </c>
    </row>
    <row r="243" ht="49.5" hidden="1" customHeight="1">
      <c r="A243" s="121" t="s">
        <v>37</v>
      </c>
      <c r="B243" s="121" t="s">
        <v>1612</v>
      </c>
      <c r="C243" s="121" t="s">
        <v>1620</v>
      </c>
      <c r="D243" s="121" t="s">
        <v>189</v>
      </c>
      <c r="E243" s="133" t="s">
        <v>190</v>
      </c>
      <c r="F243" s="121" t="str">
        <f>IFERROR(__xludf.DUMMYFUNCTION("TEXTJOIN("","",1,FILTER(A:A,E:E=E243))"),"EIE")</f>
        <v>EIE</v>
      </c>
    </row>
    <row r="244" ht="49.5" hidden="1" customHeight="1">
      <c r="A244" s="121" t="s">
        <v>193</v>
      </c>
      <c r="B244" s="121" t="s">
        <v>1612</v>
      </c>
      <c r="C244" s="121" t="s">
        <v>1573</v>
      </c>
      <c r="D244" s="121" t="s">
        <v>1984</v>
      </c>
      <c r="E244" s="133" t="s">
        <v>1985</v>
      </c>
      <c r="F244" s="121" t="str">
        <f>IFERROR(__xludf.DUMMYFUNCTION("TEXTJOIN("","",1,FILTER(A:A,E:E=E244))"),"FT")</f>
        <v>FT</v>
      </c>
    </row>
    <row r="245" ht="49.5" hidden="1" customHeight="1">
      <c r="A245" s="121" t="s">
        <v>0</v>
      </c>
      <c r="B245" s="121" t="s">
        <v>1612</v>
      </c>
      <c r="C245" s="121" t="s">
        <v>1573</v>
      </c>
      <c r="D245" s="121" t="s">
        <v>1613</v>
      </c>
      <c r="E245" s="133" t="s">
        <v>1614</v>
      </c>
      <c r="F245" s="121" t="str">
        <f>IFERROR(__xludf.DUMMYFUNCTION("TEXTJOIN("","",1,FILTER(A:A,E:E=E245))"),"AGRI")</f>
        <v>AGRI</v>
      </c>
    </row>
    <row r="246" ht="49.5" hidden="1" customHeight="1">
      <c r="A246" s="121" t="s">
        <v>4</v>
      </c>
      <c r="B246" s="121" t="s">
        <v>1612</v>
      </c>
      <c r="C246" s="121" t="s">
        <v>1619</v>
      </c>
      <c r="D246" s="121" t="s">
        <v>63</v>
      </c>
      <c r="E246" s="133" t="s">
        <v>64</v>
      </c>
      <c r="F246" s="121" t="str">
        <f>IFERROR(__xludf.DUMMYFUNCTION("TEXTJOIN("","",1,FILTER(A:A,E:E=E246))"),"AIDS")</f>
        <v>AIDS</v>
      </c>
    </row>
    <row r="247" ht="49.5" hidden="1" customHeight="1">
      <c r="A247" s="121" t="s">
        <v>18</v>
      </c>
      <c r="B247" s="121" t="s">
        <v>1612</v>
      </c>
      <c r="C247" s="121" t="s">
        <v>1622</v>
      </c>
      <c r="D247" s="121" t="s">
        <v>122</v>
      </c>
      <c r="E247" s="133" t="s">
        <v>123</v>
      </c>
      <c r="F247" s="121" t="str">
        <f>IFERROR(__xludf.DUMMYFUNCTION("TEXTJOIN("","",1,FILTER(A:A,E:E=E247))"),"CSE")</f>
        <v>CSE</v>
      </c>
    </row>
    <row r="248" ht="49.5" hidden="1" customHeight="1">
      <c r="A248" s="121" t="s">
        <v>43</v>
      </c>
      <c r="B248" s="121" t="s">
        <v>1612</v>
      </c>
      <c r="C248" s="121" t="s">
        <v>1623</v>
      </c>
      <c r="D248" s="121" t="s">
        <v>1976</v>
      </c>
      <c r="E248" s="133" t="s">
        <v>1977</v>
      </c>
      <c r="F248" s="121" t="str">
        <f>IFERROR(__xludf.DUMMYFUNCTION("TEXTJOIN("","",1,FILTER(A:A,E:E=E248))"),"MECH")</f>
        <v>MECH</v>
      </c>
    </row>
    <row r="249" ht="49.5" customHeight="1">
      <c r="A249" s="121" t="s">
        <v>13</v>
      </c>
      <c r="B249" s="121" t="s">
        <v>1612</v>
      </c>
      <c r="C249" s="121" t="s">
        <v>1573</v>
      </c>
      <c r="D249" s="121" t="s">
        <v>1778</v>
      </c>
      <c r="E249" s="133" t="s">
        <v>1779</v>
      </c>
      <c r="F249" s="121" t="str">
        <f>IFERROR(__xludf.DUMMYFUNCTION("TEXTJOIN("","",1,FILTER(A:A,E:E=E249))"),"BT")</f>
        <v>BT</v>
      </c>
    </row>
    <row r="250" ht="49.5" customHeight="1">
      <c r="A250" s="121" t="s">
        <v>0</v>
      </c>
      <c r="B250" s="121" t="s">
        <v>1596</v>
      </c>
      <c r="C250" s="121" t="s">
        <v>1573</v>
      </c>
      <c r="D250" s="121" t="s">
        <v>1608</v>
      </c>
      <c r="E250" s="133" t="s">
        <v>1609</v>
      </c>
      <c r="F250" s="121" t="str">
        <f>IFERROR(__xludf.DUMMYFUNCTION("TEXTJOIN("","",1,FILTER(A:A,E:E=E250))"),"AGRI,AIDS,AIML,BT,CSE,CSBS,EEE,ECE,EIE,IT,MECH,MTRS")</f>
        <v>AGRI,AIDS,AIML,BT,CSE,CSBS,EEE,ECE,EIE,IT,MECH,MTRS</v>
      </c>
    </row>
    <row r="251" ht="49.5" customHeight="1">
      <c r="A251" s="121" t="s">
        <v>4</v>
      </c>
      <c r="B251" s="121" t="s">
        <v>1596</v>
      </c>
      <c r="C251" s="121" t="s">
        <v>1573</v>
      </c>
      <c r="D251" s="121" t="s">
        <v>1608</v>
      </c>
      <c r="E251" s="133" t="s">
        <v>1609</v>
      </c>
      <c r="F251" s="121" t="str">
        <f>IFERROR(__xludf.DUMMYFUNCTION("TEXTJOIN("","",1,FILTER(A:A,E:E=E251))"),"AGRI,AIDS,AIML,BT,CSE,CSBS,EEE,ECE,EIE,IT,MECH,MTRS")</f>
        <v>AGRI,AIDS,AIML,BT,CSE,CSBS,EEE,ECE,EIE,IT,MECH,MTRS</v>
      </c>
    </row>
    <row r="252" ht="49.5" customHeight="1">
      <c r="A252" s="121" t="s">
        <v>9</v>
      </c>
      <c r="B252" s="121" t="s">
        <v>1596</v>
      </c>
      <c r="C252" s="121" t="s">
        <v>1573</v>
      </c>
      <c r="D252" s="121" t="s">
        <v>1608</v>
      </c>
      <c r="E252" s="133" t="s">
        <v>1609</v>
      </c>
      <c r="F252" s="121" t="str">
        <f>IFERROR(__xludf.DUMMYFUNCTION("TEXTJOIN("","",1,FILTER(A:A,E:E=E252))"),"AGRI,AIDS,AIML,BT,CSE,CSBS,EEE,ECE,EIE,IT,MECH,MTRS")</f>
        <v>AGRI,AIDS,AIML,BT,CSE,CSBS,EEE,ECE,EIE,IT,MECH,MTRS</v>
      </c>
    </row>
    <row r="253" ht="49.5" customHeight="1">
      <c r="A253" s="121" t="s">
        <v>13</v>
      </c>
      <c r="B253" s="121" t="s">
        <v>1596</v>
      </c>
      <c r="C253" s="121" t="s">
        <v>1573</v>
      </c>
      <c r="D253" s="121" t="s">
        <v>1608</v>
      </c>
      <c r="E253" s="133" t="s">
        <v>1609</v>
      </c>
      <c r="F253" s="121" t="str">
        <f>IFERROR(__xludf.DUMMYFUNCTION("TEXTJOIN("","",1,FILTER(A:A,E:E=E253))"),"AGRI,AIDS,AIML,BT,CSE,CSBS,EEE,ECE,EIE,IT,MECH,MTRS")</f>
        <v>AGRI,AIDS,AIML,BT,CSE,CSBS,EEE,ECE,EIE,IT,MECH,MTRS</v>
      </c>
    </row>
    <row r="254" ht="49.5" customHeight="1">
      <c r="A254" s="121" t="s">
        <v>18</v>
      </c>
      <c r="B254" s="121" t="s">
        <v>1596</v>
      </c>
      <c r="C254" s="121" t="s">
        <v>1573</v>
      </c>
      <c r="D254" s="121" t="s">
        <v>1608</v>
      </c>
      <c r="E254" s="133" t="s">
        <v>1609</v>
      </c>
      <c r="F254" s="121" t="str">
        <f>IFERROR(__xludf.DUMMYFUNCTION("TEXTJOIN("","",1,FILTER(A:A,E:E=E254))"),"AGRI,AIDS,AIML,BT,CSE,CSBS,EEE,ECE,EIE,IT,MECH,MTRS")</f>
        <v>AGRI,AIDS,AIML,BT,CSE,CSBS,EEE,ECE,EIE,IT,MECH,MTRS</v>
      </c>
    </row>
    <row r="255" ht="49.5" customHeight="1">
      <c r="A255" s="121" t="s">
        <v>24</v>
      </c>
      <c r="B255" s="121" t="s">
        <v>1596</v>
      </c>
      <c r="C255" s="121" t="s">
        <v>1573</v>
      </c>
      <c r="D255" s="121" t="s">
        <v>1608</v>
      </c>
      <c r="E255" s="133" t="s">
        <v>1609</v>
      </c>
      <c r="F255" s="121" t="str">
        <f>IFERROR(__xludf.DUMMYFUNCTION("TEXTJOIN("","",1,FILTER(A:A,E:E=E255))"),"AGRI,AIDS,AIML,BT,CSE,CSBS,EEE,ECE,EIE,IT,MECH,MTRS")</f>
        <v>AGRI,AIDS,AIML,BT,CSE,CSBS,EEE,ECE,EIE,IT,MECH,MTRS</v>
      </c>
    </row>
    <row r="256" ht="49.5" customHeight="1">
      <c r="A256" s="121" t="s">
        <v>27</v>
      </c>
      <c r="B256" s="121" t="s">
        <v>1596</v>
      </c>
      <c r="C256" s="121" t="s">
        <v>1573</v>
      </c>
      <c r="D256" s="121" t="s">
        <v>1608</v>
      </c>
      <c r="E256" s="133" t="s">
        <v>1609</v>
      </c>
      <c r="F256" s="121" t="str">
        <f>IFERROR(__xludf.DUMMYFUNCTION("TEXTJOIN("","",1,FILTER(A:A,E:E=E256))"),"AGRI,AIDS,AIML,BT,CSE,CSBS,EEE,ECE,EIE,IT,MECH,MTRS")</f>
        <v>AGRI,AIDS,AIML,BT,CSE,CSBS,EEE,ECE,EIE,IT,MECH,MTRS</v>
      </c>
    </row>
    <row r="257" ht="49.5" customHeight="1">
      <c r="A257" s="121" t="s">
        <v>32</v>
      </c>
      <c r="B257" s="121" t="s">
        <v>1596</v>
      </c>
      <c r="C257" s="121" t="s">
        <v>1573</v>
      </c>
      <c r="D257" s="121" t="s">
        <v>1608</v>
      </c>
      <c r="E257" s="133" t="s">
        <v>1609</v>
      </c>
      <c r="F257" s="121" t="str">
        <f>IFERROR(__xludf.DUMMYFUNCTION("TEXTJOIN("","",1,FILTER(A:A,E:E=E257))"),"AGRI,AIDS,AIML,BT,CSE,CSBS,EEE,ECE,EIE,IT,MECH,MTRS")</f>
        <v>AGRI,AIDS,AIML,BT,CSE,CSBS,EEE,ECE,EIE,IT,MECH,MTRS</v>
      </c>
    </row>
    <row r="258" ht="49.5" customHeight="1">
      <c r="A258" s="121" t="s">
        <v>37</v>
      </c>
      <c r="B258" s="121" t="s">
        <v>1596</v>
      </c>
      <c r="C258" s="121" t="s">
        <v>1573</v>
      </c>
      <c r="D258" s="121" t="s">
        <v>1608</v>
      </c>
      <c r="E258" s="133" t="s">
        <v>1609</v>
      </c>
      <c r="F258" s="121" t="str">
        <f>IFERROR(__xludf.DUMMYFUNCTION("TEXTJOIN("","",1,FILTER(A:A,E:E=E258))"),"AGRI,AIDS,AIML,BT,CSE,CSBS,EEE,ECE,EIE,IT,MECH,MTRS")</f>
        <v>AGRI,AIDS,AIML,BT,CSE,CSBS,EEE,ECE,EIE,IT,MECH,MTRS</v>
      </c>
    </row>
    <row r="259" ht="49.5" customHeight="1">
      <c r="A259" s="121" t="s">
        <v>40</v>
      </c>
      <c r="B259" s="121" t="s">
        <v>1596</v>
      </c>
      <c r="C259" s="121" t="s">
        <v>1573</v>
      </c>
      <c r="D259" s="121" t="s">
        <v>1608</v>
      </c>
      <c r="E259" s="133" t="s">
        <v>1609</v>
      </c>
      <c r="F259" s="121" t="str">
        <f>IFERROR(__xludf.DUMMYFUNCTION("TEXTJOIN("","",1,FILTER(A:A,E:E=E259))"),"AGRI,AIDS,AIML,BT,CSE,CSBS,EEE,ECE,EIE,IT,MECH,MTRS")</f>
        <v>AGRI,AIDS,AIML,BT,CSE,CSBS,EEE,ECE,EIE,IT,MECH,MTRS</v>
      </c>
    </row>
    <row r="260" ht="49.5" customHeight="1">
      <c r="A260" s="121" t="s">
        <v>43</v>
      </c>
      <c r="B260" s="121" t="s">
        <v>1596</v>
      </c>
      <c r="C260" s="121" t="s">
        <v>1573</v>
      </c>
      <c r="D260" s="121" t="s">
        <v>1608</v>
      </c>
      <c r="E260" s="133" t="s">
        <v>1609</v>
      </c>
      <c r="F260" s="121" t="str">
        <f>IFERROR(__xludf.DUMMYFUNCTION("TEXTJOIN("","",1,FILTER(A:A,E:E=E260))"),"AGRI,AIDS,AIML,BT,CSE,CSBS,EEE,ECE,EIE,IT,MECH,MTRS")</f>
        <v>AGRI,AIDS,AIML,BT,CSE,CSBS,EEE,ECE,EIE,IT,MECH,MTRS</v>
      </c>
    </row>
    <row r="261" ht="49.5" hidden="1" customHeight="1">
      <c r="A261" s="121" t="s">
        <v>46</v>
      </c>
      <c r="B261" s="121" t="s">
        <v>1596</v>
      </c>
      <c r="C261" s="121" t="s">
        <v>1573</v>
      </c>
      <c r="D261" s="121" t="s">
        <v>1608</v>
      </c>
      <c r="E261" s="133" t="s">
        <v>1609</v>
      </c>
      <c r="F261" s="121" t="str">
        <f>IFERROR(__xludf.DUMMYFUNCTION("TEXTJOIN("","",1,FILTER(A:A,E:E=E261))"),"AGRI,AIDS,AIML,BT,CSE,CSBS,EEE,ECE,EIE,IT,MECH,MTRS")</f>
        <v>AGRI,AIDS,AIML,BT,CSE,CSBS,EEE,ECE,EIE,IT,MECH,MTRS</v>
      </c>
    </row>
    <row r="262" ht="49.5" hidden="1" customHeight="1">
      <c r="A262" s="121" t="s">
        <v>13</v>
      </c>
      <c r="B262" s="121" t="s">
        <v>1596</v>
      </c>
      <c r="C262" s="121" t="s">
        <v>1607</v>
      </c>
      <c r="D262" s="121" t="s">
        <v>16</v>
      </c>
      <c r="E262" s="133" t="s">
        <v>17</v>
      </c>
      <c r="F262" s="121" t="str">
        <f>IFERROR(__xludf.DUMMYFUNCTION("TEXTJOIN("","",1,FILTER(A:A,E:E=E262))"),"BT")</f>
        <v>BT</v>
      </c>
    </row>
    <row r="263" ht="49.5" hidden="1" customHeight="1">
      <c r="A263" s="121" t="s">
        <v>0</v>
      </c>
      <c r="B263" s="121" t="s">
        <v>1572</v>
      </c>
      <c r="C263" s="121" t="s">
        <v>1573</v>
      </c>
      <c r="D263" s="121" t="s">
        <v>1574</v>
      </c>
      <c r="E263" s="133" t="s">
        <v>1575</v>
      </c>
      <c r="F263" s="121" t="str">
        <f>IFERROR(__xludf.DUMMYFUNCTION("TEXTJOIN("","",1,FILTER(A:A,E:E=E263))"),"AGRI,AIDS,AIML,BT,CSE,EEE,ECE,EIE,IT,MECH,MTRS")</f>
        <v>AGRI,AIDS,AIML,BT,CSE,EEE,ECE,EIE,IT,MECH,MTRS</v>
      </c>
    </row>
    <row r="264" ht="49.5" hidden="1" customHeight="1">
      <c r="A264" s="121" t="s">
        <v>4</v>
      </c>
      <c r="B264" s="121" t="s">
        <v>1572</v>
      </c>
      <c r="C264" s="121" t="s">
        <v>1573</v>
      </c>
      <c r="D264" s="121" t="s">
        <v>1574</v>
      </c>
      <c r="E264" s="133" t="s">
        <v>1575</v>
      </c>
      <c r="F264" s="121" t="str">
        <f>IFERROR(__xludf.DUMMYFUNCTION("TEXTJOIN("","",1,FILTER(A:A,E:E=E264))"),"AGRI,AIDS,AIML,BT,CSE,EEE,ECE,EIE,IT,MECH,MTRS")</f>
        <v>AGRI,AIDS,AIML,BT,CSE,EEE,ECE,EIE,IT,MECH,MTRS</v>
      </c>
    </row>
    <row r="265" ht="49.5" hidden="1" customHeight="1">
      <c r="A265" s="121" t="s">
        <v>9</v>
      </c>
      <c r="B265" s="121" t="s">
        <v>1572</v>
      </c>
      <c r="C265" s="121" t="s">
        <v>1573</v>
      </c>
      <c r="D265" s="121" t="s">
        <v>1574</v>
      </c>
      <c r="E265" s="133" t="s">
        <v>1575</v>
      </c>
      <c r="F265" s="121" t="str">
        <f>IFERROR(__xludf.DUMMYFUNCTION("TEXTJOIN("","",1,FILTER(A:A,E:E=E265))"),"AGRI,AIDS,AIML,BT,CSE,EEE,ECE,EIE,IT,MECH,MTRS")</f>
        <v>AGRI,AIDS,AIML,BT,CSE,EEE,ECE,EIE,IT,MECH,MTRS</v>
      </c>
    </row>
    <row r="266" ht="49.5" hidden="1" customHeight="1">
      <c r="A266" s="121" t="s">
        <v>13</v>
      </c>
      <c r="B266" s="121" t="s">
        <v>1572</v>
      </c>
      <c r="C266" s="121" t="s">
        <v>1573</v>
      </c>
      <c r="D266" s="121" t="s">
        <v>1574</v>
      </c>
      <c r="E266" s="133" t="s">
        <v>1575</v>
      </c>
      <c r="F266" s="121" t="str">
        <f>IFERROR(__xludf.DUMMYFUNCTION("TEXTJOIN("","",1,FILTER(A:A,E:E=E266))"),"AGRI,AIDS,AIML,BT,CSE,EEE,ECE,EIE,IT,MECH,MTRS")</f>
        <v>AGRI,AIDS,AIML,BT,CSE,EEE,ECE,EIE,IT,MECH,MTRS</v>
      </c>
    </row>
    <row r="267" ht="49.5" hidden="1" customHeight="1">
      <c r="A267" s="121" t="s">
        <v>18</v>
      </c>
      <c r="B267" s="121" t="s">
        <v>1572</v>
      </c>
      <c r="C267" s="121" t="s">
        <v>1573</v>
      </c>
      <c r="D267" s="121" t="s">
        <v>1574</v>
      </c>
      <c r="E267" s="133" t="s">
        <v>1575</v>
      </c>
      <c r="F267" s="121" t="str">
        <f>IFERROR(__xludf.DUMMYFUNCTION("TEXTJOIN("","",1,FILTER(A:A,E:E=E267))"),"AGRI,AIDS,AIML,BT,CSE,EEE,ECE,EIE,IT,MECH,MTRS")</f>
        <v>AGRI,AIDS,AIML,BT,CSE,EEE,ECE,EIE,IT,MECH,MTRS</v>
      </c>
    </row>
    <row r="268" ht="49.5" hidden="1" customHeight="1">
      <c r="A268" s="121" t="s">
        <v>27</v>
      </c>
      <c r="B268" s="121" t="s">
        <v>1572</v>
      </c>
      <c r="C268" s="121" t="s">
        <v>1573</v>
      </c>
      <c r="D268" s="121" t="s">
        <v>1574</v>
      </c>
      <c r="E268" s="133" t="s">
        <v>1575</v>
      </c>
      <c r="F268" s="121" t="str">
        <f>IFERROR(__xludf.DUMMYFUNCTION("TEXTJOIN("","",1,FILTER(A:A,E:E=E268))"),"AGRI,AIDS,AIML,BT,CSE,EEE,ECE,EIE,IT,MECH,MTRS")</f>
        <v>AGRI,AIDS,AIML,BT,CSE,EEE,ECE,EIE,IT,MECH,MTRS</v>
      </c>
    </row>
    <row r="269" ht="49.5" hidden="1" customHeight="1">
      <c r="A269" s="121" t="s">
        <v>32</v>
      </c>
      <c r="B269" s="121" t="s">
        <v>1572</v>
      </c>
      <c r="C269" s="121" t="s">
        <v>1573</v>
      </c>
      <c r="D269" s="121" t="s">
        <v>1574</v>
      </c>
      <c r="E269" s="133" t="s">
        <v>1575</v>
      </c>
      <c r="F269" s="121" t="str">
        <f>IFERROR(__xludf.DUMMYFUNCTION("TEXTJOIN("","",1,FILTER(A:A,E:E=E269))"),"AGRI,AIDS,AIML,BT,CSE,EEE,ECE,EIE,IT,MECH,MTRS")</f>
        <v>AGRI,AIDS,AIML,BT,CSE,EEE,ECE,EIE,IT,MECH,MTRS</v>
      </c>
    </row>
    <row r="270" ht="49.5" hidden="1" customHeight="1">
      <c r="A270" s="121" t="s">
        <v>37</v>
      </c>
      <c r="B270" s="121" t="s">
        <v>1572</v>
      </c>
      <c r="C270" s="121" t="s">
        <v>1573</v>
      </c>
      <c r="D270" s="121" t="s">
        <v>1574</v>
      </c>
      <c r="E270" s="133" t="s">
        <v>1575</v>
      </c>
      <c r="F270" s="121" t="str">
        <f>IFERROR(__xludf.DUMMYFUNCTION("TEXTJOIN("","",1,FILTER(A:A,E:E=E270))"),"AGRI,AIDS,AIML,BT,CSE,EEE,ECE,EIE,IT,MECH,MTRS")</f>
        <v>AGRI,AIDS,AIML,BT,CSE,EEE,ECE,EIE,IT,MECH,MTRS</v>
      </c>
    </row>
    <row r="271" ht="49.5" hidden="1" customHeight="1">
      <c r="A271" s="121" t="s">
        <v>40</v>
      </c>
      <c r="B271" s="121" t="s">
        <v>1572</v>
      </c>
      <c r="C271" s="121" t="s">
        <v>1573</v>
      </c>
      <c r="D271" s="121" t="s">
        <v>1574</v>
      </c>
      <c r="E271" s="133" t="s">
        <v>1575</v>
      </c>
      <c r="F271" s="121" t="str">
        <f>IFERROR(__xludf.DUMMYFUNCTION("TEXTJOIN("","",1,FILTER(A:A,E:E=E271))"),"AGRI,AIDS,AIML,BT,CSE,EEE,ECE,EIE,IT,MECH,MTRS")</f>
        <v>AGRI,AIDS,AIML,BT,CSE,EEE,ECE,EIE,IT,MECH,MTRS</v>
      </c>
    </row>
    <row r="272" ht="49.5" hidden="1" customHeight="1">
      <c r="A272" s="121" t="s">
        <v>43</v>
      </c>
      <c r="B272" s="121" t="s">
        <v>1572</v>
      </c>
      <c r="C272" s="121" t="s">
        <v>1573</v>
      </c>
      <c r="D272" s="121" t="s">
        <v>1574</v>
      </c>
      <c r="E272" s="133" t="s">
        <v>1575</v>
      </c>
      <c r="F272" s="121" t="str">
        <f>IFERROR(__xludf.DUMMYFUNCTION("TEXTJOIN("","",1,FILTER(A:A,E:E=E272))"),"AGRI,AIDS,AIML,BT,CSE,EEE,ECE,EIE,IT,MECH,MTRS")</f>
        <v>AGRI,AIDS,AIML,BT,CSE,EEE,ECE,EIE,IT,MECH,MTRS</v>
      </c>
    </row>
    <row r="273" ht="49.5" hidden="1" customHeight="1">
      <c r="A273" s="121" t="s">
        <v>46</v>
      </c>
      <c r="B273" s="121" t="s">
        <v>1572</v>
      </c>
      <c r="C273" s="121" t="s">
        <v>1573</v>
      </c>
      <c r="D273" s="121" t="s">
        <v>1574</v>
      </c>
      <c r="E273" s="133" t="s">
        <v>1575</v>
      </c>
      <c r="F273" s="121" t="str">
        <f>IFERROR(__xludf.DUMMYFUNCTION("TEXTJOIN("","",1,FILTER(A:A,E:E=E273))"),"AGRI,AIDS,AIML,BT,CSE,EEE,ECE,EIE,IT,MECH,MTRS")</f>
        <v>AGRI,AIDS,AIML,BT,CSE,EEE,ECE,EIE,IT,MECH,MTRS</v>
      </c>
    </row>
    <row r="274" ht="49.5" hidden="1" customHeight="1">
      <c r="A274" s="121" t="s">
        <v>13</v>
      </c>
      <c r="B274" s="121" t="s">
        <v>1572</v>
      </c>
      <c r="C274" s="121" t="s">
        <v>1573</v>
      </c>
      <c r="D274" s="121" t="s">
        <v>1763</v>
      </c>
      <c r="E274" s="133" t="s">
        <v>1764</v>
      </c>
      <c r="F274" s="121" t="str">
        <f>IFERROR(__xludf.DUMMYFUNCTION("TEXTJOIN("","",1,FILTER(A:A,E:E=E274))"),"BT,EEE,ECE,EIE")</f>
        <v>BT,EEE,ECE,EIE</v>
      </c>
    </row>
    <row r="275" ht="49.5" hidden="1" customHeight="1">
      <c r="A275" s="121" t="s">
        <v>27</v>
      </c>
      <c r="B275" s="121" t="s">
        <v>1572</v>
      </c>
      <c r="C275" s="121" t="s">
        <v>1573</v>
      </c>
      <c r="D275" s="121" t="s">
        <v>1763</v>
      </c>
      <c r="E275" s="133" t="s">
        <v>1764</v>
      </c>
      <c r="F275" s="121" t="str">
        <f>IFERROR(__xludf.DUMMYFUNCTION("TEXTJOIN("","",1,FILTER(A:A,E:E=E275))"),"BT,EEE,ECE,EIE")</f>
        <v>BT,EEE,ECE,EIE</v>
      </c>
    </row>
    <row r="276" ht="49.5" hidden="1" customHeight="1">
      <c r="A276" s="121" t="s">
        <v>32</v>
      </c>
      <c r="B276" s="121" t="s">
        <v>1572</v>
      </c>
      <c r="C276" s="121" t="s">
        <v>1573</v>
      </c>
      <c r="D276" s="121" t="s">
        <v>1763</v>
      </c>
      <c r="E276" s="133" t="s">
        <v>1764</v>
      </c>
      <c r="F276" s="121" t="str">
        <f>IFERROR(__xludf.DUMMYFUNCTION("TEXTJOIN("","",1,FILTER(A:A,E:E=E276))"),"BT,EEE,ECE,EIE")</f>
        <v>BT,EEE,ECE,EIE</v>
      </c>
    </row>
    <row r="277" ht="49.5" hidden="1" customHeight="1">
      <c r="A277" s="121" t="s">
        <v>37</v>
      </c>
      <c r="B277" s="121" t="s">
        <v>1572</v>
      </c>
      <c r="C277" s="121" t="s">
        <v>1573</v>
      </c>
      <c r="D277" s="121" t="s">
        <v>1763</v>
      </c>
      <c r="E277" s="133" t="s">
        <v>1764</v>
      </c>
      <c r="F277" s="121" t="str">
        <f>IFERROR(__xludf.DUMMYFUNCTION("TEXTJOIN("","",1,FILTER(A:A,E:E=E277))"),"BT,EEE,ECE,EIE")</f>
        <v>BT,EEE,ECE,EIE</v>
      </c>
    </row>
    <row r="278" ht="49.5" hidden="1" customHeight="1">
      <c r="A278" s="121" t="s">
        <v>0</v>
      </c>
      <c r="B278" s="121" t="s">
        <v>1572</v>
      </c>
      <c r="C278" s="121" t="s">
        <v>1573</v>
      </c>
      <c r="D278" s="121" t="s">
        <v>1580</v>
      </c>
      <c r="E278" s="133" t="s">
        <v>1581</v>
      </c>
      <c r="F278" s="121" t="str">
        <f>IFERROR(__xludf.DUMMYFUNCTION("TEXTJOIN("","",1,FILTER(A:A,E:E=E278))"),"AGRI,AIDS,AIML,BT,CSE,EEE,ECE,EIE,IT,MECH,MTRS")</f>
        <v>AGRI,AIDS,AIML,BT,CSE,EEE,ECE,EIE,IT,MECH,MTRS</v>
      </c>
    </row>
    <row r="279" ht="49.5" hidden="1" customHeight="1">
      <c r="A279" s="121" t="s">
        <v>4</v>
      </c>
      <c r="B279" s="121" t="s">
        <v>1572</v>
      </c>
      <c r="C279" s="121" t="s">
        <v>1573</v>
      </c>
      <c r="D279" s="121" t="s">
        <v>1580</v>
      </c>
      <c r="E279" s="133" t="s">
        <v>1581</v>
      </c>
      <c r="F279" s="121" t="str">
        <f>IFERROR(__xludf.DUMMYFUNCTION("TEXTJOIN("","",1,FILTER(A:A,E:E=E279))"),"AGRI,AIDS,AIML,BT,CSE,EEE,ECE,EIE,IT,MECH,MTRS")</f>
        <v>AGRI,AIDS,AIML,BT,CSE,EEE,ECE,EIE,IT,MECH,MTRS</v>
      </c>
    </row>
    <row r="280" ht="49.5" hidden="1" customHeight="1">
      <c r="A280" s="121" t="s">
        <v>9</v>
      </c>
      <c r="B280" s="121" t="s">
        <v>1572</v>
      </c>
      <c r="C280" s="121" t="s">
        <v>1573</v>
      </c>
      <c r="D280" s="121" t="s">
        <v>1580</v>
      </c>
      <c r="E280" s="133" t="s">
        <v>1581</v>
      </c>
      <c r="F280" s="121" t="str">
        <f>IFERROR(__xludf.DUMMYFUNCTION("TEXTJOIN("","",1,FILTER(A:A,E:E=E280))"),"AGRI,AIDS,AIML,BT,CSE,EEE,ECE,EIE,IT,MECH,MTRS")</f>
        <v>AGRI,AIDS,AIML,BT,CSE,EEE,ECE,EIE,IT,MECH,MTRS</v>
      </c>
    </row>
    <row r="281" ht="49.5" hidden="1" customHeight="1">
      <c r="A281" s="121" t="s">
        <v>13</v>
      </c>
      <c r="B281" s="121" t="s">
        <v>1572</v>
      </c>
      <c r="C281" s="121" t="s">
        <v>1573</v>
      </c>
      <c r="D281" s="121" t="s">
        <v>1580</v>
      </c>
      <c r="E281" s="133" t="s">
        <v>1581</v>
      </c>
      <c r="F281" s="121" t="str">
        <f>IFERROR(__xludf.DUMMYFUNCTION("TEXTJOIN("","",1,FILTER(A:A,E:E=E281))"),"AGRI,AIDS,AIML,BT,CSE,EEE,ECE,EIE,IT,MECH,MTRS")</f>
        <v>AGRI,AIDS,AIML,BT,CSE,EEE,ECE,EIE,IT,MECH,MTRS</v>
      </c>
    </row>
    <row r="282" ht="49.5" hidden="1" customHeight="1">
      <c r="A282" s="121" t="s">
        <v>18</v>
      </c>
      <c r="B282" s="121" t="s">
        <v>1572</v>
      </c>
      <c r="C282" s="121" t="s">
        <v>1573</v>
      </c>
      <c r="D282" s="121" t="s">
        <v>1580</v>
      </c>
      <c r="E282" s="133" t="s">
        <v>1581</v>
      </c>
      <c r="F282" s="121" t="str">
        <f>IFERROR(__xludf.DUMMYFUNCTION("TEXTJOIN("","",1,FILTER(A:A,E:E=E282))"),"AGRI,AIDS,AIML,BT,CSE,EEE,ECE,EIE,IT,MECH,MTRS")</f>
        <v>AGRI,AIDS,AIML,BT,CSE,EEE,ECE,EIE,IT,MECH,MTRS</v>
      </c>
    </row>
    <row r="283" ht="49.5" hidden="1" customHeight="1">
      <c r="A283" s="121" t="s">
        <v>27</v>
      </c>
      <c r="B283" s="121" t="s">
        <v>1572</v>
      </c>
      <c r="C283" s="121" t="s">
        <v>1573</v>
      </c>
      <c r="D283" s="121" t="s">
        <v>1580</v>
      </c>
      <c r="E283" s="133" t="s">
        <v>1581</v>
      </c>
      <c r="F283" s="121" t="str">
        <f>IFERROR(__xludf.DUMMYFUNCTION("TEXTJOIN("","",1,FILTER(A:A,E:E=E283))"),"AGRI,AIDS,AIML,BT,CSE,EEE,ECE,EIE,IT,MECH,MTRS")</f>
        <v>AGRI,AIDS,AIML,BT,CSE,EEE,ECE,EIE,IT,MECH,MTRS</v>
      </c>
    </row>
    <row r="284" ht="49.5" hidden="1" customHeight="1">
      <c r="A284" s="121" t="s">
        <v>32</v>
      </c>
      <c r="B284" s="121" t="s">
        <v>1572</v>
      </c>
      <c r="C284" s="121" t="s">
        <v>1573</v>
      </c>
      <c r="D284" s="121" t="s">
        <v>1580</v>
      </c>
      <c r="E284" s="133" t="s">
        <v>1581</v>
      </c>
      <c r="F284" s="121" t="str">
        <f>IFERROR(__xludf.DUMMYFUNCTION("TEXTJOIN("","",1,FILTER(A:A,E:E=E284))"),"AGRI,AIDS,AIML,BT,CSE,EEE,ECE,EIE,IT,MECH,MTRS")</f>
        <v>AGRI,AIDS,AIML,BT,CSE,EEE,ECE,EIE,IT,MECH,MTRS</v>
      </c>
    </row>
    <row r="285" ht="49.5" hidden="1" customHeight="1">
      <c r="A285" s="121" t="s">
        <v>37</v>
      </c>
      <c r="B285" s="121" t="s">
        <v>1572</v>
      </c>
      <c r="C285" s="121" t="s">
        <v>1573</v>
      </c>
      <c r="D285" s="121" t="s">
        <v>1580</v>
      </c>
      <c r="E285" s="133" t="s">
        <v>1581</v>
      </c>
      <c r="F285" s="121" t="str">
        <f>IFERROR(__xludf.DUMMYFUNCTION("TEXTJOIN("","",1,FILTER(A:A,E:E=E285))"),"AGRI,AIDS,AIML,BT,CSE,EEE,ECE,EIE,IT,MECH,MTRS")</f>
        <v>AGRI,AIDS,AIML,BT,CSE,EEE,ECE,EIE,IT,MECH,MTRS</v>
      </c>
    </row>
    <row r="286" ht="49.5" hidden="1" customHeight="1">
      <c r="A286" s="121" t="s">
        <v>40</v>
      </c>
      <c r="B286" s="121" t="s">
        <v>1572</v>
      </c>
      <c r="C286" s="121" t="s">
        <v>1573</v>
      </c>
      <c r="D286" s="121" t="s">
        <v>1580</v>
      </c>
      <c r="E286" s="133" t="s">
        <v>1581</v>
      </c>
      <c r="F286" s="121" t="str">
        <f>IFERROR(__xludf.DUMMYFUNCTION("TEXTJOIN("","",1,FILTER(A:A,E:E=E286))"),"AGRI,AIDS,AIML,BT,CSE,EEE,ECE,EIE,IT,MECH,MTRS")</f>
        <v>AGRI,AIDS,AIML,BT,CSE,EEE,ECE,EIE,IT,MECH,MTRS</v>
      </c>
    </row>
    <row r="287" ht="49.5" hidden="1" customHeight="1">
      <c r="A287" s="121" t="s">
        <v>43</v>
      </c>
      <c r="B287" s="121" t="s">
        <v>1572</v>
      </c>
      <c r="C287" s="121" t="s">
        <v>1573</v>
      </c>
      <c r="D287" s="121" t="s">
        <v>1580</v>
      </c>
      <c r="E287" s="133" t="s">
        <v>1581</v>
      </c>
      <c r="F287" s="121" t="str">
        <f>IFERROR(__xludf.DUMMYFUNCTION("TEXTJOIN("","",1,FILTER(A:A,E:E=E287))"),"AGRI,AIDS,AIML,BT,CSE,EEE,ECE,EIE,IT,MECH,MTRS")</f>
        <v>AGRI,AIDS,AIML,BT,CSE,EEE,ECE,EIE,IT,MECH,MTRS</v>
      </c>
    </row>
    <row r="288" ht="49.5" hidden="1" customHeight="1">
      <c r="A288" s="121" t="s">
        <v>46</v>
      </c>
      <c r="B288" s="121" t="s">
        <v>1572</v>
      </c>
      <c r="C288" s="121" t="s">
        <v>1573</v>
      </c>
      <c r="D288" s="121" t="s">
        <v>1580</v>
      </c>
      <c r="E288" s="133" t="s">
        <v>1581</v>
      </c>
      <c r="F288" s="121" t="str">
        <f>IFERROR(__xludf.DUMMYFUNCTION("TEXTJOIN("","",1,FILTER(A:A,E:E=E288))"),"AGRI,AIDS,AIML,BT,CSE,EEE,ECE,EIE,IT,MECH,MTRS")</f>
        <v>AGRI,AIDS,AIML,BT,CSE,EEE,ECE,EIE,IT,MECH,MTRS</v>
      </c>
    </row>
    <row r="289" ht="49.5" hidden="1" customHeight="1">
      <c r="A289" s="121" t="s">
        <v>0</v>
      </c>
      <c r="B289" s="121" t="s">
        <v>1612</v>
      </c>
      <c r="C289" s="121" t="s">
        <v>1623</v>
      </c>
      <c r="D289" s="121" t="s">
        <v>1624</v>
      </c>
      <c r="E289" s="133" t="s">
        <v>1625</v>
      </c>
      <c r="F289" s="121" t="str">
        <f>IFERROR(__xludf.DUMMYFUNCTION("TEXTJOIN("","",1,FILTER(A:A,E:E=E289))"),"AGRI")</f>
        <v>AGRI</v>
      </c>
    </row>
    <row r="290" ht="49.5" hidden="1" customHeight="1">
      <c r="A290" s="121" t="s">
        <v>27</v>
      </c>
      <c r="B290" s="121" t="s">
        <v>1612</v>
      </c>
      <c r="C290" s="121" t="s">
        <v>1620</v>
      </c>
      <c r="D290" s="121" t="s">
        <v>164</v>
      </c>
      <c r="E290" s="133" t="s">
        <v>165</v>
      </c>
      <c r="F290" s="121" t="str">
        <f>IFERROR(__xludf.DUMMYFUNCTION("TEXTJOIN("","",1,FILTER(A:A,E:E=E290))"),"EEE")</f>
        <v>EEE</v>
      </c>
    </row>
    <row r="291" ht="49.5" hidden="1" customHeight="1">
      <c r="A291" s="121" t="s">
        <v>200</v>
      </c>
      <c r="B291" s="121" t="s">
        <v>1612</v>
      </c>
      <c r="C291" s="121" t="s">
        <v>1623</v>
      </c>
      <c r="D291" s="121" t="s">
        <v>1937</v>
      </c>
      <c r="E291" s="133" t="s">
        <v>1938</v>
      </c>
      <c r="F291" s="121" t="str">
        <f>IFERROR(__xludf.DUMMYFUNCTION("TEXTJOIN("","",1,FILTER(A:A,E:E=E291))"),"FD")</f>
        <v>FD</v>
      </c>
    </row>
    <row r="292" ht="49.5" customHeight="1">
      <c r="A292" s="121" t="s">
        <v>0</v>
      </c>
      <c r="B292" s="121" t="s">
        <v>1612</v>
      </c>
      <c r="C292" s="121" t="s">
        <v>1621</v>
      </c>
      <c r="D292" s="121" t="s">
        <v>59</v>
      </c>
      <c r="E292" s="133" t="s">
        <v>60</v>
      </c>
      <c r="F292" s="121" t="str">
        <f>IFERROR(__xludf.DUMMYFUNCTION("TEXTJOIN("","",1,FILTER(A:A,E:E=E292))"),"AGRI")</f>
        <v>AGRI</v>
      </c>
    </row>
    <row r="293" ht="49.5" customHeight="1">
      <c r="A293" s="121" t="s">
        <v>27</v>
      </c>
      <c r="B293" s="121" t="s">
        <v>1596</v>
      </c>
      <c r="C293" s="121" t="s">
        <v>1573</v>
      </c>
      <c r="D293" s="121" t="s">
        <v>1806</v>
      </c>
      <c r="E293" s="133" t="s">
        <v>1807</v>
      </c>
      <c r="F293" s="121" t="str">
        <f>IFERROR(__xludf.DUMMYFUNCTION("TEXTJOIN("","",1,FILTER(A:A,E:E=E293))"),"EEE,ECE,EIE,MTRS")</f>
        <v>EEE,ECE,EIE,MTRS</v>
      </c>
    </row>
    <row r="294" ht="49.5" customHeight="1">
      <c r="A294" s="121" t="s">
        <v>32</v>
      </c>
      <c r="B294" s="121" t="s">
        <v>1596</v>
      </c>
      <c r="C294" s="121" t="s">
        <v>1573</v>
      </c>
      <c r="D294" s="121" t="s">
        <v>1850</v>
      </c>
      <c r="E294" s="133" t="s">
        <v>1807</v>
      </c>
      <c r="F294" s="121" t="str">
        <f>IFERROR(__xludf.DUMMYFUNCTION("TEXTJOIN("","",1,FILTER(A:A,E:E=E294))"),"EEE,ECE,EIE,MTRS")</f>
        <v>EEE,ECE,EIE,MTRS</v>
      </c>
    </row>
    <row r="295" ht="49.5" customHeight="1">
      <c r="A295" s="121" t="s">
        <v>37</v>
      </c>
      <c r="B295" s="121" t="s">
        <v>1596</v>
      </c>
      <c r="C295" s="121" t="s">
        <v>1573</v>
      </c>
      <c r="D295" s="121" t="s">
        <v>1920</v>
      </c>
      <c r="E295" s="133" t="s">
        <v>1807</v>
      </c>
      <c r="F295" s="121" t="str">
        <f>IFERROR(__xludf.DUMMYFUNCTION("TEXTJOIN("","",1,FILTER(A:A,E:E=E295))"),"EEE,ECE,EIE,MTRS")</f>
        <v>EEE,ECE,EIE,MTRS</v>
      </c>
    </row>
    <row r="296" ht="49.5" hidden="1" customHeight="1">
      <c r="A296" s="121" t="s">
        <v>46</v>
      </c>
      <c r="B296" s="121" t="s">
        <v>1596</v>
      </c>
      <c r="C296" s="121" t="s">
        <v>1573</v>
      </c>
      <c r="D296" s="121" t="s">
        <v>1877</v>
      </c>
      <c r="E296" s="133" t="s">
        <v>1807</v>
      </c>
      <c r="F296" s="121" t="str">
        <f>IFERROR(__xludf.DUMMYFUNCTION("TEXTJOIN("","",1,FILTER(A:A,E:E=E296))"),"EEE,ECE,EIE,MTRS")</f>
        <v>EEE,ECE,EIE,MTRS</v>
      </c>
    </row>
    <row r="297" ht="49.5" hidden="1" customHeight="1">
      <c r="A297" s="121" t="s">
        <v>32</v>
      </c>
      <c r="B297" s="121" t="s">
        <v>1612</v>
      </c>
      <c r="C297" s="121" t="s">
        <v>1622</v>
      </c>
      <c r="D297" s="121" t="s">
        <v>168</v>
      </c>
      <c r="E297" s="133" t="s">
        <v>169</v>
      </c>
      <c r="F297" s="121" t="str">
        <f>IFERROR(__xludf.DUMMYFUNCTION("TEXTJOIN("","",1,FILTER(A:A,E:E=E297))"),"ECE")</f>
        <v>ECE</v>
      </c>
    </row>
    <row r="298" ht="49.5" hidden="1" customHeight="1">
      <c r="A298" s="121" t="s">
        <v>0</v>
      </c>
      <c r="B298" s="121" t="s">
        <v>1572</v>
      </c>
      <c r="C298" s="121" t="s">
        <v>1573</v>
      </c>
      <c r="D298" s="121" t="s">
        <v>1577</v>
      </c>
      <c r="E298" s="133" t="s">
        <v>1578</v>
      </c>
      <c r="F298" s="121" t="str">
        <f>IFERROR(__xludf.DUMMYFUNCTION("TEXTJOIN("","",1,FILTER(A:A,E:E=E298))"),"AGRI,AIDS,AIML,BT,CSE,EEE,ECE,EIE,IT,MECH,MTRS")</f>
        <v>AGRI,AIDS,AIML,BT,CSE,EEE,ECE,EIE,IT,MECH,MTRS</v>
      </c>
    </row>
    <row r="299" ht="49.5" hidden="1" customHeight="1">
      <c r="A299" s="121" t="s">
        <v>4</v>
      </c>
      <c r="B299" s="121" t="s">
        <v>1572</v>
      </c>
      <c r="C299" s="121" t="s">
        <v>1573</v>
      </c>
      <c r="D299" s="121" t="s">
        <v>1577</v>
      </c>
      <c r="E299" s="133" t="s">
        <v>1578</v>
      </c>
      <c r="F299" s="121" t="str">
        <f>IFERROR(__xludf.DUMMYFUNCTION("TEXTJOIN("","",1,FILTER(A:A,E:E=E299))"),"AGRI,AIDS,AIML,BT,CSE,EEE,ECE,EIE,IT,MECH,MTRS")</f>
        <v>AGRI,AIDS,AIML,BT,CSE,EEE,ECE,EIE,IT,MECH,MTRS</v>
      </c>
    </row>
    <row r="300" ht="49.5" hidden="1" customHeight="1">
      <c r="A300" s="121" t="s">
        <v>9</v>
      </c>
      <c r="B300" s="121" t="s">
        <v>1572</v>
      </c>
      <c r="C300" s="121" t="s">
        <v>1573</v>
      </c>
      <c r="D300" s="121" t="s">
        <v>1577</v>
      </c>
      <c r="E300" s="133" t="s">
        <v>1578</v>
      </c>
      <c r="F300" s="121" t="str">
        <f>IFERROR(__xludf.DUMMYFUNCTION("TEXTJOIN("","",1,FILTER(A:A,E:E=E300))"),"AGRI,AIDS,AIML,BT,CSE,EEE,ECE,EIE,IT,MECH,MTRS")</f>
        <v>AGRI,AIDS,AIML,BT,CSE,EEE,ECE,EIE,IT,MECH,MTRS</v>
      </c>
    </row>
    <row r="301" ht="49.5" hidden="1" customHeight="1">
      <c r="A301" s="121" t="s">
        <v>13</v>
      </c>
      <c r="B301" s="121" t="s">
        <v>1572</v>
      </c>
      <c r="C301" s="121" t="s">
        <v>1573</v>
      </c>
      <c r="D301" s="121" t="s">
        <v>1577</v>
      </c>
      <c r="E301" s="133" t="s">
        <v>1578</v>
      </c>
      <c r="F301" s="121" t="str">
        <f>IFERROR(__xludf.DUMMYFUNCTION("TEXTJOIN("","",1,FILTER(A:A,E:E=E301))"),"AGRI,AIDS,AIML,BT,CSE,EEE,ECE,EIE,IT,MECH,MTRS")</f>
        <v>AGRI,AIDS,AIML,BT,CSE,EEE,ECE,EIE,IT,MECH,MTRS</v>
      </c>
    </row>
    <row r="302" ht="49.5" hidden="1" customHeight="1">
      <c r="A302" s="121" t="s">
        <v>18</v>
      </c>
      <c r="B302" s="121" t="s">
        <v>1572</v>
      </c>
      <c r="C302" s="121" t="s">
        <v>1573</v>
      </c>
      <c r="D302" s="121" t="s">
        <v>1577</v>
      </c>
      <c r="E302" s="133" t="s">
        <v>1578</v>
      </c>
      <c r="F302" s="121" t="str">
        <f>IFERROR(__xludf.DUMMYFUNCTION("TEXTJOIN("","",1,FILTER(A:A,E:E=E302))"),"AGRI,AIDS,AIML,BT,CSE,EEE,ECE,EIE,IT,MECH,MTRS")</f>
        <v>AGRI,AIDS,AIML,BT,CSE,EEE,ECE,EIE,IT,MECH,MTRS</v>
      </c>
    </row>
    <row r="303" ht="49.5" hidden="1" customHeight="1">
      <c r="A303" s="121" t="s">
        <v>27</v>
      </c>
      <c r="B303" s="121" t="s">
        <v>1572</v>
      </c>
      <c r="C303" s="121" t="s">
        <v>1573</v>
      </c>
      <c r="D303" s="121" t="s">
        <v>1577</v>
      </c>
      <c r="E303" s="133" t="s">
        <v>1578</v>
      </c>
      <c r="F303" s="121" t="str">
        <f>IFERROR(__xludf.DUMMYFUNCTION("TEXTJOIN("","",1,FILTER(A:A,E:E=E303))"),"AGRI,AIDS,AIML,BT,CSE,EEE,ECE,EIE,IT,MECH,MTRS")</f>
        <v>AGRI,AIDS,AIML,BT,CSE,EEE,ECE,EIE,IT,MECH,MTRS</v>
      </c>
    </row>
    <row r="304" ht="49.5" hidden="1" customHeight="1">
      <c r="A304" s="121" t="s">
        <v>32</v>
      </c>
      <c r="B304" s="121" t="s">
        <v>1572</v>
      </c>
      <c r="C304" s="121" t="s">
        <v>1573</v>
      </c>
      <c r="D304" s="121" t="s">
        <v>1577</v>
      </c>
      <c r="E304" s="133" t="s">
        <v>1578</v>
      </c>
      <c r="F304" s="121" t="str">
        <f>IFERROR(__xludf.DUMMYFUNCTION("TEXTJOIN("","",1,FILTER(A:A,E:E=E304))"),"AGRI,AIDS,AIML,BT,CSE,EEE,ECE,EIE,IT,MECH,MTRS")</f>
        <v>AGRI,AIDS,AIML,BT,CSE,EEE,ECE,EIE,IT,MECH,MTRS</v>
      </c>
    </row>
    <row r="305" ht="49.5" hidden="1" customHeight="1">
      <c r="A305" s="121" t="s">
        <v>37</v>
      </c>
      <c r="B305" s="121" t="s">
        <v>1572</v>
      </c>
      <c r="C305" s="121" t="s">
        <v>1573</v>
      </c>
      <c r="D305" s="121" t="s">
        <v>1577</v>
      </c>
      <c r="E305" s="133" t="s">
        <v>1578</v>
      </c>
      <c r="F305" s="121" t="str">
        <f>IFERROR(__xludf.DUMMYFUNCTION("TEXTJOIN("","",1,FILTER(A:A,E:E=E305))"),"AGRI,AIDS,AIML,BT,CSE,EEE,ECE,EIE,IT,MECH,MTRS")</f>
        <v>AGRI,AIDS,AIML,BT,CSE,EEE,ECE,EIE,IT,MECH,MTRS</v>
      </c>
    </row>
    <row r="306" ht="49.5" hidden="1" customHeight="1">
      <c r="A306" s="121" t="s">
        <v>40</v>
      </c>
      <c r="B306" s="121" t="s">
        <v>1572</v>
      </c>
      <c r="C306" s="121" t="s">
        <v>1573</v>
      </c>
      <c r="D306" s="121" t="s">
        <v>1577</v>
      </c>
      <c r="E306" s="133" t="s">
        <v>1578</v>
      </c>
      <c r="F306" s="121" t="str">
        <f>IFERROR(__xludf.DUMMYFUNCTION("TEXTJOIN("","",1,FILTER(A:A,E:E=E306))"),"AGRI,AIDS,AIML,BT,CSE,EEE,ECE,EIE,IT,MECH,MTRS")</f>
        <v>AGRI,AIDS,AIML,BT,CSE,EEE,ECE,EIE,IT,MECH,MTRS</v>
      </c>
    </row>
    <row r="307" ht="49.5" hidden="1" customHeight="1">
      <c r="A307" s="121" t="s">
        <v>43</v>
      </c>
      <c r="B307" s="121" t="s">
        <v>1572</v>
      </c>
      <c r="C307" s="121" t="s">
        <v>1573</v>
      </c>
      <c r="D307" s="121" t="s">
        <v>1577</v>
      </c>
      <c r="E307" s="133" t="s">
        <v>1578</v>
      </c>
      <c r="F307" s="121" t="str">
        <f>IFERROR(__xludf.DUMMYFUNCTION("TEXTJOIN("","",1,FILTER(A:A,E:E=E307))"),"AGRI,AIDS,AIML,BT,CSE,EEE,ECE,EIE,IT,MECH,MTRS")</f>
        <v>AGRI,AIDS,AIML,BT,CSE,EEE,ECE,EIE,IT,MECH,MTRS</v>
      </c>
    </row>
    <row r="308" ht="49.5" customHeight="1">
      <c r="A308" s="121" t="s">
        <v>46</v>
      </c>
      <c r="B308" s="121" t="s">
        <v>1572</v>
      </c>
      <c r="C308" s="121" t="s">
        <v>1573</v>
      </c>
      <c r="D308" s="121" t="s">
        <v>1577</v>
      </c>
      <c r="E308" s="133" t="s">
        <v>1578</v>
      </c>
      <c r="F308" s="121" t="str">
        <f>IFERROR(__xludf.DUMMYFUNCTION("TEXTJOIN("","",1,FILTER(A:A,E:E=E308))"),"AGRI,AIDS,AIML,BT,CSE,EEE,ECE,EIE,IT,MECH,MTRS")</f>
        <v>AGRI,AIDS,AIML,BT,CSE,EEE,ECE,EIE,IT,MECH,MTRS</v>
      </c>
    </row>
    <row r="309" ht="49.5" hidden="1" customHeight="1">
      <c r="A309" s="121" t="s">
        <v>32</v>
      </c>
      <c r="B309" s="121" t="s">
        <v>1596</v>
      </c>
      <c r="C309" s="121" t="s">
        <v>1573</v>
      </c>
      <c r="D309" s="121" t="s">
        <v>1846</v>
      </c>
      <c r="E309" s="133" t="s">
        <v>1847</v>
      </c>
      <c r="F309" s="121" t="str">
        <f>IFERROR(__xludf.DUMMYFUNCTION("TEXTJOIN("","",1,FILTER(A:A,E:E=E309))"),"ECE")</f>
        <v>ECE</v>
      </c>
    </row>
    <row r="310" ht="49.5" customHeight="1">
      <c r="A310" s="121" t="s">
        <v>43</v>
      </c>
      <c r="B310" s="121" t="s">
        <v>1949</v>
      </c>
      <c r="C310" s="121" t="s">
        <v>1573</v>
      </c>
      <c r="D310" s="121" t="s">
        <v>1954</v>
      </c>
      <c r="E310" s="133" t="s">
        <v>1955</v>
      </c>
      <c r="F310" s="121" t="str">
        <f>IFERROR(__xludf.DUMMYFUNCTION("TEXTJOIN("","",1,FILTER(A:A,E:E=E310))"),"MECH")</f>
        <v>MECH</v>
      </c>
    </row>
    <row r="311" ht="49.5" hidden="1" customHeight="1">
      <c r="A311" s="121" t="s">
        <v>27</v>
      </c>
      <c r="B311" s="121" t="s">
        <v>1596</v>
      </c>
      <c r="C311" s="121" t="s">
        <v>1573</v>
      </c>
      <c r="D311" s="121" t="s">
        <v>1800</v>
      </c>
      <c r="E311" s="133" t="s">
        <v>1801</v>
      </c>
      <c r="F311" s="121" t="str">
        <f>IFERROR(__xludf.DUMMYFUNCTION("TEXTJOIN("","",1,FILTER(A:A,E:E=E311))"),"EEE")</f>
        <v>EEE</v>
      </c>
    </row>
    <row r="312" ht="49.5" hidden="1" customHeight="1">
      <c r="A312" s="121" t="s">
        <v>27</v>
      </c>
      <c r="B312" s="121" t="s">
        <v>1612</v>
      </c>
      <c r="C312" s="121" t="s">
        <v>1623</v>
      </c>
      <c r="D312" s="121" t="s">
        <v>1814</v>
      </c>
      <c r="E312" s="133" t="s">
        <v>1815</v>
      </c>
      <c r="F312" s="121" t="str">
        <f>IFERROR(__xludf.DUMMYFUNCTION("TEXTJOIN("","",1,FILTER(A:A,E:E=E312))"),"EEE")</f>
        <v>EEE</v>
      </c>
    </row>
    <row r="313" ht="49.5" hidden="1" customHeight="1">
      <c r="A313" s="121" t="s">
        <v>27</v>
      </c>
      <c r="B313" s="121" t="s">
        <v>1612</v>
      </c>
      <c r="C313" s="121" t="s">
        <v>1622</v>
      </c>
      <c r="D313" s="121" t="s">
        <v>158</v>
      </c>
      <c r="E313" s="133" t="s">
        <v>159</v>
      </c>
      <c r="F313" s="121" t="str">
        <f>IFERROR(__xludf.DUMMYFUNCTION("TEXTJOIN("","",1,FILTER(A:A,E:E=E313))"),"EEE")</f>
        <v>EEE</v>
      </c>
    </row>
    <row r="314" ht="49.5" hidden="1" customHeight="1">
      <c r="A314" s="121" t="s">
        <v>46</v>
      </c>
      <c r="B314" s="121" t="s">
        <v>1596</v>
      </c>
      <c r="C314" s="121" t="s">
        <v>1607</v>
      </c>
      <c r="D314" s="121" t="s">
        <v>1878</v>
      </c>
      <c r="E314" s="133" t="s">
        <v>1879</v>
      </c>
      <c r="F314" s="121" t="str">
        <f>IFERROR(__xludf.DUMMYFUNCTION("TEXTJOIN("","",1,FILTER(A:A,E:E=E314))"),"MTRS")</f>
        <v>MTRS</v>
      </c>
    </row>
    <row r="315" ht="49.5" hidden="1" customHeight="1">
      <c r="A315" s="121" t="s">
        <v>46</v>
      </c>
      <c r="B315" s="121" t="s">
        <v>1612</v>
      </c>
      <c r="C315" s="121" t="s">
        <v>1623</v>
      </c>
      <c r="D315" s="121" t="s">
        <v>1890</v>
      </c>
      <c r="E315" s="133" t="s">
        <v>1891</v>
      </c>
      <c r="F315" s="121" t="str">
        <f>IFERROR(__xludf.DUMMYFUNCTION("TEXTJOIN("","",1,FILTER(A:A,E:E=E315))"),"MTRS")</f>
        <v>MTRS</v>
      </c>
    </row>
    <row r="316" ht="49.5" hidden="1" customHeight="1">
      <c r="A316" s="121" t="s">
        <v>13</v>
      </c>
      <c r="B316" s="121" t="s">
        <v>1612</v>
      </c>
      <c r="C316" s="121" t="s">
        <v>1573</v>
      </c>
      <c r="D316" s="121" t="s">
        <v>1774</v>
      </c>
      <c r="E316" s="133" t="s">
        <v>1775</v>
      </c>
      <c r="F316" s="121" t="str">
        <f>IFERROR(__xludf.DUMMYFUNCTION("TEXTJOIN("","",1,FILTER(A:A,E:E=E316))"),"BT")</f>
        <v>BT</v>
      </c>
    </row>
    <row r="317" ht="49.5" hidden="1" customHeight="1">
      <c r="A317" s="121" t="s">
        <v>200</v>
      </c>
      <c r="B317" s="121" t="s">
        <v>1612</v>
      </c>
      <c r="C317" s="121" t="s">
        <v>1623</v>
      </c>
      <c r="D317" s="121" t="s">
        <v>1935</v>
      </c>
      <c r="E317" s="133" t="s">
        <v>1936</v>
      </c>
      <c r="F317" s="121" t="str">
        <f>IFERROR(__xludf.DUMMYFUNCTION("TEXTJOIN("","",1,FILTER(A:A,E:E=E317))"),"FD")</f>
        <v>FD</v>
      </c>
    </row>
    <row r="318" ht="49.5" hidden="1" customHeight="1">
      <c r="A318" s="121" t="s">
        <v>151</v>
      </c>
      <c r="B318" s="121" t="s">
        <v>1612</v>
      </c>
      <c r="C318" s="121" t="s">
        <v>1573</v>
      </c>
      <c r="D318" s="121" t="s">
        <v>1864</v>
      </c>
      <c r="E318" s="133" t="s">
        <v>1865</v>
      </c>
      <c r="F318" s="121" t="str">
        <f>IFERROR(__xludf.DUMMYFUNCTION("TEXTJOIN("","",1,FILTER(A:A,E:E=E318))"),"CT")</f>
        <v>CT</v>
      </c>
    </row>
    <row r="319" ht="49.5" customHeight="1">
      <c r="A319" s="121" t="s">
        <v>43</v>
      </c>
      <c r="B319" s="121" t="s">
        <v>1949</v>
      </c>
      <c r="C319" s="121" t="s">
        <v>1968</v>
      </c>
      <c r="D319" s="121" t="s">
        <v>1969</v>
      </c>
      <c r="E319" s="133" t="s">
        <v>1970</v>
      </c>
      <c r="F319" s="121" t="str">
        <f>IFERROR(__xludf.DUMMYFUNCTION("TEXTJOIN("","",1,FILTER(A:A,E:E=E319))"),"MECH")</f>
        <v>MECH</v>
      </c>
    </row>
    <row r="320" ht="49.5" customHeight="1">
      <c r="A320" s="121" t="s">
        <v>18</v>
      </c>
      <c r="B320" s="121" t="s">
        <v>1596</v>
      </c>
      <c r="C320" s="121" t="s">
        <v>1573</v>
      </c>
      <c r="D320" s="121" t="s">
        <v>1727</v>
      </c>
      <c r="E320" s="133" t="s">
        <v>1728</v>
      </c>
      <c r="F320" s="121" t="str">
        <f>IFERROR(__xludf.DUMMYFUNCTION("TEXTJOIN("","",1,FILTER(A:A,E:E=E320))"),"CSE,IT")</f>
        <v>CSE,IT</v>
      </c>
    </row>
    <row r="321" ht="49.5" hidden="1" customHeight="1">
      <c r="A321" s="121" t="s">
        <v>40</v>
      </c>
      <c r="B321" s="121" t="s">
        <v>1596</v>
      </c>
      <c r="C321" s="121" t="s">
        <v>1573</v>
      </c>
      <c r="D321" s="121" t="s">
        <v>1898</v>
      </c>
      <c r="E321" s="133" t="s">
        <v>1728</v>
      </c>
      <c r="F321" s="121" t="str">
        <f>IFERROR(__xludf.DUMMYFUNCTION("TEXTJOIN("","",1,FILTER(A:A,E:E=E321))"),"CSE,IT")</f>
        <v>CSE,IT</v>
      </c>
    </row>
    <row r="322" ht="49.5" hidden="1" customHeight="1">
      <c r="A322" s="121" t="s">
        <v>43</v>
      </c>
      <c r="B322" s="121" t="s">
        <v>1949</v>
      </c>
      <c r="C322" s="121" t="s">
        <v>1965</v>
      </c>
      <c r="D322" s="121" t="s">
        <v>1966</v>
      </c>
      <c r="E322" s="133" t="s">
        <v>1967</v>
      </c>
      <c r="F322" s="121" t="str">
        <f>IFERROR(__xludf.DUMMYFUNCTION("TEXTJOIN("","",1,FILTER(A:A,E:E=E322))"),"MECH")</f>
        <v>MECH</v>
      </c>
    </row>
    <row r="323" ht="49.5" hidden="1" customHeight="1">
      <c r="A323" s="121" t="s">
        <v>32</v>
      </c>
      <c r="B323" s="121" t="s">
        <v>1612</v>
      </c>
      <c r="C323" s="121" t="s">
        <v>1573</v>
      </c>
      <c r="D323" s="121" t="s">
        <v>1853</v>
      </c>
      <c r="E323" s="133" t="s">
        <v>1854</v>
      </c>
      <c r="F323" s="121" t="str">
        <f>IFERROR(__xludf.DUMMYFUNCTION("TEXTJOIN("","",1,FILTER(A:A,E:E=E323))"),"ECE")</f>
        <v>ECE</v>
      </c>
    </row>
    <row r="324" ht="49.5" hidden="1" customHeight="1">
      <c r="A324" s="121" t="s">
        <v>27</v>
      </c>
      <c r="B324" s="121" t="s">
        <v>1612</v>
      </c>
      <c r="C324" s="121" t="s">
        <v>1573</v>
      </c>
      <c r="D324" s="121" t="s">
        <v>1810</v>
      </c>
      <c r="E324" s="133" t="s">
        <v>1811</v>
      </c>
      <c r="F324" s="121" t="str">
        <f>IFERROR(__xludf.DUMMYFUNCTION("TEXTJOIN("","",1,FILTER(A:A,E:E=E324))"),"EEE,EIE")</f>
        <v>EEE,EIE</v>
      </c>
    </row>
    <row r="325" ht="49.5" hidden="1" customHeight="1">
      <c r="A325" s="121" t="s">
        <v>37</v>
      </c>
      <c r="B325" s="121" t="s">
        <v>1612</v>
      </c>
      <c r="C325" s="121" t="s">
        <v>1573</v>
      </c>
      <c r="D325" s="121" t="s">
        <v>1923</v>
      </c>
      <c r="E325" s="133" t="s">
        <v>1811</v>
      </c>
      <c r="F325" s="121" t="str">
        <f>IFERROR(__xludf.DUMMYFUNCTION("TEXTJOIN("","",1,FILTER(A:A,E:E=E325))"),"EEE,EIE")</f>
        <v>EEE,EIE</v>
      </c>
    </row>
    <row r="326" ht="49.5" hidden="1" customHeight="1">
      <c r="A326" s="121" t="s">
        <v>4</v>
      </c>
      <c r="B326" s="121" t="s">
        <v>1612</v>
      </c>
      <c r="C326" s="121" t="s">
        <v>1621</v>
      </c>
      <c r="D326" s="121" t="s">
        <v>73</v>
      </c>
      <c r="E326" s="133" t="s">
        <v>74</v>
      </c>
      <c r="F326" s="121" t="str">
        <f>IFERROR(__xludf.DUMMYFUNCTION("TEXTJOIN("","",1,FILTER(A:A,E:E=E326))"),"AIDS")</f>
        <v>AIDS</v>
      </c>
    </row>
    <row r="327" ht="49.5" hidden="1" customHeight="1">
      <c r="A327" s="121" t="s">
        <v>18</v>
      </c>
      <c r="B327" s="121" t="s">
        <v>1612</v>
      </c>
      <c r="C327" s="121" t="s">
        <v>1621</v>
      </c>
      <c r="D327" s="121" t="s">
        <v>132</v>
      </c>
      <c r="E327" s="133" t="s">
        <v>133</v>
      </c>
      <c r="F327" s="121" t="str">
        <f>IFERROR(__xludf.DUMMYFUNCTION("TEXTJOIN("","",1,FILTER(A:A,E:E=E327))"),"CSE,CSD,IT")</f>
        <v>CSE,CSD,IT</v>
      </c>
    </row>
    <row r="328" ht="49.5" hidden="1" customHeight="1">
      <c r="A328" s="121" t="s">
        <v>143</v>
      </c>
      <c r="B328" s="121" t="s">
        <v>1612</v>
      </c>
      <c r="C328" s="121" t="s">
        <v>1619</v>
      </c>
      <c r="D328" s="121" t="s">
        <v>146</v>
      </c>
      <c r="E328" s="133" t="s">
        <v>133</v>
      </c>
      <c r="F328" s="121" t="str">
        <f>IFERROR(__xludf.DUMMYFUNCTION("TEXTJOIN("","",1,FILTER(A:A,E:E=E328))"),"CSE,CSD,IT")</f>
        <v>CSE,CSD,IT</v>
      </c>
    </row>
    <row r="329" ht="49.5" customHeight="1">
      <c r="A329" s="121" t="s">
        <v>40</v>
      </c>
      <c r="B329" s="121" t="s">
        <v>1612</v>
      </c>
      <c r="C329" s="121" t="s">
        <v>1621</v>
      </c>
      <c r="D329" s="121" t="s">
        <v>226</v>
      </c>
      <c r="E329" s="133" t="s">
        <v>133</v>
      </c>
      <c r="F329" s="121" t="str">
        <f>IFERROR(__xludf.DUMMYFUNCTION("TEXTJOIN("","",1,FILTER(A:A,E:E=E329))"),"CSE,CSD,IT")</f>
        <v>CSE,CSD,IT</v>
      </c>
    </row>
    <row r="330" ht="49.5" hidden="1" customHeight="1">
      <c r="A330" s="121" t="s">
        <v>27</v>
      </c>
      <c r="B330" s="121" t="s">
        <v>1596</v>
      </c>
      <c r="C330" s="121" t="s">
        <v>1573</v>
      </c>
      <c r="D330" s="121" t="s">
        <v>1804</v>
      </c>
      <c r="E330" s="133" t="s">
        <v>1805</v>
      </c>
      <c r="F330" s="121" t="str">
        <f>IFERROR(__xludf.DUMMYFUNCTION("TEXTJOIN("","",1,FILTER(A:A,E:E=E330))"),"EEE")</f>
        <v>EEE</v>
      </c>
    </row>
    <row r="331" ht="49.5" hidden="1" customHeight="1">
      <c r="A331" s="121" t="s">
        <v>18</v>
      </c>
      <c r="B331" s="121" t="s">
        <v>1745</v>
      </c>
      <c r="C331" s="121" t="s">
        <v>1607</v>
      </c>
      <c r="D331" s="121" t="s">
        <v>1754</v>
      </c>
      <c r="E331" s="133" t="s">
        <v>181</v>
      </c>
      <c r="F331" s="121" t="str">
        <f>IFERROR(__xludf.DUMMYFUNCTION("TEXTJOIN("","",1,FILTER(A:A,E:E=E331))"),"CSE")</f>
        <v>CSE</v>
      </c>
    </row>
    <row r="332" ht="49.5" hidden="1" customHeight="1">
      <c r="A332" s="121" t="s">
        <v>4</v>
      </c>
      <c r="B332" s="121" t="s">
        <v>1572</v>
      </c>
      <c r="C332" s="121" t="s">
        <v>1573</v>
      </c>
      <c r="D332" s="121" t="s">
        <v>1638</v>
      </c>
      <c r="E332" s="133" t="s">
        <v>1639</v>
      </c>
      <c r="F332" s="121" t="str">
        <f>IFERROR(__xludf.DUMMYFUNCTION("TEXTJOIN("","",1,FILTER(A:A,E:E=E332))"),"AIDS,AIML,CSE,IT")</f>
        <v>AIDS,AIML,CSE,IT</v>
      </c>
    </row>
    <row r="333" ht="49.5" hidden="1" customHeight="1">
      <c r="A333" s="121" t="s">
        <v>9</v>
      </c>
      <c r="B333" s="121" t="s">
        <v>1572</v>
      </c>
      <c r="C333" s="121" t="s">
        <v>1573</v>
      </c>
      <c r="D333" s="121" t="s">
        <v>1668</v>
      </c>
      <c r="E333" s="133" t="s">
        <v>1639</v>
      </c>
      <c r="F333" s="121" t="str">
        <f>IFERROR(__xludf.DUMMYFUNCTION("TEXTJOIN("","",1,FILTER(A:A,E:E=E333))"),"AIDS,AIML,CSE,IT")</f>
        <v>AIDS,AIML,CSE,IT</v>
      </c>
    </row>
    <row r="334" ht="49.5" hidden="1" customHeight="1">
      <c r="A334" s="121" t="s">
        <v>18</v>
      </c>
      <c r="B334" s="121" t="s">
        <v>1572</v>
      </c>
      <c r="C334" s="121" t="s">
        <v>1573</v>
      </c>
      <c r="D334" s="121" t="s">
        <v>1725</v>
      </c>
      <c r="E334" s="133" t="s">
        <v>1639</v>
      </c>
      <c r="F334" s="121" t="str">
        <f>IFERROR(__xludf.DUMMYFUNCTION("TEXTJOIN("","",1,FILTER(A:A,E:E=E334))"),"AIDS,AIML,CSE,IT")</f>
        <v>AIDS,AIML,CSE,IT</v>
      </c>
    </row>
    <row r="335" ht="49.5" hidden="1" customHeight="1">
      <c r="A335" s="121" t="s">
        <v>40</v>
      </c>
      <c r="B335" s="121" t="s">
        <v>1572</v>
      </c>
      <c r="C335" s="121" t="s">
        <v>1573</v>
      </c>
      <c r="D335" s="121" t="s">
        <v>1896</v>
      </c>
      <c r="E335" s="133" t="s">
        <v>1639</v>
      </c>
      <c r="F335" s="121" t="str">
        <f>IFERROR(__xludf.DUMMYFUNCTION("TEXTJOIN("","",1,FILTER(A:A,E:E=E335))"),"AIDS,AIML,CSE,IT")</f>
        <v>AIDS,AIML,CSE,IT</v>
      </c>
    </row>
    <row r="336" ht="49.5" hidden="1" customHeight="1">
      <c r="A336" s="121" t="s">
        <v>83</v>
      </c>
      <c r="B336" s="121" t="s">
        <v>1612</v>
      </c>
      <c r="C336" s="121" t="s">
        <v>1573</v>
      </c>
      <c r="D336" s="121" t="s">
        <v>1689</v>
      </c>
      <c r="E336" s="133" t="s">
        <v>1690</v>
      </c>
      <c r="F336" s="121" t="str">
        <f>IFERROR(__xludf.DUMMYFUNCTION("TEXTJOIN("","",1,FILTER(A:A,E:E=E336))"),"BME")</f>
        <v>BME</v>
      </c>
    </row>
    <row r="337" ht="49.5" customHeight="1">
      <c r="A337" s="121" t="s">
        <v>9</v>
      </c>
      <c r="B337" s="121" t="s">
        <v>1612</v>
      </c>
      <c r="C337" s="121" t="s">
        <v>1622</v>
      </c>
      <c r="D337" s="121" t="s">
        <v>75</v>
      </c>
      <c r="E337" s="133" t="s">
        <v>76</v>
      </c>
      <c r="F337" s="121" t="str">
        <f>IFERROR(__xludf.DUMMYFUNCTION("TEXTJOIN("","",1,FILTER(A:A,E:E=E337))"),"AIML")</f>
        <v>AIML</v>
      </c>
    </row>
    <row r="338" ht="49.5" hidden="1" customHeight="1">
      <c r="A338" s="121" t="s">
        <v>24</v>
      </c>
      <c r="B338" s="121" t="s">
        <v>1596</v>
      </c>
      <c r="C338" s="121" t="s">
        <v>1573</v>
      </c>
      <c r="D338" s="121" t="s">
        <v>1707</v>
      </c>
      <c r="E338" s="133" t="s">
        <v>1708</v>
      </c>
      <c r="F338" s="121" t="str">
        <f>IFERROR(__xludf.DUMMYFUNCTION("TEXTJOIN("","",1,FILTER(A:A,E:E=E338))"),"CSBS")</f>
        <v>CSBS</v>
      </c>
    </row>
    <row r="339" ht="49.5" hidden="1" customHeight="1">
      <c r="A339" s="121" t="s">
        <v>111</v>
      </c>
      <c r="B339" s="121" t="s">
        <v>1612</v>
      </c>
      <c r="C339" s="121" t="s">
        <v>1573</v>
      </c>
      <c r="D339" s="121" t="s">
        <v>1824</v>
      </c>
      <c r="E339" s="133" t="s">
        <v>1825</v>
      </c>
      <c r="F339" s="121" t="str">
        <f>IFERROR(__xludf.DUMMYFUNCTION("TEXTJOIN("","",1,FILTER(A:A,E:E=E339))"),"CIVIL")</f>
        <v>CIVIL</v>
      </c>
    </row>
    <row r="340" ht="49.5" hidden="1" customHeight="1">
      <c r="A340" s="121" t="s">
        <v>111</v>
      </c>
      <c r="B340" s="121" t="s">
        <v>1612</v>
      </c>
      <c r="C340" s="121" t="s">
        <v>1573</v>
      </c>
      <c r="D340" s="121" t="s">
        <v>1820</v>
      </c>
      <c r="E340" s="133" t="s">
        <v>1821</v>
      </c>
      <c r="F340" s="121" t="str">
        <f>IFERROR(__xludf.DUMMYFUNCTION("TEXTJOIN("","",1,FILTER(A:A,E:E=E340))"),"CIVIL")</f>
        <v>CIVIL</v>
      </c>
    </row>
    <row r="341" ht="49.5" hidden="1" customHeight="1">
      <c r="A341" s="121" t="s">
        <v>27</v>
      </c>
      <c r="B341" s="121" t="s">
        <v>1612</v>
      </c>
      <c r="C341" s="121" t="s">
        <v>1623</v>
      </c>
      <c r="D341" s="121" t="s">
        <v>1816</v>
      </c>
      <c r="E341" s="133" t="s">
        <v>1817</v>
      </c>
      <c r="F341" s="121" t="str">
        <f>IFERROR(__xludf.DUMMYFUNCTION("TEXTJOIN("","",1,FILTER(A:A,E:E=E341))"),"EEE")</f>
        <v>EEE</v>
      </c>
    </row>
    <row r="342" ht="49.5" customHeight="1">
      <c r="A342" s="121" t="s">
        <v>46</v>
      </c>
      <c r="B342" s="121" t="s">
        <v>1612</v>
      </c>
      <c r="C342" s="121" t="s">
        <v>1621</v>
      </c>
      <c r="D342" s="121" t="s">
        <v>1888</v>
      </c>
      <c r="E342" s="133" t="s">
        <v>1889</v>
      </c>
      <c r="F342" s="121" t="str">
        <f>IFERROR(__xludf.DUMMYFUNCTION("TEXTJOIN("","",1,FILTER(A:A,E:E=E342))"),"MTRS")</f>
        <v>MTRS</v>
      </c>
    </row>
    <row r="343" ht="49.5" hidden="1" customHeight="1">
      <c r="A343" s="121" t="s">
        <v>24</v>
      </c>
      <c r="B343" s="121" t="s">
        <v>1596</v>
      </c>
      <c r="C343" s="121" t="s">
        <v>1573</v>
      </c>
      <c r="D343" s="121" t="s">
        <v>1705</v>
      </c>
      <c r="E343" s="133" t="s">
        <v>1706</v>
      </c>
      <c r="F343" s="121" t="str">
        <f>IFERROR(__xludf.DUMMYFUNCTION("TEXTJOIN("","",1,FILTER(A:A,E:E=E343))"),"CSBS")</f>
        <v>CSBS</v>
      </c>
    </row>
    <row r="344" ht="49.5" hidden="1" customHeight="1">
      <c r="A344" s="121" t="s">
        <v>4</v>
      </c>
      <c r="B344" s="121" t="s">
        <v>1612</v>
      </c>
      <c r="C344" s="121" t="s">
        <v>1573</v>
      </c>
      <c r="D344" s="121" t="s">
        <v>1660</v>
      </c>
      <c r="E344" s="133" t="s">
        <v>1661</v>
      </c>
      <c r="F344" s="121" t="str">
        <f>IFERROR(__xludf.DUMMYFUNCTION("TEXTJOIN("","",1,FILTER(A:A,E:E=E344))"),"AIDS,AIML")</f>
        <v>AIDS,AIML</v>
      </c>
    </row>
    <row r="345" ht="49.5" customHeight="1">
      <c r="A345" s="121" t="s">
        <v>9</v>
      </c>
      <c r="B345" s="121" t="s">
        <v>1612</v>
      </c>
      <c r="C345" s="121" t="s">
        <v>1573</v>
      </c>
      <c r="D345" s="121" t="s">
        <v>1676</v>
      </c>
      <c r="E345" s="133" t="s">
        <v>1661</v>
      </c>
      <c r="F345" s="121" t="str">
        <f>IFERROR(__xludf.DUMMYFUNCTION("TEXTJOIN("","",1,FILTER(A:A,E:E=E345))"),"AIDS,AIML")</f>
        <v>AIDS,AIML</v>
      </c>
    </row>
    <row r="346" ht="49.5" customHeight="1">
      <c r="A346" s="121" t="s">
        <v>4</v>
      </c>
      <c r="B346" s="121" t="s">
        <v>1596</v>
      </c>
      <c r="C346" s="121" t="s">
        <v>1573</v>
      </c>
      <c r="D346" s="121" t="s">
        <v>1654</v>
      </c>
      <c r="E346" s="133" t="s">
        <v>1655</v>
      </c>
      <c r="F346" s="121" t="str">
        <f>IFERROR(__xludf.DUMMYFUNCTION("TEXTJOIN("","",1,FILTER(A:A,E:E=E346))"),"AIDS,AIML,CSE,IT")</f>
        <v>AIDS,AIML,CSE,IT</v>
      </c>
    </row>
    <row r="347" ht="49.5" customHeight="1">
      <c r="A347" s="121" t="s">
        <v>9</v>
      </c>
      <c r="B347" s="121" t="s">
        <v>1596</v>
      </c>
      <c r="C347" s="121" t="s">
        <v>1573</v>
      </c>
      <c r="D347" s="121" t="s">
        <v>1673</v>
      </c>
      <c r="E347" s="133" t="s">
        <v>1655</v>
      </c>
      <c r="F347" s="121" t="str">
        <f>IFERROR(__xludf.DUMMYFUNCTION("TEXTJOIN("","",1,FILTER(A:A,E:E=E347))"),"AIDS,AIML,CSE,IT")</f>
        <v>AIDS,AIML,CSE,IT</v>
      </c>
    </row>
    <row r="348" ht="49.5" customHeight="1">
      <c r="A348" s="121" t="s">
        <v>18</v>
      </c>
      <c r="B348" s="121" t="s">
        <v>1596</v>
      </c>
      <c r="C348" s="121" t="s">
        <v>1573</v>
      </c>
      <c r="D348" s="121" t="s">
        <v>1732</v>
      </c>
      <c r="E348" s="133" t="s">
        <v>1655</v>
      </c>
      <c r="F348" s="121" t="str">
        <f>IFERROR(__xludf.DUMMYFUNCTION("TEXTJOIN("","",1,FILTER(A:A,E:E=E348))"),"AIDS,AIML,CSE,IT")</f>
        <v>AIDS,AIML,CSE,IT</v>
      </c>
    </row>
    <row r="349" ht="49.5" customHeight="1">
      <c r="A349" s="121" t="s">
        <v>40</v>
      </c>
      <c r="B349" s="121" t="s">
        <v>1596</v>
      </c>
      <c r="C349" s="121" t="s">
        <v>1573</v>
      </c>
      <c r="D349" s="121" t="s">
        <v>1902</v>
      </c>
      <c r="E349" s="133" t="s">
        <v>1655</v>
      </c>
      <c r="F349" s="121" t="str">
        <f>IFERROR(__xludf.DUMMYFUNCTION("TEXTJOIN("","",1,FILTER(A:A,E:E=E349))"),"AIDS,AIML,CSE,IT")</f>
        <v>AIDS,AIML,CSE,IT</v>
      </c>
    </row>
    <row r="350" ht="49.5" customHeight="1">
      <c r="A350" s="121" t="s">
        <v>4</v>
      </c>
      <c r="B350" s="121" t="s">
        <v>1596</v>
      </c>
      <c r="C350" s="121" t="s">
        <v>1573</v>
      </c>
      <c r="D350" s="121" t="s">
        <v>1648</v>
      </c>
      <c r="E350" s="133" t="s">
        <v>1649</v>
      </c>
      <c r="F350" s="121" t="str">
        <f>IFERROR(__xludf.DUMMYFUNCTION("TEXTJOIN("","",1,FILTER(A:A,E:E=E350))"),"AIDS,AIML,CSE,IT")</f>
        <v>AIDS,AIML,CSE,IT</v>
      </c>
    </row>
    <row r="351" ht="49.5" customHeight="1">
      <c r="A351" s="121" t="s">
        <v>9</v>
      </c>
      <c r="B351" s="121" t="s">
        <v>1596</v>
      </c>
      <c r="C351" s="121" t="s">
        <v>1573</v>
      </c>
      <c r="D351" s="121" t="s">
        <v>1670</v>
      </c>
      <c r="E351" s="133" t="s">
        <v>1649</v>
      </c>
      <c r="F351" s="121" t="str">
        <f>IFERROR(__xludf.DUMMYFUNCTION("TEXTJOIN("","",1,FILTER(A:A,E:E=E351))"),"AIDS,AIML,CSE,IT")</f>
        <v>AIDS,AIML,CSE,IT</v>
      </c>
    </row>
    <row r="352" ht="49.5" customHeight="1">
      <c r="A352" s="121" t="s">
        <v>18</v>
      </c>
      <c r="B352" s="121" t="s">
        <v>1596</v>
      </c>
      <c r="C352" s="121" t="s">
        <v>1573</v>
      </c>
      <c r="D352" s="121" t="s">
        <v>1729</v>
      </c>
      <c r="E352" s="133" t="s">
        <v>1649</v>
      </c>
      <c r="F352" s="121" t="str">
        <f>IFERROR(__xludf.DUMMYFUNCTION("TEXTJOIN("","",1,FILTER(A:A,E:E=E352))"),"AIDS,AIML,CSE,IT")</f>
        <v>AIDS,AIML,CSE,IT</v>
      </c>
    </row>
    <row r="353" ht="49.5" hidden="1" customHeight="1">
      <c r="A353" s="121" t="s">
        <v>40</v>
      </c>
      <c r="B353" s="121" t="s">
        <v>1596</v>
      </c>
      <c r="C353" s="121" t="s">
        <v>1573</v>
      </c>
      <c r="D353" s="121" t="s">
        <v>1899</v>
      </c>
      <c r="E353" s="133" t="s">
        <v>1649</v>
      </c>
      <c r="F353" s="121" t="str">
        <f>IFERROR(__xludf.DUMMYFUNCTION("TEXTJOIN("","",1,FILTER(A:A,E:E=E353))"),"AIDS,AIML,CSE,IT")</f>
        <v>AIDS,AIML,CSE,IT</v>
      </c>
    </row>
    <row r="354" ht="49.5" hidden="1" customHeight="1">
      <c r="A354" s="121" t="s">
        <v>18</v>
      </c>
      <c r="B354" s="121" t="s">
        <v>1745</v>
      </c>
      <c r="C354" s="121" t="s">
        <v>1607</v>
      </c>
      <c r="D354" s="121" t="s">
        <v>1752</v>
      </c>
      <c r="E354" s="133" t="s">
        <v>1753</v>
      </c>
      <c r="F354" s="121" t="str">
        <f>IFERROR(__xludf.DUMMYFUNCTION("TEXTJOIN("","",1,FILTER(A:A,E:E=E354))"),"CSE")</f>
        <v>CSE</v>
      </c>
    </row>
    <row r="355" ht="49.5" hidden="1" customHeight="1">
      <c r="A355" s="121" t="s">
        <v>40</v>
      </c>
      <c r="B355" s="121" t="s">
        <v>1612</v>
      </c>
      <c r="C355" s="121" t="s">
        <v>1573</v>
      </c>
      <c r="D355" s="121" t="s">
        <v>1903</v>
      </c>
      <c r="E355" s="133" t="s">
        <v>1904</v>
      </c>
      <c r="F355" s="121" t="str">
        <f>IFERROR(__xludf.DUMMYFUNCTION("TEXTJOIN("","",1,FILTER(A:A,E:E=E355))"),"IT")</f>
        <v>IT</v>
      </c>
    </row>
    <row r="356" ht="49.5" hidden="1" customHeight="1">
      <c r="A356" s="121" t="s">
        <v>209</v>
      </c>
      <c r="B356" s="121" t="s">
        <v>1612</v>
      </c>
      <c r="C356" s="121" t="s">
        <v>1623</v>
      </c>
      <c r="D356" s="121" t="s">
        <v>1838</v>
      </c>
      <c r="E356" s="133" t="s">
        <v>1839</v>
      </c>
      <c r="F356" s="121" t="str">
        <f>IFERROR(__xludf.DUMMYFUNCTION("TEXTJOIN("","",1,FILTER(A:A,E:E=E356))"),"ISE")</f>
        <v>ISE</v>
      </c>
    </row>
    <row r="357" ht="49.5" hidden="1" customHeight="1">
      <c r="A357" s="121" t="s">
        <v>40</v>
      </c>
      <c r="B357" s="121" t="s">
        <v>1612</v>
      </c>
      <c r="C357" s="121" t="s">
        <v>1681</v>
      </c>
      <c r="D357" s="121" t="s">
        <v>1907</v>
      </c>
      <c r="E357" s="133" t="s">
        <v>1908</v>
      </c>
      <c r="F357" s="121" t="str">
        <f>IFERROR(__xludf.DUMMYFUNCTION("TEXTJOIN("","",1,FILTER(A:A,E:E=E357))"),"IT")</f>
        <v>IT</v>
      </c>
    </row>
    <row r="358" ht="49.5" hidden="1" customHeight="1">
      <c r="A358" s="121" t="s">
        <v>9</v>
      </c>
      <c r="B358" s="121" t="s">
        <v>1612</v>
      </c>
      <c r="C358" s="121" t="s">
        <v>1623</v>
      </c>
      <c r="D358" s="121" t="s">
        <v>1679</v>
      </c>
      <c r="E358" s="133" t="s">
        <v>1680</v>
      </c>
      <c r="F358" s="121" t="str">
        <f>IFERROR(__xludf.DUMMYFUNCTION("TEXTJOIN("","",1,FILTER(A:A,E:E=E358))"),"AIML")</f>
        <v>AIML</v>
      </c>
    </row>
    <row r="359" ht="49.5" hidden="1" customHeight="1">
      <c r="A359" s="121" t="s">
        <v>151</v>
      </c>
      <c r="B359" s="121" t="s">
        <v>1612</v>
      </c>
      <c r="C359" s="121" t="s">
        <v>1619</v>
      </c>
      <c r="D359" s="121" t="s">
        <v>154</v>
      </c>
      <c r="E359" s="133" t="s">
        <v>155</v>
      </c>
      <c r="F359" s="121" t="str">
        <f>IFERROR(__xludf.DUMMYFUNCTION("TEXTJOIN("","",1,FILTER(A:A,E:E=E359))"),"CT,ISE,IT")</f>
        <v>CT,ISE,IT</v>
      </c>
    </row>
    <row r="360" ht="49.5" hidden="1" customHeight="1">
      <c r="A360" s="121" t="s">
        <v>209</v>
      </c>
      <c r="B360" s="121" t="s">
        <v>1612</v>
      </c>
      <c r="C360" s="121" t="s">
        <v>1619</v>
      </c>
      <c r="D360" s="121" t="s">
        <v>212</v>
      </c>
      <c r="E360" s="133" t="s">
        <v>155</v>
      </c>
      <c r="F360" s="121" t="str">
        <f>IFERROR(__xludf.DUMMYFUNCTION("TEXTJOIN("","",1,FILTER(A:A,E:E=E360))"),"CT,ISE,IT")</f>
        <v>CT,ISE,IT</v>
      </c>
    </row>
    <row r="361" ht="49.5" hidden="1" customHeight="1">
      <c r="A361" s="121" t="s">
        <v>40</v>
      </c>
      <c r="B361" s="121" t="s">
        <v>1612</v>
      </c>
      <c r="C361" s="121" t="s">
        <v>1619</v>
      </c>
      <c r="D361" s="121" t="s">
        <v>220</v>
      </c>
      <c r="E361" s="133" t="s">
        <v>155</v>
      </c>
      <c r="F361" s="121" t="str">
        <f>IFERROR(__xludf.DUMMYFUNCTION("TEXTJOIN("","",1,FILTER(A:A,E:E=E361))"),"CT,ISE,IT")</f>
        <v>CT,ISE,IT</v>
      </c>
    </row>
    <row r="362" ht="49.5" hidden="1" customHeight="1">
      <c r="A362" s="121" t="s">
        <v>1995</v>
      </c>
      <c r="B362" s="121" t="s">
        <v>1596</v>
      </c>
      <c r="C362" s="121" t="s">
        <v>2021</v>
      </c>
      <c r="D362" s="121" t="s">
        <v>2022</v>
      </c>
      <c r="E362" s="133" t="s">
        <v>2023</v>
      </c>
      <c r="F362" s="121" t="str">
        <f>IFERROR(__xludf.DUMMYFUNCTION("TEXTJOIN("","",1,FILTER(A:A,E:E=E362))"),"SMS")</f>
        <v>SMS</v>
      </c>
    </row>
    <row r="363" ht="49.5" hidden="1" customHeight="1">
      <c r="A363" s="121" t="s">
        <v>18</v>
      </c>
      <c r="B363" s="121" t="s">
        <v>1612</v>
      </c>
      <c r="C363" s="121" t="s">
        <v>1573</v>
      </c>
      <c r="D363" s="121" t="s">
        <v>1733</v>
      </c>
      <c r="E363" s="133" t="s">
        <v>1734</v>
      </c>
      <c r="F363" s="121" t="str">
        <f>IFERROR(__xludf.DUMMYFUNCTION("TEXTJOIN("","",1,FILTER(A:A,E:E=E363))"),"CSE")</f>
        <v>CSE</v>
      </c>
    </row>
    <row r="364" ht="49.5" customHeight="1">
      <c r="A364" s="121" t="s">
        <v>209</v>
      </c>
      <c r="B364" s="121" t="s">
        <v>1612</v>
      </c>
      <c r="C364" s="121" t="s">
        <v>1573</v>
      </c>
      <c r="D364" s="121" t="s">
        <v>1834</v>
      </c>
      <c r="E364" s="133" t="s">
        <v>1835</v>
      </c>
      <c r="F364" s="121" t="str">
        <f>IFERROR(__xludf.DUMMYFUNCTION("TEXTJOIN("","",1,FILTER(A:A,E:E=E364))"),"ISE")</f>
        <v>ISE</v>
      </c>
    </row>
    <row r="365" ht="49.5" hidden="1" customHeight="1">
      <c r="A365" s="121" t="s">
        <v>0</v>
      </c>
      <c r="B365" s="121" t="s">
        <v>1596</v>
      </c>
      <c r="C365" s="121" t="s">
        <v>1573</v>
      </c>
      <c r="D365" s="121" t="s">
        <v>1597</v>
      </c>
      <c r="E365" s="133" t="s">
        <v>1598</v>
      </c>
      <c r="F365" s="121" t="str">
        <f>IFERROR(__xludf.DUMMYFUNCTION("TEXTJOIN("","",1,FILTER(A:A,E:E=E365))"),"AGRI")</f>
        <v>AGRI</v>
      </c>
    </row>
    <row r="366" ht="49.5" hidden="1" customHeight="1">
      <c r="A366" s="121" t="s">
        <v>1560</v>
      </c>
      <c r="B366" s="121" t="s">
        <v>1561</v>
      </c>
      <c r="C366" s="121" t="s">
        <v>1562</v>
      </c>
      <c r="D366" s="121" t="s">
        <v>1563</v>
      </c>
      <c r="E366" s="133" t="s">
        <v>1564</v>
      </c>
      <c r="F366" s="121" t="str">
        <f>IFERROR(__xludf.DUMMYFUNCTION("TEXTJOIN("","",1,FILTER(A:A,E:E=E366))"),"Dept.")</f>
        <v>Dept.</v>
      </c>
    </row>
    <row r="367" ht="49.5" hidden="1" customHeight="1">
      <c r="A367" s="121" t="s">
        <v>111</v>
      </c>
      <c r="B367" s="121" t="s">
        <v>1612</v>
      </c>
      <c r="C367" s="121" t="s">
        <v>86</v>
      </c>
      <c r="D367" s="121" t="s">
        <v>114</v>
      </c>
      <c r="E367" s="133" t="s">
        <v>115</v>
      </c>
      <c r="F367" s="121" t="str">
        <f>IFERROR(__xludf.DUMMYFUNCTION("TEXTJOIN("","",1,FILTER(A:A,E:E=E367))"),"CIVIL")</f>
        <v>CIVIL</v>
      </c>
    </row>
    <row r="368" ht="49.5" hidden="1" customHeight="1">
      <c r="A368" s="121" t="s">
        <v>111</v>
      </c>
      <c r="B368" s="121" t="s">
        <v>1612</v>
      </c>
      <c r="C368" s="121" t="s">
        <v>1622</v>
      </c>
      <c r="D368" s="121" t="s">
        <v>112</v>
      </c>
      <c r="E368" s="133" t="s">
        <v>113</v>
      </c>
      <c r="F368" s="121" t="str">
        <f>IFERROR(__xludf.DUMMYFUNCTION("TEXTJOIN("","",1,FILTER(A:A,E:E=E368))"),"CIVIL")</f>
        <v>CIVIL</v>
      </c>
    </row>
    <row r="369" ht="49.5" hidden="1" customHeight="1">
      <c r="A369" s="121" t="s">
        <v>43</v>
      </c>
      <c r="B369" s="121" t="s">
        <v>1596</v>
      </c>
      <c r="C369" s="121" t="s">
        <v>1607</v>
      </c>
      <c r="D369" s="121" t="s">
        <v>44</v>
      </c>
      <c r="E369" s="133" t="s">
        <v>45</v>
      </c>
      <c r="F369" s="121" t="str">
        <f>IFERROR(__xludf.DUMMYFUNCTION("TEXTJOIN("","",1,FILTER(A:A,E:E=E369))"),"MECH")</f>
        <v>MECH</v>
      </c>
    </row>
    <row r="370" ht="49.5" hidden="1" customHeight="1">
      <c r="A370" s="121" t="s">
        <v>4</v>
      </c>
      <c r="B370" s="121" t="s">
        <v>1612</v>
      </c>
      <c r="C370" s="121" t="s">
        <v>1573</v>
      </c>
      <c r="D370" s="121" t="s">
        <v>1658</v>
      </c>
      <c r="E370" s="133" t="s">
        <v>1659</v>
      </c>
      <c r="F370" s="121" t="str">
        <f>IFERROR(__xludf.DUMMYFUNCTION("TEXTJOIN("","",1,FILTER(A:A,E:E=E370))"),"AIDS,AIML")</f>
        <v>AIDS,AIML</v>
      </c>
    </row>
    <row r="371" ht="49.5" hidden="1" customHeight="1">
      <c r="A371" s="121" t="s">
        <v>9</v>
      </c>
      <c r="B371" s="121" t="s">
        <v>1612</v>
      </c>
      <c r="C371" s="121" t="s">
        <v>1573</v>
      </c>
      <c r="D371" s="121" t="s">
        <v>1675</v>
      </c>
      <c r="E371" s="133" t="s">
        <v>1659</v>
      </c>
      <c r="F371" s="121" t="str">
        <f>IFERROR(__xludf.DUMMYFUNCTION("TEXTJOIN("","",1,FILTER(A:A,E:E=E371))"),"AIDS,AIML")</f>
        <v>AIDS,AIML</v>
      </c>
    </row>
    <row r="372" ht="49.5" hidden="1" customHeight="1">
      <c r="A372" s="121" t="s">
        <v>32</v>
      </c>
      <c r="B372" s="121" t="s">
        <v>1612</v>
      </c>
      <c r="C372" s="121" t="s">
        <v>1573</v>
      </c>
      <c r="D372" s="121" t="s">
        <v>1851</v>
      </c>
      <c r="E372" s="133" t="s">
        <v>1852</v>
      </c>
      <c r="F372" s="121" t="str">
        <f>IFERROR(__xludf.DUMMYFUNCTION("TEXTJOIN("","",1,FILTER(A:A,E:E=E372))"),"ECE")</f>
        <v>ECE</v>
      </c>
    </row>
    <row r="373" ht="49.5" hidden="1" customHeight="1">
      <c r="A373" s="121" t="s">
        <v>24</v>
      </c>
      <c r="B373" s="121" t="s">
        <v>1612</v>
      </c>
      <c r="C373" s="121" t="s">
        <v>1573</v>
      </c>
      <c r="D373" s="121" t="s">
        <v>1713</v>
      </c>
      <c r="E373" s="133" t="s">
        <v>1714</v>
      </c>
      <c r="F373" s="121" t="str">
        <f>IFERROR(__xludf.DUMMYFUNCTION("TEXTJOIN("","",1,FILTER(A:A,E:E=E373))"),"CSBS")</f>
        <v>CSBS</v>
      </c>
    </row>
    <row r="374" ht="49.5" hidden="1" customHeight="1">
      <c r="A374" s="121" t="s">
        <v>43</v>
      </c>
      <c r="B374" s="121" t="s">
        <v>1612</v>
      </c>
      <c r="C374" s="121" t="s">
        <v>1573</v>
      </c>
      <c r="D374" s="121" t="s">
        <v>1974</v>
      </c>
      <c r="E374" s="133" t="s">
        <v>1975</v>
      </c>
      <c r="F374" s="121" t="str">
        <f>IFERROR(__xludf.DUMMYFUNCTION("TEXTJOIN("","",1,FILTER(A:A,E:E=E374))"),"MECH")</f>
        <v>MECH</v>
      </c>
    </row>
    <row r="375" ht="49.5" hidden="1" customHeight="1">
      <c r="A375" s="121" t="s">
        <v>0</v>
      </c>
      <c r="B375" s="121" t="s">
        <v>1572</v>
      </c>
      <c r="C375" s="121" t="s">
        <v>1573</v>
      </c>
      <c r="D375" s="121" t="s">
        <v>1582</v>
      </c>
      <c r="E375" s="133" t="s">
        <v>1583</v>
      </c>
      <c r="F375" s="121" t="str">
        <f>IFERROR(__xludf.DUMMYFUNCTION("TEXTJOIN("","",1,FILTER(A:A,E:E=E375))"),"AGRI,AIDS,AIML,BT,CSE,EEE,ECE,EIE,IT,MECH,MTRS")</f>
        <v>AGRI,AIDS,AIML,BT,CSE,EEE,ECE,EIE,IT,MECH,MTRS</v>
      </c>
    </row>
    <row r="376" ht="49.5" hidden="1" customHeight="1">
      <c r="A376" s="121" t="s">
        <v>4</v>
      </c>
      <c r="B376" s="121" t="s">
        <v>1572</v>
      </c>
      <c r="C376" s="121" t="s">
        <v>1573</v>
      </c>
      <c r="D376" s="121" t="s">
        <v>1582</v>
      </c>
      <c r="E376" s="133" t="s">
        <v>1583</v>
      </c>
      <c r="F376" s="121" t="str">
        <f>IFERROR(__xludf.DUMMYFUNCTION("TEXTJOIN("","",1,FILTER(A:A,E:E=E376))"),"AGRI,AIDS,AIML,BT,CSE,EEE,ECE,EIE,IT,MECH,MTRS")</f>
        <v>AGRI,AIDS,AIML,BT,CSE,EEE,ECE,EIE,IT,MECH,MTRS</v>
      </c>
    </row>
    <row r="377" ht="49.5" hidden="1" customHeight="1">
      <c r="A377" s="121" t="s">
        <v>9</v>
      </c>
      <c r="B377" s="121" t="s">
        <v>1572</v>
      </c>
      <c r="C377" s="121" t="s">
        <v>1573</v>
      </c>
      <c r="D377" s="121" t="s">
        <v>1582</v>
      </c>
      <c r="E377" s="133" t="s">
        <v>1583</v>
      </c>
      <c r="F377" s="121" t="str">
        <f>IFERROR(__xludf.DUMMYFUNCTION("TEXTJOIN("","",1,FILTER(A:A,E:E=E377))"),"AGRI,AIDS,AIML,BT,CSE,EEE,ECE,EIE,IT,MECH,MTRS")</f>
        <v>AGRI,AIDS,AIML,BT,CSE,EEE,ECE,EIE,IT,MECH,MTRS</v>
      </c>
    </row>
    <row r="378" ht="49.5" hidden="1" customHeight="1">
      <c r="A378" s="121" t="s">
        <v>13</v>
      </c>
      <c r="B378" s="121" t="s">
        <v>1572</v>
      </c>
      <c r="C378" s="121" t="s">
        <v>1573</v>
      </c>
      <c r="D378" s="121" t="s">
        <v>1582</v>
      </c>
      <c r="E378" s="133" t="s">
        <v>1583</v>
      </c>
      <c r="F378" s="121" t="str">
        <f>IFERROR(__xludf.DUMMYFUNCTION("TEXTJOIN("","",1,FILTER(A:A,E:E=E378))"),"AGRI,AIDS,AIML,BT,CSE,EEE,ECE,EIE,IT,MECH,MTRS")</f>
        <v>AGRI,AIDS,AIML,BT,CSE,EEE,ECE,EIE,IT,MECH,MTRS</v>
      </c>
    </row>
    <row r="379" ht="49.5" hidden="1" customHeight="1">
      <c r="A379" s="121" t="s">
        <v>18</v>
      </c>
      <c r="B379" s="121" t="s">
        <v>1572</v>
      </c>
      <c r="C379" s="121" t="s">
        <v>1573</v>
      </c>
      <c r="D379" s="121" t="s">
        <v>1582</v>
      </c>
      <c r="E379" s="133" t="s">
        <v>1583</v>
      </c>
      <c r="F379" s="121" t="str">
        <f>IFERROR(__xludf.DUMMYFUNCTION("TEXTJOIN("","",1,FILTER(A:A,E:E=E379))"),"AGRI,AIDS,AIML,BT,CSE,EEE,ECE,EIE,IT,MECH,MTRS")</f>
        <v>AGRI,AIDS,AIML,BT,CSE,EEE,ECE,EIE,IT,MECH,MTRS</v>
      </c>
    </row>
    <row r="380" ht="49.5" hidden="1" customHeight="1">
      <c r="A380" s="121" t="s">
        <v>27</v>
      </c>
      <c r="B380" s="121" t="s">
        <v>1572</v>
      </c>
      <c r="C380" s="121" t="s">
        <v>1573</v>
      </c>
      <c r="D380" s="121" t="s">
        <v>1582</v>
      </c>
      <c r="E380" s="133" t="s">
        <v>1583</v>
      </c>
      <c r="F380" s="121" t="str">
        <f>IFERROR(__xludf.DUMMYFUNCTION("TEXTJOIN("","",1,FILTER(A:A,E:E=E380))"),"AGRI,AIDS,AIML,BT,CSE,EEE,ECE,EIE,IT,MECH,MTRS")</f>
        <v>AGRI,AIDS,AIML,BT,CSE,EEE,ECE,EIE,IT,MECH,MTRS</v>
      </c>
    </row>
    <row r="381" ht="49.5" hidden="1" customHeight="1">
      <c r="A381" s="121" t="s">
        <v>32</v>
      </c>
      <c r="B381" s="121" t="s">
        <v>1572</v>
      </c>
      <c r="C381" s="121" t="s">
        <v>1573</v>
      </c>
      <c r="D381" s="121" t="s">
        <v>1582</v>
      </c>
      <c r="E381" s="133" t="s">
        <v>1583</v>
      </c>
      <c r="F381" s="121" t="str">
        <f>IFERROR(__xludf.DUMMYFUNCTION("TEXTJOIN("","",1,FILTER(A:A,E:E=E381))"),"AGRI,AIDS,AIML,BT,CSE,EEE,ECE,EIE,IT,MECH,MTRS")</f>
        <v>AGRI,AIDS,AIML,BT,CSE,EEE,ECE,EIE,IT,MECH,MTRS</v>
      </c>
    </row>
    <row r="382" ht="49.5" hidden="1" customHeight="1">
      <c r="A382" s="121" t="s">
        <v>37</v>
      </c>
      <c r="B382" s="121" t="s">
        <v>1572</v>
      </c>
      <c r="C382" s="121" t="s">
        <v>1573</v>
      </c>
      <c r="D382" s="121" t="s">
        <v>1582</v>
      </c>
      <c r="E382" s="133" t="s">
        <v>1583</v>
      </c>
      <c r="F382" s="121" t="str">
        <f>IFERROR(__xludf.DUMMYFUNCTION("TEXTJOIN("","",1,FILTER(A:A,E:E=E382))"),"AGRI,AIDS,AIML,BT,CSE,EEE,ECE,EIE,IT,MECH,MTRS")</f>
        <v>AGRI,AIDS,AIML,BT,CSE,EEE,ECE,EIE,IT,MECH,MTRS</v>
      </c>
    </row>
    <row r="383" ht="49.5" hidden="1" customHeight="1">
      <c r="A383" s="121" t="s">
        <v>40</v>
      </c>
      <c r="B383" s="121" t="s">
        <v>1572</v>
      </c>
      <c r="C383" s="121" t="s">
        <v>1573</v>
      </c>
      <c r="D383" s="121" t="s">
        <v>1582</v>
      </c>
      <c r="E383" s="133" t="s">
        <v>1583</v>
      </c>
      <c r="F383" s="121" t="str">
        <f>IFERROR(__xludf.DUMMYFUNCTION("TEXTJOIN("","",1,FILTER(A:A,E:E=E383))"),"AGRI,AIDS,AIML,BT,CSE,EEE,ECE,EIE,IT,MECH,MTRS")</f>
        <v>AGRI,AIDS,AIML,BT,CSE,EEE,ECE,EIE,IT,MECH,MTRS</v>
      </c>
    </row>
    <row r="384" ht="49.5" hidden="1" customHeight="1">
      <c r="A384" s="121" t="s">
        <v>43</v>
      </c>
      <c r="B384" s="121" t="s">
        <v>1572</v>
      </c>
      <c r="C384" s="121" t="s">
        <v>1573</v>
      </c>
      <c r="D384" s="121" t="s">
        <v>1582</v>
      </c>
      <c r="E384" s="133" t="s">
        <v>1583</v>
      </c>
      <c r="F384" s="121" t="str">
        <f>IFERROR(__xludf.DUMMYFUNCTION("TEXTJOIN("","",1,FILTER(A:A,E:E=E384))"),"AGRI,AIDS,AIML,BT,CSE,EEE,ECE,EIE,IT,MECH,MTRS")</f>
        <v>AGRI,AIDS,AIML,BT,CSE,EEE,ECE,EIE,IT,MECH,MTRS</v>
      </c>
    </row>
    <row r="385" ht="49.5" hidden="1" customHeight="1">
      <c r="A385" s="121" t="s">
        <v>46</v>
      </c>
      <c r="B385" s="121" t="s">
        <v>1572</v>
      </c>
      <c r="C385" s="121" t="s">
        <v>1573</v>
      </c>
      <c r="D385" s="121" t="s">
        <v>1582</v>
      </c>
      <c r="E385" s="133" t="s">
        <v>1583</v>
      </c>
      <c r="F385" s="121" t="str">
        <f>IFERROR(__xludf.DUMMYFUNCTION("TEXTJOIN("","",1,FILTER(A:A,E:E=E385))"),"AGRI,AIDS,AIML,BT,CSE,EEE,ECE,EIE,IT,MECH,MTRS")</f>
        <v>AGRI,AIDS,AIML,BT,CSE,EEE,ECE,EIE,IT,MECH,MTRS</v>
      </c>
    </row>
    <row r="386" ht="49.5" hidden="1" customHeight="1">
      <c r="A386" s="121" t="s">
        <v>1995</v>
      </c>
      <c r="B386" s="121" t="s">
        <v>1572</v>
      </c>
      <c r="C386" s="121" t="s">
        <v>2013</v>
      </c>
      <c r="D386" s="121" t="s">
        <v>2014</v>
      </c>
      <c r="E386" s="133" t="s">
        <v>2015</v>
      </c>
      <c r="F386" s="121" t="str">
        <f>IFERROR(__xludf.DUMMYFUNCTION("TEXTJOIN("","",1,FILTER(A:A,E:E=E386))"),"SMS")</f>
        <v>SMS</v>
      </c>
    </row>
    <row r="387" ht="49.5" hidden="1" customHeight="1">
      <c r="A387" s="121" t="s">
        <v>1995</v>
      </c>
      <c r="B387" s="121" t="s">
        <v>1596</v>
      </c>
      <c r="C387" s="121" t="s">
        <v>2013</v>
      </c>
      <c r="D387" s="121" t="s">
        <v>2035</v>
      </c>
      <c r="E387" s="133" t="s">
        <v>2036</v>
      </c>
      <c r="F387" s="121" t="str">
        <f>IFERROR(__xludf.DUMMYFUNCTION("TEXTJOIN("","",1,FILTER(A:A,E:E=E387))"),"SMS")</f>
        <v>SMS</v>
      </c>
    </row>
    <row r="388" ht="49.5" hidden="1" customHeight="1">
      <c r="A388" s="121" t="s">
        <v>1995</v>
      </c>
      <c r="B388" s="121" t="s">
        <v>1572</v>
      </c>
      <c r="C388" s="121" t="s">
        <v>1632</v>
      </c>
      <c r="D388" s="121" t="s">
        <v>2008</v>
      </c>
      <c r="E388" s="133" t="s">
        <v>2009</v>
      </c>
      <c r="F388" s="121" t="str">
        <f>IFERROR(__xludf.DUMMYFUNCTION("TEXTJOIN("","",1,FILTER(A:A,E:E=E388))"),"SMS")</f>
        <v>SMS</v>
      </c>
    </row>
    <row r="389" ht="49.5" customHeight="1">
      <c r="A389" s="121" t="s">
        <v>0</v>
      </c>
      <c r="B389" s="121" t="s">
        <v>1572</v>
      </c>
      <c r="C389" s="121" t="s">
        <v>1593</v>
      </c>
      <c r="D389" s="121" t="s">
        <v>1594</v>
      </c>
      <c r="E389" s="133" t="s">
        <v>1595</v>
      </c>
      <c r="F389" s="121" t="str">
        <f>IFERROR(__xludf.DUMMYFUNCTION("TEXTJOIN("","",1,FILTER(A:A,E:E=E389))"),"AGRI")</f>
        <v>AGRI</v>
      </c>
    </row>
    <row r="390" ht="49.5" hidden="1" customHeight="1">
      <c r="A390" s="121" t="s">
        <v>37</v>
      </c>
      <c r="B390" s="121" t="s">
        <v>1596</v>
      </c>
      <c r="C390" s="121" t="s">
        <v>1573</v>
      </c>
      <c r="D390" s="121" t="s">
        <v>1918</v>
      </c>
      <c r="E390" s="133" t="s">
        <v>1919</v>
      </c>
      <c r="F390" s="121" t="str">
        <f>IFERROR(__xludf.DUMMYFUNCTION("TEXTJOIN("","",1,FILTER(A:A,E:E=E390))"),"EIE")</f>
        <v>EIE</v>
      </c>
    </row>
    <row r="391" ht="49.5" hidden="1" customHeight="1">
      <c r="A391" s="121" t="s">
        <v>0</v>
      </c>
      <c r="B391" s="121" t="s">
        <v>1612</v>
      </c>
      <c r="C391" s="121" t="s">
        <v>1623</v>
      </c>
      <c r="D391" s="121" t="s">
        <v>1626</v>
      </c>
      <c r="E391" s="133" t="s">
        <v>1627</v>
      </c>
      <c r="F391" s="121" t="str">
        <f>IFERROR(__xludf.DUMMYFUNCTION("TEXTJOIN("","",1,FILTER(A:A,E:E=E391))"),"AGRI")</f>
        <v>AGRI</v>
      </c>
    </row>
    <row r="392" ht="49.5" hidden="1" customHeight="1">
      <c r="A392" s="121" t="s">
        <v>13</v>
      </c>
      <c r="B392" s="121" t="s">
        <v>1572</v>
      </c>
      <c r="C392" s="121" t="s">
        <v>1573</v>
      </c>
      <c r="D392" s="121" t="s">
        <v>1591</v>
      </c>
      <c r="E392" s="133" t="s">
        <v>1726</v>
      </c>
      <c r="F392" s="121" t="str">
        <f>IFERROR(__xludf.DUMMYFUNCTION("TEXTJOIN("","",1,FILTER(A:A,E:E=E392))"),"BT,CSE,EEE,ECE,EIE,IT,MECH,MTRS")</f>
        <v>BT,CSE,EEE,ECE,EIE,IT,MECH,MTRS</v>
      </c>
    </row>
    <row r="393" ht="49.5" hidden="1" customHeight="1">
      <c r="A393" s="121" t="s">
        <v>18</v>
      </c>
      <c r="B393" s="121" t="s">
        <v>1572</v>
      </c>
      <c r="C393" s="121" t="s">
        <v>1573</v>
      </c>
      <c r="D393" s="121" t="s">
        <v>1591</v>
      </c>
      <c r="E393" s="133" t="s">
        <v>1726</v>
      </c>
      <c r="F393" s="121" t="str">
        <f>IFERROR(__xludf.DUMMYFUNCTION("TEXTJOIN("","",1,FILTER(A:A,E:E=E393))"),"BT,CSE,EEE,ECE,EIE,IT,MECH,MTRS")</f>
        <v>BT,CSE,EEE,ECE,EIE,IT,MECH,MTRS</v>
      </c>
    </row>
    <row r="394" ht="49.5" hidden="1" customHeight="1">
      <c r="A394" s="121" t="s">
        <v>27</v>
      </c>
      <c r="B394" s="121" t="s">
        <v>1572</v>
      </c>
      <c r="C394" s="121" t="s">
        <v>1573</v>
      </c>
      <c r="D394" s="121" t="s">
        <v>1591</v>
      </c>
      <c r="E394" s="133" t="s">
        <v>1726</v>
      </c>
      <c r="F394" s="121" t="str">
        <f>IFERROR(__xludf.DUMMYFUNCTION("TEXTJOIN("","",1,FILTER(A:A,E:E=E394))"),"BT,CSE,EEE,ECE,EIE,IT,MECH,MTRS")</f>
        <v>BT,CSE,EEE,ECE,EIE,IT,MECH,MTRS</v>
      </c>
    </row>
    <row r="395" ht="49.5" hidden="1" customHeight="1">
      <c r="A395" s="121" t="s">
        <v>32</v>
      </c>
      <c r="B395" s="121" t="s">
        <v>1572</v>
      </c>
      <c r="C395" s="121" t="s">
        <v>1573</v>
      </c>
      <c r="D395" s="121" t="s">
        <v>1591</v>
      </c>
      <c r="E395" s="133" t="s">
        <v>1726</v>
      </c>
      <c r="F395" s="121" t="str">
        <f>IFERROR(__xludf.DUMMYFUNCTION("TEXTJOIN("","",1,FILTER(A:A,E:E=E395))"),"BT,CSE,EEE,ECE,EIE,IT,MECH,MTRS")</f>
        <v>BT,CSE,EEE,ECE,EIE,IT,MECH,MTRS</v>
      </c>
    </row>
    <row r="396" ht="49.5" hidden="1" customHeight="1">
      <c r="A396" s="121" t="s">
        <v>37</v>
      </c>
      <c r="B396" s="121" t="s">
        <v>1572</v>
      </c>
      <c r="C396" s="121" t="s">
        <v>1573</v>
      </c>
      <c r="D396" s="121" t="s">
        <v>1591</v>
      </c>
      <c r="E396" s="133" t="s">
        <v>1726</v>
      </c>
      <c r="F396" s="121" t="str">
        <f>IFERROR(__xludf.DUMMYFUNCTION("TEXTJOIN("","",1,FILTER(A:A,E:E=E396))"),"BT,CSE,EEE,ECE,EIE,IT,MECH,MTRS")</f>
        <v>BT,CSE,EEE,ECE,EIE,IT,MECH,MTRS</v>
      </c>
    </row>
    <row r="397" ht="49.5" hidden="1" customHeight="1">
      <c r="A397" s="121" t="s">
        <v>40</v>
      </c>
      <c r="B397" s="121" t="s">
        <v>1572</v>
      </c>
      <c r="C397" s="121" t="s">
        <v>1573</v>
      </c>
      <c r="D397" s="121" t="s">
        <v>1591</v>
      </c>
      <c r="E397" s="133" t="s">
        <v>1726</v>
      </c>
      <c r="F397" s="121" t="str">
        <f>IFERROR(__xludf.DUMMYFUNCTION("TEXTJOIN("","",1,FILTER(A:A,E:E=E397))"),"BT,CSE,EEE,ECE,EIE,IT,MECH,MTRS")</f>
        <v>BT,CSE,EEE,ECE,EIE,IT,MECH,MTRS</v>
      </c>
    </row>
    <row r="398" ht="49.5" hidden="1" customHeight="1">
      <c r="A398" s="121" t="s">
        <v>43</v>
      </c>
      <c r="B398" s="121" t="s">
        <v>1572</v>
      </c>
      <c r="C398" s="121" t="s">
        <v>1573</v>
      </c>
      <c r="D398" s="121" t="s">
        <v>1591</v>
      </c>
      <c r="E398" s="133" t="s">
        <v>1726</v>
      </c>
      <c r="F398" s="121" t="str">
        <f>IFERROR(__xludf.DUMMYFUNCTION("TEXTJOIN("","",1,FILTER(A:A,E:E=E398))"),"BT,CSE,EEE,ECE,EIE,IT,MECH,MTRS")</f>
        <v>BT,CSE,EEE,ECE,EIE,IT,MECH,MTRS</v>
      </c>
    </row>
    <row r="399" ht="49.5" hidden="1" customHeight="1">
      <c r="A399" s="121" t="s">
        <v>46</v>
      </c>
      <c r="B399" s="121" t="s">
        <v>1572</v>
      </c>
      <c r="C399" s="121" t="s">
        <v>1573</v>
      </c>
      <c r="D399" s="121" t="s">
        <v>1591</v>
      </c>
      <c r="E399" s="133" t="s">
        <v>1726</v>
      </c>
      <c r="F399" s="121" t="str">
        <f>IFERROR(__xludf.DUMMYFUNCTION("TEXTJOIN("","",1,FILTER(A:A,E:E=E399))"),"BT,CSE,EEE,ECE,EIE,IT,MECH,MTRS")</f>
        <v>BT,CSE,EEE,ECE,EIE,IT,MECH,MTRS</v>
      </c>
    </row>
    <row r="400" ht="49.5" hidden="1" customHeight="1">
      <c r="A400" s="121" t="s">
        <v>0</v>
      </c>
      <c r="B400" s="121" t="s">
        <v>1572</v>
      </c>
      <c r="C400" s="121" t="s">
        <v>1573</v>
      </c>
      <c r="D400" s="121" t="s">
        <v>1591</v>
      </c>
      <c r="E400" s="133" t="s">
        <v>1592</v>
      </c>
      <c r="F400" s="121" t="str">
        <f>IFERROR(__xludf.DUMMYFUNCTION("TEXTJOIN("","",1,FILTER(A:A,E:E=E400))"),"AGRI")</f>
        <v>AGRI</v>
      </c>
    </row>
    <row r="401" ht="49.5" hidden="1" customHeight="1">
      <c r="A401" s="121" t="s">
        <v>4</v>
      </c>
      <c r="B401" s="121" t="s">
        <v>1572</v>
      </c>
      <c r="C401" s="121" t="s">
        <v>1573</v>
      </c>
      <c r="D401" s="121" t="s">
        <v>1591</v>
      </c>
      <c r="E401" s="133" t="s">
        <v>1645</v>
      </c>
      <c r="F401" s="121" t="str">
        <f>IFERROR(__xludf.DUMMYFUNCTION("TEXTJOIN("","",1,FILTER(A:A,E:E=E401))"),"AIDS,AIML")</f>
        <v>AIDS,AIML</v>
      </c>
    </row>
    <row r="402" ht="49.5" hidden="1" customHeight="1">
      <c r="A402" s="121" t="s">
        <v>9</v>
      </c>
      <c r="B402" s="121" t="s">
        <v>1572</v>
      </c>
      <c r="C402" s="121" t="s">
        <v>1573</v>
      </c>
      <c r="D402" s="121" t="s">
        <v>1591</v>
      </c>
      <c r="E402" s="133" t="s">
        <v>1645</v>
      </c>
      <c r="F402" s="121" t="str">
        <f>IFERROR(__xludf.DUMMYFUNCTION("TEXTJOIN("","",1,FILTER(A:A,E:E=E402))"),"AIDS,AIML")</f>
        <v>AIDS,AIML</v>
      </c>
    </row>
    <row r="403" ht="49.5" customHeight="1">
      <c r="A403" s="121" t="s">
        <v>46</v>
      </c>
      <c r="B403" s="121" t="s">
        <v>1612</v>
      </c>
      <c r="C403" s="121" t="s">
        <v>1619</v>
      </c>
      <c r="D403" s="121" t="s">
        <v>248</v>
      </c>
      <c r="E403" s="133" t="s">
        <v>249</v>
      </c>
      <c r="F403" s="121" t="str">
        <f>IFERROR(__xludf.DUMMYFUNCTION("TEXTJOIN("","",1,FILTER(A:A,E:E=E403))"),"MTRS")</f>
        <v>MTRS</v>
      </c>
    </row>
    <row r="404" ht="49.5" hidden="1" customHeight="1">
      <c r="A404" s="121" t="s">
        <v>32</v>
      </c>
      <c r="B404" s="121" t="s">
        <v>1596</v>
      </c>
      <c r="C404" s="121" t="s">
        <v>1573</v>
      </c>
      <c r="D404" s="121" t="s">
        <v>1848</v>
      </c>
      <c r="E404" s="133" t="s">
        <v>1849</v>
      </c>
      <c r="F404" s="121" t="str">
        <f>IFERROR(__xludf.DUMMYFUNCTION("TEXTJOIN("","",1,FILTER(A:A,E:E=E404))"),"ECE")</f>
        <v>ECE</v>
      </c>
    </row>
    <row r="405" ht="49.5" hidden="1" customHeight="1">
      <c r="A405" s="121" t="s">
        <v>4</v>
      </c>
      <c r="B405" s="121" t="s">
        <v>1612</v>
      </c>
      <c r="C405" s="121" t="s">
        <v>1623</v>
      </c>
      <c r="D405" s="121" t="s">
        <v>1662</v>
      </c>
      <c r="E405" s="133" t="s">
        <v>1663</v>
      </c>
      <c r="F405" s="121" t="str">
        <f>IFERROR(__xludf.DUMMYFUNCTION("TEXTJOIN("","",1,FILTER(A:A,E:E=E405))"),"AIDS")</f>
        <v>AIDS</v>
      </c>
    </row>
    <row r="406" ht="49.5" hidden="1" customHeight="1">
      <c r="A406" s="121" t="s">
        <v>143</v>
      </c>
      <c r="B406" s="121" t="s">
        <v>1612</v>
      </c>
      <c r="C406" s="121" t="s">
        <v>1621</v>
      </c>
      <c r="D406" s="121" t="s">
        <v>149</v>
      </c>
      <c r="E406" s="133" t="s">
        <v>150</v>
      </c>
      <c r="F406" s="121" t="str">
        <f>IFERROR(__xludf.DUMMYFUNCTION("TEXTJOIN("","",1,FILTER(A:A,E:E=E406))"),"CSD")</f>
        <v>CSD</v>
      </c>
    </row>
    <row r="407" ht="49.5" hidden="1" customHeight="1">
      <c r="A407" s="121" t="s">
        <v>18</v>
      </c>
      <c r="B407" s="121" t="s">
        <v>1745</v>
      </c>
      <c r="C407" s="121" t="s">
        <v>1573</v>
      </c>
      <c r="D407" s="121" t="s">
        <v>1750</v>
      </c>
      <c r="E407" s="133" t="s">
        <v>1751</v>
      </c>
      <c r="F407" s="121" t="str">
        <f>IFERROR(__xludf.DUMMYFUNCTION("TEXTJOIN("","",1,FILTER(A:A,E:E=E407))"),"CSE")</f>
        <v>CSE</v>
      </c>
    </row>
    <row r="408" ht="49.5" hidden="1" customHeight="1">
      <c r="A408" s="121" t="s">
        <v>18</v>
      </c>
      <c r="B408" s="121" t="s">
        <v>1612</v>
      </c>
      <c r="C408" s="121" t="s">
        <v>1573</v>
      </c>
      <c r="D408" s="121" t="s">
        <v>1737</v>
      </c>
      <c r="E408" s="133" t="s">
        <v>1738</v>
      </c>
      <c r="F408" s="121" t="str">
        <f>IFERROR(__xludf.DUMMYFUNCTION("TEXTJOIN("","",1,FILTER(A:A,E:E=E408))"),"CSE,CT,IT")</f>
        <v>CSE,CT,IT</v>
      </c>
    </row>
    <row r="409" ht="49.5" hidden="1" customHeight="1">
      <c r="A409" s="121" t="s">
        <v>151</v>
      </c>
      <c r="B409" s="121" t="s">
        <v>1612</v>
      </c>
      <c r="C409" s="121" t="s">
        <v>1573</v>
      </c>
      <c r="D409" s="121" t="s">
        <v>1868</v>
      </c>
      <c r="E409" s="133" t="s">
        <v>1738</v>
      </c>
      <c r="F409" s="121" t="str">
        <f>IFERROR(__xludf.DUMMYFUNCTION("TEXTJOIN("","",1,FILTER(A:A,E:E=E409))"),"CSE,CT,IT")</f>
        <v>CSE,CT,IT</v>
      </c>
    </row>
    <row r="410" ht="49.5" hidden="1" customHeight="1">
      <c r="A410" s="121" t="s">
        <v>40</v>
      </c>
      <c r="B410" s="121" t="s">
        <v>1612</v>
      </c>
      <c r="C410" s="121" t="s">
        <v>1573</v>
      </c>
      <c r="D410" s="121" t="s">
        <v>1906</v>
      </c>
      <c r="E410" s="133" t="s">
        <v>1738</v>
      </c>
      <c r="F410" s="121" t="str">
        <f>IFERROR(__xludf.DUMMYFUNCTION("TEXTJOIN("","",1,FILTER(A:A,E:E=E410))"),"CSE,CT,IT")</f>
        <v>CSE,CT,IT</v>
      </c>
    </row>
    <row r="411" ht="49.5" hidden="1" customHeight="1">
      <c r="A411" s="121" t="s">
        <v>4</v>
      </c>
      <c r="B411" s="121" t="s">
        <v>1612</v>
      </c>
      <c r="C411" s="121" t="s">
        <v>1623</v>
      </c>
      <c r="D411" s="121" t="s">
        <v>1664</v>
      </c>
      <c r="E411" s="133" t="s">
        <v>1665</v>
      </c>
      <c r="F411" s="121" t="str">
        <f>IFERROR(__xludf.DUMMYFUNCTION("TEXTJOIN("","",1,FILTER(A:A,E:E=E411))"),"AIDS")</f>
        <v>AIDS</v>
      </c>
    </row>
    <row r="412" ht="49.5" customHeight="1">
      <c r="A412" s="121" t="s">
        <v>13</v>
      </c>
      <c r="B412" s="121" t="s">
        <v>1612</v>
      </c>
      <c r="C412" s="121" t="s">
        <v>1619</v>
      </c>
      <c r="D412" s="121" t="s">
        <v>101</v>
      </c>
      <c r="E412" s="133" t="s">
        <v>102</v>
      </c>
      <c r="F412" s="121" t="str">
        <f>IFERROR(__xludf.DUMMYFUNCTION("TEXTJOIN("","",1,FILTER(A:A,E:E=E412))"),"BT")</f>
        <v>BT</v>
      </c>
    </row>
    <row r="413" ht="49.5" hidden="1" customHeight="1">
      <c r="A413" s="121" t="s">
        <v>13</v>
      </c>
      <c r="B413" s="121" t="s">
        <v>1596</v>
      </c>
      <c r="C413" s="121" t="s">
        <v>1573</v>
      </c>
      <c r="D413" s="121" t="s">
        <v>1768</v>
      </c>
      <c r="E413" s="133" t="s">
        <v>1769</v>
      </c>
      <c r="F413" s="121" t="str">
        <f>IFERROR(__xludf.DUMMYFUNCTION("TEXTJOIN("","",1,FILTER(A:A,E:E=E413))"),"BT")</f>
        <v>BT</v>
      </c>
    </row>
    <row r="414" ht="49.5" hidden="1" customHeight="1">
      <c r="A414" s="121" t="s">
        <v>9</v>
      </c>
      <c r="B414" s="121" t="s">
        <v>1612</v>
      </c>
      <c r="C414" s="121" t="s">
        <v>1681</v>
      </c>
      <c r="D414" s="121" t="s">
        <v>1682</v>
      </c>
      <c r="E414" s="133" t="s">
        <v>1683</v>
      </c>
      <c r="F414" s="121" t="str">
        <f>IFERROR(__xludf.DUMMYFUNCTION("TEXTJOIN("","",1,FILTER(A:A,E:E=E414))"),"AIML")</f>
        <v>AIML</v>
      </c>
    </row>
    <row r="415" ht="49.5" hidden="1" customHeight="1">
      <c r="A415" s="121" t="s">
        <v>9</v>
      </c>
      <c r="B415" s="121" t="s">
        <v>1612</v>
      </c>
      <c r="C415" s="121" t="s">
        <v>1621</v>
      </c>
      <c r="D415" s="121" t="s">
        <v>81</v>
      </c>
      <c r="E415" s="133" t="s">
        <v>82</v>
      </c>
      <c r="F415" s="121" t="str">
        <f>IFERROR(__xludf.DUMMYFUNCTION("TEXTJOIN("","",1,FILTER(A:A,E:E=E415))"),"AIML,ISE")</f>
        <v>AIML,ISE</v>
      </c>
    </row>
    <row r="416" ht="49.5" hidden="1" customHeight="1">
      <c r="A416" s="121" t="s">
        <v>209</v>
      </c>
      <c r="B416" s="121" t="s">
        <v>1612</v>
      </c>
      <c r="C416" s="121" t="s">
        <v>1621</v>
      </c>
      <c r="D416" s="121" t="s">
        <v>215</v>
      </c>
      <c r="E416" s="133" t="s">
        <v>82</v>
      </c>
      <c r="F416" s="121" t="str">
        <f>IFERROR(__xludf.DUMMYFUNCTION("TEXTJOIN("","",1,FILTER(A:A,E:E=E416))"),"AIML,ISE")</f>
        <v>AIML,ISE</v>
      </c>
    </row>
    <row r="417" ht="49.5" hidden="1" customHeight="1">
      <c r="A417" s="121" t="s">
        <v>1995</v>
      </c>
      <c r="B417" s="121" t="s">
        <v>1572</v>
      </c>
      <c r="C417" s="121" t="s">
        <v>1573</v>
      </c>
      <c r="D417" s="121" t="s">
        <v>2004</v>
      </c>
      <c r="E417" s="133" t="s">
        <v>2005</v>
      </c>
      <c r="F417" s="121" t="str">
        <f>IFERROR(__xludf.DUMMYFUNCTION("TEXTJOIN("","",1,FILTER(A:A,E:E=E417))"),"SMS")</f>
        <v>SMS</v>
      </c>
    </row>
    <row r="418" ht="49.5" hidden="1" customHeight="1">
      <c r="A418" s="121" t="s">
        <v>4</v>
      </c>
      <c r="B418" s="121" t="s">
        <v>1612</v>
      </c>
      <c r="C418" s="121" t="s">
        <v>1621</v>
      </c>
      <c r="D418" s="121" t="s">
        <v>71</v>
      </c>
      <c r="E418" s="133" t="s">
        <v>72</v>
      </c>
      <c r="F418" s="121" t="str">
        <f>IFERROR(__xludf.DUMMYFUNCTION("TEXTJOIN("","",1,FILTER(A:A,E:E=E418))"),"AIDS,CSE,CT")</f>
        <v>AIDS,CSE,CT</v>
      </c>
    </row>
    <row r="419" ht="49.5" hidden="1" customHeight="1">
      <c r="A419" s="121" t="s">
        <v>18</v>
      </c>
      <c r="B419" s="121" t="s">
        <v>1612</v>
      </c>
      <c r="C419" s="121" t="s">
        <v>1621</v>
      </c>
      <c r="D419" s="121" t="s">
        <v>134</v>
      </c>
      <c r="E419" s="133" t="s">
        <v>72</v>
      </c>
      <c r="F419" s="121" t="str">
        <f>IFERROR(__xludf.DUMMYFUNCTION("TEXTJOIN("","",1,FILTER(A:A,E:E=E419))"),"AIDS,CSE,CT")</f>
        <v>AIDS,CSE,CT</v>
      </c>
    </row>
    <row r="420" ht="49.5" hidden="1" customHeight="1">
      <c r="A420" s="121" t="s">
        <v>151</v>
      </c>
      <c r="B420" s="121" t="s">
        <v>1612</v>
      </c>
      <c r="C420" s="121" t="s">
        <v>1621</v>
      </c>
      <c r="D420" s="121" t="s">
        <v>157</v>
      </c>
      <c r="E420" s="133" t="s">
        <v>72</v>
      </c>
      <c r="F420" s="121" t="str">
        <f>IFERROR(__xludf.DUMMYFUNCTION("TEXTJOIN("","",1,FILTER(A:A,E:E=E420))"),"AIDS,CSE,CT")</f>
        <v>AIDS,CSE,CT</v>
      </c>
    </row>
    <row r="421" ht="49.5" hidden="1" customHeight="1">
      <c r="A421" s="121" t="s">
        <v>37</v>
      </c>
      <c r="B421" s="121" t="s">
        <v>1612</v>
      </c>
      <c r="C421" s="121" t="s">
        <v>1622</v>
      </c>
      <c r="D421" s="121" t="s">
        <v>183</v>
      </c>
      <c r="E421" s="133" t="s">
        <v>184</v>
      </c>
      <c r="F421" s="121" t="str">
        <f>IFERROR(__xludf.DUMMYFUNCTION("TEXTJOIN("","",1,FILTER(A:A,E:E=E421))"),"EIE")</f>
        <v>EIE</v>
      </c>
    </row>
    <row r="422" ht="49.5" hidden="1" customHeight="1">
      <c r="A422" s="121" t="s">
        <v>1995</v>
      </c>
      <c r="B422" s="121" t="s">
        <v>1596</v>
      </c>
      <c r="C422" s="121" t="s">
        <v>1621</v>
      </c>
      <c r="D422" s="121" t="s">
        <v>2019</v>
      </c>
      <c r="E422" s="133" t="s">
        <v>2020</v>
      </c>
      <c r="F422" s="121" t="str">
        <f>IFERROR(__xludf.DUMMYFUNCTION("TEXTJOIN("","",1,FILTER(A:A,E:E=E422))"),"SMS")</f>
        <v>SMS</v>
      </c>
    </row>
    <row r="423" ht="49.5" hidden="1" customHeight="1">
      <c r="A423" s="121" t="s">
        <v>13</v>
      </c>
      <c r="B423" s="121" t="s">
        <v>1612</v>
      </c>
      <c r="C423" s="121" t="s">
        <v>1623</v>
      </c>
      <c r="D423" s="121" t="s">
        <v>1783</v>
      </c>
      <c r="E423" s="133" t="s">
        <v>1784</v>
      </c>
      <c r="F423" s="121" t="str">
        <f>IFERROR(__xludf.DUMMYFUNCTION("TEXTJOIN("","",1,FILTER(A:A,E:E=E423))"),"BT")</f>
        <v>BT</v>
      </c>
    </row>
    <row r="424" ht="49.5" hidden="1" customHeight="1">
      <c r="A424" s="121" t="s">
        <v>13</v>
      </c>
      <c r="B424" s="121" t="s">
        <v>1612</v>
      </c>
      <c r="C424" s="121" t="s">
        <v>1622</v>
      </c>
      <c r="D424" s="121" t="s">
        <v>95</v>
      </c>
      <c r="E424" s="133" t="s">
        <v>96</v>
      </c>
      <c r="F424" s="121" t="str">
        <f>IFERROR(__xludf.DUMMYFUNCTION("TEXTJOIN("","",1,FILTER(A:A,E:E=E424))"),"BT")</f>
        <v>BT</v>
      </c>
    </row>
    <row r="425" ht="49.5" customHeight="1">
      <c r="A425" s="121" t="s">
        <v>13</v>
      </c>
      <c r="B425" s="121" t="s">
        <v>1612</v>
      </c>
      <c r="C425" s="121" t="s">
        <v>1620</v>
      </c>
      <c r="D425" s="121" t="s">
        <v>103</v>
      </c>
      <c r="E425" s="133" t="s">
        <v>104</v>
      </c>
      <c r="F425" s="121" t="str">
        <f>IFERROR(__xludf.DUMMYFUNCTION("TEXTJOIN("","",1,FILTER(A:A,E:E=E425))"),"BT")</f>
        <v>BT</v>
      </c>
    </row>
    <row r="426" ht="49.5" hidden="1" customHeight="1">
      <c r="A426" s="121" t="s">
        <v>13</v>
      </c>
      <c r="B426" s="121" t="s">
        <v>1596</v>
      </c>
      <c r="C426" s="121" t="s">
        <v>1573</v>
      </c>
      <c r="D426" s="121" t="s">
        <v>1765</v>
      </c>
      <c r="E426" s="133" t="s">
        <v>1766</v>
      </c>
      <c r="F426" s="121" t="str">
        <f>IFERROR(__xludf.DUMMYFUNCTION("TEXTJOIN("","",1,FILTER(A:A,E:E=E426))"),"BT")</f>
        <v>BT</v>
      </c>
    </row>
    <row r="427" ht="49.5" hidden="1" customHeight="1">
      <c r="A427" s="121" t="s">
        <v>83</v>
      </c>
      <c r="B427" s="121" t="s">
        <v>1612</v>
      </c>
      <c r="C427" s="121" t="s">
        <v>1573</v>
      </c>
      <c r="D427" s="121" t="s">
        <v>1691</v>
      </c>
      <c r="E427" s="133" t="s">
        <v>1692</v>
      </c>
      <c r="F427" s="121" t="str">
        <f>IFERROR(__xludf.DUMMYFUNCTION("TEXTJOIN("","",1,FILTER(A:A,E:E=E427))"),"BME")</f>
        <v>BME</v>
      </c>
    </row>
    <row r="428" ht="49.5" hidden="1" customHeight="1">
      <c r="A428" s="121" t="s">
        <v>13</v>
      </c>
      <c r="B428" s="121" t="s">
        <v>1612</v>
      </c>
      <c r="C428" s="121" t="s">
        <v>86</v>
      </c>
      <c r="D428" s="121" t="s">
        <v>97</v>
      </c>
      <c r="E428" s="133" t="s">
        <v>98</v>
      </c>
      <c r="F428" s="121" t="str">
        <f>IFERROR(__xludf.DUMMYFUNCTION("TEXTJOIN("","",1,FILTER(A:A,E:E=E428))"),"BT")</f>
        <v>BT</v>
      </c>
    </row>
    <row r="429" ht="49.5" hidden="1" customHeight="1">
      <c r="A429" s="121" t="s">
        <v>13</v>
      </c>
      <c r="B429" s="121" t="s">
        <v>1612</v>
      </c>
      <c r="C429" s="121" t="s">
        <v>1620</v>
      </c>
      <c r="D429" s="121" t="s">
        <v>105</v>
      </c>
      <c r="E429" s="133" t="s">
        <v>106</v>
      </c>
      <c r="F429" s="121" t="str">
        <f>IFERROR(__xludf.DUMMYFUNCTION("TEXTJOIN("","",1,FILTER(A:A,E:E=E429))"),"BT")</f>
        <v>BT</v>
      </c>
    </row>
    <row r="430" ht="49.5" hidden="1" customHeight="1">
      <c r="A430" s="121" t="s">
        <v>13</v>
      </c>
      <c r="B430" s="121" t="s">
        <v>1596</v>
      </c>
      <c r="C430" s="121" t="s">
        <v>1607</v>
      </c>
      <c r="D430" s="121" t="s">
        <v>14</v>
      </c>
      <c r="E430" s="133" t="s">
        <v>15</v>
      </c>
      <c r="F430" s="121" t="str">
        <f>IFERROR(__xludf.DUMMYFUNCTION("TEXTJOIN("","",1,FILTER(A:A,E:E=E430))"),"BT")</f>
        <v>BT</v>
      </c>
    </row>
    <row r="431" ht="49.5" hidden="1" customHeight="1">
      <c r="A431" s="121" t="s">
        <v>18</v>
      </c>
      <c r="B431" s="121" t="s">
        <v>1612</v>
      </c>
      <c r="C431" s="121" t="s">
        <v>1623</v>
      </c>
      <c r="D431" s="121" t="s">
        <v>1739</v>
      </c>
      <c r="E431" s="133" t="s">
        <v>1740</v>
      </c>
      <c r="F431" s="121" t="str">
        <f>IFERROR(__xludf.DUMMYFUNCTION("TEXTJOIN("","",1,FILTER(A:A,E:E=E431))"),"CSE")</f>
        <v>CSE</v>
      </c>
    </row>
    <row r="432" ht="49.5" hidden="1" customHeight="1">
      <c r="A432" s="121" t="s">
        <v>0</v>
      </c>
      <c r="B432" s="121" t="s">
        <v>1572</v>
      </c>
      <c r="C432" s="121" t="s">
        <v>1573</v>
      </c>
      <c r="D432" s="121" t="s">
        <v>1584</v>
      </c>
      <c r="E432" s="133" t="s">
        <v>1585</v>
      </c>
      <c r="F432" s="121" t="str">
        <f>IFERROR(__xludf.DUMMYFUNCTION("TEXTJOIN("","",1,FILTER(A:A,E:E=E432))"),"AGRI,BT,EEE,ECE,EIE,MECH,MTRS")</f>
        <v>AGRI,BT,EEE,ECE,EIE,MECH,MTRS</v>
      </c>
    </row>
    <row r="433" ht="49.5" hidden="1" customHeight="1">
      <c r="A433" s="121" t="s">
        <v>13</v>
      </c>
      <c r="B433" s="121" t="s">
        <v>1572</v>
      </c>
      <c r="C433" s="121" t="s">
        <v>1573</v>
      </c>
      <c r="D433" s="121" t="s">
        <v>1584</v>
      </c>
      <c r="E433" s="133" t="s">
        <v>1585</v>
      </c>
      <c r="F433" s="121" t="str">
        <f>IFERROR(__xludf.DUMMYFUNCTION("TEXTJOIN("","",1,FILTER(A:A,E:E=E433))"),"AGRI,BT,EEE,ECE,EIE,MECH,MTRS")</f>
        <v>AGRI,BT,EEE,ECE,EIE,MECH,MTRS</v>
      </c>
    </row>
    <row r="434" ht="49.5" hidden="1" customHeight="1">
      <c r="A434" s="121" t="s">
        <v>27</v>
      </c>
      <c r="B434" s="121" t="s">
        <v>1572</v>
      </c>
      <c r="C434" s="121" t="s">
        <v>1573</v>
      </c>
      <c r="D434" s="121" t="s">
        <v>1584</v>
      </c>
      <c r="E434" s="133" t="s">
        <v>1585</v>
      </c>
      <c r="F434" s="121" t="str">
        <f>IFERROR(__xludf.DUMMYFUNCTION("TEXTJOIN("","",1,FILTER(A:A,E:E=E434))"),"AGRI,BT,EEE,ECE,EIE,MECH,MTRS")</f>
        <v>AGRI,BT,EEE,ECE,EIE,MECH,MTRS</v>
      </c>
    </row>
    <row r="435" ht="49.5" hidden="1" customHeight="1">
      <c r="A435" s="121" t="s">
        <v>32</v>
      </c>
      <c r="B435" s="121" t="s">
        <v>1572</v>
      </c>
      <c r="C435" s="121" t="s">
        <v>1573</v>
      </c>
      <c r="D435" s="121" t="s">
        <v>1584</v>
      </c>
      <c r="E435" s="133" t="s">
        <v>1585</v>
      </c>
      <c r="F435" s="121" t="str">
        <f>IFERROR(__xludf.DUMMYFUNCTION("TEXTJOIN("","",1,FILTER(A:A,E:E=E435))"),"AGRI,BT,EEE,ECE,EIE,MECH,MTRS")</f>
        <v>AGRI,BT,EEE,ECE,EIE,MECH,MTRS</v>
      </c>
    </row>
    <row r="436" ht="49.5" hidden="1" customHeight="1">
      <c r="A436" s="121" t="s">
        <v>37</v>
      </c>
      <c r="B436" s="121" t="s">
        <v>1572</v>
      </c>
      <c r="C436" s="121" t="s">
        <v>1573</v>
      </c>
      <c r="D436" s="121" t="s">
        <v>1584</v>
      </c>
      <c r="E436" s="133" t="s">
        <v>1585</v>
      </c>
      <c r="F436" s="121" t="str">
        <f>IFERROR(__xludf.DUMMYFUNCTION("TEXTJOIN("","",1,FILTER(A:A,E:E=E436))"),"AGRI,BT,EEE,ECE,EIE,MECH,MTRS")</f>
        <v>AGRI,BT,EEE,ECE,EIE,MECH,MTRS</v>
      </c>
    </row>
    <row r="437" ht="49.5" hidden="1" customHeight="1">
      <c r="A437" s="121" t="s">
        <v>43</v>
      </c>
      <c r="B437" s="121" t="s">
        <v>1572</v>
      </c>
      <c r="C437" s="121" t="s">
        <v>1573</v>
      </c>
      <c r="D437" s="121" t="s">
        <v>1584</v>
      </c>
      <c r="E437" s="133" t="s">
        <v>1585</v>
      </c>
      <c r="F437" s="121" t="str">
        <f>IFERROR(__xludf.DUMMYFUNCTION("TEXTJOIN("","",1,FILTER(A:A,E:E=E437))"),"AGRI,BT,EEE,ECE,EIE,MECH,MTRS")</f>
        <v>AGRI,BT,EEE,ECE,EIE,MECH,MTRS</v>
      </c>
    </row>
    <row r="438" ht="49.5" hidden="1" customHeight="1">
      <c r="A438" s="121" t="s">
        <v>46</v>
      </c>
      <c r="B438" s="121" t="s">
        <v>1572</v>
      </c>
      <c r="C438" s="121" t="s">
        <v>1573</v>
      </c>
      <c r="D438" s="121" t="s">
        <v>1584</v>
      </c>
      <c r="E438" s="133" t="s">
        <v>1585</v>
      </c>
      <c r="F438" s="121" t="str">
        <f>IFERROR(__xludf.DUMMYFUNCTION("TEXTJOIN("","",1,FILTER(A:A,E:E=E438))"),"AGRI,BT,EEE,ECE,EIE,MECH,MTRS")</f>
        <v>AGRI,BT,EEE,ECE,EIE,MECH,MTRS</v>
      </c>
    </row>
    <row r="439" ht="49.5" hidden="1" customHeight="1">
      <c r="A439" s="121" t="s">
        <v>4</v>
      </c>
      <c r="B439" s="121" t="s">
        <v>1572</v>
      </c>
      <c r="C439" s="121" t="s">
        <v>1573</v>
      </c>
      <c r="D439" s="121" t="s">
        <v>1636</v>
      </c>
      <c r="E439" s="133" t="s">
        <v>1637</v>
      </c>
      <c r="F439" s="121" t="str">
        <f>IFERROR(__xludf.DUMMYFUNCTION("TEXTJOIN("","",1,FILTER(A:A,E:E=E439))"),"AIDS,AIML,CSE,IT")</f>
        <v>AIDS,AIML,CSE,IT</v>
      </c>
    </row>
    <row r="440" ht="49.5" hidden="1" customHeight="1">
      <c r="A440" s="121" t="s">
        <v>9</v>
      </c>
      <c r="B440" s="121" t="s">
        <v>1572</v>
      </c>
      <c r="C440" s="121" t="s">
        <v>1573</v>
      </c>
      <c r="D440" s="121" t="s">
        <v>1636</v>
      </c>
      <c r="E440" s="133" t="s">
        <v>1637</v>
      </c>
      <c r="F440" s="121" t="str">
        <f>IFERROR(__xludf.DUMMYFUNCTION("TEXTJOIN("","",1,FILTER(A:A,E:E=E440))"),"AIDS,AIML,CSE,IT")</f>
        <v>AIDS,AIML,CSE,IT</v>
      </c>
    </row>
    <row r="441" ht="49.5" hidden="1" customHeight="1">
      <c r="A441" s="121" t="s">
        <v>18</v>
      </c>
      <c r="B441" s="121" t="s">
        <v>1572</v>
      </c>
      <c r="C441" s="121" t="s">
        <v>1573</v>
      </c>
      <c r="D441" s="121" t="s">
        <v>1636</v>
      </c>
      <c r="E441" s="133" t="s">
        <v>1637</v>
      </c>
      <c r="F441" s="121" t="str">
        <f>IFERROR(__xludf.DUMMYFUNCTION("TEXTJOIN("","",1,FILTER(A:A,E:E=E441))"),"AIDS,AIML,CSE,IT")</f>
        <v>AIDS,AIML,CSE,IT</v>
      </c>
    </row>
    <row r="442" ht="49.5" hidden="1" customHeight="1">
      <c r="A442" s="121" t="s">
        <v>40</v>
      </c>
      <c r="B442" s="121" t="s">
        <v>1572</v>
      </c>
      <c r="C442" s="121" t="s">
        <v>1573</v>
      </c>
      <c r="D442" s="121" t="s">
        <v>1636</v>
      </c>
      <c r="E442" s="133" t="s">
        <v>1637</v>
      </c>
      <c r="F442" s="121" t="str">
        <f>IFERROR(__xludf.DUMMYFUNCTION("TEXTJOIN("","",1,FILTER(A:A,E:E=E442))"),"AIDS,AIML,CSE,IT")</f>
        <v>AIDS,AIML,CSE,IT</v>
      </c>
    </row>
    <row r="443" ht="49.5" hidden="1" customHeight="1">
      <c r="A443" s="121" t="s">
        <v>1995</v>
      </c>
      <c r="B443" s="121" t="s">
        <v>1596</v>
      </c>
      <c r="C443" s="121" t="s">
        <v>2024</v>
      </c>
      <c r="D443" s="121" t="s">
        <v>2025</v>
      </c>
      <c r="E443" s="133" t="s">
        <v>2026</v>
      </c>
      <c r="F443" s="121" t="str">
        <f>IFERROR(__xludf.DUMMYFUNCTION("TEXTJOIN("","",1,FILTER(A:A,E:E=E443))"),"SMS")</f>
        <v>SMS</v>
      </c>
    </row>
    <row r="444" ht="49.5" hidden="1" customHeight="1">
      <c r="A444" s="121" t="s">
        <v>32</v>
      </c>
      <c r="B444" s="121" t="s">
        <v>1612</v>
      </c>
      <c r="C444" s="121" t="s">
        <v>1619</v>
      </c>
      <c r="D444" s="121" t="s">
        <v>172</v>
      </c>
      <c r="E444" s="133" t="s">
        <v>173</v>
      </c>
      <c r="F444" s="121" t="str">
        <f>IFERROR(__xludf.DUMMYFUNCTION("TEXTJOIN("","",1,FILTER(A:A,E:E=E444))"),"ECE")</f>
        <v>ECE</v>
      </c>
    </row>
    <row r="445" ht="49.5" hidden="1" customHeight="1">
      <c r="A445" s="121" t="s">
        <v>32</v>
      </c>
      <c r="B445" s="121" t="s">
        <v>1612</v>
      </c>
      <c r="C445" s="121" t="s">
        <v>1619</v>
      </c>
      <c r="D445" s="121" t="s">
        <v>174</v>
      </c>
      <c r="E445" s="133" t="s">
        <v>175</v>
      </c>
      <c r="F445" s="121" t="str">
        <f>IFERROR(__xludf.DUMMYFUNCTION("TEXTJOIN("","",1,FILTER(A:A,E:E=E445))"),"ECE")</f>
        <v>ECE</v>
      </c>
    </row>
    <row r="446" ht="49.5" hidden="1" customHeight="1">
      <c r="A446" s="121" t="s">
        <v>83</v>
      </c>
      <c r="B446" s="121" t="s">
        <v>1612</v>
      </c>
      <c r="C446" s="121" t="s">
        <v>1573</v>
      </c>
      <c r="D446" s="121" t="s">
        <v>1693</v>
      </c>
      <c r="E446" s="133" t="s">
        <v>1694</v>
      </c>
      <c r="F446" s="121" t="str">
        <f>IFERROR(__xludf.DUMMYFUNCTION("TEXTJOIN("","",1,FILTER(A:A,E:E=E446))"),"BME,ECE,EIE")</f>
        <v>BME,ECE,EIE</v>
      </c>
    </row>
    <row r="447" ht="49.5" hidden="1" customHeight="1">
      <c r="A447" s="121" t="s">
        <v>32</v>
      </c>
      <c r="B447" s="121" t="s">
        <v>1612</v>
      </c>
      <c r="C447" s="121" t="s">
        <v>1573</v>
      </c>
      <c r="D447" s="121" t="s">
        <v>1855</v>
      </c>
      <c r="E447" s="133" t="s">
        <v>1694</v>
      </c>
      <c r="F447" s="121" t="str">
        <f>IFERROR(__xludf.DUMMYFUNCTION("TEXTJOIN("","",1,FILTER(A:A,E:E=E447))"),"BME,ECE,EIE")</f>
        <v>BME,ECE,EIE</v>
      </c>
    </row>
    <row r="448" ht="49.5" hidden="1" customHeight="1">
      <c r="A448" s="121" t="s">
        <v>37</v>
      </c>
      <c r="B448" s="121" t="s">
        <v>1612</v>
      </c>
      <c r="C448" s="121" t="s">
        <v>1573</v>
      </c>
      <c r="D448" s="121" t="s">
        <v>1924</v>
      </c>
      <c r="E448" s="133" t="s">
        <v>1694</v>
      </c>
      <c r="F448" s="121" t="str">
        <f>IFERROR(__xludf.DUMMYFUNCTION("TEXTJOIN("","",1,FILTER(A:A,E:E=E448))"),"BME,ECE,EIE")</f>
        <v>BME,ECE,EIE</v>
      </c>
    </row>
    <row r="449" ht="49.5" hidden="1" customHeight="1">
      <c r="A449" s="121" t="s">
        <v>24</v>
      </c>
      <c r="B449" s="121" t="s">
        <v>1612</v>
      </c>
      <c r="C449" s="121" t="s">
        <v>1573</v>
      </c>
      <c r="D449" s="121" t="s">
        <v>1717</v>
      </c>
      <c r="E449" s="133" t="s">
        <v>1718</v>
      </c>
      <c r="F449" s="121" t="str">
        <f>IFERROR(__xludf.DUMMYFUNCTION("TEXTJOIN("","",1,FILTER(A:A,E:E=E449))"),"CSBS")</f>
        <v>CSBS</v>
      </c>
    </row>
    <row r="450" ht="49.5" customHeight="1">
      <c r="A450" s="121" t="s">
        <v>4</v>
      </c>
      <c r="B450" s="121" t="s">
        <v>1596</v>
      </c>
      <c r="C450" s="121" t="s">
        <v>1573</v>
      </c>
      <c r="D450" s="121" t="s">
        <v>1646</v>
      </c>
      <c r="E450" s="133" t="s">
        <v>1647</v>
      </c>
      <c r="F450" s="121" t="str">
        <f>IFERROR(__xludf.DUMMYFUNCTION("TEXTJOIN("","",1,FILTER(A:A,E:E=E450))"),"AIDS,AIML")</f>
        <v>AIDS,AIML</v>
      </c>
    </row>
    <row r="451" ht="49.5" customHeight="1">
      <c r="A451" s="121" t="s">
        <v>9</v>
      </c>
      <c r="B451" s="121" t="s">
        <v>1596</v>
      </c>
      <c r="C451" s="121" t="s">
        <v>1573</v>
      </c>
      <c r="D451" s="121" t="s">
        <v>1669</v>
      </c>
      <c r="E451" s="133" t="s">
        <v>1647</v>
      </c>
      <c r="F451" s="121" t="str">
        <f>IFERROR(__xludf.DUMMYFUNCTION("TEXTJOIN("","",1,FILTER(A:A,E:E=E451))"),"AIDS,AIML")</f>
        <v>AIDS,AIML</v>
      </c>
    </row>
    <row r="452" ht="49.5" hidden="1" customHeight="1">
      <c r="A452" s="121" t="s">
        <v>193</v>
      </c>
      <c r="B452" s="121" t="s">
        <v>1612</v>
      </c>
      <c r="C452" s="121" t="s">
        <v>1573</v>
      </c>
      <c r="D452" s="121" t="s">
        <v>1982</v>
      </c>
      <c r="E452" s="133" t="s">
        <v>1983</v>
      </c>
      <c r="F452" s="121" t="str">
        <f>IFERROR(__xludf.DUMMYFUNCTION("TEXTJOIN("","",1,FILTER(A:A,E:E=E452))"),"FT")</f>
        <v>FT</v>
      </c>
    </row>
    <row r="453" ht="49.5" hidden="1" customHeight="1">
      <c r="A453" s="121" t="s">
        <v>13</v>
      </c>
      <c r="B453" s="121" t="s">
        <v>1612</v>
      </c>
      <c r="C453" s="121" t="s">
        <v>1623</v>
      </c>
      <c r="D453" s="121" t="s">
        <v>1781</v>
      </c>
      <c r="E453" s="133" t="s">
        <v>1782</v>
      </c>
      <c r="F453" s="121" t="str">
        <f>IFERROR(__xludf.DUMMYFUNCTION("TEXTJOIN("","",1,FILTER(A:A,E:E=E453))"),"BT")</f>
        <v>BT</v>
      </c>
    </row>
    <row r="454" ht="49.5" hidden="1" customHeight="1">
      <c r="A454" s="121" t="s">
        <v>37</v>
      </c>
      <c r="B454" s="121" t="s">
        <v>1596</v>
      </c>
      <c r="C454" s="121" t="s">
        <v>1607</v>
      </c>
      <c r="D454" s="121" t="s">
        <v>38</v>
      </c>
      <c r="E454" s="133" t="s">
        <v>39</v>
      </c>
      <c r="F454" s="121" t="str">
        <f>IFERROR(__xludf.DUMMYFUNCTION("TEXTJOIN("","",1,FILTER(A:A,E:E=E454))"),"EIE")</f>
        <v>EIE</v>
      </c>
    </row>
    <row r="455" ht="49.5" customHeight="1">
      <c r="A455" s="121" t="s">
        <v>37</v>
      </c>
      <c r="B455" s="121" t="s">
        <v>1596</v>
      </c>
      <c r="C455" s="121" t="s">
        <v>1573</v>
      </c>
      <c r="D455" s="121" t="s">
        <v>1916</v>
      </c>
      <c r="E455" s="133" t="s">
        <v>1917</v>
      </c>
      <c r="F455" s="121" t="str">
        <f>IFERROR(__xludf.DUMMYFUNCTION("TEXTJOIN("","",1,FILTER(A:A,E:E=E455))"),"EIE")</f>
        <v>EIE</v>
      </c>
    </row>
    <row r="456" ht="49.5" customHeight="1">
      <c r="A456" s="121" t="s">
        <v>32</v>
      </c>
      <c r="B456" s="121" t="s">
        <v>1596</v>
      </c>
      <c r="C456" s="121" t="s">
        <v>1573</v>
      </c>
      <c r="D456" s="121" t="s">
        <v>1844</v>
      </c>
      <c r="E456" s="133" t="s">
        <v>1845</v>
      </c>
      <c r="F456" s="121" t="str">
        <f>IFERROR(__xludf.DUMMYFUNCTION("TEXTJOIN("","",1,FILTER(A:A,E:E=E456))"),"ECE")</f>
        <v>ECE</v>
      </c>
    </row>
    <row r="457" ht="49.5" hidden="1" customHeight="1">
      <c r="A457" s="121" t="s">
        <v>18</v>
      </c>
      <c r="B457" s="121" t="s">
        <v>1596</v>
      </c>
      <c r="C457" s="121" t="s">
        <v>1607</v>
      </c>
      <c r="D457" s="121" t="s">
        <v>20</v>
      </c>
      <c r="E457" s="133" t="s">
        <v>21</v>
      </c>
      <c r="F457" s="121" t="str">
        <f>IFERROR(__xludf.DUMMYFUNCTION("TEXTJOIN("","",1,FILTER(A:A,E:E=E457))"),"CSE,IT")</f>
        <v>CSE,IT</v>
      </c>
    </row>
    <row r="458" ht="49.5" hidden="1" customHeight="1">
      <c r="A458" s="121" t="s">
        <v>40</v>
      </c>
      <c r="B458" s="121" t="s">
        <v>1596</v>
      </c>
      <c r="C458" s="121" t="s">
        <v>1607</v>
      </c>
      <c r="D458" s="121" t="s">
        <v>41</v>
      </c>
      <c r="E458" s="133" t="s">
        <v>21</v>
      </c>
      <c r="F458" s="121" t="str">
        <f>IFERROR(__xludf.DUMMYFUNCTION("TEXTJOIN("","",1,FILTER(A:A,E:E=E458))"),"CSE,IT")</f>
        <v>CSE,IT</v>
      </c>
    </row>
    <row r="459" ht="49.5" hidden="1" customHeight="1">
      <c r="A459" s="121" t="s">
        <v>18</v>
      </c>
      <c r="B459" s="121" t="s">
        <v>1745</v>
      </c>
      <c r="C459" s="121" t="s">
        <v>1573</v>
      </c>
      <c r="D459" s="121" t="s">
        <v>1748</v>
      </c>
      <c r="E459" s="133" t="s">
        <v>1749</v>
      </c>
      <c r="F459" s="121" t="str">
        <f>IFERROR(__xludf.DUMMYFUNCTION("TEXTJOIN("","",1,FILTER(A:A,E:E=E459))"),"CSE")</f>
        <v>CSE</v>
      </c>
    </row>
    <row r="460" ht="49.5" hidden="1" customHeight="1">
      <c r="A460" s="121" t="s">
        <v>32</v>
      </c>
      <c r="B460" s="121" t="s">
        <v>1596</v>
      </c>
      <c r="C460" s="121" t="s">
        <v>1607</v>
      </c>
      <c r="D460" s="121" t="s">
        <v>33</v>
      </c>
      <c r="E460" s="133" t="s">
        <v>34</v>
      </c>
      <c r="F460" s="121" t="str">
        <f>IFERROR(__xludf.DUMMYFUNCTION("TEXTJOIN("","",1,FILTER(A:A,E:E=E460))"),"ECE")</f>
        <v>ECE</v>
      </c>
    </row>
    <row r="461" ht="49.5" hidden="1" customHeight="1">
      <c r="A461" s="121" t="s">
        <v>27</v>
      </c>
      <c r="B461" s="121" t="s">
        <v>1596</v>
      </c>
      <c r="C461" s="121" t="s">
        <v>1607</v>
      </c>
      <c r="D461" s="121" t="s">
        <v>28</v>
      </c>
      <c r="E461" s="133" t="s">
        <v>29</v>
      </c>
      <c r="F461" s="121" t="str">
        <f>IFERROR(__xludf.DUMMYFUNCTION("TEXTJOIN("","",1,FILTER(A:A,E:E=E461))"),"EEE")</f>
        <v>EEE</v>
      </c>
    </row>
    <row r="462" ht="49.5" hidden="1" customHeight="1">
      <c r="A462" s="121" t="s">
        <v>83</v>
      </c>
      <c r="B462" s="121" t="s">
        <v>1612</v>
      </c>
      <c r="C462" s="121" t="s">
        <v>1619</v>
      </c>
      <c r="D462" s="121" t="s">
        <v>89</v>
      </c>
      <c r="E462" s="133" t="s">
        <v>90</v>
      </c>
      <c r="F462" s="121" t="str">
        <f>IFERROR(__xludf.DUMMYFUNCTION("TEXTJOIN("","",1,FILTER(A:A,E:E=E462))"),"BME")</f>
        <v>BME</v>
      </c>
    </row>
    <row r="463" ht="49.5" customHeight="1">
      <c r="A463" s="121" t="s">
        <v>0</v>
      </c>
      <c r="B463" s="121" t="s">
        <v>1596</v>
      </c>
      <c r="C463" s="121" t="s">
        <v>1573</v>
      </c>
      <c r="D463" s="121" t="s">
        <v>1610</v>
      </c>
      <c r="E463" s="133" t="s">
        <v>1611</v>
      </c>
      <c r="F463" s="121" t="str">
        <f>IFERROR(__xludf.DUMMYFUNCTION("TEXTJOIN("","",1,FILTER(A:A,E:E=E463))"),"AGRI,AIDS,AIML,BT,CSE,EEE,ECE,EIE,IT,MECH,MTRS")</f>
        <v>AGRI,AIDS,AIML,BT,CSE,EEE,ECE,EIE,IT,MECH,MTRS</v>
      </c>
    </row>
    <row r="464" ht="49.5" customHeight="1">
      <c r="A464" s="121" t="s">
        <v>4</v>
      </c>
      <c r="B464" s="121" t="s">
        <v>1596</v>
      </c>
      <c r="C464" s="121" t="s">
        <v>1573</v>
      </c>
      <c r="D464" s="121" t="s">
        <v>1610</v>
      </c>
      <c r="E464" s="133" t="s">
        <v>1611</v>
      </c>
      <c r="F464" s="121" t="str">
        <f>IFERROR(__xludf.DUMMYFUNCTION("TEXTJOIN("","",1,FILTER(A:A,E:E=E464))"),"AGRI,AIDS,AIML,BT,CSE,EEE,ECE,EIE,IT,MECH,MTRS")</f>
        <v>AGRI,AIDS,AIML,BT,CSE,EEE,ECE,EIE,IT,MECH,MTRS</v>
      </c>
    </row>
    <row r="465" ht="49.5" customHeight="1">
      <c r="A465" s="121" t="s">
        <v>9</v>
      </c>
      <c r="B465" s="121" t="s">
        <v>1596</v>
      </c>
      <c r="C465" s="121" t="s">
        <v>1573</v>
      </c>
      <c r="D465" s="121" t="s">
        <v>1610</v>
      </c>
      <c r="E465" s="133" t="s">
        <v>1611</v>
      </c>
      <c r="F465" s="121" t="str">
        <f>IFERROR(__xludf.DUMMYFUNCTION("TEXTJOIN("","",1,FILTER(A:A,E:E=E465))"),"AGRI,AIDS,AIML,BT,CSE,EEE,ECE,EIE,IT,MECH,MTRS")</f>
        <v>AGRI,AIDS,AIML,BT,CSE,EEE,ECE,EIE,IT,MECH,MTRS</v>
      </c>
    </row>
    <row r="466" ht="49.5" customHeight="1">
      <c r="A466" s="121" t="s">
        <v>13</v>
      </c>
      <c r="B466" s="121" t="s">
        <v>1596</v>
      </c>
      <c r="C466" s="121" t="s">
        <v>1573</v>
      </c>
      <c r="D466" s="121" t="s">
        <v>1610</v>
      </c>
      <c r="E466" s="133" t="s">
        <v>1611</v>
      </c>
      <c r="F466" s="121" t="str">
        <f>IFERROR(__xludf.DUMMYFUNCTION("TEXTJOIN("","",1,FILTER(A:A,E:E=E466))"),"AGRI,AIDS,AIML,BT,CSE,EEE,ECE,EIE,IT,MECH,MTRS")</f>
        <v>AGRI,AIDS,AIML,BT,CSE,EEE,ECE,EIE,IT,MECH,MTRS</v>
      </c>
    </row>
    <row r="467" ht="49.5" customHeight="1">
      <c r="A467" s="121" t="s">
        <v>18</v>
      </c>
      <c r="B467" s="121" t="s">
        <v>1596</v>
      </c>
      <c r="C467" s="121" t="s">
        <v>1573</v>
      </c>
      <c r="D467" s="121" t="s">
        <v>1610</v>
      </c>
      <c r="E467" s="133" t="s">
        <v>1611</v>
      </c>
      <c r="F467" s="121" t="str">
        <f>IFERROR(__xludf.DUMMYFUNCTION("TEXTJOIN("","",1,FILTER(A:A,E:E=E467))"),"AGRI,AIDS,AIML,BT,CSE,EEE,ECE,EIE,IT,MECH,MTRS")</f>
        <v>AGRI,AIDS,AIML,BT,CSE,EEE,ECE,EIE,IT,MECH,MTRS</v>
      </c>
    </row>
    <row r="468" ht="49.5" hidden="1" customHeight="1">
      <c r="A468" s="121" t="s">
        <v>27</v>
      </c>
      <c r="B468" s="121" t="s">
        <v>1596</v>
      </c>
      <c r="C468" s="121" t="s">
        <v>1588</v>
      </c>
      <c r="D468" s="121" t="s">
        <v>1610</v>
      </c>
      <c r="E468" s="133" t="s">
        <v>1611</v>
      </c>
      <c r="F468" s="121" t="str">
        <f>IFERROR(__xludf.DUMMYFUNCTION("TEXTJOIN("","",1,FILTER(A:A,E:E=E468))"),"AGRI,AIDS,AIML,BT,CSE,EEE,ECE,EIE,IT,MECH,MTRS")</f>
        <v>AGRI,AIDS,AIML,BT,CSE,EEE,ECE,EIE,IT,MECH,MTRS</v>
      </c>
    </row>
    <row r="469" ht="49.5" customHeight="1">
      <c r="A469" s="121" t="s">
        <v>32</v>
      </c>
      <c r="B469" s="121" t="s">
        <v>1596</v>
      </c>
      <c r="C469" s="121" t="s">
        <v>1573</v>
      </c>
      <c r="D469" s="121" t="s">
        <v>1610</v>
      </c>
      <c r="E469" s="133" t="s">
        <v>1611</v>
      </c>
      <c r="F469" s="121" t="str">
        <f>IFERROR(__xludf.DUMMYFUNCTION("TEXTJOIN("","",1,FILTER(A:A,E:E=E469))"),"AGRI,AIDS,AIML,BT,CSE,EEE,ECE,EIE,IT,MECH,MTRS")</f>
        <v>AGRI,AIDS,AIML,BT,CSE,EEE,ECE,EIE,IT,MECH,MTRS</v>
      </c>
    </row>
    <row r="470" ht="49.5" customHeight="1">
      <c r="A470" s="121" t="s">
        <v>37</v>
      </c>
      <c r="B470" s="121" t="s">
        <v>1596</v>
      </c>
      <c r="C470" s="121" t="s">
        <v>1573</v>
      </c>
      <c r="D470" s="121" t="s">
        <v>1610</v>
      </c>
      <c r="E470" s="133" t="s">
        <v>1611</v>
      </c>
      <c r="F470" s="121" t="str">
        <f>IFERROR(__xludf.DUMMYFUNCTION("TEXTJOIN("","",1,FILTER(A:A,E:E=E470))"),"AGRI,AIDS,AIML,BT,CSE,EEE,ECE,EIE,IT,MECH,MTRS")</f>
        <v>AGRI,AIDS,AIML,BT,CSE,EEE,ECE,EIE,IT,MECH,MTRS</v>
      </c>
    </row>
    <row r="471" ht="49.5" hidden="1" customHeight="1">
      <c r="A471" s="121" t="s">
        <v>40</v>
      </c>
      <c r="B471" s="121" t="s">
        <v>1596</v>
      </c>
      <c r="C471" s="121" t="s">
        <v>1588</v>
      </c>
      <c r="D471" s="121" t="s">
        <v>1610</v>
      </c>
      <c r="E471" s="133" t="s">
        <v>1611</v>
      </c>
      <c r="F471" s="121" t="str">
        <f>IFERROR(__xludf.DUMMYFUNCTION("TEXTJOIN("","",1,FILTER(A:A,E:E=E471))"),"AGRI,AIDS,AIML,BT,CSE,EEE,ECE,EIE,IT,MECH,MTRS")</f>
        <v>AGRI,AIDS,AIML,BT,CSE,EEE,ECE,EIE,IT,MECH,MTRS</v>
      </c>
    </row>
    <row r="472" ht="49.5" customHeight="1">
      <c r="A472" s="121" t="s">
        <v>43</v>
      </c>
      <c r="B472" s="121" t="s">
        <v>1596</v>
      </c>
      <c r="C472" s="121" t="s">
        <v>1573</v>
      </c>
      <c r="D472" s="121" t="s">
        <v>1610</v>
      </c>
      <c r="E472" s="133" t="s">
        <v>1611</v>
      </c>
      <c r="F472" s="121" t="str">
        <f>IFERROR(__xludf.DUMMYFUNCTION("TEXTJOIN("","",1,FILTER(A:A,E:E=E472))"),"AGRI,AIDS,AIML,BT,CSE,EEE,ECE,EIE,IT,MECH,MTRS")</f>
        <v>AGRI,AIDS,AIML,BT,CSE,EEE,ECE,EIE,IT,MECH,MTRS</v>
      </c>
    </row>
    <row r="473" ht="49.5" customHeight="1">
      <c r="A473" s="121" t="s">
        <v>46</v>
      </c>
      <c r="B473" s="121" t="s">
        <v>1596</v>
      </c>
      <c r="C473" s="121" t="s">
        <v>1573</v>
      </c>
      <c r="D473" s="121" t="s">
        <v>1610</v>
      </c>
      <c r="E473" s="133" t="s">
        <v>1611</v>
      </c>
      <c r="F473" s="121" t="str">
        <f>IFERROR(__xludf.DUMMYFUNCTION("TEXTJOIN("","",1,FILTER(A:A,E:E=E473))"),"AGRI,AIDS,AIML,BT,CSE,EEE,ECE,EIE,IT,MECH,MTRS")</f>
        <v>AGRI,AIDS,AIML,BT,CSE,EEE,ECE,EIE,IT,MECH,MTRS</v>
      </c>
    </row>
    <row r="474" ht="49.5" hidden="1" customHeight="1">
      <c r="A474" s="121" t="s">
        <v>43</v>
      </c>
      <c r="B474" s="121" t="s">
        <v>1612</v>
      </c>
      <c r="C474" s="121" t="s">
        <v>1619</v>
      </c>
      <c r="D474" s="121" t="s">
        <v>235</v>
      </c>
      <c r="E474" s="133" t="s">
        <v>236</v>
      </c>
      <c r="F474" s="121" t="str">
        <f>IFERROR(__xludf.DUMMYFUNCTION("TEXTJOIN("","",1,FILTER(A:A,E:E=E474))"),"MECH")</f>
        <v>MECH</v>
      </c>
    </row>
    <row r="475" ht="49.5" hidden="1" customHeight="1">
      <c r="A475" s="121" t="s">
        <v>4</v>
      </c>
      <c r="B475" s="121" t="s">
        <v>1572</v>
      </c>
      <c r="C475" s="121" t="s">
        <v>1593</v>
      </c>
      <c r="D475" s="121" t="s">
        <v>1594</v>
      </c>
      <c r="E475" s="133" t="s">
        <v>1640</v>
      </c>
      <c r="F475" s="121" t="str">
        <f>IFERROR(__xludf.DUMMYFUNCTION("TEXTJOIN("","",1,FILTER(A:A,E:E=E475))"),"AIDS,AIML,BT,CSE,EEE,ECE,EIE,MECH,MTRS")</f>
        <v>AIDS,AIML,BT,CSE,EEE,ECE,EIE,MECH,MTRS</v>
      </c>
    </row>
    <row r="476" ht="49.5" hidden="1" customHeight="1">
      <c r="A476" s="121" t="s">
        <v>9</v>
      </c>
      <c r="B476" s="121" t="s">
        <v>1572</v>
      </c>
      <c r="C476" s="121" t="s">
        <v>1593</v>
      </c>
      <c r="D476" s="121" t="s">
        <v>1594</v>
      </c>
      <c r="E476" s="133" t="s">
        <v>1640</v>
      </c>
      <c r="F476" s="121" t="str">
        <f>IFERROR(__xludf.DUMMYFUNCTION("TEXTJOIN("","",1,FILTER(A:A,E:E=E476))"),"AIDS,AIML,BT,CSE,EEE,ECE,EIE,MECH,MTRS")</f>
        <v>AIDS,AIML,BT,CSE,EEE,ECE,EIE,MECH,MTRS</v>
      </c>
    </row>
    <row r="477" ht="49.5" hidden="1" customHeight="1">
      <c r="A477" s="121" t="s">
        <v>13</v>
      </c>
      <c r="B477" s="121" t="s">
        <v>1572</v>
      </c>
      <c r="C477" s="121" t="s">
        <v>1593</v>
      </c>
      <c r="D477" s="121" t="s">
        <v>1594</v>
      </c>
      <c r="E477" s="133" t="s">
        <v>1640</v>
      </c>
      <c r="F477" s="121" t="str">
        <f>IFERROR(__xludf.DUMMYFUNCTION("TEXTJOIN("","",1,FILTER(A:A,E:E=E477))"),"AIDS,AIML,BT,CSE,EEE,ECE,EIE,MECH,MTRS")</f>
        <v>AIDS,AIML,BT,CSE,EEE,ECE,EIE,MECH,MTRS</v>
      </c>
    </row>
    <row r="478" ht="49.5" hidden="1" customHeight="1">
      <c r="A478" s="121" t="s">
        <v>18</v>
      </c>
      <c r="B478" s="121" t="s">
        <v>1572</v>
      </c>
      <c r="C478" s="121" t="s">
        <v>1593</v>
      </c>
      <c r="D478" s="121" t="s">
        <v>1594</v>
      </c>
      <c r="E478" s="133" t="s">
        <v>1640</v>
      </c>
      <c r="F478" s="121" t="str">
        <f>IFERROR(__xludf.DUMMYFUNCTION("TEXTJOIN("","",1,FILTER(A:A,E:E=E478))"),"AIDS,AIML,BT,CSE,EEE,ECE,EIE,MECH,MTRS")</f>
        <v>AIDS,AIML,BT,CSE,EEE,ECE,EIE,MECH,MTRS</v>
      </c>
    </row>
    <row r="479" ht="49.5" hidden="1" customHeight="1">
      <c r="A479" s="121" t="s">
        <v>27</v>
      </c>
      <c r="B479" s="121" t="s">
        <v>1572</v>
      </c>
      <c r="C479" s="121" t="s">
        <v>1593</v>
      </c>
      <c r="D479" s="121" t="s">
        <v>1594</v>
      </c>
      <c r="E479" s="133" t="s">
        <v>1640</v>
      </c>
      <c r="F479" s="121" t="str">
        <f>IFERROR(__xludf.DUMMYFUNCTION("TEXTJOIN("","",1,FILTER(A:A,E:E=E479))"),"AIDS,AIML,BT,CSE,EEE,ECE,EIE,MECH,MTRS")</f>
        <v>AIDS,AIML,BT,CSE,EEE,ECE,EIE,MECH,MTRS</v>
      </c>
    </row>
    <row r="480" ht="49.5" hidden="1" customHeight="1">
      <c r="A480" s="121" t="s">
        <v>32</v>
      </c>
      <c r="B480" s="121" t="s">
        <v>1572</v>
      </c>
      <c r="C480" s="121" t="s">
        <v>1593</v>
      </c>
      <c r="D480" s="121" t="s">
        <v>1594</v>
      </c>
      <c r="E480" s="133" t="s">
        <v>1640</v>
      </c>
      <c r="F480" s="121" t="str">
        <f>IFERROR(__xludf.DUMMYFUNCTION("TEXTJOIN("","",1,FILTER(A:A,E:E=E480))"),"AIDS,AIML,BT,CSE,EEE,ECE,EIE,MECH,MTRS")</f>
        <v>AIDS,AIML,BT,CSE,EEE,ECE,EIE,MECH,MTRS</v>
      </c>
    </row>
    <row r="481" ht="49.5" hidden="1" customHeight="1">
      <c r="A481" s="121" t="s">
        <v>37</v>
      </c>
      <c r="B481" s="121" t="s">
        <v>1572</v>
      </c>
      <c r="C481" s="121" t="s">
        <v>1593</v>
      </c>
      <c r="D481" s="121" t="s">
        <v>1594</v>
      </c>
      <c r="E481" s="133" t="s">
        <v>1640</v>
      </c>
      <c r="F481" s="121" t="str">
        <f>IFERROR(__xludf.DUMMYFUNCTION("TEXTJOIN("","",1,FILTER(A:A,E:E=E481))"),"AIDS,AIML,BT,CSE,EEE,ECE,EIE,MECH,MTRS")</f>
        <v>AIDS,AIML,BT,CSE,EEE,ECE,EIE,MECH,MTRS</v>
      </c>
    </row>
    <row r="482" ht="49.5" hidden="1" customHeight="1">
      <c r="A482" s="121" t="s">
        <v>43</v>
      </c>
      <c r="B482" s="121" t="s">
        <v>1572</v>
      </c>
      <c r="C482" s="121" t="s">
        <v>1593</v>
      </c>
      <c r="D482" s="121" t="s">
        <v>1594</v>
      </c>
      <c r="E482" s="133" t="s">
        <v>1640</v>
      </c>
      <c r="F482" s="121" t="str">
        <f>IFERROR(__xludf.DUMMYFUNCTION("TEXTJOIN("","",1,FILTER(A:A,E:E=E482))"),"AIDS,AIML,BT,CSE,EEE,ECE,EIE,MECH,MTRS")</f>
        <v>AIDS,AIML,BT,CSE,EEE,ECE,EIE,MECH,MTRS</v>
      </c>
    </row>
    <row r="483" ht="49.5" hidden="1" customHeight="1">
      <c r="A483" s="121" t="s">
        <v>46</v>
      </c>
      <c r="B483" s="121" t="s">
        <v>1572</v>
      </c>
      <c r="C483" s="121" t="s">
        <v>1593</v>
      </c>
      <c r="D483" s="121" t="s">
        <v>1594</v>
      </c>
      <c r="E483" s="133" t="s">
        <v>1640</v>
      </c>
      <c r="F483" s="121" t="str">
        <f>IFERROR(__xludf.DUMMYFUNCTION("TEXTJOIN("","",1,FILTER(A:A,E:E=E483))"),"AIDS,AIML,BT,CSE,EEE,ECE,EIE,MECH,MTRS")</f>
        <v>AIDS,AIML,BT,CSE,EEE,ECE,EIE,MECH,MTRS</v>
      </c>
    </row>
    <row r="484" ht="49.5" hidden="1" customHeight="1">
      <c r="A484" s="121" t="s">
        <v>200</v>
      </c>
      <c r="B484" s="121" t="s">
        <v>1612</v>
      </c>
      <c r="C484" s="121" t="s">
        <v>1619</v>
      </c>
      <c r="D484" s="121" t="s">
        <v>203</v>
      </c>
      <c r="E484" s="133" t="s">
        <v>1933</v>
      </c>
      <c r="F484" s="121" t="str">
        <f>IFERROR(__xludf.DUMMYFUNCTION("TEXTJOIN("","",1,FILTER(A:A,E:E=E484))"),"FD")</f>
        <v>FD</v>
      </c>
    </row>
    <row r="485" ht="49.5" hidden="1" customHeight="1">
      <c r="A485" s="121"/>
      <c r="B485" s="121"/>
      <c r="C485" s="121"/>
      <c r="D485" s="121"/>
      <c r="E485" s="133"/>
      <c r="F485" s="121"/>
    </row>
    <row r="486" ht="49.5" hidden="1" customHeight="1">
      <c r="A486" s="121"/>
      <c r="B486" s="121"/>
      <c r="C486" s="121"/>
      <c r="D486" s="121"/>
      <c r="E486" s="133"/>
      <c r="F486" s="121"/>
    </row>
  </sheetData>
  <autoFilter ref="$A$1:$F$486">
    <filterColumn colId="1">
      <filters>
        <filter val="S4"/>
      </filters>
    </filterColumn>
    <filterColumn colId="2">
      <filters blank="1">
        <filter val="CORE"/>
        <filter val="AUDIT COURSE 2"/>
        <filter val="COMPETITVE EDGE COURSE II"/>
        <filter val="ELECTIVE 2"/>
        <filter val="LANGUAGE ELECTIVE"/>
        <filter val="MINOR"/>
        <filter val="DISSERTATION PHASE 2"/>
        <filter val="ELECTIVE 3"/>
        <filter val="ELECTIVE 4"/>
        <filter val="Course Type"/>
        <filter val="HONOURS"/>
        <filter val="ADD COURSE"/>
        <filter val="OPEN ELECTIVE"/>
        <filter val="MINI PROJECT"/>
      </filters>
    </filterColumn>
    <sortState ref="A1:F486">
      <sortCondition ref="E1:E486"/>
    </sortState>
  </autoFilter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8.13"/>
    <col customWidth="1" min="3" max="3" width="18.88"/>
    <col customWidth="1" min="4" max="4" width="18.13"/>
  </cols>
  <sheetData>
    <row r="1" ht="55.5" customHeight="1">
      <c r="A1" s="146" t="str">
        <f t="array" ref="A1:A23">UNIQUE('Consolidated Sheet'!A:A)</f>
        <v>Dept.</v>
      </c>
      <c r="B1" s="147" t="s">
        <v>1572</v>
      </c>
      <c r="C1" s="147" t="s">
        <v>1596</v>
      </c>
      <c r="D1" s="147" t="s">
        <v>1612</v>
      </c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55.5" customHeight="1">
      <c r="A2" s="146" t="s">
        <v>0</v>
      </c>
      <c r="B2" s="149" t="str">
        <f>IFERROR(__xludf.DUMMYFUNCTION("IF(COUNTIFS('Consolidated Sheet'!B:B,""S2"",'Consolidated Sheet'!A:A,A2)&gt;=1, IF(IFNA(QUERY('Consolidated Sheet'!A:M,""SELECT D WHERE A='""&amp;A2&amp;""' AND B='S2' AND J&gt;=2 AND K=''"",0))="""",""COMPLETED"",""PENDING""),"""")"),"COMPLETED")</f>
        <v>COMPLETED</v>
      </c>
      <c r="C2" s="149" t="str">
        <f>IFERROR(__xludf.DUMMYFUNCTION("IF(COUNTIFS('Consolidated Sheet'!B:B,""S4"",'Consolidated Sheet'!A:A,A2)&gt;=1, IF(IFNA(QUERY('Consolidated Sheet'!A:M,""SELECT D WHERE A='""&amp;A2&amp;""' AND B='S4' AND J&gt;=2 AND K=''"",0))="""",""COMPLETED"",""PENDING""),"""")"),"COMPLETED")</f>
        <v>COMPLETED</v>
      </c>
      <c r="D2" s="149" t="str">
        <f>IFERROR(__xludf.DUMMYFUNCTION("IF((IFNA(QUERY('Consolidated Sheet'!A:M,""SELECT D WHERE A='""&amp;A2&amp;""' AND B='S6' AND (C!='PROJECT' OR C!='MINI PROJECT') AND J&gt;=2 AND M=''"",0)))="""",""COMPLETED"",""PENDING"")"),"COMPLETED")</f>
        <v>COMPLETED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ht="55.5" customHeight="1">
      <c r="A3" s="146" t="s">
        <v>4</v>
      </c>
      <c r="B3" s="149" t="str">
        <f>IFERROR(__xludf.DUMMYFUNCTION("IF(COUNTIFS('Consolidated Sheet'!B:B,""S2"",'Consolidated Sheet'!A:A,A3)&gt;=1, IF(IFNA(QUERY('Consolidated Sheet'!A:M,""SELECT D WHERE A='""&amp;A3&amp;""' AND B='S2' AND J&gt;=2 AND K='' AND (E!='22HSH01' OR E!='22HSG01')"",0))="""",""COMPLETED"",""PENDING""),"""")"),"PENDING")</f>
        <v>PENDING</v>
      </c>
      <c r="C3" s="149" t="str">
        <f>IFERROR(__xludf.DUMMYFUNCTION("IF(COUNTIFS('Consolidated Sheet'!B:B,""S4"",'Consolidated Sheet'!A:A,A3)&gt;=1, IF(IFNA(QUERY('Consolidated Sheet'!A:M,""SELECT D WHERE A='""&amp;A3&amp;""' AND B='S4' AND J&gt;=2 AND K=''"",0))="""",""COMPLETED"",""PENDING""),"""")"),"COMPLETED")</f>
        <v>COMPLETED</v>
      </c>
      <c r="D3" s="149" t="str">
        <f>IFERROR(__xludf.DUMMYFUNCTION("IF((IFNA(QUERY('Consolidated Sheet'!A:M,""SELECT D WHERE A='""&amp;A3&amp;""' AND B='S6' AND (C!='PROJECT' OR C!='MINI PROJECT') AND J&gt;=2 AND M=''"",0)))="""",""COMPLETED"",""PENDING"")"),"COMPLETED")</f>
        <v>COMPLETED</v>
      </c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ht="55.5" customHeight="1">
      <c r="A4" s="146" t="s">
        <v>9</v>
      </c>
      <c r="B4" s="149" t="str">
        <f>IFERROR(__xludf.DUMMYFUNCTION("IF(COUNTIFS('Consolidated Sheet'!B:B,""S2"",'Consolidated Sheet'!A:A,A4)&gt;=1, IF(IFNA(QUERY('Consolidated Sheet'!A:M,""SELECT D WHERE A='""&amp;A4&amp;""' AND B='S2' AND J&gt;=2 AND K='' AND (E!='22HSH01' OR E!='22HSG01')"",0))="""",""COMPLETED"",""PENDING""),"""")"),"PENDING")</f>
        <v>PENDING</v>
      </c>
      <c r="C4" s="149" t="str">
        <f>IFERROR(__xludf.DUMMYFUNCTION("IF(COUNTIFS('Consolidated Sheet'!B:B,""S4"",'Consolidated Sheet'!A:A,A4)&gt;=1, IF(IFNA(QUERY('Consolidated Sheet'!A:M,""SELECT D WHERE A='""&amp;A4&amp;""' AND B='S4' AND J&gt;=2 AND K=''"",0))="""",""COMPLETED"",""PENDING""),"""")"),"COMPLETED")</f>
        <v>COMPLETED</v>
      </c>
      <c r="D4" s="149" t="str">
        <f>IFERROR(__xludf.DUMMYFUNCTION("IF((IFNA(QUERY('Consolidated Sheet'!A:M,""SELECT D WHERE A='""&amp;A4&amp;""' AND B='S6' AND (C!='PROJECT' OR C!='MINI PROJECT') AND J&gt;=2 AND M=''"",0)))="""",""COMPLETED"",""PENDING"")"),"COMPLETED")</f>
        <v>COMPLETED</v>
      </c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 ht="55.5" customHeight="1">
      <c r="A5" s="146" t="s">
        <v>83</v>
      </c>
      <c r="B5" s="149" t="str">
        <f>IFERROR(__xludf.DUMMYFUNCTION("IF(COUNTIFS('Consolidated Sheet'!B:B,""S2"",'Consolidated Sheet'!A:A,A5)&gt;=1, IF(IFNA(QUERY('Consolidated Sheet'!A:M,""SELECT D WHERE A='""&amp;A5&amp;""' AND B='S2' AND J&gt;=2 AND K='' AND E!='22HSH01' AND E!='22HSG01'"",0))="""",""COMPLETED"",""PENDING""),"""")"),"")</f>
        <v/>
      </c>
      <c r="C5" s="149" t="str">
        <f>IFERROR(__xludf.DUMMYFUNCTION("IF(COUNTIFS('Consolidated Sheet'!B:B,""S4"",'Consolidated Sheet'!A:A,A5)&gt;=1, IF(IFNA(QUERY('Consolidated Sheet'!A:M,""SELECT D WHERE A='""&amp;A5&amp;""' AND B='S4' AND J&gt;=2 AND K=''"",0))="""",""COMPLETED"",""PENDING""),"""")"),"")</f>
        <v/>
      </c>
      <c r="D5" s="149" t="str">
        <f>IFERROR(__xludf.DUMMYFUNCTION("IF((IFNA(QUERY('Consolidated Sheet'!A:M,""SELECT D WHERE A='""&amp;A5&amp;""' AND B='S6' AND (C!='PROJECT' OR C!='MINI PROJECT') AND J&gt;=2 AND M=''"",0)))="""",""COMPLETED"",""PENDING"")"),"COMPLETED")</f>
        <v>COMPLETED</v>
      </c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55.5" customHeight="1">
      <c r="A6" s="146" t="s">
        <v>13</v>
      </c>
      <c r="B6" s="149" t="str">
        <f>IFERROR(__xludf.DUMMYFUNCTION("IF(COUNTIFS('Consolidated Sheet'!B:B,""S2"",'Consolidated Sheet'!A:A,A6)&gt;=1, IF(IFNA(QUERY('Consolidated Sheet'!A:M,""SELECT D WHERE A='""&amp;A6&amp;""' AND B='S2' AND J&gt;=2 AND K='' AND E!='22HSH01' AND E!='22HSG01'"",0))="""",""COMPLETED"",""PENDING""),"""")"),"PENDING")</f>
        <v>PENDING</v>
      </c>
      <c r="C6" s="149" t="str">
        <f>IFERROR(__xludf.DUMMYFUNCTION("IF(COUNTIFS('Consolidated Sheet'!B:B,""S4"",'Consolidated Sheet'!A:A,A6)&gt;=1, IF(IFNA(QUERY('Consolidated Sheet'!A:M,""SELECT D WHERE A='""&amp;A6&amp;""' AND B='S4' AND J&gt;=2 AND K=''"",0))="""",""COMPLETED"",""PENDING""),"""")"),"COMPLETED")</f>
        <v>COMPLETED</v>
      </c>
      <c r="D6" s="149" t="str">
        <f>IFERROR(__xludf.DUMMYFUNCTION("IF((IFNA(QUERY('Consolidated Sheet'!A:M,""SELECT D WHERE A='""&amp;A6&amp;""' AND B='S6' AND (C!='PROJECT' OR C!='MINI PROJECT') AND J&gt;=2 AND M=''"",0)))="""",""COMPLETED"",""PENDING"")"),"COMPLETED")</f>
        <v>COMPLETED</v>
      </c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55.5" customHeight="1">
      <c r="A7" s="146" t="s">
        <v>111</v>
      </c>
      <c r="B7" s="149" t="str">
        <f>IFERROR(__xludf.DUMMYFUNCTION("IF(COUNTIFS('Consolidated Sheet'!B:B,""S2"",'Consolidated Sheet'!A:A,A7)&gt;=1, IF(IFNA(QUERY('Consolidated Sheet'!A:M,""SELECT D WHERE A='""&amp;A7&amp;""' AND B='S2' AND J&gt;=2 AND K='' AND E!='22HSH01' AND E!='22HSG01'"",0))="""",""COMPLETED"",""PENDING""),"""")"),"")</f>
        <v/>
      </c>
      <c r="C7" s="149" t="str">
        <f>IFERROR(__xludf.DUMMYFUNCTION("IF(COUNTIFS('Consolidated Sheet'!B:B,""S4"",'Consolidated Sheet'!A:A,A7)&gt;=1, IF(IFNA(QUERY('Consolidated Sheet'!A:M,""SELECT D WHERE A='""&amp;A7&amp;""' AND B='S4' AND J&gt;=2 AND K=''"",0))="""",""COMPLETED"",""PENDING""),"""")"),"")</f>
        <v/>
      </c>
      <c r="D7" s="149" t="str">
        <f>IFERROR(__xludf.DUMMYFUNCTION("IF((IFNA(QUERY('Consolidated Sheet'!A:M,""SELECT D WHERE A='""&amp;A7&amp;""' AND B='S6' AND (C!='PROJECT' OR C!='MINI PROJECT') AND J&gt;=2 AND M=''"",0)))="""",""COMPLETED"",""PENDING"")"),"COMPLETED")</f>
        <v>COMPLETED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ht="55.5" customHeight="1">
      <c r="A8" s="146" t="s">
        <v>18</v>
      </c>
      <c r="B8" s="149" t="str">
        <f>IFERROR(__xludf.DUMMYFUNCTION("IF(COUNTIFS('Consolidated Sheet'!B:B,""S2"",'Consolidated Sheet'!A:A,A8)&gt;=1, IF(IFNA(QUERY('Consolidated Sheet'!A:M,""SELECT D WHERE A='""&amp;A8&amp;""' AND B='S2' AND J&gt;=2 AND K='' AND E!='22HSH01' AND E!='22HSG01'"",0))="""",""COMPLETED"",""PENDING""),"""")"),"PENDING")</f>
        <v>PENDING</v>
      </c>
      <c r="C8" s="149" t="str">
        <f>IFERROR(__xludf.DUMMYFUNCTION("IF(COUNTIFS('Consolidated Sheet'!B:B,""S4"",'Consolidated Sheet'!A:A,A8)&gt;=1, IF(IFNA(QUERY('Consolidated Sheet'!A:M,""SELECT D WHERE A='""&amp;A8&amp;""' AND B='S4' AND J&gt;=2 AND K=''"",0))="""",""COMPLETED"",""PENDING""),"""")"),"COMPLETED")</f>
        <v>COMPLETED</v>
      </c>
      <c r="D8" s="149" t="str">
        <f>IFERROR(__xludf.DUMMYFUNCTION("IF((IFNA(QUERY('Consolidated Sheet'!A:M,""SELECT D WHERE A='""&amp;A8&amp;""' AND B='S6' AND (C!='PROJECT' OR C!='MINI PROJECT') AND J&gt;=2 AND M=''"",0)))="""",""COMPLETED"",""PENDING"")"),"COMPLETED")</f>
        <v>COMPLETED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ht="55.5" customHeight="1">
      <c r="A9" s="146" t="s">
        <v>24</v>
      </c>
      <c r="B9" s="149" t="str">
        <f>IFERROR(__xludf.DUMMYFUNCTION("IF(COUNTIFS('Consolidated Sheet'!B:B,""S2"",'Consolidated Sheet'!A:A,A9)&gt;=1, IF(IFNA(QUERY('Consolidated Sheet'!A:M,""SELECT D WHERE A='""&amp;A9&amp;""' AND B='S2' AND J&gt;=2 AND K='' AND E!='22HSH01' AND E!='22HSG01'"",0))="""",""COMPLETED"",""PENDING""),"""")"),"")</f>
        <v/>
      </c>
      <c r="C9" s="149" t="str">
        <f>IFERROR(__xludf.DUMMYFUNCTION("IF(COUNTIFS('Consolidated Sheet'!B:B,""S4"",'Consolidated Sheet'!A:A,A9)&gt;=1, IF(IFNA(QUERY('Consolidated Sheet'!A:M,""SELECT D WHERE A='""&amp;A9&amp;""' AND B='S4' AND J&gt;=2 AND K=''"",0))="""",""COMPLETED"",""PENDING""),"""")"),"COMPLETED")</f>
        <v>COMPLETED</v>
      </c>
      <c r="D9" s="149" t="str">
        <f>IFERROR(__xludf.DUMMYFUNCTION("IF((IFNA(QUERY('Consolidated Sheet'!A:M,""SELECT D WHERE A='""&amp;A9&amp;""' AND B='S6' AND (C!='PROJECT' OR C!='MINI PROJECT') AND J&gt;=2 AND M=''"",0)))="""",""COMPLETED"",""PENDING"")"),"COMPLETED")</f>
        <v>COMPLETED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 ht="55.5" customHeight="1">
      <c r="A10" s="146" t="s">
        <v>143</v>
      </c>
      <c r="B10" s="149" t="str">
        <f>IFERROR(__xludf.DUMMYFUNCTION("IF(COUNTIFS('Consolidated Sheet'!B:B,""S2"",'Consolidated Sheet'!A:A,A10)&gt;=1, IF(IFNA(QUERY('Consolidated Sheet'!A:M,""SELECT D WHERE A='""&amp;A10&amp;""' AND B='S2' AND J&gt;=2 AND K='' AND E!='22HSH01' AND E!='22HSG01'"",0))="""",""COMPLETED"",""PENDING""),"""")"),"")</f>
        <v/>
      </c>
      <c r="C10" s="149" t="str">
        <f>IFERROR(__xludf.DUMMYFUNCTION("IF(COUNTIFS('Consolidated Sheet'!B:B,""S4"",'Consolidated Sheet'!A:A,A10)&gt;=1, IF(IFNA(QUERY('Consolidated Sheet'!A:M,""SELECT D WHERE A='""&amp;A10&amp;""' AND B='S4' AND J&gt;=2 AND K=''"",0))="""",""COMPLETED"",""PENDING""),"""")"),"")</f>
        <v/>
      </c>
      <c r="D10" s="149" t="str">
        <f>IFERROR(__xludf.DUMMYFUNCTION("IF((IFNA(QUERY('Consolidated Sheet'!A:M,""SELECT D WHERE A='""&amp;A10&amp;""' AND B='S6' AND (C!='PROJECT' OR C!='MINI PROJECT') AND J&gt;=2 AND M=''"",0)))="""",""COMPLETED"",""PENDING"")"),"COMPLETED")</f>
        <v>COMPLETED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55.5" customHeight="1">
      <c r="A11" s="146" t="s">
        <v>151</v>
      </c>
      <c r="B11" s="149" t="str">
        <f>IFERROR(__xludf.DUMMYFUNCTION("IF(COUNTIFS('Consolidated Sheet'!B:B,""S2"",'Consolidated Sheet'!A:A,A11)&gt;=1, IF(IFNA(QUERY('Consolidated Sheet'!A:M,""SELECT D WHERE A='""&amp;A11&amp;""' AND B='S2' AND J&gt;=2 AND K='' AND E!='22HSH01' AND E!='22HSG01'"",0))="""",""COMPLETED"",""PENDING""),"""")"),"")</f>
        <v/>
      </c>
      <c r="C11" s="149" t="str">
        <f>IFERROR(__xludf.DUMMYFUNCTION("IF(COUNTIFS('Consolidated Sheet'!B:B,""S4"",'Consolidated Sheet'!A:A,A11)&gt;=1, IF(IFNA(QUERY('Consolidated Sheet'!A:M,""SELECT D WHERE A='""&amp;A11&amp;""' AND B='S4' AND J&gt;=2 AND K=''"",0))="""",""COMPLETED"",""PENDING""),"""")"),"")</f>
        <v/>
      </c>
      <c r="D11" s="149" t="str">
        <f>IFERROR(__xludf.DUMMYFUNCTION("IF((IFNA(QUERY('Consolidated Sheet'!A:M,""SELECT D WHERE A='""&amp;A11&amp;""' AND B='S6' AND (C!='PROJECT' OR C!='MINI PROJECT') AND J&gt;=2 AND M=''"",0)))="""",""COMPLETED"",""PENDING"")"),"COMPLETED")</f>
        <v>COMPLETED</v>
      </c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55.5" customHeight="1">
      <c r="A12" s="146" t="s">
        <v>27</v>
      </c>
      <c r="B12" s="149" t="str">
        <f>IFERROR(__xludf.DUMMYFUNCTION("IF(COUNTIFS('Consolidated Sheet'!B:B,""S2"",'Consolidated Sheet'!A:A,A12)&gt;=1, IF(IFNA(QUERY('Consolidated Sheet'!A:M,""SELECT D WHERE A='""&amp;A12&amp;""' AND B='S2' AND J&gt;=2 AND K='' AND E!='22HSH01' AND E!='22HSG01'"",0))="""",""COMPLETED"",""PENDING""),"""")"),"PENDING")</f>
        <v>PENDING</v>
      </c>
      <c r="C12" s="149" t="str">
        <f>IFERROR(__xludf.DUMMYFUNCTION("IF(COUNTIFS('Consolidated Sheet'!B:B,""S4"",'Consolidated Sheet'!A:A,A12)&gt;=1, IF(IFNA(QUERY('Consolidated Sheet'!A:M,""SELECT D WHERE A='""&amp;A12&amp;""' AND B='S4' AND J&gt;=2 AND K=''"",0))="""",""COMPLETED"",""PENDING""),"""")"),"COMPLETED")</f>
        <v>COMPLETED</v>
      </c>
      <c r="D12" s="149" t="str">
        <f>IFERROR(__xludf.DUMMYFUNCTION("IF((IFNA(QUERY('Consolidated Sheet'!A:M,""SELECT D WHERE A='""&amp;A12&amp;""' AND B='S6' AND (C!='PROJECT' OR C!='MINI PROJECT') AND J&gt;=2 AND M=''"",0)))="""",""COMPLETED"",""PENDING"")"),"COMPLETED")</f>
        <v>COMPLETED</v>
      </c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 ht="55.5" customHeight="1">
      <c r="A13" s="146" t="s">
        <v>32</v>
      </c>
      <c r="B13" s="149" t="str">
        <f>IFERROR(__xludf.DUMMYFUNCTION("IF(COUNTIFS('Consolidated Sheet'!B:B,""S2"",'Consolidated Sheet'!A:A,A13)&gt;=1, IF(IFNA(QUERY('Consolidated Sheet'!A:M,""SELECT D WHERE A='""&amp;A13&amp;""' AND B='S2' AND J&gt;=2 AND K='' AND E!='22HSH01' AND E!='22HSG01'"",0))="""",""COMPLETED"",""PENDING""),"""")"),"PENDING")</f>
        <v>PENDING</v>
      </c>
      <c r="C13" s="149" t="str">
        <f>IFERROR(__xludf.DUMMYFUNCTION("IF(COUNTIFS('Consolidated Sheet'!B:B,""S4"",'Consolidated Sheet'!A:A,A13)&gt;=1, IF(IFNA(QUERY('Consolidated Sheet'!A:M,""SELECT D WHERE A='""&amp;A13&amp;""' AND B='S4' AND J&gt;=2 AND K=''"",0))="""",""COMPLETED"",""PENDING""),"""")"),"COMPLETED")</f>
        <v>COMPLETED</v>
      </c>
      <c r="D13" s="149" t="str">
        <f>IFERROR(__xludf.DUMMYFUNCTION("IF((IFNA(QUERY('Consolidated Sheet'!A:M,""SELECT D WHERE A='""&amp;A13&amp;""' AND B='S6' AND (C!='PROJECT' OR C!='MINI PROJECT') AND J&gt;=2 AND M=''"",0)))="""",""COMPLETED"",""PENDING"")"),"PENDING")</f>
        <v>PENDING</v>
      </c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 ht="55.5" customHeight="1">
      <c r="A14" s="146" t="s">
        <v>37</v>
      </c>
      <c r="B14" s="149" t="str">
        <f>IFERROR(__xludf.DUMMYFUNCTION("IF(COUNTIFS('Consolidated Sheet'!B:B,""S2"",'Consolidated Sheet'!A:A,A14)&gt;=1, IF(IFNA(QUERY('Consolidated Sheet'!A:M,""SELECT D WHERE A='""&amp;A14&amp;""' AND B='S2' AND J&gt;=2 AND K='' AND E!='22HSH01' AND E!='22HSG01'"",0))="""",""COMPLETED"",""PENDING""),"""")"),"PENDING")</f>
        <v>PENDING</v>
      </c>
      <c r="C14" s="149" t="str">
        <f>IFERROR(__xludf.DUMMYFUNCTION("IF(COUNTIFS('Consolidated Sheet'!B:B,""S4"",'Consolidated Sheet'!A:A,A14)&gt;=1, IF(IFNA(QUERY('Consolidated Sheet'!A:M,""SELECT D WHERE A='""&amp;A14&amp;""' AND B='S4' AND J&gt;=2 AND K=''"",0))="""",""COMPLETED"",""PENDING""),"""")"),"COMPLETED")</f>
        <v>COMPLETED</v>
      </c>
      <c r="D14" s="149" t="str">
        <f>IFERROR(__xludf.DUMMYFUNCTION("IF((IFNA(QUERY('Consolidated Sheet'!A:M,""SELECT D WHERE A='""&amp;A14&amp;""' AND B='S6' AND (C!='PROJECT' OR C!='MINI PROJECT') AND J&gt;=2 AND M=''"",0)))="""",""COMPLETED"",""PENDING"")"),"COMPLETED")</f>
        <v>COMPLETED</v>
      </c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ht="55.5" customHeight="1">
      <c r="A15" s="146" t="s">
        <v>193</v>
      </c>
      <c r="B15" s="149" t="str">
        <f>IFERROR(__xludf.DUMMYFUNCTION("IF(COUNTIFS('Consolidated Sheet'!B:B,""S2"",'Consolidated Sheet'!A:A,A15)&gt;=1, IF(IFNA(QUERY('Consolidated Sheet'!A:M,""SELECT D WHERE A='""&amp;A15&amp;""' AND B='S2' AND J&gt;=2 AND K='' AND E!='22HSH01' AND E!='22HSG01'"",0))="""",""COMPLETED"",""PENDING""),"""")"),"")</f>
        <v/>
      </c>
      <c r="C15" s="149" t="str">
        <f>IFERROR(__xludf.DUMMYFUNCTION("IF(COUNTIFS('Consolidated Sheet'!B:B,""S4"",'Consolidated Sheet'!A:A,A15)&gt;=1, IF(IFNA(QUERY('Consolidated Sheet'!A:M,""SELECT D WHERE A='""&amp;A15&amp;""' AND B='S4' AND J&gt;=2 AND K=''"",0))="""",""COMPLETED"",""PENDING""),"""")"),"")</f>
        <v/>
      </c>
      <c r="D15" s="149" t="str">
        <f>IFERROR(__xludf.DUMMYFUNCTION("IF((IFNA(QUERY('Consolidated Sheet'!A:M,""SELECT D WHERE A='""&amp;A15&amp;""' AND B='S6' AND (C!='PROJECT' OR C!='MINI PROJECT') AND J&gt;=2 AND M=''"",0)))="""",""COMPLETED"",""PENDING"")"),"COMPLETED")</f>
        <v>COMPLETED</v>
      </c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 ht="55.5" customHeight="1">
      <c r="A16" s="146" t="s">
        <v>200</v>
      </c>
      <c r="B16" s="149" t="str">
        <f>IFERROR(__xludf.DUMMYFUNCTION("IF(COUNTIFS('Consolidated Sheet'!B:B,""S2"",'Consolidated Sheet'!A:A,A16)&gt;=1, IF(IFNA(QUERY('Consolidated Sheet'!A:M,""SELECT D WHERE A='""&amp;A16&amp;""' AND B='S2' AND J&gt;=2 AND K='' AND E!='22HSH01' AND E!='22HSG01'"",0))="""",""COMPLETED"",""PENDING""),"""")"),"")</f>
        <v/>
      </c>
      <c r="C16" s="149" t="str">
        <f>IFERROR(__xludf.DUMMYFUNCTION("IF(COUNTIFS('Consolidated Sheet'!B:B,""S4"",'Consolidated Sheet'!A:A,A16)&gt;=1, IF(IFNA(QUERY('Consolidated Sheet'!A:M,""SELECT D WHERE A='""&amp;A16&amp;""' AND B='S4' AND J&gt;=2 AND K=''"",0))="""",""COMPLETED"",""PENDING""),"""")"),"")</f>
        <v/>
      </c>
      <c r="D16" s="149" t="str">
        <f>IFERROR(__xludf.DUMMYFUNCTION("IF((IFNA(QUERY('Consolidated Sheet'!A:M,""SELECT D WHERE A='""&amp;A16&amp;""' AND B='S6' AND (C!='PROJECT' OR C!='MINI PROJECT') AND J&gt;=2 AND M=''"",0)))="""",""COMPLETED"",""PENDING"")"),"COMPLETED")</f>
        <v>COMPLETED</v>
      </c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 ht="55.5" customHeight="1">
      <c r="A17" s="146" t="s">
        <v>209</v>
      </c>
      <c r="B17" s="149" t="str">
        <f>IFERROR(__xludf.DUMMYFUNCTION("IF(COUNTIFS('Consolidated Sheet'!B:B,""S2"",'Consolidated Sheet'!A:A,A17)&gt;=1, IF(IFNA(QUERY('Consolidated Sheet'!A:M,""SELECT D WHERE A='""&amp;A17&amp;""' AND B='S2' AND J&gt;=2 AND K='' AND E!='22HSH01' AND E!='22HSG01'"",0))="""",""COMPLETED"",""PENDING""),"""")"),"")</f>
        <v/>
      </c>
      <c r="C17" s="149" t="str">
        <f>IFERROR(__xludf.DUMMYFUNCTION("IF(COUNTIFS('Consolidated Sheet'!B:B,""S4"",'Consolidated Sheet'!A:A,A17)&gt;=1, IF(IFNA(QUERY('Consolidated Sheet'!A:M,""SELECT D WHERE A='""&amp;A17&amp;""' AND B='S4' AND J&gt;=2 AND K=''"",0))="""",""COMPLETED"",""PENDING""),"""")"),"")</f>
        <v/>
      </c>
      <c r="D17" s="149" t="str">
        <f>IFERROR(__xludf.DUMMYFUNCTION("IF((IFNA(QUERY('Consolidated Sheet'!A:M,""SELECT D WHERE A='""&amp;A17&amp;""' AND B='S6' AND (C!='PROJECT' OR C!='MINI PROJECT') AND J&gt;=2 AND M=''"",0)))="""",""COMPLETED"",""PENDING"")"),"COMPLETED")</f>
        <v>COMPLETED</v>
      </c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ht="55.5" customHeight="1">
      <c r="A18" s="146" t="s">
        <v>40</v>
      </c>
      <c r="B18" s="149" t="str">
        <f>IFERROR(__xludf.DUMMYFUNCTION("IF(COUNTIFS('Consolidated Sheet'!B:B,""S2"",'Consolidated Sheet'!A:A,A18)&gt;=1, IF(IFNA(QUERY('Consolidated Sheet'!A:M,""SELECT D WHERE A='""&amp;A18&amp;""' AND B='S2' AND J&gt;=2 AND K='' AND E!='22HSH01' AND E!='22HSG01'"",0))="""",""COMPLETED"",""PENDING""),"""")"),"COMPLETED")</f>
        <v>COMPLETED</v>
      </c>
      <c r="C18" s="149" t="str">
        <f>IFERROR(__xludf.DUMMYFUNCTION("IF(COUNTIFS('Consolidated Sheet'!B:B,""S4"",'Consolidated Sheet'!A:A,A18)&gt;=1, IF(IFNA(QUERY('Consolidated Sheet'!A:M,""SELECT D WHERE A='""&amp;A18&amp;""' AND B='S4' AND J&gt;=2 AND K=''"",0))="""",""COMPLETED"",""PENDING""),"""")"),"COMPLETED")</f>
        <v>COMPLETED</v>
      </c>
      <c r="D18" s="149" t="str">
        <f>IFERROR(__xludf.DUMMYFUNCTION("IF((IFNA(QUERY('Consolidated Sheet'!A:M,""SELECT D WHERE A='""&amp;A18&amp;""' AND B='S6' AND (C!='PROJECT' OR C!='MINI PROJECT') AND J&gt;=2 AND M=''"",0)))="""",""COMPLETED"",""PENDING"")"),"COMPLETED")</f>
        <v>COMPLETED</v>
      </c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55.5" customHeight="1">
      <c r="A19" s="146" t="s">
        <v>43</v>
      </c>
      <c r="B19" s="149" t="str">
        <f>IFERROR(__xludf.DUMMYFUNCTION("IF(COUNTIFS('Consolidated Sheet'!B:B,""S2"",'Consolidated Sheet'!A:A,A19)&gt;=1, IF(IFNA(QUERY('Consolidated Sheet'!A:M,""SELECT D WHERE A='""&amp;A19&amp;""' AND B='S2' AND J&gt;=2 AND K='' AND E!='22HSH01' AND E!='22HSG01'"",0))="""",""COMPLETED"",""PENDING""),"""")"),"COMPLETED")</f>
        <v>COMPLETED</v>
      </c>
      <c r="C19" s="149" t="str">
        <f>IFERROR(__xludf.DUMMYFUNCTION("IF(COUNTIFS('Consolidated Sheet'!B:B,""S4"",'Consolidated Sheet'!A:A,A19)&gt;=1, IF(IFNA(QUERY('Consolidated Sheet'!A:M,""SELECT D WHERE A='""&amp;A19&amp;""' AND B='S4' AND J&gt;=2 AND K=''"",0))="""",""COMPLETED"",""PENDING""),"""")"),"COMPLETED")</f>
        <v>COMPLETED</v>
      </c>
      <c r="D19" s="149" t="str">
        <f>IFERROR(__xludf.DUMMYFUNCTION("IF((IFNA(QUERY('Consolidated Sheet'!A:M,""SELECT D WHERE A='""&amp;A19&amp;""' AND B='S6' AND (C!='PROJECT' OR C!='MINI PROJECT') AND J&gt;=2 AND M=''"",0)))="""",""COMPLETED"",""PENDING"")"),"COMPLETED")</f>
        <v>COMPLETED</v>
      </c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 ht="55.5" customHeight="1">
      <c r="A20" s="146" t="s">
        <v>46</v>
      </c>
      <c r="B20" s="149" t="str">
        <f>IFERROR(__xludf.DUMMYFUNCTION("IF(COUNTIFS('Consolidated Sheet'!B:B,""S2"",'Consolidated Sheet'!A:A,A20)&gt;=1, IF(IFNA(QUERY('Consolidated Sheet'!A:M,""SELECT D WHERE A='""&amp;A20&amp;""' AND B='S2' AND J&gt;=2 AND K='' AND E!='22HSH01' AND E!='22HSG01'"",0))="""",""COMPLETED"",""PENDING""),"""")"),"COMPLETED")</f>
        <v>COMPLETED</v>
      </c>
      <c r="C20" s="149" t="str">
        <f>IFERROR(__xludf.DUMMYFUNCTION("IF(COUNTIFS('Consolidated Sheet'!B:B,""S4"",'Consolidated Sheet'!A:A,A20)&gt;=1, IF(IFNA(QUERY('Consolidated Sheet'!A:M,""SELECT D WHERE A='""&amp;A20&amp;""' AND B='S4' AND J&gt;=2 AND K=''"",0))="""",""COMPLETED"",""PENDING""),"""")"),"COMPLETED")</f>
        <v>COMPLETED</v>
      </c>
      <c r="D20" s="149" t="str">
        <f>IFERROR(__xludf.DUMMYFUNCTION("IF((IFNA(QUERY('Consolidated Sheet'!A:M,""SELECT D WHERE A='""&amp;A20&amp;""' AND B='S6' AND (C!='PROJECT' OR C!='MINI PROJECT') AND J&gt;=2 AND M=''"",0)))="""",""COMPLETED"",""PENDING"")"),"COMPLETED")</f>
        <v>COMPLETED</v>
      </c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 ht="55.5" customHeight="1">
      <c r="A21" s="146" t="s">
        <v>1993</v>
      </c>
      <c r="B21" s="149" t="str">
        <f>IFERROR(__xludf.DUMMYFUNCTION("IF(COUNTIFS('Consolidated Sheet'!B:B,""S2"",'Consolidated Sheet'!A:A,A21)&gt;=1, IF(IFNA(QUERY('Consolidated Sheet'!A:M,""SELECT D WHERE A='""&amp;A21&amp;""' AND B='S2' AND J&gt;=2 AND K='' AND E!='22HSH01' AND E!='22HSG01'"",0))="""",""COMPLETED"",""PENDING""),"""")"),"")</f>
        <v/>
      </c>
      <c r="C21" s="149" t="str">
        <f>IFERROR(__xludf.DUMMYFUNCTION("IF(COUNTIFS('Consolidated Sheet'!B:B,""S4"",'Consolidated Sheet'!A:A,A21)&gt;=1, IF(IFNA(QUERY('Consolidated Sheet'!A:M,""SELECT D WHERE A='""&amp;A21&amp;""' AND B='S4' AND J&gt;=2 AND K=''"",0))="""",""COMPLETED"",""PENDING""),"""")"),"")</f>
        <v/>
      </c>
      <c r="D21" s="149" t="str">
        <f>IFERROR(__xludf.DUMMYFUNCTION("IF((IFNA(QUERY('Consolidated Sheet'!A:M,""SELECT D WHERE A='""&amp;A21&amp;""' AND B='S6' AND (C!='PROJECT' OR C!='MINI PROJECT') AND J&gt;=2 AND M=''"",0)))="""",""COMPLETED"",""PENDING"")"),"COMPLETED")</f>
        <v>COMPLETED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 ht="55.5" customHeight="1">
      <c r="A22" s="146" t="s">
        <v>1995</v>
      </c>
      <c r="B22" s="149" t="str">
        <f>IFERROR(__xludf.DUMMYFUNCTION("IF(COUNTIFS('Consolidated Sheet'!B:B,""S2"",'Consolidated Sheet'!A:A,A22)&gt;=1, IF(IFNA(QUERY('Consolidated Sheet'!A:M,""SELECT D WHERE A='""&amp;A22&amp;""' AND B='S2' AND J&gt;=2 AND K='' AND E!='22HSH01' AND E!='22HSG01'"",0))="""",""COMPLETED"",""PENDING""),"""")"),"COMPLETED")</f>
        <v>COMPLETED</v>
      </c>
      <c r="C22" s="149" t="str">
        <f>IFERROR(__xludf.DUMMYFUNCTION("IF(COUNTIFS('Consolidated Sheet'!B:B,""S4"",'Consolidated Sheet'!A:A,A22)&gt;=1, IF(IFNA(QUERY('Consolidated Sheet'!A:M,""SELECT D WHERE A='""&amp;A22&amp;""' AND B='S4' AND J&gt;=2 AND K=''"",0))="""",""COMPLETED"",""PENDING""),"""")"),"COMPLETED")</f>
        <v>COMPLETED</v>
      </c>
      <c r="D22" s="149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conditionalFormatting sqref="A1:D22">
    <cfRule type="cellIs" dxfId="2" priority="1" operator="equal">
      <formula>"COMPLETED"</formula>
    </cfRule>
  </conditionalFormatting>
  <conditionalFormatting sqref="A1:D22">
    <cfRule type="cellIs" dxfId="3" priority="2" operator="equal">
      <formula>"PENDING"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35.25"/>
    <col customWidth="1" min="3" max="3" width="60.13"/>
  </cols>
  <sheetData>
    <row r="1">
      <c r="A1" s="150" t="s">
        <v>2045</v>
      </c>
      <c r="B1" s="150" t="s">
        <v>1564</v>
      </c>
      <c r="C1" s="151" t="s">
        <v>255</v>
      </c>
    </row>
    <row r="2">
      <c r="A2" s="152" t="s">
        <v>1703</v>
      </c>
      <c r="B2" s="153" t="s">
        <v>2046</v>
      </c>
      <c r="C2" s="154" t="str">
        <f>IFERROR(__xludf.DUMMYFUNCTION("ifna(textjoin("","",1,FILTER('Consolidated Sheet'!L:L,'Consolidated Sheet'!E:E=B2)),textjoin("","",1,FILTER('Consolidated Sheet'!L:L,'Consolidated Sheet'!D:D=A2)))"),"Ms.NISHANTHINI S")</f>
        <v>Ms.NISHANTHINI S</v>
      </c>
    </row>
    <row r="3">
      <c r="A3" s="152" t="s">
        <v>1705</v>
      </c>
      <c r="B3" s="153" t="s">
        <v>2047</v>
      </c>
      <c r="C3" s="154" t="str">
        <f>IFERROR(__xludf.DUMMYFUNCTION("ifna(textjoin("","",1,FILTER('Consolidated Sheet'!L:L,'Consolidated Sheet'!E:E=B3)),textjoin("","",1,FILTER('Consolidated Sheet'!L:L,'Consolidated Sheet'!D:D=A3)))"),"Mr.CHANDRU K S,Mr.CHANDRU K S")</f>
        <v>Mr.CHANDRU K S,Mr.CHANDRU K S</v>
      </c>
      <c r="D3" s="144"/>
      <c r="E3" s="144"/>
    </row>
    <row r="4">
      <c r="A4" s="152" t="s">
        <v>1848</v>
      </c>
      <c r="B4" s="153" t="s">
        <v>2048</v>
      </c>
      <c r="C4" s="154" t="str">
        <f>IFERROR(__xludf.DUMMYFUNCTION("ifna(textjoin("","",1,FILTER('Consolidated Sheet'!L:L,'Consolidated Sheet'!E:E=B4)),textjoin("","",1,FILTER('Consolidated Sheet'!L:L,'Consolidated Sheet'!D:D=A4)))"),"Dr.PRAKASH S P,Mrs.NIVETHA G,Dr.ARULMURUGAN L,Mr.RAJA SEKAR S,Mr.KRISHNARAJ R")</f>
        <v>Dr.PRAKASH S P,Mrs.NIVETHA G,Dr.ARULMURUGAN L,Mr.RAJA SEKAR S,Mr.KRISHNARAJ R</v>
      </c>
      <c r="D4" s="144"/>
      <c r="E4" s="144"/>
    </row>
    <row r="5">
      <c r="A5" s="152" t="s">
        <v>1804</v>
      </c>
      <c r="B5" s="153" t="s">
        <v>2049</v>
      </c>
      <c r="C5" s="154" t="str">
        <f>IFERROR(__xludf.DUMMYFUNCTION("ifna(textjoin("","",1,FILTER('Consolidated Sheet'!L:L,'Consolidated Sheet'!E:E=B5)),textjoin("","",1,FILTER('Consolidated Sheet'!L:L,'Consolidated Sheet'!D:D=A5)))"),"Dr.SRITHA P,Mrs.GOPIKA N P")</f>
        <v>Dr.SRITHA P,Mrs.GOPIKA N P</v>
      </c>
      <c r="D5" s="144"/>
      <c r="E5" s="144"/>
    </row>
    <row r="6">
      <c r="A6" s="152" t="s">
        <v>1916</v>
      </c>
      <c r="B6" s="153" t="s">
        <v>2050</v>
      </c>
      <c r="C6" s="154" t="str">
        <f>IFERROR(__xludf.DUMMYFUNCTION("ifna(textjoin("","",1,FILTER('Consolidated Sheet'!L:L,'Consolidated Sheet'!E:E=B6)),textjoin("","",1,FILTER('Consolidated Sheet'!L:L,'Consolidated Sheet'!D:D=A6)))"),"Mr.PRAVIN SAVARIDASS M,Ms.SREENIVEATHA P")</f>
        <v>Mr.PRAVIN SAVARIDASS M,Ms.SREENIVEATHA P</v>
      </c>
      <c r="D6" s="144"/>
      <c r="E6" s="144"/>
    </row>
    <row r="7">
      <c r="A7" s="152" t="s">
        <v>1850</v>
      </c>
      <c r="B7" s="153" t="s">
        <v>2051</v>
      </c>
      <c r="C7" s="154" t="str">
        <f>IFERROR(__xludf.DUMMYFUNCTION("ifna(textjoin("","",1,FILTER('Consolidated Sheet'!L:L,'Consolidated Sheet'!E:E=B7)),textjoin("","",1,FILTER('Consolidated Sheet'!L:L,'Consolidated Sheet'!D:D=A7)))"),"Dr.MANOJKUMAR P,Mrs.NITHYA G,Dr.SATHISHKUMAR S,Dr.SENTHIL KUMAR J,Dr.SANJOY DEB,Mrs.SARANYA N,Dr.RAMKUMAR R,Mrs.DHANALAKSHMI S,Ms.SHARMILA A,Dr.DANIEL RAJ A,Mrs.RAGAVI M,Dr.HARITHA J,Ms.PRATHEEBHA G,Dr.NIJANDHAN K,Dr.NIJANDHAN K")</f>
        <v>Dr.MANOJKUMAR P,Mrs.NITHYA G,Dr.SATHISHKUMAR S,Dr.SENTHIL KUMAR J,Dr.SANJOY DEB,Mrs.SARANYA N,Dr.RAMKUMAR R,Mrs.DHANALAKSHMI S,Ms.SHARMILA A,Dr.DANIEL RAJ A,Mrs.RAGAVI M,Dr.HARITHA J,Ms.PRATHEEBHA G,Dr.NIJANDHAN K,Dr.NIJANDHAN K</v>
      </c>
      <c r="D7" s="144"/>
      <c r="E7" s="144"/>
    </row>
    <row r="8">
      <c r="A8" s="152" t="s">
        <v>1943</v>
      </c>
      <c r="B8" s="153" t="s">
        <v>2052</v>
      </c>
      <c r="C8" s="154" t="str">
        <f>IFERROR(__xludf.DUMMYFUNCTION("ifna(textjoin("","",1,FILTER('Consolidated Sheet'!L:L,'Consolidated Sheet'!E:E=B8)),textjoin("","",1,FILTER('Consolidated Sheet'!L:L,'Consolidated Sheet'!D:D=A8)))"),"Dr.DHAYANEETHI S,Dr.PRAVIN M C")</f>
        <v>Dr.DHAYANEETHI S,Dr.PRAVIN M C</v>
      </c>
      <c r="D8" s="144"/>
      <c r="E8" s="144"/>
    </row>
    <row r="9">
      <c r="A9" s="152" t="s">
        <v>1915</v>
      </c>
      <c r="B9" s="153" t="s">
        <v>2053</v>
      </c>
      <c r="C9" s="154" t="str">
        <f>IFERROR(__xludf.DUMMYFUNCTION("ifna(textjoin("","",1,FILTER('Consolidated Sheet'!L:L,'Consolidated Sheet'!E:E=B9)),textjoin("","",1,FILTER('Consolidated Sheet'!L:L,'Consolidated Sheet'!D:D=A9)))"),"Dr.ARUN JAYAKAR S,Dr.SUDHAHAR S")</f>
        <v>Dr.ARUN JAYAKAR S,Dr.SUDHAHAR S</v>
      </c>
      <c r="D9" s="144"/>
      <c r="E9" s="144"/>
    </row>
    <row r="10">
      <c r="A10" s="152" t="s">
        <v>2054</v>
      </c>
      <c r="B10" s="153" t="s">
        <v>2055</v>
      </c>
      <c r="C10" s="154" t="str">
        <f>IFERROR(__xludf.DUMMYFUNCTION("ifna(textjoin("","",1,FILTER('Consolidated Sheet'!L:L,'Consolidated Sheet'!E:E=B10)),textjoin("","",1,FILTER('Consolidated Sheet'!L:L,'Consolidated Sheet'!D:D=A10)))"),"Mrs.KIRUTHIGA R,Mr.NAVANEETH KUMAR K,Mr.CHOZHARAJAN P,Mrs.VAANATHI S,Mrs.KALPANA R,Mrs.KEERTHANA K,Mrs.SARANYA M K,Dr.DHIVYA P,Dr.PARTHASARATHI P,Mrs.PRABHA DEVI D,Mr.GOPAL R,Mr.ANANDAN P,Ms.KIRUTHIKA V R,Dr.CHANDRAPRABHA K,Mrs.JANANI T,Mr.SELVAKUMAR M,Mr"&amp;"s.ELAVARASI T")</f>
        <v>Mrs.KIRUTHIGA R,Mr.NAVANEETH KUMAR K,Mr.CHOZHARAJAN P,Mrs.VAANATHI S,Mrs.KALPANA R,Mrs.KEERTHANA K,Mrs.SARANYA M K,Dr.DHIVYA P,Dr.PARTHASARATHI P,Mrs.PRABHA DEVI D,Mr.GOPAL R,Mr.ANANDAN P,Ms.KIRUTHIKA V R,Dr.CHANDRAPRABHA K,Mrs.JANANI T,Mr.SELVAKUMAR M,Mrs.ELAVARASI T</v>
      </c>
    </row>
    <row r="11">
      <c r="A11" s="152" t="s">
        <v>2056</v>
      </c>
      <c r="B11" s="153" t="s">
        <v>2057</v>
      </c>
      <c r="C11" s="154" t="str">
        <f>IFERROR(__xludf.DUMMYFUNCTION("ifna(textjoin("","",1,FILTER('Consolidated Sheet'!L:L,'Consolidated Sheet'!E:E=B11)),textjoin("","",1,FILTER('Consolidated Sheet'!L:L,'Consolidated Sheet'!D:D=A11)))"),"Mr.RAJ KUMAR V S,Ms.ESAKKI MADURA E,Mrs.RESHMI T S,Mrs.NISHA DEVI K,Mrs.ASHFORN HERMINA J M,Mrs.MANJU M,Mrs.GAYATHRIDEVI M,Ms.NISHANTHINI S,Dr.SANGEETHAA SN,Dr.RAMYA R,Mrs.AMMU V,Mrs.KAYALVIZHI B,Ms.RATHNA S,Ms.THANGATAMILSELVI S,Mrs.SUBHASHREE P,Dr.PRIYA"&amp;" J,Ms.SABARMATHI K R,Mrs.SAVEETHA R")</f>
        <v>Mr.RAJ KUMAR V S,Ms.ESAKKI MADURA E,Mrs.RESHMI T S,Mrs.NISHA DEVI K,Mrs.ASHFORN HERMINA J M,Mrs.MANJU M,Mrs.GAYATHRIDEVI M,Ms.NISHANTHINI S,Dr.SANGEETHAA SN,Dr.RAMYA R,Mrs.AMMU V,Mrs.KAYALVIZHI B,Ms.RATHNA S,Ms.THANGATAMILSELVI S,Mrs.SUBHASHREE P,Dr.PRIYA J,Ms.SABARMATHI K R,Mrs.SAVEETHA R</v>
      </c>
    </row>
    <row r="12">
      <c r="A12" s="152" t="s">
        <v>2058</v>
      </c>
      <c r="B12" s="153" t="s">
        <v>2059</v>
      </c>
      <c r="C12" s="154" t="str">
        <f>IFERROR(__xludf.DUMMYFUNCTION("ifna(textjoin("","",1,FILTER('Consolidated Sheet'!L:L,'Consolidated Sheet'!E:E=B12)),textjoin("","",1,FILTER('Consolidated Sheet'!L:L,'Consolidated Sheet'!D:D=A12)))"),"Mrs.NITHYAPRIYA S,Dr.SUBBULAKSHMI M,Mr.SATHEESHKUMAR S,Mr.BALASAMY K,Ms.KANIMOZHI A,Ms.MOHANAPRIYA K,Dr.DEEPA PRIYA B S,Dr.SWATHYPRIYADHARSINI P,Mrs.ALAMELU M,Ms.SOUNDARIYA R S,Mrs.CHITRADEVI T N,Mrs.KALAIVANI E,Mrs.KAVITHA V,Ms.INDHU BHASHINI V,Ms.MUTHUM"&amp;"EENA S,Mrs.DEEPA SUMATHI M")</f>
        <v>Mrs.NITHYAPRIYA S,Dr.SUBBULAKSHMI M,Mr.SATHEESHKUMAR S,Mr.BALASAMY K,Ms.KANIMOZHI A,Ms.MOHANAPRIYA K,Dr.DEEPA PRIYA B S,Dr.SWATHYPRIYADHARSINI P,Mrs.ALAMELU M,Ms.SOUNDARIYA R S,Mrs.CHITRADEVI T N,Mrs.KALAIVANI E,Mrs.KAVITHA V,Ms.INDHU BHASHINI V,Ms.MUTHUMEENA S,Mrs.DEEPA SUMATHI M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75"/>
    <col customWidth="1" min="7" max="7" width="17.75"/>
    <col customWidth="1" min="9" max="9" width="19.38"/>
    <col customWidth="1" min="10" max="10" width="26.88"/>
  </cols>
  <sheetData>
    <row r="1">
      <c r="A1" s="127" t="s">
        <v>1560</v>
      </c>
      <c r="B1" s="127" t="s">
        <v>1561</v>
      </c>
      <c r="C1" s="127" t="s">
        <v>1562</v>
      </c>
      <c r="D1" s="127" t="s">
        <v>1563</v>
      </c>
      <c r="E1" s="127" t="s">
        <v>1564</v>
      </c>
      <c r="F1" s="127" t="s">
        <v>1565</v>
      </c>
      <c r="G1" s="145" t="s">
        <v>2060</v>
      </c>
      <c r="H1" s="127" t="s">
        <v>1570</v>
      </c>
      <c r="I1" s="130" t="s">
        <v>2061</v>
      </c>
      <c r="J1" s="127" t="s">
        <v>1571</v>
      </c>
    </row>
    <row r="2">
      <c r="A2" s="121" t="s">
        <v>4</v>
      </c>
      <c r="B2" s="121" t="s">
        <v>1612</v>
      </c>
      <c r="C2" s="121" t="s">
        <v>1622</v>
      </c>
      <c r="D2" s="121" t="s">
        <v>61</v>
      </c>
      <c r="E2" s="133" t="s">
        <v>62</v>
      </c>
      <c r="F2" s="121" t="s">
        <v>1576</v>
      </c>
      <c r="G2" s="121" t="s">
        <v>2062</v>
      </c>
      <c r="H2" s="121" t="s">
        <v>299</v>
      </c>
      <c r="I2" s="121" t="s">
        <v>2063</v>
      </c>
      <c r="J2" s="121" t="s">
        <v>302</v>
      </c>
      <c r="K2" s="121"/>
    </row>
    <row r="3">
      <c r="A3" s="121" t="s">
        <v>143</v>
      </c>
      <c r="B3" s="121" t="s">
        <v>1612</v>
      </c>
      <c r="C3" s="121" t="s">
        <v>1620</v>
      </c>
      <c r="D3" s="121" t="s">
        <v>147</v>
      </c>
      <c r="E3" s="133" t="s">
        <v>148</v>
      </c>
      <c r="F3" s="121" t="s">
        <v>1588</v>
      </c>
      <c r="G3" s="121" t="s">
        <v>2062</v>
      </c>
      <c r="H3" s="121" t="s">
        <v>2064</v>
      </c>
      <c r="I3" s="121" t="s">
        <v>2065</v>
      </c>
      <c r="J3" s="121" t="s">
        <v>2066</v>
      </c>
      <c r="K3" s="121"/>
    </row>
    <row r="4">
      <c r="A4" s="1" t="s">
        <v>40</v>
      </c>
      <c r="B4" s="1" t="s">
        <v>1596</v>
      </c>
      <c r="C4" s="1" t="s">
        <v>1573</v>
      </c>
      <c r="D4" s="1" t="s">
        <v>1899</v>
      </c>
      <c r="E4" s="1" t="s">
        <v>1649</v>
      </c>
      <c r="F4" s="1" t="s">
        <v>1579</v>
      </c>
      <c r="G4" s="1" t="s">
        <v>2062</v>
      </c>
      <c r="H4" s="155" t="s">
        <v>1226</v>
      </c>
      <c r="I4" s="156" t="s">
        <v>2067</v>
      </c>
      <c r="J4" s="157" t="s">
        <v>1228</v>
      </c>
      <c r="K4" s="158" t="s">
        <v>2068</v>
      </c>
    </row>
    <row r="5">
      <c r="A5" s="121" t="s">
        <v>24</v>
      </c>
      <c r="B5" s="121" t="s">
        <v>1596</v>
      </c>
      <c r="C5" s="121" t="s">
        <v>1573</v>
      </c>
      <c r="D5" s="121" t="s">
        <v>1707</v>
      </c>
      <c r="E5" s="133" t="s">
        <v>1708</v>
      </c>
      <c r="F5" s="121" t="s">
        <v>1576</v>
      </c>
      <c r="G5" s="121" t="s">
        <v>2069</v>
      </c>
      <c r="H5" s="121" t="s">
        <v>559</v>
      </c>
      <c r="I5" s="133" t="s">
        <v>2070</v>
      </c>
      <c r="J5" s="121" t="s">
        <v>561</v>
      </c>
      <c r="K5" s="121"/>
    </row>
    <row r="6">
      <c r="A6" s="159" t="s">
        <v>143</v>
      </c>
      <c r="B6" s="159" t="s">
        <v>1612</v>
      </c>
      <c r="C6" s="159" t="s">
        <v>1619</v>
      </c>
      <c r="D6" s="159" t="s">
        <v>2071</v>
      </c>
      <c r="E6" s="159" t="s">
        <v>1740</v>
      </c>
      <c r="F6" s="159" t="s">
        <v>1576</v>
      </c>
      <c r="G6" s="159" t="s">
        <v>2069</v>
      </c>
      <c r="H6" s="121" t="s">
        <v>346</v>
      </c>
      <c r="I6" s="133" t="s">
        <v>2072</v>
      </c>
      <c r="J6" s="121" t="s">
        <v>348</v>
      </c>
      <c r="K6" s="121"/>
    </row>
    <row r="7">
      <c r="A7" s="160"/>
      <c r="B7" s="160"/>
      <c r="C7" s="160"/>
      <c r="D7" s="160"/>
      <c r="E7" s="160"/>
      <c r="F7" s="160"/>
      <c r="G7" s="160"/>
      <c r="H7" s="121" t="s">
        <v>293</v>
      </c>
      <c r="I7" s="133" t="s">
        <v>2073</v>
      </c>
      <c r="J7" s="121" t="s">
        <v>295</v>
      </c>
      <c r="K7" s="121"/>
    </row>
    <row r="8">
      <c r="A8" s="121" t="s">
        <v>37</v>
      </c>
      <c r="B8" s="121" t="s">
        <v>1612</v>
      </c>
      <c r="C8" s="121" t="s">
        <v>1573</v>
      </c>
      <c r="D8" s="121" t="s">
        <v>1924</v>
      </c>
      <c r="E8" s="133" t="s">
        <v>1694</v>
      </c>
      <c r="F8" s="121" t="s">
        <v>1588</v>
      </c>
      <c r="G8" s="121" t="s">
        <v>2069</v>
      </c>
      <c r="H8" s="155" t="s">
        <v>1226</v>
      </c>
      <c r="I8" s="156" t="s">
        <v>2067</v>
      </c>
      <c r="J8" s="157" t="s">
        <v>1228</v>
      </c>
      <c r="K8" s="158" t="s">
        <v>2068</v>
      </c>
    </row>
    <row r="9">
      <c r="A9" s="159" t="s">
        <v>151</v>
      </c>
      <c r="B9" s="159" t="s">
        <v>1596</v>
      </c>
      <c r="C9" s="159" t="s">
        <v>1573</v>
      </c>
      <c r="D9" s="159" t="s">
        <v>2074</v>
      </c>
      <c r="E9" s="159" t="s">
        <v>1651</v>
      </c>
      <c r="F9" s="159" t="s">
        <v>1576</v>
      </c>
      <c r="G9" s="159" t="s">
        <v>2075</v>
      </c>
      <c r="H9" s="122" t="s">
        <v>726</v>
      </c>
      <c r="I9" s="133" t="s">
        <v>2076</v>
      </c>
      <c r="J9" s="133" t="s">
        <v>728</v>
      </c>
      <c r="K9" s="121"/>
    </row>
    <row r="10">
      <c r="A10" s="161"/>
      <c r="B10" s="161"/>
      <c r="C10" s="161"/>
      <c r="D10" s="161"/>
      <c r="E10" s="161"/>
      <c r="F10" s="161"/>
      <c r="G10" s="161"/>
      <c r="H10" s="1" t="s">
        <v>1150</v>
      </c>
      <c r="I10" s="133" t="s">
        <v>2077</v>
      </c>
      <c r="J10" s="133" t="s">
        <v>1152</v>
      </c>
      <c r="K10" s="121"/>
    </row>
    <row r="11">
      <c r="A11" s="161"/>
      <c r="B11" s="161"/>
      <c r="C11" s="161"/>
      <c r="D11" s="161"/>
      <c r="E11" s="161"/>
      <c r="F11" s="161"/>
      <c r="G11" s="161"/>
      <c r="H11" s="122" t="s">
        <v>2078</v>
      </c>
      <c r="I11" s="133" t="s">
        <v>2079</v>
      </c>
      <c r="J11" s="133" t="s">
        <v>2080</v>
      </c>
      <c r="K11" s="121"/>
    </row>
    <row r="12">
      <c r="A12" s="160"/>
      <c r="B12" s="160"/>
      <c r="C12" s="160"/>
      <c r="D12" s="160"/>
      <c r="E12" s="160"/>
      <c r="F12" s="160"/>
      <c r="G12" s="160"/>
      <c r="H12" s="122" t="s">
        <v>690</v>
      </c>
      <c r="I12" s="133" t="s">
        <v>2081</v>
      </c>
      <c r="J12" s="133" t="s">
        <v>692</v>
      </c>
      <c r="K12" s="121"/>
    </row>
    <row r="13">
      <c r="A13" s="121" t="s">
        <v>151</v>
      </c>
      <c r="B13" s="121" t="s">
        <v>1612</v>
      </c>
      <c r="C13" s="121" t="s">
        <v>1620</v>
      </c>
      <c r="D13" s="121" t="s">
        <v>156</v>
      </c>
      <c r="E13" s="133" t="s">
        <v>148</v>
      </c>
      <c r="F13" s="121" t="s">
        <v>1579</v>
      </c>
      <c r="G13" s="121" t="s">
        <v>2075</v>
      </c>
      <c r="H13" s="122" t="s">
        <v>1205</v>
      </c>
      <c r="I13" s="133" t="s">
        <v>2082</v>
      </c>
      <c r="J13" s="133" t="s">
        <v>1207</v>
      </c>
      <c r="K13" s="121"/>
    </row>
    <row r="14">
      <c r="A14" s="121" t="s">
        <v>24</v>
      </c>
      <c r="B14" s="121" t="s">
        <v>1572</v>
      </c>
      <c r="C14" s="121" t="s">
        <v>1573</v>
      </c>
      <c r="D14" s="121" t="s">
        <v>2083</v>
      </c>
      <c r="E14" s="133" t="s">
        <v>2084</v>
      </c>
      <c r="F14" s="121" t="s">
        <v>1576</v>
      </c>
      <c r="G14" s="121" t="s">
        <v>2085</v>
      </c>
      <c r="H14" s="162"/>
      <c r="I14" s="162"/>
      <c r="J14" s="162"/>
      <c r="K14" s="162"/>
    </row>
    <row r="15">
      <c r="A15" s="121" t="s">
        <v>1995</v>
      </c>
      <c r="B15" s="121" t="s">
        <v>1572</v>
      </c>
      <c r="C15" s="121" t="s">
        <v>1573</v>
      </c>
      <c r="D15" s="121" t="s">
        <v>1998</v>
      </c>
      <c r="E15" s="133" t="s">
        <v>1999</v>
      </c>
      <c r="F15" s="121" t="s">
        <v>1576</v>
      </c>
      <c r="G15" s="121" t="s">
        <v>2085</v>
      </c>
      <c r="H15" s="162"/>
      <c r="I15" s="162"/>
      <c r="J15" s="162"/>
      <c r="K15" s="162"/>
    </row>
  </sheetData>
  <autoFilter ref="$A$1:$K$15"/>
  <mergeCells count="14">
    <mergeCell ref="A9:A12"/>
    <mergeCell ref="B9:B12"/>
    <mergeCell ref="C9:C12"/>
    <mergeCell ref="D9:D12"/>
    <mergeCell ref="E9:E12"/>
    <mergeCell ref="F9:F12"/>
    <mergeCell ref="G9:G12"/>
    <mergeCell ref="A6:A7"/>
    <mergeCell ref="B6:B7"/>
    <mergeCell ref="C6:C7"/>
    <mergeCell ref="D6:D7"/>
    <mergeCell ref="E6:E7"/>
    <mergeCell ref="F6:F7"/>
    <mergeCell ref="G6:G7"/>
  </mergeCells>
  <conditionalFormatting sqref="H9:H13">
    <cfRule type="containsBlanks" dxfId="1" priority="1">
      <formula>LEN(TRIM(H9))=0</formula>
    </cfRule>
  </conditionalFormatting>
  <conditionalFormatting sqref="E2:E3 E8 E13:E15">
    <cfRule type="notContainsBlanks" dxfId="4" priority="2">
      <formula>LEN(TRIM(E2))&gt;0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  <col customWidth="1" min="5" max="5" width="20.75"/>
    <col customWidth="1" min="6" max="6" width="20.88"/>
  </cols>
  <sheetData>
    <row r="1" ht="26.25" customHeight="1">
      <c r="A1" s="163" t="s">
        <v>1560</v>
      </c>
      <c r="B1" s="163" t="s">
        <v>1561</v>
      </c>
      <c r="C1" s="163" t="s">
        <v>1562</v>
      </c>
      <c r="D1" s="163" t="s">
        <v>1563</v>
      </c>
      <c r="E1" s="164" t="s">
        <v>1564</v>
      </c>
      <c r="F1" s="23" t="s">
        <v>2086</v>
      </c>
    </row>
    <row r="2">
      <c r="A2" s="165" t="s">
        <v>0</v>
      </c>
      <c r="B2" s="165" t="s">
        <v>1596</v>
      </c>
      <c r="C2" s="165" t="s">
        <v>1573</v>
      </c>
      <c r="D2" s="165" t="s">
        <v>1597</v>
      </c>
      <c r="E2" s="166" t="s">
        <v>1598</v>
      </c>
      <c r="F2" s="165"/>
    </row>
    <row r="3">
      <c r="A3" s="165" t="s">
        <v>0</v>
      </c>
      <c r="B3" s="165" t="s">
        <v>1596</v>
      </c>
      <c r="C3" s="165" t="s">
        <v>1573</v>
      </c>
      <c r="D3" s="165" t="s">
        <v>1599</v>
      </c>
      <c r="E3" s="166" t="s">
        <v>1600</v>
      </c>
      <c r="F3" s="165"/>
    </row>
    <row r="4">
      <c r="A4" s="165" t="s">
        <v>0</v>
      </c>
      <c r="B4" s="165" t="s">
        <v>1596</v>
      </c>
      <c r="C4" s="165" t="s">
        <v>1573</v>
      </c>
      <c r="D4" s="165" t="s">
        <v>1601</v>
      </c>
      <c r="E4" s="166" t="s">
        <v>1602</v>
      </c>
      <c r="F4" s="165"/>
    </row>
    <row r="5">
      <c r="A5" s="165" t="s">
        <v>0</v>
      </c>
      <c r="B5" s="165" t="s">
        <v>1596</v>
      </c>
      <c r="C5" s="165" t="s">
        <v>1573</v>
      </c>
      <c r="D5" s="165" t="s">
        <v>1603</v>
      </c>
      <c r="E5" s="166" t="s">
        <v>1604</v>
      </c>
      <c r="F5" s="165"/>
    </row>
    <row r="6">
      <c r="A6" s="165" t="s">
        <v>0</v>
      </c>
      <c r="B6" s="165" t="s">
        <v>1612</v>
      </c>
      <c r="C6" s="165" t="s">
        <v>1573</v>
      </c>
      <c r="D6" s="165" t="s">
        <v>1613</v>
      </c>
      <c r="E6" s="166" t="s">
        <v>1614</v>
      </c>
      <c r="F6" s="165"/>
    </row>
    <row r="7">
      <c r="A7" s="165" t="s">
        <v>0</v>
      </c>
      <c r="B7" s="165" t="s">
        <v>1612</v>
      </c>
      <c r="C7" s="165" t="s">
        <v>1573</v>
      </c>
      <c r="D7" s="165" t="s">
        <v>1615</v>
      </c>
      <c r="E7" s="166" t="s">
        <v>1616</v>
      </c>
      <c r="F7" s="165"/>
    </row>
    <row r="8">
      <c r="A8" s="165" t="s">
        <v>0</v>
      </c>
      <c r="B8" s="165" t="s">
        <v>1612</v>
      </c>
      <c r="C8" s="165" t="s">
        <v>1573</v>
      </c>
      <c r="D8" s="165" t="s">
        <v>1617</v>
      </c>
      <c r="E8" s="166" t="s">
        <v>1618</v>
      </c>
      <c r="F8" s="165"/>
    </row>
    <row r="9">
      <c r="A9" s="165" t="s">
        <v>4</v>
      </c>
      <c r="B9" s="165" t="s">
        <v>1596</v>
      </c>
      <c r="C9" s="165" t="s">
        <v>1573</v>
      </c>
      <c r="D9" s="165" t="s">
        <v>1648</v>
      </c>
      <c r="E9" s="166" t="s">
        <v>1649</v>
      </c>
      <c r="F9" s="165"/>
    </row>
    <row r="10">
      <c r="A10" s="165" t="s">
        <v>4</v>
      </c>
      <c r="B10" s="165" t="s">
        <v>1596</v>
      </c>
      <c r="C10" s="165" t="s">
        <v>1573</v>
      </c>
      <c r="D10" s="165" t="s">
        <v>1652</v>
      </c>
      <c r="E10" s="166" t="s">
        <v>1653</v>
      </c>
      <c r="F10" s="165"/>
    </row>
    <row r="11">
      <c r="A11" s="165" t="s">
        <v>4</v>
      </c>
      <c r="B11" s="165" t="s">
        <v>1596</v>
      </c>
      <c r="C11" s="165" t="s">
        <v>1573</v>
      </c>
      <c r="D11" s="165" t="s">
        <v>1654</v>
      </c>
      <c r="E11" s="166" t="s">
        <v>1655</v>
      </c>
      <c r="F11" s="165"/>
    </row>
    <row r="12">
      <c r="A12" s="165" t="s">
        <v>4</v>
      </c>
      <c r="B12" s="165" t="s">
        <v>1612</v>
      </c>
      <c r="C12" s="165" t="s">
        <v>1573</v>
      </c>
      <c r="D12" s="165" t="s">
        <v>1656</v>
      </c>
      <c r="E12" s="166" t="s">
        <v>1657</v>
      </c>
      <c r="F12" s="165"/>
    </row>
    <row r="13">
      <c r="A13" s="165" t="s">
        <v>4</v>
      </c>
      <c r="B13" s="165" t="s">
        <v>1612</v>
      </c>
      <c r="C13" s="165" t="s">
        <v>1573</v>
      </c>
      <c r="D13" s="165" t="s">
        <v>1658</v>
      </c>
      <c r="E13" s="166" t="s">
        <v>1659</v>
      </c>
      <c r="F13" s="165"/>
    </row>
    <row r="14">
      <c r="A14" s="165" t="s">
        <v>4</v>
      </c>
      <c r="B14" s="165" t="s">
        <v>1612</v>
      </c>
      <c r="C14" s="165" t="s">
        <v>1573</v>
      </c>
      <c r="D14" s="165" t="s">
        <v>1660</v>
      </c>
      <c r="E14" s="166" t="s">
        <v>1661</v>
      </c>
      <c r="F14" s="165"/>
    </row>
    <row r="15">
      <c r="A15" s="165" t="s">
        <v>9</v>
      </c>
      <c r="B15" s="165" t="s">
        <v>1596</v>
      </c>
      <c r="C15" s="165" t="s">
        <v>1573</v>
      </c>
      <c r="D15" s="165" t="s">
        <v>1670</v>
      </c>
      <c r="E15" s="166" t="s">
        <v>1649</v>
      </c>
      <c r="F15" s="165"/>
    </row>
    <row r="16">
      <c r="A16" s="165" t="s">
        <v>9</v>
      </c>
      <c r="B16" s="165" t="s">
        <v>1596</v>
      </c>
      <c r="C16" s="165" t="s">
        <v>1573</v>
      </c>
      <c r="D16" s="165" t="s">
        <v>1672</v>
      </c>
      <c r="E16" s="166" t="s">
        <v>1653</v>
      </c>
      <c r="F16" s="165"/>
    </row>
    <row r="17">
      <c r="A17" s="165" t="s">
        <v>9</v>
      </c>
      <c r="B17" s="165" t="s">
        <v>1596</v>
      </c>
      <c r="C17" s="165" t="s">
        <v>1573</v>
      </c>
      <c r="D17" s="165" t="s">
        <v>1673</v>
      </c>
      <c r="E17" s="166" t="s">
        <v>1655</v>
      </c>
      <c r="F17" s="165"/>
    </row>
    <row r="18">
      <c r="A18" s="165" t="s">
        <v>9</v>
      </c>
      <c r="B18" s="165" t="s">
        <v>1612</v>
      </c>
      <c r="C18" s="165" t="s">
        <v>1573</v>
      </c>
      <c r="D18" s="165" t="s">
        <v>1674</v>
      </c>
      <c r="E18" s="166" t="s">
        <v>1657</v>
      </c>
      <c r="F18" s="165"/>
    </row>
    <row r="19">
      <c r="A19" s="165" t="s">
        <v>9</v>
      </c>
      <c r="B19" s="165" t="s">
        <v>1612</v>
      </c>
      <c r="C19" s="165" t="s">
        <v>1573</v>
      </c>
      <c r="D19" s="165" t="s">
        <v>1675</v>
      </c>
      <c r="E19" s="166" t="s">
        <v>1659</v>
      </c>
      <c r="F19" s="165"/>
    </row>
    <row r="20">
      <c r="A20" s="165" t="s">
        <v>9</v>
      </c>
      <c r="B20" s="165" t="s">
        <v>1612</v>
      </c>
      <c r="C20" s="165" t="s">
        <v>1573</v>
      </c>
      <c r="D20" s="165" t="s">
        <v>1676</v>
      </c>
      <c r="E20" s="166" t="s">
        <v>1661</v>
      </c>
      <c r="F20" s="165"/>
    </row>
    <row r="21">
      <c r="A21" s="165" t="s">
        <v>83</v>
      </c>
      <c r="B21" s="165" t="s">
        <v>1596</v>
      </c>
      <c r="C21" s="165" t="s">
        <v>1573</v>
      </c>
      <c r="D21" s="165" t="s">
        <v>2087</v>
      </c>
      <c r="E21" s="166" t="s">
        <v>2088</v>
      </c>
      <c r="F21" s="165"/>
    </row>
    <row r="22">
      <c r="A22" s="165" t="s">
        <v>83</v>
      </c>
      <c r="B22" s="165" t="s">
        <v>1596</v>
      </c>
      <c r="C22" s="165" t="s">
        <v>1573</v>
      </c>
      <c r="D22" s="165" t="s">
        <v>2089</v>
      </c>
      <c r="E22" s="166" t="s">
        <v>1807</v>
      </c>
      <c r="F22" s="165"/>
    </row>
    <row r="23">
      <c r="A23" s="165" t="s">
        <v>83</v>
      </c>
      <c r="B23" s="165" t="s">
        <v>1612</v>
      </c>
      <c r="C23" s="165" t="s">
        <v>1573</v>
      </c>
      <c r="D23" s="165" t="s">
        <v>1689</v>
      </c>
      <c r="E23" s="166" t="s">
        <v>1690</v>
      </c>
      <c r="F23" s="165"/>
    </row>
    <row r="24">
      <c r="A24" s="165" t="s">
        <v>83</v>
      </c>
      <c r="B24" s="165" t="s">
        <v>1612</v>
      </c>
      <c r="C24" s="165" t="s">
        <v>1573</v>
      </c>
      <c r="D24" s="165" t="s">
        <v>1691</v>
      </c>
      <c r="E24" s="166" t="s">
        <v>1692</v>
      </c>
      <c r="F24" s="165"/>
    </row>
    <row r="25">
      <c r="A25" s="165" t="s">
        <v>83</v>
      </c>
      <c r="B25" s="165" t="s">
        <v>1612</v>
      </c>
      <c r="C25" s="165" t="s">
        <v>1573</v>
      </c>
      <c r="D25" s="165" t="s">
        <v>1693</v>
      </c>
      <c r="E25" s="166" t="s">
        <v>1694</v>
      </c>
      <c r="F25" s="165"/>
    </row>
    <row r="26">
      <c r="A26" s="165" t="s">
        <v>13</v>
      </c>
      <c r="B26" s="165" t="s">
        <v>1596</v>
      </c>
      <c r="C26" s="165" t="s">
        <v>1573</v>
      </c>
      <c r="D26" s="165" t="s">
        <v>1765</v>
      </c>
      <c r="E26" s="166" t="s">
        <v>1766</v>
      </c>
      <c r="F26" s="165"/>
    </row>
    <row r="27">
      <c r="A27" s="165" t="s">
        <v>13</v>
      </c>
      <c r="B27" s="165" t="s">
        <v>1596</v>
      </c>
      <c r="C27" s="165" t="s">
        <v>1573</v>
      </c>
      <c r="D27" s="165" t="s">
        <v>1767</v>
      </c>
      <c r="E27" s="166" t="s">
        <v>1600</v>
      </c>
      <c r="F27" s="165"/>
    </row>
    <row r="28">
      <c r="A28" s="165" t="s">
        <v>13</v>
      </c>
      <c r="B28" s="165" t="s">
        <v>1596</v>
      </c>
      <c r="C28" s="165" t="s">
        <v>1573</v>
      </c>
      <c r="D28" s="165" t="s">
        <v>1768</v>
      </c>
      <c r="E28" s="166" t="s">
        <v>1769</v>
      </c>
      <c r="F28" s="165"/>
    </row>
    <row r="29">
      <c r="A29" s="165" t="s">
        <v>13</v>
      </c>
      <c r="B29" s="165" t="s">
        <v>1596</v>
      </c>
      <c r="C29" s="165" t="s">
        <v>1573</v>
      </c>
      <c r="D29" s="165" t="s">
        <v>1770</v>
      </c>
      <c r="E29" s="166" t="s">
        <v>1771</v>
      </c>
      <c r="F29" s="165"/>
    </row>
    <row r="30">
      <c r="A30" s="165" t="s">
        <v>13</v>
      </c>
      <c r="B30" s="165" t="s">
        <v>1596</v>
      </c>
      <c r="C30" s="165" t="s">
        <v>1573</v>
      </c>
      <c r="D30" s="165" t="s">
        <v>1772</v>
      </c>
      <c r="E30" s="166" t="s">
        <v>1773</v>
      </c>
      <c r="F30" s="165"/>
    </row>
    <row r="31">
      <c r="A31" s="165" t="s">
        <v>13</v>
      </c>
      <c r="B31" s="165" t="s">
        <v>1612</v>
      </c>
      <c r="C31" s="165" t="s">
        <v>1573</v>
      </c>
      <c r="D31" s="165" t="s">
        <v>1774</v>
      </c>
      <c r="E31" s="166" t="s">
        <v>1775</v>
      </c>
      <c r="F31" s="165"/>
    </row>
    <row r="32">
      <c r="A32" s="165" t="s">
        <v>13</v>
      </c>
      <c r="B32" s="165" t="s">
        <v>1612</v>
      </c>
      <c r="C32" s="165" t="s">
        <v>1573</v>
      </c>
      <c r="D32" s="165" t="s">
        <v>1776</v>
      </c>
      <c r="E32" s="166" t="s">
        <v>1777</v>
      </c>
      <c r="F32" s="165"/>
    </row>
    <row r="33">
      <c r="A33" s="165" t="s">
        <v>13</v>
      </c>
      <c r="B33" s="165" t="s">
        <v>1612</v>
      </c>
      <c r="C33" s="165" t="s">
        <v>1573</v>
      </c>
      <c r="D33" s="165" t="s">
        <v>1778</v>
      </c>
      <c r="E33" s="166" t="s">
        <v>1779</v>
      </c>
      <c r="F33" s="165"/>
    </row>
    <row r="34">
      <c r="A34" s="165" t="s">
        <v>111</v>
      </c>
      <c r="B34" s="165" t="s">
        <v>1596</v>
      </c>
      <c r="C34" s="165" t="s">
        <v>1573</v>
      </c>
      <c r="D34" s="165" t="s">
        <v>2090</v>
      </c>
      <c r="E34" s="166" t="s">
        <v>2091</v>
      </c>
      <c r="F34" s="165"/>
    </row>
    <row r="35">
      <c r="A35" s="165" t="s">
        <v>111</v>
      </c>
      <c r="B35" s="165" t="s">
        <v>1596</v>
      </c>
      <c r="C35" s="165" t="s">
        <v>1573</v>
      </c>
      <c r="D35" s="165" t="s">
        <v>2092</v>
      </c>
      <c r="E35" s="166" t="s">
        <v>2093</v>
      </c>
      <c r="F35" s="165"/>
    </row>
    <row r="36">
      <c r="A36" s="165" t="s">
        <v>111</v>
      </c>
      <c r="B36" s="165" t="s">
        <v>1596</v>
      </c>
      <c r="C36" s="165" t="s">
        <v>1573</v>
      </c>
      <c r="D36" s="165" t="s">
        <v>2094</v>
      </c>
      <c r="E36" s="166" t="s">
        <v>2095</v>
      </c>
      <c r="F36" s="165"/>
    </row>
    <row r="37">
      <c r="A37" s="165" t="s">
        <v>111</v>
      </c>
      <c r="B37" s="165" t="s">
        <v>1596</v>
      </c>
      <c r="C37" s="165" t="s">
        <v>1573</v>
      </c>
      <c r="D37" s="165" t="s">
        <v>2096</v>
      </c>
      <c r="E37" s="166" t="s">
        <v>2097</v>
      </c>
      <c r="F37" s="165"/>
    </row>
    <row r="38">
      <c r="A38" s="165" t="s">
        <v>111</v>
      </c>
      <c r="B38" s="165" t="s">
        <v>1612</v>
      </c>
      <c r="C38" s="165" t="s">
        <v>1573</v>
      </c>
      <c r="D38" s="165" t="s">
        <v>1824</v>
      </c>
      <c r="E38" s="166" t="s">
        <v>1825</v>
      </c>
      <c r="F38" s="165"/>
    </row>
    <row r="39">
      <c r="A39" s="165" t="s">
        <v>18</v>
      </c>
      <c r="B39" s="165" t="s">
        <v>1596</v>
      </c>
      <c r="C39" s="165" t="s">
        <v>1573</v>
      </c>
      <c r="D39" s="165" t="s">
        <v>1729</v>
      </c>
      <c r="E39" s="166" t="s">
        <v>1649</v>
      </c>
      <c r="F39" s="165"/>
    </row>
    <row r="40">
      <c r="A40" s="165" t="s">
        <v>18</v>
      </c>
      <c r="B40" s="165" t="s">
        <v>1596</v>
      </c>
      <c r="C40" s="165" t="s">
        <v>1573</v>
      </c>
      <c r="D40" s="165" t="s">
        <v>1731</v>
      </c>
      <c r="E40" s="166" t="s">
        <v>1653</v>
      </c>
      <c r="F40" s="165"/>
    </row>
    <row r="41">
      <c r="A41" s="165" t="s">
        <v>18</v>
      </c>
      <c r="B41" s="165" t="s">
        <v>1596</v>
      </c>
      <c r="C41" s="165" t="s">
        <v>1573</v>
      </c>
      <c r="D41" s="165" t="s">
        <v>1732</v>
      </c>
      <c r="E41" s="166" t="s">
        <v>1655</v>
      </c>
      <c r="F41" s="165"/>
    </row>
    <row r="42">
      <c r="A42" s="165" t="s">
        <v>18</v>
      </c>
      <c r="B42" s="165" t="s">
        <v>1612</v>
      </c>
      <c r="C42" s="165" t="s">
        <v>1573</v>
      </c>
      <c r="D42" s="165" t="s">
        <v>1737</v>
      </c>
      <c r="E42" s="166" t="s">
        <v>1738</v>
      </c>
      <c r="F42" s="165"/>
    </row>
    <row r="43">
      <c r="A43" s="165" t="s">
        <v>18</v>
      </c>
      <c r="B43" s="165" t="s">
        <v>1612</v>
      </c>
      <c r="C43" s="165" t="s">
        <v>1620</v>
      </c>
      <c r="D43" s="165" t="s">
        <v>2098</v>
      </c>
      <c r="E43" s="166" t="s">
        <v>148</v>
      </c>
      <c r="F43" s="165"/>
    </row>
    <row r="44">
      <c r="A44" s="165" t="s">
        <v>18</v>
      </c>
      <c r="B44" s="165" t="s">
        <v>1612</v>
      </c>
      <c r="C44" s="165" t="s">
        <v>1623</v>
      </c>
      <c r="D44" s="165" t="s">
        <v>2099</v>
      </c>
      <c r="E44" s="166" t="s">
        <v>1742</v>
      </c>
      <c r="F44" s="165"/>
    </row>
    <row r="45">
      <c r="A45" s="165" t="s">
        <v>24</v>
      </c>
      <c r="B45" s="165" t="s">
        <v>1596</v>
      </c>
      <c r="C45" s="165" t="s">
        <v>1573</v>
      </c>
      <c r="D45" s="165" t="s">
        <v>1702</v>
      </c>
      <c r="E45" s="166" t="s">
        <v>1651</v>
      </c>
      <c r="F45" s="165"/>
    </row>
    <row r="46">
      <c r="A46" s="165" t="s">
        <v>24</v>
      </c>
      <c r="B46" s="165" t="s">
        <v>1596</v>
      </c>
      <c r="C46" s="165" t="s">
        <v>1573</v>
      </c>
      <c r="D46" s="165" t="s">
        <v>1703</v>
      </c>
      <c r="E46" s="166" t="s">
        <v>1704</v>
      </c>
      <c r="F46" s="165"/>
    </row>
    <row r="47">
      <c r="A47" s="165" t="s">
        <v>24</v>
      </c>
      <c r="B47" s="165" t="s">
        <v>1596</v>
      </c>
      <c r="C47" s="165" t="s">
        <v>1573</v>
      </c>
      <c r="D47" s="165" t="s">
        <v>1705</v>
      </c>
      <c r="E47" s="166" t="s">
        <v>1706</v>
      </c>
      <c r="F47" s="165"/>
    </row>
    <row r="48">
      <c r="A48" s="165" t="s">
        <v>24</v>
      </c>
      <c r="B48" s="165" t="s">
        <v>1596</v>
      </c>
      <c r="C48" s="165" t="s">
        <v>1573</v>
      </c>
      <c r="D48" s="165" t="s">
        <v>1709</v>
      </c>
      <c r="E48" s="166" t="s">
        <v>1710</v>
      </c>
      <c r="F48" s="165"/>
    </row>
    <row r="49">
      <c r="A49" s="165" t="s">
        <v>24</v>
      </c>
      <c r="B49" s="165" t="s">
        <v>1612</v>
      </c>
      <c r="C49" s="165" t="s">
        <v>1573</v>
      </c>
      <c r="D49" s="165" t="s">
        <v>1713</v>
      </c>
      <c r="E49" s="166" t="s">
        <v>1714</v>
      </c>
      <c r="F49" s="165"/>
    </row>
    <row r="50">
      <c r="A50" s="165" t="s">
        <v>24</v>
      </c>
      <c r="B50" s="165" t="s">
        <v>1612</v>
      </c>
      <c r="C50" s="165" t="s">
        <v>1573</v>
      </c>
      <c r="D50" s="165" t="s">
        <v>1717</v>
      </c>
      <c r="E50" s="166" t="s">
        <v>1718</v>
      </c>
      <c r="F50" s="165"/>
    </row>
    <row r="51">
      <c r="A51" s="165" t="s">
        <v>24</v>
      </c>
      <c r="B51" s="165" t="s">
        <v>1612</v>
      </c>
      <c r="C51" s="165" t="s">
        <v>1573</v>
      </c>
      <c r="D51" s="165" t="s">
        <v>1719</v>
      </c>
      <c r="E51" s="166" t="s">
        <v>1720</v>
      </c>
      <c r="F51" s="165"/>
    </row>
    <row r="52">
      <c r="A52" s="165" t="s">
        <v>143</v>
      </c>
      <c r="B52" s="165" t="s">
        <v>1596</v>
      </c>
      <c r="C52" s="165" t="s">
        <v>1573</v>
      </c>
      <c r="D52" s="165" t="s">
        <v>2100</v>
      </c>
      <c r="E52" s="166" t="s">
        <v>1649</v>
      </c>
      <c r="F52" s="165"/>
    </row>
    <row r="53">
      <c r="A53" s="165" t="s">
        <v>143</v>
      </c>
      <c r="B53" s="165" t="s">
        <v>1596</v>
      </c>
      <c r="C53" s="165" t="s">
        <v>1573</v>
      </c>
      <c r="D53" s="165" t="s">
        <v>2101</v>
      </c>
      <c r="E53" s="166" t="s">
        <v>1653</v>
      </c>
      <c r="F53" s="165"/>
    </row>
    <row r="54">
      <c r="A54" s="165" t="s">
        <v>143</v>
      </c>
      <c r="B54" s="165" t="s">
        <v>1596</v>
      </c>
      <c r="C54" s="165" t="s">
        <v>1573</v>
      </c>
      <c r="D54" s="165" t="s">
        <v>2102</v>
      </c>
      <c r="E54" s="166" t="s">
        <v>1655</v>
      </c>
      <c r="F54" s="165"/>
    </row>
    <row r="55">
      <c r="A55" s="165" t="s">
        <v>143</v>
      </c>
      <c r="B55" s="165" t="s">
        <v>1612</v>
      </c>
      <c r="C55" s="165" t="s">
        <v>1573</v>
      </c>
      <c r="D55" s="165" t="s">
        <v>1787</v>
      </c>
      <c r="E55" s="166" t="s">
        <v>1788</v>
      </c>
      <c r="F55" s="165"/>
    </row>
    <row r="56">
      <c r="A56" s="165" t="s">
        <v>143</v>
      </c>
      <c r="B56" s="165" t="s">
        <v>1612</v>
      </c>
      <c r="C56" s="165" t="s">
        <v>1620</v>
      </c>
      <c r="D56" s="165" t="s">
        <v>147</v>
      </c>
      <c r="E56" s="166" t="s">
        <v>148</v>
      </c>
      <c r="F56" s="165"/>
    </row>
    <row r="57">
      <c r="A57" s="165" t="s">
        <v>143</v>
      </c>
      <c r="B57" s="165" t="s">
        <v>1612</v>
      </c>
      <c r="C57" s="165" t="s">
        <v>1623</v>
      </c>
      <c r="D57" s="165" t="s">
        <v>1792</v>
      </c>
      <c r="E57" s="166" t="s">
        <v>1793</v>
      </c>
      <c r="F57" s="165"/>
    </row>
    <row r="58">
      <c r="A58" s="165" t="s">
        <v>151</v>
      </c>
      <c r="B58" s="165" t="s">
        <v>1596</v>
      </c>
      <c r="C58" s="165" t="s">
        <v>1573</v>
      </c>
      <c r="D58" s="165" t="s">
        <v>2103</v>
      </c>
      <c r="E58" s="166" t="s">
        <v>1649</v>
      </c>
      <c r="F58" s="165"/>
    </row>
    <row r="59">
      <c r="A59" s="165" t="s">
        <v>151</v>
      </c>
      <c r="B59" s="165" t="s">
        <v>1596</v>
      </c>
      <c r="C59" s="165" t="s">
        <v>1573</v>
      </c>
      <c r="D59" s="165" t="s">
        <v>2104</v>
      </c>
      <c r="E59" s="166" t="s">
        <v>1653</v>
      </c>
      <c r="F59" s="165"/>
    </row>
    <row r="60">
      <c r="A60" s="165" t="s">
        <v>151</v>
      </c>
      <c r="B60" s="165" t="s">
        <v>1596</v>
      </c>
      <c r="C60" s="165" t="s">
        <v>1573</v>
      </c>
      <c r="D60" s="165" t="s">
        <v>2105</v>
      </c>
      <c r="E60" s="166" t="s">
        <v>1655</v>
      </c>
      <c r="F60" s="165"/>
    </row>
    <row r="61">
      <c r="A61" s="165" t="s">
        <v>151</v>
      </c>
      <c r="B61" s="165" t="s">
        <v>1612</v>
      </c>
      <c r="C61" s="165" t="s">
        <v>1573</v>
      </c>
      <c r="D61" s="165" t="s">
        <v>1866</v>
      </c>
      <c r="E61" s="166" t="s">
        <v>1867</v>
      </c>
      <c r="F61" s="165"/>
    </row>
    <row r="62">
      <c r="A62" s="165" t="s">
        <v>151</v>
      </c>
      <c r="B62" s="165" t="s">
        <v>1612</v>
      </c>
      <c r="C62" s="165" t="s">
        <v>1573</v>
      </c>
      <c r="D62" s="165" t="s">
        <v>1868</v>
      </c>
      <c r="E62" s="166" t="s">
        <v>1738</v>
      </c>
      <c r="F62" s="165"/>
    </row>
    <row r="63">
      <c r="A63" s="165" t="s">
        <v>151</v>
      </c>
      <c r="B63" s="165" t="s">
        <v>1612</v>
      </c>
      <c r="C63" s="165" t="s">
        <v>1620</v>
      </c>
      <c r="D63" s="165" t="s">
        <v>156</v>
      </c>
      <c r="E63" s="166" t="s">
        <v>148</v>
      </c>
      <c r="F63" s="165"/>
    </row>
    <row r="64">
      <c r="A64" s="165" t="s">
        <v>27</v>
      </c>
      <c r="B64" s="165" t="s">
        <v>1596</v>
      </c>
      <c r="C64" s="165" t="s">
        <v>1573</v>
      </c>
      <c r="D64" s="165" t="s">
        <v>1800</v>
      </c>
      <c r="E64" s="166" t="s">
        <v>1801</v>
      </c>
      <c r="F64" s="165"/>
    </row>
    <row r="65">
      <c r="A65" s="165" t="s">
        <v>27</v>
      </c>
      <c r="B65" s="165" t="s">
        <v>1596</v>
      </c>
      <c r="C65" s="165" t="s">
        <v>1573</v>
      </c>
      <c r="D65" s="165" t="s">
        <v>1802</v>
      </c>
      <c r="E65" s="166" t="s">
        <v>1803</v>
      </c>
      <c r="F65" s="165"/>
    </row>
    <row r="66">
      <c r="A66" s="165" t="s">
        <v>27</v>
      </c>
      <c r="B66" s="165" t="s">
        <v>1596</v>
      </c>
      <c r="C66" s="165" t="s">
        <v>1573</v>
      </c>
      <c r="D66" s="165" t="s">
        <v>1804</v>
      </c>
      <c r="E66" s="166" t="s">
        <v>1805</v>
      </c>
      <c r="F66" s="165"/>
    </row>
    <row r="67">
      <c r="A67" s="165" t="s">
        <v>27</v>
      </c>
      <c r="B67" s="165" t="s">
        <v>1596</v>
      </c>
      <c r="C67" s="165" t="s">
        <v>1573</v>
      </c>
      <c r="D67" s="165" t="s">
        <v>1806</v>
      </c>
      <c r="E67" s="166" t="s">
        <v>1807</v>
      </c>
      <c r="F67" s="165"/>
    </row>
    <row r="68">
      <c r="A68" s="165" t="s">
        <v>27</v>
      </c>
      <c r="B68" s="165" t="s">
        <v>1612</v>
      </c>
      <c r="C68" s="165" t="s">
        <v>1573</v>
      </c>
      <c r="D68" s="165" t="s">
        <v>1812</v>
      </c>
      <c r="E68" s="166" t="s">
        <v>1813</v>
      </c>
      <c r="F68" s="165"/>
    </row>
    <row r="69">
      <c r="A69" s="165" t="s">
        <v>32</v>
      </c>
      <c r="B69" s="165" t="s">
        <v>1596</v>
      </c>
      <c r="C69" s="165" t="s">
        <v>1573</v>
      </c>
      <c r="D69" s="165" t="s">
        <v>1844</v>
      </c>
      <c r="E69" s="166" t="s">
        <v>1845</v>
      </c>
      <c r="F69" s="165"/>
    </row>
    <row r="70">
      <c r="A70" s="165" t="s">
        <v>32</v>
      </c>
      <c r="B70" s="165" t="s">
        <v>1596</v>
      </c>
      <c r="C70" s="165" t="s">
        <v>1573</v>
      </c>
      <c r="D70" s="165" t="s">
        <v>1848</v>
      </c>
      <c r="E70" s="166" t="s">
        <v>1849</v>
      </c>
      <c r="F70" s="165"/>
    </row>
    <row r="71">
      <c r="A71" s="165" t="s">
        <v>32</v>
      </c>
      <c r="B71" s="165" t="s">
        <v>1596</v>
      </c>
      <c r="C71" s="165" t="s">
        <v>1573</v>
      </c>
      <c r="D71" s="165" t="s">
        <v>1850</v>
      </c>
      <c r="E71" s="166" t="s">
        <v>1807</v>
      </c>
      <c r="F71" s="165"/>
    </row>
    <row r="72">
      <c r="A72" s="165" t="s">
        <v>32</v>
      </c>
      <c r="B72" s="165" t="s">
        <v>1612</v>
      </c>
      <c r="C72" s="165" t="s">
        <v>1573</v>
      </c>
      <c r="D72" s="165" t="s">
        <v>1853</v>
      </c>
      <c r="E72" s="166" t="s">
        <v>1854</v>
      </c>
      <c r="F72" s="165"/>
    </row>
    <row r="73">
      <c r="A73" s="165" t="s">
        <v>32</v>
      </c>
      <c r="B73" s="165" t="s">
        <v>1612</v>
      </c>
      <c r="C73" s="165" t="s">
        <v>1573</v>
      </c>
      <c r="D73" s="165" t="s">
        <v>1855</v>
      </c>
      <c r="E73" s="166" t="s">
        <v>1694</v>
      </c>
      <c r="F73" s="165"/>
    </row>
    <row r="74">
      <c r="A74" s="165" t="s">
        <v>37</v>
      </c>
      <c r="B74" s="165" t="s">
        <v>1596</v>
      </c>
      <c r="C74" s="165" t="s">
        <v>1573</v>
      </c>
      <c r="D74" s="165" t="s">
        <v>1915</v>
      </c>
      <c r="E74" s="166" t="s">
        <v>1874</v>
      </c>
      <c r="F74" s="165"/>
    </row>
    <row r="75">
      <c r="A75" s="165" t="s">
        <v>37</v>
      </c>
      <c r="B75" s="165" t="s">
        <v>1596</v>
      </c>
      <c r="C75" s="165" t="s">
        <v>1573</v>
      </c>
      <c r="D75" s="165" t="s">
        <v>1916</v>
      </c>
      <c r="E75" s="166" t="s">
        <v>1917</v>
      </c>
      <c r="F75" s="165"/>
    </row>
    <row r="76">
      <c r="A76" s="165" t="s">
        <v>37</v>
      </c>
      <c r="B76" s="165" t="s">
        <v>1596</v>
      </c>
      <c r="C76" s="165" t="s">
        <v>1573</v>
      </c>
      <c r="D76" s="165" t="s">
        <v>1920</v>
      </c>
      <c r="E76" s="166" t="s">
        <v>1807</v>
      </c>
      <c r="F76" s="165"/>
    </row>
    <row r="77">
      <c r="A77" s="165" t="s">
        <v>37</v>
      </c>
      <c r="B77" s="165" t="s">
        <v>1612</v>
      </c>
      <c r="C77" s="165" t="s">
        <v>1573</v>
      </c>
      <c r="D77" s="165" t="s">
        <v>1921</v>
      </c>
      <c r="E77" s="166" t="s">
        <v>1922</v>
      </c>
      <c r="F77" s="165"/>
    </row>
    <row r="78">
      <c r="A78" s="165" t="s">
        <v>37</v>
      </c>
      <c r="B78" s="165" t="s">
        <v>1612</v>
      </c>
      <c r="C78" s="165" t="s">
        <v>1573</v>
      </c>
      <c r="D78" s="165" t="s">
        <v>1924</v>
      </c>
      <c r="E78" s="166" t="s">
        <v>1694</v>
      </c>
      <c r="F78" s="165"/>
    </row>
    <row r="79">
      <c r="A79" s="165" t="s">
        <v>193</v>
      </c>
      <c r="B79" s="165" t="s">
        <v>1596</v>
      </c>
      <c r="C79" s="165" t="s">
        <v>1573</v>
      </c>
      <c r="D79" s="165" t="s">
        <v>2106</v>
      </c>
      <c r="E79" s="166" t="s">
        <v>2107</v>
      </c>
      <c r="F79" s="165"/>
    </row>
    <row r="80">
      <c r="A80" s="165" t="s">
        <v>193</v>
      </c>
      <c r="B80" s="165" t="s">
        <v>1596</v>
      </c>
      <c r="C80" s="165" t="s">
        <v>1573</v>
      </c>
      <c r="D80" s="165" t="s">
        <v>2108</v>
      </c>
      <c r="E80" s="166" t="s">
        <v>2109</v>
      </c>
      <c r="F80" s="165"/>
    </row>
    <row r="81">
      <c r="A81" s="165" t="s">
        <v>193</v>
      </c>
      <c r="B81" s="165" t="s">
        <v>1596</v>
      </c>
      <c r="C81" s="165" t="s">
        <v>1573</v>
      </c>
      <c r="D81" s="165" t="s">
        <v>2110</v>
      </c>
      <c r="E81" s="166" t="s">
        <v>2111</v>
      </c>
      <c r="F81" s="165"/>
    </row>
    <row r="82">
      <c r="A82" s="165" t="s">
        <v>193</v>
      </c>
      <c r="B82" s="165" t="s">
        <v>1596</v>
      </c>
      <c r="C82" s="165" t="s">
        <v>1573</v>
      </c>
      <c r="D82" s="165" t="s">
        <v>2112</v>
      </c>
      <c r="E82" s="166" t="s">
        <v>2113</v>
      </c>
      <c r="F82" s="165"/>
    </row>
    <row r="83">
      <c r="A83" s="165" t="s">
        <v>200</v>
      </c>
      <c r="B83" s="165" t="s">
        <v>1596</v>
      </c>
      <c r="C83" s="165" t="s">
        <v>1573</v>
      </c>
      <c r="D83" s="165" t="s">
        <v>2114</v>
      </c>
      <c r="E83" s="166" t="s">
        <v>1600</v>
      </c>
      <c r="F83" s="165"/>
    </row>
    <row r="84">
      <c r="A84" s="165" t="s">
        <v>200</v>
      </c>
      <c r="B84" s="165" t="s">
        <v>1596</v>
      </c>
      <c r="C84" s="165" t="s">
        <v>1573</v>
      </c>
      <c r="D84" s="165" t="s">
        <v>2115</v>
      </c>
      <c r="E84" s="166" t="s">
        <v>2116</v>
      </c>
      <c r="F84" s="165"/>
    </row>
    <row r="85">
      <c r="A85" s="165" t="s">
        <v>200</v>
      </c>
      <c r="B85" s="165" t="s">
        <v>1596</v>
      </c>
      <c r="C85" s="165" t="s">
        <v>1573</v>
      </c>
      <c r="D85" s="165" t="s">
        <v>2117</v>
      </c>
      <c r="E85" s="166" t="s">
        <v>2118</v>
      </c>
      <c r="F85" s="165"/>
    </row>
    <row r="86">
      <c r="A86" s="165" t="s">
        <v>200</v>
      </c>
      <c r="B86" s="165" t="s">
        <v>1612</v>
      </c>
      <c r="C86" s="165" t="s">
        <v>1573</v>
      </c>
      <c r="D86" s="165" t="s">
        <v>1927</v>
      </c>
      <c r="E86" s="166" t="s">
        <v>1928</v>
      </c>
      <c r="F86" s="165"/>
    </row>
    <row r="87">
      <c r="A87" s="165" t="s">
        <v>200</v>
      </c>
      <c r="B87" s="165" t="s">
        <v>1612</v>
      </c>
      <c r="C87" s="165" t="s">
        <v>1573</v>
      </c>
      <c r="D87" s="165" t="s">
        <v>1931</v>
      </c>
      <c r="E87" s="166" t="s">
        <v>1932</v>
      </c>
      <c r="F87" s="165"/>
    </row>
    <row r="88">
      <c r="A88" s="165" t="s">
        <v>209</v>
      </c>
      <c r="B88" s="165" t="s">
        <v>1596</v>
      </c>
      <c r="C88" s="165" t="s">
        <v>1573</v>
      </c>
      <c r="D88" s="165" t="s">
        <v>2119</v>
      </c>
      <c r="E88" s="166" t="s">
        <v>1649</v>
      </c>
      <c r="F88" s="165"/>
    </row>
    <row r="89">
      <c r="A89" s="165" t="s">
        <v>209</v>
      </c>
      <c r="B89" s="165" t="s">
        <v>1596</v>
      </c>
      <c r="C89" s="165" t="s">
        <v>1573</v>
      </c>
      <c r="D89" s="165" t="s">
        <v>2120</v>
      </c>
      <c r="E89" s="166" t="s">
        <v>1653</v>
      </c>
      <c r="F89" s="165"/>
    </row>
    <row r="90">
      <c r="A90" s="165" t="s">
        <v>209</v>
      </c>
      <c r="B90" s="165" t="s">
        <v>1596</v>
      </c>
      <c r="C90" s="165" t="s">
        <v>1573</v>
      </c>
      <c r="D90" s="165" t="s">
        <v>2121</v>
      </c>
      <c r="E90" s="166" t="s">
        <v>1655</v>
      </c>
      <c r="F90" s="165"/>
    </row>
    <row r="91">
      <c r="A91" s="165" t="s">
        <v>40</v>
      </c>
      <c r="B91" s="165" t="s">
        <v>1596</v>
      </c>
      <c r="C91" s="165" t="s">
        <v>1573</v>
      </c>
      <c r="D91" s="165" t="s">
        <v>1899</v>
      </c>
      <c r="E91" s="166" t="s">
        <v>1649</v>
      </c>
      <c r="F91" s="165"/>
    </row>
    <row r="92">
      <c r="A92" s="165" t="s">
        <v>40</v>
      </c>
      <c r="B92" s="165" t="s">
        <v>1596</v>
      </c>
      <c r="C92" s="165" t="s">
        <v>1573</v>
      </c>
      <c r="D92" s="165" t="s">
        <v>1901</v>
      </c>
      <c r="E92" s="166" t="s">
        <v>1653</v>
      </c>
      <c r="F92" s="165"/>
    </row>
    <row r="93">
      <c r="A93" s="165" t="s">
        <v>40</v>
      </c>
      <c r="B93" s="165" t="s">
        <v>1596</v>
      </c>
      <c r="C93" s="165" t="s">
        <v>1573</v>
      </c>
      <c r="D93" s="165" t="s">
        <v>1902</v>
      </c>
      <c r="E93" s="166" t="s">
        <v>1655</v>
      </c>
      <c r="F93" s="165"/>
    </row>
    <row r="94">
      <c r="A94" s="165" t="s">
        <v>40</v>
      </c>
      <c r="B94" s="165" t="s">
        <v>1612</v>
      </c>
      <c r="C94" s="165" t="s">
        <v>1573</v>
      </c>
      <c r="D94" s="165" t="s">
        <v>1903</v>
      </c>
      <c r="E94" s="166" t="s">
        <v>1904</v>
      </c>
      <c r="F94" s="165"/>
    </row>
    <row r="95">
      <c r="A95" s="165" t="s">
        <v>40</v>
      </c>
      <c r="B95" s="165" t="s">
        <v>1612</v>
      </c>
      <c r="C95" s="165" t="s">
        <v>1573</v>
      </c>
      <c r="D95" s="165" t="s">
        <v>1906</v>
      </c>
      <c r="E95" s="166" t="s">
        <v>1738</v>
      </c>
      <c r="F95" s="165"/>
    </row>
    <row r="96">
      <c r="A96" s="165" t="s">
        <v>40</v>
      </c>
      <c r="B96" s="165" t="s">
        <v>1612</v>
      </c>
      <c r="C96" s="165" t="s">
        <v>1620</v>
      </c>
      <c r="D96" s="165" t="s">
        <v>2122</v>
      </c>
      <c r="E96" s="166" t="s">
        <v>148</v>
      </c>
      <c r="F96" s="165"/>
    </row>
    <row r="97">
      <c r="A97" s="165" t="s">
        <v>43</v>
      </c>
      <c r="B97" s="165" t="s">
        <v>1596</v>
      </c>
      <c r="C97" s="165" t="s">
        <v>1573</v>
      </c>
      <c r="D97" s="165" t="s">
        <v>1941</v>
      </c>
      <c r="E97" s="166" t="s">
        <v>1942</v>
      </c>
      <c r="F97" s="165"/>
    </row>
    <row r="98">
      <c r="A98" s="165" t="s">
        <v>43</v>
      </c>
      <c r="B98" s="165" t="s">
        <v>1596</v>
      </c>
      <c r="C98" s="165" t="s">
        <v>1573</v>
      </c>
      <c r="D98" s="165" t="s">
        <v>1943</v>
      </c>
      <c r="E98" s="166" t="s">
        <v>1874</v>
      </c>
      <c r="F98" s="165"/>
    </row>
    <row r="99">
      <c r="A99" s="165" t="s">
        <v>43</v>
      </c>
      <c r="B99" s="165" t="s">
        <v>1596</v>
      </c>
      <c r="C99" s="165" t="s">
        <v>1573</v>
      </c>
      <c r="D99" s="165" t="s">
        <v>1944</v>
      </c>
      <c r="E99" s="166" t="s">
        <v>1602</v>
      </c>
      <c r="F99" s="165"/>
    </row>
    <row r="100">
      <c r="A100" s="165" t="s">
        <v>43</v>
      </c>
      <c r="B100" s="165" t="s">
        <v>1596</v>
      </c>
      <c r="C100" s="165" t="s">
        <v>1573</v>
      </c>
      <c r="D100" s="165" t="s">
        <v>1945</v>
      </c>
      <c r="E100" s="166" t="s">
        <v>1946</v>
      </c>
      <c r="F100" s="165"/>
    </row>
    <row r="101">
      <c r="A101" s="165" t="s">
        <v>43</v>
      </c>
      <c r="B101" s="165" t="s">
        <v>1596</v>
      </c>
      <c r="C101" s="165" t="s">
        <v>1573</v>
      </c>
      <c r="D101" s="165" t="s">
        <v>1947</v>
      </c>
      <c r="E101" s="166" t="s">
        <v>1948</v>
      </c>
      <c r="F101" s="165"/>
    </row>
    <row r="102">
      <c r="A102" s="165" t="s">
        <v>43</v>
      </c>
      <c r="B102" s="165" t="s">
        <v>1612</v>
      </c>
      <c r="C102" s="165" t="s">
        <v>1573</v>
      </c>
      <c r="D102" s="165" t="s">
        <v>1971</v>
      </c>
      <c r="E102" s="166" t="s">
        <v>1600</v>
      </c>
      <c r="F102" s="165"/>
    </row>
    <row r="103">
      <c r="A103" s="165" t="s">
        <v>43</v>
      </c>
      <c r="B103" s="165" t="s">
        <v>1612</v>
      </c>
      <c r="C103" s="165" t="s">
        <v>1573</v>
      </c>
      <c r="D103" s="165" t="s">
        <v>1972</v>
      </c>
      <c r="E103" s="166" t="s">
        <v>1973</v>
      </c>
      <c r="F103" s="165"/>
    </row>
    <row r="104">
      <c r="A104" s="165" t="s">
        <v>43</v>
      </c>
      <c r="B104" s="165" t="s">
        <v>1612</v>
      </c>
      <c r="C104" s="165" t="s">
        <v>1573</v>
      </c>
      <c r="D104" s="165" t="s">
        <v>1974</v>
      </c>
      <c r="E104" s="166" t="s">
        <v>1975</v>
      </c>
      <c r="F104" s="165"/>
    </row>
    <row r="105">
      <c r="A105" s="165" t="s">
        <v>46</v>
      </c>
      <c r="B105" s="165" t="s">
        <v>1596</v>
      </c>
      <c r="C105" s="165" t="s">
        <v>1573</v>
      </c>
      <c r="D105" s="165" t="s">
        <v>1873</v>
      </c>
      <c r="E105" s="166" t="s">
        <v>1874</v>
      </c>
      <c r="F105" s="165"/>
    </row>
    <row r="106">
      <c r="A106" s="165" t="s">
        <v>46</v>
      </c>
      <c r="B106" s="165" t="s">
        <v>1596</v>
      </c>
      <c r="C106" s="165" t="s">
        <v>1573</v>
      </c>
      <c r="D106" s="165" t="s">
        <v>1875</v>
      </c>
      <c r="E106" s="166" t="s">
        <v>1602</v>
      </c>
      <c r="F106" s="165"/>
    </row>
    <row r="107">
      <c r="A107" s="165" t="s">
        <v>46</v>
      </c>
      <c r="B107" s="165" t="s">
        <v>1596</v>
      </c>
      <c r="C107" s="165" t="s">
        <v>1573</v>
      </c>
      <c r="D107" s="165" t="s">
        <v>1876</v>
      </c>
      <c r="E107" s="166" t="s">
        <v>1604</v>
      </c>
      <c r="F107" s="165"/>
    </row>
    <row r="108">
      <c r="A108" s="165" t="s">
        <v>46</v>
      </c>
      <c r="B108" s="165" t="s">
        <v>1596</v>
      </c>
      <c r="C108" s="165" t="s">
        <v>1573</v>
      </c>
      <c r="D108" s="165" t="s">
        <v>1877</v>
      </c>
      <c r="E108" s="166" t="s">
        <v>1807</v>
      </c>
      <c r="F108" s="165"/>
    </row>
    <row r="109">
      <c r="A109" s="165" t="s">
        <v>46</v>
      </c>
      <c r="B109" s="165" t="s">
        <v>1612</v>
      </c>
      <c r="C109" s="165" t="s">
        <v>1573</v>
      </c>
      <c r="D109" s="165" t="s">
        <v>1880</v>
      </c>
      <c r="E109" s="166" t="s">
        <v>1881</v>
      </c>
      <c r="F109" s="165"/>
    </row>
    <row r="110">
      <c r="A110" s="165" t="s">
        <v>46</v>
      </c>
      <c r="B110" s="165" t="s">
        <v>1612</v>
      </c>
      <c r="C110" s="165" t="s">
        <v>1573</v>
      </c>
      <c r="D110" s="165" t="s">
        <v>1882</v>
      </c>
      <c r="E110" s="166" t="s">
        <v>1883</v>
      </c>
      <c r="F110" s="165"/>
    </row>
    <row r="111">
      <c r="A111" s="165" t="s">
        <v>46</v>
      </c>
      <c r="B111" s="165" t="s">
        <v>1612</v>
      </c>
      <c r="C111" s="165" t="s">
        <v>1573</v>
      </c>
      <c r="D111" s="165" t="s">
        <v>1884</v>
      </c>
      <c r="E111" s="166" t="s">
        <v>1885</v>
      </c>
      <c r="F111" s="165"/>
    </row>
    <row r="112">
      <c r="A112" s="165" t="s">
        <v>1993</v>
      </c>
      <c r="B112" s="165" t="s">
        <v>1612</v>
      </c>
      <c r="C112" s="165" t="s">
        <v>1573</v>
      </c>
      <c r="D112" s="165" t="s">
        <v>2123</v>
      </c>
      <c r="E112" s="166" t="s">
        <v>2124</v>
      </c>
      <c r="F112" s="165"/>
    </row>
  </sheetData>
  <autoFilter ref="$A$1:$F$112"/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25"/>
    <col customWidth="1" min="3" max="3" width="28.25"/>
    <col customWidth="1" min="4" max="4" width="30.5"/>
  </cols>
  <sheetData>
    <row r="1">
      <c r="A1" s="16" t="s">
        <v>1913</v>
      </c>
      <c r="B1" s="16" t="s">
        <v>255</v>
      </c>
      <c r="C1" s="16" t="s">
        <v>257</v>
      </c>
      <c r="D1" s="16" t="s">
        <v>260</v>
      </c>
      <c r="E1" s="16" t="s">
        <v>2125</v>
      </c>
    </row>
    <row r="2">
      <c r="A2" s="16">
        <v>1.0</v>
      </c>
      <c r="B2" s="162" t="s">
        <v>395</v>
      </c>
      <c r="C2" s="162" t="s">
        <v>2126</v>
      </c>
      <c r="D2" s="162" t="s">
        <v>397</v>
      </c>
      <c r="E2" s="162"/>
      <c r="I2" s="121" t="s">
        <v>2127</v>
      </c>
      <c r="J2" s="144" t="str">
        <f t="array" ref="J2:J26">unique(I:I)</f>
        <v/>
      </c>
    </row>
    <row r="3">
      <c r="A3" s="16">
        <v>2.0</v>
      </c>
      <c r="B3" s="162" t="s">
        <v>2128</v>
      </c>
      <c r="C3" s="162" t="s">
        <v>2129</v>
      </c>
      <c r="D3" s="162" t="s">
        <v>2130</v>
      </c>
      <c r="E3" s="162"/>
      <c r="I3" s="121" t="s">
        <v>0</v>
      </c>
      <c r="J3" s="144" t="s">
        <v>2127</v>
      </c>
    </row>
    <row r="4">
      <c r="A4" s="16">
        <v>3.0</v>
      </c>
      <c r="B4" s="162" t="s">
        <v>401</v>
      </c>
      <c r="C4" s="162" t="s">
        <v>2131</v>
      </c>
      <c r="D4" s="162" t="s">
        <v>403</v>
      </c>
      <c r="E4" s="162"/>
      <c r="I4" s="121" t="s">
        <v>0</v>
      </c>
      <c r="J4" s="144" t="s">
        <v>0</v>
      </c>
    </row>
    <row r="5">
      <c r="A5" s="16">
        <v>4.0</v>
      </c>
      <c r="B5" s="162" t="s">
        <v>1413</v>
      </c>
      <c r="C5" s="162" t="s">
        <v>2132</v>
      </c>
      <c r="D5" s="162" t="s">
        <v>1415</v>
      </c>
      <c r="E5" s="162"/>
      <c r="I5" s="121" t="s">
        <v>0</v>
      </c>
      <c r="J5" s="144" t="s">
        <v>4</v>
      </c>
    </row>
    <row r="6">
      <c r="A6" s="16">
        <v>5.0</v>
      </c>
      <c r="B6" s="162" t="s">
        <v>376</v>
      </c>
      <c r="C6" s="162" t="s">
        <v>2133</v>
      </c>
      <c r="D6" s="162" t="s">
        <v>379</v>
      </c>
      <c r="E6" s="162"/>
      <c r="I6" s="121" t="s">
        <v>0</v>
      </c>
      <c r="J6" s="144" t="s">
        <v>9</v>
      </c>
    </row>
    <row r="7">
      <c r="A7" s="16">
        <v>6.0</v>
      </c>
      <c r="B7" s="162" t="s">
        <v>386</v>
      </c>
      <c r="C7" s="162" t="s">
        <v>2134</v>
      </c>
      <c r="D7" s="162" t="s">
        <v>388</v>
      </c>
      <c r="E7" s="162"/>
      <c r="I7" s="121" t="s">
        <v>0</v>
      </c>
      <c r="J7" s="144" t="s">
        <v>2135</v>
      </c>
    </row>
    <row r="8">
      <c r="A8" s="16">
        <v>7.0</v>
      </c>
      <c r="B8" s="162" t="s">
        <v>619</v>
      </c>
      <c r="C8" s="162" t="s">
        <v>2136</v>
      </c>
      <c r="D8" s="162" t="s">
        <v>622</v>
      </c>
      <c r="E8" s="162"/>
      <c r="I8" s="121" t="s">
        <v>0</v>
      </c>
      <c r="J8" s="144" t="s">
        <v>83</v>
      </c>
    </row>
    <row r="9">
      <c r="A9" s="16">
        <v>8.0</v>
      </c>
      <c r="B9" s="162" t="s">
        <v>1108</v>
      </c>
      <c r="C9" s="162" t="s">
        <v>2137</v>
      </c>
      <c r="D9" s="162" t="s">
        <v>1111</v>
      </c>
      <c r="E9" s="162"/>
      <c r="I9" s="121" t="s">
        <v>0</v>
      </c>
      <c r="J9" s="144" t="s">
        <v>13</v>
      </c>
    </row>
    <row r="10">
      <c r="A10" s="16">
        <v>9.0</v>
      </c>
      <c r="B10" s="162" t="s">
        <v>2138</v>
      </c>
      <c r="C10" s="162" t="s">
        <v>2139</v>
      </c>
      <c r="D10" s="162" t="s">
        <v>2140</v>
      </c>
      <c r="E10" s="162"/>
      <c r="I10" s="121" t="s">
        <v>0</v>
      </c>
      <c r="J10" s="144" t="s">
        <v>111</v>
      </c>
    </row>
    <row r="11">
      <c r="A11" s="16">
        <v>10.0</v>
      </c>
      <c r="B11" s="162" t="s">
        <v>383</v>
      </c>
      <c r="C11" s="162" t="s">
        <v>2141</v>
      </c>
      <c r="D11" s="162" t="s">
        <v>385</v>
      </c>
      <c r="E11" s="162"/>
      <c r="I11" s="121" t="s">
        <v>0</v>
      </c>
      <c r="J11" s="144" t="s">
        <v>18</v>
      </c>
    </row>
    <row r="12">
      <c r="A12" s="16">
        <v>11.0</v>
      </c>
      <c r="B12" s="162" t="s">
        <v>389</v>
      </c>
      <c r="C12" s="162" t="s">
        <v>2142</v>
      </c>
      <c r="D12" s="162" t="s">
        <v>391</v>
      </c>
      <c r="E12" s="162"/>
      <c r="I12" s="121" t="s">
        <v>0</v>
      </c>
      <c r="J12" s="144" t="s">
        <v>24</v>
      </c>
    </row>
    <row r="13">
      <c r="A13" s="16">
        <v>12.0</v>
      </c>
      <c r="B13" s="162" t="s">
        <v>392</v>
      </c>
      <c r="C13" s="162" t="s">
        <v>2143</v>
      </c>
      <c r="D13" s="162" t="s">
        <v>394</v>
      </c>
      <c r="E13" s="162"/>
      <c r="I13" s="121" t="s">
        <v>0</v>
      </c>
      <c r="J13" s="144" t="s">
        <v>143</v>
      </c>
    </row>
    <row r="14">
      <c r="A14" s="16">
        <v>13.0</v>
      </c>
      <c r="B14" s="162" t="s">
        <v>1281</v>
      </c>
      <c r="C14" s="162" t="s">
        <v>2144</v>
      </c>
      <c r="D14" s="162" t="s">
        <v>1283</v>
      </c>
      <c r="E14" s="162"/>
      <c r="I14" s="121" t="s">
        <v>0</v>
      </c>
      <c r="J14" s="144" t="s">
        <v>151</v>
      </c>
    </row>
    <row r="15">
      <c r="A15" s="16">
        <v>14.0</v>
      </c>
      <c r="B15" s="162" t="s">
        <v>1308</v>
      </c>
      <c r="C15" s="162" t="s">
        <v>2145</v>
      </c>
      <c r="D15" s="162" t="s">
        <v>1310</v>
      </c>
      <c r="E15" s="162"/>
      <c r="I15" s="121" t="s">
        <v>0</v>
      </c>
      <c r="J15" s="144" t="s">
        <v>27</v>
      </c>
    </row>
    <row r="16">
      <c r="A16" s="16">
        <v>15.0</v>
      </c>
      <c r="B16" s="162" t="s">
        <v>1284</v>
      </c>
      <c r="C16" s="162" t="s">
        <v>2146</v>
      </c>
      <c r="D16" s="162" t="s">
        <v>1286</v>
      </c>
      <c r="E16" s="162"/>
      <c r="I16" s="121" t="s">
        <v>0</v>
      </c>
      <c r="J16" s="144" t="s">
        <v>32</v>
      </c>
    </row>
    <row r="17">
      <c r="A17" s="16">
        <v>16.0</v>
      </c>
      <c r="B17" s="162" t="s">
        <v>1287</v>
      </c>
      <c r="C17" s="162" t="s">
        <v>2147</v>
      </c>
      <c r="D17" s="162" t="s">
        <v>1289</v>
      </c>
      <c r="E17" s="162"/>
      <c r="I17" s="121" t="s">
        <v>0</v>
      </c>
      <c r="J17" s="144" t="s">
        <v>37</v>
      </c>
    </row>
    <row r="18">
      <c r="A18" s="16">
        <v>17.0</v>
      </c>
      <c r="B18" s="162" t="s">
        <v>1475</v>
      </c>
      <c r="C18" s="162" t="s">
        <v>2148</v>
      </c>
      <c r="D18" s="162" t="s">
        <v>1477</v>
      </c>
      <c r="E18" s="162"/>
      <c r="I18" s="121" t="s">
        <v>0</v>
      </c>
      <c r="J18" s="144" t="s">
        <v>193</v>
      </c>
    </row>
    <row r="19">
      <c r="A19" s="16">
        <v>18.0</v>
      </c>
      <c r="B19" s="162" t="s">
        <v>2149</v>
      </c>
      <c r="C19" s="162" t="s">
        <v>2150</v>
      </c>
      <c r="D19" s="162" t="s">
        <v>2151</v>
      </c>
      <c r="E19" s="162"/>
      <c r="I19" s="121" t="s">
        <v>0</v>
      </c>
      <c r="J19" s="144" t="s">
        <v>200</v>
      </c>
    </row>
    <row r="20">
      <c r="A20" s="16">
        <v>19.0</v>
      </c>
      <c r="B20" s="162" t="s">
        <v>1472</v>
      </c>
      <c r="C20" s="162" t="s">
        <v>2152</v>
      </c>
      <c r="D20" s="162" t="s">
        <v>1474</v>
      </c>
      <c r="E20" s="162"/>
      <c r="I20" s="121" t="s">
        <v>0</v>
      </c>
      <c r="J20" s="144" t="s">
        <v>209</v>
      </c>
    </row>
    <row r="21">
      <c r="A21" s="16">
        <v>20.0</v>
      </c>
      <c r="B21" s="162" t="s">
        <v>1484</v>
      </c>
      <c r="C21" s="162" t="s">
        <v>2153</v>
      </c>
      <c r="D21" s="162" t="s">
        <v>1486</v>
      </c>
      <c r="E21" s="162"/>
      <c r="I21" s="121" t="s">
        <v>0</v>
      </c>
      <c r="J21" s="144" t="s">
        <v>40</v>
      </c>
    </row>
    <row r="22">
      <c r="A22" s="16">
        <v>21.0</v>
      </c>
      <c r="B22" s="162" t="s">
        <v>650</v>
      </c>
      <c r="C22" s="162" t="s">
        <v>2154</v>
      </c>
      <c r="D22" s="162" t="s">
        <v>652</v>
      </c>
      <c r="E22" s="162"/>
      <c r="I22" s="121" t="s">
        <v>0</v>
      </c>
      <c r="J22" s="144" t="s">
        <v>2155</v>
      </c>
    </row>
    <row r="23">
      <c r="A23" s="16">
        <v>22.0</v>
      </c>
      <c r="B23" s="162" t="s">
        <v>635</v>
      </c>
      <c r="C23" s="162" t="s">
        <v>2156</v>
      </c>
      <c r="D23" s="162" t="s">
        <v>637</v>
      </c>
      <c r="E23" s="162"/>
      <c r="I23" s="121" t="s">
        <v>0</v>
      </c>
      <c r="J23" s="144" t="s">
        <v>43</v>
      </c>
    </row>
    <row r="24">
      <c r="A24" s="16">
        <v>23.0</v>
      </c>
      <c r="B24" s="162" t="s">
        <v>626</v>
      </c>
      <c r="C24" s="162" t="s">
        <v>2157</v>
      </c>
      <c r="D24" s="162" t="s">
        <v>628</v>
      </c>
      <c r="E24" s="162"/>
      <c r="I24" s="121" t="s">
        <v>0</v>
      </c>
      <c r="J24" s="144" t="s">
        <v>46</v>
      </c>
    </row>
    <row r="25">
      <c r="A25" s="16">
        <v>24.0</v>
      </c>
      <c r="B25" s="162" t="s">
        <v>2158</v>
      </c>
      <c r="C25" s="162" t="s">
        <v>2159</v>
      </c>
      <c r="D25" s="162" t="s">
        <v>2160</v>
      </c>
      <c r="E25" s="162"/>
      <c r="I25" s="121" t="s">
        <v>0</v>
      </c>
      <c r="J25" s="144" t="s">
        <v>1993</v>
      </c>
    </row>
    <row r="26">
      <c r="A26" s="16">
        <v>25.0</v>
      </c>
      <c r="B26" s="162" t="s">
        <v>1153</v>
      </c>
      <c r="C26" s="162" t="s">
        <v>2161</v>
      </c>
      <c r="D26" s="162" t="s">
        <v>1155</v>
      </c>
      <c r="E26" s="162"/>
      <c r="I26" s="121" t="s">
        <v>0</v>
      </c>
      <c r="J26" s="144" t="s">
        <v>1995</v>
      </c>
    </row>
    <row r="27">
      <c r="A27" s="16">
        <v>26.0</v>
      </c>
      <c r="B27" s="162" t="s">
        <v>2162</v>
      </c>
      <c r="C27" s="162" t="s">
        <v>2163</v>
      </c>
      <c r="D27" s="162" t="s">
        <v>773</v>
      </c>
      <c r="E27" s="162"/>
      <c r="I27" s="121" t="s">
        <v>0</v>
      </c>
    </row>
    <row r="28">
      <c r="A28" s="16">
        <v>27.0</v>
      </c>
      <c r="B28" s="162" t="s">
        <v>432</v>
      </c>
      <c r="C28" s="162" t="s">
        <v>2164</v>
      </c>
      <c r="D28" s="162" t="s">
        <v>434</v>
      </c>
      <c r="E28" s="162"/>
      <c r="I28" s="121" t="s">
        <v>0</v>
      </c>
    </row>
    <row r="29">
      <c r="A29" s="16">
        <v>28.0</v>
      </c>
      <c r="B29" s="162" t="s">
        <v>556</v>
      </c>
      <c r="C29" s="162" t="s">
        <v>2165</v>
      </c>
      <c r="D29" s="162" t="s">
        <v>558</v>
      </c>
      <c r="E29" s="162"/>
      <c r="I29" s="121" t="s">
        <v>0</v>
      </c>
    </row>
    <row r="30">
      <c r="A30" s="16">
        <v>29.0</v>
      </c>
      <c r="B30" s="162" t="s">
        <v>1015</v>
      </c>
      <c r="C30" s="162" t="s">
        <v>2166</v>
      </c>
      <c r="D30" s="162" t="s">
        <v>1017</v>
      </c>
      <c r="E30" s="162"/>
      <c r="I30" s="121" t="s">
        <v>0</v>
      </c>
    </row>
    <row r="31">
      <c r="A31" s="16">
        <v>30.0</v>
      </c>
      <c r="B31" s="162" t="s">
        <v>2167</v>
      </c>
      <c r="C31" s="162" t="s">
        <v>2168</v>
      </c>
      <c r="D31" s="162" t="s">
        <v>2169</v>
      </c>
      <c r="E31" s="162"/>
      <c r="I31" s="121" t="s">
        <v>0</v>
      </c>
    </row>
    <row r="32">
      <c r="A32" s="16">
        <v>31.0</v>
      </c>
      <c r="B32" s="162" t="s">
        <v>1003</v>
      </c>
      <c r="C32" s="162" t="s">
        <v>2170</v>
      </c>
      <c r="D32" s="162" t="s">
        <v>1005</v>
      </c>
      <c r="E32" s="162"/>
      <c r="I32" s="121" t="s">
        <v>4</v>
      </c>
    </row>
    <row r="33">
      <c r="A33" s="16">
        <v>32.0</v>
      </c>
      <c r="B33" s="162" t="s">
        <v>1336</v>
      </c>
      <c r="C33" s="162" t="s">
        <v>2171</v>
      </c>
      <c r="D33" s="162" t="s">
        <v>1338</v>
      </c>
      <c r="E33" s="162"/>
      <c r="I33" s="121" t="s">
        <v>4</v>
      </c>
    </row>
    <row r="34">
      <c r="A34" s="16">
        <v>33.0</v>
      </c>
      <c r="B34" s="162" t="s">
        <v>1021</v>
      </c>
      <c r="C34" s="162" t="s">
        <v>2172</v>
      </c>
      <c r="D34" s="162" t="s">
        <v>1023</v>
      </c>
      <c r="E34" s="162"/>
      <c r="I34" s="121" t="s">
        <v>4</v>
      </c>
    </row>
    <row r="35">
      <c r="A35" s="16">
        <v>34.0</v>
      </c>
      <c r="B35" s="162" t="s">
        <v>862</v>
      </c>
      <c r="C35" s="162" t="s">
        <v>2173</v>
      </c>
      <c r="D35" s="162" t="s">
        <v>864</v>
      </c>
      <c r="E35" s="162"/>
      <c r="I35" s="121" t="s">
        <v>4</v>
      </c>
    </row>
    <row r="36">
      <c r="A36" s="16">
        <v>35.0</v>
      </c>
      <c r="B36" s="162" t="s">
        <v>325</v>
      </c>
      <c r="C36" s="162" t="s">
        <v>2174</v>
      </c>
      <c r="D36" s="162" t="s">
        <v>327</v>
      </c>
      <c r="E36" s="162"/>
      <c r="I36" s="121" t="s">
        <v>4</v>
      </c>
    </row>
    <row r="37">
      <c r="A37" s="16">
        <v>36.0</v>
      </c>
      <c r="B37" s="162" t="s">
        <v>1211</v>
      </c>
      <c r="C37" s="162" t="s">
        <v>2175</v>
      </c>
      <c r="D37" s="162" t="s">
        <v>1213</v>
      </c>
      <c r="E37" s="162"/>
      <c r="I37" s="121" t="s">
        <v>4</v>
      </c>
    </row>
    <row r="38">
      <c r="A38" s="16">
        <v>37.0</v>
      </c>
      <c r="B38" s="162" t="s">
        <v>343</v>
      </c>
      <c r="C38" s="162" t="s">
        <v>2176</v>
      </c>
      <c r="D38" s="162" t="s">
        <v>345</v>
      </c>
      <c r="E38" s="162"/>
      <c r="I38" s="121" t="s">
        <v>4</v>
      </c>
    </row>
    <row r="39">
      <c r="A39" s="16">
        <v>38.0</v>
      </c>
      <c r="B39" s="162" t="s">
        <v>1112</v>
      </c>
      <c r="C39" s="162" t="s">
        <v>2177</v>
      </c>
      <c r="D39" s="162" t="s">
        <v>1114</v>
      </c>
      <c r="E39" s="162"/>
      <c r="I39" s="121" t="s">
        <v>4</v>
      </c>
    </row>
    <row r="40">
      <c r="A40" s="16">
        <v>39.0</v>
      </c>
      <c r="B40" s="162" t="s">
        <v>1115</v>
      </c>
      <c r="C40" s="162" t="s">
        <v>2178</v>
      </c>
      <c r="D40" s="162" t="s">
        <v>1117</v>
      </c>
      <c r="E40" s="162"/>
      <c r="I40" s="121" t="s">
        <v>4</v>
      </c>
    </row>
    <row r="41">
      <c r="A41" s="16">
        <v>40.0</v>
      </c>
      <c r="B41" s="162" t="s">
        <v>2179</v>
      </c>
      <c r="C41" s="162" t="s">
        <v>2180</v>
      </c>
      <c r="D41" s="162" t="s">
        <v>1132</v>
      </c>
      <c r="E41" s="162"/>
      <c r="I41" s="121" t="s">
        <v>4</v>
      </c>
    </row>
    <row r="42">
      <c r="A42" s="16">
        <v>41.0</v>
      </c>
      <c r="B42" s="162" t="s">
        <v>1266</v>
      </c>
      <c r="C42" s="162" t="s">
        <v>2181</v>
      </c>
      <c r="D42" s="162" t="s">
        <v>1268</v>
      </c>
      <c r="E42" s="162"/>
      <c r="I42" s="121" t="s">
        <v>4</v>
      </c>
    </row>
    <row r="43">
      <c r="A43" s="16">
        <v>42.0</v>
      </c>
      <c r="B43" s="162" t="s">
        <v>2182</v>
      </c>
      <c r="C43" s="162" t="s">
        <v>2183</v>
      </c>
      <c r="D43" s="162" t="s">
        <v>2184</v>
      </c>
      <c r="E43" s="162"/>
      <c r="I43" s="121" t="s">
        <v>4</v>
      </c>
    </row>
    <row r="44">
      <c r="A44" s="16">
        <v>43.0</v>
      </c>
      <c r="B44" s="162" t="s">
        <v>319</v>
      </c>
      <c r="C44" s="162" t="s">
        <v>2185</v>
      </c>
      <c r="D44" s="162" t="s">
        <v>321</v>
      </c>
      <c r="E44" s="162"/>
      <c r="I44" s="121" t="s">
        <v>4</v>
      </c>
    </row>
    <row r="45">
      <c r="A45" s="16">
        <v>44.0</v>
      </c>
      <c r="B45" s="162" t="s">
        <v>293</v>
      </c>
      <c r="C45" s="162" t="s">
        <v>2073</v>
      </c>
      <c r="D45" s="162" t="s">
        <v>295</v>
      </c>
      <c r="E45" s="162"/>
      <c r="I45" s="121" t="s">
        <v>4</v>
      </c>
    </row>
    <row r="46">
      <c r="A46" s="16">
        <v>45.0</v>
      </c>
      <c r="B46" s="162" t="s">
        <v>289</v>
      </c>
      <c r="C46" s="162" t="s">
        <v>2186</v>
      </c>
      <c r="D46" s="162" t="s">
        <v>292</v>
      </c>
      <c r="E46" s="162"/>
      <c r="I46" s="121" t="s">
        <v>4</v>
      </c>
    </row>
    <row r="47">
      <c r="A47" s="16">
        <v>46.0</v>
      </c>
      <c r="B47" s="162" t="s">
        <v>303</v>
      </c>
      <c r="C47" s="162" t="s">
        <v>2187</v>
      </c>
      <c r="D47" s="162" t="s">
        <v>305</v>
      </c>
      <c r="E47" s="162"/>
      <c r="I47" s="121" t="s">
        <v>4</v>
      </c>
    </row>
    <row r="48">
      <c r="A48" s="16">
        <v>47.0</v>
      </c>
      <c r="B48" s="162" t="s">
        <v>276</v>
      </c>
      <c r="C48" s="162" t="s">
        <v>2188</v>
      </c>
      <c r="D48" s="162" t="s">
        <v>280</v>
      </c>
      <c r="E48" s="162"/>
      <c r="I48" s="121" t="s">
        <v>4</v>
      </c>
    </row>
    <row r="49">
      <c r="A49" s="16">
        <v>48.0</v>
      </c>
      <c r="B49" s="162" t="s">
        <v>352</v>
      </c>
      <c r="C49" s="162" t="s">
        <v>2189</v>
      </c>
      <c r="D49" s="162" t="s">
        <v>354</v>
      </c>
      <c r="E49" s="162"/>
      <c r="I49" s="121" t="s">
        <v>4</v>
      </c>
    </row>
    <row r="50">
      <c r="A50" s="16">
        <v>49.0</v>
      </c>
      <c r="B50" s="162" t="s">
        <v>281</v>
      </c>
      <c r="C50" s="162" t="s">
        <v>2190</v>
      </c>
      <c r="D50" s="162" t="s">
        <v>284</v>
      </c>
      <c r="E50" s="162"/>
      <c r="I50" s="121" t="s">
        <v>4</v>
      </c>
    </row>
    <row r="51">
      <c r="A51" s="16">
        <v>50.0</v>
      </c>
      <c r="B51" s="162" t="s">
        <v>310</v>
      </c>
      <c r="C51" s="162" t="s">
        <v>2191</v>
      </c>
      <c r="D51" s="162" t="s">
        <v>312</v>
      </c>
      <c r="E51" s="162"/>
      <c r="I51" s="121" t="s">
        <v>4</v>
      </c>
    </row>
    <row r="52">
      <c r="A52" s="16">
        <v>51.0</v>
      </c>
      <c r="B52" s="162" t="s">
        <v>346</v>
      </c>
      <c r="C52" s="162" t="s">
        <v>2072</v>
      </c>
      <c r="D52" s="162" t="s">
        <v>348</v>
      </c>
      <c r="E52" s="162"/>
      <c r="I52" s="121" t="s">
        <v>4</v>
      </c>
    </row>
    <row r="53">
      <c r="A53" s="16">
        <v>52.0</v>
      </c>
      <c r="B53" s="162" t="s">
        <v>340</v>
      </c>
      <c r="C53" s="162" t="s">
        <v>2192</v>
      </c>
      <c r="D53" s="162" t="s">
        <v>342</v>
      </c>
      <c r="E53" s="162"/>
      <c r="I53" s="121" t="s">
        <v>4</v>
      </c>
    </row>
    <row r="54">
      <c r="A54" s="16">
        <v>53.0</v>
      </c>
      <c r="B54" s="162" t="s">
        <v>313</v>
      </c>
      <c r="C54" s="162" t="s">
        <v>2193</v>
      </c>
      <c r="D54" s="162" t="s">
        <v>315</v>
      </c>
      <c r="E54" s="162"/>
      <c r="I54" s="121" t="s">
        <v>4</v>
      </c>
    </row>
    <row r="55">
      <c r="A55" s="16">
        <v>54.0</v>
      </c>
      <c r="B55" s="162" t="s">
        <v>829</v>
      </c>
      <c r="C55" s="162" t="s">
        <v>2194</v>
      </c>
      <c r="D55" s="162" t="s">
        <v>831</v>
      </c>
      <c r="E55" s="162"/>
      <c r="I55" s="121" t="s">
        <v>4</v>
      </c>
    </row>
    <row r="56">
      <c r="A56" s="16">
        <v>55.0</v>
      </c>
      <c r="B56" s="162" t="s">
        <v>296</v>
      </c>
      <c r="C56" s="162" t="s">
        <v>2195</v>
      </c>
      <c r="D56" s="162" t="s">
        <v>298</v>
      </c>
      <c r="E56" s="162"/>
      <c r="I56" s="121" t="s">
        <v>4</v>
      </c>
    </row>
    <row r="57">
      <c r="A57" s="16">
        <v>56.0</v>
      </c>
      <c r="B57" s="162" t="s">
        <v>423</v>
      </c>
      <c r="C57" s="162" t="s">
        <v>2196</v>
      </c>
      <c r="D57" s="162" t="s">
        <v>425</v>
      </c>
      <c r="E57" s="162"/>
      <c r="I57" s="121" t="s">
        <v>4</v>
      </c>
    </row>
    <row r="58">
      <c r="A58" s="16">
        <v>57.0</v>
      </c>
      <c r="B58" s="162" t="s">
        <v>334</v>
      </c>
      <c r="C58" s="162" t="s">
        <v>2197</v>
      </c>
      <c r="D58" s="162" t="s">
        <v>336</v>
      </c>
      <c r="E58" s="162"/>
      <c r="I58" s="121" t="s">
        <v>4</v>
      </c>
    </row>
    <row r="59">
      <c r="A59" s="16">
        <v>58.0</v>
      </c>
      <c r="B59" s="162" t="s">
        <v>337</v>
      </c>
      <c r="C59" s="162" t="s">
        <v>2198</v>
      </c>
      <c r="D59" s="162" t="s">
        <v>339</v>
      </c>
      <c r="E59" s="162"/>
      <c r="I59" s="121" t="s">
        <v>4</v>
      </c>
    </row>
    <row r="60">
      <c r="A60" s="16">
        <v>59.0</v>
      </c>
      <c r="B60" s="162" t="s">
        <v>316</v>
      </c>
      <c r="C60" s="162" t="s">
        <v>2199</v>
      </c>
      <c r="D60" s="162" t="s">
        <v>318</v>
      </c>
      <c r="E60" s="162"/>
      <c r="I60" s="121" t="s">
        <v>4</v>
      </c>
    </row>
    <row r="61">
      <c r="A61" s="16">
        <v>60.0</v>
      </c>
      <c r="B61" s="162" t="s">
        <v>623</v>
      </c>
      <c r="C61" s="162" t="s">
        <v>2200</v>
      </c>
      <c r="D61" s="162" t="s">
        <v>625</v>
      </c>
      <c r="E61" s="162"/>
      <c r="I61" s="121" t="s">
        <v>4</v>
      </c>
    </row>
    <row r="62">
      <c r="A62" s="16">
        <v>61.0</v>
      </c>
      <c r="B62" s="162" t="s">
        <v>641</v>
      </c>
      <c r="C62" s="162" t="s">
        <v>2201</v>
      </c>
      <c r="D62" s="162" t="s">
        <v>643</v>
      </c>
      <c r="E62" s="162"/>
      <c r="I62" s="121" t="s">
        <v>4</v>
      </c>
    </row>
    <row r="63">
      <c r="A63" s="16">
        <v>62.0</v>
      </c>
      <c r="B63" s="162" t="s">
        <v>1118</v>
      </c>
      <c r="C63" s="162" t="s">
        <v>2202</v>
      </c>
      <c r="D63" s="162"/>
      <c r="I63" s="121" t="s">
        <v>4</v>
      </c>
    </row>
    <row r="64">
      <c r="A64" s="16">
        <v>63.0</v>
      </c>
      <c r="B64" s="162" t="s">
        <v>1124</v>
      </c>
      <c r="C64" s="162" t="s">
        <v>2203</v>
      </c>
      <c r="D64" s="162" t="s">
        <v>1126</v>
      </c>
      <c r="I64" s="121" t="s">
        <v>4</v>
      </c>
    </row>
    <row r="65">
      <c r="A65" s="16">
        <v>64.0</v>
      </c>
      <c r="B65" s="162" t="s">
        <v>1127</v>
      </c>
      <c r="C65" s="162" t="s">
        <v>2204</v>
      </c>
      <c r="D65" s="162" t="s">
        <v>1129</v>
      </c>
      <c r="I65" s="121" t="s">
        <v>4</v>
      </c>
    </row>
    <row r="66">
      <c r="A66" s="16">
        <v>65.0</v>
      </c>
      <c r="B66" s="162" t="s">
        <v>358</v>
      </c>
      <c r="C66" s="162" t="s">
        <v>2205</v>
      </c>
      <c r="D66" s="162" t="s">
        <v>360</v>
      </c>
      <c r="I66" s="121" t="s">
        <v>4</v>
      </c>
    </row>
    <row r="67">
      <c r="A67" s="16">
        <v>66.0</v>
      </c>
      <c r="B67" s="162" t="s">
        <v>720</v>
      </c>
      <c r="C67" s="162" t="s">
        <v>2206</v>
      </c>
      <c r="D67" s="162" t="s">
        <v>722</v>
      </c>
      <c r="I67" s="121" t="s">
        <v>4</v>
      </c>
    </row>
    <row r="68">
      <c r="A68" s="16">
        <v>67.0</v>
      </c>
      <c r="B68" s="162" t="s">
        <v>355</v>
      </c>
      <c r="C68" s="162" t="s">
        <v>2207</v>
      </c>
      <c r="D68" s="162" t="s">
        <v>357</v>
      </c>
      <c r="I68" s="121" t="s">
        <v>4</v>
      </c>
    </row>
    <row r="69">
      <c r="A69" s="16">
        <v>68.0</v>
      </c>
      <c r="B69" s="162" t="s">
        <v>322</v>
      </c>
      <c r="C69" s="162" t="s">
        <v>2208</v>
      </c>
      <c r="D69" s="162" t="s">
        <v>324</v>
      </c>
      <c r="I69" s="121" t="s">
        <v>4</v>
      </c>
    </row>
    <row r="70">
      <c r="A70" s="16">
        <v>69.0</v>
      </c>
      <c r="B70" s="162" t="s">
        <v>714</v>
      </c>
      <c r="C70" s="162" t="s">
        <v>2209</v>
      </c>
      <c r="D70" s="162" t="s">
        <v>716</v>
      </c>
      <c r="I70" s="121" t="s">
        <v>4</v>
      </c>
    </row>
    <row r="71">
      <c r="A71" s="16">
        <v>70.0</v>
      </c>
      <c r="B71" s="162" t="s">
        <v>2078</v>
      </c>
      <c r="C71" s="162" t="s">
        <v>2079</v>
      </c>
      <c r="D71" s="162" t="s">
        <v>2080</v>
      </c>
      <c r="I71" s="121" t="s">
        <v>4</v>
      </c>
    </row>
    <row r="72">
      <c r="A72" s="16">
        <v>71.0</v>
      </c>
      <c r="B72" s="162" t="s">
        <v>2210</v>
      </c>
      <c r="C72" s="162" t="s">
        <v>2211</v>
      </c>
      <c r="D72" s="162" t="s">
        <v>767</v>
      </c>
      <c r="I72" s="121" t="s">
        <v>4</v>
      </c>
    </row>
    <row r="73">
      <c r="A73" s="16">
        <v>72.0</v>
      </c>
      <c r="B73" s="162" t="s">
        <v>777</v>
      </c>
      <c r="C73" s="162" t="s">
        <v>2212</v>
      </c>
      <c r="D73" s="162" t="s">
        <v>2213</v>
      </c>
      <c r="I73" s="121" t="s">
        <v>4</v>
      </c>
    </row>
    <row r="74">
      <c r="A74" s="16">
        <v>73.0</v>
      </c>
      <c r="B74" s="162" t="s">
        <v>306</v>
      </c>
      <c r="C74" s="162" t="s">
        <v>2062</v>
      </c>
      <c r="D74" s="162" t="s">
        <v>309</v>
      </c>
      <c r="I74" s="121" t="s">
        <v>4</v>
      </c>
    </row>
    <row r="75">
      <c r="A75" s="16">
        <v>74.0</v>
      </c>
      <c r="B75" s="162" t="s">
        <v>349</v>
      </c>
      <c r="C75" s="162" t="s">
        <v>2214</v>
      </c>
      <c r="D75" s="162" t="s">
        <v>351</v>
      </c>
      <c r="I75" s="121" t="s">
        <v>4</v>
      </c>
    </row>
    <row r="76">
      <c r="A76" s="16">
        <v>75.0</v>
      </c>
      <c r="B76" s="162" t="s">
        <v>562</v>
      </c>
      <c r="C76" s="162" t="s">
        <v>2215</v>
      </c>
      <c r="D76" s="162" t="s">
        <v>564</v>
      </c>
      <c r="I76" s="121" t="s">
        <v>4</v>
      </c>
    </row>
    <row r="77">
      <c r="A77" s="16">
        <v>76.0</v>
      </c>
      <c r="B77" s="162" t="s">
        <v>1302</v>
      </c>
      <c r="C77" s="162" t="s">
        <v>1303</v>
      </c>
      <c r="D77" s="162" t="s">
        <v>1304</v>
      </c>
      <c r="I77" s="121" t="s">
        <v>4</v>
      </c>
    </row>
    <row r="78">
      <c r="A78" s="16">
        <v>77.0</v>
      </c>
      <c r="B78" s="162" t="s">
        <v>2216</v>
      </c>
      <c r="C78" s="162" t="s">
        <v>2217</v>
      </c>
      <c r="D78" s="162" t="s">
        <v>2218</v>
      </c>
      <c r="I78" s="121" t="s">
        <v>4</v>
      </c>
    </row>
    <row r="79">
      <c r="A79" s="16">
        <v>78.0</v>
      </c>
      <c r="B79" s="162" t="s">
        <v>1502</v>
      </c>
      <c r="C79" s="162" t="s">
        <v>2219</v>
      </c>
      <c r="D79" s="162" t="s">
        <v>1504</v>
      </c>
      <c r="I79" s="121" t="s">
        <v>4</v>
      </c>
    </row>
    <row r="80">
      <c r="A80" s="16">
        <v>79.0</v>
      </c>
      <c r="B80" s="162" t="s">
        <v>1490</v>
      </c>
      <c r="C80" s="162" t="s">
        <v>2220</v>
      </c>
      <c r="D80" s="162" t="s">
        <v>1492</v>
      </c>
      <c r="I80" s="121" t="s">
        <v>4</v>
      </c>
    </row>
    <row r="81">
      <c r="A81" s="16">
        <v>80.0</v>
      </c>
      <c r="B81" s="162" t="s">
        <v>653</v>
      </c>
      <c r="C81" s="162" t="s">
        <v>2221</v>
      </c>
      <c r="D81" s="162" t="s">
        <v>655</v>
      </c>
      <c r="I81" s="121" t="s">
        <v>4</v>
      </c>
    </row>
    <row r="82">
      <c r="A82" s="16">
        <v>81.0</v>
      </c>
      <c r="B82" s="162" t="s">
        <v>632</v>
      </c>
      <c r="C82" s="162" t="s">
        <v>2222</v>
      </c>
      <c r="D82" s="162" t="s">
        <v>634</v>
      </c>
      <c r="I82" s="121" t="s">
        <v>4</v>
      </c>
    </row>
    <row r="83">
      <c r="A83" s="16">
        <v>82.0</v>
      </c>
      <c r="B83" s="162" t="s">
        <v>426</v>
      </c>
      <c r="C83" s="162" t="s">
        <v>2223</v>
      </c>
      <c r="D83" s="162" t="s">
        <v>428</v>
      </c>
      <c r="I83" s="121" t="s">
        <v>4</v>
      </c>
    </row>
    <row r="84">
      <c r="A84" s="16">
        <v>83.0</v>
      </c>
      <c r="B84" s="162" t="s">
        <v>1027</v>
      </c>
      <c r="C84" s="162" t="s">
        <v>2224</v>
      </c>
      <c r="D84" s="162" t="s">
        <v>1029</v>
      </c>
      <c r="I84" s="121" t="s">
        <v>4</v>
      </c>
    </row>
    <row r="85">
      <c r="A85" s="16">
        <v>84.0</v>
      </c>
      <c r="B85" s="162" t="s">
        <v>976</v>
      </c>
      <c r="C85" s="162" t="s">
        <v>2225</v>
      </c>
      <c r="D85" s="162" t="s">
        <v>978</v>
      </c>
      <c r="I85" s="121" t="s">
        <v>4</v>
      </c>
    </row>
    <row r="86">
      <c r="A86" s="16">
        <v>85.0</v>
      </c>
      <c r="B86" s="162" t="s">
        <v>895</v>
      </c>
      <c r="C86" s="162" t="s">
        <v>2226</v>
      </c>
      <c r="D86" s="162" t="s">
        <v>896</v>
      </c>
      <c r="I86" s="121" t="s">
        <v>4</v>
      </c>
    </row>
    <row r="87">
      <c r="A87" s="16">
        <v>86.0</v>
      </c>
      <c r="B87" s="162" t="s">
        <v>444</v>
      </c>
      <c r="C87" s="162" t="s">
        <v>2227</v>
      </c>
      <c r="D87" s="162" t="s">
        <v>446</v>
      </c>
      <c r="I87" s="121" t="s">
        <v>4</v>
      </c>
    </row>
    <row r="88">
      <c r="A88" s="16">
        <v>87.0</v>
      </c>
      <c r="B88" s="162" t="s">
        <v>1305</v>
      </c>
      <c r="C88" s="162" t="s">
        <v>2228</v>
      </c>
      <c r="D88" s="162" t="s">
        <v>1307</v>
      </c>
      <c r="I88" s="121" t="s">
        <v>4</v>
      </c>
    </row>
    <row r="89">
      <c r="A89" s="16">
        <v>88.0</v>
      </c>
      <c r="B89" s="162" t="s">
        <v>429</v>
      </c>
      <c r="C89" s="162" t="s">
        <v>2229</v>
      </c>
      <c r="D89" s="162" t="s">
        <v>431</v>
      </c>
      <c r="I89" s="121" t="s">
        <v>4</v>
      </c>
    </row>
    <row r="90">
      <c r="A90" s="16">
        <v>89.0</v>
      </c>
      <c r="B90" s="162" t="s">
        <v>2230</v>
      </c>
      <c r="C90" s="162" t="s">
        <v>2231</v>
      </c>
      <c r="D90" s="162" t="s">
        <v>2232</v>
      </c>
      <c r="I90" s="121" t="s">
        <v>4</v>
      </c>
    </row>
    <row r="91">
      <c r="A91" s="16">
        <v>90.0</v>
      </c>
      <c r="B91" s="162" t="s">
        <v>435</v>
      </c>
      <c r="C91" s="162" t="s">
        <v>2233</v>
      </c>
      <c r="D91" s="162" t="s">
        <v>437</v>
      </c>
      <c r="I91" s="121" t="s">
        <v>4</v>
      </c>
    </row>
    <row r="92">
      <c r="A92" s="16">
        <v>91.0</v>
      </c>
      <c r="B92" s="162" t="s">
        <v>447</v>
      </c>
      <c r="C92" s="162" t="s">
        <v>2234</v>
      </c>
      <c r="D92" s="162" t="s">
        <v>449</v>
      </c>
      <c r="I92" s="121" t="s">
        <v>4</v>
      </c>
    </row>
    <row r="93">
      <c r="A93" s="16">
        <v>92.0</v>
      </c>
      <c r="B93" s="162" t="s">
        <v>2235</v>
      </c>
      <c r="C93" s="162" t="s">
        <v>2236</v>
      </c>
      <c r="D93" s="162" t="s">
        <v>2237</v>
      </c>
      <c r="I93" s="121" t="s">
        <v>4</v>
      </c>
    </row>
    <row r="94">
      <c r="A94" s="16">
        <v>93.0</v>
      </c>
      <c r="B94" s="162" t="s">
        <v>438</v>
      </c>
      <c r="C94" s="162" t="s">
        <v>2238</v>
      </c>
      <c r="D94" s="162" t="s">
        <v>440</v>
      </c>
      <c r="I94" s="121" t="s">
        <v>4</v>
      </c>
    </row>
    <row r="95">
      <c r="A95" s="16">
        <v>94.0</v>
      </c>
      <c r="B95" s="162" t="s">
        <v>2239</v>
      </c>
      <c r="C95" s="162" t="s">
        <v>2240</v>
      </c>
      <c r="D95" s="162" t="s">
        <v>2241</v>
      </c>
      <c r="I95" s="121" t="s">
        <v>4</v>
      </c>
    </row>
    <row r="96">
      <c r="A96" s="16">
        <v>95.0</v>
      </c>
      <c r="B96" s="162" t="s">
        <v>2242</v>
      </c>
      <c r="C96" s="162" t="s">
        <v>2243</v>
      </c>
      <c r="D96" s="162" t="s">
        <v>2244</v>
      </c>
      <c r="I96" s="121" t="s">
        <v>4</v>
      </c>
    </row>
    <row r="97">
      <c r="A97" s="16">
        <v>96.0</v>
      </c>
      <c r="B97" s="162" t="s">
        <v>644</v>
      </c>
      <c r="C97" s="162" t="s">
        <v>2245</v>
      </c>
      <c r="D97" s="162" t="s">
        <v>646</v>
      </c>
      <c r="I97" s="121" t="s">
        <v>4</v>
      </c>
    </row>
    <row r="98">
      <c r="A98" s="16">
        <v>97.0</v>
      </c>
      <c r="B98" s="162" t="s">
        <v>328</v>
      </c>
      <c r="C98" s="162" t="s">
        <v>2246</v>
      </c>
      <c r="D98" s="162" t="s">
        <v>330</v>
      </c>
      <c r="I98" s="121" t="s">
        <v>4</v>
      </c>
    </row>
    <row r="99">
      <c r="A99" s="16">
        <v>98.0</v>
      </c>
      <c r="B99" s="162" t="s">
        <v>465</v>
      </c>
      <c r="C99" s="162" t="s">
        <v>2247</v>
      </c>
      <c r="D99" s="162" t="s">
        <v>467</v>
      </c>
      <c r="I99" s="121" t="s">
        <v>4</v>
      </c>
    </row>
    <row r="100">
      <c r="A100" s="16">
        <v>99.0</v>
      </c>
      <c r="B100" s="162" t="s">
        <v>420</v>
      </c>
      <c r="C100" s="162" t="s">
        <v>2248</v>
      </c>
      <c r="D100" s="162" t="s">
        <v>422</v>
      </c>
      <c r="I100" s="121" t="s">
        <v>4</v>
      </c>
    </row>
    <row r="101">
      <c r="A101" s="16">
        <v>100.0</v>
      </c>
      <c r="B101" s="162" t="s">
        <v>414</v>
      </c>
      <c r="C101" s="162" t="s">
        <v>2249</v>
      </c>
      <c r="D101" s="162" t="s">
        <v>416</v>
      </c>
      <c r="I101" s="121" t="s">
        <v>4</v>
      </c>
    </row>
    <row r="102">
      <c r="A102" s="16">
        <v>101.0</v>
      </c>
      <c r="B102" s="162" t="s">
        <v>299</v>
      </c>
      <c r="C102" s="162" t="s">
        <v>2063</v>
      </c>
      <c r="D102" s="162" t="s">
        <v>302</v>
      </c>
      <c r="I102" s="121" t="s">
        <v>4</v>
      </c>
    </row>
    <row r="103">
      <c r="A103" s="16">
        <v>102.0</v>
      </c>
      <c r="B103" s="162" t="s">
        <v>331</v>
      </c>
      <c r="C103" s="162" t="s">
        <v>2250</v>
      </c>
      <c r="D103" s="162" t="s">
        <v>333</v>
      </c>
      <c r="I103" s="121" t="s">
        <v>4</v>
      </c>
    </row>
    <row r="104">
      <c r="A104" s="16">
        <v>103.0</v>
      </c>
      <c r="B104" s="162" t="s">
        <v>441</v>
      </c>
      <c r="C104" s="162" t="s">
        <v>2251</v>
      </c>
      <c r="D104" s="162" t="s">
        <v>443</v>
      </c>
      <c r="I104" s="121" t="s">
        <v>4</v>
      </c>
    </row>
    <row r="105">
      <c r="A105" s="16">
        <v>104.0</v>
      </c>
      <c r="B105" s="162" t="s">
        <v>2252</v>
      </c>
      <c r="C105" s="162" t="s">
        <v>2253</v>
      </c>
      <c r="D105" s="162" t="s">
        <v>464</v>
      </c>
      <c r="I105" s="121" t="s">
        <v>4</v>
      </c>
    </row>
    <row r="106">
      <c r="A106" s="16">
        <v>105.0</v>
      </c>
      <c r="B106" s="162" t="s">
        <v>479</v>
      </c>
      <c r="C106" s="162" t="s">
        <v>2254</v>
      </c>
      <c r="D106" s="162" t="s">
        <v>481</v>
      </c>
      <c r="I106" s="121" t="s">
        <v>4</v>
      </c>
    </row>
    <row r="107">
      <c r="A107" s="16">
        <v>106.0</v>
      </c>
      <c r="B107" s="162" t="s">
        <v>491</v>
      </c>
      <c r="C107" s="162" t="s">
        <v>2255</v>
      </c>
      <c r="D107" s="162" t="s">
        <v>493</v>
      </c>
      <c r="I107" s="121" t="s">
        <v>4</v>
      </c>
    </row>
    <row r="108">
      <c r="A108" s="16">
        <v>107.0</v>
      </c>
      <c r="B108" s="162" t="s">
        <v>927</v>
      </c>
      <c r="C108" s="162" t="s">
        <v>2256</v>
      </c>
      <c r="D108" s="162" t="s">
        <v>929</v>
      </c>
      <c r="I108" s="121" t="s">
        <v>4</v>
      </c>
    </row>
    <row r="109">
      <c r="A109" s="16">
        <v>108.0</v>
      </c>
      <c r="B109" s="162" t="s">
        <v>2257</v>
      </c>
      <c r="C109" s="162" t="s">
        <v>2258</v>
      </c>
      <c r="D109" s="162" t="s">
        <v>2259</v>
      </c>
      <c r="I109" s="121" t="s">
        <v>4</v>
      </c>
    </row>
    <row r="110">
      <c r="A110" s="16">
        <v>109.0</v>
      </c>
      <c r="B110" s="162" t="s">
        <v>1333</v>
      </c>
      <c r="C110" s="162" t="s">
        <v>2260</v>
      </c>
      <c r="D110" s="162" t="s">
        <v>1335</v>
      </c>
      <c r="I110" s="121" t="s">
        <v>4</v>
      </c>
    </row>
    <row r="111">
      <c r="A111" s="16">
        <v>110.0</v>
      </c>
      <c r="B111" s="162" t="s">
        <v>475</v>
      </c>
      <c r="C111" s="162" t="s">
        <v>2261</v>
      </c>
      <c r="D111" s="162" t="s">
        <v>478</v>
      </c>
      <c r="I111" s="121" t="s">
        <v>4</v>
      </c>
    </row>
    <row r="112">
      <c r="A112" s="16">
        <v>111.0</v>
      </c>
      <c r="B112" s="162" t="s">
        <v>482</v>
      </c>
      <c r="C112" s="162" t="s">
        <v>2262</v>
      </c>
      <c r="D112" s="162" t="s">
        <v>484</v>
      </c>
      <c r="I112" s="121" t="s">
        <v>4</v>
      </c>
    </row>
    <row r="113">
      <c r="A113" s="16">
        <v>112.0</v>
      </c>
      <c r="B113" s="162" t="s">
        <v>565</v>
      </c>
      <c r="C113" s="162" t="s">
        <v>2263</v>
      </c>
      <c r="D113" s="162" t="s">
        <v>567</v>
      </c>
      <c r="I113" s="121" t="s">
        <v>4</v>
      </c>
    </row>
    <row r="114">
      <c r="A114" s="16">
        <v>113.0</v>
      </c>
      <c r="B114" s="162" t="s">
        <v>2264</v>
      </c>
      <c r="C114" s="162" t="s">
        <v>2265</v>
      </c>
      <c r="D114" s="162" t="s">
        <v>2266</v>
      </c>
      <c r="I114" s="121" t="s">
        <v>9</v>
      </c>
    </row>
    <row r="115">
      <c r="A115" s="16">
        <v>114.0</v>
      </c>
      <c r="B115" s="162" t="s">
        <v>924</v>
      </c>
      <c r="C115" s="162" t="s">
        <v>2267</v>
      </c>
      <c r="D115" s="162" t="s">
        <v>926</v>
      </c>
      <c r="I115" s="121" t="s">
        <v>9</v>
      </c>
    </row>
    <row r="116">
      <c r="A116" s="16">
        <v>115.0</v>
      </c>
      <c r="B116" s="162" t="s">
        <v>1296</v>
      </c>
      <c r="C116" s="162" t="s">
        <v>2268</v>
      </c>
      <c r="D116" s="162" t="s">
        <v>1298</v>
      </c>
      <c r="I116" s="121" t="s">
        <v>9</v>
      </c>
    </row>
    <row r="117">
      <c r="A117" s="16">
        <v>116.0</v>
      </c>
      <c r="B117" s="162" t="s">
        <v>1469</v>
      </c>
      <c r="C117" s="162" t="s">
        <v>2269</v>
      </c>
      <c r="D117" s="162" t="s">
        <v>1471</v>
      </c>
      <c r="I117" s="121" t="s">
        <v>9</v>
      </c>
    </row>
    <row r="118">
      <c r="A118" s="16">
        <v>117.0</v>
      </c>
      <c r="B118" s="162" t="s">
        <v>656</v>
      </c>
      <c r="C118" s="162" t="s">
        <v>2270</v>
      </c>
      <c r="D118" s="162" t="s">
        <v>658</v>
      </c>
      <c r="I118" s="121" t="s">
        <v>9</v>
      </c>
    </row>
    <row r="119">
      <c r="A119" s="16">
        <v>118.0</v>
      </c>
      <c r="B119" s="162" t="s">
        <v>759</v>
      </c>
      <c r="C119" s="162" t="s">
        <v>2271</v>
      </c>
      <c r="D119" s="162" t="s">
        <v>761</v>
      </c>
      <c r="I119" s="121" t="s">
        <v>9</v>
      </c>
    </row>
    <row r="120">
      <c r="A120" s="16">
        <v>119.0</v>
      </c>
      <c r="B120" s="162" t="s">
        <v>2272</v>
      </c>
      <c r="C120" s="162" t="s">
        <v>2273</v>
      </c>
      <c r="D120" s="162" t="s">
        <v>2274</v>
      </c>
      <c r="I120" s="121" t="s">
        <v>9</v>
      </c>
    </row>
    <row r="121">
      <c r="A121" s="16">
        <v>120.0</v>
      </c>
      <c r="B121" s="162" t="s">
        <v>859</v>
      </c>
      <c r="C121" s="162" t="s">
        <v>2275</v>
      </c>
      <c r="D121" s="162" t="s">
        <v>861</v>
      </c>
      <c r="I121" s="121" t="s">
        <v>9</v>
      </c>
    </row>
    <row r="122">
      <c r="A122" s="16">
        <v>121.0</v>
      </c>
      <c r="B122" s="162" t="s">
        <v>918</v>
      </c>
      <c r="C122" s="162" t="s">
        <v>2276</v>
      </c>
      <c r="D122" s="162" t="s">
        <v>920</v>
      </c>
      <c r="I122" s="121" t="s">
        <v>9</v>
      </c>
    </row>
    <row r="123">
      <c r="A123" s="16">
        <v>122.0</v>
      </c>
      <c r="B123" s="162" t="s">
        <v>2277</v>
      </c>
      <c r="C123" s="162" t="s">
        <v>2278</v>
      </c>
      <c r="D123" s="162" t="s">
        <v>2279</v>
      </c>
      <c r="I123" s="121" t="s">
        <v>9</v>
      </c>
    </row>
    <row r="124">
      <c r="A124" s="16">
        <v>123.0</v>
      </c>
      <c r="B124" s="162" t="s">
        <v>1459</v>
      </c>
      <c r="C124" s="162" t="s">
        <v>2280</v>
      </c>
      <c r="D124" s="162" t="s">
        <v>1461</v>
      </c>
      <c r="I124" s="121" t="s">
        <v>9</v>
      </c>
    </row>
    <row r="125">
      <c r="A125" s="16">
        <v>124.0</v>
      </c>
      <c r="B125" s="162" t="s">
        <v>540</v>
      </c>
      <c r="C125" s="162" t="s">
        <v>2281</v>
      </c>
      <c r="D125" s="162" t="s">
        <v>542</v>
      </c>
      <c r="I125" s="121" t="s">
        <v>9</v>
      </c>
    </row>
    <row r="126">
      <c r="A126" s="16">
        <v>125.0</v>
      </c>
      <c r="B126" s="162" t="s">
        <v>494</v>
      </c>
      <c r="C126" s="162" t="s">
        <v>2282</v>
      </c>
      <c r="D126" s="162" t="s">
        <v>497</v>
      </c>
      <c r="I126" s="121" t="s">
        <v>9</v>
      </c>
    </row>
    <row r="127">
      <c r="A127" s="16">
        <v>126.0</v>
      </c>
      <c r="B127" s="162" t="s">
        <v>507</v>
      </c>
      <c r="C127" s="162" t="s">
        <v>2283</v>
      </c>
      <c r="D127" s="162" t="s">
        <v>509</v>
      </c>
      <c r="I127" s="121" t="s">
        <v>9</v>
      </c>
    </row>
    <row r="128">
      <c r="A128" s="16">
        <v>127.0</v>
      </c>
      <c r="B128" s="162" t="s">
        <v>1369</v>
      </c>
      <c r="C128" s="162" t="s">
        <v>2284</v>
      </c>
      <c r="D128" s="162" t="s">
        <v>1372</v>
      </c>
      <c r="I128" s="121" t="s">
        <v>9</v>
      </c>
    </row>
    <row r="129">
      <c r="A129" s="16">
        <v>128.0</v>
      </c>
      <c r="B129" s="162" t="s">
        <v>1404</v>
      </c>
      <c r="C129" s="162" t="s">
        <v>2285</v>
      </c>
      <c r="D129" s="162" t="s">
        <v>1406</v>
      </c>
      <c r="I129" s="121" t="s">
        <v>9</v>
      </c>
    </row>
    <row r="130">
      <c r="A130" s="16">
        <v>129.0</v>
      </c>
      <c r="B130" s="162" t="s">
        <v>1395</v>
      </c>
      <c r="C130" s="162" t="s">
        <v>2286</v>
      </c>
      <c r="D130" s="162" t="s">
        <v>1397</v>
      </c>
      <c r="I130" s="121" t="s">
        <v>9</v>
      </c>
    </row>
    <row r="131">
      <c r="A131" s="16">
        <v>130.0</v>
      </c>
      <c r="B131" s="162" t="s">
        <v>1366</v>
      </c>
      <c r="C131" s="162" t="s">
        <v>2287</v>
      </c>
      <c r="D131" s="162" t="s">
        <v>1368</v>
      </c>
      <c r="I131" s="121" t="s">
        <v>9</v>
      </c>
    </row>
    <row r="132">
      <c r="A132" s="16">
        <v>131.0</v>
      </c>
      <c r="B132" s="162" t="s">
        <v>537</v>
      </c>
      <c r="C132" s="162" t="s">
        <v>2288</v>
      </c>
      <c r="D132" s="162" t="s">
        <v>539</v>
      </c>
      <c r="I132" s="121" t="s">
        <v>9</v>
      </c>
    </row>
    <row r="133">
      <c r="A133" s="16">
        <v>132.0</v>
      </c>
      <c r="B133" s="162" t="s">
        <v>513</v>
      </c>
      <c r="C133" s="162" t="s">
        <v>2289</v>
      </c>
      <c r="D133" s="162" t="s">
        <v>515</v>
      </c>
      <c r="I133" s="121" t="s">
        <v>9</v>
      </c>
    </row>
    <row r="134">
      <c r="A134" s="16">
        <v>133.0</v>
      </c>
      <c r="B134" s="162" t="s">
        <v>498</v>
      </c>
      <c r="C134" s="162" t="s">
        <v>2290</v>
      </c>
      <c r="D134" s="162" t="s">
        <v>500</v>
      </c>
      <c r="I134" s="121" t="s">
        <v>9</v>
      </c>
    </row>
    <row r="135">
      <c r="A135" s="16">
        <v>134.0</v>
      </c>
      <c r="B135" s="162" t="s">
        <v>516</v>
      </c>
      <c r="C135" s="162" t="s">
        <v>2291</v>
      </c>
      <c r="D135" s="162" t="s">
        <v>518</v>
      </c>
      <c r="I135" s="121" t="s">
        <v>9</v>
      </c>
    </row>
    <row r="136">
      <c r="A136" s="16">
        <v>135.0</v>
      </c>
      <c r="B136" s="162" t="s">
        <v>549</v>
      </c>
      <c r="C136" s="162" t="s">
        <v>2292</v>
      </c>
      <c r="D136" s="162" t="s">
        <v>551</v>
      </c>
      <c r="I136" s="121" t="s">
        <v>9</v>
      </c>
    </row>
    <row r="137">
      <c r="A137" s="16">
        <v>136.0</v>
      </c>
      <c r="B137" s="162" t="s">
        <v>519</v>
      </c>
      <c r="C137" s="162" t="s">
        <v>2293</v>
      </c>
      <c r="D137" s="162" t="s">
        <v>521</v>
      </c>
      <c r="I137" s="121" t="s">
        <v>9</v>
      </c>
    </row>
    <row r="138">
      <c r="A138" s="16">
        <v>137.0</v>
      </c>
      <c r="B138" s="162" t="s">
        <v>543</v>
      </c>
      <c r="C138" s="162" t="s">
        <v>2294</v>
      </c>
      <c r="D138" s="162" t="s">
        <v>545</v>
      </c>
      <c r="I138" s="121" t="s">
        <v>9</v>
      </c>
    </row>
    <row r="139">
      <c r="A139" s="16">
        <v>138.0</v>
      </c>
      <c r="B139" s="162" t="s">
        <v>662</v>
      </c>
      <c r="C139" s="162" t="s">
        <v>2295</v>
      </c>
      <c r="D139" s="162" t="s">
        <v>664</v>
      </c>
      <c r="I139" s="121" t="s">
        <v>9</v>
      </c>
    </row>
    <row r="140">
      <c r="A140" s="16">
        <v>139.0</v>
      </c>
      <c r="B140" s="162" t="s">
        <v>1118</v>
      </c>
      <c r="C140" s="162" t="s">
        <v>2202</v>
      </c>
      <c r="D140" s="162" t="s">
        <v>1120</v>
      </c>
      <c r="I140" s="121" t="s">
        <v>9</v>
      </c>
    </row>
    <row r="141">
      <c r="A141" s="16">
        <v>140.0</v>
      </c>
      <c r="B141" s="162" t="s">
        <v>1121</v>
      </c>
      <c r="C141" s="162" t="s">
        <v>2296</v>
      </c>
      <c r="D141" s="162" t="s">
        <v>1123</v>
      </c>
      <c r="I141" s="121" t="s">
        <v>9</v>
      </c>
    </row>
    <row r="142">
      <c r="A142" s="16">
        <v>141.0</v>
      </c>
      <c r="B142" s="162" t="s">
        <v>2297</v>
      </c>
      <c r="C142" s="162" t="s">
        <v>2298</v>
      </c>
      <c r="D142" s="162" t="s">
        <v>2299</v>
      </c>
      <c r="I142" s="121" t="s">
        <v>9</v>
      </c>
    </row>
    <row r="143">
      <c r="A143" s="16">
        <v>142.0</v>
      </c>
      <c r="B143" s="162" t="s">
        <v>522</v>
      </c>
      <c r="C143" s="162" t="s">
        <v>2300</v>
      </c>
      <c r="D143" s="162" t="s">
        <v>524</v>
      </c>
      <c r="I143" s="121" t="s">
        <v>9</v>
      </c>
    </row>
    <row r="144">
      <c r="A144" s="16">
        <v>143.0</v>
      </c>
      <c r="B144" s="162" t="s">
        <v>501</v>
      </c>
      <c r="C144" s="162" t="s">
        <v>2301</v>
      </c>
      <c r="D144" s="162" t="s">
        <v>503</v>
      </c>
      <c r="I144" s="121" t="s">
        <v>9</v>
      </c>
    </row>
    <row r="145">
      <c r="A145" s="16">
        <v>144.0</v>
      </c>
      <c r="B145" s="162" t="s">
        <v>504</v>
      </c>
      <c r="C145" s="162" t="s">
        <v>2302</v>
      </c>
      <c r="D145" s="162" t="s">
        <v>506</v>
      </c>
      <c r="I145" s="121" t="s">
        <v>9</v>
      </c>
    </row>
    <row r="146">
      <c r="A146" s="16">
        <v>145.0</v>
      </c>
      <c r="B146" s="162" t="s">
        <v>510</v>
      </c>
      <c r="C146" s="162" t="s">
        <v>2303</v>
      </c>
      <c r="D146" s="162" t="s">
        <v>512</v>
      </c>
      <c r="I146" s="121" t="s">
        <v>9</v>
      </c>
    </row>
    <row r="147">
      <c r="A147" s="16">
        <v>146.0</v>
      </c>
      <c r="B147" s="162" t="s">
        <v>531</v>
      </c>
      <c r="C147" s="162" t="s">
        <v>2304</v>
      </c>
      <c r="D147" s="162" t="s">
        <v>533</v>
      </c>
      <c r="I147" s="121" t="s">
        <v>9</v>
      </c>
    </row>
    <row r="148">
      <c r="A148" s="16">
        <v>147.0</v>
      </c>
      <c r="B148" s="162" t="s">
        <v>546</v>
      </c>
      <c r="C148" s="162" t="s">
        <v>2305</v>
      </c>
      <c r="D148" s="162" t="s">
        <v>548</v>
      </c>
      <c r="I148" s="121" t="s">
        <v>9</v>
      </c>
    </row>
    <row r="149">
      <c r="A149" s="16">
        <v>148.0</v>
      </c>
      <c r="B149" s="162" t="s">
        <v>613</v>
      </c>
      <c r="C149" s="162" t="s">
        <v>2306</v>
      </c>
      <c r="D149" s="162" t="s">
        <v>615</v>
      </c>
      <c r="I149" s="121" t="s">
        <v>9</v>
      </c>
    </row>
    <row r="150">
      <c r="A150" s="16">
        <v>149.0</v>
      </c>
      <c r="B150" s="162" t="s">
        <v>2307</v>
      </c>
      <c r="C150" s="162" t="s">
        <v>2308</v>
      </c>
      <c r="D150" s="162" t="s">
        <v>2309</v>
      </c>
      <c r="I150" s="121" t="s">
        <v>9</v>
      </c>
    </row>
    <row r="151">
      <c r="A151" s="16">
        <v>150.0</v>
      </c>
      <c r="B151" s="162" t="s">
        <v>604</v>
      </c>
      <c r="C151" s="162" t="s">
        <v>2310</v>
      </c>
      <c r="D151" s="162" t="s">
        <v>606</v>
      </c>
      <c r="I151" s="121" t="s">
        <v>9</v>
      </c>
    </row>
    <row r="152">
      <c r="A152" s="16">
        <v>151.0</v>
      </c>
      <c r="B152" s="162" t="s">
        <v>2311</v>
      </c>
      <c r="C152" s="162" t="s">
        <v>2312</v>
      </c>
      <c r="D152" s="162" t="s">
        <v>2313</v>
      </c>
      <c r="I152" s="121" t="s">
        <v>9</v>
      </c>
    </row>
    <row r="153">
      <c r="A153" s="16">
        <v>152.0</v>
      </c>
      <c r="B153" s="162" t="s">
        <v>597</v>
      </c>
      <c r="C153" s="162" t="s">
        <v>2314</v>
      </c>
      <c r="D153" s="162" t="s">
        <v>600</v>
      </c>
      <c r="I153" s="121" t="s">
        <v>9</v>
      </c>
    </row>
    <row r="154">
      <c r="A154" s="16">
        <v>153.0</v>
      </c>
      <c r="B154" s="162" t="s">
        <v>2315</v>
      </c>
      <c r="C154" s="162" t="s">
        <v>2316</v>
      </c>
      <c r="D154" s="162" t="s">
        <v>2317</v>
      </c>
      <c r="I154" s="121" t="s">
        <v>9</v>
      </c>
    </row>
    <row r="155">
      <c r="A155" s="16">
        <v>154.0</v>
      </c>
      <c r="B155" s="162" t="s">
        <v>616</v>
      </c>
      <c r="C155" s="162" t="s">
        <v>2318</v>
      </c>
      <c r="D155" s="162" t="s">
        <v>618</v>
      </c>
      <c r="I155" s="121" t="s">
        <v>9</v>
      </c>
    </row>
    <row r="156">
      <c r="A156" s="16">
        <v>155.0</v>
      </c>
      <c r="B156" s="162" t="s">
        <v>610</v>
      </c>
      <c r="C156" s="162" t="s">
        <v>2319</v>
      </c>
      <c r="D156" s="162" t="s">
        <v>612</v>
      </c>
      <c r="I156" s="121" t="s">
        <v>9</v>
      </c>
    </row>
    <row r="157">
      <c r="A157" s="16">
        <v>156.0</v>
      </c>
      <c r="B157" s="162" t="s">
        <v>2320</v>
      </c>
      <c r="C157" s="162" t="s">
        <v>2321</v>
      </c>
      <c r="D157" s="162" t="s">
        <v>2322</v>
      </c>
      <c r="I157" s="121" t="s">
        <v>9</v>
      </c>
    </row>
    <row r="158">
      <c r="A158" s="16">
        <v>157.0</v>
      </c>
      <c r="B158" s="162" t="s">
        <v>2323</v>
      </c>
      <c r="C158" s="162" t="s">
        <v>2324</v>
      </c>
      <c r="D158" s="162" t="s">
        <v>2325</v>
      </c>
      <c r="I158" s="121" t="s">
        <v>9</v>
      </c>
    </row>
    <row r="159">
      <c r="A159" s="16">
        <v>158.0</v>
      </c>
      <c r="B159" s="162" t="s">
        <v>601</v>
      </c>
      <c r="C159" s="162" t="s">
        <v>2326</v>
      </c>
      <c r="D159" s="162" t="s">
        <v>603</v>
      </c>
      <c r="I159" s="121" t="s">
        <v>9</v>
      </c>
    </row>
    <row r="160">
      <c r="A160" s="16">
        <v>159.0</v>
      </c>
      <c r="B160" s="162" t="s">
        <v>468</v>
      </c>
      <c r="C160" s="162" t="s">
        <v>2327</v>
      </c>
      <c r="D160" s="162" t="s">
        <v>471</v>
      </c>
      <c r="I160" s="121" t="s">
        <v>9</v>
      </c>
    </row>
    <row r="161">
      <c r="A161" s="16">
        <v>160.0</v>
      </c>
      <c r="B161" s="162" t="s">
        <v>1379</v>
      </c>
      <c r="C161" s="162" t="s">
        <v>2328</v>
      </c>
      <c r="D161" s="162" t="s">
        <v>1381</v>
      </c>
      <c r="I161" s="121" t="s">
        <v>9</v>
      </c>
    </row>
    <row r="162">
      <c r="A162" s="16">
        <v>161.0</v>
      </c>
      <c r="B162" s="162" t="s">
        <v>1447</v>
      </c>
      <c r="C162" s="162" t="s">
        <v>2329</v>
      </c>
      <c r="D162" s="162" t="s">
        <v>1449</v>
      </c>
      <c r="I162" s="121" t="s">
        <v>9</v>
      </c>
    </row>
    <row r="163">
      <c r="A163" s="16">
        <v>162.0</v>
      </c>
      <c r="B163" s="162" t="s">
        <v>1453</v>
      </c>
      <c r="C163" s="162" t="s">
        <v>2330</v>
      </c>
      <c r="D163" s="162" t="s">
        <v>1455</v>
      </c>
      <c r="I163" s="121" t="s">
        <v>9</v>
      </c>
    </row>
    <row r="164">
      <c r="A164" s="16">
        <v>163.0</v>
      </c>
      <c r="B164" s="162" t="s">
        <v>1272</v>
      </c>
      <c r="C164" s="162" t="s">
        <v>2331</v>
      </c>
      <c r="D164" s="162" t="s">
        <v>1274</v>
      </c>
      <c r="I164" s="121" t="s">
        <v>9</v>
      </c>
    </row>
    <row r="165">
      <c r="A165" s="16">
        <v>164.0</v>
      </c>
      <c r="B165" s="162" t="s">
        <v>1293</v>
      </c>
      <c r="C165" s="162" t="s">
        <v>2332</v>
      </c>
      <c r="D165" s="162" t="s">
        <v>1295</v>
      </c>
      <c r="I165" s="121" t="s">
        <v>9</v>
      </c>
    </row>
    <row r="166">
      <c r="A166" s="16">
        <v>165.0</v>
      </c>
      <c r="B166" s="162" t="s">
        <v>1314</v>
      </c>
      <c r="C166" s="162" t="s">
        <v>2333</v>
      </c>
      <c r="D166" s="162" t="s">
        <v>1316</v>
      </c>
      <c r="I166" s="121" t="s">
        <v>9</v>
      </c>
    </row>
    <row r="167">
      <c r="A167" s="16">
        <v>166.0</v>
      </c>
      <c r="B167" s="162" t="s">
        <v>1262</v>
      </c>
      <c r="C167" s="162" t="s">
        <v>2334</v>
      </c>
      <c r="D167" s="162" t="s">
        <v>1265</v>
      </c>
      <c r="I167" s="121" t="s">
        <v>9</v>
      </c>
    </row>
    <row r="168">
      <c r="A168" s="16">
        <v>167.0</v>
      </c>
      <c r="B168" s="162" t="s">
        <v>1320</v>
      </c>
      <c r="C168" s="162" t="s">
        <v>2335</v>
      </c>
      <c r="D168" s="162" t="s">
        <v>1322</v>
      </c>
      <c r="I168" s="121" t="s">
        <v>2135</v>
      </c>
    </row>
    <row r="169">
      <c r="A169" s="16">
        <v>168.0</v>
      </c>
      <c r="B169" s="162" t="s">
        <v>1505</v>
      </c>
      <c r="C169" s="162" t="s">
        <v>2336</v>
      </c>
      <c r="D169" s="162" t="s">
        <v>1507</v>
      </c>
      <c r="I169" s="121" t="s">
        <v>83</v>
      </c>
    </row>
    <row r="170">
      <c r="A170" s="16">
        <v>169.0</v>
      </c>
      <c r="B170" s="162" t="s">
        <v>1466</v>
      </c>
      <c r="C170" s="162" t="s">
        <v>2337</v>
      </c>
      <c r="D170" s="162" t="s">
        <v>1468</v>
      </c>
      <c r="I170" s="121" t="s">
        <v>83</v>
      </c>
    </row>
    <row r="171">
      <c r="A171" s="16">
        <v>170.0</v>
      </c>
      <c r="B171" s="162" t="s">
        <v>1487</v>
      </c>
      <c r="C171" s="162" t="s">
        <v>2338</v>
      </c>
      <c r="D171" s="162" t="s">
        <v>1489</v>
      </c>
      <c r="I171" s="121" t="s">
        <v>83</v>
      </c>
    </row>
    <row r="172">
      <c r="A172" s="16">
        <v>171.0</v>
      </c>
      <c r="B172" s="162" t="s">
        <v>1493</v>
      </c>
      <c r="C172" s="162" t="s">
        <v>2339</v>
      </c>
      <c r="D172" s="162" t="s">
        <v>1495</v>
      </c>
      <c r="I172" s="121" t="s">
        <v>83</v>
      </c>
    </row>
    <row r="173">
      <c r="A173" s="16">
        <v>172.0</v>
      </c>
      <c r="B173" s="162" t="s">
        <v>659</v>
      </c>
      <c r="C173" s="162" t="s">
        <v>2340</v>
      </c>
      <c r="D173" s="162" t="s">
        <v>661</v>
      </c>
      <c r="I173" s="121" t="s">
        <v>83</v>
      </c>
    </row>
    <row r="174">
      <c r="A174" s="16">
        <v>173.0</v>
      </c>
      <c r="B174" s="162" t="s">
        <v>629</v>
      </c>
      <c r="C174" s="162" t="s">
        <v>2341</v>
      </c>
      <c r="D174" s="162" t="s">
        <v>631</v>
      </c>
      <c r="I174" s="121" t="s">
        <v>83</v>
      </c>
    </row>
    <row r="175">
      <c r="A175" s="16">
        <v>174.0</v>
      </c>
      <c r="B175" s="162" t="s">
        <v>768</v>
      </c>
      <c r="C175" s="162" t="s">
        <v>2342</v>
      </c>
      <c r="D175" s="162" t="s">
        <v>770</v>
      </c>
      <c r="I175" s="121" t="s">
        <v>83</v>
      </c>
    </row>
    <row r="176">
      <c r="A176" s="16">
        <v>175.0</v>
      </c>
      <c r="B176" s="162" t="s">
        <v>810</v>
      </c>
      <c r="C176" s="162" t="s">
        <v>2343</v>
      </c>
      <c r="D176" s="162" t="s">
        <v>812</v>
      </c>
      <c r="I176" s="121" t="s">
        <v>83</v>
      </c>
    </row>
    <row r="177">
      <c r="A177" s="16">
        <v>176.0</v>
      </c>
      <c r="B177" s="162" t="s">
        <v>807</v>
      </c>
      <c r="C177" s="162" t="s">
        <v>2344</v>
      </c>
      <c r="D177" s="162" t="s">
        <v>809</v>
      </c>
      <c r="I177" s="121" t="s">
        <v>83</v>
      </c>
    </row>
    <row r="178">
      <c r="A178" s="16">
        <v>177.0</v>
      </c>
      <c r="B178" s="162" t="s">
        <v>762</v>
      </c>
      <c r="C178" s="162" t="s">
        <v>2345</v>
      </c>
      <c r="D178" s="162" t="s">
        <v>764</v>
      </c>
      <c r="I178" s="121" t="s">
        <v>83</v>
      </c>
    </row>
    <row r="179">
      <c r="A179" s="16">
        <v>178.0</v>
      </c>
      <c r="B179" s="162" t="s">
        <v>738</v>
      </c>
      <c r="C179" s="162" t="s">
        <v>2346</v>
      </c>
      <c r="D179" s="162" t="s">
        <v>740</v>
      </c>
      <c r="I179" s="121" t="s">
        <v>83</v>
      </c>
    </row>
    <row r="180">
      <c r="A180" s="16">
        <v>179.0</v>
      </c>
      <c r="B180" s="162" t="s">
        <v>1196</v>
      </c>
      <c r="C180" s="162" t="s">
        <v>2347</v>
      </c>
      <c r="D180" s="162" t="s">
        <v>1198</v>
      </c>
      <c r="I180" s="121" t="s">
        <v>83</v>
      </c>
    </row>
    <row r="181">
      <c r="A181" s="16">
        <v>180.0</v>
      </c>
      <c r="B181" s="162" t="s">
        <v>1000</v>
      </c>
      <c r="C181" s="162" t="s">
        <v>2348</v>
      </c>
      <c r="D181" s="162" t="s">
        <v>1002</v>
      </c>
      <c r="I181" s="121" t="s">
        <v>83</v>
      </c>
    </row>
    <row r="182">
      <c r="A182" s="16">
        <v>181.0</v>
      </c>
      <c r="B182" s="162" t="s">
        <v>973</v>
      </c>
      <c r="C182" s="162" t="s">
        <v>2349</v>
      </c>
      <c r="D182" s="162" t="s">
        <v>975</v>
      </c>
      <c r="I182" s="121" t="s">
        <v>83</v>
      </c>
    </row>
    <row r="183">
      <c r="A183" s="16">
        <v>182.0</v>
      </c>
      <c r="B183" s="162" t="s">
        <v>988</v>
      </c>
      <c r="C183" s="162" t="s">
        <v>2350</v>
      </c>
      <c r="D183" s="162" t="s">
        <v>990</v>
      </c>
      <c r="I183" s="121" t="s">
        <v>83</v>
      </c>
    </row>
    <row r="184">
      <c r="A184" s="16">
        <v>183.0</v>
      </c>
      <c r="B184" s="162" t="s">
        <v>1012</v>
      </c>
      <c r="C184" s="162" t="s">
        <v>2351</v>
      </c>
      <c r="D184" s="162" t="s">
        <v>1014</v>
      </c>
      <c r="I184" s="121" t="s">
        <v>83</v>
      </c>
    </row>
    <row r="185">
      <c r="A185" s="16">
        <v>184.0</v>
      </c>
      <c r="B185" s="162" t="s">
        <v>1030</v>
      </c>
      <c r="C185" s="162" t="s">
        <v>2352</v>
      </c>
      <c r="D185" s="162" t="s">
        <v>1032</v>
      </c>
      <c r="I185" s="121" t="s">
        <v>83</v>
      </c>
    </row>
    <row r="186">
      <c r="A186" s="16">
        <v>185.0</v>
      </c>
      <c r="B186" s="162" t="s">
        <v>991</v>
      </c>
      <c r="C186" s="162" t="s">
        <v>2353</v>
      </c>
      <c r="D186" s="162" t="s">
        <v>993</v>
      </c>
      <c r="I186" s="121" t="s">
        <v>83</v>
      </c>
    </row>
    <row r="187">
      <c r="A187" s="16">
        <v>186.0</v>
      </c>
      <c r="B187" s="162" t="s">
        <v>835</v>
      </c>
      <c r="C187" s="162" t="s">
        <v>2354</v>
      </c>
      <c r="D187" s="162" t="s">
        <v>838</v>
      </c>
      <c r="I187" s="121" t="s">
        <v>83</v>
      </c>
    </row>
    <row r="188">
      <c r="A188" s="16">
        <v>187.0</v>
      </c>
      <c r="B188" s="162" t="s">
        <v>450</v>
      </c>
      <c r="C188" s="162" t="s">
        <v>2355</v>
      </c>
      <c r="D188" s="162" t="s">
        <v>452</v>
      </c>
      <c r="I188" s="121" t="s">
        <v>13</v>
      </c>
    </row>
    <row r="189">
      <c r="A189" s="16">
        <v>188.0</v>
      </c>
      <c r="B189" s="162" t="s">
        <v>735</v>
      </c>
      <c r="C189" s="162" t="s">
        <v>2356</v>
      </c>
      <c r="D189" s="162" t="s">
        <v>737</v>
      </c>
      <c r="I189" s="121" t="s">
        <v>13</v>
      </c>
    </row>
    <row r="190">
      <c r="A190" s="16">
        <v>189.0</v>
      </c>
      <c r="B190" s="162" t="s">
        <v>2357</v>
      </c>
      <c r="C190" s="162" t="s">
        <v>2358</v>
      </c>
      <c r="D190" s="162" t="s">
        <v>1177</v>
      </c>
      <c r="I190" s="121" t="s">
        <v>13</v>
      </c>
    </row>
    <row r="191">
      <c r="A191" s="16">
        <v>190.0</v>
      </c>
      <c r="B191" s="162" t="s">
        <v>693</v>
      </c>
      <c r="C191" s="162" t="s">
        <v>2359</v>
      </c>
      <c r="D191" s="162" t="s">
        <v>695</v>
      </c>
      <c r="I191" s="121" t="s">
        <v>13</v>
      </c>
    </row>
    <row r="192">
      <c r="A192" s="16">
        <v>191.0</v>
      </c>
      <c r="B192" s="162" t="s">
        <v>1269</v>
      </c>
      <c r="C192" s="162" t="s">
        <v>2360</v>
      </c>
      <c r="D192" s="162" t="s">
        <v>1271</v>
      </c>
      <c r="I192" s="121" t="s">
        <v>13</v>
      </c>
    </row>
    <row r="193">
      <c r="A193" s="16">
        <v>192.0</v>
      </c>
      <c r="B193" s="162" t="s">
        <v>1278</v>
      </c>
      <c r="C193" s="162" t="s">
        <v>2361</v>
      </c>
      <c r="D193" s="162" t="s">
        <v>1280</v>
      </c>
      <c r="I193" s="121" t="s">
        <v>13</v>
      </c>
    </row>
    <row r="194">
      <c r="A194" s="16">
        <v>193.0</v>
      </c>
      <c r="B194" s="162" t="s">
        <v>1275</v>
      </c>
      <c r="C194" s="162" t="s">
        <v>2362</v>
      </c>
      <c r="D194" s="162" t="s">
        <v>1277</v>
      </c>
      <c r="I194" s="121" t="s">
        <v>13</v>
      </c>
    </row>
    <row r="195">
      <c r="A195" s="16">
        <v>194.0</v>
      </c>
      <c r="B195" s="162" t="s">
        <v>744</v>
      </c>
      <c r="C195" s="162" t="s">
        <v>2363</v>
      </c>
      <c r="D195" s="162" t="s">
        <v>746</v>
      </c>
      <c r="I195" s="121" t="s">
        <v>13</v>
      </c>
    </row>
    <row r="196">
      <c r="A196" s="16">
        <v>195.0</v>
      </c>
      <c r="B196" s="162" t="s">
        <v>669</v>
      </c>
      <c r="C196" s="162" t="s">
        <v>2364</v>
      </c>
      <c r="D196" s="162" t="s">
        <v>671</v>
      </c>
      <c r="I196" s="121" t="s">
        <v>13</v>
      </c>
    </row>
    <row r="197">
      <c r="A197" s="16">
        <v>196.0</v>
      </c>
      <c r="B197" s="162" t="s">
        <v>702</v>
      </c>
      <c r="C197" s="162" t="s">
        <v>2365</v>
      </c>
      <c r="D197" s="162" t="s">
        <v>704</v>
      </c>
      <c r="I197" s="121" t="s">
        <v>13</v>
      </c>
    </row>
    <row r="198">
      <c r="A198" s="16">
        <v>197.0</v>
      </c>
      <c r="B198" s="162" t="s">
        <v>2366</v>
      </c>
      <c r="C198" s="162" t="s">
        <v>2367</v>
      </c>
      <c r="D198" s="162" t="s">
        <v>2368</v>
      </c>
      <c r="I198" s="121" t="s">
        <v>13</v>
      </c>
    </row>
    <row r="199">
      <c r="A199" s="16">
        <v>198.0</v>
      </c>
      <c r="B199" s="162" t="s">
        <v>726</v>
      </c>
      <c r="C199" s="162" t="s">
        <v>2076</v>
      </c>
      <c r="D199" s="162" t="s">
        <v>728</v>
      </c>
      <c r="I199" s="121" t="s">
        <v>13</v>
      </c>
    </row>
    <row r="200">
      <c r="A200" s="16">
        <v>199.0</v>
      </c>
      <c r="B200" s="162" t="s">
        <v>1150</v>
      </c>
      <c r="C200" s="162" t="s">
        <v>2077</v>
      </c>
      <c r="D200" s="162" t="s">
        <v>1152</v>
      </c>
      <c r="I200" s="121" t="s">
        <v>13</v>
      </c>
    </row>
    <row r="201">
      <c r="A201" s="16">
        <v>200.0</v>
      </c>
      <c r="B201" s="162" t="s">
        <v>690</v>
      </c>
      <c r="C201" s="162" t="s">
        <v>2081</v>
      </c>
      <c r="D201" s="162" t="s">
        <v>692</v>
      </c>
      <c r="I201" s="121" t="s">
        <v>13</v>
      </c>
    </row>
    <row r="202">
      <c r="A202" s="16">
        <v>201.0</v>
      </c>
      <c r="B202" s="162" t="s">
        <v>699</v>
      </c>
      <c r="C202" s="162" t="s">
        <v>2369</v>
      </c>
      <c r="D202" s="162" t="s">
        <v>701</v>
      </c>
      <c r="I202" s="121" t="s">
        <v>13</v>
      </c>
    </row>
    <row r="203">
      <c r="A203" s="16">
        <v>202.0</v>
      </c>
      <c r="B203" s="162" t="s">
        <v>729</v>
      </c>
      <c r="C203" s="162" t="s">
        <v>2370</v>
      </c>
      <c r="D203" s="162" t="s">
        <v>731</v>
      </c>
      <c r="I203" s="121" t="s">
        <v>13</v>
      </c>
    </row>
    <row r="204">
      <c r="A204" s="16">
        <v>203.0</v>
      </c>
      <c r="B204" s="162" t="s">
        <v>678</v>
      </c>
      <c r="C204" s="162" t="s">
        <v>2371</v>
      </c>
      <c r="D204" s="162" t="s">
        <v>680</v>
      </c>
      <c r="I204" s="121" t="s">
        <v>13</v>
      </c>
    </row>
    <row r="205">
      <c r="A205" s="16">
        <v>204.0</v>
      </c>
      <c r="B205" s="162" t="s">
        <v>708</v>
      </c>
      <c r="C205" s="162" t="s">
        <v>2372</v>
      </c>
      <c r="D205" s="162" t="s">
        <v>710</v>
      </c>
      <c r="I205" s="121" t="s">
        <v>13</v>
      </c>
    </row>
    <row r="206">
      <c r="A206" s="16">
        <v>205.0</v>
      </c>
      <c r="B206" s="162" t="s">
        <v>696</v>
      </c>
      <c r="C206" s="162" t="s">
        <v>2373</v>
      </c>
      <c r="D206" s="162" t="s">
        <v>698</v>
      </c>
      <c r="I206" s="121" t="s">
        <v>13</v>
      </c>
    </row>
    <row r="207">
      <c r="A207" s="16">
        <v>206.0</v>
      </c>
      <c r="B207" s="162" t="s">
        <v>750</v>
      </c>
      <c r="C207" s="162" t="s">
        <v>2374</v>
      </c>
      <c r="D207" s="162" t="s">
        <v>752</v>
      </c>
      <c r="I207" s="121" t="s">
        <v>13</v>
      </c>
    </row>
    <row r="208">
      <c r="A208" s="16">
        <v>207.0</v>
      </c>
      <c r="B208" s="162" t="s">
        <v>711</v>
      </c>
      <c r="C208" s="162" t="s">
        <v>2375</v>
      </c>
      <c r="D208" s="162" t="s">
        <v>713</v>
      </c>
      <c r="I208" s="121" t="s">
        <v>13</v>
      </c>
    </row>
    <row r="209">
      <c r="A209" s="16">
        <v>208.0</v>
      </c>
      <c r="B209" s="162" t="s">
        <v>723</v>
      </c>
      <c r="C209" s="162" t="s">
        <v>2376</v>
      </c>
      <c r="D209" s="162" t="s">
        <v>725</v>
      </c>
      <c r="I209" s="121" t="s">
        <v>13</v>
      </c>
    </row>
    <row r="210">
      <c r="A210" s="16">
        <v>209.0</v>
      </c>
      <c r="B210" s="162" t="s">
        <v>687</v>
      </c>
      <c r="C210" s="162" t="s">
        <v>2377</v>
      </c>
      <c r="D210" s="162" t="s">
        <v>689</v>
      </c>
      <c r="I210" s="121" t="s">
        <v>13</v>
      </c>
    </row>
    <row r="211">
      <c r="A211" s="16">
        <v>210.0</v>
      </c>
      <c r="B211" s="162" t="s">
        <v>753</v>
      </c>
      <c r="C211" s="162" t="s">
        <v>2378</v>
      </c>
      <c r="D211" s="162" t="s">
        <v>755</v>
      </c>
      <c r="I211" s="121" t="s">
        <v>13</v>
      </c>
    </row>
    <row r="212">
      <c r="A212" s="16">
        <v>211.0</v>
      </c>
      <c r="B212" s="162" t="s">
        <v>684</v>
      </c>
      <c r="C212" s="162" t="s">
        <v>2379</v>
      </c>
      <c r="D212" s="162" t="s">
        <v>686</v>
      </c>
      <c r="I212" s="121" t="s">
        <v>13</v>
      </c>
    </row>
    <row r="213">
      <c r="A213" s="16">
        <v>212.0</v>
      </c>
      <c r="B213" s="162" t="s">
        <v>705</v>
      </c>
      <c r="C213" s="162" t="s">
        <v>2380</v>
      </c>
      <c r="D213" s="162" t="s">
        <v>707</v>
      </c>
      <c r="I213" s="121" t="s">
        <v>13</v>
      </c>
    </row>
    <row r="214">
      <c r="A214" s="16">
        <v>213.0</v>
      </c>
      <c r="B214" s="162" t="s">
        <v>2381</v>
      </c>
      <c r="C214" s="162" t="s">
        <v>2382</v>
      </c>
      <c r="D214" s="162" t="s">
        <v>2383</v>
      </c>
      <c r="I214" s="121" t="s">
        <v>13</v>
      </c>
    </row>
    <row r="215">
      <c r="A215" s="16">
        <v>214.0</v>
      </c>
      <c r="B215" s="162" t="s">
        <v>672</v>
      </c>
      <c r="C215" s="162" t="s">
        <v>2384</v>
      </c>
      <c r="D215" s="162" t="s">
        <v>674</v>
      </c>
      <c r="I215" s="121" t="s">
        <v>13</v>
      </c>
    </row>
    <row r="216">
      <c r="A216" s="16">
        <v>215.0</v>
      </c>
      <c r="B216" s="162" t="s">
        <v>747</v>
      </c>
      <c r="C216" s="162" t="s">
        <v>2385</v>
      </c>
      <c r="D216" s="162" t="s">
        <v>749</v>
      </c>
      <c r="I216" s="121" t="s">
        <v>13</v>
      </c>
    </row>
    <row r="217">
      <c r="A217" s="16">
        <v>216.0</v>
      </c>
      <c r="B217" s="162" t="s">
        <v>774</v>
      </c>
      <c r="C217" s="162" t="s">
        <v>2386</v>
      </c>
      <c r="D217" s="162" t="s">
        <v>776</v>
      </c>
      <c r="I217" s="121" t="s">
        <v>13</v>
      </c>
    </row>
    <row r="218">
      <c r="A218" s="16">
        <v>217.0</v>
      </c>
      <c r="B218" s="162" t="s">
        <v>732</v>
      </c>
      <c r="C218" s="162" t="s">
        <v>2387</v>
      </c>
      <c r="D218" s="162" t="s">
        <v>734</v>
      </c>
      <c r="I218" s="121" t="s">
        <v>13</v>
      </c>
    </row>
    <row r="219">
      <c r="A219" s="16">
        <v>218.0</v>
      </c>
      <c r="B219" s="162" t="s">
        <v>741</v>
      </c>
      <c r="C219" s="162" t="s">
        <v>2388</v>
      </c>
      <c r="D219" s="162" t="s">
        <v>743</v>
      </c>
      <c r="I219" s="121" t="s">
        <v>13</v>
      </c>
    </row>
    <row r="220">
      <c r="A220" s="16">
        <v>219.0</v>
      </c>
      <c r="B220" s="162" t="s">
        <v>717</v>
      </c>
      <c r="C220" s="162" t="s">
        <v>2389</v>
      </c>
      <c r="D220" s="162" t="s">
        <v>719</v>
      </c>
      <c r="I220" s="121" t="s">
        <v>13</v>
      </c>
    </row>
    <row r="221">
      <c r="A221" s="16">
        <v>220.0</v>
      </c>
      <c r="B221" s="162" t="s">
        <v>665</v>
      </c>
      <c r="C221" s="162" t="s">
        <v>2390</v>
      </c>
      <c r="D221" s="162" t="s">
        <v>668</v>
      </c>
      <c r="I221" s="121" t="s">
        <v>13</v>
      </c>
    </row>
    <row r="222">
      <c r="A222" s="16">
        <v>221.0</v>
      </c>
      <c r="B222" s="162" t="s">
        <v>2391</v>
      </c>
      <c r="C222" s="162" t="s">
        <v>2392</v>
      </c>
      <c r="D222" s="162" t="s">
        <v>2393</v>
      </c>
      <c r="I222" s="121" t="s">
        <v>13</v>
      </c>
    </row>
    <row r="223">
      <c r="A223" s="16">
        <v>222.0</v>
      </c>
      <c r="B223" s="162" t="s">
        <v>1401</v>
      </c>
      <c r="C223" s="162" t="s">
        <v>2394</v>
      </c>
      <c r="D223" s="162" t="s">
        <v>1403</v>
      </c>
      <c r="I223" s="121" t="s">
        <v>13</v>
      </c>
    </row>
    <row r="224">
      <c r="A224" s="16">
        <v>223.0</v>
      </c>
      <c r="B224" s="162" t="s">
        <v>1223</v>
      </c>
      <c r="C224" s="162" t="s">
        <v>2395</v>
      </c>
      <c r="D224" s="162" t="s">
        <v>1225</v>
      </c>
      <c r="I224" s="121" t="s">
        <v>13</v>
      </c>
    </row>
    <row r="225">
      <c r="A225" s="16">
        <v>224.0</v>
      </c>
      <c r="B225" s="162" t="s">
        <v>1208</v>
      </c>
      <c r="C225" s="162" t="s">
        <v>2396</v>
      </c>
      <c r="D225" s="162" t="s">
        <v>1210</v>
      </c>
      <c r="I225" s="121" t="s">
        <v>13</v>
      </c>
    </row>
    <row r="226">
      <c r="A226" s="16">
        <v>225.0</v>
      </c>
      <c r="B226" s="162" t="s">
        <v>1311</v>
      </c>
      <c r="C226" s="162" t="s">
        <v>2397</v>
      </c>
      <c r="D226" s="162" t="s">
        <v>1313</v>
      </c>
      <c r="I226" s="121" t="s">
        <v>13</v>
      </c>
    </row>
    <row r="227">
      <c r="A227" s="16">
        <v>226.0</v>
      </c>
      <c r="B227" s="162" t="s">
        <v>2064</v>
      </c>
      <c r="C227" s="162" t="s">
        <v>2065</v>
      </c>
      <c r="D227" s="162" t="s">
        <v>2066</v>
      </c>
      <c r="I227" s="121" t="s">
        <v>13</v>
      </c>
    </row>
    <row r="228">
      <c r="A228" s="16">
        <v>227.0</v>
      </c>
      <c r="B228" s="162" t="s">
        <v>942</v>
      </c>
      <c r="C228" s="162" t="s">
        <v>2398</v>
      </c>
      <c r="D228" s="162" t="s">
        <v>944</v>
      </c>
      <c r="I228" s="121" t="s">
        <v>13</v>
      </c>
    </row>
    <row r="229">
      <c r="A229" s="16">
        <v>228.0</v>
      </c>
      <c r="B229" s="162" t="s">
        <v>2399</v>
      </c>
      <c r="C229" s="162" t="s">
        <v>2085</v>
      </c>
      <c r="D229" s="162" t="s">
        <v>2400</v>
      </c>
      <c r="I229" s="121" t="s">
        <v>13</v>
      </c>
    </row>
    <row r="230">
      <c r="A230" s="16">
        <v>229.0</v>
      </c>
      <c r="B230" s="162" t="s">
        <v>552</v>
      </c>
      <c r="C230" s="162" t="s">
        <v>2401</v>
      </c>
      <c r="D230" s="162" t="s">
        <v>555</v>
      </c>
      <c r="I230" s="121" t="s">
        <v>13</v>
      </c>
    </row>
    <row r="231">
      <c r="A231" s="16">
        <v>230.0</v>
      </c>
      <c r="B231" s="162" t="s">
        <v>568</v>
      </c>
      <c r="C231" s="162" t="s">
        <v>2069</v>
      </c>
      <c r="D231" s="162" t="s">
        <v>570</v>
      </c>
      <c r="I231" s="121" t="s">
        <v>13</v>
      </c>
    </row>
    <row r="232">
      <c r="A232" s="16">
        <v>231.0</v>
      </c>
      <c r="B232" s="162" t="s">
        <v>1527</v>
      </c>
      <c r="C232" s="162" t="s">
        <v>2402</v>
      </c>
      <c r="D232" s="162" t="s">
        <v>1529</v>
      </c>
      <c r="I232" s="121" t="s">
        <v>13</v>
      </c>
    </row>
    <row r="233">
      <c r="A233" s="16">
        <v>232.0</v>
      </c>
      <c r="B233" s="162" t="s">
        <v>559</v>
      </c>
      <c r="C233" s="162" t="s">
        <v>2070</v>
      </c>
      <c r="D233" s="162" t="s">
        <v>561</v>
      </c>
      <c r="I233" s="121" t="s">
        <v>13</v>
      </c>
    </row>
    <row r="234">
      <c r="A234" s="16">
        <v>233.0</v>
      </c>
      <c r="B234" s="162" t="s">
        <v>2403</v>
      </c>
      <c r="C234" s="162" t="s">
        <v>2404</v>
      </c>
      <c r="D234" s="162" t="s">
        <v>2405</v>
      </c>
      <c r="I234" s="121" t="s">
        <v>13</v>
      </c>
    </row>
    <row r="235">
      <c r="A235" s="16">
        <v>234.0</v>
      </c>
      <c r="B235" s="162" t="s">
        <v>2406</v>
      </c>
      <c r="C235" s="162" t="s">
        <v>2407</v>
      </c>
      <c r="D235" s="162" t="s">
        <v>413</v>
      </c>
      <c r="I235" s="121" t="s">
        <v>13</v>
      </c>
    </row>
    <row r="236">
      <c r="A236" s="16">
        <v>235.0</v>
      </c>
      <c r="B236" s="162" t="s">
        <v>2408</v>
      </c>
      <c r="C236" s="162" t="s">
        <v>2409</v>
      </c>
      <c r="D236" s="162" t="s">
        <v>1189</v>
      </c>
      <c r="I236" s="121" t="s">
        <v>13</v>
      </c>
    </row>
    <row r="237">
      <c r="A237" s="16">
        <v>236.0</v>
      </c>
      <c r="B237" s="162" t="s">
        <v>2410</v>
      </c>
      <c r="C237" s="162" t="s">
        <v>2411</v>
      </c>
      <c r="D237" s="162" t="s">
        <v>2412</v>
      </c>
      <c r="I237" s="121" t="s">
        <v>13</v>
      </c>
    </row>
    <row r="238">
      <c r="A238" s="16">
        <v>237.0</v>
      </c>
      <c r="B238" s="162" t="s">
        <v>1521</v>
      </c>
      <c r="C238" s="162" t="s">
        <v>2413</v>
      </c>
      <c r="D238" s="162" t="s">
        <v>1523</v>
      </c>
      <c r="I238" s="121" t="s">
        <v>13</v>
      </c>
    </row>
    <row r="239">
      <c r="A239" s="16">
        <v>238.0</v>
      </c>
      <c r="B239" s="162" t="s">
        <v>1302</v>
      </c>
      <c r="C239" s="162" t="s">
        <v>2414</v>
      </c>
      <c r="D239" s="162" t="s">
        <v>1304</v>
      </c>
      <c r="I239" s="121" t="s">
        <v>13</v>
      </c>
    </row>
    <row r="240">
      <c r="A240" s="16">
        <v>239.0</v>
      </c>
      <c r="B240" s="162" t="s">
        <v>577</v>
      </c>
      <c r="C240" s="162" t="s">
        <v>2415</v>
      </c>
      <c r="D240" s="162" t="s">
        <v>580</v>
      </c>
      <c r="I240" s="121" t="s">
        <v>13</v>
      </c>
    </row>
    <row r="241">
      <c r="A241" s="16">
        <v>240.0</v>
      </c>
      <c r="B241" s="162" t="s">
        <v>1169</v>
      </c>
      <c r="C241" s="162" t="s">
        <v>2416</v>
      </c>
      <c r="D241" s="162" t="s">
        <v>1171</v>
      </c>
      <c r="I241" s="121" t="s">
        <v>13</v>
      </c>
    </row>
    <row r="242">
      <c r="A242" s="16">
        <v>241.0</v>
      </c>
      <c r="B242" s="162" t="s">
        <v>1172</v>
      </c>
      <c r="C242" s="162" t="s">
        <v>2417</v>
      </c>
      <c r="D242" s="162" t="s">
        <v>1174</v>
      </c>
      <c r="I242" s="121" t="s">
        <v>13</v>
      </c>
    </row>
    <row r="243">
      <c r="A243" s="16">
        <v>242.0</v>
      </c>
      <c r="B243" s="162" t="s">
        <v>370</v>
      </c>
      <c r="C243" s="162" t="s">
        <v>2418</v>
      </c>
      <c r="D243" s="162" t="s">
        <v>372</v>
      </c>
      <c r="I243" s="121" t="s">
        <v>13</v>
      </c>
    </row>
    <row r="244">
      <c r="A244" s="16">
        <v>243.0</v>
      </c>
      <c r="B244" s="162" t="s">
        <v>638</v>
      </c>
      <c r="C244" s="162" t="s">
        <v>2419</v>
      </c>
      <c r="D244" s="162" t="s">
        <v>640</v>
      </c>
      <c r="I244" s="121" t="s">
        <v>13</v>
      </c>
    </row>
    <row r="245">
      <c r="A245" s="16">
        <v>244.0</v>
      </c>
      <c r="B245" s="162" t="s">
        <v>581</v>
      </c>
      <c r="C245" s="162" t="s">
        <v>2420</v>
      </c>
      <c r="D245" s="162" t="s">
        <v>583</v>
      </c>
      <c r="I245" s="121" t="s">
        <v>13</v>
      </c>
    </row>
    <row r="246">
      <c r="A246" s="16">
        <v>245.0</v>
      </c>
      <c r="B246" s="162" t="s">
        <v>817</v>
      </c>
      <c r="C246" s="162" t="s">
        <v>2421</v>
      </c>
      <c r="D246" s="162" t="s">
        <v>819</v>
      </c>
      <c r="I246" s="121" t="s">
        <v>13</v>
      </c>
    </row>
    <row r="247">
      <c r="A247" s="16">
        <v>246.0</v>
      </c>
      <c r="B247" s="162" t="s">
        <v>1547</v>
      </c>
      <c r="C247" s="162" t="s">
        <v>2422</v>
      </c>
      <c r="D247" s="162" t="s">
        <v>1549</v>
      </c>
      <c r="I247" s="121" t="s">
        <v>13</v>
      </c>
    </row>
    <row r="248">
      <c r="A248" s="16">
        <v>247.0</v>
      </c>
      <c r="B248" s="162" t="s">
        <v>2423</v>
      </c>
      <c r="C248" s="162" t="s">
        <v>2075</v>
      </c>
      <c r="D248" s="162" t="s">
        <v>2424</v>
      </c>
      <c r="I248" s="121" t="s">
        <v>13</v>
      </c>
    </row>
    <row r="249">
      <c r="A249" s="16">
        <v>248.0</v>
      </c>
      <c r="B249" s="162" t="s">
        <v>826</v>
      </c>
      <c r="C249" s="162" t="s">
        <v>2425</v>
      </c>
      <c r="D249" s="162" t="s">
        <v>828</v>
      </c>
      <c r="I249" s="121" t="s">
        <v>13</v>
      </c>
    </row>
    <row r="250">
      <c r="A250" s="16">
        <v>249.0</v>
      </c>
      <c r="B250" s="162" t="s">
        <v>2426</v>
      </c>
      <c r="C250" s="162" t="s">
        <v>2427</v>
      </c>
      <c r="D250" s="162" t="s">
        <v>683</v>
      </c>
      <c r="I250" s="121" t="s">
        <v>13</v>
      </c>
    </row>
    <row r="251">
      <c r="A251" s="16">
        <v>250.0</v>
      </c>
      <c r="B251" s="162" t="s">
        <v>820</v>
      </c>
      <c r="C251" s="162" t="s">
        <v>2428</v>
      </c>
      <c r="D251" s="162" t="s">
        <v>822</v>
      </c>
      <c r="I251" s="121" t="s">
        <v>13</v>
      </c>
    </row>
    <row r="252">
      <c r="A252" s="16">
        <v>251.0</v>
      </c>
      <c r="B252" s="162" t="s">
        <v>2429</v>
      </c>
      <c r="C252" s="162" t="s">
        <v>2430</v>
      </c>
      <c r="D252" s="162" t="s">
        <v>419</v>
      </c>
      <c r="I252" s="121" t="s">
        <v>111</v>
      </c>
    </row>
    <row r="253">
      <c r="A253" s="16">
        <v>252.0</v>
      </c>
      <c r="B253" s="162" t="s">
        <v>823</v>
      </c>
      <c r="C253" s="162" t="s">
        <v>2431</v>
      </c>
      <c r="D253" s="162" t="s">
        <v>825</v>
      </c>
      <c r="I253" s="121" t="s">
        <v>111</v>
      </c>
    </row>
    <row r="254">
      <c r="A254" s="16">
        <v>253.0</v>
      </c>
      <c r="B254" s="162" t="s">
        <v>1205</v>
      </c>
      <c r="C254" s="162" t="s">
        <v>2082</v>
      </c>
      <c r="D254" s="162" t="s">
        <v>1207</v>
      </c>
      <c r="I254" s="121" t="s">
        <v>111</v>
      </c>
    </row>
    <row r="255">
      <c r="A255" s="16">
        <v>254.0</v>
      </c>
      <c r="B255" s="162" t="s">
        <v>1317</v>
      </c>
      <c r="C255" s="162" t="s">
        <v>2432</v>
      </c>
      <c r="D255" s="162" t="s">
        <v>1319</v>
      </c>
      <c r="I255" s="121" t="s">
        <v>111</v>
      </c>
    </row>
    <row r="256">
      <c r="A256" s="16">
        <v>255.0</v>
      </c>
      <c r="B256" s="162" t="s">
        <v>1323</v>
      </c>
      <c r="C256" s="162" t="s">
        <v>2433</v>
      </c>
      <c r="D256" s="162" t="s">
        <v>1325</v>
      </c>
      <c r="I256" s="121" t="s">
        <v>111</v>
      </c>
    </row>
    <row r="257">
      <c r="A257" s="16">
        <v>256.0</v>
      </c>
      <c r="B257" s="162" t="s">
        <v>1478</v>
      </c>
      <c r="C257" s="162" t="s">
        <v>2434</v>
      </c>
      <c r="D257" s="162" t="s">
        <v>1480</v>
      </c>
      <c r="I257" s="121" t="s">
        <v>111</v>
      </c>
    </row>
    <row r="258">
      <c r="A258" s="16">
        <v>257.0</v>
      </c>
      <c r="B258" s="162" t="s">
        <v>2435</v>
      </c>
      <c r="C258" s="162" t="s">
        <v>2436</v>
      </c>
      <c r="D258" s="162" t="s">
        <v>2437</v>
      </c>
      <c r="I258" s="121" t="s">
        <v>111</v>
      </c>
    </row>
    <row r="259">
      <c r="A259" s="16">
        <v>258.0</v>
      </c>
      <c r="B259" s="162" t="s">
        <v>874</v>
      </c>
      <c r="C259" s="162" t="s">
        <v>2438</v>
      </c>
      <c r="D259" s="162" t="s">
        <v>876</v>
      </c>
      <c r="I259" s="121" t="s">
        <v>111</v>
      </c>
    </row>
    <row r="260">
      <c r="A260" s="16">
        <v>259.0</v>
      </c>
      <c r="B260" s="162" t="s">
        <v>868</v>
      </c>
      <c r="C260" s="162" t="s">
        <v>2439</v>
      </c>
      <c r="D260" s="162" t="s">
        <v>870</v>
      </c>
      <c r="I260" s="121" t="s">
        <v>111</v>
      </c>
    </row>
    <row r="261">
      <c r="A261" s="16">
        <v>260.0</v>
      </c>
      <c r="B261" s="162" t="s">
        <v>966</v>
      </c>
      <c r="C261" s="162" t="s">
        <v>2440</v>
      </c>
      <c r="D261" s="162" t="s">
        <v>968</v>
      </c>
      <c r="I261" s="121" t="s">
        <v>111</v>
      </c>
    </row>
    <row r="262">
      <c r="A262" s="16">
        <v>261.0</v>
      </c>
      <c r="B262" s="162" t="s">
        <v>1392</v>
      </c>
      <c r="C262" s="162" t="s">
        <v>2441</v>
      </c>
      <c r="D262" s="162" t="s">
        <v>1394</v>
      </c>
      <c r="I262" s="121" t="s">
        <v>111</v>
      </c>
    </row>
    <row r="263">
      <c r="A263" s="16">
        <v>262.0</v>
      </c>
      <c r="B263" s="162" t="s">
        <v>1018</v>
      </c>
      <c r="C263" s="162" t="s">
        <v>2442</v>
      </c>
      <c r="D263" s="162" t="s">
        <v>1020</v>
      </c>
      <c r="I263" s="121" t="s">
        <v>111</v>
      </c>
    </row>
    <row r="264">
      <c r="A264" s="16">
        <v>263.0</v>
      </c>
      <c r="B264" s="162" t="s">
        <v>1033</v>
      </c>
      <c r="C264" s="162" t="s">
        <v>2443</v>
      </c>
      <c r="D264" s="162" t="s">
        <v>1035</v>
      </c>
      <c r="I264" s="121" t="s">
        <v>111</v>
      </c>
    </row>
    <row r="265">
      <c r="A265" s="16">
        <v>264.0</v>
      </c>
      <c r="B265" s="162" t="s">
        <v>994</v>
      </c>
      <c r="C265" s="162" t="s">
        <v>2444</v>
      </c>
      <c r="D265" s="162" t="s">
        <v>996</v>
      </c>
      <c r="I265" s="121" t="s">
        <v>111</v>
      </c>
    </row>
    <row r="266">
      <c r="A266" s="16">
        <v>265.0</v>
      </c>
      <c r="B266" s="162" t="s">
        <v>997</v>
      </c>
      <c r="C266" s="162" t="s">
        <v>2445</v>
      </c>
      <c r="D266" s="162" t="s">
        <v>999</v>
      </c>
      <c r="I266" s="121" t="s">
        <v>111</v>
      </c>
    </row>
    <row r="267">
      <c r="A267" s="16">
        <v>266.0</v>
      </c>
      <c r="B267" s="162" t="s">
        <v>982</v>
      </c>
      <c r="C267" s="162" t="s">
        <v>2446</v>
      </c>
      <c r="D267" s="162" t="s">
        <v>984</v>
      </c>
      <c r="I267" s="121" t="s">
        <v>111</v>
      </c>
    </row>
    <row r="268">
      <c r="A268" s="16">
        <v>267.0</v>
      </c>
      <c r="B268" s="162" t="s">
        <v>969</v>
      </c>
      <c r="C268" s="162" t="s">
        <v>2447</v>
      </c>
      <c r="D268" s="162" t="s">
        <v>972</v>
      </c>
      <c r="I268" s="121" t="s">
        <v>111</v>
      </c>
    </row>
    <row r="269">
      <c r="A269" s="16">
        <v>268.0</v>
      </c>
      <c r="B269" s="162" t="s">
        <v>1024</v>
      </c>
      <c r="C269" s="162" t="s">
        <v>2448</v>
      </c>
      <c r="D269" s="162" t="s">
        <v>1026</v>
      </c>
      <c r="I269" s="121" t="s">
        <v>111</v>
      </c>
    </row>
    <row r="270">
      <c r="A270" s="16">
        <v>269.0</v>
      </c>
      <c r="B270" s="162" t="s">
        <v>2449</v>
      </c>
      <c r="C270" s="162" t="s">
        <v>2450</v>
      </c>
      <c r="D270" s="162" t="s">
        <v>2451</v>
      </c>
      <c r="I270" s="121" t="s">
        <v>111</v>
      </c>
    </row>
    <row r="271">
      <c r="A271" s="16">
        <v>270.0</v>
      </c>
      <c r="B271" s="162" t="s">
        <v>1036</v>
      </c>
      <c r="C271" s="162" t="s">
        <v>2452</v>
      </c>
      <c r="D271" s="162" t="s">
        <v>1038</v>
      </c>
      <c r="I271" s="121" t="s">
        <v>111</v>
      </c>
    </row>
    <row r="272">
      <c r="A272" s="16">
        <v>271.0</v>
      </c>
      <c r="B272" s="162" t="s">
        <v>1481</v>
      </c>
      <c r="C272" s="162" t="s">
        <v>2453</v>
      </c>
      <c r="D272" s="162" t="s">
        <v>1483</v>
      </c>
      <c r="I272" s="121" t="s">
        <v>111</v>
      </c>
    </row>
    <row r="273">
      <c r="A273" s="16">
        <v>272.0</v>
      </c>
      <c r="B273" s="162" t="s">
        <v>1217</v>
      </c>
      <c r="C273" s="162" t="s">
        <v>2454</v>
      </c>
      <c r="D273" s="162" t="s">
        <v>1219</v>
      </c>
      <c r="I273" s="121" t="s">
        <v>111</v>
      </c>
    </row>
    <row r="274">
      <c r="A274" s="16">
        <v>273.0</v>
      </c>
      <c r="B274" s="162" t="s">
        <v>912</v>
      </c>
      <c r="C274" s="162" t="s">
        <v>2455</v>
      </c>
      <c r="D274" s="162" t="s">
        <v>914</v>
      </c>
      <c r="I274" s="121" t="s">
        <v>111</v>
      </c>
    </row>
    <row r="275">
      <c r="A275" s="16">
        <v>274.0</v>
      </c>
      <c r="B275" s="162" t="s">
        <v>845</v>
      </c>
      <c r="C275" s="162" t="s">
        <v>2215</v>
      </c>
      <c r="D275" s="162" t="s">
        <v>846</v>
      </c>
      <c r="I275" s="121" t="s">
        <v>111</v>
      </c>
    </row>
    <row r="276">
      <c r="A276" s="16">
        <v>275.0</v>
      </c>
      <c r="B276" s="162" t="s">
        <v>897</v>
      </c>
      <c r="C276" s="162" t="s">
        <v>2456</v>
      </c>
      <c r="D276" s="162" t="s">
        <v>899</v>
      </c>
      <c r="I276" s="121" t="s">
        <v>18</v>
      </c>
    </row>
    <row r="277">
      <c r="A277" s="16">
        <v>276.0</v>
      </c>
      <c r="B277" s="162" t="s">
        <v>906</v>
      </c>
      <c r="C277" s="162" t="s">
        <v>2457</v>
      </c>
      <c r="D277" s="162" t="s">
        <v>908</v>
      </c>
      <c r="I277" s="121" t="s">
        <v>18</v>
      </c>
    </row>
    <row r="278">
      <c r="A278" s="16">
        <v>277.0</v>
      </c>
      <c r="B278" s="162" t="s">
        <v>1389</v>
      </c>
      <c r="C278" s="162" t="s">
        <v>2458</v>
      </c>
      <c r="D278" s="162" t="s">
        <v>1391</v>
      </c>
      <c r="I278" s="121" t="s">
        <v>18</v>
      </c>
    </row>
    <row r="279">
      <c r="A279" s="16">
        <v>278.0</v>
      </c>
      <c r="B279" s="162" t="s">
        <v>1441</v>
      </c>
      <c r="C279" s="162" t="s">
        <v>2459</v>
      </c>
      <c r="D279" s="162" t="s">
        <v>1443</v>
      </c>
      <c r="I279" s="121" t="s">
        <v>18</v>
      </c>
    </row>
    <row r="280">
      <c r="A280" s="16">
        <v>279.0</v>
      </c>
      <c r="B280" s="162" t="s">
        <v>2460</v>
      </c>
      <c r="C280" s="162" t="s">
        <v>2461</v>
      </c>
      <c r="D280" s="162" t="s">
        <v>2462</v>
      </c>
      <c r="I280" s="121" t="s">
        <v>18</v>
      </c>
    </row>
    <row r="281">
      <c r="A281" s="16">
        <v>280.0</v>
      </c>
      <c r="B281" s="162" t="s">
        <v>903</v>
      </c>
      <c r="C281" s="162" t="s">
        <v>2463</v>
      </c>
      <c r="D281" s="162" t="s">
        <v>905</v>
      </c>
      <c r="I281" s="121" t="s">
        <v>18</v>
      </c>
    </row>
    <row r="282">
      <c r="A282" s="16">
        <v>281.0</v>
      </c>
      <c r="B282" s="162" t="s">
        <v>900</v>
      </c>
      <c r="C282" s="162" t="s">
        <v>2464</v>
      </c>
      <c r="D282" s="162" t="s">
        <v>902</v>
      </c>
      <c r="I282" s="121" t="s">
        <v>18</v>
      </c>
    </row>
    <row r="283">
      <c r="A283" s="16">
        <v>282.0</v>
      </c>
      <c r="B283" s="162" t="s">
        <v>856</v>
      </c>
      <c r="C283" s="162" t="s">
        <v>2465</v>
      </c>
      <c r="D283" s="162" t="s">
        <v>858</v>
      </c>
      <c r="I283" s="121" t="s">
        <v>18</v>
      </c>
    </row>
    <row r="284">
      <c r="A284" s="16">
        <v>283.0</v>
      </c>
      <c r="B284" s="162" t="s">
        <v>847</v>
      </c>
      <c r="C284" s="162" t="s">
        <v>2466</v>
      </c>
      <c r="D284" s="162" t="s">
        <v>849</v>
      </c>
      <c r="I284" s="121" t="s">
        <v>18</v>
      </c>
    </row>
    <row r="285">
      <c r="A285" s="16">
        <v>284.0</v>
      </c>
      <c r="B285" s="162" t="s">
        <v>939</v>
      </c>
      <c r="C285" s="162" t="s">
        <v>2467</v>
      </c>
      <c r="D285" s="162" t="s">
        <v>941</v>
      </c>
      <c r="I285" s="121" t="s">
        <v>18</v>
      </c>
    </row>
    <row r="286">
      <c r="A286" s="16">
        <v>285.0</v>
      </c>
      <c r="B286" s="162" t="s">
        <v>921</v>
      </c>
      <c r="C286" s="162" t="s">
        <v>2468</v>
      </c>
      <c r="D286" s="162" t="s">
        <v>923</v>
      </c>
      <c r="I286" s="121" t="s">
        <v>18</v>
      </c>
    </row>
    <row r="287">
      <c r="A287" s="16">
        <v>286.0</v>
      </c>
      <c r="B287" s="162" t="s">
        <v>842</v>
      </c>
      <c r="C287" s="162" t="s">
        <v>2469</v>
      </c>
      <c r="D287" s="162" t="s">
        <v>844</v>
      </c>
      <c r="I287" s="121" t="s">
        <v>18</v>
      </c>
    </row>
    <row r="288">
      <c r="A288" s="16">
        <v>287.0</v>
      </c>
      <c r="B288" s="162" t="s">
        <v>951</v>
      </c>
      <c r="C288" s="162" t="s">
        <v>2470</v>
      </c>
      <c r="D288" s="162" t="s">
        <v>953</v>
      </c>
      <c r="I288" s="121" t="s">
        <v>18</v>
      </c>
    </row>
    <row r="289">
      <c r="A289" s="16">
        <v>288.0</v>
      </c>
      <c r="B289" s="162" t="s">
        <v>865</v>
      </c>
      <c r="C289" s="162" t="s">
        <v>2471</v>
      </c>
      <c r="D289" s="162" t="s">
        <v>867</v>
      </c>
      <c r="I289" s="121" t="s">
        <v>18</v>
      </c>
    </row>
    <row r="290">
      <c r="A290" s="16">
        <v>289.0</v>
      </c>
      <c r="B290" s="162" t="s">
        <v>877</v>
      </c>
      <c r="C290" s="162" t="s">
        <v>2472</v>
      </c>
      <c r="D290" s="162" t="s">
        <v>879</v>
      </c>
      <c r="I290" s="121" t="s">
        <v>18</v>
      </c>
    </row>
    <row r="291">
      <c r="A291" s="16">
        <v>290.0</v>
      </c>
      <c r="B291" s="162" t="s">
        <v>883</v>
      </c>
      <c r="C291" s="162" t="s">
        <v>2473</v>
      </c>
      <c r="D291" s="162" t="s">
        <v>885</v>
      </c>
      <c r="I291" s="121" t="s">
        <v>18</v>
      </c>
    </row>
    <row r="292">
      <c r="A292" s="16">
        <v>291.0</v>
      </c>
      <c r="B292" s="162" t="s">
        <v>871</v>
      </c>
      <c r="C292" s="162" t="s">
        <v>2474</v>
      </c>
      <c r="D292" s="162" t="s">
        <v>873</v>
      </c>
      <c r="I292" s="121" t="s">
        <v>18</v>
      </c>
    </row>
    <row r="293">
      <c r="A293" s="16">
        <v>292.0</v>
      </c>
      <c r="B293" s="162" t="s">
        <v>892</v>
      </c>
      <c r="C293" s="162" t="s">
        <v>2475</v>
      </c>
      <c r="D293" s="162" t="s">
        <v>894</v>
      </c>
      <c r="I293" s="121" t="s">
        <v>18</v>
      </c>
    </row>
    <row r="294">
      <c r="A294" s="16">
        <v>293.0</v>
      </c>
      <c r="B294" s="162" t="s">
        <v>2476</v>
      </c>
      <c r="C294" s="162" t="s">
        <v>2477</v>
      </c>
      <c r="D294" s="162" t="s">
        <v>2478</v>
      </c>
      <c r="I294" s="121" t="s">
        <v>18</v>
      </c>
    </row>
    <row r="295">
      <c r="A295" s="16">
        <v>294.0</v>
      </c>
      <c r="B295" s="162" t="s">
        <v>954</v>
      </c>
      <c r="C295" s="162" t="s">
        <v>2479</v>
      </c>
      <c r="D295" s="162" t="s">
        <v>956</v>
      </c>
      <c r="I295" s="121" t="s">
        <v>18</v>
      </c>
    </row>
    <row r="296">
      <c r="A296" s="16">
        <v>295.0</v>
      </c>
      <c r="B296" s="162" t="s">
        <v>909</v>
      </c>
      <c r="C296" s="162" t="s">
        <v>2480</v>
      </c>
      <c r="D296" s="162" t="s">
        <v>911</v>
      </c>
      <c r="I296" s="121" t="s">
        <v>18</v>
      </c>
    </row>
    <row r="297">
      <c r="A297" s="16">
        <v>296.0</v>
      </c>
      <c r="B297" s="162" t="s">
        <v>915</v>
      </c>
      <c r="C297" s="162" t="s">
        <v>2481</v>
      </c>
      <c r="D297" s="162" t="s">
        <v>917</v>
      </c>
      <c r="I297" s="121" t="s">
        <v>18</v>
      </c>
    </row>
    <row r="298">
      <c r="A298" s="16">
        <v>297.0</v>
      </c>
      <c r="B298" s="162" t="s">
        <v>945</v>
      </c>
      <c r="C298" s="162" t="s">
        <v>2482</v>
      </c>
      <c r="D298" s="162" t="s">
        <v>947</v>
      </c>
      <c r="I298" s="121" t="s">
        <v>18</v>
      </c>
    </row>
    <row r="299">
      <c r="A299" s="16">
        <v>298.0</v>
      </c>
      <c r="B299" s="162" t="s">
        <v>889</v>
      </c>
      <c r="C299" s="162" t="s">
        <v>2483</v>
      </c>
      <c r="D299" s="162" t="s">
        <v>891</v>
      </c>
      <c r="I299" s="121" t="s">
        <v>18</v>
      </c>
    </row>
    <row r="300">
      <c r="A300" s="16">
        <v>299.0</v>
      </c>
      <c r="B300" s="162" t="s">
        <v>850</v>
      </c>
      <c r="C300" s="162" t="s">
        <v>2484</v>
      </c>
      <c r="D300" s="162" t="s">
        <v>852</v>
      </c>
      <c r="I300" s="121" t="s">
        <v>18</v>
      </c>
    </row>
    <row r="301">
      <c r="A301" s="16">
        <v>300.0</v>
      </c>
      <c r="B301" s="162" t="s">
        <v>2485</v>
      </c>
      <c r="C301" s="162" t="s">
        <v>2486</v>
      </c>
      <c r="D301" s="162" t="s">
        <v>2487</v>
      </c>
      <c r="I301" s="121" t="s">
        <v>18</v>
      </c>
    </row>
    <row r="302">
      <c r="A302" s="16">
        <v>301.0</v>
      </c>
      <c r="B302" s="162" t="s">
        <v>839</v>
      </c>
      <c r="C302" s="162" t="s">
        <v>2488</v>
      </c>
      <c r="D302" s="162" t="s">
        <v>841</v>
      </c>
      <c r="I302" s="121" t="s">
        <v>18</v>
      </c>
    </row>
    <row r="303">
      <c r="A303" s="16">
        <v>302.0</v>
      </c>
      <c r="B303" s="162" t="s">
        <v>880</v>
      </c>
      <c r="C303" s="162" t="s">
        <v>2489</v>
      </c>
      <c r="D303" s="162" t="s">
        <v>882</v>
      </c>
      <c r="I303" s="121" t="s">
        <v>18</v>
      </c>
    </row>
    <row r="304">
      <c r="A304" s="16">
        <v>303.0</v>
      </c>
      <c r="B304" s="162" t="s">
        <v>2490</v>
      </c>
      <c r="C304" s="162" t="s">
        <v>2491</v>
      </c>
      <c r="D304" s="162" t="s">
        <v>2492</v>
      </c>
      <c r="I304" s="121" t="s">
        <v>18</v>
      </c>
    </row>
    <row r="305">
      <c r="A305" s="16">
        <v>304.0</v>
      </c>
      <c r="B305" s="162" t="s">
        <v>1067</v>
      </c>
      <c r="C305" s="162" t="s">
        <v>2493</v>
      </c>
      <c r="D305" s="162" t="s">
        <v>1069</v>
      </c>
      <c r="I305" s="121" t="s">
        <v>18</v>
      </c>
    </row>
    <row r="306">
      <c r="A306" s="16">
        <v>305.0</v>
      </c>
      <c r="B306" s="162" t="s">
        <v>2494</v>
      </c>
      <c r="C306" s="162" t="s">
        <v>2495</v>
      </c>
      <c r="D306" s="162" t="s">
        <v>2496</v>
      </c>
      <c r="I306" s="121" t="s">
        <v>18</v>
      </c>
    </row>
    <row r="307">
      <c r="A307" s="16">
        <v>306.0</v>
      </c>
      <c r="B307" s="162" t="s">
        <v>1070</v>
      </c>
      <c r="C307" s="162" t="s">
        <v>2497</v>
      </c>
      <c r="D307" s="162" t="s">
        <v>1072</v>
      </c>
      <c r="I307" s="121" t="s">
        <v>18</v>
      </c>
    </row>
    <row r="308">
      <c r="A308" s="16">
        <v>307.0</v>
      </c>
      <c r="B308" s="162" t="s">
        <v>1064</v>
      </c>
      <c r="C308" s="162" t="s">
        <v>2498</v>
      </c>
      <c r="D308" s="162" t="s">
        <v>1066</v>
      </c>
      <c r="I308" s="121" t="s">
        <v>18</v>
      </c>
    </row>
    <row r="309">
      <c r="A309" s="16">
        <v>308.0</v>
      </c>
      <c r="B309" s="162" t="s">
        <v>1049</v>
      </c>
      <c r="C309" s="162" t="s">
        <v>2499</v>
      </c>
      <c r="D309" s="162" t="s">
        <v>1051</v>
      </c>
      <c r="I309" s="121" t="s">
        <v>18</v>
      </c>
    </row>
    <row r="310">
      <c r="A310" s="16">
        <v>309.0</v>
      </c>
      <c r="B310" s="162" t="s">
        <v>1046</v>
      </c>
      <c r="C310" s="162" t="s">
        <v>2500</v>
      </c>
      <c r="D310" s="162" t="s">
        <v>1048</v>
      </c>
      <c r="I310" s="121" t="s">
        <v>18</v>
      </c>
    </row>
    <row r="311">
      <c r="A311" s="16">
        <v>310.0</v>
      </c>
      <c r="B311" s="162" t="s">
        <v>1061</v>
      </c>
      <c r="C311" s="162" t="s">
        <v>2501</v>
      </c>
      <c r="D311" s="162" t="s">
        <v>1063</v>
      </c>
      <c r="I311" s="121" t="s">
        <v>18</v>
      </c>
    </row>
    <row r="312">
      <c r="A312" s="16">
        <v>311.0</v>
      </c>
      <c r="B312" s="162" t="s">
        <v>2502</v>
      </c>
      <c r="C312" s="162" t="s">
        <v>2503</v>
      </c>
      <c r="D312" s="162" t="s">
        <v>2504</v>
      </c>
      <c r="I312" s="121" t="s">
        <v>18</v>
      </c>
    </row>
    <row r="313">
      <c r="A313" s="16">
        <v>312.0</v>
      </c>
      <c r="B313" s="162" t="s">
        <v>1043</v>
      </c>
      <c r="C313" s="162" t="s">
        <v>2505</v>
      </c>
      <c r="D313" s="162" t="s">
        <v>1045</v>
      </c>
      <c r="I313" s="121" t="s">
        <v>18</v>
      </c>
    </row>
    <row r="314">
      <c r="A314" s="16">
        <v>313.0</v>
      </c>
      <c r="B314" s="162" t="s">
        <v>1073</v>
      </c>
      <c r="C314" s="162" t="s">
        <v>2506</v>
      </c>
      <c r="D314" s="162" t="s">
        <v>1075</v>
      </c>
      <c r="I314" s="121" t="s">
        <v>18</v>
      </c>
    </row>
    <row r="315">
      <c r="A315" s="16">
        <v>314.0</v>
      </c>
      <c r="B315" s="162" t="s">
        <v>1058</v>
      </c>
      <c r="C315" s="162" t="s">
        <v>2507</v>
      </c>
      <c r="D315" s="162" t="s">
        <v>1060</v>
      </c>
      <c r="I315" s="121" t="s">
        <v>18</v>
      </c>
    </row>
    <row r="316">
      <c r="A316" s="16">
        <v>315.0</v>
      </c>
      <c r="B316" s="162" t="s">
        <v>2508</v>
      </c>
      <c r="C316" s="162" t="s">
        <v>2509</v>
      </c>
      <c r="D316" s="162" t="s">
        <v>1042</v>
      </c>
      <c r="I316" s="121" t="s">
        <v>18</v>
      </c>
    </row>
    <row r="317">
      <c r="A317" s="16">
        <v>316.0</v>
      </c>
      <c r="B317" s="162" t="s">
        <v>2510</v>
      </c>
      <c r="C317" s="162" t="s">
        <v>2511</v>
      </c>
      <c r="D317" s="162" t="s">
        <v>2512</v>
      </c>
      <c r="I317" s="121" t="s">
        <v>18</v>
      </c>
    </row>
    <row r="318">
      <c r="A318" s="16">
        <v>317.0</v>
      </c>
      <c r="B318" s="162" t="s">
        <v>1105</v>
      </c>
      <c r="C318" s="162" t="s">
        <v>2513</v>
      </c>
      <c r="D318" s="162" t="s">
        <v>1107</v>
      </c>
      <c r="I318" s="121" t="s">
        <v>18</v>
      </c>
    </row>
    <row r="319">
      <c r="A319" s="16">
        <v>318.0</v>
      </c>
      <c r="B319" s="162" t="s">
        <v>2514</v>
      </c>
      <c r="C319" s="162" t="s">
        <v>2515</v>
      </c>
      <c r="D319" s="162" t="s">
        <v>2516</v>
      </c>
      <c r="I319" s="121" t="s">
        <v>18</v>
      </c>
    </row>
    <row r="320">
      <c r="A320" s="16">
        <v>319.0</v>
      </c>
      <c r="B320" s="162" t="s">
        <v>1102</v>
      </c>
      <c r="C320" s="162" t="s">
        <v>2517</v>
      </c>
      <c r="D320" s="162" t="s">
        <v>1104</v>
      </c>
      <c r="I320" s="121" t="s">
        <v>18</v>
      </c>
    </row>
    <row r="321">
      <c r="A321" s="16">
        <v>320.0</v>
      </c>
      <c r="B321" s="162" t="s">
        <v>1098</v>
      </c>
      <c r="C321" s="162" t="s">
        <v>2518</v>
      </c>
      <c r="D321" s="162" t="s">
        <v>1101</v>
      </c>
      <c r="I321" s="121" t="s">
        <v>18</v>
      </c>
    </row>
    <row r="322">
      <c r="A322" s="16">
        <v>321.0</v>
      </c>
      <c r="B322" s="162" t="s">
        <v>2519</v>
      </c>
      <c r="C322" s="162" t="s">
        <v>2520</v>
      </c>
      <c r="D322" s="162" t="s">
        <v>2521</v>
      </c>
      <c r="I322" s="121" t="s">
        <v>18</v>
      </c>
    </row>
    <row r="323">
      <c r="A323" s="16">
        <v>322.0</v>
      </c>
      <c r="B323" s="162" t="s">
        <v>2522</v>
      </c>
      <c r="C323" s="162" t="s">
        <v>2523</v>
      </c>
      <c r="D323" s="162" t="s">
        <v>382</v>
      </c>
      <c r="I323" s="121" t="s">
        <v>18</v>
      </c>
    </row>
    <row r="324">
      <c r="A324" s="16">
        <v>323.0</v>
      </c>
      <c r="B324" s="162" t="s">
        <v>1079</v>
      </c>
      <c r="C324" s="162" t="s">
        <v>2524</v>
      </c>
      <c r="D324" s="162" t="s">
        <v>1082</v>
      </c>
      <c r="I324" s="121" t="s">
        <v>18</v>
      </c>
    </row>
    <row r="325">
      <c r="A325" s="16">
        <v>324.0</v>
      </c>
      <c r="B325" s="162" t="s">
        <v>1083</v>
      </c>
      <c r="C325" s="162" t="s">
        <v>2525</v>
      </c>
      <c r="D325" s="162" t="s">
        <v>1085</v>
      </c>
      <c r="I325" s="121" t="s">
        <v>18</v>
      </c>
    </row>
    <row r="326">
      <c r="A326" s="16">
        <v>325.0</v>
      </c>
      <c r="B326" s="162" t="s">
        <v>1092</v>
      </c>
      <c r="C326" s="162" t="s">
        <v>2526</v>
      </c>
      <c r="D326" s="162" t="s">
        <v>1094</v>
      </c>
      <c r="I326" s="121" t="s">
        <v>18</v>
      </c>
    </row>
    <row r="327">
      <c r="A327" s="16">
        <v>326.0</v>
      </c>
      <c r="B327" s="162" t="s">
        <v>1089</v>
      </c>
      <c r="C327" s="162" t="s">
        <v>2527</v>
      </c>
      <c r="D327" s="162" t="s">
        <v>1091</v>
      </c>
      <c r="I327" s="121" t="s">
        <v>18</v>
      </c>
    </row>
    <row r="328">
      <c r="A328" s="16">
        <v>327.0</v>
      </c>
      <c r="B328" s="162" t="s">
        <v>1095</v>
      </c>
      <c r="C328" s="162" t="s">
        <v>2528</v>
      </c>
      <c r="D328" s="162" t="s">
        <v>1097</v>
      </c>
      <c r="I328" s="121" t="s">
        <v>18</v>
      </c>
    </row>
    <row r="329">
      <c r="A329" s="16">
        <v>328.0</v>
      </c>
      <c r="B329" s="162" t="s">
        <v>1086</v>
      </c>
      <c r="C329" s="162" t="s">
        <v>2529</v>
      </c>
      <c r="D329" s="162" t="s">
        <v>1088</v>
      </c>
      <c r="I329" s="121" t="s">
        <v>18</v>
      </c>
    </row>
    <row r="330">
      <c r="A330" s="16">
        <v>329.0</v>
      </c>
      <c r="B330" s="162" t="s">
        <v>756</v>
      </c>
      <c r="C330" s="162" t="s">
        <v>2530</v>
      </c>
      <c r="D330" s="162" t="s">
        <v>758</v>
      </c>
      <c r="I330" s="121" t="s">
        <v>18</v>
      </c>
    </row>
    <row r="331">
      <c r="A331" s="16">
        <v>330.0</v>
      </c>
      <c r="B331" s="162" t="s">
        <v>1144</v>
      </c>
      <c r="C331" s="162" t="s">
        <v>2531</v>
      </c>
      <c r="D331" s="162" t="s">
        <v>1146</v>
      </c>
      <c r="I331" s="121" t="s">
        <v>18</v>
      </c>
    </row>
    <row r="332">
      <c r="A332" s="16">
        <v>331.0</v>
      </c>
      <c r="B332" s="162" t="s">
        <v>1140</v>
      </c>
      <c r="C332" s="162" t="s">
        <v>2532</v>
      </c>
      <c r="D332" s="162" t="s">
        <v>1143</v>
      </c>
      <c r="I332" s="121" t="s">
        <v>18</v>
      </c>
    </row>
    <row r="333">
      <c r="A333" s="16">
        <v>332.0</v>
      </c>
      <c r="B333" s="162" t="s">
        <v>2533</v>
      </c>
      <c r="C333" s="162" t="s">
        <v>2534</v>
      </c>
      <c r="D333" s="162" t="s">
        <v>2535</v>
      </c>
      <c r="I333" s="121" t="s">
        <v>18</v>
      </c>
    </row>
    <row r="334">
      <c r="A334" s="16">
        <v>333.0</v>
      </c>
      <c r="B334" s="162" t="s">
        <v>1193</v>
      </c>
      <c r="C334" s="162" t="s">
        <v>2536</v>
      </c>
      <c r="D334" s="162" t="s">
        <v>1195</v>
      </c>
      <c r="I334" s="121" t="s">
        <v>18</v>
      </c>
    </row>
    <row r="335">
      <c r="A335" s="16">
        <v>334.0</v>
      </c>
      <c r="B335" s="162" t="s">
        <v>1199</v>
      </c>
      <c r="C335" s="162" t="s">
        <v>2537</v>
      </c>
      <c r="D335" s="162" t="s">
        <v>1201</v>
      </c>
      <c r="I335" s="121" t="s">
        <v>18</v>
      </c>
    </row>
    <row r="336">
      <c r="A336" s="16">
        <v>335.0</v>
      </c>
      <c r="B336" s="162" t="s">
        <v>1290</v>
      </c>
      <c r="C336" s="162" t="s">
        <v>2538</v>
      </c>
      <c r="D336" s="162" t="s">
        <v>1292</v>
      </c>
      <c r="I336" s="121" t="s">
        <v>18</v>
      </c>
    </row>
    <row r="337">
      <c r="A337" s="16">
        <v>336.0</v>
      </c>
      <c r="B337" s="162" t="s">
        <v>1462</v>
      </c>
      <c r="C337" s="162" t="s">
        <v>2539</v>
      </c>
      <c r="D337" s="162" t="s">
        <v>1465</v>
      </c>
      <c r="I337" s="121" t="s">
        <v>18</v>
      </c>
    </row>
    <row r="338">
      <c r="A338" s="16">
        <v>337.0</v>
      </c>
      <c r="B338" s="162" t="s">
        <v>2540</v>
      </c>
      <c r="C338" s="162" t="s">
        <v>2541</v>
      </c>
      <c r="D338" s="162" t="s">
        <v>410</v>
      </c>
      <c r="I338" s="121"/>
    </row>
    <row r="339">
      <c r="A339" s="16">
        <v>338.0</v>
      </c>
      <c r="B339" s="162" t="s">
        <v>1184</v>
      </c>
      <c r="C339" s="162" t="s">
        <v>2542</v>
      </c>
      <c r="D339" s="162" t="s">
        <v>1186</v>
      </c>
      <c r="I339" s="121" t="s">
        <v>18</v>
      </c>
    </row>
    <row r="340">
      <c r="A340" s="16">
        <v>339.0</v>
      </c>
      <c r="B340" s="162" t="s">
        <v>886</v>
      </c>
      <c r="C340" s="162" t="s">
        <v>2543</v>
      </c>
      <c r="D340" s="162" t="s">
        <v>888</v>
      </c>
      <c r="I340" s="121" t="s">
        <v>18</v>
      </c>
    </row>
    <row r="341">
      <c r="A341" s="16">
        <v>340.0</v>
      </c>
      <c r="B341" s="162" t="s">
        <v>1178</v>
      </c>
      <c r="C341" s="162" t="s">
        <v>2544</v>
      </c>
      <c r="D341" s="162" t="s">
        <v>1180</v>
      </c>
      <c r="I341" s="121" t="s">
        <v>18</v>
      </c>
    </row>
    <row r="342">
      <c r="A342" s="16">
        <v>341.0</v>
      </c>
      <c r="B342" s="162" t="s">
        <v>1214</v>
      </c>
      <c r="C342" s="162" t="s">
        <v>2545</v>
      </c>
      <c r="D342" s="162" t="s">
        <v>1216</v>
      </c>
      <c r="I342" s="121" t="s">
        <v>18</v>
      </c>
    </row>
    <row r="343">
      <c r="A343" s="16">
        <v>342.0</v>
      </c>
      <c r="B343" s="162" t="s">
        <v>1156</v>
      </c>
      <c r="C343" s="162" t="s">
        <v>2546</v>
      </c>
      <c r="D343" s="162" t="s">
        <v>1159</v>
      </c>
      <c r="I343" s="121" t="s">
        <v>18</v>
      </c>
    </row>
    <row r="344">
      <c r="A344" s="16">
        <v>343.0</v>
      </c>
      <c r="B344" s="162" t="s">
        <v>2547</v>
      </c>
      <c r="C344" s="162" t="s">
        <v>2548</v>
      </c>
      <c r="D344" s="162" t="s">
        <v>2549</v>
      </c>
      <c r="I344" s="121" t="s">
        <v>18</v>
      </c>
    </row>
    <row r="345">
      <c r="A345" s="16">
        <v>344.0</v>
      </c>
      <c r="B345" s="162" t="s">
        <v>1253</v>
      </c>
      <c r="C345" s="162" t="s">
        <v>2550</v>
      </c>
      <c r="D345" s="162" t="s">
        <v>1255</v>
      </c>
      <c r="I345" s="121" t="s">
        <v>18</v>
      </c>
    </row>
    <row r="346">
      <c r="A346" s="16">
        <v>345.0</v>
      </c>
      <c r="B346" s="162" t="s">
        <v>1190</v>
      </c>
      <c r="C346" s="162" t="s">
        <v>2551</v>
      </c>
      <c r="D346" s="162" t="s">
        <v>1192</v>
      </c>
      <c r="I346" s="121" t="s">
        <v>18</v>
      </c>
    </row>
    <row r="347">
      <c r="A347" s="16">
        <v>346.0</v>
      </c>
      <c r="B347" s="162" t="s">
        <v>1181</v>
      </c>
      <c r="C347" s="162" t="s">
        <v>2552</v>
      </c>
      <c r="D347" s="162" t="s">
        <v>1183</v>
      </c>
      <c r="I347" s="121" t="s">
        <v>18</v>
      </c>
    </row>
    <row r="348">
      <c r="A348" s="16">
        <v>347.0</v>
      </c>
      <c r="B348" s="162" t="s">
        <v>2553</v>
      </c>
      <c r="C348" s="162" t="s">
        <v>2554</v>
      </c>
      <c r="D348" s="162" t="s">
        <v>2555</v>
      </c>
      <c r="I348" s="121" t="s">
        <v>18</v>
      </c>
    </row>
    <row r="349">
      <c r="A349" s="16">
        <v>348.0</v>
      </c>
      <c r="B349" s="162" t="s">
        <v>2556</v>
      </c>
      <c r="C349" s="162" t="s">
        <v>2557</v>
      </c>
      <c r="D349" s="162" t="s">
        <v>1252</v>
      </c>
      <c r="I349" s="121" t="s">
        <v>18</v>
      </c>
    </row>
    <row r="350">
      <c r="A350" s="16">
        <v>349.0</v>
      </c>
      <c r="B350" s="162" t="s">
        <v>1220</v>
      </c>
      <c r="C350" s="162" t="s">
        <v>2558</v>
      </c>
      <c r="D350" s="162" t="s">
        <v>1222</v>
      </c>
      <c r="I350" s="121" t="s">
        <v>18</v>
      </c>
    </row>
    <row r="351">
      <c r="A351" s="16">
        <v>350.0</v>
      </c>
      <c r="B351" s="162" t="s">
        <v>1160</v>
      </c>
      <c r="C351" s="162" t="s">
        <v>2559</v>
      </c>
      <c r="D351" s="162" t="s">
        <v>1162</v>
      </c>
      <c r="I351" s="121" t="s">
        <v>18</v>
      </c>
    </row>
    <row r="352">
      <c r="A352" s="16">
        <v>351.0</v>
      </c>
      <c r="B352" s="162" t="s">
        <v>1259</v>
      </c>
      <c r="C352" s="162" t="s">
        <v>2560</v>
      </c>
      <c r="D352" s="162" t="s">
        <v>1261</v>
      </c>
      <c r="I352" s="121" t="s">
        <v>18</v>
      </c>
    </row>
    <row r="353">
      <c r="A353" s="16">
        <v>352.0</v>
      </c>
      <c r="B353" s="162" t="s">
        <v>1202</v>
      </c>
      <c r="C353" s="162" t="s">
        <v>2561</v>
      </c>
      <c r="D353" s="162" t="s">
        <v>1204</v>
      </c>
      <c r="I353" s="121" t="s">
        <v>18</v>
      </c>
    </row>
    <row r="354">
      <c r="A354" s="16">
        <v>353.0</v>
      </c>
      <c r="B354" s="162" t="s">
        <v>2562</v>
      </c>
      <c r="C354" s="162" t="s">
        <v>2563</v>
      </c>
      <c r="D354" s="162" t="s">
        <v>2564</v>
      </c>
      <c r="I354" s="121" t="s">
        <v>18</v>
      </c>
    </row>
    <row r="355">
      <c r="A355" s="16">
        <v>354.0</v>
      </c>
      <c r="B355" s="162" t="s">
        <v>1166</v>
      </c>
      <c r="C355" s="162" t="s">
        <v>2565</v>
      </c>
      <c r="D355" s="162" t="s">
        <v>1168</v>
      </c>
      <c r="I355" s="121" t="s">
        <v>18</v>
      </c>
    </row>
    <row r="356">
      <c r="A356" s="16">
        <v>355.0</v>
      </c>
      <c r="B356" s="162" t="s">
        <v>1435</v>
      </c>
      <c r="C356" s="162" t="s">
        <v>2566</v>
      </c>
      <c r="D356" s="162" t="s">
        <v>1437</v>
      </c>
      <c r="I356" s="121" t="s">
        <v>18</v>
      </c>
    </row>
    <row r="357">
      <c r="A357" s="16">
        <v>356.0</v>
      </c>
      <c r="B357" s="162" t="s">
        <v>1373</v>
      </c>
      <c r="C357" s="162" t="s">
        <v>2567</v>
      </c>
      <c r="D357" s="162" t="s">
        <v>1375</v>
      </c>
      <c r="I357" s="121" t="s">
        <v>18</v>
      </c>
    </row>
    <row r="358">
      <c r="A358" s="16">
        <v>357.0</v>
      </c>
      <c r="B358" s="162" t="s">
        <v>2568</v>
      </c>
      <c r="C358" s="162" t="s">
        <v>2569</v>
      </c>
      <c r="D358" s="162" t="s">
        <v>2570</v>
      </c>
      <c r="I358" s="121" t="s">
        <v>18</v>
      </c>
    </row>
    <row r="359">
      <c r="A359" s="16">
        <v>358.0</v>
      </c>
      <c r="B359" s="162" t="s">
        <v>1456</v>
      </c>
      <c r="C359" s="162" t="s">
        <v>2571</v>
      </c>
      <c r="D359" s="162" t="s">
        <v>1458</v>
      </c>
      <c r="I359" s="121" t="s">
        <v>18</v>
      </c>
    </row>
    <row r="360">
      <c r="A360" s="16">
        <v>359.0</v>
      </c>
      <c r="B360" s="162" t="s">
        <v>1450</v>
      </c>
      <c r="C360" s="162" t="s">
        <v>2572</v>
      </c>
      <c r="D360" s="162" t="s">
        <v>1452</v>
      </c>
      <c r="I360" s="121" t="s">
        <v>18</v>
      </c>
    </row>
    <row r="361">
      <c r="A361" s="16">
        <v>360.0</v>
      </c>
      <c r="B361" s="162" t="s">
        <v>1382</v>
      </c>
      <c r="C361" s="162" t="s">
        <v>2573</v>
      </c>
      <c r="D361" s="162" t="s">
        <v>1384</v>
      </c>
      <c r="I361" s="121" t="s">
        <v>18</v>
      </c>
    </row>
    <row r="362">
      <c r="A362" s="16">
        <v>361.0</v>
      </c>
      <c r="B362" s="162" t="s">
        <v>1398</v>
      </c>
      <c r="C362" s="162" t="s">
        <v>2574</v>
      </c>
      <c r="D362" s="162" t="s">
        <v>1400</v>
      </c>
      <c r="I362" s="121" t="s">
        <v>18</v>
      </c>
    </row>
    <row r="363">
      <c r="A363" s="16">
        <v>362.0</v>
      </c>
      <c r="B363" s="162" t="s">
        <v>1438</v>
      </c>
      <c r="C363" s="162" t="s">
        <v>2575</v>
      </c>
      <c r="D363" s="162" t="s">
        <v>1440</v>
      </c>
      <c r="I363" s="121" t="s">
        <v>18</v>
      </c>
    </row>
    <row r="364">
      <c r="A364" s="16">
        <v>363.0</v>
      </c>
      <c r="B364" s="162" t="s">
        <v>1444</v>
      </c>
      <c r="C364" s="162" t="s">
        <v>2576</v>
      </c>
      <c r="D364" s="162" t="s">
        <v>1446</v>
      </c>
      <c r="I364" s="121" t="s">
        <v>18</v>
      </c>
    </row>
    <row r="365">
      <c r="A365" s="16">
        <v>364.0</v>
      </c>
      <c r="B365" s="162" t="s">
        <v>1432</v>
      </c>
      <c r="C365" s="162" t="s">
        <v>2577</v>
      </c>
      <c r="D365" s="162" t="s">
        <v>1434</v>
      </c>
      <c r="I365" s="121" t="s">
        <v>18</v>
      </c>
    </row>
    <row r="366">
      <c r="A366" s="16">
        <v>365.0</v>
      </c>
      <c r="B366" s="162" t="s">
        <v>2578</v>
      </c>
      <c r="C366" s="162" t="s">
        <v>2579</v>
      </c>
      <c r="D366" s="162" t="s">
        <v>2580</v>
      </c>
      <c r="I366" s="121" t="s">
        <v>18</v>
      </c>
    </row>
    <row r="367">
      <c r="A367" s="16">
        <v>366.0</v>
      </c>
      <c r="B367" s="162" t="s">
        <v>1351</v>
      </c>
      <c r="C367" s="162" t="s">
        <v>2581</v>
      </c>
      <c r="D367" s="162" t="s">
        <v>1353</v>
      </c>
      <c r="I367" s="121" t="s">
        <v>18</v>
      </c>
    </row>
    <row r="368">
      <c r="A368" s="16">
        <v>367.0</v>
      </c>
      <c r="B368" s="162" t="s">
        <v>1342</v>
      </c>
      <c r="C368" s="162" t="s">
        <v>2582</v>
      </c>
      <c r="D368" s="162" t="s">
        <v>1344</v>
      </c>
      <c r="I368" s="121" t="s">
        <v>18</v>
      </c>
    </row>
    <row r="369">
      <c r="A369" s="16">
        <v>368.0</v>
      </c>
      <c r="B369" s="162" t="s">
        <v>1376</v>
      </c>
      <c r="C369" s="162" t="s">
        <v>2583</v>
      </c>
      <c r="D369" s="162" t="s">
        <v>1378</v>
      </c>
      <c r="I369" s="121" t="s">
        <v>18</v>
      </c>
    </row>
    <row r="370">
      <c r="A370" s="16">
        <v>369.0</v>
      </c>
      <c r="B370" s="162" t="s">
        <v>1360</v>
      </c>
      <c r="C370" s="162" t="s">
        <v>2584</v>
      </c>
      <c r="D370" s="162" t="s">
        <v>1362</v>
      </c>
      <c r="I370" s="121" t="s">
        <v>18</v>
      </c>
    </row>
    <row r="371">
      <c r="A371" s="16">
        <v>370.0</v>
      </c>
      <c r="B371" s="162" t="s">
        <v>1348</v>
      </c>
      <c r="C371" s="162" t="s">
        <v>2585</v>
      </c>
      <c r="D371" s="162" t="s">
        <v>1350</v>
      </c>
      <c r="I371" s="121" t="s">
        <v>18</v>
      </c>
    </row>
    <row r="372">
      <c r="A372" s="16">
        <v>371.0</v>
      </c>
      <c r="B372" s="162" t="s">
        <v>1345</v>
      </c>
      <c r="C372" s="162" t="s">
        <v>2586</v>
      </c>
      <c r="D372" s="162" t="s">
        <v>1347</v>
      </c>
      <c r="I372" s="121" t="s">
        <v>18</v>
      </c>
    </row>
    <row r="373">
      <c r="A373" s="16">
        <v>372.0</v>
      </c>
      <c r="B373" s="162" t="s">
        <v>2587</v>
      </c>
      <c r="C373" s="162" t="s">
        <v>2588</v>
      </c>
      <c r="D373" s="162" t="s">
        <v>2589</v>
      </c>
      <c r="I373" s="121" t="s">
        <v>18</v>
      </c>
    </row>
    <row r="374">
      <c r="A374" s="16">
        <v>373.0</v>
      </c>
      <c r="B374" s="162" t="s">
        <v>1330</v>
      </c>
      <c r="C374" s="162" t="s">
        <v>2590</v>
      </c>
      <c r="D374" s="162" t="s">
        <v>1332</v>
      </c>
      <c r="I374" s="121" t="s">
        <v>18</v>
      </c>
    </row>
    <row r="375">
      <c r="A375" s="16">
        <v>374.0</v>
      </c>
      <c r="B375" s="162" t="s">
        <v>1357</v>
      </c>
      <c r="C375" s="162" t="s">
        <v>2591</v>
      </c>
      <c r="D375" s="162" t="s">
        <v>1359</v>
      </c>
      <c r="I375" s="121" t="s">
        <v>18</v>
      </c>
    </row>
    <row r="376">
      <c r="A376" s="16">
        <v>375.0</v>
      </c>
      <c r="B376" s="162" t="s">
        <v>1554</v>
      </c>
      <c r="C376" s="162" t="s">
        <v>2592</v>
      </c>
      <c r="D376" s="162" t="s">
        <v>1556</v>
      </c>
      <c r="I376" s="121" t="s">
        <v>18</v>
      </c>
    </row>
    <row r="377">
      <c r="A377" s="16">
        <v>376.0</v>
      </c>
      <c r="B377" s="162" t="s">
        <v>472</v>
      </c>
      <c r="C377" s="162" t="s">
        <v>2593</v>
      </c>
      <c r="D377" s="162" t="s">
        <v>474</v>
      </c>
      <c r="I377" s="121" t="s">
        <v>18</v>
      </c>
    </row>
    <row r="378">
      <c r="A378" s="16">
        <v>377.0</v>
      </c>
      <c r="B378" s="162" t="s">
        <v>1550</v>
      </c>
      <c r="C378" s="162" t="s">
        <v>2594</v>
      </c>
      <c r="D378" s="162" t="s">
        <v>1553</v>
      </c>
      <c r="I378" s="121" t="s">
        <v>18</v>
      </c>
    </row>
    <row r="379">
      <c r="A379" s="16">
        <v>378.0</v>
      </c>
      <c r="B379" s="162" t="s">
        <v>2595</v>
      </c>
      <c r="C379" s="162" t="s">
        <v>2596</v>
      </c>
      <c r="D379" s="162" t="s">
        <v>2597</v>
      </c>
      <c r="I379" s="121" t="s">
        <v>18</v>
      </c>
    </row>
    <row r="380">
      <c r="A380" s="16">
        <v>379.0</v>
      </c>
      <c r="B380" s="162" t="s">
        <v>1518</v>
      </c>
      <c r="C380" s="162" t="s">
        <v>2598</v>
      </c>
      <c r="D380" s="162" t="s">
        <v>1520</v>
      </c>
      <c r="I380" s="121" t="s">
        <v>18</v>
      </c>
    </row>
    <row r="381">
      <c r="A381" s="16">
        <v>380.0</v>
      </c>
      <c r="B381" s="162" t="s">
        <v>1524</v>
      </c>
      <c r="C381" s="162" t="s">
        <v>2599</v>
      </c>
      <c r="D381" s="162" t="s">
        <v>1526</v>
      </c>
      <c r="I381" s="121" t="s">
        <v>18</v>
      </c>
    </row>
    <row r="382">
      <c r="A382" s="16">
        <v>381.0</v>
      </c>
      <c r="B382" s="162" t="s">
        <v>2600</v>
      </c>
      <c r="C382" s="162" t="s">
        <v>2601</v>
      </c>
      <c r="D382" s="162" t="s">
        <v>2602</v>
      </c>
      <c r="I382" s="121" t="s">
        <v>18</v>
      </c>
    </row>
    <row r="383">
      <c r="A383" s="16">
        <v>382.0</v>
      </c>
      <c r="B383" s="162" t="s">
        <v>2603</v>
      </c>
      <c r="C383" s="162" t="s">
        <v>2604</v>
      </c>
      <c r="D383" s="162" t="s">
        <v>2605</v>
      </c>
      <c r="I383" s="121" t="s">
        <v>18</v>
      </c>
    </row>
    <row r="384">
      <c r="A384" s="16">
        <v>383.0</v>
      </c>
      <c r="B384" s="162" t="s">
        <v>1511</v>
      </c>
      <c r="C384" s="162" t="s">
        <v>2606</v>
      </c>
      <c r="D384" s="162" t="s">
        <v>1514</v>
      </c>
      <c r="I384" s="121" t="s">
        <v>18</v>
      </c>
    </row>
    <row r="385">
      <c r="A385" s="16">
        <v>384.0</v>
      </c>
      <c r="B385" s="162" t="s">
        <v>1544</v>
      </c>
      <c r="C385" s="162" t="s">
        <v>2607</v>
      </c>
      <c r="D385" s="162" t="s">
        <v>1546</v>
      </c>
      <c r="I385" s="121" t="s">
        <v>18</v>
      </c>
    </row>
    <row r="386">
      <c r="I386" s="121" t="s">
        <v>18</v>
      </c>
    </row>
    <row r="387">
      <c r="I387" s="121" t="s">
        <v>18</v>
      </c>
    </row>
    <row r="388">
      <c r="I388" s="121" t="s">
        <v>24</v>
      </c>
    </row>
    <row r="389">
      <c r="I389" s="121" t="s">
        <v>24</v>
      </c>
    </row>
    <row r="390">
      <c r="I390" s="121" t="s">
        <v>24</v>
      </c>
    </row>
    <row r="391">
      <c r="I391" s="121" t="s">
        <v>24</v>
      </c>
    </row>
    <row r="392">
      <c r="I392" s="121" t="s">
        <v>24</v>
      </c>
    </row>
    <row r="393">
      <c r="I393" s="121" t="s">
        <v>24</v>
      </c>
    </row>
    <row r="394">
      <c r="I394" s="121" t="s">
        <v>24</v>
      </c>
    </row>
    <row r="395">
      <c r="I395" s="121" t="s">
        <v>24</v>
      </c>
    </row>
    <row r="396">
      <c r="I396" s="121" t="s">
        <v>24</v>
      </c>
    </row>
    <row r="397">
      <c r="I397" s="121" t="s">
        <v>24</v>
      </c>
    </row>
    <row r="398">
      <c r="I398" s="121" t="s">
        <v>24</v>
      </c>
    </row>
    <row r="399">
      <c r="I399" s="121" t="s">
        <v>24</v>
      </c>
    </row>
    <row r="400">
      <c r="I400" s="121" t="s">
        <v>24</v>
      </c>
    </row>
    <row r="401">
      <c r="I401" s="121" t="s">
        <v>24</v>
      </c>
    </row>
    <row r="402">
      <c r="I402" s="121" t="s">
        <v>24</v>
      </c>
    </row>
    <row r="403">
      <c r="I403" s="121" t="s">
        <v>24</v>
      </c>
    </row>
    <row r="404">
      <c r="I404" s="121" t="s">
        <v>24</v>
      </c>
    </row>
    <row r="405">
      <c r="I405" s="121" t="s">
        <v>24</v>
      </c>
    </row>
    <row r="406">
      <c r="I406" s="121" t="s">
        <v>24</v>
      </c>
    </row>
    <row r="407">
      <c r="I407" s="121" t="s">
        <v>24</v>
      </c>
    </row>
    <row r="408">
      <c r="I408" s="121" t="s">
        <v>24</v>
      </c>
    </row>
    <row r="409">
      <c r="I409" s="121" t="s">
        <v>24</v>
      </c>
    </row>
    <row r="410">
      <c r="I410" s="121" t="s">
        <v>24</v>
      </c>
    </row>
    <row r="411">
      <c r="I411" s="121" t="s">
        <v>24</v>
      </c>
    </row>
    <row r="412">
      <c r="I412" s="121" t="s">
        <v>24</v>
      </c>
    </row>
    <row r="413">
      <c r="I413" s="121" t="s">
        <v>24</v>
      </c>
    </row>
    <row r="414">
      <c r="I414" s="121" t="s">
        <v>24</v>
      </c>
    </row>
    <row r="415">
      <c r="I415" s="121" t="s">
        <v>24</v>
      </c>
    </row>
    <row r="416">
      <c r="I416" s="121" t="s">
        <v>143</v>
      </c>
    </row>
    <row r="417">
      <c r="I417" s="121" t="s">
        <v>143</v>
      </c>
    </row>
    <row r="418">
      <c r="I418" s="121" t="s">
        <v>143</v>
      </c>
    </row>
    <row r="419">
      <c r="I419" s="121" t="s">
        <v>143</v>
      </c>
    </row>
    <row r="420">
      <c r="I420" s="121" t="s">
        <v>143</v>
      </c>
    </row>
    <row r="421">
      <c r="I421" s="121" t="s">
        <v>143</v>
      </c>
    </row>
    <row r="422">
      <c r="I422" s="121" t="s">
        <v>143</v>
      </c>
    </row>
    <row r="423">
      <c r="I423" s="121" t="s">
        <v>143</v>
      </c>
    </row>
    <row r="424">
      <c r="I424" s="121" t="s">
        <v>143</v>
      </c>
    </row>
    <row r="425">
      <c r="I425" s="121" t="s">
        <v>143</v>
      </c>
    </row>
    <row r="426">
      <c r="I426" s="121" t="s">
        <v>143</v>
      </c>
    </row>
    <row r="427">
      <c r="I427" s="121" t="s">
        <v>143</v>
      </c>
    </row>
    <row r="428">
      <c r="I428" s="121" t="s">
        <v>143</v>
      </c>
    </row>
    <row r="429">
      <c r="I429" s="121" t="s">
        <v>143</v>
      </c>
    </row>
    <row r="430">
      <c r="I430" s="121" t="s">
        <v>143</v>
      </c>
    </row>
    <row r="431">
      <c r="I431" s="121" t="s">
        <v>143</v>
      </c>
    </row>
    <row r="432">
      <c r="I432" s="121" t="s">
        <v>143</v>
      </c>
    </row>
    <row r="433">
      <c r="I433" s="121" t="s">
        <v>143</v>
      </c>
    </row>
    <row r="434">
      <c r="I434" s="121" t="s">
        <v>143</v>
      </c>
    </row>
    <row r="435">
      <c r="I435" s="121" t="s">
        <v>151</v>
      </c>
    </row>
    <row r="436">
      <c r="I436" s="121" t="s">
        <v>151</v>
      </c>
    </row>
    <row r="437">
      <c r="I437" s="121" t="s">
        <v>151</v>
      </c>
    </row>
    <row r="438">
      <c r="I438" s="121" t="s">
        <v>151</v>
      </c>
    </row>
    <row r="439">
      <c r="I439" s="121" t="s">
        <v>151</v>
      </c>
    </row>
    <row r="440">
      <c r="I440" s="121" t="s">
        <v>151</v>
      </c>
    </row>
    <row r="441">
      <c r="I441" s="121" t="s">
        <v>151</v>
      </c>
    </row>
    <row r="442">
      <c r="I442" s="121" t="s">
        <v>151</v>
      </c>
    </row>
    <row r="443">
      <c r="I443" s="121" t="s">
        <v>151</v>
      </c>
    </row>
    <row r="444">
      <c r="I444" s="121" t="s">
        <v>151</v>
      </c>
    </row>
    <row r="445">
      <c r="I445" s="121" t="s">
        <v>151</v>
      </c>
    </row>
    <row r="446">
      <c r="I446" s="121" t="s">
        <v>151</v>
      </c>
    </row>
    <row r="447">
      <c r="I447" s="121" t="s">
        <v>151</v>
      </c>
    </row>
    <row r="448">
      <c r="I448" s="121" t="s">
        <v>151</v>
      </c>
    </row>
    <row r="449">
      <c r="I449" s="121" t="s">
        <v>151</v>
      </c>
    </row>
    <row r="450">
      <c r="I450" s="121" t="s">
        <v>151</v>
      </c>
    </row>
    <row r="451">
      <c r="I451" s="121" t="s">
        <v>151</v>
      </c>
    </row>
    <row r="452">
      <c r="I452" s="121" t="s">
        <v>151</v>
      </c>
    </row>
    <row r="453">
      <c r="I453" s="121" t="s">
        <v>151</v>
      </c>
    </row>
    <row r="454">
      <c r="I454" s="121" t="s">
        <v>151</v>
      </c>
    </row>
    <row r="455">
      <c r="I455" s="121" t="s">
        <v>151</v>
      </c>
    </row>
    <row r="456">
      <c r="I456" s="121" t="s">
        <v>27</v>
      </c>
    </row>
    <row r="457">
      <c r="I457" s="121" t="s">
        <v>27</v>
      </c>
    </row>
    <row r="458">
      <c r="I458" s="121" t="s">
        <v>27</v>
      </c>
    </row>
    <row r="459">
      <c r="I459" s="121" t="s">
        <v>27</v>
      </c>
    </row>
    <row r="460">
      <c r="I460" s="121" t="s">
        <v>27</v>
      </c>
    </row>
    <row r="461">
      <c r="I461" s="121" t="s">
        <v>27</v>
      </c>
    </row>
    <row r="462">
      <c r="I462" s="121" t="s">
        <v>27</v>
      </c>
    </row>
    <row r="463">
      <c r="I463" s="121" t="s">
        <v>27</v>
      </c>
    </row>
    <row r="464">
      <c r="I464" s="121" t="s">
        <v>27</v>
      </c>
    </row>
    <row r="465">
      <c r="I465" s="121" t="s">
        <v>27</v>
      </c>
    </row>
    <row r="466">
      <c r="I466" s="121" t="s">
        <v>27</v>
      </c>
    </row>
    <row r="467">
      <c r="I467" s="121" t="s">
        <v>27</v>
      </c>
    </row>
    <row r="468">
      <c r="I468" s="121" t="s">
        <v>27</v>
      </c>
    </row>
    <row r="469">
      <c r="I469" s="121" t="s">
        <v>27</v>
      </c>
    </row>
    <row r="470">
      <c r="I470" s="121" t="s">
        <v>27</v>
      </c>
    </row>
    <row r="471">
      <c r="I471" s="121" t="s">
        <v>27</v>
      </c>
    </row>
    <row r="472">
      <c r="I472" s="121" t="s">
        <v>27</v>
      </c>
    </row>
    <row r="473">
      <c r="I473" s="121" t="s">
        <v>27</v>
      </c>
    </row>
    <row r="474">
      <c r="I474" s="121" t="s">
        <v>27</v>
      </c>
    </row>
    <row r="475">
      <c r="I475" s="121" t="s">
        <v>27</v>
      </c>
    </row>
    <row r="476">
      <c r="I476" s="121" t="s">
        <v>27</v>
      </c>
    </row>
    <row r="477">
      <c r="I477" s="121" t="s">
        <v>27</v>
      </c>
    </row>
    <row r="478">
      <c r="I478" s="121" t="s">
        <v>27</v>
      </c>
    </row>
    <row r="479">
      <c r="I479" s="121" t="s">
        <v>27</v>
      </c>
    </row>
    <row r="480">
      <c r="I480" s="121" t="s">
        <v>27</v>
      </c>
    </row>
    <row r="481">
      <c r="I481" s="121" t="s">
        <v>27</v>
      </c>
    </row>
    <row r="482">
      <c r="I482" s="121" t="s">
        <v>27</v>
      </c>
    </row>
    <row r="483">
      <c r="I483" s="121" t="s">
        <v>27</v>
      </c>
    </row>
    <row r="484">
      <c r="I484" s="121" t="s">
        <v>27</v>
      </c>
    </row>
    <row r="485">
      <c r="I485" s="121" t="s">
        <v>27</v>
      </c>
    </row>
    <row r="486">
      <c r="I486" s="121" t="s">
        <v>27</v>
      </c>
    </row>
    <row r="487">
      <c r="I487" s="121" t="s">
        <v>27</v>
      </c>
    </row>
    <row r="488">
      <c r="I488" s="121" t="s">
        <v>27</v>
      </c>
    </row>
    <row r="489">
      <c r="I489" s="121" t="s">
        <v>27</v>
      </c>
    </row>
    <row r="490">
      <c r="I490" s="121" t="s">
        <v>27</v>
      </c>
    </row>
    <row r="491">
      <c r="I491" s="121" t="s">
        <v>27</v>
      </c>
    </row>
    <row r="492">
      <c r="I492" s="121" t="s">
        <v>27</v>
      </c>
    </row>
    <row r="493">
      <c r="I493" s="121" t="s">
        <v>27</v>
      </c>
    </row>
    <row r="494">
      <c r="I494" s="121" t="s">
        <v>27</v>
      </c>
    </row>
    <row r="495">
      <c r="I495" s="121" t="s">
        <v>27</v>
      </c>
    </row>
    <row r="496">
      <c r="I496" s="121" t="s">
        <v>27</v>
      </c>
    </row>
    <row r="497">
      <c r="I497" s="121" t="s">
        <v>32</v>
      </c>
    </row>
    <row r="498">
      <c r="I498" s="121" t="s">
        <v>32</v>
      </c>
    </row>
    <row r="499">
      <c r="I499" s="121" t="s">
        <v>32</v>
      </c>
    </row>
    <row r="500">
      <c r="I500" s="121" t="s">
        <v>32</v>
      </c>
    </row>
    <row r="501">
      <c r="I501" s="121" t="s">
        <v>32</v>
      </c>
    </row>
    <row r="502">
      <c r="I502" s="121" t="s">
        <v>32</v>
      </c>
    </row>
    <row r="503">
      <c r="I503" s="121" t="s">
        <v>32</v>
      </c>
    </row>
    <row r="504">
      <c r="I504" s="121" t="s">
        <v>32</v>
      </c>
    </row>
    <row r="505">
      <c r="I505" s="121" t="s">
        <v>32</v>
      </c>
    </row>
    <row r="506">
      <c r="I506" s="121" t="s">
        <v>32</v>
      </c>
    </row>
    <row r="507">
      <c r="I507" s="121" t="s">
        <v>32</v>
      </c>
    </row>
    <row r="508">
      <c r="I508" s="121" t="s">
        <v>32</v>
      </c>
    </row>
    <row r="509">
      <c r="I509" s="121" t="s">
        <v>32</v>
      </c>
    </row>
    <row r="510">
      <c r="I510" s="121" t="s">
        <v>32</v>
      </c>
    </row>
    <row r="511">
      <c r="I511" s="121" t="s">
        <v>32</v>
      </c>
    </row>
    <row r="512">
      <c r="I512" s="121" t="s">
        <v>32</v>
      </c>
    </row>
    <row r="513">
      <c r="I513" s="121" t="s">
        <v>32</v>
      </c>
    </row>
    <row r="514">
      <c r="I514" s="121" t="s">
        <v>32</v>
      </c>
    </row>
    <row r="515">
      <c r="I515" s="121" t="s">
        <v>32</v>
      </c>
    </row>
    <row r="516">
      <c r="I516" s="121" t="s">
        <v>32</v>
      </c>
    </row>
    <row r="517">
      <c r="I517" s="121" t="s">
        <v>32</v>
      </c>
    </row>
    <row r="518">
      <c r="I518" s="121" t="s">
        <v>32</v>
      </c>
    </row>
    <row r="519">
      <c r="I519" s="121" t="s">
        <v>32</v>
      </c>
    </row>
    <row r="520">
      <c r="I520" s="121" t="s">
        <v>32</v>
      </c>
    </row>
    <row r="521">
      <c r="I521" s="121" t="s">
        <v>32</v>
      </c>
    </row>
    <row r="522">
      <c r="I522" s="121" t="s">
        <v>32</v>
      </c>
    </row>
    <row r="523">
      <c r="I523" s="121" t="s">
        <v>32</v>
      </c>
    </row>
    <row r="524">
      <c r="I524" s="121" t="s">
        <v>32</v>
      </c>
    </row>
    <row r="525">
      <c r="I525" s="121" t="s">
        <v>32</v>
      </c>
    </row>
    <row r="526">
      <c r="I526" s="121" t="s">
        <v>32</v>
      </c>
    </row>
    <row r="527">
      <c r="I527" s="121" t="s">
        <v>32</v>
      </c>
    </row>
    <row r="528">
      <c r="I528" s="121" t="s">
        <v>32</v>
      </c>
    </row>
    <row r="529">
      <c r="I529" s="121" t="s">
        <v>32</v>
      </c>
    </row>
    <row r="530">
      <c r="I530" s="121" t="s">
        <v>32</v>
      </c>
    </row>
    <row r="531">
      <c r="I531" s="121" t="s">
        <v>32</v>
      </c>
    </row>
    <row r="532">
      <c r="I532" s="121" t="s">
        <v>32</v>
      </c>
    </row>
    <row r="533">
      <c r="I533" s="121" t="s">
        <v>32</v>
      </c>
    </row>
    <row r="534">
      <c r="I534" s="121" t="s">
        <v>32</v>
      </c>
    </row>
    <row r="535">
      <c r="I535" s="121" t="s">
        <v>32</v>
      </c>
    </row>
    <row r="536">
      <c r="I536" s="121" t="s">
        <v>32</v>
      </c>
    </row>
    <row r="537">
      <c r="I537" s="121" t="s">
        <v>32</v>
      </c>
    </row>
    <row r="538">
      <c r="I538" s="121" t="s">
        <v>32</v>
      </c>
    </row>
    <row r="539">
      <c r="I539" s="121" t="s">
        <v>32</v>
      </c>
    </row>
    <row r="540">
      <c r="I540" s="121" t="s">
        <v>32</v>
      </c>
    </row>
    <row r="541">
      <c r="I541" s="121" t="s">
        <v>32</v>
      </c>
    </row>
    <row r="542">
      <c r="I542" s="121" t="s">
        <v>32</v>
      </c>
    </row>
    <row r="543">
      <c r="I543" s="121" t="s">
        <v>32</v>
      </c>
    </row>
    <row r="544">
      <c r="I544" s="121" t="s">
        <v>32</v>
      </c>
    </row>
    <row r="545">
      <c r="I545" s="121" t="s">
        <v>32</v>
      </c>
    </row>
    <row r="546">
      <c r="I546" s="121" t="s">
        <v>32</v>
      </c>
    </row>
    <row r="547">
      <c r="I547" s="121" t="s">
        <v>32</v>
      </c>
    </row>
    <row r="548">
      <c r="I548" s="121" t="s">
        <v>32</v>
      </c>
    </row>
    <row r="549">
      <c r="I549" s="121" t="s">
        <v>32</v>
      </c>
    </row>
    <row r="550">
      <c r="I550" s="121" t="s">
        <v>32</v>
      </c>
    </row>
    <row r="551">
      <c r="I551" s="121" t="s">
        <v>32</v>
      </c>
    </row>
    <row r="552">
      <c r="I552" s="121" t="s">
        <v>32</v>
      </c>
    </row>
    <row r="553">
      <c r="I553" s="121" t="s">
        <v>32</v>
      </c>
    </row>
    <row r="554">
      <c r="I554" s="121" t="s">
        <v>32</v>
      </c>
    </row>
    <row r="555">
      <c r="I555" s="121" t="s">
        <v>32</v>
      </c>
    </row>
    <row r="556">
      <c r="I556" s="121" t="s">
        <v>32</v>
      </c>
    </row>
    <row r="557">
      <c r="I557" s="121" t="s">
        <v>32</v>
      </c>
    </row>
    <row r="558">
      <c r="I558" s="121" t="s">
        <v>32</v>
      </c>
    </row>
    <row r="559">
      <c r="I559" s="121" t="s">
        <v>32</v>
      </c>
    </row>
    <row r="560">
      <c r="I560" s="121" t="s">
        <v>32</v>
      </c>
    </row>
    <row r="561">
      <c r="I561" s="121" t="s">
        <v>32</v>
      </c>
    </row>
    <row r="562">
      <c r="I562" s="121" t="s">
        <v>32</v>
      </c>
    </row>
    <row r="563">
      <c r="I563" s="121" t="s">
        <v>32</v>
      </c>
    </row>
    <row r="564">
      <c r="I564" s="121" t="s">
        <v>32</v>
      </c>
    </row>
    <row r="565">
      <c r="I565" s="121" t="s">
        <v>32</v>
      </c>
    </row>
    <row r="566">
      <c r="I566" s="121" t="s">
        <v>32</v>
      </c>
    </row>
    <row r="567">
      <c r="I567" s="121" t="s">
        <v>32</v>
      </c>
    </row>
    <row r="568">
      <c r="I568" s="121" t="s">
        <v>32</v>
      </c>
    </row>
    <row r="569">
      <c r="I569" s="121" t="s">
        <v>32</v>
      </c>
    </row>
    <row r="570">
      <c r="I570" s="121" t="s">
        <v>32</v>
      </c>
    </row>
    <row r="571">
      <c r="I571" s="121" t="s">
        <v>32</v>
      </c>
    </row>
    <row r="572">
      <c r="I572" s="121" t="s">
        <v>32</v>
      </c>
    </row>
    <row r="573">
      <c r="I573" s="121" t="s">
        <v>32</v>
      </c>
    </row>
    <row r="574">
      <c r="I574" s="121" t="s">
        <v>32</v>
      </c>
    </row>
    <row r="575">
      <c r="I575" s="121" t="s">
        <v>32</v>
      </c>
    </row>
    <row r="576">
      <c r="I576" s="121" t="s">
        <v>32</v>
      </c>
    </row>
    <row r="577">
      <c r="I577" s="121" t="s">
        <v>32</v>
      </c>
    </row>
    <row r="578">
      <c r="I578" s="121" t="s">
        <v>32</v>
      </c>
    </row>
    <row r="579">
      <c r="I579" s="121" t="s">
        <v>32</v>
      </c>
    </row>
    <row r="580">
      <c r="I580" s="121" t="s">
        <v>32</v>
      </c>
    </row>
    <row r="581">
      <c r="I581" s="121" t="s">
        <v>32</v>
      </c>
    </row>
    <row r="582">
      <c r="I582" s="121" t="s">
        <v>32</v>
      </c>
    </row>
    <row r="583">
      <c r="I583" s="121" t="s">
        <v>32</v>
      </c>
    </row>
    <row r="584">
      <c r="I584" s="121" t="s">
        <v>32</v>
      </c>
    </row>
    <row r="585">
      <c r="I585" s="121" t="s">
        <v>32</v>
      </c>
    </row>
    <row r="586">
      <c r="I586" s="121" t="s">
        <v>32</v>
      </c>
    </row>
    <row r="587">
      <c r="I587" s="121" t="s">
        <v>32</v>
      </c>
    </row>
    <row r="588">
      <c r="I588" s="121" t="s">
        <v>32</v>
      </c>
    </row>
    <row r="589">
      <c r="I589" s="121" t="s">
        <v>32</v>
      </c>
    </row>
    <row r="590">
      <c r="I590" s="121" t="s">
        <v>32</v>
      </c>
    </row>
    <row r="591">
      <c r="I591" s="121" t="s">
        <v>32</v>
      </c>
    </row>
    <row r="592">
      <c r="I592" s="121" t="s">
        <v>32</v>
      </c>
    </row>
    <row r="593">
      <c r="I593" s="121" t="s">
        <v>32</v>
      </c>
    </row>
    <row r="594">
      <c r="I594" s="121" t="s">
        <v>37</v>
      </c>
    </row>
    <row r="595">
      <c r="I595" s="121" t="s">
        <v>37</v>
      </c>
    </row>
    <row r="596">
      <c r="I596" s="121" t="s">
        <v>37</v>
      </c>
    </row>
    <row r="597">
      <c r="I597" s="121" t="s">
        <v>37</v>
      </c>
    </row>
    <row r="598">
      <c r="I598" s="121" t="s">
        <v>37</v>
      </c>
    </row>
    <row r="599">
      <c r="I599" s="121" t="s">
        <v>37</v>
      </c>
    </row>
    <row r="600">
      <c r="I600" s="121" t="s">
        <v>37</v>
      </c>
    </row>
    <row r="601">
      <c r="I601" s="121" t="s">
        <v>37</v>
      </c>
    </row>
    <row r="602">
      <c r="I602" s="121" t="s">
        <v>37</v>
      </c>
    </row>
    <row r="603">
      <c r="I603" s="121" t="s">
        <v>37</v>
      </c>
    </row>
    <row r="604">
      <c r="I604" s="121" t="s">
        <v>37</v>
      </c>
    </row>
    <row r="605">
      <c r="I605" s="121" t="s">
        <v>37</v>
      </c>
    </row>
    <row r="606">
      <c r="I606" s="121" t="s">
        <v>37</v>
      </c>
    </row>
    <row r="607">
      <c r="I607" s="121" t="s">
        <v>37</v>
      </c>
    </row>
    <row r="608">
      <c r="I608" s="121" t="s">
        <v>37</v>
      </c>
    </row>
    <row r="609">
      <c r="I609" s="121" t="s">
        <v>37</v>
      </c>
    </row>
    <row r="610">
      <c r="I610" s="121" t="s">
        <v>37</v>
      </c>
    </row>
    <row r="611">
      <c r="I611" s="121" t="s">
        <v>37</v>
      </c>
    </row>
    <row r="612">
      <c r="I612" s="121" t="s">
        <v>37</v>
      </c>
    </row>
    <row r="613">
      <c r="I613" s="121" t="s">
        <v>37</v>
      </c>
    </row>
    <row r="614">
      <c r="I614" s="121" t="s">
        <v>37</v>
      </c>
    </row>
    <row r="615">
      <c r="I615" s="121" t="s">
        <v>37</v>
      </c>
    </row>
    <row r="616">
      <c r="I616" s="121" t="s">
        <v>37</v>
      </c>
    </row>
    <row r="617">
      <c r="I617" s="121" t="s">
        <v>37</v>
      </c>
    </row>
    <row r="618">
      <c r="I618" s="121" t="s">
        <v>37</v>
      </c>
    </row>
    <row r="619">
      <c r="I619" s="121" t="s">
        <v>37</v>
      </c>
    </row>
    <row r="620">
      <c r="I620" s="121" t="s">
        <v>37</v>
      </c>
    </row>
    <row r="621">
      <c r="I621" s="121" t="s">
        <v>37</v>
      </c>
    </row>
    <row r="622">
      <c r="I622" s="121" t="s">
        <v>37</v>
      </c>
    </row>
    <row r="623">
      <c r="I623" s="121" t="s">
        <v>37</v>
      </c>
    </row>
    <row r="624">
      <c r="I624" s="121" t="s">
        <v>37</v>
      </c>
    </row>
    <row r="625">
      <c r="I625" s="121" t="s">
        <v>37</v>
      </c>
    </row>
    <row r="626">
      <c r="I626" s="121" t="s">
        <v>37</v>
      </c>
    </row>
    <row r="627">
      <c r="I627" s="121" t="s">
        <v>37</v>
      </c>
    </row>
    <row r="628">
      <c r="I628" s="121" t="s">
        <v>37</v>
      </c>
    </row>
    <row r="629">
      <c r="I629" s="121" t="s">
        <v>193</v>
      </c>
    </row>
    <row r="630">
      <c r="I630" s="121" t="s">
        <v>193</v>
      </c>
    </row>
    <row r="631">
      <c r="I631" s="121" t="s">
        <v>193</v>
      </c>
    </row>
    <row r="632">
      <c r="I632" s="121" t="s">
        <v>193</v>
      </c>
    </row>
    <row r="633">
      <c r="I633" s="121" t="s">
        <v>193</v>
      </c>
    </row>
    <row r="634">
      <c r="I634" s="121" t="s">
        <v>193</v>
      </c>
    </row>
    <row r="635">
      <c r="I635" s="121" t="s">
        <v>193</v>
      </c>
    </row>
    <row r="636">
      <c r="I636" s="121" t="s">
        <v>193</v>
      </c>
    </row>
    <row r="637">
      <c r="I637" s="121" t="s">
        <v>193</v>
      </c>
    </row>
    <row r="638">
      <c r="I638" s="121" t="s">
        <v>193</v>
      </c>
    </row>
    <row r="639">
      <c r="I639" s="121" t="s">
        <v>193</v>
      </c>
    </row>
    <row r="640">
      <c r="I640" s="121" t="s">
        <v>193</v>
      </c>
    </row>
    <row r="641">
      <c r="I641" s="121" t="s">
        <v>193</v>
      </c>
    </row>
    <row r="642">
      <c r="I642" s="121" t="s">
        <v>193</v>
      </c>
    </row>
    <row r="643">
      <c r="I643" s="121" t="s">
        <v>193</v>
      </c>
    </row>
    <row r="644">
      <c r="I644" s="121" t="s">
        <v>193</v>
      </c>
    </row>
    <row r="645">
      <c r="I645" s="121" t="s">
        <v>193</v>
      </c>
    </row>
    <row r="646">
      <c r="I646" s="121" t="s">
        <v>193</v>
      </c>
    </row>
    <row r="647">
      <c r="I647" s="121" t="s">
        <v>193</v>
      </c>
    </row>
    <row r="648">
      <c r="I648" s="121" t="s">
        <v>200</v>
      </c>
    </row>
    <row r="649">
      <c r="I649" s="121" t="s">
        <v>200</v>
      </c>
    </row>
    <row r="650">
      <c r="I650" s="121" t="s">
        <v>200</v>
      </c>
    </row>
    <row r="651">
      <c r="I651" s="121" t="s">
        <v>200</v>
      </c>
    </row>
    <row r="652">
      <c r="I652" s="121" t="s">
        <v>200</v>
      </c>
    </row>
    <row r="653">
      <c r="I653" s="121" t="s">
        <v>200</v>
      </c>
    </row>
    <row r="654">
      <c r="I654" s="121" t="s">
        <v>200</v>
      </c>
    </row>
    <row r="655">
      <c r="I655" s="121" t="s">
        <v>200</v>
      </c>
    </row>
    <row r="656">
      <c r="I656" s="121" t="s">
        <v>200</v>
      </c>
    </row>
    <row r="657">
      <c r="I657" s="121" t="s">
        <v>200</v>
      </c>
    </row>
    <row r="658">
      <c r="I658" s="121" t="s">
        <v>200</v>
      </c>
    </row>
    <row r="659">
      <c r="I659" s="121" t="s">
        <v>200</v>
      </c>
    </row>
    <row r="660">
      <c r="I660" s="121" t="s">
        <v>200</v>
      </c>
    </row>
    <row r="661">
      <c r="I661" s="121" t="s">
        <v>200</v>
      </c>
    </row>
    <row r="662">
      <c r="I662" s="121" t="s">
        <v>200</v>
      </c>
    </row>
    <row r="663">
      <c r="I663" s="121" t="s">
        <v>200</v>
      </c>
    </row>
    <row r="664">
      <c r="I664" s="121" t="s">
        <v>200</v>
      </c>
    </row>
    <row r="665">
      <c r="I665" s="121" t="s">
        <v>200</v>
      </c>
    </row>
    <row r="666">
      <c r="I666" s="121" t="s">
        <v>200</v>
      </c>
    </row>
    <row r="667">
      <c r="I667" s="121" t="s">
        <v>200</v>
      </c>
    </row>
    <row r="668">
      <c r="I668" s="121" t="s">
        <v>209</v>
      </c>
    </row>
    <row r="669">
      <c r="I669" s="121" t="s">
        <v>209</v>
      </c>
    </row>
    <row r="670">
      <c r="I670" s="121" t="s">
        <v>209</v>
      </c>
    </row>
    <row r="671">
      <c r="I671" s="121" t="s">
        <v>209</v>
      </c>
    </row>
    <row r="672">
      <c r="I672" s="121" t="s">
        <v>209</v>
      </c>
    </row>
    <row r="673">
      <c r="I673" s="121" t="s">
        <v>209</v>
      </c>
    </row>
    <row r="674">
      <c r="I674" s="121" t="s">
        <v>209</v>
      </c>
    </row>
    <row r="675">
      <c r="I675" s="121" t="s">
        <v>209</v>
      </c>
    </row>
    <row r="676">
      <c r="I676" s="121" t="s">
        <v>209</v>
      </c>
    </row>
    <row r="677">
      <c r="I677" s="121" t="s">
        <v>209</v>
      </c>
    </row>
    <row r="678">
      <c r="I678" s="121" t="s">
        <v>209</v>
      </c>
    </row>
    <row r="679">
      <c r="I679" s="121" t="s">
        <v>209</v>
      </c>
    </row>
    <row r="680">
      <c r="I680" s="121" t="s">
        <v>209</v>
      </c>
    </row>
    <row r="681">
      <c r="I681" s="121" t="s">
        <v>209</v>
      </c>
    </row>
    <row r="682">
      <c r="I682" s="121" t="s">
        <v>209</v>
      </c>
    </row>
    <row r="683">
      <c r="I683" s="121" t="s">
        <v>209</v>
      </c>
    </row>
    <row r="684">
      <c r="I684" s="121" t="s">
        <v>209</v>
      </c>
    </row>
    <row r="685">
      <c r="I685" s="121" t="s">
        <v>209</v>
      </c>
    </row>
    <row r="686">
      <c r="I686" s="121" t="s">
        <v>40</v>
      </c>
    </row>
    <row r="687">
      <c r="I687" s="121" t="s">
        <v>40</v>
      </c>
    </row>
    <row r="688">
      <c r="I688" s="121" t="s">
        <v>40</v>
      </c>
    </row>
    <row r="689">
      <c r="I689" s="121" t="s">
        <v>40</v>
      </c>
    </row>
    <row r="690">
      <c r="I690" s="121" t="s">
        <v>40</v>
      </c>
    </row>
    <row r="691">
      <c r="I691" s="121" t="s">
        <v>40</v>
      </c>
    </row>
    <row r="692">
      <c r="I692" s="121" t="s">
        <v>40</v>
      </c>
    </row>
    <row r="693">
      <c r="I693" s="121" t="s">
        <v>40</v>
      </c>
    </row>
    <row r="694">
      <c r="I694" s="121" t="s">
        <v>40</v>
      </c>
    </row>
    <row r="695">
      <c r="I695" s="121" t="s">
        <v>40</v>
      </c>
    </row>
    <row r="696">
      <c r="I696" s="121" t="s">
        <v>40</v>
      </c>
    </row>
    <row r="697">
      <c r="I697" s="121" t="s">
        <v>40</v>
      </c>
    </row>
    <row r="698">
      <c r="I698" s="121" t="s">
        <v>40</v>
      </c>
    </row>
    <row r="699">
      <c r="I699" s="121" t="s">
        <v>40</v>
      </c>
    </row>
    <row r="700">
      <c r="I700" s="121" t="s">
        <v>40</v>
      </c>
    </row>
    <row r="701">
      <c r="I701" s="121" t="s">
        <v>40</v>
      </c>
    </row>
    <row r="702">
      <c r="I702" s="121" t="s">
        <v>40</v>
      </c>
    </row>
    <row r="703">
      <c r="I703" s="121" t="s">
        <v>40</v>
      </c>
    </row>
    <row r="704">
      <c r="I704" s="121" t="s">
        <v>40</v>
      </c>
    </row>
    <row r="705">
      <c r="I705" s="121" t="s">
        <v>40</v>
      </c>
    </row>
    <row r="706">
      <c r="I706" s="121" t="s">
        <v>40</v>
      </c>
    </row>
    <row r="707">
      <c r="I707" s="121" t="s">
        <v>40</v>
      </c>
    </row>
    <row r="708">
      <c r="I708" s="121" t="s">
        <v>40</v>
      </c>
    </row>
    <row r="709">
      <c r="I709" s="121" t="s">
        <v>40</v>
      </c>
    </row>
    <row r="710">
      <c r="I710" s="121" t="s">
        <v>40</v>
      </c>
    </row>
    <row r="711">
      <c r="I711" s="121" t="s">
        <v>40</v>
      </c>
    </row>
    <row r="712">
      <c r="I712" s="121" t="s">
        <v>40</v>
      </c>
    </row>
    <row r="713">
      <c r="I713" s="121" t="s">
        <v>40</v>
      </c>
    </row>
    <row r="714">
      <c r="I714" s="121" t="s">
        <v>40</v>
      </c>
    </row>
    <row r="715">
      <c r="I715" s="121" t="s">
        <v>40</v>
      </c>
    </row>
    <row r="716">
      <c r="I716" s="121" t="s">
        <v>40</v>
      </c>
    </row>
    <row r="717">
      <c r="I717" s="121" t="s">
        <v>40</v>
      </c>
    </row>
    <row r="718">
      <c r="I718" s="121" t="s">
        <v>40</v>
      </c>
    </row>
    <row r="719">
      <c r="I719" s="121" t="s">
        <v>40</v>
      </c>
    </row>
    <row r="720">
      <c r="I720" s="121" t="s">
        <v>40</v>
      </c>
    </row>
    <row r="721">
      <c r="I721" s="121" t="s">
        <v>40</v>
      </c>
    </row>
    <row r="722">
      <c r="I722" s="121" t="s">
        <v>40</v>
      </c>
    </row>
    <row r="723">
      <c r="I723" s="121" t="s">
        <v>40</v>
      </c>
    </row>
    <row r="724">
      <c r="I724" s="121" t="s">
        <v>40</v>
      </c>
    </row>
    <row r="725">
      <c r="I725" s="121" t="s">
        <v>40</v>
      </c>
    </row>
    <row r="726">
      <c r="I726" s="121" t="s">
        <v>40</v>
      </c>
    </row>
    <row r="727">
      <c r="I727" s="121" t="s">
        <v>40</v>
      </c>
    </row>
    <row r="728">
      <c r="I728" s="121" t="s">
        <v>40</v>
      </c>
    </row>
    <row r="729">
      <c r="I729" s="121" t="s">
        <v>40</v>
      </c>
    </row>
    <row r="730">
      <c r="I730" s="121" t="s">
        <v>40</v>
      </c>
    </row>
    <row r="731">
      <c r="I731" s="121" t="s">
        <v>40</v>
      </c>
    </row>
    <row r="732">
      <c r="I732" s="121" t="s">
        <v>40</v>
      </c>
    </row>
    <row r="733">
      <c r="I733" s="121" t="s">
        <v>2155</v>
      </c>
    </row>
    <row r="734">
      <c r="I734" s="121" t="s">
        <v>40</v>
      </c>
    </row>
    <row r="735">
      <c r="I735" s="121" t="s">
        <v>40</v>
      </c>
    </row>
    <row r="736">
      <c r="I736" s="121" t="s">
        <v>40</v>
      </c>
    </row>
    <row r="737">
      <c r="I737" s="121" t="s">
        <v>40</v>
      </c>
    </row>
    <row r="738">
      <c r="I738" s="121" t="s">
        <v>40</v>
      </c>
    </row>
    <row r="739">
      <c r="I739" s="121" t="s">
        <v>40</v>
      </c>
    </row>
    <row r="740">
      <c r="I740" s="121" t="s">
        <v>40</v>
      </c>
    </row>
    <row r="741">
      <c r="I741" s="121" t="s">
        <v>40</v>
      </c>
    </row>
    <row r="742">
      <c r="I742" s="121" t="s">
        <v>40</v>
      </c>
    </row>
    <row r="743">
      <c r="I743" s="121" t="s">
        <v>40</v>
      </c>
    </row>
    <row r="744">
      <c r="I744" s="121" t="s">
        <v>40</v>
      </c>
    </row>
    <row r="745">
      <c r="I745" s="121" t="s">
        <v>40</v>
      </c>
    </row>
    <row r="746">
      <c r="I746" s="121" t="s">
        <v>40</v>
      </c>
    </row>
    <row r="747">
      <c r="I747" s="121" t="s">
        <v>40</v>
      </c>
    </row>
    <row r="748">
      <c r="I748" s="121" t="s">
        <v>40</v>
      </c>
    </row>
    <row r="749">
      <c r="I749" s="121" t="s">
        <v>40</v>
      </c>
    </row>
    <row r="750">
      <c r="I750" s="121" t="s">
        <v>40</v>
      </c>
    </row>
    <row r="751">
      <c r="I751" s="121" t="s">
        <v>40</v>
      </c>
    </row>
    <row r="752">
      <c r="I752" s="121" t="s">
        <v>40</v>
      </c>
    </row>
    <row r="753">
      <c r="I753" s="121" t="s">
        <v>40</v>
      </c>
    </row>
    <row r="754">
      <c r="I754" s="121" t="s">
        <v>40</v>
      </c>
    </row>
    <row r="755">
      <c r="I755" s="121" t="s">
        <v>40</v>
      </c>
    </row>
    <row r="756">
      <c r="I756" s="121" t="s">
        <v>40</v>
      </c>
    </row>
    <row r="757">
      <c r="I757" s="121" t="s">
        <v>40</v>
      </c>
    </row>
    <row r="758">
      <c r="I758" s="121" t="s">
        <v>40</v>
      </c>
    </row>
    <row r="759">
      <c r="I759" s="121" t="s">
        <v>40</v>
      </c>
    </row>
    <row r="760">
      <c r="I760" s="121" t="s">
        <v>40</v>
      </c>
    </row>
    <row r="761">
      <c r="I761" s="121" t="s">
        <v>40</v>
      </c>
    </row>
    <row r="762">
      <c r="I762" s="121" t="s">
        <v>40</v>
      </c>
    </row>
    <row r="763">
      <c r="I763" s="121" t="s">
        <v>40</v>
      </c>
    </row>
    <row r="764">
      <c r="I764" s="121" t="s">
        <v>40</v>
      </c>
    </row>
    <row r="765">
      <c r="I765" s="121" t="s">
        <v>40</v>
      </c>
    </row>
    <row r="766">
      <c r="I766" s="121" t="s">
        <v>43</v>
      </c>
    </row>
    <row r="767">
      <c r="I767" s="121" t="s">
        <v>43</v>
      </c>
    </row>
    <row r="768">
      <c r="I768" s="121" t="s">
        <v>43</v>
      </c>
    </row>
    <row r="769">
      <c r="I769" s="121" t="s">
        <v>43</v>
      </c>
    </row>
    <row r="770">
      <c r="I770" s="121" t="s">
        <v>43</v>
      </c>
    </row>
    <row r="771">
      <c r="I771" s="121" t="s">
        <v>43</v>
      </c>
    </row>
    <row r="772">
      <c r="I772" s="121" t="s">
        <v>43</v>
      </c>
    </row>
    <row r="773">
      <c r="I773" s="121" t="s">
        <v>43</v>
      </c>
    </row>
    <row r="774">
      <c r="I774" s="121" t="s">
        <v>43</v>
      </c>
    </row>
    <row r="775">
      <c r="I775" s="121" t="s">
        <v>43</v>
      </c>
    </row>
    <row r="776">
      <c r="I776" s="121" t="s">
        <v>43</v>
      </c>
    </row>
    <row r="777">
      <c r="I777" s="121" t="s">
        <v>43</v>
      </c>
    </row>
    <row r="778">
      <c r="I778" s="121" t="s">
        <v>43</v>
      </c>
    </row>
    <row r="779">
      <c r="I779" s="121" t="s">
        <v>43</v>
      </c>
    </row>
    <row r="780">
      <c r="I780" s="121" t="s">
        <v>43</v>
      </c>
    </row>
    <row r="781">
      <c r="I781" s="121" t="s">
        <v>43</v>
      </c>
    </row>
    <row r="782">
      <c r="I782" s="121" t="s">
        <v>43</v>
      </c>
    </row>
    <row r="783">
      <c r="I783" s="121" t="s">
        <v>43</v>
      </c>
    </row>
    <row r="784">
      <c r="I784" s="121" t="s">
        <v>43</v>
      </c>
    </row>
    <row r="785">
      <c r="I785" s="121" t="s">
        <v>43</v>
      </c>
    </row>
    <row r="786">
      <c r="I786" s="121" t="s">
        <v>43</v>
      </c>
    </row>
    <row r="787">
      <c r="I787" s="121" t="s">
        <v>43</v>
      </c>
    </row>
    <row r="788">
      <c r="I788" s="121" t="s">
        <v>43</v>
      </c>
    </row>
    <row r="789">
      <c r="I789" s="121" t="s">
        <v>43</v>
      </c>
    </row>
    <row r="790">
      <c r="I790" s="121" t="s">
        <v>43</v>
      </c>
    </row>
    <row r="791">
      <c r="I791" s="121" t="s">
        <v>43</v>
      </c>
    </row>
    <row r="792">
      <c r="I792" s="121" t="s">
        <v>43</v>
      </c>
    </row>
    <row r="793">
      <c r="I793" s="121" t="s">
        <v>43</v>
      </c>
    </row>
    <row r="794">
      <c r="I794" s="121" t="s">
        <v>43</v>
      </c>
    </row>
    <row r="795">
      <c r="I795" s="121" t="s">
        <v>43</v>
      </c>
    </row>
    <row r="796">
      <c r="I796" s="121" t="s">
        <v>43</v>
      </c>
    </row>
    <row r="797">
      <c r="I797" s="121" t="s">
        <v>43</v>
      </c>
    </row>
    <row r="798">
      <c r="I798" s="121" t="s">
        <v>46</v>
      </c>
    </row>
    <row r="799">
      <c r="I799" s="121" t="s">
        <v>46</v>
      </c>
    </row>
    <row r="800">
      <c r="I800" s="121" t="s">
        <v>46</v>
      </c>
    </row>
    <row r="801">
      <c r="I801" s="121" t="s">
        <v>46</v>
      </c>
    </row>
    <row r="802">
      <c r="I802" s="121" t="s">
        <v>46</v>
      </c>
    </row>
    <row r="803">
      <c r="I803" s="121" t="s">
        <v>46</v>
      </c>
    </row>
    <row r="804">
      <c r="I804" s="121" t="s">
        <v>46</v>
      </c>
    </row>
    <row r="805">
      <c r="I805" s="121" t="s">
        <v>46</v>
      </c>
    </row>
    <row r="806">
      <c r="I806" s="121" t="s">
        <v>46</v>
      </c>
    </row>
    <row r="807">
      <c r="I807" s="121" t="s">
        <v>46</v>
      </c>
    </row>
    <row r="808">
      <c r="I808" s="121" t="s">
        <v>46</v>
      </c>
    </row>
    <row r="809">
      <c r="I809" s="121" t="s">
        <v>46</v>
      </c>
    </row>
    <row r="810">
      <c r="I810" s="121" t="s">
        <v>46</v>
      </c>
    </row>
    <row r="811">
      <c r="I811" s="121" t="s">
        <v>46</v>
      </c>
    </row>
    <row r="812">
      <c r="I812" s="121" t="s">
        <v>46</v>
      </c>
    </row>
    <row r="813">
      <c r="I813" s="121" t="s">
        <v>46</v>
      </c>
    </row>
    <row r="814">
      <c r="I814" s="121" t="s">
        <v>46</v>
      </c>
    </row>
    <row r="815">
      <c r="I815" s="121" t="s">
        <v>46</v>
      </c>
    </row>
    <row r="816">
      <c r="I816" s="121" t="s">
        <v>46</v>
      </c>
    </row>
    <row r="817">
      <c r="I817" s="121" t="s">
        <v>46</v>
      </c>
    </row>
    <row r="818">
      <c r="I818" s="121" t="s">
        <v>46</v>
      </c>
    </row>
    <row r="819">
      <c r="I819" s="121" t="s">
        <v>46</v>
      </c>
    </row>
    <row r="820">
      <c r="I820" s="121" t="s">
        <v>46</v>
      </c>
    </row>
    <row r="821">
      <c r="I821" s="121" t="s">
        <v>46</v>
      </c>
    </row>
    <row r="822">
      <c r="I822" s="121" t="s">
        <v>46</v>
      </c>
    </row>
    <row r="823">
      <c r="I823" s="121" t="s">
        <v>46</v>
      </c>
    </row>
    <row r="824">
      <c r="I824" s="121" t="s">
        <v>46</v>
      </c>
    </row>
    <row r="825">
      <c r="I825" s="121" t="s">
        <v>46</v>
      </c>
    </row>
    <row r="826">
      <c r="I826" s="121" t="s">
        <v>46</v>
      </c>
    </row>
    <row r="827">
      <c r="I827" s="121" t="s">
        <v>1993</v>
      </c>
    </row>
    <row r="828">
      <c r="I828" s="121" t="s">
        <v>1993</v>
      </c>
    </row>
    <row r="829">
      <c r="I829" s="121" t="s">
        <v>1993</v>
      </c>
    </row>
    <row r="830">
      <c r="I830" s="121" t="s">
        <v>1993</v>
      </c>
    </row>
    <row r="831">
      <c r="I831" s="121" t="s">
        <v>1993</v>
      </c>
    </row>
    <row r="832">
      <c r="I832" s="121" t="s">
        <v>1993</v>
      </c>
    </row>
    <row r="833">
      <c r="I833" s="121" t="s">
        <v>1993</v>
      </c>
    </row>
    <row r="834">
      <c r="I834" s="121" t="s">
        <v>1993</v>
      </c>
    </row>
    <row r="835">
      <c r="I835" s="121" t="s">
        <v>1993</v>
      </c>
    </row>
    <row r="836">
      <c r="I836" s="121" t="s">
        <v>1993</v>
      </c>
    </row>
    <row r="837">
      <c r="I837" s="121" t="s">
        <v>1993</v>
      </c>
    </row>
    <row r="838">
      <c r="I838" s="121" t="s">
        <v>1995</v>
      </c>
    </row>
    <row r="839">
      <c r="I839" s="121" t="s">
        <v>1995</v>
      </c>
    </row>
    <row r="840">
      <c r="I840" s="121" t="s">
        <v>1995</v>
      </c>
    </row>
    <row r="841">
      <c r="I841" s="121" t="s">
        <v>1995</v>
      </c>
    </row>
    <row r="842">
      <c r="I842" s="121" t="s">
        <v>1995</v>
      </c>
    </row>
    <row r="843">
      <c r="I843" s="121" t="s">
        <v>1995</v>
      </c>
    </row>
    <row r="844">
      <c r="I844" s="121" t="s">
        <v>1995</v>
      </c>
    </row>
    <row r="845">
      <c r="I845" s="121" t="s">
        <v>1995</v>
      </c>
    </row>
    <row r="846">
      <c r="I846" s="121" t="s">
        <v>1995</v>
      </c>
    </row>
    <row r="847">
      <c r="I847" s="121" t="s">
        <v>1995</v>
      </c>
    </row>
    <row r="848">
      <c r="I848" s="121" t="s">
        <v>1995</v>
      </c>
    </row>
    <row r="849">
      <c r="I849" s="121" t="s">
        <v>1995</v>
      </c>
    </row>
    <row r="850">
      <c r="I850" s="121" t="s">
        <v>1995</v>
      </c>
    </row>
    <row r="851">
      <c r="I851" s="121" t="s">
        <v>1995</v>
      </c>
    </row>
    <row r="852">
      <c r="I852" s="121" t="s">
        <v>1995</v>
      </c>
    </row>
    <row r="853">
      <c r="I853" s="121" t="s">
        <v>1995</v>
      </c>
    </row>
    <row r="854">
      <c r="I854" s="121" t="s">
        <v>1995</v>
      </c>
    </row>
    <row r="855">
      <c r="I855" s="121" t="s">
        <v>1995</v>
      </c>
    </row>
    <row r="856">
      <c r="I856" s="121"/>
    </row>
    <row r="857">
      <c r="I857" s="121"/>
    </row>
    <row r="858">
      <c r="I858" s="121"/>
    </row>
    <row r="859">
      <c r="I859" s="121"/>
    </row>
    <row r="860">
      <c r="I860" s="121"/>
    </row>
    <row r="861">
      <c r="I861" s="121"/>
    </row>
    <row r="862">
      <c r="I862" s="121"/>
    </row>
    <row r="863">
      <c r="I863" s="121"/>
    </row>
    <row r="864">
      <c r="I864" s="121"/>
    </row>
    <row r="865">
      <c r="I865" s="121"/>
    </row>
    <row r="866">
      <c r="I866" s="121"/>
    </row>
    <row r="867">
      <c r="I867" s="121"/>
    </row>
    <row r="868">
      <c r="I868" s="121"/>
    </row>
    <row r="869">
      <c r="I869" s="121"/>
    </row>
    <row r="870">
      <c r="I870" s="121"/>
    </row>
    <row r="871">
      <c r="I871" s="121"/>
    </row>
    <row r="872">
      <c r="I872" s="121"/>
    </row>
    <row r="873">
      <c r="I873" s="121"/>
    </row>
    <row r="874">
      <c r="I874" s="121"/>
    </row>
    <row r="875">
      <c r="I875" s="121"/>
    </row>
    <row r="876">
      <c r="I876" s="121"/>
    </row>
    <row r="877">
      <c r="I877" s="121"/>
    </row>
    <row r="878">
      <c r="I878" s="121"/>
    </row>
    <row r="879">
      <c r="I879" s="121"/>
    </row>
    <row r="880">
      <c r="I880" s="121"/>
    </row>
    <row r="881">
      <c r="I881" s="121"/>
    </row>
    <row r="882">
      <c r="I882" s="121"/>
    </row>
    <row r="883">
      <c r="I883" s="121"/>
    </row>
    <row r="884">
      <c r="I884" s="121"/>
    </row>
    <row r="885">
      <c r="I885" s="121"/>
    </row>
    <row r="886">
      <c r="I886" s="121"/>
    </row>
    <row r="887">
      <c r="I887" s="121"/>
    </row>
    <row r="888">
      <c r="I888" s="121"/>
    </row>
    <row r="889">
      <c r="I889" s="121"/>
    </row>
    <row r="890">
      <c r="I890" s="121"/>
    </row>
    <row r="891">
      <c r="I891" s="121"/>
    </row>
    <row r="892">
      <c r="I892" s="121"/>
    </row>
    <row r="893">
      <c r="I893" s="121"/>
    </row>
    <row r="894">
      <c r="I894" s="121"/>
    </row>
    <row r="895">
      <c r="I895" s="121"/>
    </row>
    <row r="896">
      <c r="I896" s="121"/>
    </row>
    <row r="897">
      <c r="I897" s="121"/>
    </row>
    <row r="898">
      <c r="I898" s="121"/>
    </row>
    <row r="899">
      <c r="I899" s="121"/>
    </row>
    <row r="900">
      <c r="I900" s="121"/>
    </row>
    <row r="901">
      <c r="I901" s="121"/>
    </row>
    <row r="902">
      <c r="I902" s="121"/>
    </row>
    <row r="903">
      <c r="I903" s="121"/>
    </row>
    <row r="904">
      <c r="I904" s="121"/>
    </row>
    <row r="905">
      <c r="I905" s="121"/>
    </row>
    <row r="906">
      <c r="I906" s="121"/>
    </row>
    <row r="907">
      <c r="I907" s="121"/>
    </row>
    <row r="908">
      <c r="I908" s="121"/>
    </row>
    <row r="909">
      <c r="I909" s="121"/>
    </row>
    <row r="910">
      <c r="I910" s="121"/>
    </row>
    <row r="911">
      <c r="I911" s="121"/>
    </row>
    <row r="912">
      <c r="I912" s="121"/>
    </row>
    <row r="913">
      <c r="I913" s="121"/>
    </row>
    <row r="914">
      <c r="I914" s="121"/>
    </row>
    <row r="915">
      <c r="I915" s="121"/>
    </row>
    <row r="916">
      <c r="I916" s="121"/>
    </row>
    <row r="917">
      <c r="I917" s="121"/>
    </row>
    <row r="918">
      <c r="I918" s="121"/>
    </row>
    <row r="919">
      <c r="I919" s="121"/>
    </row>
    <row r="920">
      <c r="I920" s="121"/>
    </row>
    <row r="921">
      <c r="I921" s="121"/>
    </row>
    <row r="922">
      <c r="I922" s="121"/>
    </row>
    <row r="923">
      <c r="I923" s="121"/>
    </row>
    <row r="924">
      <c r="I924" s="121"/>
    </row>
    <row r="925">
      <c r="I925" s="121"/>
    </row>
    <row r="926">
      <c r="I926" s="121"/>
    </row>
    <row r="927">
      <c r="I927" s="121"/>
    </row>
    <row r="928">
      <c r="I928" s="121"/>
    </row>
    <row r="929">
      <c r="I929" s="121"/>
    </row>
    <row r="930">
      <c r="I930" s="121"/>
    </row>
    <row r="931">
      <c r="I931" s="121"/>
    </row>
    <row r="932">
      <c r="I932" s="121"/>
    </row>
    <row r="933">
      <c r="I933" s="121"/>
    </row>
    <row r="934">
      <c r="I934" s="121"/>
    </row>
    <row r="935">
      <c r="I935" s="121"/>
    </row>
    <row r="936">
      <c r="I936" s="121"/>
    </row>
    <row r="937">
      <c r="I937" s="121"/>
    </row>
    <row r="938">
      <c r="I938" s="121"/>
    </row>
    <row r="939">
      <c r="I939" s="121"/>
    </row>
    <row r="940">
      <c r="I940" s="121"/>
    </row>
    <row r="941">
      <c r="I941" s="121"/>
    </row>
    <row r="942">
      <c r="I942" s="121"/>
    </row>
    <row r="943">
      <c r="I943" s="121"/>
    </row>
    <row r="944">
      <c r="I944" s="121"/>
    </row>
    <row r="945">
      <c r="I945" s="121"/>
    </row>
    <row r="946">
      <c r="I946" s="121"/>
    </row>
    <row r="947">
      <c r="I947" s="121"/>
    </row>
    <row r="948">
      <c r="I948" s="121"/>
    </row>
    <row r="949">
      <c r="I949" s="121"/>
    </row>
    <row r="950">
      <c r="I950" s="121"/>
    </row>
    <row r="951">
      <c r="I951" s="121"/>
    </row>
    <row r="952">
      <c r="I952" s="121"/>
    </row>
    <row r="953">
      <c r="I953" s="121"/>
    </row>
    <row r="954">
      <c r="I954" s="121"/>
    </row>
    <row r="955">
      <c r="I955" s="121"/>
    </row>
    <row r="956">
      <c r="I956" s="121"/>
    </row>
    <row r="957">
      <c r="I957" s="121"/>
    </row>
    <row r="958">
      <c r="I958" s="121"/>
    </row>
    <row r="959">
      <c r="I959" s="121"/>
    </row>
    <row r="960">
      <c r="I960" s="121"/>
    </row>
    <row r="961">
      <c r="I961" s="121"/>
    </row>
    <row r="962">
      <c r="I962" s="121"/>
    </row>
    <row r="963">
      <c r="I963" s="121"/>
    </row>
    <row r="964">
      <c r="I964" s="121"/>
    </row>
    <row r="965">
      <c r="I965" s="121"/>
    </row>
    <row r="966">
      <c r="I966" s="121"/>
    </row>
    <row r="967">
      <c r="I967" s="121"/>
    </row>
    <row r="968">
      <c r="I968" s="121"/>
    </row>
    <row r="969">
      <c r="I969" s="121"/>
    </row>
    <row r="970">
      <c r="I970" s="121"/>
    </row>
    <row r="971">
      <c r="I971" s="121"/>
    </row>
    <row r="972">
      <c r="I972" s="121"/>
    </row>
    <row r="973">
      <c r="I973" s="121"/>
    </row>
    <row r="974">
      <c r="I974" s="121"/>
    </row>
    <row r="975">
      <c r="I975" s="121"/>
    </row>
    <row r="976">
      <c r="I976" s="121"/>
    </row>
    <row r="977">
      <c r="I977" s="121"/>
    </row>
    <row r="978">
      <c r="I978" s="121"/>
    </row>
    <row r="979">
      <c r="I979" s="121"/>
    </row>
    <row r="980">
      <c r="I980" s="121"/>
    </row>
    <row r="981">
      <c r="I981" s="121"/>
    </row>
    <row r="982">
      <c r="I982" s="121"/>
    </row>
    <row r="983">
      <c r="I983" s="121"/>
    </row>
    <row r="984">
      <c r="I984" s="121"/>
    </row>
    <row r="985">
      <c r="I985" s="121"/>
    </row>
    <row r="986">
      <c r="I986" s="121"/>
    </row>
    <row r="987">
      <c r="I987" s="121"/>
    </row>
    <row r="988">
      <c r="I988" s="121"/>
    </row>
    <row r="989">
      <c r="I989" s="121"/>
    </row>
    <row r="990">
      <c r="I990" s="121"/>
    </row>
    <row r="991">
      <c r="I991" s="121"/>
    </row>
    <row r="992">
      <c r="I992" s="121"/>
    </row>
    <row r="993">
      <c r="I993" s="121"/>
    </row>
    <row r="994">
      <c r="I994" s="121"/>
    </row>
    <row r="995">
      <c r="I995" s="121"/>
    </row>
    <row r="996">
      <c r="I996" s="121"/>
    </row>
    <row r="997">
      <c r="I997" s="121"/>
    </row>
    <row r="998">
      <c r="I998" s="121"/>
    </row>
    <row r="999">
      <c r="I999" s="121"/>
    </row>
    <row r="1000">
      <c r="I1000" s="121"/>
    </row>
    <row r="1001">
      <c r="I1001" s="121"/>
    </row>
    <row r="1002">
      <c r="I1002" s="121"/>
    </row>
    <row r="1003">
      <c r="I1003" s="121"/>
    </row>
    <row r="1004">
      <c r="I1004" s="121"/>
    </row>
    <row r="1005">
      <c r="I1005" s="121"/>
    </row>
    <row r="1006">
      <c r="I1006" s="121"/>
    </row>
    <row r="1007">
      <c r="I1007" s="121"/>
    </row>
    <row r="1008">
      <c r="I1008" s="121"/>
    </row>
    <row r="1009">
      <c r="I1009" s="121"/>
    </row>
    <row r="1010">
      <c r="I1010" s="121"/>
    </row>
    <row r="1011">
      <c r="I1011" s="121"/>
    </row>
    <row r="1012">
      <c r="I1012" s="121"/>
    </row>
    <row r="1013">
      <c r="I1013" s="121"/>
    </row>
    <row r="1014">
      <c r="I1014" s="121"/>
    </row>
    <row r="1015">
      <c r="I1015" s="121"/>
    </row>
    <row r="1016">
      <c r="I1016" s="121"/>
    </row>
    <row r="1017">
      <c r="I1017" s="121"/>
    </row>
    <row r="1018">
      <c r="I1018" s="121"/>
    </row>
    <row r="1019">
      <c r="I1019" s="121"/>
    </row>
    <row r="1020">
      <c r="I1020" s="121"/>
    </row>
    <row r="1021">
      <c r="I1021" s="121"/>
    </row>
    <row r="1022">
      <c r="I1022" s="121"/>
    </row>
    <row r="1023">
      <c r="I1023" s="121"/>
    </row>
    <row r="1024">
      <c r="I1024" s="121"/>
    </row>
    <row r="1025">
      <c r="I1025" s="121"/>
    </row>
    <row r="1026">
      <c r="I1026" s="121"/>
    </row>
    <row r="1027">
      <c r="I1027" s="121"/>
    </row>
    <row r="1028">
      <c r="I1028" s="121"/>
    </row>
    <row r="1029">
      <c r="I1029" s="121"/>
    </row>
    <row r="1030">
      <c r="I1030" s="121"/>
    </row>
    <row r="1031">
      <c r="I1031" s="121"/>
    </row>
    <row r="1032">
      <c r="I1032" s="121"/>
    </row>
    <row r="1033">
      <c r="I1033" s="121"/>
    </row>
    <row r="1034">
      <c r="I1034" s="121"/>
    </row>
    <row r="1035">
      <c r="I1035" s="121"/>
    </row>
    <row r="1036">
      <c r="I1036" s="121"/>
    </row>
    <row r="1037">
      <c r="I1037" s="121"/>
    </row>
    <row r="1038">
      <c r="I1038" s="121"/>
    </row>
    <row r="1039">
      <c r="I1039" s="121"/>
    </row>
    <row r="1040">
      <c r="I1040" s="121"/>
    </row>
    <row r="1041">
      <c r="I1041" s="121"/>
    </row>
    <row r="1042">
      <c r="I1042" s="121"/>
    </row>
    <row r="1043">
      <c r="I1043" s="121"/>
    </row>
    <row r="1044">
      <c r="I1044" s="121"/>
    </row>
    <row r="1045">
      <c r="I1045" s="121"/>
    </row>
    <row r="1046">
      <c r="I1046" s="121"/>
    </row>
    <row r="1047">
      <c r="I1047" s="121"/>
    </row>
    <row r="1048">
      <c r="I1048" s="121"/>
    </row>
    <row r="1049">
      <c r="I1049" s="121"/>
    </row>
    <row r="1050">
      <c r="I1050" s="121"/>
    </row>
    <row r="1051">
      <c r="I1051" s="121"/>
    </row>
    <row r="1052">
      <c r="I1052" s="121"/>
    </row>
    <row r="1053">
      <c r="I1053" s="121"/>
    </row>
    <row r="1054">
      <c r="I1054" s="121"/>
    </row>
    <row r="1055">
      <c r="I1055" s="121"/>
    </row>
    <row r="1056">
      <c r="I1056" s="121"/>
    </row>
    <row r="1057">
      <c r="I1057" s="121"/>
    </row>
    <row r="1058">
      <c r="I1058" s="121"/>
    </row>
    <row r="1059">
      <c r="I1059" s="121"/>
    </row>
    <row r="1060">
      <c r="I1060" s="121"/>
    </row>
    <row r="1061">
      <c r="I1061" s="121"/>
    </row>
    <row r="1062">
      <c r="I1062" s="121"/>
    </row>
    <row r="1063">
      <c r="I1063" s="121"/>
    </row>
    <row r="1064">
      <c r="I1064" s="121"/>
    </row>
    <row r="1065">
      <c r="I1065" s="121"/>
    </row>
    <row r="1066">
      <c r="I1066" s="121"/>
    </row>
    <row r="1067">
      <c r="I1067" s="121"/>
    </row>
    <row r="1068">
      <c r="I1068" s="121"/>
    </row>
    <row r="1069">
      <c r="I1069" s="121"/>
    </row>
    <row r="1070">
      <c r="I1070" s="121"/>
    </row>
    <row r="1071">
      <c r="I1071" s="121"/>
    </row>
    <row r="1072">
      <c r="I1072" s="121"/>
    </row>
    <row r="1073">
      <c r="I1073" s="121"/>
    </row>
    <row r="1074">
      <c r="I1074" s="121"/>
    </row>
    <row r="1075">
      <c r="I1075" s="121"/>
    </row>
    <row r="1076">
      <c r="I1076" s="121"/>
    </row>
    <row r="1077">
      <c r="I1077" s="121"/>
    </row>
    <row r="1078">
      <c r="I1078" s="121"/>
    </row>
    <row r="1079">
      <c r="I1079" s="121"/>
    </row>
    <row r="1080">
      <c r="I1080" s="121"/>
    </row>
    <row r="1081">
      <c r="I1081" s="121"/>
    </row>
    <row r="1082">
      <c r="I1082" s="121"/>
    </row>
    <row r="1083">
      <c r="I1083" s="121"/>
    </row>
    <row r="1084">
      <c r="I1084" s="121"/>
    </row>
    <row r="1085">
      <c r="I1085" s="121"/>
    </row>
    <row r="1086">
      <c r="I1086" s="121"/>
    </row>
    <row r="1087">
      <c r="I1087" s="121"/>
    </row>
    <row r="1088">
      <c r="I1088" s="121"/>
    </row>
    <row r="1089">
      <c r="I1089" s="121"/>
    </row>
    <row r="1090">
      <c r="I1090" s="121"/>
    </row>
    <row r="1091">
      <c r="I1091" s="121"/>
    </row>
    <row r="1092">
      <c r="I1092" s="121"/>
    </row>
    <row r="1093">
      <c r="I1093" s="121"/>
    </row>
    <row r="1094">
      <c r="I1094" s="121"/>
    </row>
    <row r="1095">
      <c r="I1095" s="121"/>
    </row>
    <row r="1096">
      <c r="I1096" s="121"/>
    </row>
    <row r="1097">
      <c r="I1097" s="121"/>
    </row>
    <row r="1098">
      <c r="I1098" s="121"/>
    </row>
    <row r="1099">
      <c r="I1099" s="121"/>
    </row>
    <row r="1100">
      <c r="I1100" s="121"/>
    </row>
    <row r="1101">
      <c r="I1101" s="121"/>
    </row>
    <row r="1102">
      <c r="I1102" s="121"/>
    </row>
    <row r="1103">
      <c r="I1103" s="121"/>
    </row>
    <row r="1104">
      <c r="I1104" s="121"/>
    </row>
    <row r="1105">
      <c r="I1105" s="121"/>
    </row>
    <row r="1106">
      <c r="I1106" s="121"/>
    </row>
    <row r="1107">
      <c r="I1107" s="121"/>
    </row>
    <row r="1108">
      <c r="I1108" s="121"/>
    </row>
    <row r="1109">
      <c r="I1109" s="121"/>
    </row>
    <row r="1110">
      <c r="I1110" s="121"/>
    </row>
    <row r="1111">
      <c r="I1111" s="121"/>
    </row>
    <row r="1112">
      <c r="I1112" s="121"/>
    </row>
    <row r="1113">
      <c r="I1113" s="121"/>
    </row>
    <row r="1114">
      <c r="I1114" s="121"/>
    </row>
    <row r="1115">
      <c r="I1115" s="121"/>
    </row>
    <row r="1116">
      <c r="I1116" s="121"/>
    </row>
    <row r="1117">
      <c r="I1117" s="121"/>
    </row>
    <row r="1118">
      <c r="I1118" s="121"/>
    </row>
    <row r="1119">
      <c r="I1119" s="121"/>
    </row>
    <row r="1120">
      <c r="I1120" s="121"/>
    </row>
    <row r="1121">
      <c r="I1121" s="121"/>
    </row>
    <row r="1122">
      <c r="I1122" s="121"/>
    </row>
    <row r="1123">
      <c r="I1123" s="121"/>
    </row>
    <row r="1124">
      <c r="I1124" s="121"/>
    </row>
    <row r="1125">
      <c r="I1125" s="121"/>
    </row>
    <row r="1126">
      <c r="I1126" s="121"/>
    </row>
    <row r="1127">
      <c r="I1127" s="121"/>
    </row>
    <row r="1128">
      <c r="I1128" s="121"/>
    </row>
    <row r="1129">
      <c r="I1129" s="121"/>
    </row>
    <row r="1130">
      <c r="I1130" s="121"/>
    </row>
    <row r="1131">
      <c r="I1131" s="121"/>
    </row>
    <row r="1132">
      <c r="I1132" s="121"/>
    </row>
    <row r="1133">
      <c r="I1133" s="121"/>
    </row>
    <row r="1134">
      <c r="I1134" s="121"/>
    </row>
    <row r="1135">
      <c r="I1135" s="121"/>
    </row>
    <row r="1136">
      <c r="I1136" s="121"/>
    </row>
    <row r="1137">
      <c r="I1137" s="121"/>
    </row>
    <row r="1138">
      <c r="I1138" s="121"/>
    </row>
    <row r="1139">
      <c r="I1139" s="121"/>
    </row>
    <row r="1140">
      <c r="I1140" s="121"/>
    </row>
    <row r="1141">
      <c r="I1141" s="121"/>
    </row>
    <row r="1142">
      <c r="I1142" s="121"/>
    </row>
    <row r="1143">
      <c r="I1143" s="121"/>
    </row>
    <row r="1144">
      <c r="I1144" s="121"/>
    </row>
    <row r="1145">
      <c r="I1145" s="121"/>
    </row>
    <row r="1146">
      <c r="I1146" s="121"/>
    </row>
    <row r="1147">
      <c r="I1147" s="121"/>
    </row>
    <row r="1148">
      <c r="I1148" s="121"/>
    </row>
    <row r="1149">
      <c r="I1149" s="121"/>
    </row>
    <row r="1150">
      <c r="I1150" s="121"/>
    </row>
    <row r="1151">
      <c r="I1151" s="121"/>
    </row>
    <row r="1152">
      <c r="I1152" s="121"/>
    </row>
    <row r="1153">
      <c r="I1153" s="121"/>
    </row>
    <row r="1154">
      <c r="I1154" s="121"/>
    </row>
    <row r="1155">
      <c r="I1155" s="121"/>
    </row>
    <row r="1156">
      <c r="I1156" s="121"/>
    </row>
    <row r="1157">
      <c r="I1157" s="121"/>
    </row>
    <row r="1158">
      <c r="I1158" s="121"/>
    </row>
    <row r="1159">
      <c r="I1159" s="121"/>
    </row>
    <row r="1160">
      <c r="I1160" s="121"/>
    </row>
    <row r="1161">
      <c r="I1161" s="121"/>
    </row>
    <row r="1162">
      <c r="I1162" s="121"/>
    </row>
    <row r="1163">
      <c r="I1163" s="121"/>
    </row>
    <row r="1164">
      <c r="I1164" s="121"/>
    </row>
    <row r="1165">
      <c r="I1165" s="121"/>
    </row>
    <row r="1166">
      <c r="I1166" s="121"/>
    </row>
    <row r="1167">
      <c r="I1167" s="121"/>
    </row>
    <row r="1168">
      <c r="I1168" s="121"/>
    </row>
    <row r="1169">
      <c r="I1169" s="121"/>
    </row>
    <row r="1170">
      <c r="I1170" s="121"/>
    </row>
    <row r="1171">
      <c r="I1171" s="121"/>
    </row>
    <row r="1172">
      <c r="I1172" s="121"/>
    </row>
    <row r="1173">
      <c r="I1173" s="121"/>
    </row>
    <row r="1174">
      <c r="I1174" s="121"/>
    </row>
    <row r="1175">
      <c r="I1175" s="121"/>
    </row>
    <row r="1176">
      <c r="I1176" s="121"/>
    </row>
    <row r="1177">
      <c r="I1177" s="121"/>
    </row>
    <row r="1178">
      <c r="I1178" s="121"/>
    </row>
    <row r="1179">
      <c r="I1179" s="121"/>
    </row>
    <row r="1180">
      <c r="I1180" s="121"/>
    </row>
    <row r="1181">
      <c r="I1181" s="121"/>
    </row>
    <row r="1182">
      <c r="I1182" s="121"/>
    </row>
    <row r="1183">
      <c r="I1183" s="121"/>
    </row>
    <row r="1184">
      <c r="I1184" s="121"/>
    </row>
    <row r="1185">
      <c r="I1185" s="121"/>
    </row>
    <row r="1186">
      <c r="I1186" s="121"/>
    </row>
    <row r="1187">
      <c r="I1187" s="121"/>
    </row>
    <row r="1188">
      <c r="I1188" s="121"/>
    </row>
    <row r="1189">
      <c r="I1189" s="121"/>
    </row>
    <row r="1190">
      <c r="I1190" s="121"/>
    </row>
    <row r="1191">
      <c r="I1191" s="121"/>
    </row>
    <row r="1192">
      <c r="I1192" s="121"/>
    </row>
    <row r="1193">
      <c r="I1193" s="121"/>
    </row>
    <row r="1194">
      <c r="I1194" s="121"/>
    </row>
    <row r="1195">
      <c r="I1195" s="121"/>
    </row>
    <row r="1196">
      <c r="I1196" s="121"/>
    </row>
    <row r="1197">
      <c r="I1197" s="121"/>
    </row>
    <row r="1198">
      <c r="I1198" s="121"/>
    </row>
    <row r="1199">
      <c r="I1199" s="121"/>
    </row>
    <row r="1200">
      <c r="I1200" s="121"/>
    </row>
    <row r="1201">
      <c r="I1201" s="121"/>
    </row>
    <row r="1202">
      <c r="I1202" s="121"/>
    </row>
    <row r="1203">
      <c r="I1203" s="121"/>
    </row>
    <row r="1204">
      <c r="I1204" s="121"/>
    </row>
    <row r="1205">
      <c r="I1205" s="121"/>
    </row>
    <row r="1206">
      <c r="I1206" s="121"/>
    </row>
    <row r="1207">
      <c r="I1207" s="121"/>
    </row>
    <row r="1208">
      <c r="I1208" s="121"/>
    </row>
    <row r="1209">
      <c r="I1209" s="121"/>
    </row>
    <row r="1210">
      <c r="I1210" s="121"/>
    </row>
    <row r="1211">
      <c r="I1211" s="121"/>
    </row>
    <row r="1212">
      <c r="I1212" s="121"/>
    </row>
    <row r="1213">
      <c r="I1213" s="121"/>
    </row>
    <row r="1214">
      <c r="I1214" s="121"/>
    </row>
    <row r="1215">
      <c r="I1215" s="121"/>
    </row>
    <row r="1216">
      <c r="I1216" s="121"/>
    </row>
    <row r="1217">
      <c r="I1217" s="121"/>
    </row>
    <row r="1218">
      <c r="I1218" s="121"/>
    </row>
    <row r="1219">
      <c r="I1219" s="121"/>
    </row>
    <row r="1220">
      <c r="I1220" s="121"/>
    </row>
    <row r="1221">
      <c r="I1221" s="121"/>
    </row>
    <row r="1222">
      <c r="I1222" s="121"/>
    </row>
    <row r="1223">
      <c r="I1223" s="121"/>
    </row>
    <row r="1224">
      <c r="I1224" s="121"/>
    </row>
    <row r="1225">
      <c r="I1225" s="121"/>
    </row>
    <row r="1226">
      <c r="I1226" s="121"/>
    </row>
    <row r="1227">
      <c r="I1227" s="121"/>
    </row>
    <row r="1228">
      <c r="I1228" s="121"/>
    </row>
    <row r="1229">
      <c r="I1229" s="121"/>
    </row>
    <row r="1230">
      <c r="I1230" s="121"/>
    </row>
    <row r="1231">
      <c r="I1231" s="121"/>
    </row>
    <row r="1232">
      <c r="I1232" s="121"/>
    </row>
    <row r="1233">
      <c r="I1233" s="121"/>
    </row>
    <row r="1234">
      <c r="I1234" s="121"/>
    </row>
    <row r="1235">
      <c r="I1235" s="121"/>
    </row>
    <row r="1236">
      <c r="I1236" s="121"/>
    </row>
    <row r="1237">
      <c r="I1237" s="121"/>
    </row>
    <row r="1238">
      <c r="I1238" s="121"/>
    </row>
    <row r="1239">
      <c r="I1239" s="121"/>
    </row>
    <row r="1240">
      <c r="I1240" s="121"/>
    </row>
    <row r="1241">
      <c r="I1241" s="121"/>
    </row>
    <row r="1242">
      <c r="I1242" s="121"/>
    </row>
    <row r="1243">
      <c r="I1243" s="121"/>
    </row>
    <row r="1244">
      <c r="I1244" s="121"/>
    </row>
    <row r="1245">
      <c r="I1245" s="121"/>
    </row>
    <row r="1246">
      <c r="I1246" s="121"/>
    </row>
    <row r="1247">
      <c r="I1247" s="121"/>
    </row>
    <row r="1248">
      <c r="I1248" s="121"/>
    </row>
    <row r="1249">
      <c r="I1249" s="121"/>
    </row>
    <row r="1250">
      <c r="I1250" s="121"/>
    </row>
    <row r="1251">
      <c r="I1251" s="121"/>
    </row>
    <row r="1252">
      <c r="I1252" s="121"/>
    </row>
    <row r="1253">
      <c r="I1253" s="121"/>
    </row>
    <row r="1254">
      <c r="I1254" s="121"/>
    </row>
    <row r="1255">
      <c r="I1255" s="121"/>
    </row>
    <row r="1256">
      <c r="I1256" s="121"/>
    </row>
    <row r="1257">
      <c r="I1257" s="121"/>
    </row>
    <row r="1258">
      <c r="I1258" s="121"/>
    </row>
    <row r="1259">
      <c r="I1259" s="121"/>
    </row>
    <row r="1260">
      <c r="I1260" s="121"/>
    </row>
    <row r="1261">
      <c r="I1261" s="121"/>
    </row>
    <row r="1262">
      <c r="I1262" s="121"/>
    </row>
    <row r="1263">
      <c r="I1263" s="121"/>
    </row>
    <row r="1264">
      <c r="I1264" s="121"/>
    </row>
    <row r="1265">
      <c r="I1265" s="121"/>
    </row>
    <row r="1266">
      <c r="I1266" s="121"/>
    </row>
    <row r="1267">
      <c r="I1267" s="121"/>
    </row>
    <row r="1268">
      <c r="I1268" s="121"/>
    </row>
    <row r="1269">
      <c r="I1269" s="121"/>
    </row>
    <row r="1270">
      <c r="I1270" s="121"/>
    </row>
    <row r="1271">
      <c r="I1271" s="121"/>
    </row>
    <row r="1272">
      <c r="I1272" s="121"/>
    </row>
    <row r="1273">
      <c r="I1273" s="121"/>
    </row>
    <row r="1274">
      <c r="I1274" s="121"/>
    </row>
    <row r="1275">
      <c r="I1275" s="121"/>
    </row>
    <row r="1276">
      <c r="I1276" s="121"/>
    </row>
    <row r="1277">
      <c r="I1277" s="121"/>
    </row>
    <row r="1278">
      <c r="I1278" s="121"/>
    </row>
    <row r="1279">
      <c r="I1279" s="121"/>
    </row>
    <row r="1280">
      <c r="I1280" s="121"/>
    </row>
    <row r="1281">
      <c r="I1281" s="121"/>
    </row>
    <row r="1282">
      <c r="I1282" s="121"/>
    </row>
    <row r="1283">
      <c r="I1283" s="121"/>
    </row>
    <row r="1284">
      <c r="I1284" s="121"/>
    </row>
    <row r="1285">
      <c r="I1285" s="121"/>
    </row>
    <row r="1286">
      <c r="I1286" s="121"/>
    </row>
    <row r="1287">
      <c r="I1287" s="121"/>
    </row>
    <row r="1288">
      <c r="I1288" s="121"/>
    </row>
    <row r="1289">
      <c r="I1289" s="121"/>
    </row>
    <row r="1290">
      <c r="I1290" s="121"/>
    </row>
    <row r="1291">
      <c r="I1291" s="121"/>
    </row>
    <row r="1292">
      <c r="I1292" s="121"/>
    </row>
    <row r="1293">
      <c r="I1293" s="121"/>
    </row>
    <row r="1294">
      <c r="I1294" s="121"/>
    </row>
    <row r="1295">
      <c r="I1295" s="121"/>
    </row>
    <row r="1296">
      <c r="I1296" s="121"/>
    </row>
    <row r="1297">
      <c r="I1297" s="121"/>
    </row>
    <row r="1298">
      <c r="I1298" s="121"/>
    </row>
    <row r="1299">
      <c r="I1299" s="121"/>
    </row>
    <row r="1300">
      <c r="I1300" s="121"/>
    </row>
    <row r="1301">
      <c r="I1301" s="121"/>
    </row>
    <row r="1302">
      <c r="I1302" s="121"/>
    </row>
    <row r="1303">
      <c r="I1303" s="121"/>
    </row>
    <row r="1304">
      <c r="I1304" s="121"/>
    </row>
    <row r="1305">
      <c r="I1305" s="121"/>
    </row>
    <row r="1306">
      <c r="I1306" s="121"/>
    </row>
    <row r="1307">
      <c r="I1307" s="121"/>
    </row>
    <row r="1308">
      <c r="I1308" s="121"/>
    </row>
    <row r="1309">
      <c r="I1309" s="121"/>
    </row>
    <row r="1310">
      <c r="I1310" s="121"/>
    </row>
    <row r="1311">
      <c r="I1311" s="121"/>
    </row>
    <row r="1312">
      <c r="I1312" s="121"/>
    </row>
    <row r="1313">
      <c r="I1313" s="121"/>
    </row>
    <row r="1314">
      <c r="I1314" s="121"/>
    </row>
    <row r="1315">
      <c r="I1315" s="121"/>
    </row>
    <row r="1316">
      <c r="I1316" s="121"/>
    </row>
    <row r="1317">
      <c r="I1317" s="121"/>
    </row>
    <row r="1318">
      <c r="I1318" s="121"/>
    </row>
    <row r="1319">
      <c r="I1319" s="121"/>
    </row>
    <row r="1320">
      <c r="I1320" s="121"/>
    </row>
    <row r="1321">
      <c r="I1321" s="121"/>
    </row>
    <row r="1322">
      <c r="I1322" s="121"/>
    </row>
    <row r="1323">
      <c r="I1323" s="121"/>
    </row>
    <row r="1324">
      <c r="I1324" s="121"/>
    </row>
    <row r="1325">
      <c r="I1325" s="121"/>
    </row>
    <row r="1326">
      <c r="I1326" s="121"/>
    </row>
    <row r="1327">
      <c r="I1327" s="121"/>
    </row>
    <row r="1328">
      <c r="I1328" s="121"/>
    </row>
    <row r="1329">
      <c r="I1329" s="121"/>
    </row>
    <row r="1330">
      <c r="I1330" s="121"/>
    </row>
    <row r="1331">
      <c r="I1331" s="121"/>
    </row>
    <row r="1332">
      <c r="I1332" s="121"/>
    </row>
    <row r="1333">
      <c r="I1333" s="121"/>
    </row>
    <row r="1334">
      <c r="I1334" s="121"/>
    </row>
    <row r="1335">
      <c r="I1335" s="121"/>
    </row>
    <row r="1336">
      <c r="I1336" s="121"/>
    </row>
    <row r="1337">
      <c r="I1337" s="121"/>
    </row>
    <row r="1338">
      <c r="I1338" s="121"/>
    </row>
    <row r="1339">
      <c r="I1339" s="121"/>
    </row>
    <row r="1340">
      <c r="I1340" s="121"/>
    </row>
    <row r="1341">
      <c r="I1341" s="121"/>
    </row>
    <row r="1342">
      <c r="I1342" s="121"/>
    </row>
    <row r="1343">
      <c r="I1343" s="121"/>
    </row>
    <row r="1344">
      <c r="I1344" s="121"/>
    </row>
    <row r="1345">
      <c r="I1345" s="121"/>
    </row>
    <row r="1346">
      <c r="I1346" s="121"/>
    </row>
    <row r="1347">
      <c r="I1347" s="121"/>
    </row>
    <row r="1348">
      <c r="I1348" s="121"/>
    </row>
    <row r="1349">
      <c r="I1349" s="121"/>
    </row>
    <row r="1350">
      <c r="I1350" s="121"/>
    </row>
    <row r="1351">
      <c r="I1351" s="121"/>
    </row>
    <row r="1352">
      <c r="I1352" s="121"/>
    </row>
    <row r="1353">
      <c r="I1353" s="121"/>
    </row>
    <row r="1354">
      <c r="I1354" s="121"/>
    </row>
    <row r="1355">
      <c r="I1355" s="121"/>
    </row>
    <row r="1356">
      <c r="I1356" s="121"/>
    </row>
    <row r="1357">
      <c r="I1357" s="121"/>
    </row>
    <row r="1358">
      <c r="I1358" s="121"/>
    </row>
    <row r="1359">
      <c r="I1359" s="121"/>
    </row>
    <row r="1360">
      <c r="I1360" s="121"/>
    </row>
    <row r="1361">
      <c r="I1361" s="121"/>
    </row>
    <row r="1362">
      <c r="I1362" s="121"/>
    </row>
    <row r="1363">
      <c r="I1363" s="121"/>
    </row>
    <row r="1364">
      <c r="I1364" s="121"/>
    </row>
    <row r="1365">
      <c r="I1365" s="121"/>
    </row>
    <row r="1366">
      <c r="I1366" s="121"/>
    </row>
    <row r="1367">
      <c r="I1367" s="121"/>
    </row>
    <row r="1368">
      <c r="I1368" s="121"/>
    </row>
    <row r="1369">
      <c r="I1369" s="121"/>
    </row>
    <row r="1370">
      <c r="I1370" s="121"/>
    </row>
    <row r="1371">
      <c r="I1371" s="121"/>
    </row>
    <row r="1372">
      <c r="I1372" s="121"/>
    </row>
    <row r="1373">
      <c r="I1373" s="121"/>
    </row>
    <row r="1374">
      <c r="I1374" s="121"/>
    </row>
    <row r="1375">
      <c r="I1375" s="121"/>
    </row>
    <row r="1376">
      <c r="I1376" s="121"/>
    </row>
    <row r="1377">
      <c r="I1377" s="121"/>
    </row>
    <row r="1378">
      <c r="I1378" s="121"/>
    </row>
    <row r="1379">
      <c r="I1379" s="121"/>
    </row>
    <row r="1380">
      <c r="I1380" s="121"/>
    </row>
    <row r="1381">
      <c r="I1381" s="121"/>
    </row>
    <row r="1382">
      <c r="I1382" s="121"/>
    </row>
    <row r="1383">
      <c r="I1383" s="121"/>
    </row>
    <row r="1384">
      <c r="I1384" s="121"/>
    </row>
    <row r="1385">
      <c r="I1385" s="121"/>
    </row>
    <row r="1386">
      <c r="I1386" s="121"/>
    </row>
    <row r="1387">
      <c r="I1387" s="121"/>
    </row>
    <row r="1388">
      <c r="I1388" s="121"/>
    </row>
    <row r="1389">
      <c r="I1389" s="121"/>
    </row>
    <row r="1390">
      <c r="I1390" s="121"/>
    </row>
    <row r="1391">
      <c r="I1391" s="121"/>
    </row>
    <row r="1392">
      <c r="I1392" s="121"/>
    </row>
    <row r="1393">
      <c r="I1393" s="121"/>
    </row>
    <row r="1394">
      <c r="I1394" s="121"/>
    </row>
    <row r="1395">
      <c r="I1395" s="121"/>
    </row>
    <row r="1396">
      <c r="I1396" s="121"/>
    </row>
    <row r="1397">
      <c r="I1397" s="121"/>
    </row>
    <row r="1398">
      <c r="I1398" s="121"/>
    </row>
    <row r="1399">
      <c r="I1399" s="121"/>
    </row>
    <row r="1400">
      <c r="I1400" s="121"/>
    </row>
    <row r="1401">
      <c r="I1401" s="121"/>
    </row>
    <row r="1402">
      <c r="I1402" s="121"/>
    </row>
    <row r="1403">
      <c r="I1403" s="121"/>
    </row>
    <row r="1404">
      <c r="I1404" s="121"/>
    </row>
    <row r="1405">
      <c r="I1405" s="121"/>
    </row>
    <row r="1406">
      <c r="I1406" s="121"/>
    </row>
    <row r="1407">
      <c r="I1407" s="121"/>
    </row>
    <row r="1408">
      <c r="I1408" s="121"/>
    </row>
    <row r="1409">
      <c r="I1409" s="121"/>
    </row>
    <row r="1410">
      <c r="I1410" s="121"/>
    </row>
    <row r="1411">
      <c r="I1411" s="121"/>
    </row>
    <row r="1412">
      <c r="I1412" s="121"/>
    </row>
    <row r="1413">
      <c r="I1413" s="121"/>
    </row>
    <row r="1414">
      <c r="I1414" s="121"/>
    </row>
    <row r="1415">
      <c r="I1415" s="121"/>
    </row>
    <row r="1416">
      <c r="I1416" s="121"/>
    </row>
    <row r="1417">
      <c r="I1417" s="121"/>
    </row>
    <row r="1418">
      <c r="I1418" s="121"/>
    </row>
    <row r="1419">
      <c r="I1419" s="121"/>
    </row>
    <row r="1420">
      <c r="I1420" s="121"/>
    </row>
    <row r="1421">
      <c r="I1421" s="121"/>
    </row>
    <row r="1422">
      <c r="I1422" s="121"/>
    </row>
    <row r="1423">
      <c r="I1423" s="121"/>
    </row>
    <row r="1424">
      <c r="I1424" s="121"/>
    </row>
    <row r="1425">
      <c r="I1425" s="121"/>
    </row>
    <row r="1426">
      <c r="I1426" s="121"/>
    </row>
    <row r="1427">
      <c r="I1427" s="121"/>
    </row>
    <row r="1428">
      <c r="I1428" s="121"/>
    </row>
    <row r="1429">
      <c r="I1429" s="121"/>
    </row>
    <row r="1430">
      <c r="I1430" s="121"/>
    </row>
    <row r="1431">
      <c r="I1431" s="121"/>
    </row>
    <row r="1432">
      <c r="I1432" s="121"/>
    </row>
    <row r="1433">
      <c r="I1433" s="121"/>
    </row>
    <row r="1434">
      <c r="I1434" s="121"/>
    </row>
    <row r="1435">
      <c r="I1435" s="121"/>
    </row>
    <row r="1436">
      <c r="I1436" s="121"/>
    </row>
    <row r="1437">
      <c r="I1437" s="121"/>
    </row>
    <row r="1438">
      <c r="I1438" s="121"/>
    </row>
    <row r="1439">
      <c r="I1439" s="121"/>
    </row>
    <row r="1440">
      <c r="I1440" s="121"/>
    </row>
    <row r="1441">
      <c r="I1441" s="121"/>
    </row>
    <row r="1442">
      <c r="I1442" s="121"/>
    </row>
    <row r="1443">
      <c r="I1443" s="121"/>
    </row>
    <row r="1444">
      <c r="I1444" s="121"/>
    </row>
    <row r="1445">
      <c r="I1445" s="121"/>
    </row>
    <row r="1446">
      <c r="I1446" s="121"/>
    </row>
    <row r="1447">
      <c r="I1447" s="121"/>
    </row>
    <row r="1448">
      <c r="I1448" s="121"/>
    </row>
    <row r="1449">
      <c r="I1449" s="121"/>
    </row>
    <row r="1450">
      <c r="I1450" s="121"/>
    </row>
    <row r="1451">
      <c r="I1451" s="121"/>
    </row>
    <row r="1452">
      <c r="I1452" s="121"/>
    </row>
    <row r="1453">
      <c r="I1453" s="121"/>
    </row>
    <row r="1454">
      <c r="I1454" s="121"/>
    </row>
    <row r="1455">
      <c r="I1455" s="121"/>
    </row>
    <row r="1456">
      <c r="I1456" s="121"/>
    </row>
    <row r="1457">
      <c r="I1457" s="121"/>
    </row>
    <row r="1458">
      <c r="I1458" s="121"/>
    </row>
    <row r="1459">
      <c r="I1459" s="121"/>
    </row>
    <row r="1460">
      <c r="I1460" s="121"/>
    </row>
    <row r="1461">
      <c r="I1461" s="121"/>
    </row>
    <row r="1462">
      <c r="I1462" s="121"/>
    </row>
    <row r="1463">
      <c r="I1463" s="121"/>
    </row>
    <row r="1464">
      <c r="I1464" s="121"/>
    </row>
    <row r="1465">
      <c r="I1465" s="121"/>
    </row>
    <row r="1466">
      <c r="I1466" s="121"/>
    </row>
    <row r="1467">
      <c r="I1467" s="121"/>
    </row>
    <row r="1468">
      <c r="I1468" s="121"/>
    </row>
    <row r="1469">
      <c r="I1469" s="121"/>
    </row>
    <row r="1470">
      <c r="I1470" s="121"/>
    </row>
    <row r="1471">
      <c r="I1471" s="121"/>
    </row>
    <row r="1472">
      <c r="I1472" s="121"/>
    </row>
    <row r="1473">
      <c r="I1473" s="121"/>
    </row>
    <row r="1474">
      <c r="I1474" s="121"/>
    </row>
    <row r="1475">
      <c r="I1475" s="121"/>
    </row>
    <row r="1476">
      <c r="I1476" s="121"/>
    </row>
    <row r="1477">
      <c r="I1477" s="121"/>
    </row>
    <row r="1478">
      <c r="I1478" s="121"/>
    </row>
    <row r="1479">
      <c r="I1479" s="121"/>
    </row>
    <row r="1480">
      <c r="I1480" s="121"/>
    </row>
    <row r="1481">
      <c r="I1481" s="121"/>
    </row>
    <row r="1482">
      <c r="I1482" s="121"/>
    </row>
    <row r="1483">
      <c r="I1483" s="121"/>
    </row>
    <row r="1484">
      <c r="I1484" s="121"/>
    </row>
    <row r="1485">
      <c r="I1485" s="121"/>
    </row>
    <row r="1486">
      <c r="I1486" s="121"/>
    </row>
    <row r="1487">
      <c r="I1487" s="121"/>
    </row>
    <row r="1488">
      <c r="I1488" s="121"/>
    </row>
    <row r="1489">
      <c r="I1489" s="121"/>
    </row>
    <row r="1490">
      <c r="I1490" s="121"/>
    </row>
    <row r="1491">
      <c r="I1491" s="121"/>
    </row>
    <row r="1492">
      <c r="I1492" s="121"/>
    </row>
    <row r="1493">
      <c r="I1493" s="121"/>
    </row>
    <row r="1494">
      <c r="I1494" s="121"/>
    </row>
    <row r="1495">
      <c r="I1495" s="121"/>
    </row>
    <row r="1496">
      <c r="I1496" s="121"/>
    </row>
    <row r="1497">
      <c r="I1497" s="121"/>
    </row>
    <row r="1498">
      <c r="I1498" s="121"/>
    </row>
    <row r="1499">
      <c r="I1499" s="121"/>
    </row>
    <row r="1500">
      <c r="I1500" s="121"/>
    </row>
    <row r="1501">
      <c r="I1501" s="121"/>
    </row>
    <row r="1502">
      <c r="I1502" s="121"/>
    </row>
    <row r="1503">
      <c r="I1503" s="121"/>
    </row>
    <row r="1504">
      <c r="I1504" s="121"/>
    </row>
    <row r="1505">
      <c r="I1505" s="121"/>
    </row>
    <row r="1506">
      <c r="I1506" s="121"/>
    </row>
    <row r="1507">
      <c r="I1507" s="121"/>
    </row>
    <row r="1508">
      <c r="I1508" s="121"/>
    </row>
    <row r="1509">
      <c r="I1509" s="121"/>
    </row>
    <row r="1510">
      <c r="I1510" s="121"/>
    </row>
    <row r="1511">
      <c r="I1511" s="121"/>
    </row>
    <row r="1512">
      <c r="I1512" s="121"/>
    </row>
    <row r="1513">
      <c r="I1513" s="121"/>
    </row>
    <row r="1514">
      <c r="I1514" s="121"/>
    </row>
    <row r="1515">
      <c r="I1515" s="121"/>
    </row>
    <row r="1516">
      <c r="I1516" s="121"/>
    </row>
    <row r="1517">
      <c r="I1517" s="121"/>
    </row>
    <row r="1518">
      <c r="I1518" s="121"/>
    </row>
    <row r="1519">
      <c r="I1519" s="121"/>
    </row>
    <row r="1520">
      <c r="I1520" s="121"/>
    </row>
    <row r="1521">
      <c r="I1521" s="121"/>
    </row>
    <row r="1522">
      <c r="I1522" s="121"/>
    </row>
    <row r="1523">
      <c r="I1523" s="121"/>
    </row>
    <row r="1524">
      <c r="I1524" s="121"/>
    </row>
    <row r="1525">
      <c r="I1525" s="121"/>
    </row>
    <row r="1526">
      <c r="I1526" s="121"/>
    </row>
    <row r="1527">
      <c r="I1527" s="121"/>
    </row>
    <row r="1528">
      <c r="I1528" s="121"/>
    </row>
    <row r="1529">
      <c r="I1529" s="121"/>
    </row>
    <row r="1530">
      <c r="I1530" s="121"/>
    </row>
    <row r="1531">
      <c r="I1531" s="121"/>
    </row>
    <row r="1532">
      <c r="I1532" s="121"/>
    </row>
    <row r="1533">
      <c r="I1533" s="121"/>
    </row>
    <row r="1534">
      <c r="I1534" s="121"/>
    </row>
    <row r="1535">
      <c r="I1535" s="121"/>
    </row>
    <row r="1536">
      <c r="I1536" s="121"/>
    </row>
    <row r="1537">
      <c r="I1537" s="121"/>
    </row>
    <row r="1538">
      <c r="I1538" s="121"/>
    </row>
    <row r="1539">
      <c r="I1539" s="121"/>
    </row>
    <row r="1540">
      <c r="I1540" s="121"/>
    </row>
    <row r="1541">
      <c r="I1541" s="121"/>
    </row>
    <row r="1542">
      <c r="I1542" s="121"/>
    </row>
    <row r="1543">
      <c r="I1543" s="121"/>
    </row>
    <row r="1544">
      <c r="I1544" s="121"/>
    </row>
    <row r="1545">
      <c r="I1545" s="121"/>
    </row>
    <row r="1546">
      <c r="I1546" s="121"/>
    </row>
    <row r="1547">
      <c r="I1547" s="121"/>
    </row>
    <row r="1548">
      <c r="I1548" s="121"/>
    </row>
    <row r="1549">
      <c r="I1549" s="121"/>
    </row>
    <row r="1550">
      <c r="I1550" s="121"/>
    </row>
    <row r="1551">
      <c r="I1551" s="121"/>
    </row>
    <row r="1552">
      <c r="I1552" s="121"/>
    </row>
    <row r="1553">
      <c r="I1553" s="121"/>
    </row>
    <row r="1554">
      <c r="I1554" s="121"/>
    </row>
    <row r="1555">
      <c r="I1555" s="121"/>
    </row>
    <row r="1556">
      <c r="I1556" s="121"/>
    </row>
    <row r="1557">
      <c r="I1557" s="121"/>
    </row>
    <row r="1558">
      <c r="I1558" s="121"/>
    </row>
    <row r="1559">
      <c r="I1559" s="121"/>
    </row>
    <row r="1560">
      <c r="I1560" s="121"/>
    </row>
    <row r="1561">
      <c r="I1561" s="121"/>
    </row>
    <row r="1562">
      <c r="I1562" s="121"/>
    </row>
    <row r="1563">
      <c r="I1563" s="121"/>
    </row>
    <row r="1564">
      <c r="I1564" s="121"/>
    </row>
    <row r="1565">
      <c r="I1565" s="121"/>
    </row>
    <row r="1566">
      <c r="I1566" s="121"/>
    </row>
    <row r="1567">
      <c r="I1567" s="121"/>
    </row>
    <row r="1568">
      <c r="I1568" s="121"/>
    </row>
    <row r="1569">
      <c r="I1569" s="121"/>
    </row>
    <row r="1570">
      <c r="I1570" s="121"/>
    </row>
    <row r="1571">
      <c r="I1571" s="121"/>
    </row>
    <row r="1572">
      <c r="I1572" s="121"/>
    </row>
    <row r="1573">
      <c r="I1573" s="121"/>
    </row>
    <row r="1574">
      <c r="I1574" s="121"/>
    </row>
    <row r="1575">
      <c r="I1575" s="121"/>
    </row>
    <row r="1576">
      <c r="I1576" s="121"/>
    </row>
    <row r="1577">
      <c r="I1577" s="121"/>
    </row>
    <row r="1578">
      <c r="I1578" s="121"/>
    </row>
    <row r="1579">
      <c r="I1579" s="121"/>
    </row>
    <row r="1580">
      <c r="I1580" s="121"/>
    </row>
    <row r="1581">
      <c r="I1581" s="121"/>
    </row>
    <row r="1582">
      <c r="I1582" s="121"/>
    </row>
    <row r="1583">
      <c r="I1583" s="121"/>
    </row>
    <row r="1584">
      <c r="I1584" s="121"/>
    </row>
    <row r="1585">
      <c r="I1585" s="121"/>
    </row>
    <row r="1586">
      <c r="I1586" s="121"/>
    </row>
    <row r="1587">
      <c r="I1587" s="121"/>
    </row>
    <row r="1588">
      <c r="I1588" s="121"/>
    </row>
    <row r="1589">
      <c r="I1589" s="121"/>
    </row>
    <row r="1590">
      <c r="I1590" s="121"/>
    </row>
    <row r="1591">
      <c r="I1591" s="121"/>
    </row>
    <row r="1592">
      <c r="I1592" s="121"/>
    </row>
    <row r="1593">
      <c r="I1593" s="121"/>
    </row>
    <row r="1594">
      <c r="I1594" s="121"/>
    </row>
    <row r="1595">
      <c r="I1595" s="121"/>
    </row>
    <row r="1596">
      <c r="I1596" s="121"/>
    </row>
    <row r="1597">
      <c r="I1597" s="121"/>
    </row>
    <row r="1598">
      <c r="I1598" s="121"/>
    </row>
    <row r="1599">
      <c r="I1599" s="121"/>
    </row>
    <row r="1600">
      <c r="I1600" s="121"/>
    </row>
    <row r="1601">
      <c r="I1601" s="121"/>
    </row>
    <row r="1602">
      <c r="I1602" s="121"/>
    </row>
    <row r="1603">
      <c r="I1603" s="121"/>
    </row>
    <row r="1604">
      <c r="I1604" s="121"/>
    </row>
    <row r="1605">
      <c r="I1605" s="121"/>
    </row>
    <row r="1606">
      <c r="I1606" s="121"/>
    </row>
    <row r="1607">
      <c r="I1607" s="121"/>
    </row>
    <row r="1608">
      <c r="I1608" s="121"/>
    </row>
    <row r="1609">
      <c r="I1609" s="121"/>
    </row>
    <row r="1610">
      <c r="I1610" s="121"/>
    </row>
    <row r="1611">
      <c r="I1611" s="121"/>
    </row>
    <row r="1612">
      <c r="I1612" s="121"/>
    </row>
    <row r="1613">
      <c r="I1613" s="121"/>
    </row>
    <row r="1614">
      <c r="I1614" s="121"/>
    </row>
    <row r="1615">
      <c r="I1615" s="121"/>
    </row>
    <row r="1616">
      <c r="I1616" s="121"/>
    </row>
    <row r="1617">
      <c r="I1617" s="121"/>
    </row>
    <row r="1618">
      <c r="I1618" s="121"/>
    </row>
    <row r="1619">
      <c r="I1619" s="121"/>
    </row>
    <row r="1620">
      <c r="I1620" s="121"/>
    </row>
    <row r="1621">
      <c r="I1621" s="121"/>
    </row>
    <row r="1622">
      <c r="I1622" s="121"/>
    </row>
    <row r="1623">
      <c r="I1623" s="121"/>
    </row>
    <row r="1624">
      <c r="I1624" s="121"/>
    </row>
    <row r="1625">
      <c r="I1625" s="121"/>
    </row>
    <row r="1626">
      <c r="I1626" s="121"/>
    </row>
    <row r="1627">
      <c r="I1627" s="121"/>
    </row>
    <row r="1628">
      <c r="I1628" s="121"/>
    </row>
    <row r="1629">
      <c r="I1629" s="121"/>
    </row>
    <row r="1630">
      <c r="I1630" s="121"/>
    </row>
    <row r="1631">
      <c r="I1631" s="121"/>
    </row>
    <row r="1632">
      <c r="I1632" s="121"/>
    </row>
    <row r="1633">
      <c r="I1633" s="121"/>
    </row>
    <row r="1634">
      <c r="I1634" s="121"/>
    </row>
    <row r="1635">
      <c r="I1635" s="121"/>
    </row>
    <row r="1636">
      <c r="I1636" s="121"/>
    </row>
    <row r="1637">
      <c r="I1637" s="121"/>
    </row>
    <row r="1638">
      <c r="I1638" s="121"/>
    </row>
    <row r="1639">
      <c r="I1639" s="121"/>
    </row>
    <row r="1640">
      <c r="I1640" s="121"/>
    </row>
    <row r="1641">
      <c r="I1641" s="121"/>
    </row>
    <row r="1642">
      <c r="I1642" s="121"/>
    </row>
    <row r="1643">
      <c r="I1643" s="121"/>
    </row>
    <row r="1644">
      <c r="I1644" s="121"/>
    </row>
    <row r="1645">
      <c r="I1645" s="121"/>
    </row>
    <row r="1646">
      <c r="I1646" s="121"/>
    </row>
    <row r="1647">
      <c r="I1647" s="121"/>
    </row>
    <row r="1648">
      <c r="I1648" s="121"/>
    </row>
    <row r="1649">
      <c r="I1649" s="121"/>
    </row>
    <row r="1650">
      <c r="I1650" s="121"/>
    </row>
    <row r="1651">
      <c r="I1651" s="121"/>
    </row>
    <row r="1652">
      <c r="I1652" s="121"/>
    </row>
    <row r="1653">
      <c r="I1653" s="121"/>
    </row>
    <row r="1654">
      <c r="I1654" s="121"/>
    </row>
    <row r="1655">
      <c r="I1655" s="121"/>
    </row>
    <row r="1656">
      <c r="I1656" s="121"/>
    </row>
    <row r="1657">
      <c r="I1657" s="121"/>
    </row>
    <row r="1658">
      <c r="I1658" s="121"/>
    </row>
    <row r="1659">
      <c r="I1659" s="121"/>
    </row>
    <row r="1660">
      <c r="I1660" s="121"/>
    </row>
    <row r="1661">
      <c r="I1661" s="121"/>
    </row>
    <row r="1662">
      <c r="I1662" s="121"/>
    </row>
    <row r="1663">
      <c r="I1663" s="121"/>
    </row>
    <row r="1664">
      <c r="I1664" s="121"/>
    </row>
    <row r="1665">
      <c r="I1665" s="121"/>
    </row>
    <row r="1666">
      <c r="I1666" s="121"/>
    </row>
    <row r="1667">
      <c r="I1667" s="121"/>
    </row>
    <row r="1668">
      <c r="I1668" s="121"/>
    </row>
    <row r="1669">
      <c r="I1669" s="121"/>
    </row>
    <row r="1670">
      <c r="I1670" s="121"/>
    </row>
    <row r="1671">
      <c r="I1671" s="121"/>
    </row>
    <row r="1672">
      <c r="I1672" s="121"/>
    </row>
    <row r="1673">
      <c r="I1673" s="121"/>
    </row>
    <row r="1674">
      <c r="I1674" s="121"/>
    </row>
    <row r="1675">
      <c r="I1675" s="121"/>
    </row>
    <row r="1676">
      <c r="I1676" s="121"/>
    </row>
    <row r="1677">
      <c r="I1677" s="121"/>
    </row>
    <row r="1678">
      <c r="I1678" s="121"/>
    </row>
    <row r="1679">
      <c r="I1679" s="121"/>
    </row>
    <row r="1680">
      <c r="I1680" s="121"/>
    </row>
    <row r="1681">
      <c r="I1681" s="121"/>
    </row>
    <row r="1682">
      <c r="I1682" s="121"/>
    </row>
    <row r="1683">
      <c r="I1683" s="121"/>
    </row>
    <row r="1684">
      <c r="I1684" s="121"/>
    </row>
    <row r="1685">
      <c r="I1685" s="121"/>
    </row>
    <row r="1686">
      <c r="I1686" s="121"/>
    </row>
    <row r="1687">
      <c r="I1687" s="121"/>
    </row>
    <row r="1688">
      <c r="I1688" s="121"/>
    </row>
    <row r="1689">
      <c r="I1689" s="121"/>
    </row>
    <row r="1690">
      <c r="I1690" s="121"/>
    </row>
    <row r="1691">
      <c r="I1691" s="121"/>
    </row>
    <row r="1692">
      <c r="I1692" s="121"/>
    </row>
    <row r="1693">
      <c r="I1693" s="121"/>
    </row>
    <row r="1694">
      <c r="I1694" s="121"/>
    </row>
    <row r="1695">
      <c r="I1695" s="121"/>
    </row>
    <row r="1696">
      <c r="I1696" s="121"/>
    </row>
    <row r="1697">
      <c r="I1697" s="121"/>
    </row>
    <row r="1698">
      <c r="I1698" s="121"/>
    </row>
    <row r="1699">
      <c r="I1699" s="121"/>
    </row>
    <row r="1700">
      <c r="I1700" s="121"/>
    </row>
    <row r="1701">
      <c r="I1701" s="121"/>
    </row>
    <row r="1702">
      <c r="I1702" s="121"/>
    </row>
    <row r="1703">
      <c r="I1703" s="121"/>
    </row>
    <row r="1704">
      <c r="I1704" s="121"/>
    </row>
    <row r="1705">
      <c r="I1705" s="121"/>
    </row>
    <row r="1706">
      <c r="I1706" s="121"/>
    </row>
    <row r="1707">
      <c r="I1707" s="121"/>
    </row>
    <row r="1708">
      <c r="I1708" s="121"/>
    </row>
    <row r="1709">
      <c r="I1709" s="121"/>
    </row>
    <row r="1710">
      <c r="I1710" s="121"/>
    </row>
    <row r="1711">
      <c r="I1711" s="121"/>
    </row>
    <row r="1712">
      <c r="I1712" s="121"/>
    </row>
    <row r="1713">
      <c r="I1713" s="121"/>
    </row>
    <row r="1714">
      <c r="I1714" s="121"/>
    </row>
    <row r="1715">
      <c r="I1715" s="121"/>
    </row>
    <row r="1716">
      <c r="I1716" s="121"/>
    </row>
    <row r="1717">
      <c r="I1717" s="121"/>
    </row>
    <row r="1718">
      <c r="I1718" s="121"/>
    </row>
    <row r="1719">
      <c r="I1719" s="121"/>
    </row>
    <row r="1720">
      <c r="I1720" s="121"/>
    </row>
    <row r="1721">
      <c r="I1721" s="121"/>
    </row>
    <row r="1722">
      <c r="I1722" s="121"/>
    </row>
    <row r="1723">
      <c r="I1723" s="121"/>
    </row>
    <row r="1724">
      <c r="I1724" s="121"/>
    </row>
    <row r="1725">
      <c r="I1725" s="121"/>
    </row>
    <row r="1726">
      <c r="I1726" s="121"/>
    </row>
    <row r="1727">
      <c r="I1727" s="121"/>
    </row>
    <row r="1728">
      <c r="I1728" s="121"/>
    </row>
    <row r="1729">
      <c r="I1729" s="121"/>
    </row>
    <row r="1730">
      <c r="I1730" s="121"/>
    </row>
    <row r="1731">
      <c r="I1731" s="121"/>
    </row>
    <row r="1732">
      <c r="I1732" s="121"/>
    </row>
    <row r="1733">
      <c r="I1733" s="121"/>
    </row>
    <row r="1734">
      <c r="I1734" s="121"/>
    </row>
    <row r="1735">
      <c r="I1735" s="121"/>
    </row>
    <row r="1736">
      <c r="I1736" s="121"/>
    </row>
    <row r="1737">
      <c r="I1737" s="121"/>
    </row>
    <row r="1738">
      <c r="I1738" s="121"/>
    </row>
    <row r="1739">
      <c r="I1739" s="121"/>
    </row>
    <row r="1740">
      <c r="I1740" s="121"/>
    </row>
    <row r="1741">
      <c r="I1741" s="121"/>
    </row>
    <row r="1742">
      <c r="I1742" s="121"/>
    </row>
    <row r="1743">
      <c r="I1743" s="121"/>
    </row>
    <row r="1744">
      <c r="I1744" s="121"/>
    </row>
    <row r="1745">
      <c r="I1745" s="121"/>
    </row>
    <row r="1746">
      <c r="I1746" s="121"/>
    </row>
    <row r="1747">
      <c r="I1747" s="121"/>
    </row>
    <row r="1748">
      <c r="I1748" s="121"/>
    </row>
    <row r="1749">
      <c r="I1749" s="121"/>
    </row>
    <row r="1750">
      <c r="I1750" s="121"/>
    </row>
    <row r="1751">
      <c r="I1751" s="121"/>
    </row>
    <row r="1752">
      <c r="I1752" s="121"/>
    </row>
    <row r="1753">
      <c r="I1753" s="121"/>
    </row>
    <row r="1754">
      <c r="I1754" s="121"/>
    </row>
    <row r="1755">
      <c r="I1755" s="121"/>
    </row>
    <row r="1756">
      <c r="I1756" s="121"/>
    </row>
    <row r="1757">
      <c r="I1757" s="121"/>
    </row>
    <row r="1758">
      <c r="I1758" s="121"/>
    </row>
    <row r="1759">
      <c r="I1759" s="121"/>
    </row>
    <row r="1760">
      <c r="I1760" s="121"/>
    </row>
    <row r="1761">
      <c r="I1761" s="121"/>
    </row>
    <row r="1762">
      <c r="I1762" s="121"/>
    </row>
    <row r="1763">
      <c r="I1763" s="121"/>
    </row>
    <row r="1764">
      <c r="I1764" s="121"/>
    </row>
    <row r="1765">
      <c r="I1765" s="121"/>
    </row>
    <row r="1766">
      <c r="I1766" s="121"/>
    </row>
    <row r="1767">
      <c r="I1767" s="121"/>
    </row>
    <row r="1768">
      <c r="I1768" s="121"/>
    </row>
    <row r="1769">
      <c r="I1769" s="121"/>
    </row>
    <row r="1770">
      <c r="I1770" s="121"/>
    </row>
    <row r="1771">
      <c r="I1771" s="121"/>
    </row>
    <row r="1772">
      <c r="I1772" s="121"/>
    </row>
    <row r="1773">
      <c r="I1773" s="121"/>
    </row>
    <row r="1774">
      <c r="I1774" s="121"/>
    </row>
    <row r="1775">
      <c r="I1775" s="121"/>
    </row>
    <row r="1776">
      <c r="I1776" s="121"/>
    </row>
    <row r="1777">
      <c r="I1777" s="121"/>
    </row>
    <row r="1778">
      <c r="I1778" s="121"/>
    </row>
    <row r="1779">
      <c r="I1779" s="121"/>
    </row>
    <row r="1780">
      <c r="I1780" s="121"/>
    </row>
    <row r="1781">
      <c r="I1781" s="121"/>
    </row>
    <row r="1782">
      <c r="I1782" s="121"/>
    </row>
    <row r="1783">
      <c r="I1783" s="121"/>
    </row>
    <row r="1784">
      <c r="I1784" s="121"/>
    </row>
    <row r="1785">
      <c r="I1785" s="121"/>
    </row>
    <row r="1786">
      <c r="I1786" s="121"/>
    </row>
    <row r="1787">
      <c r="I1787" s="121"/>
    </row>
    <row r="1788">
      <c r="I1788" s="121"/>
    </row>
    <row r="1789">
      <c r="I1789" s="121"/>
    </row>
    <row r="1790">
      <c r="I1790" s="121"/>
    </row>
    <row r="1791">
      <c r="I1791" s="121"/>
    </row>
    <row r="1792">
      <c r="I1792" s="121"/>
    </row>
    <row r="1793">
      <c r="I1793" s="121"/>
    </row>
    <row r="1794">
      <c r="I1794" s="121"/>
    </row>
    <row r="1795">
      <c r="I1795" s="121"/>
    </row>
    <row r="1796">
      <c r="I1796" s="121"/>
    </row>
    <row r="1797">
      <c r="I1797" s="121"/>
    </row>
    <row r="1798">
      <c r="I1798" s="121"/>
    </row>
    <row r="1799">
      <c r="I1799" s="121"/>
    </row>
    <row r="1800">
      <c r="I1800" s="121"/>
    </row>
    <row r="1801">
      <c r="I1801" s="121"/>
    </row>
    <row r="1802">
      <c r="I1802" s="121"/>
    </row>
    <row r="1803">
      <c r="I1803" s="121"/>
    </row>
    <row r="1804">
      <c r="I1804" s="121"/>
    </row>
    <row r="1805">
      <c r="I1805" s="121"/>
    </row>
    <row r="1806">
      <c r="I1806" s="121"/>
    </row>
    <row r="1807">
      <c r="I1807" s="121"/>
    </row>
    <row r="1808">
      <c r="I1808" s="121"/>
    </row>
    <row r="1809">
      <c r="I1809" s="121"/>
    </row>
    <row r="1810">
      <c r="I1810" s="121"/>
    </row>
    <row r="1811">
      <c r="I1811" s="121"/>
    </row>
    <row r="1812">
      <c r="I1812" s="121"/>
    </row>
    <row r="1813">
      <c r="I1813" s="121"/>
    </row>
    <row r="1814">
      <c r="I1814" s="121"/>
    </row>
    <row r="1815">
      <c r="I1815" s="121"/>
    </row>
    <row r="1816">
      <c r="I1816" s="121"/>
    </row>
    <row r="1817">
      <c r="I1817" s="121"/>
    </row>
    <row r="1818">
      <c r="I1818" s="121"/>
    </row>
    <row r="1819">
      <c r="I1819" s="121"/>
    </row>
    <row r="1820">
      <c r="I1820" s="121"/>
    </row>
    <row r="1821">
      <c r="I1821" s="121"/>
    </row>
    <row r="1822">
      <c r="I1822" s="121"/>
    </row>
    <row r="1823">
      <c r="I1823" s="121"/>
    </row>
    <row r="1824">
      <c r="I1824" s="121"/>
    </row>
    <row r="1825">
      <c r="I1825" s="121"/>
    </row>
    <row r="1826">
      <c r="I1826" s="121"/>
    </row>
    <row r="1827">
      <c r="I1827" s="121"/>
    </row>
    <row r="1828">
      <c r="I1828" s="121"/>
    </row>
    <row r="1829">
      <c r="I1829" s="121"/>
    </row>
    <row r="1830">
      <c r="I1830" s="121"/>
    </row>
    <row r="1831">
      <c r="I1831" s="121"/>
    </row>
    <row r="1832">
      <c r="I1832" s="121"/>
    </row>
    <row r="1833">
      <c r="I1833" s="121"/>
    </row>
    <row r="1834">
      <c r="I1834" s="121"/>
    </row>
    <row r="1835">
      <c r="I1835" s="121"/>
    </row>
    <row r="1836">
      <c r="I1836" s="121"/>
    </row>
    <row r="1837">
      <c r="I1837" s="121"/>
    </row>
    <row r="1838">
      <c r="I1838" s="121"/>
    </row>
    <row r="1839">
      <c r="I1839" s="121"/>
    </row>
    <row r="1840">
      <c r="I1840" s="121"/>
    </row>
    <row r="1841">
      <c r="I1841" s="121"/>
    </row>
    <row r="1842">
      <c r="I1842" s="121"/>
    </row>
    <row r="1843">
      <c r="I1843" s="121"/>
    </row>
    <row r="1844">
      <c r="I1844" s="121"/>
    </row>
    <row r="1845">
      <c r="I1845" s="121"/>
    </row>
    <row r="1846">
      <c r="I1846" s="121"/>
    </row>
    <row r="1847">
      <c r="I1847" s="121"/>
    </row>
    <row r="1848">
      <c r="I1848" s="121"/>
    </row>
    <row r="1849">
      <c r="I1849" s="121"/>
    </row>
    <row r="1850">
      <c r="I1850" s="121"/>
    </row>
    <row r="1851">
      <c r="I1851" s="121"/>
    </row>
    <row r="1852">
      <c r="I1852" s="121"/>
    </row>
    <row r="1853">
      <c r="I1853" s="121"/>
    </row>
    <row r="1854">
      <c r="I1854" s="121"/>
    </row>
    <row r="1855">
      <c r="I1855" s="121"/>
    </row>
    <row r="1856">
      <c r="I1856" s="121"/>
    </row>
    <row r="1857">
      <c r="I1857" s="121"/>
    </row>
    <row r="1858">
      <c r="I1858" s="121"/>
    </row>
    <row r="1859">
      <c r="I1859" s="121"/>
    </row>
    <row r="1860">
      <c r="I1860" s="121"/>
    </row>
    <row r="1861">
      <c r="I1861" s="121"/>
    </row>
    <row r="1862">
      <c r="I1862" s="121"/>
    </row>
    <row r="1863">
      <c r="I1863" s="121"/>
    </row>
    <row r="1864">
      <c r="I1864" s="121"/>
    </row>
    <row r="1865">
      <c r="I1865" s="121"/>
    </row>
    <row r="1866">
      <c r="I1866" s="121"/>
    </row>
    <row r="1867">
      <c r="I1867" s="121"/>
    </row>
    <row r="1868">
      <c r="I1868" s="121"/>
    </row>
    <row r="1869">
      <c r="I1869" s="121"/>
    </row>
    <row r="1870">
      <c r="I1870" s="121"/>
    </row>
    <row r="1871">
      <c r="I1871" s="121"/>
    </row>
    <row r="1872">
      <c r="I1872" s="121"/>
    </row>
    <row r="1873">
      <c r="I1873" s="121"/>
    </row>
    <row r="1874">
      <c r="I1874" s="121"/>
    </row>
    <row r="1875">
      <c r="I1875" s="121"/>
    </row>
    <row r="1876">
      <c r="I1876" s="121"/>
    </row>
    <row r="1877">
      <c r="I1877" s="121"/>
    </row>
    <row r="1878">
      <c r="I1878" s="121"/>
    </row>
    <row r="1879">
      <c r="I1879" s="121"/>
    </row>
    <row r="1880">
      <c r="I1880" s="121"/>
    </row>
    <row r="1881">
      <c r="I1881" s="121"/>
    </row>
    <row r="1882">
      <c r="I1882" s="121"/>
    </row>
    <row r="1883">
      <c r="I1883" s="121"/>
    </row>
    <row r="1884">
      <c r="I1884" s="121"/>
    </row>
    <row r="1885">
      <c r="I1885" s="121"/>
    </row>
    <row r="1886">
      <c r="I1886" s="121"/>
    </row>
    <row r="1887">
      <c r="I1887" s="121"/>
    </row>
    <row r="1888">
      <c r="I1888" s="121"/>
    </row>
    <row r="1889">
      <c r="I1889" s="121"/>
    </row>
    <row r="1890">
      <c r="I1890" s="121"/>
    </row>
    <row r="1891">
      <c r="I1891" s="121"/>
    </row>
    <row r="1892">
      <c r="I1892" s="121"/>
    </row>
    <row r="1893">
      <c r="I1893" s="121"/>
    </row>
    <row r="1894">
      <c r="I1894" s="121"/>
    </row>
    <row r="1895">
      <c r="I1895" s="121"/>
    </row>
    <row r="1896">
      <c r="I1896" s="121"/>
    </row>
    <row r="1897">
      <c r="I1897" s="121"/>
    </row>
    <row r="1898">
      <c r="I1898" s="121"/>
    </row>
    <row r="1899">
      <c r="I1899" s="121"/>
    </row>
    <row r="1900">
      <c r="I1900" s="121"/>
    </row>
    <row r="1901">
      <c r="I1901" s="121"/>
    </row>
    <row r="1902">
      <c r="I1902" s="121"/>
    </row>
    <row r="1903">
      <c r="I1903" s="121"/>
    </row>
    <row r="1904">
      <c r="I1904" s="121"/>
    </row>
    <row r="1905">
      <c r="I1905" s="121"/>
    </row>
    <row r="1906">
      <c r="I1906" s="121"/>
    </row>
    <row r="1907">
      <c r="I1907" s="121"/>
    </row>
    <row r="1908">
      <c r="I1908" s="121"/>
    </row>
    <row r="1909">
      <c r="I1909" s="121"/>
    </row>
    <row r="1910">
      <c r="I1910" s="121"/>
    </row>
    <row r="1911">
      <c r="I1911" s="121"/>
    </row>
    <row r="1912">
      <c r="I1912" s="121"/>
    </row>
    <row r="1913">
      <c r="I1913" s="121"/>
    </row>
    <row r="1914">
      <c r="I1914" s="121"/>
    </row>
    <row r="1915">
      <c r="I1915" s="121"/>
    </row>
    <row r="1916">
      <c r="I1916" s="121"/>
    </row>
    <row r="1917">
      <c r="I1917" s="121"/>
    </row>
    <row r="1918">
      <c r="I1918" s="121"/>
    </row>
    <row r="1919">
      <c r="I1919" s="121"/>
    </row>
    <row r="1920">
      <c r="I1920" s="121"/>
    </row>
    <row r="1921">
      <c r="I1921" s="121"/>
    </row>
    <row r="1922">
      <c r="I1922" s="121"/>
    </row>
    <row r="1923">
      <c r="I1923" s="121"/>
    </row>
    <row r="1924">
      <c r="I1924" s="121"/>
    </row>
    <row r="1925">
      <c r="I1925" s="121"/>
    </row>
    <row r="1926">
      <c r="I1926" s="121"/>
    </row>
    <row r="1927">
      <c r="I1927" s="121"/>
    </row>
    <row r="1928">
      <c r="I1928" s="121"/>
    </row>
    <row r="1929">
      <c r="I1929" s="121"/>
    </row>
    <row r="1930">
      <c r="I1930" s="121"/>
    </row>
    <row r="1931">
      <c r="I1931" s="121"/>
    </row>
    <row r="1932">
      <c r="I1932" s="121"/>
    </row>
    <row r="1933">
      <c r="I1933" s="121"/>
    </row>
    <row r="1934">
      <c r="I1934" s="121"/>
    </row>
    <row r="1935">
      <c r="I1935" s="121"/>
    </row>
    <row r="1936">
      <c r="I1936" s="121"/>
    </row>
    <row r="1937">
      <c r="I1937" s="121"/>
    </row>
    <row r="1938">
      <c r="I1938" s="121"/>
    </row>
    <row r="1939">
      <c r="I1939" s="121"/>
    </row>
    <row r="1940">
      <c r="I1940" s="121"/>
    </row>
    <row r="1941">
      <c r="I1941" s="121"/>
    </row>
    <row r="1942">
      <c r="I1942" s="121"/>
    </row>
    <row r="1943">
      <c r="I1943" s="121"/>
    </row>
    <row r="1944">
      <c r="I1944" s="121"/>
    </row>
    <row r="1945">
      <c r="I1945" s="121"/>
    </row>
    <row r="1946">
      <c r="I1946" s="121"/>
    </row>
    <row r="1947">
      <c r="I1947" s="121"/>
    </row>
    <row r="1948">
      <c r="I1948" s="121"/>
    </row>
    <row r="1949">
      <c r="I1949" s="121"/>
    </row>
    <row r="1950">
      <c r="I1950" s="121"/>
    </row>
    <row r="1951">
      <c r="I1951" s="121"/>
    </row>
    <row r="1952">
      <c r="I1952" s="121"/>
    </row>
    <row r="1953">
      <c r="I1953" s="121"/>
    </row>
    <row r="1954">
      <c r="I1954" s="121"/>
    </row>
    <row r="1955">
      <c r="I1955" s="121"/>
    </row>
    <row r="1956">
      <c r="I1956" s="121"/>
    </row>
    <row r="1957">
      <c r="I1957" s="121"/>
    </row>
    <row r="1958">
      <c r="I1958" s="121"/>
    </row>
    <row r="1959">
      <c r="I1959" s="121"/>
    </row>
    <row r="1960">
      <c r="I1960" s="121"/>
    </row>
    <row r="1961">
      <c r="I1961" s="121"/>
    </row>
    <row r="1962">
      <c r="I1962" s="121"/>
    </row>
    <row r="1963">
      <c r="I1963" s="121"/>
    </row>
    <row r="1964">
      <c r="I1964" s="121"/>
    </row>
    <row r="1965">
      <c r="I1965" s="121"/>
    </row>
    <row r="1966">
      <c r="I1966" s="121"/>
    </row>
    <row r="1967">
      <c r="I1967" s="121"/>
    </row>
    <row r="1968">
      <c r="I1968" s="121"/>
    </row>
    <row r="1969">
      <c r="I1969" s="121"/>
    </row>
    <row r="1970">
      <c r="I1970" s="121"/>
    </row>
    <row r="1971">
      <c r="I1971" s="121"/>
    </row>
    <row r="1972">
      <c r="I1972" s="121"/>
    </row>
    <row r="1973">
      <c r="I1973" s="121"/>
    </row>
    <row r="1974">
      <c r="I1974" s="121"/>
    </row>
    <row r="1975">
      <c r="I1975" s="121"/>
    </row>
    <row r="1976">
      <c r="I1976" s="121"/>
    </row>
    <row r="1977">
      <c r="I1977" s="121"/>
    </row>
    <row r="1978">
      <c r="I1978" s="121"/>
    </row>
    <row r="1979">
      <c r="I1979" s="121"/>
    </row>
    <row r="1980">
      <c r="I1980" s="121"/>
    </row>
    <row r="1981">
      <c r="I1981" s="121"/>
    </row>
    <row r="1982">
      <c r="I1982" s="121"/>
    </row>
    <row r="1983">
      <c r="I1983" s="121"/>
    </row>
    <row r="1984">
      <c r="I1984" s="121"/>
    </row>
    <row r="1985">
      <c r="I1985" s="121"/>
    </row>
    <row r="1986">
      <c r="I1986" s="121"/>
    </row>
    <row r="1987">
      <c r="I1987" s="121"/>
    </row>
    <row r="1988">
      <c r="I1988" s="121"/>
    </row>
    <row r="1989">
      <c r="I1989" s="121"/>
    </row>
    <row r="1990">
      <c r="I1990" s="121"/>
    </row>
    <row r="1991">
      <c r="I1991" s="121"/>
    </row>
    <row r="1992">
      <c r="I1992" s="121"/>
    </row>
    <row r="1993">
      <c r="I1993" s="121"/>
    </row>
    <row r="1994">
      <c r="I1994" s="121"/>
    </row>
    <row r="1995">
      <c r="I1995" s="121"/>
    </row>
    <row r="1996">
      <c r="I1996" s="121"/>
    </row>
    <row r="1997">
      <c r="I1997" s="121"/>
    </row>
    <row r="1998">
      <c r="I1998" s="121"/>
    </row>
    <row r="1999">
      <c r="I1999" s="121"/>
    </row>
    <row r="2000">
      <c r="I2000" s="121"/>
    </row>
    <row r="2001">
      <c r="I2001" s="121"/>
    </row>
    <row r="2002">
      <c r="I2002" s="121"/>
    </row>
    <row r="2003">
      <c r="I2003" s="121"/>
    </row>
    <row r="2004">
      <c r="I2004" s="121"/>
    </row>
    <row r="2005">
      <c r="I2005" s="121"/>
    </row>
    <row r="2006">
      <c r="I2006" s="121"/>
    </row>
    <row r="2007">
      <c r="I2007" s="121"/>
    </row>
    <row r="2008">
      <c r="I2008" s="121"/>
    </row>
    <row r="2009">
      <c r="I2009" s="121"/>
    </row>
    <row r="2010">
      <c r="I2010" s="121"/>
    </row>
    <row r="2011">
      <c r="I2011" s="121"/>
    </row>
    <row r="2012">
      <c r="I2012" s="121"/>
    </row>
    <row r="2013">
      <c r="I2013" s="121"/>
    </row>
    <row r="2014">
      <c r="I2014" s="121"/>
    </row>
    <row r="2015">
      <c r="I2015" s="121"/>
    </row>
    <row r="2016">
      <c r="I2016" s="121"/>
    </row>
    <row r="2017">
      <c r="I2017" s="121"/>
    </row>
    <row r="2018">
      <c r="I2018" s="121"/>
    </row>
    <row r="2019">
      <c r="I2019" s="121"/>
    </row>
    <row r="2020">
      <c r="I2020" s="121"/>
    </row>
    <row r="2021">
      <c r="I2021" s="121"/>
    </row>
    <row r="2022">
      <c r="I2022" s="121"/>
    </row>
    <row r="2023">
      <c r="I2023" s="121"/>
    </row>
    <row r="2024">
      <c r="I2024" s="121"/>
    </row>
    <row r="2025">
      <c r="I2025" s="121"/>
    </row>
    <row r="2026">
      <c r="I2026" s="121"/>
    </row>
    <row r="2027">
      <c r="I2027" s="121"/>
    </row>
    <row r="2028">
      <c r="I2028" s="121"/>
    </row>
    <row r="2029">
      <c r="I2029" s="121"/>
    </row>
    <row r="2030">
      <c r="I2030" s="121"/>
    </row>
    <row r="2031">
      <c r="I2031" s="121"/>
    </row>
    <row r="2032">
      <c r="I2032" s="121"/>
    </row>
    <row r="2033">
      <c r="I2033" s="121"/>
    </row>
    <row r="2034">
      <c r="I2034" s="121"/>
    </row>
    <row r="2035">
      <c r="I2035" s="121"/>
    </row>
    <row r="2036">
      <c r="I2036" s="121"/>
    </row>
    <row r="2037">
      <c r="I2037" s="121"/>
    </row>
    <row r="2038">
      <c r="I2038" s="121"/>
    </row>
    <row r="2039">
      <c r="I2039" s="121"/>
    </row>
    <row r="2040">
      <c r="I2040" s="121"/>
    </row>
    <row r="2041">
      <c r="I2041" s="121"/>
    </row>
    <row r="2042">
      <c r="I2042" s="121"/>
    </row>
    <row r="2043">
      <c r="I2043" s="121"/>
    </row>
    <row r="2044">
      <c r="I2044" s="121"/>
    </row>
    <row r="2045">
      <c r="I2045" s="121"/>
    </row>
    <row r="2046">
      <c r="I2046" s="121"/>
    </row>
    <row r="2047">
      <c r="I2047" s="121"/>
    </row>
    <row r="2048">
      <c r="I2048" s="121"/>
    </row>
    <row r="2049">
      <c r="I2049" s="121"/>
    </row>
    <row r="2050">
      <c r="I2050" s="121"/>
    </row>
    <row r="2051">
      <c r="I2051" s="121"/>
    </row>
    <row r="2052">
      <c r="I2052" s="121"/>
    </row>
    <row r="2053">
      <c r="I2053" s="121"/>
    </row>
    <row r="2054">
      <c r="I2054" s="121"/>
    </row>
    <row r="2055">
      <c r="I2055" s="121"/>
    </row>
    <row r="2056">
      <c r="I2056" s="121"/>
    </row>
    <row r="2057">
      <c r="I2057" s="121"/>
    </row>
    <row r="2058">
      <c r="I2058" s="121"/>
    </row>
    <row r="2059">
      <c r="I2059" s="121"/>
    </row>
    <row r="2060">
      <c r="I2060" s="121"/>
    </row>
    <row r="2061">
      <c r="I2061" s="121"/>
    </row>
    <row r="2062">
      <c r="I2062" s="121"/>
    </row>
    <row r="2063">
      <c r="I2063" s="121"/>
    </row>
    <row r="2064">
      <c r="I2064" s="121"/>
    </row>
    <row r="2065">
      <c r="I2065" s="121"/>
    </row>
    <row r="2066">
      <c r="I2066" s="121"/>
    </row>
    <row r="2067">
      <c r="I2067" s="121"/>
    </row>
    <row r="2068">
      <c r="I2068" s="121"/>
    </row>
    <row r="2069">
      <c r="I2069" s="121"/>
    </row>
    <row r="2070">
      <c r="I2070" s="121"/>
    </row>
    <row r="2071">
      <c r="I2071" s="121"/>
    </row>
    <row r="2072">
      <c r="I2072" s="121"/>
    </row>
    <row r="2073">
      <c r="I2073" s="121"/>
    </row>
    <row r="2074">
      <c r="I2074" s="121"/>
    </row>
    <row r="2075">
      <c r="I2075" s="121"/>
    </row>
    <row r="2076">
      <c r="I2076" s="121"/>
    </row>
    <row r="2077">
      <c r="I2077" s="121"/>
    </row>
    <row r="2078">
      <c r="I2078" s="121"/>
    </row>
    <row r="2079">
      <c r="I2079" s="121"/>
    </row>
    <row r="2080">
      <c r="I2080" s="121"/>
    </row>
    <row r="2081">
      <c r="I2081" s="121"/>
    </row>
    <row r="2082">
      <c r="I2082" s="121"/>
    </row>
    <row r="2083">
      <c r="I2083" s="121"/>
    </row>
    <row r="2084">
      <c r="I2084" s="121"/>
    </row>
    <row r="2085">
      <c r="I2085" s="121"/>
    </row>
    <row r="2086">
      <c r="I2086" s="121"/>
    </row>
    <row r="2087">
      <c r="I2087" s="121"/>
    </row>
    <row r="2088">
      <c r="I2088" s="121"/>
    </row>
    <row r="2089">
      <c r="I2089" s="121"/>
    </row>
    <row r="2090">
      <c r="I2090" s="121"/>
    </row>
    <row r="2091">
      <c r="I2091" s="121"/>
    </row>
    <row r="2092">
      <c r="I2092" s="121"/>
    </row>
    <row r="2093">
      <c r="I2093" s="121"/>
    </row>
    <row r="2094">
      <c r="I2094" s="121"/>
    </row>
    <row r="2095">
      <c r="I2095" s="121"/>
    </row>
    <row r="2096">
      <c r="I2096" s="121"/>
    </row>
    <row r="2097">
      <c r="I2097" s="121"/>
    </row>
    <row r="2098">
      <c r="I2098" s="121"/>
    </row>
    <row r="2099">
      <c r="I2099" s="121"/>
    </row>
    <row r="2100">
      <c r="I2100" s="121"/>
    </row>
    <row r="2101">
      <c r="I2101" s="121"/>
    </row>
    <row r="2102">
      <c r="I2102" s="121"/>
    </row>
    <row r="2103">
      <c r="I2103" s="121"/>
    </row>
    <row r="2104">
      <c r="I2104" s="121"/>
    </row>
    <row r="2105">
      <c r="I2105" s="121"/>
    </row>
    <row r="2106">
      <c r="I2106" s="121"/>
    </row>
    <row r="2107">
      <c r="I2107" s="121"/>
    </row>
    <row r="2108">
      <c r="I2108" s="121"/>
    </row>
    <row r="2109">
      <c r="I2109" s="121"/>
    </row>
    <row r="2110">
      <c r="I2110" s="121"/>
    </row>
    <row r="2111">
      <c r="I2111" s="121"/>
    </row>
    <row r="2112">
      <c r="I2112" s="121"/>
    </row>
    <row r="2113">
      <c r="I2113" s="121"/>
    </row>
    <row r="2114">
      <c r="I2114" s="121"/>
    </row>
    <row r="2115">
      <c r="I2115" s="121"/>
    </row>
    <row r="2116">
      <c r="I2116" s="121"/>
    </row>
    <row r="2117">
      <c r="I2117" s="121"/>
    </row>
    <row r="2118">
      <c r="I2118" s="121"/>
    </row>
    <row r="2119">
      <c r="I2119" s="121"/>
    </row>
    <row r="2120">
      <c r="I2120" s="121"/>
    </row>
    <row r="2121">
      <c r="I2121" s="121"/>
    </row>
    <row r="2122">
      <c r="I2122" s="121"/>
    </row>
    <row r="2123">
      <c r="I2123" s="121"/>
    </row>
    <row r="2124">
      <c r="I2124" s="121"/>
    </row>
    <row r="2125">
      <c r="I2125" s="121"/>
    </row>
    <row r="2126">
      <c r="I2126" s="121"/>
    </row>
    <row r="2127">
      <c r="I2127" s="121"/>
    </row>
    <row r="2128">
      <c r="I2128" s="121"/>
    </row>
    <row r="2129">
      <c r="I2129" s="121"/>
    </row>
    <row r="2130">
      <c r="I2130" s="121"/>
    </row>
    <row r="2131">
      <c r="I2131" s="121"/>
    </row>
    <row r="2132">
      <c r="I2132" s="121"/>
    </row>
    <row r="2133">
      <c r="I2133" s="121"/>
    </row>
    <row r="2134">
      <c r="I2134" s="121"/>
    </row>
    <row r="2135">
      <c r="I2135" s="121"/>
    </row>
    <row r="2136">
      <c r="I2136" s="121"/>
    </row>
    <row r="2137">
      <c r="I2137" s="121"/>
    </row>
    <row r="2138">
      <c r="I2138" s="121"/>
    </row>
    <row r="2139">
      <c r="I2139" s="121"/>
    </row>
    <row r="2140">
      <c r="I2140" s="121"/>
    </row>
    <row r="2141">
      <c r="I2141" s="121"/>
    </row>
    <row r="2142">
      <c r="I2142" s="121"/>
    </row>
    <row r="2143">
      <c r="I2143" s="121"/>
    </row>
    <row r="2144">
      <c r="I2144" s="121"/>
    </row>
    <row r="2145">
      <c r="I2145" s="121"/>
    </row>
    <row r="2146">
      <c r="I2146" s="121"/>
    </row>
    <row r="2147">
      <c r="I2147" s="121"/>
    </row>
    <row r="2148">
      <c r="I2148" s="121"/>
    </row>
    <row r="2149">
      <c r="I2149" s="121"/>
    </row>
    <row r="2150">
      <c r="I2150" s="121"/>
    </row>
    <row r="2151">
      <c r="I2151" s="121"/>
    </row>
    <row r="2152">
      <c r="I2152" s="121"/>
    </row>
    <row r="2153">
      <c r="I2153" s="121"/>
    </row>
    <row r="2154">
      <c r="I2154" s="121"/>
    </row>
    <row r="2155">
      <c r="I2155" s="121"/>
    </row>
    <row r="2156">
      <c r="I2156" s="121"/>
    </row>
    <row r="2157">
      <c r="I2157" s="121"/>
    </row>
    <row r="2158">
      <c r="I2158" s="121"/>
    </row>
    <row r="2159">
      <c r="I2159" s="121"/>
    </row>
    <row r="2160">
      <c r="I2160" s="121"/>
    </row>
    <row r="2161">
      <c r="I2161" s="121"/>
    </row>
    <row r="2162">
      <c r="I2162" s="121"/>
    </row>
    <row r="2163">
      <c r="I2163" s="121"/>
    </row>
    <row r="2164">
      <c r="I2164" s="121"/>
    </row>
    <row r="2165">
      <c r="I2165" s="121"/>
    </row>
    <row r="2166">
      <c r="I2166" s="121"/>
    </row>
    <row r="2167">
      <c r="I2167" s="121"/>
    </row>
    <row r="2168">
      <c r="I2168" s="121"/>
    </row>
    <row r="2169">
      <c r="I2169" s="121"/>
    </row>
    <row r="2170">
      <c r="I2170" s="121"/>
    </row>
    <row r="2171">
      <c r="I2171" s="121"/>
    </row>
    <row r="2172">
      <c r="I2172" s="121"/>
    </row>
    <row r="2173">
      <c r="I2173" s="121"/>
    </row>
    <row r="2174">
      <c r="I2174" s="121"/>
    </row>
    <row r="2175">
      <c r="I2175" s="121"/>
    </row>
    <row r="2176">
      <c r="I2176" s="121"/>
    </row>
    <row r="2177">
      <c r="I2177" s="121"/>
    </row>
    <row r="2178">
      <c r="I2178" s="121"/>
    </row>
    <row r="2179">
      <c r="I2179" s="121"/>
    </row>
    <row r="2180">
      <c r="I2180" s="121"/>
    </row>
    <row r="2181">
      <c r="I2181" s="121"/>
    </row>
    <row r="2182">
      <c r="I2182" s="121"/>
    </row>
    <row r="2183">
      <c r="I2183" s="121"/>
    </row>
    <row r="2184">
      <c r="I2184" s="121"/>
    </row>
    <row r="2185">
      <c r="I2185" s="121"/>
    </row>
    <row r="2186">
      <c r="I2186" s="121"/>
    </row>
    <row r="2187">
      <c r="I2187" s="121"/>
    </row>
    <row r="2188">
      <c r="I2188" s="121"/>
    </row>
    <row r="2189">
      <c r="I2189" s="121"/>
    </row>
    <row r="2190">
      <c r="I2190" s="121"/>
    </row>
    <row r="2191">
      <c r="I2191" s="121"/>
    </row>
    <row r="2192">
      <c r="I2192" s="121"/>
    </row>
    <row r="2193">
      <c r="I2193" s="121"/>
    </row>
    <row r="2194">
      <c r="I2194" s="121"/>
    </row>
    <row r="2195">
      <c r="I2195" s="121"/>
    </row>
    <row r="2196">
      <c r="I2196" s="121"/>
    </row>
    <row r="2197">
      <c r="I2197" s="121"/>
    </row>
    <row r="2198">
      <c r="I2198" s="121"/>
    </row>
    <row r="2199">
      <c r="I2199" s="121"/>
    </row>
    <row r="2200">
      <c r="I2200" s="121"/>
    </row>
    <row r="2201">
      <c r="I2201" s="121"/>
    </row>
    <row r="2202">
      <c r="I2202" s="121"/>
    </row>
    <row r="2203">
      <c r="I2203" s="121"/>
    </row>
    <row r="2204">
      <c r="I2204" s="121"/>
    </row>
    <row r="2205">
      <c r="I2205" s="121"/>
    </row>
    <row r="2206">
      <c r="I2206" s="121"/>
    </row>
    <row r="2207">
      <c r="I2207" s="121"/>
    </row>
    <row r="2208">
      <c r="I2208" s="121"/>
    </row>
    <row r="2209">
      <c r="I2209" s="121"/>
    </row>
    <row r="2210">
      <c r="I2210" s="121"/>
    </row>
    <row r="2211">
      <c r="I2211" s="121"/>
    </row>
    <row r="2212">
      <c r="I2212" s="121"/>
    </row>
    <row r="2213">
      <c r="I2213" s="121"/>
    </row>
    <row r="2214">
      <c r="I2214" s="121"/>
    </row>
    <row r="2215">
      <c r="I2215" s="121"/>
    </row>
    <row r="2216">
      <c r="I2216" s="121"/>
    </row>
    <row r="2217">
      <c r="I2217" s="121"/>
    </row>
    <row r="2218">
      <c r="I2218" s="121"/>
    </row>
    <row r="2219">
      <c r="I2219" s="121"/>
    </row>
    <row r="2220">
      <c r="I2220" s="121"/>
    </row>
    <row r="2221">
      <c r="I2221" s="121"/>
    </row>
    <row r="2222">
      <c r="I2222" s="121"/>
    </row>
    <row r="2223">
      <c r="I2223" s="121"/>
    </row>
    <row r="2224">
      <c r="I2224" s="121"/>
    </row>
    <row r="2225">
      <c r="I2225" s="121"/>
    </row>
    <row r="2226">
      <c r="I2226" s="121"/>
    </row>
    <row r="2227">
      <c r="I2227" s="121"/>
    </row>
    <row r="2228">
      <c r="I2228" s="121"/>
    </row>
    <row r="2229">
      <c r="I2229" s="121"/>
    </row>
    <row r="2230">
      <c r="I2230" s="121"/>
    </row>
    <row r="2231">
      <c r="I2231" s="121"/>
    </row>
    <row r="2232">
      <c r="I2232" s="121"/>
    </row>
    <row r="2233">
      <c r="I2233" s="121"/>
    </row>
    <row r="2234">
      <c r="I2234" s="121"/>
    </row>
    <row r="2235">
      <c r="I2235" s="121"/>
    </row>
    <row r="2236">
      <c r="I2236" s="121"/>
    </row>
    <row r="2237">
      <c r="I2237" s="121"/>
    </row>
    <row r="2238">
      <c r="I2238" s="121"/>
    </row>
    <row r="2239">
      <c r="I2239" s="121"/>
    </row>
    <row r="2240">
      <c r="I2240" s="121"/>
    </row>
    <row r="2241">
      <c r="I2241" s="121"/>
    </row>
    <row r="2242">
      <c r="I2242" s="121"/>
    </row>
    <row r="2243">
      <c r="I2243" s="121"/>
    </row>
    <row r="2244">
      <c r="I2244" s="121"/>
    </row>
    <row r="2245">
      <c r="I2245" s="121"/>
    </row>
    <row r="2246">
      <c r="I2246" s="121"/>
    </row>
    <row r="2247">
      <c r="I2247" s="121"/>
    </row>
    <row r="2248">
      <c r="I2248" s="121"/>
    </row>
    <row r="2249">
      <c r="I2249" s="121"/>
    </row>
    <row r="2250">
      <c r="I2250" s="121"/>
    </row>
    <row r="2251">
      <c r="I2251" s="121"/>
    </row>
    <row r="2252">
      <c r="I2252" s="121"/>
    </row>
    <row r="2253">
      <c r="I2253" s="121"/>
    </row>
    <row r="2254">
      <c r="I2254" s="121"/>
    </row>
    <row r="2255">
      <c r="I2255" s="121"/>
    </row>
    <row r="2256">
      <c r="I2256" s="121"/>
    </row>
    <row r="2257">
      <c r="I2257" s="121"/>
    </row>
    <row r="2258">
      <c r="I2258" s="121"/>
    </row>
    <row r="2259">
      <c r="I2259" s="121"/>
    </row>
    <row r="2260">
      <c r="I2260" s="121"/>
    </row>
    <row r="2261">
      <c r="I2261" s="121"/>
    </row>
    <row r="2262">
      <c r="I2262" s="121"/>
    </row>
    <row r="2263">
      <c r="I2263" s="121"/>
    </row>
    <row r="2264">
      <c r="I2264" s="121"/>
    </row>
    <row r="2265">
      <c r="I2265" s="121"/>
    </row>
    <row r="2266">
      <c r="I2266" s="121"/>
    </row>
    <row r="2267">
      <c r="I2267" s="121"/>
    </row>
    <row r="2268">
      <c r="I2268" s="121"/>
    </row>
    <row r="2269">
      <c r="I2269" s="121"/>
    </row>
    <row r="2270">
      <c r="I2270" s="121"/>
    </row>
    <row r="2271">
      <c r="I2271" s="121"/>
    </row>
    <row r="2272">
      <c r="I2272" s="121"/>
    </row>
    <row r="2273">
      <c r="I2273" s="121"/>
    </row>
    <row r="2274">
      <c r="I2274" s="121"/>
    </row>
    <row r="2275">
      <c r="I2275" s="121"/>
    </row>
    <row r="2276">
      <c r="I2276" s="121"/>
    </row>
    <row r="2277">
      <c r="I2277" s="121"/>
    </row>
    <row r="2278">
      <c r="I2278" s="121"/>
    </row>
    <row r="2279">
      <c r="I2279" s="121"/>
    </row>
    <row r="2280">
      <c r="I2280" s="121"/>
    </row>
    <row r="2281">
      <c r="I2281" s="121"/>
    </row>
    <row r="2282">
      <c r="I2282" s="121"/>
    </row>
    <row r="2283">
      <c r="I2283" s="121"/>
    </row>
    <row r="2284">
      <c r="I2284" s="121"/>
    </row>
    <row r="2285">
      <c r="I2285" s="121"/>
    </row>
    <row r="2286">
      <c r="I2286" s="121"/>
    </row>
    <row r="2287">
      <c r="I2287" s="121"/>
    </row>
    <row r="2288">
      <c r="I2288" s="121"/>
    </row>
    <row r="2289">
      <c r="I2289" s="121"/>
    </row>
    <row r="2290">
      <c r="I2290" s="121"/>
    </row>
    <row r="2291">
      <c r="I2291" s="121"/>
    </row>
    <row r="2292">
      <c r="I2292" s="121"/>
    </row>
    <row r="2293">
      <c r="I2293" s="121"/>
    </row>
    <row r="2294">
      <c r="I2294" s="121"/>
    </row>
    <row r="2295">
      <c r="I2295" s="121"/>
    </row>
    <row r="2296">
      <c r="I2296" s="121"/>
    </row>
    <row r="2297">
      <c r="I2297" s="121"/>
    </row>
    <row r="2298">
      <c r="I2298" s="121"/>
    </row>
    <row r="2299">
      <c r="I2299" s="121"/>
    </row>
    <row r="2300">
      <c r="I2300" s="121"/>
    </row>
    <row r="2301">
      <c r="I2301" s="121"/>
    </row>
    <row r="2302">
      <c r="I2302" s="121"/>
    </row>
    <row r="2303">
      <c r="I2303" s="121"/>
    </row>
    <row r="2304">
      <c r="I2304" s="121"/>
    </row>
    <row r="2305">
      <c r="I2305" s="121"/>
    </row>
    <row r="2306">
      <c r="I2306" s="121"/>
    </row>
    <row r="2307">
      <c r="I2307" s="121"/>
    </row>
    <row r="2308">
      <c r="I2308" s="121"/>
    </row>
    <row r="2309">
      <c r="I2309" s="121"/>
    </row>
    <row r="2310">
      <c r="I2310" s="121"/>
    </row>
    <row r="2311">
      <c r="I2311" s="121"/>
    </row>
    <row r="2312">
      <c r="I2312" s="121"/>
    </row>
    <row r="2313">
      <c r="I2313" s="121"/>
    </row>
    <row r="2314">
      <c r="I2314" s="121"/>
    </row>
    <row r="2315">
      <c r="I2315" s="121"/>
    </row>
    <row r="2316">
      <c r="I2316" s="121"/>
    </row>
    <row r="2317">
      <c r="I2317" s="121"/>
    </row>
    <row r="2318">
      <c r="I2318" s="121"/>
    </row>
    <row r="2319">
      <c r="I2319" s="121"/>
    </row>
    <row r="2320">
      <c r="I2320" s="121"/>
    </row>
    <row r="2321">
      <c r="I2321" s="121"/>
    </row>
    <row r="2322">
      <c r="I2322" s="121"/>
    </row>
    <row r="2323">
      <c r="I2323" s="121"/>
    </row>
    <row r="2324">
      <c r="I2324" s="121"/>
    </row>
    <row r="2325">
      <c r="I2325" s="121"/>
    </row>
    <row r="2326">
      <c r="I2326" s="121"/>
    </row>
    <row r="2327">
      <c r="I2327" s="121"/>
    </row>
    <row r="2328">
      <c r="I2328" s="121"/>
    </row>
    <row r="2329">
      <c r="I2329" s="121"/>
    </row>
    <row r="2330">
      <c r="I2330" s="121"/>
    </row>
    <row r="2331">
      <c r="I2331" s="121"/>
    </row>
    <row r="2332">
      <c r="I2332" s="121"/>
    </row>
    <row r="2333">
      <c r="I2333" s="121"/>
    </row>
    <row r="2334">
      <c r="I2334" s="121"/>
    </row>
    <row r="2335">
      <c r="I2335" s="121"/>
    </row>
    <row r="2336">
      <c r="I2336" s="121"/>
    </row>
    <row r="2337">
      <c r="I2337" s="121"/>
    </row>
    <row r="2338">
      <c r="I2338" s="121"/>
    </row>
    <row r="2339">
      <c r="I2339" s="121"/>
    </row>
    <row r="2340">
      <c r="I2340" s="121"/>
    </row>
    <row r="2341">
      <c r="I2341" s="121"/>
    </row>
    <row r="2342">
      <c r="I2342" s="121"/>
    </row>
    <row r="2343">
      <c r="I2343" s="121"/>
    </row>
    <row r="2344">
      <c r="I2344" s="121"/>
    </row>
    <row r="2345">
      <c r="I2345" s="121"/>
    </row>
    <row r="2346">
      <c r="I2346" s="121"/>
    </row>
    <row r="2347">
      <c r="I2347" s="121"/>
    </row>
    <row r="2348">
      <c r="I2348" s="121"/>
    </row>
    <row r="2349">
      <c r="I2349" s="121"/>
    </row>
    <row r="2350">
      <c r="I2350" s="121"/>
    </row>
    <row r="2351">
      <c r="I2351" s="121"/>
    </row>
    <row r="2352">
      <c r="I2352" s="121"/>
    </row>
    <row r="2353">
      <c r="I2353" s="121"/>
    </row>
    <row r="2354">
      <c r="I2354" s="121"/>
    </row>
    <row r="2355">
      <c r="I2355" s="121"/>
    </row>
    <row r="2356">
      <c r="I2356" s="121"/>
    </row>
    <row r="2357">
      <c r="I2357" s="121"/>
    </row>
    <row r="2358">
      <c r="I2358" s="121"/>
    </row>
    <row r="2359">
      <c r="I2359" s="121"/>
    </row>
    <row r="2360">
      <c r="I2360" s="121"/>
    </row>
    <row r="2361">
      <c r="I2361" s="121"/>
    </row>
    <row r="2362">
      <c r="I2362" s="121"/>
    </row>
    <row r="2363">
      <c r="I2363" s="121"/>
    </row>
    <row r="2364">
      <c r="I2364" s="121"/>
    </row>
    <row r="2365">
      <c r="I2365" s="121"/>
    </row>
    <row r="2366">
      <c r="I2366" s="121"/>
    </row>
    <row r="2367">
      <c r="I2367" s="121"/>
    </row>
    <row r="2368">
      <c r="I2368" s="121"/>
    </row>
    <row r="2369">
      <c r="I2369" s="121"/>
    </row>
    <row r="2370">
      <c r="I2370" s="121"/>
    </row>
    <row r="2371">
      <c r="I2371" s="121"/>
    </row>
    <row r="2372">
      <c r="I2372" s="121"/>
    </row>
    <row r="2373">
      <c r="I2373" s="121"/>
    </row>
    <row r="2374">
      <c r="I2374" s="121"/>
    </row>
    <row r="2375">
      <c r="I2375" s="121"/>
    </row>
    <row r="2376">
      <c r="I2376" s="121"/>
    </row>
    <row r="2377">
      <c r="I2377" s="121"/>
    </row>
    <row r="2378">
      <c r="I2378" s="121"/>
    </row>
    <row r="2379">
      <c r="I2379" s="121"/>
    </row>
    <row r="2380">
      <c r="I2380" s="121"/>
    </row>
    <row r="2381">
      <c r="I2381" s="121"/>
    </row>
    <row r="2382">
      <c r="I2382" s="121"/>
    </row>
    <row r="2383">
      <c r="I2383" s="121"/>
    </row>
    <row r="2384">
      <c r="I2384" s="121"/>
    </row>
    <row r="2385">
      <c r="I2385" s="121"/>
    </row>
    <row r="2386">
      <c r="I2386" s="121"/>
    </row>
    <row r="2387">
      <c r="I2387" s="121"/>
    </row>
    <row r="2388">
      <c r="I2388" s="121"/>
    </row>
    <row r="2389">
      <c r="I2389" s="121"/>
    </row>
    <row r="2390">
      <c r="I2390" s="121"/>
    </row>
    <row r="2391">
      <c r="I2391" s="121"/>
    </row>
    <row r="2392">
      <c r="I2392" s="121"/>
    </row>
    <row r="2393">
      <c r="I2393" s="121"/>
    </row>
    <row r="2394">
      <c r="I2394" s="121"/>
    </row>
    <row r="2395">
      <c r="I2395" s="121"/>
    </row>
    <row r="2396">
      <c r="I2396" s="121"/>
    </row>
    <row r="2397">
      <c r="I2397" s="121"/>
    </row>
    <row r="2398">
      <c r="I2398" s="121"/>
    </row>
    <row r="2399">
      <c r="I2399" s="121"/>
    </row>
    <row r="2400">
      <c r="I2400" s="121"/>
    </row>
    <row r="2401">
      <c r="I2401" s="121"/>
    </row>
    <row r="2402">
      <c r="I2402" s="121"/>
    </row>
    <row r="2403">
      <c r="I2403" s="121"/>
    </row>
    <row r="2404">
      <c r="I2404" s="121"/>
    </row>
    <row r="2405">
      <c r="I2405" s="121"/>
    </row>
    <row r="2406">
      <c r="I2406" s="121"/>
    </row>
    <row r="2407">
      <c r="I2407" s="121"/>
    </row>
    <row r="2408">
      <c r="I2408" s="121"/>
    </row>
    <row r="2409">
      <c r="I2409" s="121"/>
    </row>
    <row r="2410">
      <c r="I2410" s="121"/>
    </row>
    <row r="2411">
      <c r="I2411" s="121"/>
    </row>
    <row r="2412">
      <c r="I2412" s="121"/>
    </row>
    <row r="2413">
      <c r="I2413" s="121"/>
    </row>
    <row r="2414">
      <c r="I2414" s="121"/>
    </row>
    <row r="2415">
      <c r="I2415" s="121"/>
    </row>
    <row r="2416">
      <c r="I2416" s="121"/>
    </row>
    <row r="2417">
      <c r="I2417" s="121"/>
    </row>
    <row r="2418">
      <c r="I2418" s="121"/>
    </row>
    <row r="2419">
      <c r="I2419" s="121"/>
    </row>
    <row r="2420">
      <c r="I2420" s="121"/>
    </row>
    <row r="2421">
      <c r="I2421" s="121"/>
    </row>
    <row r="2422">
      <c r="I2422" s="121"/>
    </row>
    <row r="2423">
      <c r="I2423" s="121"/>
    </row>
    <row r="2424">
      <c r="I2424" s="121"/>
    </row>
    <row r="2425">
      <c r="I2425" s="121"/>
    </row>
    <row r="2426">
      <c r="I2426" s="121"/>
    </row>
    <row r="2427">
      <c r="I2427" s="121"/>
    </row>
    <row r="2428">
      <c r="I2428" s="121"/>
    </row>
    <row r="2429">
      <c r="I2429" s="121"/>
    </row>
    <row r="2430">
      <c r="I2430" s="121"/>
    </row>
    <row r="2431">
      <c r="I2431" s="121"/>
    </row>
    <row r="2432">
      <c r="I2432" s="121"/>
    </row>
    <row r="2433">
      <c r="I2433" s="121"/>
    </row>
    <row r="2434">
      <c r="I2434" s="121"/>
    </row>
    <row r="2435">
      <c r="I2435" s="121"/>
    </row>
    <row r="2436">
      <c r="I2436" s="121"/>
    </row>
    <row r="2437">
      <c r="I2437" s="121"/>
    </row>
    <row r="2438">
      <c r="I2438" s="121"/>
    </row>
    <row r="2439">
      <c r="I2439" s="121"/>
    </row>
    <row r="2440">
      <c r="I2440" s="121"/>
    </row>
    <row r="2441">
      <c r="I2441" s="121"/>
    </row>
    <row r="2442">
      <c r="I2442" s="121"/>
    </row>
    <row r="2443">
      <c r="I2443" s="121"/>
    </row>
    <row r="2444">
      <c r="I2444" s="121"/>
    </row>
    <row r="2445">
      <c r="I2445" s="121"/>
    </row>
    <row r="2446">
      <c r="I2446" s="121"/>
    </row>
    <row r="2447">
      <c r="I2447" s="121"/>
    </row>
    <row r="2448">
      <c r="I2448" s="121"/>
    </row>
    <row r="2449">
      <c r="I2449" s="121"/>
    </row>
    <row r="2450">
      <c r="I2450" s="121"/>
    </row>
    <row r="2451">
      <c r="I2451" s="121"/>
    </row>
    <row r="2452">
      <c r="I2452" s="121"/>
    </row>
    <row r="2453">
      <c r="I2453" s="121"/>
    </row>
    <row r="2454">
      <c r="I2454" s="121"/>
    </row>
    <row r="2455">
      <c r="I2455" s="121"/>
    </row>
    <row r="2456">
      <c r="I2456" s="121"/>
    </row>
    <row r="2457">
      <c r="I2457" s="121"/>
    </row>
    <row r="2458">
      <c r="I2458" s="121"/>
    </row>
    <row r="2459">
      <c r="I2459" s="121"/>
    </row>
    <row r="2460">
      <c r="I2460" s="121"/>
    </row>
    <row r="2461">
      <c r="I2461" s="121"/>
    </row>
    <row r="2462">
      <c r="I2462" s="121"/>
    </row>
    <row r="2463">
      <c r="I2463" s="121"/>
    </row>
    <row r="2464">
      <c r="I2464" s="121"/>
    </row>
    <row r="2465">
      <c r="I2465" s="121"/>
    </row>
    <row r="2466">
      <c r="I2466" s="121"/>
    </row>
    <row r="2467">
      <c r="I2467" s="121"/>
    </row>
    <row r="2468">
      <c r="I2468" s="121"/>
    </row>
    <row r="2469">
      <c r="I2469" s="121"/>
    </row>
    <row r="2470">
      <c r="I2470" s="121"/>
    </row>
    <row r="2471">
      <c r="I2471" s="121"/>
    </row>
    <row r="2472">
      <c r="I2472" s="121"/>
    </row>
    <row r="2473">
      <c r="I2473" s="121"/>
    </row>
    <row r="2474">
      <c r="I2474" s="121"/>
    </row>
    <row r="2475">
      <c r="I2475" s="121"/>
    </row>
    <row r="2476">
      <c r="I2476" s="121"/>
    </row>
    <row r="2477">
      <c r="I2477" s="121"/>
    </row>
    <row r="2478">
      <c r="I2478" s="121"/>
    </row>
    <row r="2479">
      <c r="I2479" s="121"/>
    </row>
    <row r="2480">
      <c r="I2480" s="121"/>
    </row>
    <row r="2481">
      <c r="I2481" s="121"/>
    </row>
    <row r="2482">
      <c r="I2482" s="121"/>
    </row>
    <row r="2483">
      <c r="I2483" s="121"/>
    </row>
    <row r="2484">
      <c r="I2484" s="121"/>
    </row>
    <row r="2485">
      <c r="I2485" s="121"/>
    </row>
    <row r="2486">
      <c r="I2486" s="121"/>
    </row>
    <row r="2487">
      <c r="I2487" s="121"/>
    </row>
    <row r="2488">
      <c r="I2488" s="121"/>
    </row>
    <row r="2489">
      <c r="I2489" s="121"/>
    </row>
    <row r="2490">
      <c r="I2490" s="121"/>
    </row>
    <row r="2491">
      <c r="I2491" s="121"/>
    </row>
    <row r="2492">
      <c r="I2492" s="121"/>
    </row>
    <row r="2493">
      <c r="I2493" s="121"/>
    </row>
    <row r="2494">
      <c r="I2494" s="121"/>
    </row>
    <row r="2495">
      <c r="I2495" s="121"/>
    </row>
    <row r="2496">
      <c r="I2496" s="121"/>
    </row>
    <row r="2497">
      <c r="I2497" s="121"/>
    </row>
    <row r="2498">
      <c r="I2498" s="121"/>
    </row>
    <row r="2499">
      <c r="I2499" s="121"/>
    </row>
    <row r="2500">
      <c r="I2500" s="121"/>
    </row>
    <row r="2501">
      <c r="I2501" s="121"/>
    </row>
    <row r="2502">
      <c r="I2502" s="121"/>
    </row>
    <row r="2503">
      <c r="I2503" s="121"/>
    </row>
    <row r="2504">
      <c r="I2504" s="121"/>
    </row>
    <row r="2505">
      <c r="I2505" s="121"/>
    </row>
    <row r="2506">
      <c r="I2506" s="121"/>
    </row>
    <row r="2507">
      <c r="I2507" s="121"/>
    </row>
    <row r="2508">
      <c r="I2508" s="121"/>
    </row>
    <row r="2509">
      <c r="I2509" s="121"/>
    </row>
    <row r="2510">
      <c r="I2510" s="121"/>
    </row>
    <row r="2511">
      <c r="I2511" s="121"/>
    </row>
    <row r="2512">
      <c r="I2512" s="121"/>
    </row>
    <row r="2513">
      <c r="I2513" s="121"/>
    </row>
    <row r="2514">
      <c r="I2514" s="121"/>
    </row>
    <row r="2515">
      <c r="I2515" s="121"/>
    </row>
    <row r="2516">
      <c r="I2516" s="121"/>
    </row>
    <row r="2517">
      <c r="I2517" s="121"/>
    </row>
    <row r="2518">
      <c r="I2518" s="121"/>
    </row>
    <row r="2519">
      <c r="I2519" s="121"/>
    </row>
    <row r="2520">
      <c r="I2520" s="121"/>
    </row>
    <row r="2521">
      <c r="I2521" s="121"/>
    </row>
    <row r="2522">
      <c r="I2522" s="121"/>
    </row>
    <row r="2523">
      <c r="I2523" s="121"/>
    </row>
    <row r="2524">
      <c r="I2524" s="121"/>
    </row>
    <row r="2525">
      <c r="I2525" s="121"/>
    </row>
    <row r="2526">
      <c r="I2526" s="121"/>
    </row>
    <row r="2527">
      <c r="I2527" s="121"/>
    </row>
    <row r="2528">
      <c r="I2528" s="121"/>
    </row>
    <row r="2529">
      <c r="I2529" s="121"/>
    </row>
    <row r="2530">
      <c r="I2530" s="121"/>
    </row>
    <row r="2531">
      <c r="I2531" s="121"/>
    </row>
    <row r="2532">
      <c r="I2532" s="121"/>
    </row>
    <row r="2533">
      <c r="I2533" s="121"/>
    </row>
    <row r="2534">
      <c r="I2534" s="121"/>
    </row>
    <row r="2535">
      <c r="I2535" s="121"/>
    </row>
    <row r="2536">
      <c r="I2536" s="121"/>
    </row>
    <row r="2537">
      <c r="I2537" s="121"/>
    </row>
    <row r="2538">
      <c r="I2538" s="121"/>
    </row>
    <row r="2539">
      <c r="I2539" s="121"/>
    </row>
    <row r="2540">
      <c r="I2540" s="121"/>
    </row>
    <row r="2541">
      <c r="I2541" s="121"/>
    </row>
    <row r="2542">
      <c r="I2542" s="121"/>
    </row>
    <row r="2543">
      <c r="I2543" s="121"/>
    </row>
    <row r="2544">
      <c r="I2544" s="121"/>
    </row>
    <row r="2545">
      <c r="I2545" s="121"/>
    </row>
    <row r="2546">
      <c r="I2546" s="121"/>
    </row>
    <row r="2547">
      <c r="I2547" s="121"/>
    </row>
    <row r="2548">
      <c r="I2548" s="121"/>
    </row>
    <row r="2549">
      <c r="I2549" s="121"/>
    </row>
    <row r="2550">
      <c r="I2550" s="121"/>
    </row>
    <row r="2551">
      <c r="I2551" s="121"/>
    </row>
    <row r="2552">
      <c r="I2552" s="121"/>
    </row>
    <row r="2553">
      <c r="I2553" s="121"/>
    </row>
    <row r="2554">
      <c r="I2554" s="121"/>
    </row>
    <row r="2555">
      <c r="I2555" s="121"/>
    </row>
    <row r="2556">
      <c r="I2556" s="121"/>
    </row>
    <row r="2557">
      <c r="I2557" s="121"/>
    </row>
    <row r="2558">
      <c r="I2558" s="121"/>
    </row>
    <row r="2559">
      <c r="I2559" s="121"/>
    </row>
    <row r="2560">
      <c r="I2560" s="121"/>
    </row>
    <row r="2561">
      <c r="I2561" s="121"/>
    </row>
    <row r="2562">
      <c r="I2562" s="121"/>
    </row>
    <row r="2563">
      <c r="I2563" s="121"/>
    </row>
    <row r="2564">
      <c r="I2564" s="121"/>
    </row>
    <row r="2565">
      <c r="I2565" s="121"/>
    </row>
    <row r="2566">
      <c r="I2566" s="121"/>
    </row>
    <row r="2567">
      <c r="I2567" s="121"/>
    </row>
    <row r="2568">
      <c r="I2568" s="121"/>
    </row>
    <row r="2569">
      <c r="I2569" s="121"/>
    </row>
    <row r="2570">
      <c r="I2570" s="121"/>
    </row>
    <row r="2571">
      <c r="I2571" s="121"/>
    </row>
    <row r="2572">
      <c r="I2572" s="121"/>
    </row>
    <row r="2573">
      <c r="I2573" s="121"/>
    </row>
    <row r="2574">
      <c r="I2574" s="121"/>
    </row>
    <row r="2575">
      <c r="I2575" s="121"/>
    </row>
    <row r="2576">
      <c r="I2576" s="121"/>
    </row>
    <row r="2577">
      <c r="I2577" s="121"/>
    </row>
    <row r="2578">
      <c r="I2578" s="121"/>
    </row>
    <row r="2579">
      <c r="I2579" s="121"/>
    </row>
    <row r="2580">
      <c r="I2580" s="121"/>
    </row>
    <row r="2581">
      <c r="I2581" s="121"/>
    </row>
    <row r="2582">
      <c r="I2582" s="121"/>
    </row>
    <row r="2583">
      <c r="I2583" s="121"/>
    </row>
    <row r="2584">
      <c r="I2584" s="121"/>
    </row>
    <row r="2585">
      <c r="I2585" s="121"/>
    </row>
    <row r="2586">
      <c r="I2586" s="121"/>
    </row>
    <row r="2587">
      <c r="I2587" s="121"/>
    </row>
    <row r="2588">
      <c r="I2588" s="121"/>
    </row>
    <row r="2589">
      <c r="I2589" s="121"/>
    </row>
    <row r="2590">
      <c r="I2590" s="121"/>
    </row>
    <row r="2591">
      <c r="I2591" s="121"/>
    </row>
    <row r="2592">
      <c r="I2592" s="121"/>
    </row>
    <row r="2593">
      <c r="I2593" s="121"/>
    </row>
    <row r="2594">
      <c r="I2594" s="121"/>
    </row>
    <row r="2595">
      <c r="I2595" s="121"/>
    </row>
    <row r="2596">
      <c r="I2596" s="121"/>
    </row>
    <row r="2597">
      <c r="I2597" s="121"/>
    </row>
    <row r="2598">
      <c r="I2598" s="121"/>
    </row>
    <row r="2599">
      <c r="I2599" s="121"/>
    </row>
    <row r="2600">
      <c r="I2600" s="121"/>
    </row>
    <row r="2601">
      <c r="I2601" s="121"/>
    </row>
    <row r="2602">
      <c r="I2602" s="121"/>
    </row>
    <row r="2603">
      <c r="I2603" s="121"/>
    </row>
    <row r="2604">
      <c r="I2604" s="121"/>
    </row>
    <row r="2605">
      <c r="I2605" s="121"/>
    </row>
    <row r="2606">
      <c r="I2606" s="121"/>
    </row>
    <row r="2607">
      <c r="I2607" s="121"/>
    </row>
    <row r="2608">
      <c r="I2608" s="121"/>
    </row>
    <row r="2609">
      <c r="I2609" s="121"/>
    </row>
    <row r="2610">
      <c r="I2610" s="121"/>
    </row>
    <row r="2611">
      <c r="I2611" s="121"/>
    </row>
    <row r="2612">
      <c r="I2612" s="121"/>
    </row>
    <row r="2613">
      <c r="I2613" s="121"/>
    </row>
    <row r="2614">
      <c r="I2614" s="121"/>
    </row>
    <row r="2615">
      <c r="I2615" s="121"/>
    </row>
    <row r="2616">
      <c r="I2616" s="121"/>
    </row>
    <row r="2617">
      <c r="I2617" s="121"/>
    </row>
    <row r="2618">
      <c r="I2618" s="121"/>
    </row>
    <row r="2619">
      <c r="I2619" s="121"/>
    </row>
    <row r="2620">
      <c r="I2620" s="121"/>
    </row>
    <row r="2621">
      <c r="I2621" s="121"/>
    </row>
    <row r="2622">
      <c r="I2622" s="121"/>
    </row>
    <row r="2623">
      <c r="I2623" s="121"/>
    </row>
    <row r="2624">
      <c r="I2624" s="121"/>
    </row>
    <row r="2625">
      <c r="I2625" s="121"/>
    </row>
    <row r="2626">
      <c r="I2626" s="121"/>
    </row>
    <row r="2627">
      <c r="I2627" s="121"/>
    </row>
    <row r="2628">
      <c r="I2628" s="121"/>
    </row>
    <row r="2629">
      <c r="I2629" s="121"/>
    </row>
    <row r="2630">
      <c r="I2630" s="121"/>
    </row>
    <row r="2631">
      <c r="I2631" s="121"/>
    </row>
    <row r="2632">
      <c r="I2632" s="121"/>
    </row>
    <row r="2633">
      <c r="I2633" s="121"/>
    </row>
    <row r="2634">
      <c r="I2634" s="121"/>
    </row>
    <row r="2635">
      <c r="I2635" s="121"/>
    </row>
    <row r="2636">
      <c r="I2636" s="121"/>
    </row>
    <row r="2637">
      <c r="I2637" s="121"/>
    </row>
    <row r="2638">
      <c r="I2638" s="121"/>
    </row>
    <row r="2639">
      <c r="I2639" s="121"/>
    </row>
    <row r="2640">
      <c r="I2640" s="121"/>
    </row>
    <row r="2641">
      <c r="I2641" s="121"/>
    </row>
    <row r="2642">
      <c r="I2642" s="121"/>
    </row>
    <row r="2643">
      <c r="I2643" s="121"/>
    </row>
    <row r="2644">
      <c r="I2644" s="121"/>
    </row>
    <row r="2645">
      <c r="I2645" s="121"/>
    </row>
    <row r="2646">
      <c r="I2646" s="121"/>
    </row>
    <row r="2647">
      <c r="I2647" s="121"/>
    </row>
    <row r="2648">
      <c r="I2648" s="121"/>
    </row>
    <row r="2649">
      <c r="I2649" s="121"/>
    </row>
    <row r="2650">
      <c r="I2650" s="121"/>
    </row>
    <row r="2651">
      <c r="I2651" s="121"/>
    </row>
    <row r="2652">
      <c r="I2652" s="121"/>
    </row>
    <row r="2653">
      <c r="I2653" s="121"/>
    </row>
    <row r="2654">
      <c r="I2654" s="121"/>
    </row>
    <row r="2655">
      <c r="I2655" s="121"/>
    </row>
    <row r="2656">
      <c r="I2656" s="121"/>
    </row>
    <row r="2657">
      <c r="I2657" s="121"/>
    </row>
    <row r="2658">
      <c r="I2658" s="121"/>
    </row>
    <row r="2659">
      <c r="I2659" s="121"/>
    </row>
    <row r="2660">
      <c r="I2660" s="121"/>
    </row>
    <row r="2661">
      <c r="I2661" s="121"/>
    </row>
    <row r="2662">
      <c r="I2662" s="121"/>
    </row>
    <row r="2663">
      <c r="I2663" s="121"/>
    </row>
    <row r="2664">
      <c r="I2664" s="121"/>
    </row>
    <row r="2665">
      <c r="I2665" s="121"/>
    </row>
    <row r="2666">
      <c r="I2666" s="121"/>
    </row>
    <row r="2667">
      <c r="I2667" s="121"/>
    </row>
    <row r="2668">
      <c r="I2668" s="121"/>
    </row>
    <row r="2669">
      <c r="I2669" s="121"/>
    </row>
    <row r="2670">
      <c r="I2670" s="121"/>
    </row>
    <row r="2671">
      <c r="I2671" s="121"/>
    </row>
    <row r="2672">
      <c r="I2672" s="121"/>
    </row>
    <row r="2673">
      <c r="I2673" s="121"/>
    </row>
    <row r="2674">
      <c r="I2674" s="121"/>
    </row>
    <row r="2675">
      <c r="I2675" s="121"/>
    </row>
    <row r="2676">
      <c r="I2676" s="121"/>
    </row>
    <row r="2677">
      <c r="I2677" s="121"/>
    </row>
    <row r="2678">
      <c r="I2678" s="121"/>
    </row>
    <row r="2679">
      <c r="I2679" s="121"/>
    </row>
    <row r="2680">
      <c r="I2680" s="121"/>
    </row>
    <row r="2681">
      <c r="I2681" s="121"/>
    </row>
    <row r="2682">
      <c r="I2682" s="121"/>
    </row>
    <row r="2683">
      <c r="I2683" s="121"/>
    </row>
    <row r="2684">
      <c r="I2684" s="121"/>
    </row>
    <row r="2685">
      <c r="I2685" s="121"/>
    </row>
    <row r="2686">
      <c r="I2686" s="121"/>
    </row>
    <row r="2687">
      <c r="I2687" s="121"/>
    </row>
    <row r="2688">
      <c r="I2688" s="121"/>
    </row>
    <row r="2689">
      <c r="I2689" s="121"/>
    </row>
    <row r="2690">
      <c r="I2690" s="121"/>
    </row>
    <row r="2691">
      <c r="I2691" s="121"/>
    </row>
    <row r="2692">
      <c r="I2692" s="121"/>
    </row>
    <row r="2693">
      <c r="I2693" s="121"/>
    </row>
    <row r="2694">
      <c r="I2694" s="121"/>
    </row>
    <row r="2695">
      <c r="I2695" s="121"/>
    </row>
    <row r="2696">
      <c r="I2696" s="121"/>
    </row>
    <row r="2697">
      <c r="I2697" s="121"/>
    </row>
    <row r="2698">
      <c r="I2698" s="121"/>
    </row>
    <row r="2699">
      <c r="I2699" s="121"/>
    </row>
    <row r="2700">
      <c r="I2700" s="121"/>
    </row>
    <row r="2701">
      <c r="I2701" s="121"/>
    </row>
    <row r="2702">
      <c r="I2702" s="121"/>
    </row>
    <row r="2703">
      <c r="I2703" s="121"/>
    </row>
    <row r="2704">
      <c r="I2704" s="121"/>
    </row>
    <row r="2705">
      <c r="I2705" s="121"/>
    </row>
    <row r="2706">
      <c r="I2706" s="121"/>
    </row>
    <row r="2707">
      <c r="I2707" s="121"/>
    </row>
    <row r="2708">
      <c r="I2708" s="121"/>
    </row>
    <row r="2709">
      <c r="I2709" s="121"/>
    </row>
    <row r="2710">
      <c r="I2710" s="121"/>
    </row>
    <row r="2711">
      <c r="I2711" s="121"/>
    </row>
    <row r="2712">
      <c r="I2712" s="121"/>
    </row>
    <row r="2713">
      <c r="I2713" s="121"/>
    </row>
    <row r="2714">
      <c r="I2714" s="121"/>
    </row>
    <row r="2715">
      <c r="I2715" s="121"/>
    </row>
    <row r="2716">
      <c r="I2716" s="121"/>
    </row>
    <row r="2717">
      <c r="I2717" s="121"/>
    </row>
    <row r="2718">
      <c r="I2718" s="121"/>
    </row>
    <row r="2719">
      <c r="I2719" s="121"/>
    </row>
    <row r="2720">
      <c r="I2720" s="121"/>
    </row>
    <row r="2721">
      <c r="I2721" s="121"/>
    </row>
    <row r="2722">
      <c r="I2722" s="121"/>
    </row>
    <row r="2723">
      <c r="I2723" s="121"/>
    </row>
    <row r="2724">
      <c r="I2724" s="121"/>
    </row>
    <row r="2725">
      <c r="I2725" s="121"/>
    </row>
    <row r="2726">
      <c r="I2726" s="121"/>
    </row>
    <row r="2727">
      <c r="I2727" s="121"/>
    </row>
    <row r="2728">
      <c r="I2728" s="121"/>
    </row>
    <row r="2729">
      <c r="I2729" s="121"/>
    </row>
    <row r="2730">
      <c r="I2730" s="121"/>
    </row>
    <row r="2731">
      <c r="I2731" s="121"/>
    </row>
    <row r="2732">
      <c r="I2732" s="121"/>
    </row>
    <row r="2733">
      <c r="I2733" s="121"/>
    </row>
    <row r="2734">
      <c r="I2734" s="121"/>
    </row>
    <row r="2735">
      <c r="I2735" s="121"/>
    </row>
    <row r="2736">
      <c r="I2736" s="121"/>
    </row>
    <row r="2737">
      <c r="I2737" s="121"/>
    </row>
    <row r="2738">
      <c r="I2738" s="121"/>
    </row>
    <row r="2739">
      <c r="I2739" s="121"/>
    </row>
    <row r="2740">
      <c r="I2740" s="121"/>
    </row>
    <row r="2741">
      <c r="I2741" s="121"/>
    </row>
    <row r="2742">
      <c r="I2742" s="121"/>
    </row>
    <row r="2743">
      <c r="I2743" s="121"/>
    </row>
    <row r="2744">
      <c r="I2744" s="121"/>
    </row>
    <row r="2745">
      <c r="I2745" s="121"/>
    </row>
    <row r="2746">
      <c r="I2746" s="121"/>
    </row>
    <row r="2747">
      <c r="I2747" s="121"/>
    </row>
    <row r="2748">
      <c r="I2748" s="121"/>
    </row>
    <row r="2749">
      <c r="I2749" s="121"/>
    </row>
    <row r="2750">
      <c r="I2750" s="121"/>
    </row>
    <row r="2751">
      <c r="I2751" s="121"/>
    </row>
    <row r="2752">
      <c r="I2752" s="121"/>
    </row>
    <row r="2753">
      <c r="I2753" s="121"/>
    </row>
    <row r="2754">
      <c r="I2754" s="121"/>
    </row>
    <row r="2755">
      <c r="I2755" s="121"/>
    </row>
    <row r="2756">
      <c r="I2756" s="121"/>
    </row>
    <row r="2757">
      <c r="I2757" s="121"/>
    </row>
    <row r="2758">
      <c r="I2758" s="12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1.13"/>
    <col customWidth="1" min="6" max="6" width="24.25"/>
    <col customWidth="1" min="7" max="7" width="17.88"/>
  </cols>
  <sheetData>
    <row r="1">
      <c r="A1" s="127" t="s">
        <v>1560</v>
      </c>
      <c r="B1" s="127" t="s">
        <v>1561</v>
      </c>
      <c r="C1" s="127" t="s">
        <v>1562</v>
      </c>
      <c r="D1" s="127" t="s">
        <v>1563</v>
      </c>
      <c r="E1" s="127" t="s">
        <v>1564</v>
      </c>
      <c r="F1" s="130" t="s">
        <v>257</v>
      </c>
      <c r="G1" s="127" t="s">
        <v>1571</v>
      </c>
      <c r="H1" s="127"/>
    </row>
    <row r="2" hidden="1">
      <c r="A2" s="121" t="s">
        <v>2127</v>
      </c>
      <c r="B2" s="121" t="s">
        <v>1631</v>
      </c>
      <c r="C2" s="121" t="s">
        <v>1573</v>
      </c>
      <c r="D2" s="121" t="s">
        <v>2608</v>
      </c>
      <c r="E2" s="133" t="s">
        <v>1634</v>
      </c>
      <c r="F2" s="133"/>
      <c r="G2" s="121"/>
      <c r="H2" s="1"/>
    </row>
    <row r="3" hidden="1">
      <c r="A3" s="121" t="s">
        <v>0</v>
      </c>
      <c r="B3" s="121" t="s">
        <v>1572</v>
      </c>
      <c r="C3" s="121" t="s">
        <v>1573</v>
      </c>
      <c r="D3" s="121" t="s">
        <v>1574</v>
      </c>
      <c r="E3" s="133" t="s">
        <v>1575</v>
      </c>
      <c r="F3" s="121" t="s">
        <v>2183</v>
      </c>
      <c r="G3" s="121" t="s">
        <v>2184</v>
      </c>
      <c r="H3" s="121"/>
    </row>
    <row r="4" hidden="1">
      <c r="A4" s="121" t="s">
        <v>0</v>
      </c>
      <c r="B4" s="121" t="s">
        <v>1572</v>
      </c>
      <c r="C4" s="121" t="s">
        <v>1573</v>
      </c>
      <c r="D4" s="121" t="s">
        <v>1577</v>
      </c>
      <c r="E4" s="133" t="s">
        <v>1578</v>
      </c>
      <c r="F4" s="121" t="s">
        <v>2338</v>
      </c>
      <c r="G4" s="121" t="s">
        <v>1489</v>
      </c>
      <c r="H4" s="121"/>
    </row>
    <row r="5" hidden="1">
      <c r="A5" s="121" t="s">
        <v>0</v>
      </c>
      <c r="B5" s="121" t="s">
        <v>1572</v>
      </c>
      <c r="C5" s="121" t="s">
        <v>1573</v>
      </c>
      <c r="D5" s="121" t="s">
        <v>1580</v>
      </c>
      <c r="E5" s="133" t="s">
        <v>1581</v>
      </c>
      <c r="F5" s="121" t="s">
        <v>2156</v>
      </c>
      <c r="G5" s="121" t="s">
        <v>637</v>
      </c>
      <c r="H5" s="121"/>
    </row>
    <row r="6" hidden="1">
      <c r="A6" s="121" t="s">
        <v>0</v>
      </c>
      <c r="B6" s="121" t="s">
        <v>1572</v>
      </c>
      <c r="C6" s="121" t="s">
        <v>1573</v>
      </c>
      <c r="D6" s="121" t="s">
        <v>1582</v>
      </c>
      <c r="E6" s="133" t="s">
        <v>1583</v>
      </c>
      <c r="F6" s="121" t="s">
        <v>2161</v>
      </c>
      <c r="G6" s="121" t="s">
        <v>1155</v>
      </c>
      <c r="H6" s="121"/>
    </row>
    <row r="7" hidden="1">
      <c r="A7" s="121" t="s">
        <v>0</v>
      </c>
      <c r="B7" s="121" t="s">
        <v>1572</v>
      </c>
      <c r="C7" s="121" t="s">
        <v>1573</v>
      </c>
      <c r="D7" s="121" t="s">
        <v>1584</v>
      </c>
      <c r="E7" s="133" t="s">
        <v>1585</v>
      </c>
      <c r="F7" s="121" t="s">
        <v>2609</v>
      </c>
      <c r="G7" s="121" t="s">
        <v>2610</v>
      </c>
      <c r="H7" s="121"/>
    </row>
    <row r="8" hidden="1">
      <c r="A8" s="121" t="s">
        <v>0</v>
      </c>
      <c r="B8" s="121" t="s">
        <v>1572</v>
      </c>
      <c r="C8" s="121" t="s">
        <v>1573</v>
      </c>
      <c r="D8" s="121" t="s">
        <v>1584</v>
      </c>
      <c r="E8" s="133" t="s">
        <v>1585</v>
      </c>
      <c r="F8" s="121" t="s">
        <v>2471</v>
      </c>
      <c r="G8" s="121" t="s">
        <v>867</v>
      </c>
      <c r="H8" s="121"/>
    </row>
    <row r="9" hidden="1">
      <c r="A9" s="121" t="s">
        <v>0</v>
      </c>
      <c r="B9" s="121" t="s">
        <v>1572</v>
      </c>
      <c r="C9" s="121" t="s">
        <v>1573</v>
      </c>
      <c r="D9" s="121" t="s">
        <v>1586</v>
      </c>
      <c r="E9" s="133" t="s">
        <v>1587</v>
      </c>
      <c r="F9" s="121" t="s">
        <v>2142</v>
      </c>
      <c r="G9" s="121" t="s">
        <v>391</v>
      </c>
      <c r="H9" s="121"/>
    </row>
    <row r="10" hidden="1">
      <c r="A10" s="121" t="s">
        <v>0</v>
      </c>
      <c r="B10" s="121" t="s">
        <v>1572</v>
      </c>
      <c r="C10" s="121" t="s">
        <v>1573</v>
      </c>
      <c r="D10" s="121" t="s">
        <v>1589</v>
      </c>
      <c r="E10" s="133" t="s">
        <v>1590</v>
      </c>
      <c r="F10" s="121" t="s">
        <v>2177</v>
      </c>
      <c r="G10" s="121" t="s">
        <v>1114</v>
      </c>
      <c r="H10" s="121"/>
    </row>
    <row r="11" hidden="1">
      <c r="A11" s="121" t="s">
        <v>0</v>
      </c>
      <c r="B11" s="121" t="s">
        <v>1572</v>
      </c>
      <c r="C11" s="121" t="s">
        <v>1573</v>
      </c>
      <c r="D11" s="121" t="s">
        <v>1591</v>
      </c>
      <c r="E11" s="133" t="s">
        <v>1645</v>
      </c>
      <c r="F11" s="121"/>
      <c r="G11" s="121"/>
      <c r="H11" s="121"/>
    </row>
    <row r="12" hidden="1">
      <c r="A12" s="121" t="s">
        <v>0</v>
      </c>
      <c r="B12" s="121" t="s">
        <v>1572</v>
      </c>
      <c r="C12" s="121" t="s">
        <v>1573</v>
      </c>
      <c r="D12" s="121"/>
      <c r="E12" s="133" t="s">
        <v>1593</v>
      </c>
      <c r="F12" s="121"/>
      <c r="G12" s="121"/>
      <c r="H12" s="121"/>
    </row>
    <row r="13">
      <c r="A13" s="121" t="s">
        <v>0</v>
      </c>
      <c r="B13" s="121" t="s">
        <v>1596</v>
      </c>
      <c r="C13" s="121" t="s">
        <v>1573</v>
      </c>
      <c r="D13" s="121" t="s">
        <v>1597</v>
      </c>
      <c r="E13" s="133" t="s">
        <v>1598</v>
      </c>
      <c r="F13" s="121" t="s">
        <v>2126</v>
      </c>
      <c r="G13" s="121" t="s">
        <v>397</v>
      </c>
      <c r="H13" s="121"/>
    </row>
    <row r="14">
      <c r="A14" s="121" t="s">
        <v>0</v>
      </c>
      <c r="B14" s="121" t="s">
        <v>1596</v>
      </c>
      <c r="C14" s="121" t="s">
        <v>1573</v>
      </c>
      <c r="D14" s="121" t="s">
        <v>1599</v>
      </c>
      <c r="E14" s="133" t="s">
        <v>1600</v>
      </c>
      <c r="F14" s="121" t="s">
        <v>2129</v>
      </c>
      <c r="G14" s="121" t="s">
        <v>2130</v>
      </c>
      <c r="H14" s="121"/>
    </row>
    <row r="15">
      <c r="A15" s="121" t="s">
        <v>0</v>
      </c>
      <c r="B15" s="121" t="s">
        <v>1596</v>
      </c>
      <c r="C15" s="121" t="s">
        <v>1573</v>
      </c>
      <c r="D15" s="121" t="s">
        <v>1601</v>
      </c>
      <c r="E15" s="133" t="s">
        <v>1602</v>
      </c>
      <c r="F15" s="121" t="s">
        <v>2131</v>
      </c>
      <c r="G15" s="121" t="s">
        <v>403</v>
      </c>
      <c r="H15" s="121"/>
    </row>
    <row r="16">
      <c r="A16" s="121" t="s">
        <v>0</v>
      </c>
      <c r="B16" s="121" t="s">
        <v>1596</v>
      </c>
      <c r="C16" s="121" t="s">
        <v>1573</v>
      </c>
      <c r="D16" s="121" t="s">
        <v>1603</v>
      </c>
      <c r="E16" s="133" t="s">
        <v>1604</v>
      </c>
      <c r="F16" s="121" t="s">
        <v>2132</v>
      </c>
      <c r="G16" s="121" t="s">
        <v>1415</v>
      </c>
      <c r="H16" s="121"/>
    </row>
    <row r="17">
      <c r="A17" s="121" t="s">
        <v>0</v>
      </c>
      <c r="B17" s="121" t="s">
        <v>1596</v>
      </c>
      <c r="C17" s="121" t="s">
        <v>1573</v>
      </c>
      <c r="D17" s="121" t="s">
        <v>1605</v>
      </c>
      <c r="E17" s="133" t="s">
        <v>1606</v>
      </c>
      <c r="F17" s="121" t="s">
        <v>2133</v>
      </c>
      <c r="G17" s="121" t="s">
        <v>379</v>
      </c>
      <c r="H17" s="121"/>
    </row>
    <row r="18">
      <c r="A18" s="121" t="s">
        <v>0</v>
      </c>
      <c r="B18" s="121" t="s">
        <v>1596</v>
      </c>
      <c r="C18" s="121" t="s">
        <v>1607</v>
      </c>
      <c r="D18" s="121" t="s">
        <v>2</v>
      </c>
      <c r="E18" s="133" t="s">
        <v>3</v>
      </c>
      <c r="F18" s="121" t="s">
        <v>2134</v>
      </c>
      <c r="G18" s="121" t="s">
        <v>388</v>
      </c>
      <c r="H18" s="121"/>
    </row>
    <row r="19">
      <c r="A19" s="121" t="s">
        <v>0</v>
      </c>
      <c r="B19" s="121" t="s">
        <v>1596</v>
      </c>
      <c r="C19" s="121" t="s">
        <v>1573</v>
      </c>
      <c r="D19" s="121" t="s">
        <v>1608</v>
      </c>
      <c r="E19" s="133" t="s">
        <v>1609</v>
      </c>
      <c r="F19" s="121" t="s">
        <v>2136</v>
      </c>
      <c r="G19" s="121" t="s">
        <v>622</v>
      </c>
      <c r="H19" s="121"/>
    </row>
    <row r="20">
      <c r="A20" s="121" t="s">
        <v>0</v>
      </c>
      <c r="B20" s="121" t="s">
        <v>1596</v>
      </c>
      <c r="C20" s="121" t="s">
        <v>1573</v>
      </c>
      <c r="D20" s="121" t="s">
        <v>1610</v>
      </c>
      <c r="E20" s="133" t="s">
        <v>2611</v>
      </c>
      <c r="F20" s="121"/>
      <c r="G20" s="121"/>
      <c r="H20" s="121"/>
    </row>
    <row r="21" hidden="1">
      <c r="A21" s="121" t="s">
        <v>0</v>
      </c>
      <c r="B21" s="121" t="s">
        <v>1612</v>
      </c>
      <c r="C21" s="121" t="s">
        <v>1573</v>
      </c>
      <c r="D21" s="121" t="s">
        <v>1613</v>
      </c>
      <c r="E21" s="133" t="s">
        <v>1614</v>
      </c>
      <c r="F21" s="121" t="s">
        <v>2139</v>
      </c>
      <c r="G21" s="121" t="s">
        <v>2140</v>
      </c>
      <c r="H21" s="121"/>
    </row>
    <row r="22" hidden="1">
      <c r="A22" s="121" t="s">
        <v>0</v>
      </c>
      <c r="B22" s="121" t="s">
        <v>1612</v>
      </c>
      <c r="C22" s="121" t="s">
        <v>1573</v>
      </c>
      <c r="D22" s="121" t="s">
        <v>1615</v>
      </c>
      <c r="E22" s="133" t="s">
        <v>1616</v>
      </c>
      <c r="F22" s="121" t="s">
        <v>2141</v>
      </c>
      <c r="G22" s="121" t="s">
        <v>385</v>
      </c>
      <c r="H22" s="121"/>
    </row>
    <row r="23" hidden="1">
      <c r="A23" s="121" t="s">
        <v>0</v>
      </c>
      <c r="B23" s="121" t="s">
        <v>1612</v>
      </c>
      <c r="C23" s="121" t="s">
        <v>1573</v>
      </c>
      <c r="D23" s="121" t="s">
        <v>1617</v>
      </c>
      <c r="E23" s="133" t="s">
        <v>1618</v>
      </c>
      <c r="F23" s="121" t="s">
        <v>2133</v>
      </c>
      <c r="G23" s="121" t="s">
        <v>379</v>
      </c>
      <c r="H23" s="121"/>
    </row>
    <row r="24" hidden="1">
      <c r="A24" s="121" t="s">
        <v>0</v>
      </c>
      <c r="B24" s="121" t="s">
        <v>1612</v>
      </c>
      <c r="C24" s="121" t="s">
        <v>1619</v>
      </c>
      <c r="D24" s="121" t="s">
        <v>53</v>
      </c>
      <c r="E24" s="133" t="s">
        <v>54</v>
      </c>
      <c r="F24" s="121" t="s">
        <v>2142</v>
      </c>
      <c r="G24" s="121" t="s">
        <v>391</v>
      </c>
      <c r="H24" s="121"/>
    </row>
    <row r="25" hidden="1">
      <c r="A25" s="121" t="s">
        <v>0</v>
      </c>
      <c r="B25" s="121" t="s">
        <v>1612</v>
      </c>
      <c r="C25" s="121" t="s">
        <v>1620</v>
      </c>
      <c r="D25" s="121" t="s">
        <v>56</v>
      </c>
      <c r="E25" s="133" t="s">
        <v>57</v>
      </c>
      <c r="F25" s="121" t="s">
        <v>2131</v>
      </c>
      <c r="G25" s="121" t="s">
        <v>403</v>
      </c>
      <c r="H25" s="121"/>
    </row>
    <row r="26" hidden="1">
      <c r="A26" s="121" t="s">
        <v>0</v>
      </c>
      <c r="B26" s="121" t="s">
        <v>1612</v>
      </c>
      <c r="C26" s="121" t="s">
        <v>1621</v>
      </c>
      <c r="D26" s="121" t="s">
        <v>59</v>
      </c>
      <c r="E26" s="133" t="s">
        <v>60</v>
      </c>
      <c r="F26" s="121" t="s">
        <v>2134</v>
      </c>
      <c r="G26" s="121" t="s">
        <v>388</v>
      </c>
      <c r="H26" s="121"/>
    </row>
    <row r="27" hidden="1">
      <c r="A27" s="121" t="s">
        <v>0</v>
      </c>
      <c r="B27" s="121" t="s">
        <v>1612</v>
      </c>
      <c r="C27" s="121" t="s">
        <v>1622</v>
      </c>
      <c r="D27" s="121" t="s">
        <v>2612</v>
      </c>
      <c r="E27" s="133" t="s">
        <v>2613</v>
      </c>
      <c r="F27" s="121" t="s">
        <v>2126</v>
      </c>
      <c r="G27" s="121" t="s">
        <v>397</v>
      </c>
      <c r="H27" s="121"/>
    </row>
    <row r="28" hidden="1">
      <c r="A28" s="121" t="s">
        <v>0</v>
      </c>
      <c r="B28" s="121" t="s">
        <v>1612</v>
      </c>
      <c r="C28" s="121" t="s">
        <v>1623</v>
      </c>
      <c r="D28" s="121" t="s">
        <v>1624</v>
      </c>
      <c r="E28" s="133" t="s">
        <v>2614</v>
      </c>
      <c r="F28" s="121" t="s">
        <v>2143</v>
      </c>
      <c r="G28" s="121" t="s">
        <v>394</v>
      </c>
      <c r="H28" s="121"/>
    </row>
    <row r="29" hidden="1">
      <c r="A29" s="121" t="s">
        <v>0</v>
      </c>
      <c r="B29" s="121" t="s">
        <v>1612</v>
      </c>
      <c r="C29" s="121" t="s">
        <v>1623</v>
      </c>
      <c r="D29" s="121" t="s">
        <v>1626</v>
      </c>
      <c r="E29" s="133" t="s">
        <v>2615</v>
      </c>
      <c r="F29" s="121" t="s">
        <v>2139</v>
      </c>
      <c r="G29" s="121" t="s">
        <v>2140</v>
      </c>
      <c r="H29" s="121"/>
    </row>
    <row r="30" hidden="1">
      <c r="A30" s="121" t="s">
        <v>0</v>
      </c>
      <c r="B30" s="121" t="s">
        <v>1612</v>
      </c>
      <c r="C30" s="121" t="s">
        <v>1573</v>
      </c>
      <c r="D30" s="121" t="s">
        <v>1629</v>
      </c>
      <c r="E30" s="133" t="s">
        <v>1630</v>
      </c>
      <c r="F30" s="121"/>
      <c r="G30" s="121"/>
      <c r="H30" s="121"/>
    </row>
    <row r="31" hidden="1">
      <c r="A31" s="121" t="s">
        <v>0</v>
      </c>
      <c r="B31" s="121" t="s">
        <v>1631</v>
      </c>
      <c r="C31" s="121" t="s">
        <v>1573</v>
      </c>
      <c r="D31" s="121" t="s">
        <v>2616</v>
      </c>
      <c r="E31" s="133" t="s">
        <v>1634</v>
      </c>
      <c r="F31" s="133"/>
      <c r="G31" s="121"/>
      <c r="H31" s="121"/>
    </row>
    <row r="32" hidden="1">
      <c r="A32" s="121" t="s">
        <v>4</v>
      </c>
      <c r="B32" s="121" t="s">
        <v>1572</v>
      </c>
      <c r="C32" s="121" t="s">
        <v>1573</v>
      </c>
      <c r="D32" s="121" t="s">
        <v>1574</v>
      </c>
      <c r="E32" s="133" t="s">
        <v>1575</v>
      </c>
      <c r="F32" s="121" t="s">
        <v>2617</v>
      </c>
      <c r="G32" s="121" t="s">
        <v>2618</v>
      </c>
      <c r="H32" s="121"/>
    </row>
    <row r="33" hidden="1">
      <c r="A33" s="121" t="s">
        <v>4</v>
      </c>
      <c r="B33" s="121" t="s">
        <v>1572</v>
      </c>
      <c r="C33" s="121" t="s">
        <v>1573</v>
      </c>
      <c r="D33" s="121" t="s">
        <v>1574</v>
      </c>
      <c r="E33" s="133" t="s">
        <v>1575</v>
      </c>
      <c r="F33" s="121" t="s">
        <v>2145</v>
      </c>
      <c r="G33" s="121" t="s">
        <v>1310</v>
      </c>
      <c r="H33" s="121"/>
    </row>
    <row r="34" hidden="1">
      <c r="A34" s="121" t="s">
        <v>4</v>
      </c>
      <c r="B34" s="121" t="s">
        <v>1572</v>
      </c>
      <c r="C34" s="121" t="s">
        <v>1573</v>
      </c>
      <c r="D34" s="121" t="s">
        <v>1574</v>
      </c>
      <c r="E34" s="133" t="s">
        <v>1575</v>
      </c>
      <c r="F34" s="121" t="s">
        <v>2146</v>
      </c>
      <c r="G34" s="121" t="s">
        <v>1286</v>
      </c>
      <c r="H34" s="121"/>
    </row>
    <row r="35" hidden="1">
      <c r="A35" s="121" t="s">
        <v>4</v>
      </c>
      <c r="B35" s="121" t="s">
        <v>1572</v>
      </c>
      <c r="C35" s="121" t="s">
        <v>1573</v>
      </c>
      <c r="D35" s="121" t="s">
        <v>1574</v>
      </c>
      <c r="E35" s="133" t="s">
        <v>1575</v>
      </c>
      <c r="F35" s="121" t="s">
        <v>2147</v>
      </c>
      <c r="G35" s="121"/>
      <c r="H35" s="121"/>
    </row>
    <row r="36" hidden="1">
      <c r="A36" s="121" t="s">
        <v>4</v>
      </c>
      <c r="B36" s="121" t="s">
        <v>1572</v>
      </c>
      <c r="C36" s="121" t="s">
        <v>1573</v>
      </c>
      <c r="D36" s="121" t="s">
        <v>1577</v>
      </c>
      <c r="E36" s="133" t="s">
        <v>1578</v>
      </c>
      <c r="F36" s="121" t="s">
        <v>2148</v>
      </c>
      <c r="G36" s="121" t="s">
        <v>1477</v>
      </c>
      <c r="H36" s="121"/>
    </row>
    <row r="37" hidden="1">
      <c r="A37" s="121" t="s">
        <v>4</v>
      </c>
      <c r="B37" s="121" t="s">
        <v>1572</v>
      </c>
      <c r="C37" s="121" t="s">
        <v>1573</v>
      </c>
      <c r="D37" s="121" t="s">
        <v>1577</v>
      </c>
      <c r="E37" s="133" t="s">
        <v>1578</v>
      </c>
      <c r="F37" s="121" t="s">
        <v>2619</v>
      </c>
      <c r="G37" s="121"/>
      <c r="H37" s="121"/>
    </row>
    <row r="38" hidden="1">
      <c r="A38" s="121" t="s">
        <v>4</v>
      </c>
      <c r="B38" s="121" t="s">
        <v>1572</v>
      </c>
      <c r="C38" s="121" t="s">
        <v>1573</v>
      </c>
      <c r="D38" s="121" t="s">
        <v>1577</v>
      </c>
      <c r="E38" s="133" t="s">
        <v>1578</v>
      </c>
      <c r="F38" s="121" t="s">
        <v>2152</v>
      </c>
      <c r="G38" s="121"/>
      <c r="H38" s="121"/>
    </row>
    <row r="39" hidden="1">
      <c r="A39" s="121" t="s">
        <v>4</v>
      </c>
      <c r="B39" s="121" t="s">
        <v>1572</v>
      </c>
      <c r="C39" s="121" t="s">
        <v>1573</v>
      </c>
      <c r="D39" s="121" t="s">
        <v>1577</v>
      </c>
      <c r="E39" s="133" t="s">
        <v>1578</v>
      </c>
      <c r="F39" s="121" t="s">
        <v>2153</v>
      </c>
      <c r="G39" s="121"/>
      <c r="H39" s="121"/>
    </row>
    <row r="40" hidden="1">
      <c r="A40" s="121" t="s">
        <v>4</v>
      </c>
      <c r="B40" s="121" t="s">
        <v>1572</v>
      </c>
      <c r="C40" s="121" t="s">
        <v>1573</v>
      </c>
      <c r="D40" s="121" t="s">
        <v>1580</v>
      </c>
      <c r="E40" s="133" t="s">
        <v>1581</v>
      </c>
      <c r="F40" s="121" t="s">
        <v>2154</v>
      </c>
      <c r="G40" s="121" t="s">
        <v>652</v>
      </c>
      <c r="H40" s="121"/>
    </row>
    <row r="41" hidden="1">
      <c r="A41" s="121" t="s">
        <v>4</v>
      </c>
      <c r="B41" s="121" t="s">
        <v>1572</v>
      </c>
      <c r="C41" s="121" t="s">
        <v>1573</v>
      </c>
      <c r="D41" s="121" t="s">
        <v>1580</v>
      </c>
      <c r="E41" s="133" t="s">
        <v>1581</v>
      </c>
      <c r="F41" s="121" t="s">
        <v>2156</v>
      </c>
      <c r="G41" s="121"/>
      <c r="H41" s="121"/>
    </row>
    <row r="42" hidden="1">
      <c r="A42" s="121" t="s">
        <v>4</v>
      </c>
      <c r="B42" s="121" t="s">
        <v>1572</v>
      </c>
      <c r="C42" s="121" t="s">
        <v>1573</v>
      </c>
      <c r="D42" s="121" t="s">
        <v>1580</v>
      </c>
      <c r="E42" s="133" t="s">
        <v>1581</v>
      </c>
      <c r="F42" s="121" t="s">
        <v>2157</v>
      </c>
      <c r="G42" s="121"/>
      <c r="H42" s="121"/>
    </row>
    <row r="43" hidden="1">
      <c r="A43" s="121" t="s">
        <v>4</v>
      </c>
      <c r="B43" s="121" t="s">
        <v>1572</v>
      </c>
      <c r="C43" s="121" t="s">
        <v>1573</v>
      </c>
      <c r="D43" s="121" t="s">
        <v>1580</v>
      </c>
      <c r="E43" s="133" t="s">
        <v>1581</v>
      </c>
      <c r="F43" s="121" t="s">
        <v>2159</v>
      </c>
      <c r="G43" s="121"/>
      <c r="H43" s="121"/>
    </row>
    <row r="44" hidden="1">
      <c r="A44" s="121" t="s">
        <v>4</v>
      </c>
      <c r="B44" s="121" t="s">
        <v>1572</v>
      </c>
      <c r="C44" s="121" t="s">
        <v>1573</v>
      </c>
      <c r="D44" s="121" t="s">
        <v>1582</v>
      </c>
      <c r="E44" s="133" t="s">
        <v>1583</v>
      </c>
      <c r="F44" s="121" t="s">
        <v>2161</v>
      </c>
      <c r="G44" s="121" t="s">
        <v>1155</v>
      </c>
      <c r="H44" s="121"/>
    </row>
    <row r="45" hidden="1">
      <c r="A45" s="121" t="s">
        <v>4</v>
      </c>
      <c r="B45" s="121" t="s">
        <v>1572</v>
      </c>
      <c r="C45" s="121" t="s">
        <v>1573</v>
      </c>
      <c r="D45" s="121" t="s">
        <v>1582</v>
      </c>
      <c r="E45" s="133" t="s">
        <v>1583</v>
      </c>
      <c r="F45" s="121" t="s">
        <v>2163</v>
      </c>
      <c r="G45" s="121" t="s">
        <v>773</v>
      </c>
      <c r="H45" s="121"/>
    </row>
    <row r="46" hidden="1">
      <c r="A46" s="121" t="s">
        <v>4</v>
      </c>
      <c r="B46" s="121" t="s">
        <v>1572</v>
      </c>
      <c r="C46" s="121" t="s">
        <v>1573</v>
      </c>
      <c r="D46" s="121" t="s">
        <v>1582</v>
      </c>
      <c r="E46" s="133" t="s">
        <v>1583</v>
      </c>
      <c r="F46" s="121" t="s">
        <v>2164</v>
      </c>
      <c r="G46" s="121" t="s">
        <v>434</v>
      </c>
      <c r="H46" s="121"/>
    </row>
    <row r="47" hidden="1">
      <c r="A47" s="121" t="s">
        <v>4</v>
      </c>
      <c r="B47" s="121" t="s">
        <v>1572</v>
      </c>
      <c r="C47" s="121" t="s">
        <v>1573</v>
      </c>
      <c r="D47" s="121" t="s">
        <v>1582</v>
      </c>
      <c r="E47" s="133" t="s">
        <v>1583</v>
      </c>
      <c r="F47" s="121" t="s">
        <v>2165</v>
      </c>
      <c r="G47" s="121" t="s">
        <v>558</v>
      </c>
      <c r="H47" s="121"/>
    </row>
    <row r="48" hidden="1">
      <c r="A48" s="121" t="s">
        <v>4</v>
      </c>
      <c r="B48" s="121" t="s">
        <v>1572</v>
      </c>
      <c r="C48" s="121" t="s">
        <v>1573</v>
      </c>
      <c r="D48" s="121" t="s">
        <v>1636</v>
      </c>
      <c r="E48" s="133" t="s">
        <v>1637</v>
      </c>
      <c r="F48" s="121" t="s">
        <v>2166</v>
      </c>
      <c r="G48" s="121" t="s">
        <v>1017</v>
      </c>
      <c r="H48" s="121"/>
    </row>
    <row r="49" hidden="1">
      <c r="A49" s="121" t="s">
        <v>4</v>
      </c>
      <c r="B49" s="121" t="s">
        <v>1572</v>
      </c>
      <c r="C49" s="121" t="s">
        <v>1573</v>
      </c>
      <c r="D49" s="121" t="s">
        <v>1636</v>
      </c>
      <c r="E49" s="133" t="s">
        <v>1637</v>
      </c>
      <c r="F49" s="121" t="s">
        <v>2168</v>
      </c>
      <c r="G49" s="121" t="s">
        <v>2169</v>
      </c>
      <c r="H49" s="121"/>
    </row>
    <row r="50" hidden="1">
      <c r="A50" s="121" t="s">
        <v>4</v>
      </c>
      <c r="B50" s="121" t="s">
        <v>1572</v>
      </c>
      <c r="C50" s="121" t="s">
        <v>1573</v>
      </c>
      <c r="D50" s="121" t="s">
        <v>1636</v>
      </c>
      <c r="E50" s="133" t="s">
        <v>1637</v>
      </c>
      <c r="F50" s="121" t="s">
        <v>2450</v>
      </c>
      <c r="G50" s="121" t="s">
        <v>2451</v>
      </c>
      <c r="H50" s="121"/>
    </row>
    <row r="51" hidden="1">
      <c r="A51" s="121" t="s">
        <v>4</v>
      </c>
      <c r="B51" s="121" t="s">
        <v>1572</v>
      </c>
      <c r="C51" s="121" t="s">
        <v>1573</v>
      </c>
      <c r="D51" s="121" t="s">
        <v>1636</v>
      </c>
      <c r="E51" s="133" t="s">
        <v>1637</v>
      </c>
      <c r="F51" s="121" t="s">
        <v>2170</v>
      </c>
      <c r="G51" s="121" t="s">
        <v>1005</v>
      </c>
      <c r="H51" s="121"/>
    </row>
    <row r="52" hidden="1">
      <c r="A52" s="121" t="s">
        <v>4</v>
      </c>
      <c r="B52" s="121" t="s">
        <v>1572</v>
      </c>
      <c r="C52" s="121" t="s">
        <v>1573</v>
      </c>
      <c r="D52" s="121" t="s">
        <v>1636</v>
      </c>
      <c r="E52" s="133" t="s">
        <v>1637</v>
      </c>
      <c r="F52" s="121" t="s">
        <v>2171</v>
      </c>
      <c r="G52" s="121" t="s">
        <v>1338</v>
      </c>
      <c r="H52" s="121"/>
    </row>
    <row r="53" hidden="1">
      <c r="A53" s="121" t="s">
        <v>4</v>
      </c>
      <c r="B53" s="121" t="s">
        <v>1572</v>
      </c>
      <c r="C53" s="121" t="s">
        <v>1573</v>
      </c>
      <c r="D53" s="121" t="s">
        <v>1636</v>
      </c>
      <c r="E53" s="133" t="s">
        <v>1637</v>
      </c>
      <c r="F53" s="121" t="s">
        <v>2172</v>
      </c>
      <c r="G53" s="121" t="s">
        <v>1023</v>
      </c>
      <c r="H53" s="121"/>
    </row>
    <row r="54" hidden="1">
      <c r="A54" s="121" t="s">
        <v>4</v>
      </c>
      <c r="B54" s="121" t="s">
        <v>1572</v>
      </c>
      <c r="C54" s="121" t="s">
        <v>1573</v>
      </c>
      <c r="D54" s="121" t="s">
        <v>1638</v>
      </c>
      <c r="E54" s="133" t="s">
        <v>1639</v>
      </c>
      <c r="F54" s="121" t="s">
        <v>2620</v>
      </c>
      <c r="G54" s="121" t="s">
        <v>965</v>
      </c>
      <c r="H54" s="121"/>
    </row>
    <row r="55" hidden="1">
      <c r="A55" s="121" t="s">
        <v>4</v>
      </c>
      <c r="B55" s="121" t="s">
        <v>1572</v>
      </c>
      <c r="C55" s="121" t="s">
        <v>1573</v>
      </c>
      <c r="D55" s="121" t="s">
        <v>1638</v>
      </c>
      <c r="E55" s="133" t="s">
        <v>1639</v>
      </c>
      <c r="F55" s="121" t="s">
        <v>2358</v>
      </c>
      <c r="G55" s="121" t="s">
        <v>1177</v>
      </c>
      <c r="H55" s="121"/>
    </row>
    <row r="56" hidden="1">
      <c r="A56" s="121" t="s">
        <v>4</v>
      </c>
      <c r="B56" s="121" t="s">
        <v>1572</v>
      </c>
      <c r="C56" s="121" t="s">
        <v>1573</v>
      </c>
      <c r="D56" s="121" t="s">
        <v>1638</v>
      </c>
      <c r="E56" s="133" t="s">
        <v>1639</v>
      </c>
      <c r="F56" s="121" t="s">
        <v>2175</v>
      </c>
      <c r="G56" s="121" t="s">
        <v>1213</v>
      </c>
      <c r="H56" s="121"/>
    </row>
    <row r="57" hidden="1">
      <c r="A57" s="121" t="s">
        <v>4</v>
      </c>
      <c r="B57" s="121" t="s">
        <v>1572</v>
      </c>
      <c r="C57" s="121" t="s">
        <v>1573</v>
      </c>
      <c r="D57" s="121" t="s">
        <v>1638</v>
      </c>
      <c r="E57" s="133" t="s">
        <v>1639</v>
      </c>
      <c r="F57" s="121" t="s">
        <v>2176</v>
      </c>
      <c r="G57" s="121" t="s">
        <v>345</v>
      </c>
      <c r="H57" s="121"/>
    </row>
    <row r="58" hidden="1">
      <c r="A58" s="121" t="s">
        <v>4</v>
      </c>
      <c r="B58" s="121" t="s">
        <v>1572</v>
      </c>
      <c r="C58" s="121" t="s">
        <v>1573</v>
      </c>
      <c r="D58" s="121" t="s">
        <v>1589</v>
      </c>
      <c r="E58" s="133" t="s">
        <v>1590</v>
      </c>
      <c r="F58" s="121" t="s">
        <v>2177</v>
      </c>
      <c r="G58" s="121" t="s">
        <v>1114</v>
      </c>
      <c r="H58" s="121"/>
    </row>
    <row r="59" hidden="1">
      <c r="A59" s="121" t="s">
        <v>4</v>
      </c>
      <c r="B59" s="121" t="s">
        <v>1572</v>
      </c>
      <c r="C59" s="121" t="s">
        <v>1573</v>
      </c>
      <c r="D59" s="121" t="s">
        <v>1589</v>
      </c>
      <c r="E59" s="133" t="s">
        <v>1590</v>
      </c>
      <c r="F59" s="121" t="s">
        <v>2178</v>
      </c>
      <c r="G59" s="121" t="s">
        <v>1117</v>
      </c>
      <c r="H59" s="121"/>
    </row>
    <row r="60" hidden="1">
      <c r="A60" s="121" t="s">
        <v>4</v>
      </c>
      <c r="B60" s="121" t="s">
        <v>1572</v>
      </c>
      <c r="C60" s="121" t="s">
        <v>1573</v>
      </c>
      <c r="D60" s="121" t="s">
        <v>1589</v>
      </c>
      <c r="E60" s="133" t="s">
        <v>1590</v>
      </c>
      <c r="F60" s="121" t="s">
        <v>2178</v>
      </c>
      <c r="G60" s="121" t="s">
        <v>1117</v>
      </c>
      <c r="H60" s="121"/>
    </row>
    <row r="61" hidden="1">
      <c r="A61" s="121" t="s">
        <v>4</v>
      </c>
      <c r="B61" s="121" t="s">
        <v>1572</v>
      </c>
      <c r="C61" s="121" t="s">
        <v>1573</v>
      </c>
      <c r="D61" s="121" t="s">
        <v>1589</v>
      </c>
      <c r="E61" s="133" t="s">
        <v>1590</v>
      </c>
      <c r="F61" s="121" t="s">
        <v>2180</v>
      </c>
      <c r="G61" s="121" t="s">
        <v>1132</v>
      </c>
      <c r="H61" s="121"/>
    </row>
    <row r="62" hidden="1">
      <c r="A62" s="121" t="s">
        <v>4</v>
      </c>
      <c r="B62" s="121" t="s">
        <v>1572</v>
      </c>
      <c r="C62" s="121" t="s">
        <v>1593</v>
      </c>
      <c r="D62" s="121" t="s">
        <v>1594</v>
      </c>
      <c r="E62" s="133" t="s">
        <v>1640</v>
      </c>
      <c r="F62" s="121"/>
      <c r="G62" s="121"/>
      <c r="H62" s="121"/>
    </row>
    <row r="63" hidden="1">
      <c r="A63" s="121" t="s">
        <v>4</v>
      </c>
      <c r="B63" s="121" t="s">
        <v>1572</v>
      </c>
      <c r="C63" s="121" t="s">
        <v>1593</v>
      </c>
      <c r="D63" s="121" t="s">
        <v>1594</v>
      </c>
      <c r="E63" s="133" t="s">
        <v>1640</v>
      </c>
      <c r="F63" s="121"/>
      <c r="G63" s="121"/>
      <c r="H63" s="121"/>
    </row>
    <row r="64" hidden="1">
      <c r="A64" s="121" t="s">
        <v>4</v>
      </c>
      <c r="B64" s="121" t="s">
        <v>1572</v>
      </c>
      <c r="C64" s="121" t="s">
        <v>1593</v>
      </c>
      <c r="D64" s="121" t="s">
        <v>1594</v>
      </c>
      <c r="E64" s="133" t="s">
        <v>1640</v>
      </c>
      <c r="F64" s="121"/>
      <c r="G64" s="121"/>
      <c r="H64" s="121"/>
    </row>
    <row r="65" hidden="1">
      <c r="A65" s="121" t="s">
        <v>4</v>
      </c>
      <c r="B65" s="121" t="s">
        <v>1572</v>
      </c>
      <c r="C65" s="121" t="s">
        <v>1593</v>
      </c>
      <c r="D65" s="121" t="s">
        <v>1641</v>
      </c>
      <c r="E65" s="133" t="s">
        <v>1642</v>
      </c>
      <c r="F65" s="121"/>
      <c r="G65" s="121"/>
      <c r="H65" s="121"/>
    </row>
    <row r="66" hidden="1">
      <c r="A66" s="121" t="s">
        <v>4</v>
      </c>
      <c r="B66" s="121" t="s">
        <v>1572</v>
      </c>
      <c r="C66" s="121" t="s">
        <v>1593</v>
      </c>
      <c r="D66" s="121" t="s">
        <v>1643</v>
      </c>
      <c r="E66" s="133" t="s">
        <v>1644</v>
      </c>
      <c r="F66" s="121"/>
      <c r="G66" s="121"/>
      <c r="H66" s="121"/>
    </row>
    <row r="67" hidden="1">
      <c r="A67" s="121" t="s">
        <v>4</v>
      </c>
      <c r="B67" s="121" t="s">
        <v>1572</v>
      </c>
      <c r="C67" s="121" t="s">
        <v>1573</v>
      </c>
      <c r="D67" s="121" t="s">
        <v>1591</v>
      </c>
      <c r="E67" s="133" t="s">
        <v>1645</v>
      </c>
      <c r="F67" s="121"/>
      <c r="G67" s="121"/>
      <c r="H67" s="121"/>
    </row>
    <row r="68">
      <c r="A68" s="121" t="s">
        <v>4</v>
      </c>
      <c r="B68" s="121" t="s">
        <v>1596</v>
      </c>
      <c r="C68" s="121" t="s">
        <v>1573</v>
      </c>
      <c r="D68" s="121" t="s">
        <v>1646</v>
      </c>
      <c r="E68" s="133" t="s">
        <v>1647</v>
      </c>
      <c r="F68" s="121" t="s">
        <v>2144</v>
      </c>
      <c r="G68" s="121" t="s">
        <v>1283</v>
      </c>
      <c r="H68" s="121"/>
    </row>
    <row r="69">
      <c r="A69" s="121" t="s">
        <v>4</v>
      </c>
      <c r="B69" s="121" t="s">
        <v>1596</v>
      </c>
      <c r="C69" s="121" t="s">
        <v>1573</v>
      </c>
      <c r="D69" s="121" t="s">
        <v>1646</v>
      </c>
      <c r="E69" s="133" t="s">
        <v>1647</v>
      </c>
      <c r="F69" s="121" t="s">
        <v>2181</v>
      </c>
      <c r="G69" s="121" t="s">
        <v>1268</v>
      </c>
      <c r="H69" s="121"/>
    </row>
    <row r="70">
      <c r="A70" s="121" t="s">
        <v>4</v>
      </c>
      <c r="B70" s="121" t="s">
        <v>1596</v>
      </c>
      <c r="C70" s="121" t="s">
        <v>1573</v>
      </c>
      <c r="D70" s="121" t="s">
        <v>1646</v>
      </c>
      <c r="E70" s="133" t="s">
        <v>1647</v>
      </c>
      <c r="F70" s="121" t="s">
        <v>2183</v>
      </c>
      <c r="G70" s="121" t="s">
        <v>2184</v>
      </c>
      <c r="H70" s="121"/>
    </row>
    <row r="71">
      <c r="A71" s="121" t="s">
        <v>4</v>
      </c>
      <c r="B71" s="121" t="s">
        <v>1596</v>
      </c>
      <c r="C71" s="121" t="s">
        <v>1573</v>
      </c>
      <c r="D71" s="121" t="s">
        <v>1648</v>
      </c>
      <c r="E71" s="133" t="s">
        <v>1649</v>
      </c>
      <c r="F71" s="121" t="s">
        <v>2185</v>
      </c>
      <c r="G71" s="121" t="s">
        <v>321</v>
      </c>
      <c r="H71" s="121"/>
    </row>
    <row r="72">
      <c r="A72" s="121" t="s">
        <v>4</v>
      </c>
      <c r="B72" s="121" t="s">
        <v>1596</v>
      </c>
      <c r="C72" s="121" t="s">
        <v>1573</v>
      </c>
      <c r="D72" s="121" t="s">
        <v>1648</v>
      </c>
      <c r="E72" s="133" t="s">
        <v>1649</v>
      </c>
      <c r="F72" s="121" t="s">
        <v>2073</v>
      </c>
      <c r="G72" s="121" t="s">
        <v>295</v>
      </c>
      <c r="H72" s="121"/>
    </row>
    <row r="73">
      <c r="A73" s="121" t="s">
        <v>4</v>
      </c>
      <c r="B73" s="121" t="s">
        <v>1596</v>
      </c>
      <c r="C73" s="121" t="s">
        <v>1573</v>
      </c>
      <c r="D73" s="121" t="s">
        <v>1648</v>
      </c>
      <c r="E73" s="133" t="s">
        <v>1649</v>
      </c>
      <c r="F73" s="121" t="s">
        <v>2186</v>
      </c>
      <c r="G73" s="121" t="s">
        <v>292</v>
      </c>
      <c r="H73" s="121"/>
    </row>
    <row r="74">
      <c r="A74" s="121" t="s">
        <v>4</v>
      </c>
      <c r="B74" s="121" t="s">
        <v>1596</v>
      </c>
      <c r="C74" s="121" t="s">
        <v>1573</v>
      </c>
      <c r="D74" s="121" t="s">
        <v>1650</v>
      </c>
      <c r="E74" s="133" t="s">
        <v>1651</v>
      </c>
      <c r="F74" s="121" t="s">
        <v>2187</v>
      </c>
      <c r="G74" s="121" t="s">
        <v>305</v>
      </c>
      <c r="H74" s="121"/>
    </row>
    <row r="75">
      <c r="A75" s="121" t="s">
        <v>4</v>
      </c>
      <c r="B75" s="121" t="s">
        <v>1596</v>
      </c>
      <c r="C75" s="121" t="s">
        <v>1573</v>
      </c>
      <c r="D75" s="121" t="s">
        <v>1650</v>
      </c>
      <c r="E75" s="133" t="s">
        <v>1651</v>
      </c>
      <c r="F75" s="121" t="s">
        <v>2188</v>
      </c>
      <c r="G75" s="121" t="s">
        <v>280</v>
      </c>
      <c r="H75" s="121"/>
    </row>
    <row r="76">
      <c r="A76" s="121" t="s">
        <v>4</v>
      </c>
      <c r="B76" s="121" t="s">
        <v>1596</v>
      </c>
      <c r="C76" s="121" t="s">
        <v>1573</v>
      </c>
      <c r="D76" s="121" t="s">
        <v>1650</v>
      </c>
      <c r="E76" s="133" t="s">
        <v>1651</v>
      </c>
      <c r="F76" s="121" t="s">
        <v>2189</v>
      </c>
      <c r="G76" s="121" t="s">
        <v>354</v>
      </c>
      <c r="H76" s="121"/>
    </row>
    <row r="77">
      <c r="A77" s="121" t="s">
        <v>4</v>
      </c>
      <c r="B77" s="121" t="s">
        <v>1596</v>
      </c>
      <c r="C77" s="121" t="s">
        <v>1573</v>
      </c>
      <c r="D77" s="121" t="s">
        <v>1652</v>
      </c>
      <c r="E77" s="133" t="s">
        <v>1653</v>
      </c>
      <c r="F77" s="121" t="s">
        <v>2190</v>
      </c>
      <c r="G77" s="121" t="s">
        <v>284</v>
      </c>
      <c r="H77" s="121"/>
    </row>
    <row r="78">
      <c r="A78" s="121" t="s">
        <v>4</v>
      </c>
      <c r="B78" s="121" t="s">
        <v>1596</v>
      </c>
      <c r="C78" s="121" t="s">
        <v>1573</v>
      </c>
      <c r="D78" s="121" t="s">
        <v>1652</v>
      </c>
      <c r="E78" s="133" t="s">
        <v>1653</v>
      </c>
      <c r="F78" s="121" t="s">
        <v>2191</v>
      </c>
      <c r="G78" s="121" t="s">
        <v>312</v>
      </c>
      <c r="H78" s="121"/>
    </row>
    <row r="79">
      <c r="A79" s="121" t="s">
        <v>4</v>
      </c>
      <c r="B79" s="121" t="s">
        <v>1596</v>
      </c>
      <c r="C79" s="121" t="s">
        <v>1573</v>
      </c>
      <c r="D79" s="121" t="s">
        <v>1652</v>
      </c>
      <c r="E79" s="133" t="s">
        <v>1653</v>
      </c>
      <c r="F79" s="121" t="s">
        <v>2072</v>
      </c>
      <c r="G79" s="121" t="s">
        <v>348</v>
      </c>
      <c r="H79" s="121"/>
    </row>
    <row r="80">
      <c r="A80" s="121" t="s">
        <v>4</v>
      </c>
      <c r="B80" s="121" t="s">
        <v>1596</v>
      </c>
      <c r="C80" s="121" t="s">
        <v>1573</v>
      </c>
      <c r="D80" s="121" t="s">
        <v>1652</v>
      </c>
      <c r="E80" s="133" t="s">
        <v>1653</v>
      </c>
      <c r="F80" s="121" t="s">
        <v>2192</v>
      </c>
      <c r="G80" s="121" t="s">
        <v>342</v>
      </c>
      <c r="H80" s="121"/>
    </row>
    <row r="81">
      <c r="A81" s="121" t="s">
        <v>4</v>
      </c>
      <c r="B81" s="121" t="s">
        <v>1596</v>
      </c>
      <c r="C81" s="121" t="s">
        <v>1573</v>
      </c>
      <c r="D81" s="121" t="s">
        <v>1654</v>
      </c>
      <c r="E81" s="133" t="s">
        <v>1655</v>
      </c>
      <c r="F81" s="121" t="s">
        <v>2193</v>
      </c>
      <c r="G81" s="121" t="s">
        <v>315</v>
      </c>
      <c r="H81" s="121"/>
    </row>
    <row r="82">
      <c r="A82" s="121" t="s">
        <v>4</v>
      </c>
      <c r="B82" s="121" t="s">
        <v>1596</v>
      </c>
      <c r="C82" s="121" t="s">
        <v>1573</v>
      </c>
      <c r="D82" s="121" t="s">
        <v>1654</v>
      </c>
      <c r="E82" s="133" t="s">
        <v>1655</v>
      </c>
      <c r="F82" s="121" t="s">
        <v>2211</v>
      </c>
      <c r="G82" s="121" t="s">
        <v>767</v>
      </c>
      <c r="H82" s="121"/>
    </row>
    <row r="83">
      <c r="A83" s="121" t="s">
        <v>4</v>
      </c>
      <c r="B83" s="121" t="s">
        <v>1596</v>
      </c>
      <c r="C83" s="121" t="s">
        <v>1573</v>
      </c>
      <c r="D83" s="121" t="s">
        <v>1654</v>
      </c>
      <c r="E83" s="133" t="s">
        <v>1655</v>
      </c>
      <c r="F83" s="121" t="s">
        <v>2195</v>
      </c>
      <c r="G83" s="121" t="s">
        <v>298</v>
      </c>
      <c r="H83" s="121"/>
    </row>
    <row r="84">
      <c r="A84" s="121" t="s">
        <v>4</v>
      </c>
      <c r="B84" s="121" t="s">
        <v>1596</v>
      </c>
      <c r="C84" s="121" t="s">
        <v>1607</v>
      </c>
      <c r="D84" s="121" t="s">
        <v>7</v>
      </c>
      <c r="E84" s="133" t="s">
        <v>8</v>
      </c>
      <c r="F84" s="121" t="s">
        <v>2197</v>
      </c>
      <c r="G84" s="121" t="s">
        <v>336</v>
      </c>
      <c r="H84" s="121"/>
    </row>
    <row r="85">
      <c r="A85" s="121" t="s">
        <v>4</v>
      </c>
      <c r="B85" s="121" t="s">
        <v>1596</v>
      </c>
      <c r="C85" s="121" t="s">
        <v>1607</v>
      </c>
      <c r="D85" s="121" t="s">
        <v>7</v>
      </c>
      <c r="E85" s="133" t="s">
        <v>8</v>
      </c>
      <c r="F85" s="121" t="s">
        <v>2198</v>
      </c>
      <c r="G85" s="121" t="s">
        <v>339</v>
      </c>
      <c r="H85" s="121"/>
    </row>
    <row r="86">
      <c r="A86" s="121" t="s">
        <v>4</v>
      </c>
      <c r="B86" s="121" t="s">
        <v>1596</v>
      </c>
      <c r="C86" s="121" t="s">
        <v>1607</v>
      </c>
      <c r="D86" s="121" t="s">
        <v>7</v>
      </c>
      <c r="E86" s="133" t="s">
        <v>8</v>
      </c>
      <c r="F86" s="121" t="s">
        <v>2199</v>
      </c>
      <c r="G86" s="121" t="s">
        <v>318</v>
      </c>
      <c r="H86" s="121"/>
    </row>
    <row r="87">
      <c r="A87" s="121" t="s">
        <v>4</v>
      </c>
      <c r="B87" s="121" t="s">
        <v>1596</v>
      </c>
      <c r="C87" s="121" t="s">
        <v>1573</v>
      </c>
      <c r="D87" s="121" t="s">
        <v>1608</v>
      </c>
      <c r="E87" s="133" t="s">
        <v>1609</v>
      </c>
      <c r="F87" s="121" t="s">
        <v>2136</v>
      </c>
      <c r="G87" s="121"/>
      <c r="H87" s="121"/>
    </row>
    <row r="88">
      <c r="A88" s="121" t="s">
        <v>4</v>
      </c>
      <c r="B88" s="121" t="s">
        <v>1596</v>
      </c>
      <c r="C88" s="121" t="s">
        <v>1573</v>
      </c>
      <c r="D88" s="121" t="s">
        <v>1608</v>
      </c>
      <c r="E88" s="133" t="s">
        <v>1609</v>
      </c>
      <c r="F88" s="121" t="s">
        <v>2200</v>
      </c>
      <c r="G88" s="121"/>
      <c r="H88" s="121"/>
    </row>
    <row r="89">
      <c r="A89" s="121" t="s">
        <v>4</v>
      </c>
      <c r="B89" s="121" t="s">
        <v>1596</v>
      </c>
      <c r="C89" s="121" t="s">
        <v>1573</v>
      </c>
      <c r="D89" s="121" t="s">
        <v>1608</v>
      </c>
      <c r="E89" s="133" t="s">
        <v>1609</v>
      </c>
      <c r="F89" s="121" t="s">
        <v>2201</v>
      </c>
      <c r="G89" s="121"/>
      <c r="H89" s="121"/>
    </row>
    <row r="90">
      <c r="A90" s="121" t="s">
        <v>4</v>
      </c>
      <c r="B90" s="121" t="s">
        <v>1596</v>
      </c>
      <c r="C90" s="121" t="s">
        <v>1573</v>
      </c>
      <c r="D90" s="121" t="s">
        <v>1610</v>
      </c>
      <c r="E90" s="133" t="s">
        <v>2611</v>
      </c>
      <c r="F90" s="121"/>
      <c r="G90" s="121"/>
      <c r="H90" s="121"/>
    </row>
    <row r="91">
      <c r="A91" s="121" t="s">
        <v>4</v>
      </c>
      <c r="B91" s="121" t="s">
        <v>1596</v>
      </c>
      <c r="C91" s="121" t="s">
        <v>1573</v>
      </c>
      <c r="D91" s="121" t="s">
        <v>1610</v>
      </c>
      <c r="E91" s="133" t="s">
        <v>2611</v>
      </c>
      <c r="F91" s="121"/>
      <c r="G91" s="121"/>
      <c r="H91" s="121"/>
    </row>
    <row r="92">
      <c r="A92" s="121" t="s">
        <v>4</v>
      </c>
      <c r="B92" s="121" t="s">
        <v>1596</v>
      </c>
      <c r="C92" s="121" t="s">
        <v>1573</v>
      </c>
      <c r="D92" s="121" t="s">
        <v>1610</v>
      </c>
      <c r="E92" s="133" t="s">
        <v>2611</v>
      </c>
      <c r="F92" s="121"/>
      <c r="G92" s="121"/>
      <c r="H92" s="121"/>
    </row>
    <row r="93" hidden="1">
      <c r="A93" s="121" t="s">
        <v>4</v>
      </c>
      <c r="B93" s="121" t="s">
        <v>1612</v>
      </c>
      <c r="C93" s="121" t="s">
        <v>1573</v>
      </c>
      <c r="D93" s="121" t="s">
        <v>1656</v>
      </c>
      <c r="E93" s="133" t="s">
        <v>1657</v>
      </c>
      <c r="F93" s="121" t="s">
        <v>2205</v>
      </c>
      <c r="G93" s="121" t="s">
        <v>360</v>
      </c>
      <c r="H93" s="121"/>
    </row>
    <row r="94" hidden="1">
      <c r="A94" s="121" t="s">
        <v>4</v>
      </c>
      <c r="B94" s="121" t="s">
        <v>1612</v>
      </c>
      <c r="C94" s="121" t="s">
        <v>1573</v>
      </c>
      <c r="D94" s="121" t="s">
        <v>1656</v>
      </c>
      <c r="E94" s="133" t="s">
        <v>1657</v>
      </c>
      <c r="F94" s="121" t="s">
        <v>2206</v>
      </c>
      <c r="G94" s="121" t="s">
        <v>722</v>
      </c>
      <c r="H94" s="121"/>
    </row>
    <row r="95" hidden="1">
      <c r="A95" s="121" t="s">
        <v>4</v>
      </c>
      <c r="B95" s="121" t="s">
        <v>1612</v>
      </c>
      <c r="C95" s="121" t="s">
        <v>1573</v>
      </c>
      <c r="D95" s="121" t="s">
        <v>1658</v>
      </c>
      <c r="E95" s="133" t="s">
        <v>1659</v>
      </c>
      <c r="F95" s="121" t="s">
        <v>2191</v>
      </c>
      <c r="G95" s="121" t="s">
        <v>312</v>
      </c>
      <c r="H95" s="121"/>
    </row>
    <row r="96" hidden="1">
      <c r="A96" s="121" t="s">
        <v>4</v>
      </c>
      <c r="B96" s="121" t="s">
        <v>1612</v>
      </c>
      <c r="C96" s="121" t="s">
        <v>1573</v>
      </c>
      <c r="D96" s="121" t="s">
        <v>1658</v>
      </c>
      <c r="E96" s="133" t="s">
        <v>1659</v>
      </c>
      <c r="F96" s="121" t="s">
        <v>2207</v>
      </c>
      <c r="G96" s="121" t="s">
        <v>357</v>
      </c>
      <c r="H96" s="121"/>
    </row>
    <row r="97" hidden="1">
      <c r="A97" s="121" t="s">
        <v>4</v>
      </c>
      <c r="B97" s="121" t="s">
        <v>1612</v>
      </c>
      <c r="C97" s="121" t="s">
        <v>1573</v>
      </c>
      <c r="D97" s="121" t="s">
        <v>1660</v>
      </c>
      <c r="E97" s="133" t="s">
        <v>1661</v>
      </c>
      <c r="F97" s="121" t="s">
        <v>2208</v>
      </c>
      <c r="G97" s="121" t="s">
        <v>324</v>
      </c>
      <c r="H97" s="121"/>
    </row>
    <row r="98" hidden="1">
      <c r="A98" s="121" t="s">
        <v>4</v>
      </c>
      <c r="B98" s="121" t="s">
        <v>1612</v>
      </c>
      <c r="C98" s="121" t="s">
        <v>1573</v>
      </c>
      <c r="D98" s="121" t="s">
        <v>1660</v>
      </c>
      <c r="E98" s="133" t="s">
        <v>1661</v>
      </c>
      <c r="F98" s="121" t="s">
        <v>2209</v>
      </c>
      <c r="G98" s="121" t="s">
        <v>716</v>
      </c>
      <c r="H98" s="121"/>
    </row>
    <row r="99" hidden="1">
      <c r="A99" s="121" t="s">
        <v>4</v>
      </c>
      <c r="B99" s="121" t="s">
        <v>1612</v>
      </c>
      <c r="C99" s="121" t="s">
        <v>1619</v>
      </c>
      <c r="D99" s="121" t="s">
        <v>2621</v>
      </c>
      <c r="E99" s="133" t="s">
        <v>1740</v>
      </c>
      <c r="F99" s="121" t="s">
        <v>2072</v>
      </c>
      <c r="G99" s="121" t="s">
        <v>348</v>
      </c>
      <c r="H99" s="121"/>
    </row>
    <row r="100" hidden="1">
      <c r="A100" s="121" t="s">
        <v>4</v>
      </c>
      <c r="B100" s="121" t="s">
        <v>1612</v>
      </c>
      <c r="C100" s="121" t="s">
        <v>1619</v>
      </c>
      <c r="D100" s="121" t="s">
        <v>2621</v>
      </c>
      <c r="E100" s="133" t="s">
        <v>1740</v>
      </c>
      <c r="F100" s="121" t="s">
        <v>2073</v>
      </c>
      <c r="G100" s="121" t="s">
        <v>295</v>
      </c>
      <c r="H100" s="121"/>
    </row>
    <row r="101" hidden="1">
      <c r="A101" s="121" t="s">
        <v>4</v>
      </c>
      <c r="B101" s="121" t="s">
        <v>1612</v>
      </c>
      <c r="C101" s="121" t="s">
        <v>1619</v>
      </c>
      <c r="D101" s="121" t="s">
        <v>73</v>
      </c>
      <c r="E101" s="133" t="s">
        <v>74</v>
      </c>
      <c r="F101" s="121" t="s">
        <v>2079</v>
      </c>
      <c r="G101" s="121" t="s">
        <v>2080</v>
      </c>
      <c r="H101" s="121"/>
    </row>
    <row r="102" hidden="1">
      <c r="A102" s="121" t="s">
        <v>4</v>
      </c>
      <c r="B102" s="121" t="s">
        <v>1612</v>
      </c>
      <c r="C102" s="121" t="s">
        <v>1620</v>
      </c>
      <c r="D102" s="121" t="s">
        <v>65</v>
      </c>
      <c r="E102" s="133" t="s">
        <v>66</v>
      </c>
      <c r="F102" s="121" t="s">
        <v>2195</v>
      </c>
      <c r="G102" s="121" t="s">
        <v>298</v>
      </c>
      <c r="H102" s="121"/>
    </row>
    <row r="103" hidden="1">
      <c r="A103" s="121" t="s">
        <v>4</v>
      </c>
      <c r="B103" s="121" t="s">
        <v>1612</v>
      </c>
      <c r="C103" s="121" t="s">
        <v>1620</v>
      </c>
      <c r="D103" s="121" t="s">
        <v>65</v>
      </c>
      <c r="E103" s="133" t="s">
        <v>66</v>
      </c>
      <c r="F103" s="121" t="s">
        <v>2186</v>
      </c>
      <c r="G103" s="121" t="s">
        <v>292</v>
      </c>
      <c r="H103" s="121"/>
    </row>
    <row r="104" hidden="1">
      <c r="A104" s="121" t="s">
        <v>4</v>
      </c>
      <c r="B104" s="121" t="s">
        <v>1612</v>
      </c>
      <c r="C104" s="121" t="s">
        <v>1620</v>
      </c>
      <c r="D104" s="121" t="s">
        <v>2622</v>
      </c>
      <c r="E104" s="133" t="s">
        <v>2623</v>
      </c>
      <c r="F104" s="121" t="s">
        <v>2211</v>
      </c>
      <c r="G104" s="121" t="s">
        <v>767</v>
      </c>
      <c r="H104" s="121"/>
    </row>
    <row r="105" hidden="1">
      <c r="A105" s="121" t="s">
        <v>4</v>
      </c>
      <c r="B105" s="121" t="s">
        <v>1612</v>
      </c>
      <c r="C105" s="121" t="s">
        <v>1621</v>
      </c>
      <c r="D105" s="121" t="s">
        <v>67</v>
      </c>
      <c r="E105" s="133" t="s">
        <v>68</v>
      </c>
      <c r="F105" s="121" t="s">
        <v>2624</v>
      </c>
      <c r="G105" s="121" t="s">
        <v>288</v>
      </c>
      <c r="H105" s="121"/>
    </row>
    <row r="106" hidden="1">
      <c r="A106" s="121" t="s">
        <v>4</v>
      </c>
      <c r="B106" s="121" t="s">
        <v>1612</v>
      </c>
      <c r="C106" s="121" t="s">
        <v>1621</v>
      </c>
      <c r="D106" s="121" t="s">
        <v>71</v>
      </c>
      <c r="E106" s="133" t="s">
        <v>72</v>
      </c>
      <c r="F106" s="121" t="s">
        <v>2185</v>
      </c>
      <c r="G106" s="121" t="s">
        <v>321</v>
      </c>
      <c r="H106" s="121"/>
    </row>
    <row r="107" hidden="1">
      <c r="A107" s="121" t="s">
        <v>4</v>
      </c>
      <c r="B107" s="121" t="s">
        <v>1612</v>
      </c>
      <c r="C107" s="121" t="s">
        <v>1621</v>
      </c>
      <c r="D107" s="121" t="s">
        <v>71</v>
      </c>
      <c r="E107" s="133" t="s">
        <v>72</v>
      </c>
      <c r="F107" s="121" t="s">
        <v>2193</v>
      </c>
      <c r="G107" s="121" t="s">
        <v>315</v>
      </c>
      <c r="H107" s="121"/>
    </row>
    <row r="108" hidden="1">
      <c r="A108" s="121" t="s">
        <v>4</v>
      </c>
      <c r="B108" s="121" t="s">
        <v>1612</v>
      </c>
      <c r="C108" s="121" t="s">
        <v>1622</v>
      </c>
      <c r="D108" s="121" t="s">
        <v>61</v>
      </c>
      <c r="E108" s="133" t="s">
        <v>62</v>
      </c>
      <c r="F108" s="121" t="s">
        <v>2062</v>
      </c>
      <c r="G108" s="121" t="s">
        <v>309</v>
      </c>
      <c r="H108" s="121"/>
    </row>
    <row r="109" hidden="1">
      <c r="A109" s="121" t="s">
        <v>4</v>
      </c>
      <c r="B109" s="121" t="s">
        <v>1612</v>
      </c>
      <c r="C109" s="121" t="s">
        <v>1623</v>
      </c>
      <c r="D109" s="121" t="s">
        <v>2625</v>
      </c>
      <c r="E109" s="133" t="s">
        <v>2626</v>
      </c>
      <c r="F109" s="121" t="s">
        <v>2191</v>
      </c>
      <c r="G109" s="121" t="s">
        <v>312</v>
      </c>
      <c r="H109" s="121"/>
    </row>
    <row r="110" hidden="1">
      <c r="A110" s="121" t="s">
        <v>4</v>
      </c>
      <c r="B110" s="121" t="s">
        <v>1612</v>
      </c>
      <c r="C110" s="121" t="s">
        <v>1623</v>
      </c>
      <c r="D110" s="121" t="s">
        <v>2627</v>
      </c>
      <c r="E110" s="133" t="s">
        <v>2628</v>
      </c>
      <c r="F110" s="121" t="s">
        <v>2199</v>
      </c>
      <c r="G110" s="121" t="s">
        <v>318</v>
      </c>
      <c r="H110" s="121"/>
    </row>
    <row r="111" hidden="1">
      <c r="A111" s="121" t="s">
        <v>4</v>
      </c>
      <c r="B111" s="121" t="s">
        <v>1612</v>
      </c>
      <c r="C111" s="121" t="s">
        <v>1681</v>
      </c>
      <c r="D111" s="121" t="s">
        <v>2629</v>
      </c>
      <c r="E111" s="133" t="s">
        <v>2630</v>
      </c>
      <c r="F111" s="121" t="s">
        <v>2214</v>
      </c>
      <c r="G111" s="121" t="s">
        <v>351</v>
      </c>
      <c r="H111" s="121"/>
    </row>
    <row r="112" hidden="1">
      <c r="A112" s="121" t="s">
        <v>4</v>
      </c>
      <c r="B112" s="121" t="s">
        <v>1612</v>
      </c>
      <c r="C112" s="121" t="s">
        <v>1681</v>
      </c>
      <c r="D112" s="121" t="s">
        <v>2631</v>
      </c>
      <c r="E112" s="133" t="s">
        <v>2632</v>
      </c>
      <c r="F112" s="121" t="s">
        <v>2215</v>
      </c>
      <c r="G112" s="121" t="s">
        <v>564</v>
      </c>
      <c r="H112" s="121"/>
    </row>
    <row r="113" hidden="1">
      <c r="A113" s="121" t="s">
        <v>4</v>
      </c>
      <c r="B113" s="121" t="s">
        <v>1612</v>
      </c>
      <c r="C113" s="121" t="s">
        <v>1573</v>
      </c>
      <c r="D113" s="121" t="s">
        <v>1666</v>
      </c>
      <c r="E113" s="133" t="s">
        <v>1630</v>
      </c>
      <c r="F113" s="121"/>
      <c r="G113" s="121"/>
      <c r="H113" s="121"/>
    </row>
    <row r="114" hidden="1">
      <c r="A114" s="121" t="s">
        <v>4</v>
      </c>
      <c r="B114" s="121" t="s">
        <v>1631</v>
      </c>
      <c r="C114" s="121" t="s">
        <v>1573</v>
      </c>
      <c r="D114" s="121" t="s">
        <v>2633</v>
      </c>
      <c r="E114" s="133" t="s">
        <v>1634</v>
      </c>
      <c r="F114" s="121"/>
      <c r="G114" s="121"/>
      <c r="H114" s="121"/>
    </row>
    <row r="115" hidden="1">
      <c r="A115" s="121" t="s">
        <v>9</v>
      </c>
      <c r="B115" s="121" t="s">
        <v>1572</v>
      </c>
      <c r="C115" s="121" t="s">
        <v>1573</v>
      </c>
      <c r="D115" s="121" t="s">
        <v>1574</v>
      </c>
      <c r="E115" s="133" t="s">
        <v>1575</v>
      </c>
      <c r="F115" s="121" t="s">
        <v>1303</v>
      </c>
      <c r="G115" s="121" t="s">
        <v>1304</v>
      </c>
      <c r="H115" s="121"/>
    </row>
    <row r="116" hidden="1">
      <c r="A116" s="121" t="s">
        <v>9</v>
      </c>
      <c r="B116" s="121" t="s">
        <v>1572</v>
      </c>
      <c r="C116" s="121" t="s">
        <v>1573</v>
      </c>
      <c r="D116" s="121" t="s">
        <v>1574</v>
      </c>
      <c r="E116" s="133" t="s">
        <v>1575</v>
      </c>
      <c r="F116" s="121" t="s">
        <v>2217</v>
      </c>
      <c r="G116" s="121" t="s">
        <v>2218</v>
      </c>
      <c r="H116" s="121"/>
    </row>
    <row r="117" hidden="1">
      <c r="A117" s="121" t="s">
        <v>9</v>
      </c>
      <c r="B117" s="121" t="s">
        <v>1572</v>
      </c>
      <c r="C117" s="121" t="s">
        <v>1573</v>
      </c>
      <c r="D117" s="121" t="s">
        <v>1577</v>
      </c>
      <c r="E117" s="133" t="s">
        <v>1578</v>
      </c>
      <c r="F117" s="121" t="s">
        <v>2219</v>
      </c>
      <c r="G117" s="121" t="s">
        <v>1504</v>
      </c>
      <c r="H117" s="121"/>
    </row>
    <row r="118" hidden="1">
      <c r="A118" s="121" t="s">
        <v>9</v>
      </c>
      <c r="B118" s="121" t="s">
        <v>1572</v>
      </c>
      <c r="C118" s="121" t="s">
        <v>1573</v>
      </c>
      <c r="D118" s="121" t="s">
        <v>1577</v>
      </c>
      <c r="E118" s="133" t="s">
        <v>1578</v>
      </c>
      <c r="F118" s="121" t="s">
        <v>2220</v>
      </c>
      <c r="G118" s="121" t="s">
        <v>1492</v>
      </c>
      <c r="H118" s="121"/>
    </row>
    <row r="119" hidden="1">
      <c r="A119" s="121" t="s">
        <v>9</v>
      </c>
      <c r="B119" s="121" t="s">
        <v>1572</v>
      </c>
      <c r="C119" s="121" t="s">
        <v>1573</v>
      </c>
      <c r="D119" s="121" t="s">
        <v>1580</v>
      </c>
      <c r="E119" s="133" t="s">
        <v>1581</v>
      </c>
      <c r="F119" s="121" t="s">
        <v>2221</v>
      </c>
      <c r="G119" s="121" t="s">
        <v>655</v>
      </c>
      <c r="H119" s="121"/>
    </row>
    <row r="120" hidden="1">
      <c r="A120" s="121" t="s">
        <v>9</v>
      </c>
      <c r="B120" s="121" t="s">
        <v>1572</v>
      </c>
      <c r="C120" s="121" t="s">
        <v>1573</v>
      </c>
      <c r="D120" s="121" t="s">
        <v>1580</v>
      </c>
      <c r="E120" s="133" t="s">
        <v>1581</v>
      </c>
      <c r="F120" s="121" t="s">
        <v>2222</v>
      </c>
      <c r="G120" s="121" t="s">
        <v>634</v>
      </c>
      <c r="H120" s="121"/>
    </row>
    <row r="121" hidden="1">
      <c r="A121" s="121" t="s">
        <v>9</v>
      </c>
      <c r="B121" s="121" t="s">
        <v>1572</v>
      </c>
      <c r="C121" s="121" t="s">
        <v>1573</v>
      </c>
      <c r="D121" s="121" t="s">
        <v>1582</v>
      </c>
      <c r="E121" s="133" t="s">
        <v>1583</v>
      </c>
      <c r="F121" s="121" t="s">
        <v>2223</v>
      </c>
      <c r="G121" s="121" t="s">
        <v>428</v>
      </c>
      <c r="H121" s="121"/>
    </row>
    <row r="122" hidden="1">
      <c r="A122" s="121" t="s">
        <v>9</v>
      </c>
      <c r="B122" s="121" t="s">
        <v>1572</v>
      </c>
      <c r="C122" s="121" t="s">
        <v>1573</v>
      </c>
      <c r="D122" s="121" t="s">
        <v>1582</v>
      </c>
      <c r="E122" s="133" t="s">
        <v>1583</v>
      </c>
      <c r="F122" s="121" t="s">
        <v>2163</v>
      </c>
      <c r="G122" s="121" t="s">
        <v>773</v>
      </c>
      <c r="H122" s="121"/>
    </row>
    <row r="123" hidden="1">
      <c r="A123" s="121" t="s">
        <v>9</v>
      </c>
      <c r="B123" s="121" t="s">
        <v>1572</v>
      </c>
      <c r="C123" s="121" t="s">
        <v>1573</v>
      </c>
      <c r="D123" s="121" t="s">
        <v>1636</v>
      </c>
      <c r="E123" s="133" t="s">
        <v>1637</v>
      </c>
      <c r="F123" s="121" t="s">
        <v>2443</v>
      </c>
      <c r="G123" s="121" t="s">
        <v>1035</v>
      </c>
      <c r="H123" s="121"/>
    </row>
    <row r="124" hidden="1">
      <c r="A124" s="121" t="s">
        <v>9</v>
      </c>
      <c r="B124" s="121" t="s">
        <v>1572</v>
      </c>
      <c r="C124" s="121" t="s">
        <v>1573</v>
      </c>
      <c r="D124" s="121" t="s">
        <v>1636</v>
      </c>
      <c r="E124" s="133" t="s">
        <v>1637</v>
      </c>
      <c r="F124" s="121" t="s">
        <v>2225</v>
      </c>
      <c r="G124" s="121" t="s">
        <v>978</v>
      </c>
      <c r="H124" s="121"/>
    </row>
    <row r="125" hidden="1">
      <c r="A125" s="121" t="s">
        <v>9</v>
      </c>
      <c r="B125" s="121" t="s">
        <v>1572</v>
      </c>
      <c r="C125" s="121" t="s">
        <v>1573</v>
      </c>
      <c r="D125" s="121" t="s">
        <v>1668</v>
      </c>
      <c r="E125" s="133" t="s">
        <v>1639</v>
      </c>
      <c r="F125" s="121" t="s">
        <v>2226</v>
      </c>
      <c r="G125" s="121" t="s">
        <v>896</v>
      </c>
      <c r="H125" s="121"/>
    </row>
    <row r="126" hidden="1">
      <c r="A126" s="121" t="s">
        <v>9</v>
      </c>
      <c r="B126" s="121" t="s">
        <v>1572</v>
      </c>
      <c r="C126" s="121" t="s">
        <v>1573</v>
      </c>
      <c r="D126" s="121" t="s">
        <v>1668</v>
      </c>
      <c r="E126" s="133" t="s">
        <v>1639</v>
      </c>
      <c r="F126" s="121" t="s">
        <v>2227</v>
      </c>
      <c r="G126" s="121" t="s">
        <v>446</v>
      </c>
      <c r="H126" s="121"/>
    </row>
    <row r="127" hidden="1">
      <c r="A127" s="121" t="s">
        <v>9</v>
      </c>
      <c r="B127" s="121" t="s">
        <v>1572</v>
      </c>
      <c r="C127" s="121" t="s">
        <v>1573</v>
      </c>
      <c r="D127" s="121" t="s">
        <v>1589</v>
      </c>
      <c r="E127" s="133" t="s">
        <v>1590</v>
      </c>
      <c r="F127" s="121" t="s">
        <v>2180</v>
      </c>
      <c r="G127" s="121" t="s">
        <v>1132</v>
      </c>
      <c r="H127" s="121"/>
    </row>
    <row r="128" hidden="1">
      <c r="A128" s="121" t="s">
        <v>9</v>
      </c>
      <c r="B128" s="121" t="s">
        <v>1572</v>
      </c>
      <c r="C128" s="121" t="s">
        <v>1573</v>
      </c>
      <c r="D128" s="121" t="s">
        <v>1589</v>
      </c>
      <c r="E128" s="133" t="s">
        <v>1590</v>
      </c>
      <c r="F128" s="121" t="s">
        <v>2178</v>
      </c>
      <c r="G128" s="121" t="s">
        <v>1117</v>
      </c>
      <c r="H128" s="121"/>
    </row>
    <row r="129" hidden="1">
      <c r="A129" s="121" t="s">
        <v>9</v>
      </c>
      <c r="B129" s="121" t="s">
        <v>1572</v>
      </c>
      <c r="C129" s="121" t="s">
        <v>1593</v>
      </c>
      <c r="D129" s="121" t="s">
        <v>1594</v>
      </c>
      <c r="E129" s="133" t="s">
        <v>1640</v>
      </c>
      <c r="F129" s="121"/>
      <c r="G129" s="121"/>
      <c r="H129" s="121"/>
    </row>
    <row r="130" hidden="1">
      <c r="A130" s="121" t="s">
        <v>9</v>
      </c>
      <c r="B130" s="121" t="s">
        <v>1572</v>
      </c>
      <c r="C130" s="121" t="s">
        <v>1593</v>
      </c>
      <c r="D130" s="121" t="s">
        <v>1641</v>
      </c>
      <c r="E130" s="133" t="s">
        <v>1642</v>
      </c>
      <c r="F130" s="121"/>
      <c r="G130" s="121"/>
      <c r="H130" s="121"/>
    </row>
    <row r="131" hidden="1">
      <c r="A131" s="121" t="s">
        <v>9</v>
      </c>
      <c r="B131" s="121" t="s">
        <v>1572</v>
      </c>
      <c r="C131" s="121" t="s">
        <v>1593</v>
      </c>
      <c r="D131" s="121" t="s">
        <v>1643</v>
      </c>
      <c r="E131" s="133" t="s">
        <v>1644</v>
      </c>
      <c r="F131" s="121"/>
      <c r="G131" s="121"/>
      <c r="H131" s="121"/>
    </row>
    <row r="132" hidden="1">
      <c r="A132" s="121" t="s">
        <v>9</v>
      </c>
      <c r="B132" s="121" t="s">
        <v>1572</v>
      </c>
      <c r="C132" s="121" t="s">
        <v>1573</v>
      </c>
      <c r="D132" s="121" t="s">
        <v>1591</v>
      </c>
      <c r="E132" s="133" t="s">
        <v>1645</v>
      </c>
      <c r="F132" s="121"/>
      <c r="G132" s="121"/>
      <c r="H132" s="121"/>
    </row>
    <row r="133">
      <c r="A133" s="121" t="s">
        <v>9</v>
      </c>
      <c r="B133" s="121" t="s">
        <v>1596</v>
      </c>
      <c r="C133" s="121" t="s">
        <v>1573</v>
      </c>
      <c r="D133" s="121" t="s">
        <v>1669</v>
      </c>
      <c r="E133" s="133" t="s">
        <v>1647</v>
      </c>
      <c r="F133" s="121" t="s">
        <v>2228</v>
      </c>
      <c r="G133" s="121" t="s">
        <v>1307</v>
      </c>
      <c r="H133" s="121"/>
    </row>
    <row r="134">
      <c r="A134" s="121" t="s">
        <v>9</v>
      </c>
      <c r="B134" s="121" t="s">
        <v>1596</v>
      </c>
      <c r="C134" s="121" t="s">
        <v>1573</v>
      </c>
      <c r="D134" s="121" t="s">
        <v>1669</v>
      </c>
      <c r="E134" s="133" t="s">
        <v>1647</v>
      </c>
      <c r="F134" s="121" t="s">
        <v>2147</v>
      </c>
      <c r="G134" s="121" t="s">
        <v>1289</v>
      </c>
      <c r="H134" s="121"/>
    </row>
    <row r="135">
      <c r="A135" s="121" t="s">
        <v>9</v>
      </c>
      <c r="B135" s="121" t="s">
        <v>1596</v>
      </c>
      <c r="C135" s="121" t="s">
        <v>1573</v>
      </c>
      <c r="D135" s="121" t="s">
        <v>1670</v>
      </c>
      <c r="E135" s="133" t="s">
        <v>1649</v>
      </c>
      <c r="F135" s="121" t="s">
        <v>2229</v>
      </c>
      <c r="G135" s="121" t="s">
        <v>431</v>
      </c>
      <c r="H135" s="121"/>
    </row>
    <row r="136">
      <c r="A136" s="121" t="s">
        <v>9</v>
      </c>
      <c r="B136" s="121" t="s">
        <v>1596</v>
      </c>
      <c r="C136" s="121" t="s">
        <v>1573</v>
      </c>
      <c r="D136" s="121" t="s">
        <v>1670</v>
      </c>
      <c r="E136" s="133" t="s">
        <v>1649</v>
      </c>
      <c r="F136" s="121" t="s">
        <v>2231</v>
      </c>
      <c r="G136" s="121" t="s">
        <v>2232</v>
      </c>
      <c r="H136" s="121"/>
    </row>
    <row r="137">
      <c r="A137" s="121" t="s">
        <v>9</v>
      </c>
      <c r="B137" s="121" t="s">
        <v>1596</v>
      </c>
      <c r="C137" s="121" t="s">
        <v>1573</v>
      </c>
      <c r="D137" s="121" t="s">
        <v>1671</v>
      </c>
      <c r="E137" s="133" t="s">
        <v>1651</v>
      </c>
      <c r="F137" s="121" t="s">
        <v>2233</v>
      </c>
      <c r="G137" s="121" t="s">
        <v>437</v>
      </c>
      <c r="H137" s="121"/>
    </row>
    <row r="138">
      <c r="A138" s="121" t="s">
        <v>9</v>
      </c>
      <c r="B138" s="121" t="s">
        <v>1596</v>
      </c>
      <c r="C138" s="121" t="s">
        <v>1573</v>
      </c>
      <c r="D138" s="121" t="s">
        <v>1671</v>
      </c>
      <c r="E138" s="133" t="s">
        <v>1651</v>
      </c>
      <c r="F138" s="121" t="s">
        <v>2234</v>
      </c>
      <c r="G138" s="121" t="s">
        <v>449</v>
      </c>
      <c r="H138" s="121"/>
    </row>
    <row r="139">
      <c r="A139" s="121" t="s">
        <v>9</v>
      </c>
      <c r="B139" s="121" t="s">
        <v>1596</v>
      </c>
      <c r="C139" s="121" t="s">
        <v>1573</v>
      </c>
      <c r="D139" s="121" t="s">
        <v>1672</v>
      </c>
      <c r="E139" s="133" t="s">
        <v>1653</v>
      </c>
      <c r="F139" s="133" t="s">
        <v>2236</v>
      </c>
      <c r="G139" s="121" t="s">
        <v>2237</v>
      </c>
      <c r="H139" s="1">
        <v>26.0</v>
      </c>
    </row>
    <row r="140">
      <c r="A140" s="121" t="s">
        <v>9</v>
      </c>
      <c r="B140" s="121" t="s">
        <v>1596</v>
      </c>
      <c r="C140" s="121" t="s">
        <v>1573</v>
      </c>
      <c r="D140" s="121" t="s">
        <v>1672</v>
      </c>
      <c r="E140" s="133" t="s">
        <v>1653</v>
      </c>
      <c r="F140" s="121" t="s">
        <v>2238</v>
      </c>
      <c r="G140" s="121" t="s">
        <v>440</v>
      </c>
      <c r="H140" s="121"/>
    </row>
    <row r="141">
      <c r="A141" s="121" t="s">
        <v>9</v>
      </c>
      <c r="B141" s="121" t="s">
        <v>1596</v>
      </c>
      <c r="C141" s="121" t="s">
        <v>1573</v>
      </c>
      <c r="D141" s="121" t="s">
        <v>1673</v>
      </c>
      <c r="E141" s="133" t="s">
        <v>1655</v>
      </c>
      <c r="F141" s="121" t="s">
        <v>2196</v>
      </c>
      <c r="G141" s="121" t="s">
        <v>425</v>
      </c>
      <c r="H141" s="121"/>
    </row>
    <row r="142">
      <c r="A142" s="121" t="s">
        <v>9</v>
      </c>
      <c r="B142" s="121" t="s">
        <v>1596</v>
      </c>
      <c r="C142" s="121" t="s">
        <v>1573</v>
      </c>
      <c r="D142" s="121" t="s">
        <v>1673</v>
      </c>
      <c r="E142" s="133" t="s">
        <v>1655</v>
      </c>
      <c r="F142" s="121" t="s">
        <v>2240</v>
      </c>
      <c r="G142" s="121" t="s">
        <v>2241</v>
      </c>
      <c r="H142" s="121"/>
    </row>
    <row r="143">
      <c r="A143" s="121" t="s">
        <v>9</v>
      </c>
      <c r="B143" s="121" t="s">
        <v>1596</v>
      </c>
      <c r="C143" s="121" t="s">
        <v>1607</v>
      </c>
      <c r="D143" s="121" t="s">
        <v>11</v>
      </c>
      <c r="E143" s="133" t="s">
        <v>12</v>
      </c>
      <c r="F143" s="121" t="s">
        <v>2164</v>
      </c>
      <c r="G143" s="121" t="s">
        <v>434</v>
      </c>
      <c r="H143" s="121"/>
    </row>
    <row r="144">
      <c r="A144" s="121" t="s">
        <v>9</v>
      </c>
      <c r="B144" s="121" t="s">
        <v>1596</v>
      </c>
      <c r="C144" s="121" t="s">
        <v>1607</v>
      </c>
      <c r="D144" s="121" t="s">
        <v>11</v>
      </c>
      <c r="E144" s="133" t="s">
        <v>12</v>
      </c>
      <c r="F144" s="121" t="s">
        <v>2243</v>
      </c>
      <c r="G144" s="121" t="s">
        <v>2244</v>
      </c>
      <c r="H144" s="121"/>
    </row>
    <row r="145">
      <c r="A145" s="121" t="s">
        <v>9</v>
      </c>
      <c r="B145" s="121" t="s">
        <v>1596</v>
      </c>
      <c r="C145" s="121" t="s">
        <v>1573</v>
      </c>
      <c r="D145" s="121" t="s">
        <v>1608</v>
      </c>
      <c r="E145" s="133" t="s">
        <v>1609</v>
      </c>
      <c r="F145" s="121" t="s">
        <v>2154</v>
      </c>
      <c r="G145" s="121" t="s">
        <v>652</v>
      </c>
      <c r="H145" s="121"/>
    </row>
    <row r="146">
      <c r="A146" s="121" t="s">
        <v>9</v>
      </c>
      <c r="B146" s="121" t="s">
        <v>1596</v>
      </c>
      <c r="C146" s="121" t="s">
        <v>1573</v>
      </c>
      <c r="D146" s="121" t="s">
        <v>1608</v>
      </c>
      <c r="E146" s="133" t="s">
        <v>1609</v>
      </c>
      <c r="F146" s="121" t="s">
        <v>2245</v>
      </c>
      <c r="G146" s="121" t="s">
        <v>646</v>
      </c>
      <c r="H146" s="121"/>
    </row>
    <row r="147">
      <c r="A147" s="121" t="s">
        <v>9</v>
      </c>
      <c r="B147" s="121" t="s">
        <v>1596</v>
      </c>
      <c r="C147" s="121" t="s">
        <v>1573</v>
      </c>
      <c r="D147" s="121" t="s">
        <v>1610</v>
      </c>
      <c r="E147" s="133" t="s">
        <v>2611</v>
      </c>
      <c r="F147" s="121"/>
      <c r="G147" s="121"/>
      <c r="H147" s="121"/>
    </row>
    <row r="148" hidden="1">
      <c r="A148" s="121" t="s">
        <v>9</v>
      </c>
      <c r="B148" s="121" t="s">
        <v>1612</v>
      </c>
      <c r="C148" s="121" t="s">
        <v>1573</v>
      </c>
      <c r="D148" s="121" t="s">
        <v>1674</v>
      </c>
      <c r="E148" s="133" t="s">
        <v>1657</v>
      </c>
      <c r="F148" s="121" t="s">
        <v>2246</v>
      </c>
      <c r="G148" s="121" t="s">
        <v>330</v>
      </c>
      <c r="H148" s="121"/>
    </row>
    <row r="149" hidden="1">
      <c r="A149" s="121" t="s">
        <v>9</v>
      </c>
      <c r="B149" s="121" t="s">
        <v>1612</v>
      </c>
      <c r="C149" s="121" t="s">
        <v>1573</v>
      </c>
      <c r="D149" s="121" t="s">
        <v>1674</v>
      </c>
      <c r="E149" s="133" t="s">
        <v>1657</v>
      </c>
      <c r="F149" s="121" t="s">
        <v>2247</v>
      </c>
      <c r="G149" s="121" t="s">
        <v>467</v>
      </c>
      <c r="H149" s="121"/>
    </row>
    <row r="150" hidden="1">
      <c r="A150" s="121" t="s">
        <v>9</v>
      </c>
      <c r="B150" s="121" t="s">
        <v>1612</v>
      </c>
      <c r="C150" s="121" t="s">
        <v>1573</v>
      </c>
      <c r="D150" s="121" t="s">
        <v>1674</v>
      </c>
      <c r="E150" s="133" t="s">
        <v>1657</v>
      </c>
      <c r="F150" s="121" t="s">
        <v>2206</v>
      </c>
      <c r="G150" s="121" t="s">
        <v>722</v>
      </c>
      <c r="H150" s="121"/>
    </row>
    <row r="151" hidden="1">
      <c r="A151" s="121" t="s">
        <v>9</v>
      </c>
      <c r="B151" s="121" t="s">
        <v>1612</v>
      </c>
      <c r="C151" s="121" t="s">
        <v>1573</v>
      </c>
      <c r="D151" s="121" t="s">
        <v>1675</v>
      </c>
      <c r="E151" s="133" t="s">
        <v>1659</v>
      </c>
      <c r="F151" s="121" t="s">
        <v>2248</v>
      </c>
      <c r="G151" s="121" t="s">
        <v>422</v>
      </c>
      <c r="H151" s="121"/>
    </row>
    <row r="152" hidden="1">
      <c r="A152" s="121" t="s">
        <v>9</v>
      </c>
      <c r="B152" s="121" t="s">
        <v>1612</v>
      </c>
      <c r="C152" s="121" t="s">
        <v>1573</v>
      </c>
      <c r="D152" s="121" t="s">
        <v>1675</v>
      </c>
      <c r="E152" s="133" t="s">
        <v>1659</v>
      </c>
      <c r="F152" s="121" t="s">
        <v>2249</v>
      </c>
      <c r="G152" s="121" t="s">
        <v>416</v>
      </c>
      <c r="H152" s="121"/>
    </row>
    <row r="153" hidden="1">
      <c r="A153" s="121" t="s">
        <v>9</v>
      </c>
      <c r="B153" s="121" t="s">
        <v>1612</v>
      </c>
      <c r="C153" s="121" t="s">
        <v>1573</v>
      </c>
      <c r="D153" s="121" t="s">
        <v>1676</v>
      </c>
      <c r="E153" s="133" t="s">
        <v>1661</v>
      </c>
      <c r="F153" s="121" t="s">
        <v>2063</v>
      </c>
      <c r="G153" s="121" t="s">
        <v>302</v>
      </c>
      <c r="H153" s="121"/>
    </row>
    <row r="154" hidden="1">
      <c r="A154" s="121" t="s">
        <v>9</v>
      </c>
      <c r="B154" s="121" t="s">
        <v>1612</v>
      </c>
      <c r="C154" s="121" t="s">
        <v>1573</v>
      </c>
      <c r="D154" s="121" t="s">
        <v>1676</v>
      </c>
      <c r="E154" s="133" t="s">
        <v>1661</v>
      </c>
      <c r="F154" s="121" t="s">
        <v>2250</v>
      </c>
      <c r="G154" s="121" t="s">
        <v>333</v>
      </c>
      <c r="H154" s="121"/>
    </row>
    <row r="155" hidden="1">
      <c r="A155" s="121" t="s">
        <v>9</v>
      </c>
      <c r="B155" s="121" t="s">
        <v>1612</v>
      </c>
      <c r="C155" s="121" t="s">
        <v>1573</v>
      </c>
      <c r="D155" s="121" t="s">
        <v>1676</v>
      </c>
      <c r="E155" s="133" t="s">
        <v>1661</v>
      </c>
      <c r="F155" s="121" t="s">
        <v>2231</v>
      </c>
      <c r="G155" s="121" t="s">
        <v>2232</v>
      </c>
      <c r="H155" s="121"/>
    </row>
    <row r="156" hidden="1">
      <c r="A156" s="121" t="s">
        <v>9</v>
      </c>
      <c r="B156" s="121" t="s">
        <v>1612</v>
      </c>
      <c r="C156" s="121" t="s">
        <v>1619</v>
      </c>
      <c r="D156" s="121" t="s">
        <v>2634</v>
      </c>
      <c r="E156" s="133" t="s">
        <v>74</v>
      </c>
      <c r="F156" s="121" t="s">
        <v>2248</v>
      </c>
      <c r="G156" s="121" t="s">
        <v>422</v>
      </c>
      <c r="H156" s="121"/>
    </row>
    <row r="157" hidden="1">
      <c r="A157" s="121" t="s">
        <v>9</v>
      </c>
      <c r="B157" s="121" t="s">
        <v>1612</v>
      </c>
      <c r="C157" s="121" t="s">
        <v>1619</v>
      </c>
      <c r="D157" s="121" t="s">
        <v>2634</v>
      </c>
      <c r="E157" s="133" t="s">
        <v>74</v>
      </c>
      <c r="F157" s="121" t="s">
        <v>2229</v>
      </c>
      <c r="G157" s="121" t="s">
        <v>431</v>
      </c>
      <c r="H157" s="121"/>
    </row>
    <row r="158" hidden="1">
      <c r="A158" s="121" t="s">
        <v>9</v>
      </c>
      <c r="B158" s="121" t="s">
        <v>1612</v>
      </c>
      <c r="C158" s="121" t="s">
        <v>1620</v>
      </c>
      <c r="D158" s="121" t="s">
        <v>81</v>
      </c>
      <c r="E158" s="133" t="s">
        <v>82</v>
      </c>
      <c r="F158" s="121" t="s">
        <v>2238</v>
      </c>
      <c r="G158" s="121" t="s">
        <v>440</v>
      </c>
      <c r="H158" s="121"/>
    </row>
    <row r="159" hidden="1">
      <c r="A159" s="121" t="s">
        <v>9</v>
      </c>
      <c r="B159" s="121" t="s">
        <v>1612</v>
      </c>
      <c r="C159" s="121" t="s">
        <v>1620</v>
      </c>
      <c r="D159" s="121" t="s">
        <v>81</v>
      </c>
      <c r="E159" s="133" t="s">
        <v>82</v>
      </c>
      <c r="F159" s="121" t="s">
        <v>2251</v>
      </c>
      <c r="G159" s="121" t="s">
        <v>443</v>
      </c>
      <c r="H159" s="121"/>
    </row>
    <row r="160" hidden="1">
      <c r="A160" s="121" t="s">
        <v>9</v>
      </c>
      <c r="B160" s="121" t="s">
        <v>1612</v>
      </c>
      <c r="C160" s="121" t="s">
        <v>1621</v>
      </c>
      <c r="D160" s="121" t="s">
        <v>2635</v>
      </c>
      <c r="E160" s="133" t="s">
        <v>2636</v>
      </c>
      <c r="F160" s="121" t="s">
        <v>2247</v>
      </c>
      <c r="G160" s="121" t="s">
        <v>467</v>
      </c>
      <c r="H160" s="121"/>
    </row>
    <row r="161" hidden="1">
      <c r="A161" s="121" t="s">
        <v>9</v>
      </c>
      <c r="B161" s="121" t="s">
        <v>1612</v>
      </c>
      <c r="C161" s="121" t="s">
        <v>1621</v>
      </c>
      <c r="D161" s="121" t="s">
        <v>2637</v>
      </c>
      <c r="E161" s="133" t="s">
        <v>1665</v>
      </c>
      <c r="F161" s="121" t="s">
        <v>2240</v>
      </c>
      <c r="G161" s="121" t="s">
        <v>2241</v>
      </c>
      <c r="H161" s="121"/>
    </row>
    <row r="162" hidden="1">
      <c r="A162" s="121" t="s">
        <v>9</v>
      </c>
      <c r="B162" s="121" t="s">
        <v>1612</v>
      </c>
      <c r="C162" s="121" t="s">
        <v>1622</v>
      </c>
      <c r="D162" s="121" t="s">
        <v>2638</v>
      </c>
      <c r="E162" s="133" t="s">
        <v>2639</v>
      </c>
      <c r="F162" s="121" t="s">
        <v>2253</v>
      </c>
      <c r="G162" s="121" t="s">
        <v>464</v>
      </c>
      <c r="H162" s="121"/>
    </row>
    <row r="163" hidden="1">
      <c r="A163" s="121" t="s">
        <v>9</v>
      </c>
      <c r="B163" s="121" t="s">
        <v>1612</v>
      </c>
      <c r="C163" s="121" t="s">
        <v>1623</v>
      </c>
      <c r="D163" s="121" t="s">
        <v>1677</v>
      </c>
      <c r="E163" s="133" t="s">
        <v>1678</v>
      </c>
      <c r="F163" s="121" t="s">
        <v>2196</v>
      </c>
      <c r="G163" s="121" t="s">
        <v>425</v>
      </c>
      <c r="H163" s="121"/>
    </row>
    <row r="164" hidden="1">
      <c r="A164" s="121" t="s">
        <v>9</v>
      </c>
      <c r="B164" s="121" t="s">
        <v>1612</v>
      </c>
      <c r="C164" s="121" t="s">
        <v>1623</v>
      </c>
      <c r="D164" s="121" t="s">
        <v>1679</v>
      </c>
      <c r="E164" s="133" t="s">
        <v>1680</v>
      </c>
      <c r="F164" s="121" t="s">
        <v>2236</v>
      </c>
      <c r="G164" s="121" t="s">
        <v>2237</v>
      </c>
      <c r="H164" s="121"/>
    </row>
    <row r="165" hidden="1">
      <c r="A165" s="121" t="s">
        <v>9</v>
      </c>
      <c r="B165" s="121" t="s">
        <v>1612</v>
      </c>
      <c r="C165" s="121" t="s">
        <v>1681</v>
      </c>
      <c r="D165" s="121" t="s">
        <v>1682</v>
      </c>
      <c r="E165" s="133" t="s">
        <v>1683</v>
      </c>
      <c r="F165" s="121" t="s">
        <v>2231</v>
      </c>
      <c r="G165" s="121" t="s">
        <v>2232</v>
      </c>
      <c r="H165" s="121"/>
    </row>
    <row r="166" hidden="1">
      <c r="A166" s="121" t="s">
        <v>9</v>
      </c>
      <c r="B166" s="121" t="s">
        <v>1612</v>
      </c>
      <c r="C166" s="121" t="s">
        <v>1681</v>
      </c>
      <c r="D166" s="121" t="s">
        <v>1684</v>
      </c>
      <c r="E166" s="133" t="s">
        <v>1685</v>
      </c>
      <c r="F166" s="121" t="s">
        <v>2163</v>
      </c>
      <c r="G166" s="121" t="s">
        <v>773</v>
      </c>
      <c r="H166" s="121"/>
    </row>
    <row r="167" hidden="1">
      <c r="A167" s="121" t="s">
        <v>9</v>
      </c>
      <c r="B167" s="121" t="s">
        <v>1631</v>
      </c>
      <c r="C167" s="121" t="s">
        <v>1573</v>
      </c>
      <c r="D167" s="121" t="s">
        <v>2640</v>
      </c>
      <c r="E167" s="133" t="s">
        <v>1634</v>
      </c>
      <c r="F167" s="121"/>
      <c r="G167" s="121"/>
      <c r="H167" s="121"/>
    </row>
    <row r="168" hidden="1">
      <c r="A168" s="121" t="s">
        <v>2135</v>
      </c>
      <c r="B168" s="121" t="s">
        <v>1631</v>
      </c>
      <c r="C168" s="121" t="s">
        <v>1573</v>
      </c>
      <c r="D168" s="121" t="s">
        <v>2641</v>
      </c>
      <c r="E168" s="133" t="s">
        <v>1634</v>
      </c>
      <c r="F168" s="121"/>
      <c r="G168" s="121"/>
      <c r="H168" s="121"/>
    </row>
    <row r="169">
      <c r="A169" s="121" t="s">
        <v>83</v>
      </c>
      <c r="B169" s="121" t="s">
        <v>1596</v>
      </c>
      <c r="C169" s="121" t="s">
        <v>1573</v>
      </c>
      <c r="D169" s="121" t="s">
        <v>2642</v>
      </c>
      <c r="E169" s="133" t="s">
        <v>1872</v>
      </c>
      <c r="F169" s="121" t="s">
        <v>2145</v>
      </c>
      <c r="G169" s="121" t="s">
        <v>1310</v>
      </c>
      <c r="H169" s="121"/>
    </row>
    <row r="170">
      <c r="A170" s="121" t="s">
        <v>83</v>
      </c>
      <c r="B170" s="121" t="s">
        <v>1596</v>
      </c>
      <c r="C170" s="121" t="s">
        <v>1573</v>
      </c>
      <c r="D170" s="121" t="s">
        <v>2087</v>
      </c>
      <c r="E170" s="133" t="s">
        <v>2088</v>
      </c>
      <c r="F170" s="121" t="s">
        <v>2254</v>
      </c>
      <c r="G170" s="121" t="s">
        <v>481</v>
      </c>
      <c r="H170" s="121"/>
    </row>
    <row r="171">
      <c r="A171" s="121" t="s">
        <v>83</v>
      </c>
      <c r="B171" s="121" t="s">
        <v>1596</v>
      </c>
      <c r="C171" s="121" t="s">
        <v>1573</v>
      </c>
      <c r="D171" s="121" t="s">
        <v>2643</v>
      </c>
      <c r="E171" s="133" t="s">
        <v>2644</v>
      </c>
      <c r="F171" s="121" t="s">
        <v>2255</v>
      </c>
      <c r="G171" s="121" t="s">
        <v>493</v>
      </c>
      <c r="H171" s="121"/>
    </row>
    <row r="172">
      <c r="A172" s="121" t="s">
        <v>83</v>
      </c>
      <c r="B172" s="121" t="s">
        <v>1596</v>
      </c>
      <c r="C172" s="121" t="s">
        <v>1573</v>
      </c>
      <c r="D172" s="121" t="s">
        <v>2645</v>
      </c>
      <c r="E172" s="133" t="s">
        <v>2646</v>
      </c>
      <c r="F172" s="121" t="s">
        <v>2256</v>
      </c>
      <c r="G172" s="121" t="s">
        <v>929</v>
      </c>
      <c r="H172" s="121"/>
    </row>
    <row r="173">
      <c r="A173" s="121" t="s">
        <v>83</v>
      </c>
      <c r="B173" s="121" t="s">
        <v>1596</v>
      </c>
      <c r="C173" s="121" t="s">
        <v>1573</v>
      </c>
      <c r="D173" s="121" t="s">
        <v>2089</v>
      </c>
      <c r="E173" s="133" t="s">
        <v>1807</v>
      </c>
      <c r="F173" s="121" t="s">
        <v>2258</v>
      </c>
      <c r="G173" s="121" t="s">
        <v>2259</v>
      </c>
      <c r="H173" s="121"/>
    </row>
    <row r="174">
      <c r="A174" s="121" t="s">
        <v>83</v>
      </c>
      <c r="B174" s="121" t="s">
        <v>1596</v>
      </c>
      <c r="C174" s="121" t="s">
        <v>1573</v>
      </c>
      <c r="D174" s="121" t="s">
        <v>2089</v>
      </c>
      <c r="E174" s="133" t="s">
        <v>1807</v>
      </c>
      <c r="F174" s="121" t="s">
        <v>2260</v>
      </c>
      <c r="G174" s="121" t="s">
        <v>1335</v>
      </c>
      <c r="H174" s="121"/>
    </row>
    <row r="175">
      <c r="A175" s="121" t="s">
        <v>83</v>
      </c>
      <c r="B175" s="121" t="s">
        <v>1596</v>
      </c>
      <c r="C175" s="121" t="s">
        <v>1607</v>
      </c>
      <c r="D175" s="121" t="s">
        <v>2647</v>
      </c>
      <c r="E175" s="133" t="s">
        <v>2648</v>
      </c>
      <c r="F175" s="121" t="s">
        <v>2261</v>
      </c>
      <c r="G175" s="121" t="s">
        <v>478</v>
      </c>
      <c r="H175" s="121"/>
    </row>
    <row r="176">
      <c r="A176" s="121" t="s">
        <v>83</v>
      </c>
      <c r="B176" s="121" t="s">
        <v>1596</v>
      </c>
      <c r="C176" s="121" t="s">
        <v>1573</v>
      </c>
      <c r="D176" s="121" t="s">
        <v>1608</v>
      </c>
      <c r="E176" s="133" t="s">
        <v>1609</v>
      </c>
      <c r="F176" s="121" t="s">
        <v>2154</v>
      </c>
      <c r="G176" s="121" t="s">
        <v>652</v>
      </c>
      <c r="H176" s="121"/>
    </row>
    <row r="177">
      <c r="A177" s="121" t="s">
        <v>83</v>
      </c>
      <c r="B177" s="121" t="s">
        <v>1596</v>
      </c>
      <c r="C177" s="121" t="s">
        <v>1573</v>
      </c>
      <c r="D177" s="121" t="s">
        <v>1610</v>
      </c>
      <c r="E177" s="133" t="s">
        <v>2611</v>
      </c>
      <c r="F177" s="121"/>
      <c r="G177" s="121"/>
      <c r="H177" s="121"/>
    </row>
    <row r="178" hidden="1">
      <c r="A178" s="121" t="s">
        <v>83</v>
      </c>
      <c r="B178" s="121" t="s">
        <v>1612</v>
      </c>
      <c r="C178" s="121" t="s">
        <v>1573</v>
      </c>
      <c r="D178" s="121" t="s">
        <v>1689</v>
      </c>
      <c r="E178" s="133" t="s">
        <v>1690</v>
      </c>
      <c r="F178" s="121" t="s">
        <v>2254</v>
      </c>
      <c r="G178" s="121" t="s">
        <v>481</v>
      </c>
      <c r="H178" s="121"/>
    </row>
    <row r="179" hidden="1">
      <c r="A179" s="121" t="s">
        <v>83</v>
      </c>
      <c r="B179" s="121" t="s">
        <v>1612</v>
      </c>
      <c r="C179" s="121" t="s">
        <v>1573</v>
      </c>
      <c r="D179" s="121" t="s">
        <v>1691</v>
      </c>
      <c r="E179" s="133" t="s">
        <v>1692</v>
      </c>
      <c r="F179" s="121" t="s">
        <v>2262</v>
      </c>
      <c r="G179" s="121" t="s">
        <v>484</v>
      </c>
      <c r="H179" s="121"/>
    </row>
    <row r="180" hidden="1">
      <c r="A180" s="121" t="s">
        <v>83</v>
      </c>
      <c r="B180" s="121" t="s">
        <v>1612</v>
      </c>
      <c r="C180" s="121" t="s">
        <v>1573</v>
      </c>
      <c r="D180" s="121" t="s">
        <v>1693</v>
      </c>
      <c r="E180" s="133" t="s">
        <v>1694</v>
      </c>
      <c r="F180" s="121" t="s">
        <v>2263</v>
      </c>
      <c r="G180" s="121" t="s">
        <v>567</v>
      </c>
      <c r="H180" s="121"/>
    </row>
    <row r="181" hidden="1">
      <c r="A181" s="121" t="s">
        <v>83</v>
      </c>
      <c r="B181" s="121" t="s">
        <v>1612</v>
      </c>
      <c r="C181" s="121" t="s">
        <v>1619</v>
      </c>
      <c r="D181" s="121" t="s">
        <v>2649</v>
      </c>
      <c r="E181" s="133" t="s">
        <v>2650</v>
      </c>
      <c r="F181" s="121" t="s">
        <v>2256</v>
      </c>
      <c r="G181" s="121" t="s">
        <v>929</v>
      </c>
      <c r="H181" s="121"/>
    </row>
    <row r="182" hidden="1">
      <c r="A182" s="121" t="s">
        <v>83</v>
      </c>
      <c r="B182" s="121" t="s">
        <v>1612</v>
      </c>
      <c r="C182" s="121" t="s">
        <v>1620</v>
      </c>
      <c r="D182" s="121" t="s">
        <v>91</v>
      </c>
      <c r="E182" s="133" t="s">
        <v>92</v>
      </c>
      <c r="F182" s="121" t="s">
        <v>2261</v>
      </c>
      <c r="G182" s="121" t="s">
        <v>478</v>
      </c>
      <c r="H182" s="121"/>
    </row>
    <row r="183" hidden="1">
      <c r="A183" s="121" t="s">
        <v>83</v>
      </c>
      <c r="B183" s="121" t="s">
        <v>1612</v>
      </c>
      <c r="C183" s="121" t="s">
        <v>1621</v>
      </c>
      <c r="D183" s="121" t="s">
        <v>2651</v>
      </c>
      <c r="E183" s="133" t="s">
        <v>2652</v>
      </c>
      <c r="F183" s="121" t="s">
        <v>2255</v>
      </c>
      <c r="G183" s="121" t="s">
        <v>493</v>
      </c>
      <c r="H183" s="121"/>
    </row>
    <row r="184" hidden="1">
      <c r="A184" s="121" t="s">
        <v>83</v>
      </c>
      <c r="B184" s="121" t="s">
        <v>1612</v>
      </c>
      <c r="C184" s="121" t="s">
        <v>1622</v>
      </c>
      <c r="D184" s="121" t="s">
        <v>89</v>
      </c>
      <c r="E184" s="133" t="s">
        <v>90</v>
      </c>
      <c r="F184" s="121"/>
      <c r="G184" s="121"/>
      <c r="H184" s="121"/>
    </row>
    <row r="185" hidden="1">
      <c r="A185" s="121" t="s">
        <v>83</v>
      </c>
      <c r="B185" s="121" t="s">
        <v>1612</v>
      </c>
      <c r="C185" s="121" t="s">
        <v>1623</v>
      </c>
      <c r="D185" s="121" t="s">
        <v>2653</v>
      </c>
      <c r="E185" s="133" t="s">
        <v>1697</v>
      </c>
      <c r="F185" s="121" t="s">
        <v>2262</v>
      </c>
      <c r="G185" s="121" t="s">
        <v>484</v>
      </c>
      <c r="H185" s="121"/>
    </row>
    <row r="186" hidden="1">
      <c r="A186" s="121" t="s">
        <v>83</v>
      </c>
      <c r="B186" s="121" t="s">
        <v>1612</v>
      </c>
      <c r="C186" s="121" t="s">
        <v>1623</v>
      </c>
      <c r="D186" s="121" t="s">
        <v>2654</v>
      </c>
      <c r="E186" s="133" t="s">
        <v>1699</v>
      </c>
      <c r="F186" s="121"/>
      <c r="G186" s="121"/>
      <c r="H186" s="121"/>
    </row>
    <row r="187" hidden="1">
      <c r="A187" s="121" t="s">
        <v>83</v>
      </c>
      <c r="B187" s="121" t="s">
        <v>1612</v>
      </c>
      <c r="C187" s="121" t="s">
        <v>1573</v>
      </c>
      <c r="D187" s="121" t="s">
        <v>1700</v>
      </c>
      <c r="E187" s="133" t="s">
        <v>1630</v>
      </c>
      <c r="F187" s="121"/>
      <c r="G187" s="121"/>
      <c r="H187" s="121"/>
    </row>
    <row r="188" hidden="1">
      <c r="A188" s="121" t="s">
        <v>83</v>
      </c>
      <c r="B188" s="121" t="s">
        <v>1631</v>
      </c>
      <c r="C188" s="121" t="s">
        <v>1573</v>
      </c>
      <c r="D188" s="121" t="s">
        <v>2655</v>
      </c>
      <c r="E188" s="133" t="s">
        <v>1634</v>
      </c>
      <c r="F188" s="121"/>
      <c r="G188" s="121"/>
      <c r="H188" s="121"/>
    </row>
    <row r="189" hidden="1">
      <c r="A189" s="121" t="s">
        <v>13</v>
      </c>
      <c r="B189" s="121" t="s">
        <v>1572</v>
      </c>
      <c r="C189" s="121" t="s">
        <v>1573</v>
      </c>
      <c r="D189" s="121" t="s">
        <v>1574</v>
      </c>
      <c r="E189" s="133" t="s">
        <v>1575</v>
      </c>
      <c r="F189" s="121" t="s">
        <v>2268</v>
      </c>
      <c r="G189" s="121" t="s">
        <v>1298</v>
      </c>
      <c r="H189" s="121"/>
    </row>
    <row r="190" hidden="1">
      <c r="A190" s="121" t="s">
        <v>13</v>
      </c>
      <c r="B190" s="121" t="s">
        <v>1572</v>
      </c>
      <c r="C190" s="121" t="s">
        <v>1573</v>
      </c>
      <c r="D190" s="121" t="s">
        <v>1574</v>
      </c>
      <c r="E190" s="133" t="s">
        <v>1575</v>
      </c>
      <c r="F190" s="121" t="s">
        <v>2217</v>
      </c>
      <c r="G190" s="121" t="s">
        <v>2218</v>
      </c>
      <c r="H190" s="121"/>
    </row>
    <row r="191" hidden="1">
      <c r="A191" s="121" t="s">
        <v>13</v>
      </c>
      <c r="B191" s="121" t="s">
        <v>1572</v>
      </c>
      <c r="C191" s="121" t="s">
        <v>1573</v>
      </c>
      <c r="D191" s="121" t="s">
        <v>1577</v>
      </c>
      <c r="E191" s="133" t="s">
        <v>1578</v>
      </c>
      <c r="F191" s="121" t="s">
        <v>2269</v>
      </c>
      <c r="G191" s="121" t="s">
        <v>1471</v>
      </c>
      <c r="H191" s="121"/>
    </row>
    <row r="192" hidden="1">
      <c r="A192" s="121" t="s">
        <v>13</v>
      </c>
      <c r="B192" s="121" t="s">
        <v>1572</v>
      </c>
      <c r="C192" s="121" t="s">
        <v>1573</v>
      </c>
      <c r="D192" s="121" t="s">
        <v>1577</v>
      </c>
      <c r="E192" s="133" t="s">
        <v>1578</v>
      </c>
      <c r="F192" s="121" t="s">
        <v>2153</v>
      </c>
      <c r="G192" s="121" t="s">
        <v>1486</v>
      </c>
      <c r="H192" s="121"/>
    </row>
    <row r="193" hidden="1">
      <c r="A193" s="121" t="s">
        <v>13</v>
      </c>
      <c r="B193" s="121" t="s">
        <v>1572</v>
      </c>
      <c r="C193" s="121" t="s">
        <v>1573</v>
      </c>
      <c r="D193" s="121" t="s">
        <v>1580</v>
      </c>
      <c r="E193" s="133" t="s">
        <v>1581</v>
      </c>
      <c r="F193" s="121" t="s">
        <v>2270</v>
      </c>
      <c r="G193" s="121" t="s">
        <v>658</v>
      </c>
      <c r="H193" s="121"/>
    </row>
    <row r="194" hidden="1">
      <c r="A194" s="121" t="s">
        <v>13</v>
      </c>
      <c r="B194" s="121" t="s">
        <v>1572</v>
      </c>
      <c r="C194" s="121" t="s">
        <v>1573</v>
      </c>
      <c r="D194" s="121" t="s">
        <v>1580</v>
      </c>
      <c r="E194" s="133" t="s">
        <v>1581</v>
      </c>
      <c r="F194" s="121" t="s">
        <v>2200</v>
      </c>
      <c r="G194" s="121" t="s">
        <v>625</v>
      </c>
      <c r="H194" s="121"/>
    </row>
    <row r="195" hidden="1">
      <c r="A195" s="121" t="s">
        <v>13</v>
      </c>
      <c r="B195" s="121" t="s">
        <v>1572</v>
      </c>
      <c r="C195" s="121" t="s">
        <v>1573</v>
      </c>
      <c r="D195" s="121" t="s">
        <v>1582</v>
      </c>
      <c r="E195" s="133" t="s">
        <v>1583</v>
      </c>
      <c r="F195" s="121" t="s">
        <v>2249</v>
      </c>
      <c r="G195" s="121" t="s">
        <v>416</v>
      </c>
      <c r="H195" s="121"/>
    </row>
    <row r="196" hidden="1">
      <c r="A196" s="121" t="s">
        <v>13</v>
      </c>
      <c r="B196" s="121" t="s">
        <v>1572</v>
      </c>
      <c r="C196" s="121" t="s">
        <v>1573</v>
      </c>
      <c r="D196" s="121" t="s">
        <v>1582</v>
      </c>
      <c r="E196" s="133" t="s">
        <v>1583</v>
      </c>
      <c r="F196" s="121" t="s">
        <v>2271</v>
      </c>
      <c r="G196" s="121" t="s">
        <v>761</v>
      </c>
      <c r="H196" s="121"/>
    </row>
    <row r="197" hidden="1">
      <c r="A197" s="121" t="s">
        <v>13</v>
      </c>
      <c r="B197" s="121" t="s">
        <v>1572</v>
      </c>
      <c r="C197" s="121" t="s">
        <v>1573</v>
      </c>
      <c r="D197" s="121" t="s">
        <v>1584</v>
      </c>
      <c r="E197" s="133" t="s">
        <v>1585</v>
      </c>
      <c r="F197" s="121" t="s">
        <v>2273</v>
      </c>
      <c r="G197" s="121" t="s">
        <v>2274</v>
      </c>
      <c r="H197" s="121"/>
    </row>
    <row r="198" hidden="1">
      <c r="A198" s="121" t="s">
        <v>13</v>
      </c>
      <c r="B198" s="121" t="s">
        <v>1572</v>
      </c>
      <c r="C198" s="121" t="s">
        <v>1573</v>
      </c>
      <c r="D198" s="121" t="s">
        <v>1584</v>
      </c>
      <c r="E198" s="133" t="s">
        <v>1585</v>
      </c>
      <c r="F198" s="121" t="s">
        <v>2275</v>
      </c>
      <c r="G198" s="121" t="s">
        <v>861</v>
      </c>
      <c r="H198" s="121"/>
    </row>
    <row r="199" hidden="1">
      <c r="A199" s="121" t="s">
        <v>13</v>
      </c>
      <c r="B199" s="121" t="s">
        <v>1572</v>
      </c>
      <c r="C199" s="121" t="s">
        <v>1573</v>
      </c>
      <c r="D199" s="121" t="s">
        <v>1584</v>
      </c>
      <c r="E199" s="133" t="s">
        <v>1585</v>
      </c>
      <c r="F199" s="121" t="s">
        <v>2267</v>
      </c>
      <c r="G199" s="121" t="s">
        <v>926</v>
      </c>
      <c r="H199" s="121"/>
    </row>
    <row r="200" hidden="1">
      <c r="A200" s="121" t="s">
        <v>13</v>
      </c>
      <c r="B200" s="121" t="s">
        <v>1572</v>
      </c>
      <c r="C200" s="121" t="s">
        <v>1573</v>
      </c>
      <c r="D200" s="121" t="s">
        <v>1763</v>
      </c>
      <c r="E200" s="133" t="s">
        <v>1764</v>
      </c>
      <c r="F200" s="121" t="s">
        <v>2278</v>
      </c>
      <c r="G200" s="121" t="s">
        <v>2279</v>
      </c>
      <c r="H200" s="121"/>
    </row>
    <row r="201" hidden="1">
      <c r="A201" s="121" t="s">
        <v>13</v>
      </c>
      <c r="B201" s="121" t="s">
        <v>1572</v>
      </c>
      <c r="C201" s="121" t="s">
        <v>1573</v>
      </c>
      <c r="D201" s="121" t="s">
        <v>1763</v>
      </c>
      <c r="E201" s="133" t="s">
        <v>1764</v>
      </c>
      <c r="F201" s="133" t="s">
        <v>2280</v>
      </c>
      <c r="G201" s="121" t="s">
        <v>1461</v>
      </c>
      <c r="H201" s="121"/>
    </row>
    <row r="202" hidden="1">
      <c r="A202" s="121" t="s">
        <v>13</v>
      </c>
      <c r="B202" s="121" t="s">
        <v>1572</v>
      </c>
      <c r="C202" s="121" t="s">
        <v>1573</v>
      </c>
      <c r="D202" s="121" t="s">
        <v>1589</v>
      </c>
      <c r="E202" s="133" t="s">
        <v>1590</v>
      </c>
      <c r="F202" s="121" t="s">
        <v>2177</v>
      </c>
      <c r="G202" s="121" t="s">
        <v>1114</v>
      </c>
      <c r="H202" s="121"/>
    </row>
    <row r="203" hidden="1">
      <c r="A203" s="121" t="s">
        <v>13</v>
      </c>
      <c r="B203" s="121" t="s">
        <v>1572</v>
      </c>
      <c r="C203" s="121" t="s">
        <v>1573</v>
      </c>
      <c r="D203" s="121" t="s">
        <v>1589</v>
      </c>
      <c r="E203" s="133" t="s">
        <v>1590</v>
      </c>
      <c r="F203" s="121" t="s">
        <v>2180</v>
      </c>
      <c r="G203" s="121" t="s">
        <v>1132</v>
      </c>
      <c r="H203" s="121"/>
    </row>
    <row r="204" hidden="1">
      <c r="A204" s="121" t="s">
        <v>13</v>
      </c>
      <c r="B204" s="121" t="s">
        <v>1572</v>
      </c>
      <c r="C204" s="121" t="s">
        <v>1573</v>
      </c>
      <c r="D204" s="121" t="s">
        <v>1591</v>
      </c>
      <c r="E204" s="133" t="s">
        <v>1726</v>
      </c>
      <c r="F204" s="121"/>
      <c r="G204" s="121"/>
      <c r="H204" s="121"/>
    </row>
    <row r="205" hidden="1">
      <c r="A205" s="121" t="s">
        <v>13</v>
      </c>
      <c r="B205" s="121" t="s">
        <v>1572</v>
      </c>
      <c r="C205" s="121" t="s">
        <v>1593</v>
      </c>
      <c r="D205" s="121" t="s">
        <v>1594</v>
      </c>
      <c r="E205" s="133" t="s">
        <v>1640</v>
      </c>
      <c r="F205" s="121"/>
      <c r="G205" s="121"/>
      <c r="H205" s="121"/>
    </row>
    <row r="206" hidden="1">
      <c r="A206" s="121" t="s">
        <v>13</v>
      </c>
      <c r="B206" s="121" t="s">
        <v>1572</v>
      </c>
      <c r="C206" s="121" t="s">
        <v>1593</v>
      </c>
      <c r="D206" s="121" t="s">
        <v>1641</v>
      </c>
      <c r="E206" s="133" t="s">
        <v>1642</v>
      </c>
      <c r="F206" s="121"/>
      <c r="G206" s="121"/>
      <c r="H206" s="121"/>
    </row>
    <row r="207" hidden="1">
      <c r="A207" s="121" t="s">
        <v>13</v>
      </c>
      <c r="B207" s="121" t="s">
        <v>1572</v>
      </c>
      <c r="C207" s="121" t="s">
        <v>1593</v>
      </c>
      <c r="D207" s="121" t="s">
        <v>1643</v>
      </c>
      <c r="E207" s="133" t="s">
        <v>1644</v>
      </c>
      <c r="F207" s="121"/>
      <c r="G207" s="121"/>
      <c r="H207" s="121"/>
    </row>
    <row r="208">
      <c r="A208" s="121" t="s">
        <v>13</v>
      </c>
      <c r="B208" s="121" t="s">
        <v>1596</v>
      </c>
      <c r="C208" s="121" t="s">
        <v>1573</v>
      </c>
      <c r="D208" s="121" t="s">
        <v>1765</v>
      </c>
      <c r="E208" s="133" t="s">
        <v>1766</v>
      </c>
      <c r="F208" s="133" t="s">
        <v>2281</v>
      </c>
      <c r="G208" s="121" t="s">
        <v>542</v>
      </c>
      <c r="H208" s="1">
        <v>36.0</v>
      </c>
    </row>
    <row r="209">
      <c r="A209" s="121" t="s">
        <v>13</v>
      </c>
      <c r="B209" s="121" t="s">
        <v>1596</v>
      </c>
      <c r="C209" s="121" t="s">
        <v>1573</v>
      </c>
      <c r="D209" s="121" t="s">
        <v>1765</v>
      </c>
      <c r="E209" s="133" t="s">
        <v>1766</v>
      </c>
      <c r="F209" s="121" t="s">
        <v>2282</v>
      </c>
      <c r="G209" s="121" t="s">
        <v>497</v>
      </c>
      <c r="H209" s="121"/>
    </row>
    <row r="210">
      <c r="A210" s="121" t="s">
        <v>13</v>
      </c>
      <c r="B210" s="121" t="s">
        <v>1596</v>
      </c>
      <c r="C210" s="121" t="s">
        <v>1573</v>
      </c>
      <c r="D210" s="121" t="s">
        <v>1765</v>
      </c>
      <c r="E210" s="133" t="s">
        <v>1766</v>
      </c>
      <c r="F210" s="121" t="s">
        <v>2283</v>
      </c>
      <c r="G210" s="121" t="s">
        <v>509</v>
      </c>
      <c r="H210" s="121"/>
    </row>
    <row r="211">
      <c r="A211" s="121" t="s">
        <v>13</v>
      </c>
      <c r="B211" s="121" t="s">
        <v>1596</v>
      </c>
      <c r="C211" s="121" t="s">
        <v>1573</v>
      </c>
      <c r="D211" s="121" t="s">
        <v>1767</v>
      </c>
      <c r="E211" s="133" t="s">
        <v>1600</v>
      </c>
      <c r="F211" s="121" t="s">
        <v>2284</v>
      </c>
      <c r="G211" s="121" t="s">
        <v>1372</v>
      </c>
      <c r="H211" s="121"/>
    </row>
    <row r="212">
      <c r="A212" s="121" t="s">
        <v>13</v>
      </c>
      <c r="B212" s="121" t="s">
        <v>1596</v>
      </c>
      <c r="C212" s="121" t="s">
        <v>1573</v>
      </c>
      <c r="D212" s="121" t="s">
        <v>1767</v>
      </c>
      <c r="E212" s="133" t="s">
        <v>1600</v>
      </c>
      <c r="F212" s="121" t="s">
        <v>2285</v>
      </c>
      <c r="G212" s="121" t="s">
        <v>1406</v>
      </c>
      <c r="H212" s="121"/>
    </row>
    <row r="213">
      <c r="A213" s="121" t="s">
        <v>13</v>
      </c>
      <c r="B213" s="121" t="s">
        <v>1596</v>
      </c>
      <c r="C213" s="121" t="s">
        <v>1573</v>
      </c>
      <c r="D213" s="121" t="s">
        <v>1767</v>
      </c>
      <c r="E213" s="133" t="s">
        <v>1600</v>
      </c>
      <c r="F213" s="121" t="s">
        <v>2286</v>
      </c>
      <c r="G213" s="121" t="s">
        <v>1397</v>
      </c>
      <c r="H213" s="121"/>
    </row>
    <row r="214">
      <c r="A214" s="121" t="s">
        <v>13</v>
      </c>
      <c r="B214" s="121" t="s">
        <v>1596</v>
      </c>
      <c r="C214" s="121" t="s">
        <v>1573</v>
      </c>
      <c r="D214" s="121" t="s">
        <v>1767</v>
      </c>
      <c r="E214" s="133" t="s">
        <v>1600</v>
      </c>
      <c r="F214" s="121" t="s">
        <v>2287</v>
      </c>
      <c r="G214" s="121" t="s">
        <v>1368</v>
      </c>
      <c r="H214" s="121"/>
    </row>
    <row r="215">
      <c r="A215" s="121" t="s">
        <v>13</v>
      </c>
      <c r="B215" s="121" t="s">
        <v>1596</v>
      </c>
      <c r="C215" s="121" t="s">
        <v>1573</v>
      </c>
      <c r="D215" s="121" t="s">
        <v>1768</v>
      </c>
      <c r="E215" s="133" t="s">
        <v>1769</v>
      </c>
      <c r="F215" s="121" t="s">
        <v>2288</v>
      </c>
      <c r="G215" s="121" t="s">
        <v>539</v>
      </c>
      <c r="H215" s="121"/>
    </row>
    <row r="216">
      <c r="A216" s="121" t="s">
        <v>13</v>
      </c>
      <c r="B216" s="121" t="s">
        <v>1596</v>
      </c>
      <c r="C216" s="121" t="s">
        <v>1573</v>
      </c>
      <c r="D216" s="121" t="s">
        <v>1768</v>
      </c>
      <c r="E216" s="133" t="s">
        <v>1769</v>
      </c>
      <c r="F216" s="121" t="s">
        <v>2289</v>
      </c>
      <c r="G216" s="121" t="s">
        <v>515</v>
      </c>
      <c r="H216" s="121"/>
    </row>
    <row r="217">
      <c r="A217" s="121" t="s">
        <v>13</v>
      </c>
      <c r="B217" s="121" t="s">
        <v>1596</v>
      </c>
      <c r="C217" s="121" t="s">
        <v>1573</v>
      </c>
      <c r="D217" s="121" t="s">
        <v>1770</v>
      </c>
      <c r="E217" s="133" t="s">
        <v>1771</v>
      </c>
      <c r="F217" s="121" t="s">
        <v>2290</v>
      </c>
      <c r="G217" s="121" t="s">
        <v>500</v>
      </c>
      <c r="H217" s="121"/>
    </row>
    <row r="218">
      <c r="A218" s="121" t="s">
        <v>13</v>
      </c>
      <c r="B218" s="121" t="s">
        <v>1596</v>
      </c>
      <c r="C218" s="121" t="s">
        <v>1573</v>
      </c>
      <c r="D218" s="121" t="s">
        <v>1770</v>
      </c>
      <c r="E218" s="133" t="s">
        <v>1771</v>
      </c>
      <c r="F218" s="121" t="s">
        <v>2291</v>
      </c>
      <c r="G218" s="121" t="s">
        <v>518</v>
      </c>
      <c r="H218" s="121"/>
    </row>
    <row r="219">
      <c r="A219" s="121" t="s">
        <v>13</v>
      </c>
      <c r="B219" s="121" t="s">
        <v>1596</v>
      </c>
      <c r="C219" s="121" t="s">
        <v>1573</v>
      </c>
      <c r="D219" s="121" t="s">
        <v>1772</v>
      </c>
      <c r="E219" s="133" t="s">
        <v>1773</v>
      </c>
      <c r="F219" s="121" t="s">
        <v>2292</v>
      </c>
      <c r="G219" s="121" t="s">
        <v>551</v>
      </c>
      <c r="H219" s="121"/>
    </row>
    <row r="220">
      <c r="A220" s="121" t="s">
        <v>13</v>
      </c>
      <c r="B220" s="121" t="s">
        <v>1596</v>
      </c>
      <c r="C220" s="121" t="s">
        <v>1573</v>
      </c>
      <c r="D220" s="121" t="s">
        <v>1772</v>
      </c>
      <c r="E220" s="133" t="s">
        <v>1773</v>
      </c>
      <c r="F220" s="121" t="s">
        <v>2293</v>
      </c>
      <c r="G220" s="121" t="s">
        <v>521</v>
      </c>
      <c r="H220" s="121"/>
    </row>
    <row r="221">
      <c r="A221" s="121" t="s">
        <v>13</v>
      </c>
      <c r="B221" s="121" t="s">
        <v>1596</v>
      </c>
      <c r="C221" s="121" t="s">
        <v>1607</v>
      </c>
      <c r="D221" s="121" t="s">
        <v>2656</v>
      </c>
      <c r="E221" s="133" t="s">
        <v>2657</v>
      </c>
      <c r="F221" s="121" t="s">
        <v>2282</v>
      </c>
      <c r="G221" s="121" t="s">
        <v>497</v>
      </c>
      <c r="H221" s="121"/>
    </row>
    <row r="222">
      <c r="A222" s="121" t="s">
        <v>13</v>
      </c>
      <c r="B222" s="121" t="s">
        <v>1596</v>
      </c>
      <c r="C222" s="121" t="s">
        <v>1607</v>
      </c>
      <c r="D222" s="121" t="s">
        <v>2656</v>
      </c>
      <c r="E222" s="133" t="s">
        <v>2657</v>
      </c>
      <c r="F222" s="121" t="s">
        <v>2291</v>
      </c>
      <c r="G222" s="121" t="s">
        <v>518</v>
      </c>
      <c r="H222" s="121"/>
    </row>
    <row r="223">
      <c r="A223" s="121" t="s">
        <v>13</v>
      </c>
      <c r="B223" s="121" t="s">
        <v>1596</v>
      </c>
      <c r="C223" s="121" t="s">
        <v>1607</v>
      </c>
      <c r="D223" s="121" t="s">
        <v>2658</v>
      </c>
      <c r="E223" s="133" t="s">
        <v>2659</v>
      </c>
      <c r="F223" s="121" t="s">
        <v>2294</v>
      </c>
      <c r="G223" s="121" t="s">
        <v>545</v>
      </c>
      <c r="H223" s="121"/>
    </row>
    <row r="224">
      <c r="A224" s="121" t="s">
        <v>13</v>
      </c>
      <c r="B224" s="121" t="s">
        <v>1596</v>
      </c>
      <c r="C224" s="121" t="s">
        <v>1573</v>
      </c>
      <c r="D224" s="121" t="s">
        <v>1608</v>
      </c>
      <c r="E224" s="133" t="s">
        <v>1609</v>
      </c>
      <c r="F224" s="133" t="s">
        <v>2295</v>
      </c>
      <c r="G224" s="121" t="s">
        <v>664</v>
      </c>
      <c r="H224" s="121"/>
    </row>
    <row r="225">
      <c r="A225" s="121" t="s">
        <v>13</v>
      </c>
      <c r="B225" s="121" t="s">
        <v>1596</v>
      </c>
      <c r="C225" s="121" t="s">
        <v>1573</v>
      </c>
      <c r="D225" s="121" t="s">
        <v>1608</v>
      </c>
      <c r="E225" s="133" t="s">
        <v>1609</v>
      </c>
      <c r="F225" s="121" t="s">
        <v>2200</v>
      </c>
      <c r="G225" s="121" t="s">
        <v>625</v>
      </c>
      <c r="H225" s="121"/>
    </row>
    <row r="226">
      <c r="A226" s="121" t="s">
        <v>13</v>
      </c>
      <c r="B226" s="121" t="s">
        <v>1596</v>
      </c>
      <c r="C226" s="121" t="s">
        <v>1573</v>
      </c>
      <c r="D226" s="121" t="s">
        <v>1610</v>
      </c>
      <c r="E226" s="133" t="s">
        <v>2611</v>
      </c>
      <c r="F226" s="121"/>
      <c r="G226" s="121"/>
      <c r="H226" s="121"/>
    </row>
    <row r="227" hidden="1">
      <c r="A227" s="121" t="s">
        <v>13</v>
      </c>
      <c r="B227" s="121" t="s">
        <v>1612</v>
      </c>
      <c r="C227" s="121" t="s">
        <v>1573</v>
      </c>
      <c r="D227" s="121" t="s">
        <v>1774</v>
      </c>
      <c r="E227" s="133" t="s">
        <v>1775</v>
      </c>
      <c r="F227" s="121" t="s">
        <v>2298</v>
      </c>
      <c r="G227" s="121" t="s">
        <v>2299</v>
      </c>
      <c r="H227" s="121"/>
    </row>
    <row r="228" hidden="1">
      <c r="A228" s="121" t="s">
        <v>13</v>
      </c>
      <c r="B228" s="121" t="s">
        <v>1612</v>
      </c>
      <c r="C228" s="121" t="s">
        <v>1573</v>
      </c>
      <c r="D228" s="121" t="s">
        <v>1774</v>
      </c>
      <c r="E228" s="133" t="s">
        <v>1775</v>
      </c>
      <c r="F228" s="121" t="s">
        <v>2300</v>
      </c>
      <c r="G228" s="121" t="s">
        <v>524</v>
      </c>
      <c r="H228" s="121"/>
    </row>
    <row r="229" hidden="1">
      <c r="A229" s="121" t="s">
        <v>13</v>
      </c>
      <c r="B229" s="121" t="s">
        <v>1612</v>
      </c>
      <c r="C229" s="121" t="s">
        <v>1573</v>
      </c>
      <c r="D229" s="121" t="s">
        <v>1776</v>
      </c>
      <c r="E229" s="133" t="s">
        <v>1777</v>
      </c>
      <c r="F229" s="121" t="s">
        <v>2301</v>
      </c>
      <c r="G229" s="121" t="s">
        <v>503</v>
      </c>
      <c r="H229" s="121"/>
    </row>
    <row r="230" hidden="1">
      <c r="A230" s="121" t="s">
        <v>13</v>
      </c>
      <c r="B230" s="121" t="s">
        <v>1612</v>
      </c>
      <c r="C230" s="121" t="s">
        <v>1573</v>
      </c>
      <c r="D230" s="121" t="s">
        <v>1776</v>
      </c>
      <c r="E230" s="133" t="s">
        <v>1777</v>
      </c>
      <c r="F230" s="121" t="s">
        <v>2289</v>
      </c>
      <c r="G230" s="121" t="s">
        <v>515</v>
      </c>
      <c r="H230" s="121"/>
    </row>
    <row r="231" hidden="1">
      <c r="A231" s="121" t="s">
        <v>13</v>
      </c>
      <c r="B231" s="121" t="s">
        <v>1612</v>
      </c>
      <c r="C231" s="121" t="s">
        <v>1573</v>
      </c>
      <c r="D231" s="121" t="s">
        <v>1776</v>
      </c>
      <c r="E231" s="133" t="s">
        <v>1777</v>
      </c>
      <c r="F231" s="121" t="s">
        <v>2302</v>
      </c>
      <c r="G231" s="121" t="s">
        <v>506</v>
      </c>
      <c r="H231" s="121"/>
    </row>
    <row r="232" hidden="1">
      <c r="A232" s="121" t="s">
        <v>13</v>
      </c>
      <c r="B232" s="121" t="s">
        <v>1612</v>
      </c>
      <c r="C232" s="121" t="s">
        <v>1573</v>
      </c>
      <c r="D232" s="121" t="s">
        <v>1778</v>
      </c>
      <c r="E232" s="133" t="s">
        <v>1779</v>
      </c>
      <c r="F232" s="121" t="s">
        <v>2660</v>
      </c>
      <c r="G232" s="121" t="s">
        <v>527</v>
      </c>
      <c r="H232" s="121"/>
    </row>
    <row r="233" hidden="1">
      <c r="A233" s="121" t="s">
        <v>13</v>
      </c>
      <c r="B233" s="121" t="s">
        <v>1612</v>
      </c>
      <c r="C233" s="121" t="s">
        <v>1573</v>
      </c>
      <c r="D233" s="121" t="s">
        <v>1778</v>
      </c>
      <c r="E233" s="133" t="s">
        <v>1779</v>
      </c>
      <c r="F233" s="121" t="s">
        <v>2303</v>
      </c>
      <c r="G233" s="121" t="s">
        <v>512</v>
      </c>
      <c r="H233" s="121"/>
    </row>
    <row r="234" hidden="1">
      <c r="A234" s="121" t="s">
        <v>13</v>
      </c>
      <c r="B234" s="121" t="s">
        <v>1612</v>
      </c>
      <c r="C234" s="121" t="s">
        <v>1573</v>
      </c>
      <c r="D234" s="121" t="s">
        <v>1778</v>
      </c>
      <c r="E234" s="133" t="s">
        <v>1779</v>
      </c>
      <c r="F234" s="121" t="s">
        <v>2304</v>
      </c>
      <c r="G234" s="121" t="s">
        <v>533</v>
      </c>
      <c r="H234" s="121"/>
    </row>
    <row r="235" hidden="1">
      <c r="A235" s="121" t="s">
        <v>13</v>
      </c>
      <c r="B235" s="121" t="s">
        <v>1612</v>
      </c>
      <c r="C235" s="121" t="s">
        <v>1619</v>
      </c>
      <c r="D235" s="121" t="s">
        <v>105</v>
      </c>
      <c r="E235" s="133" t="s">
        <v>106</v>
      </c>
      <c r="F235" s="121" t="s">
        <v>2282</v>
      </c>
      <c r="G235" s="121" t="s">
        <v>497</v>
      </c>
      <c r="H235" s="121"/>
    </row>
    <row r="236" hidden="1">
      <c r="A236" s="121" t="s">
        <v>13</v>
      </c>
      <c r="B236" s="121" t="s">
        <v>1612</v>
      </c>
      <c r="C236" s="121" t="s">
        <v>1619</v>
      </c>
      <c r="D236" s="121" t="s">
        <v>105</v>
      </c>
      <c r="E236" s="133" t="s">
        <v>106</v>
      </c>
      <c r="F236" s="121" t="s">
        <v>2305</v>
      </c>
      <c r="G236" s="121" t="s">
        <v>548</v>
      </c>
      <c r="H236" s="121"/>
    </row>
    <row r="237" hidden="1">
      <c r="A237" s="121" t="s">
        <v>13</v>
      </c>
      <c r="B237" s="121" t="s">
        <v>1612</v>
      </c>
      <c r="C237" s="121" t="s">
        <v>1619</v>
      </c>
      <c r="D237" s="121" t="s">
        <v>2661</v>
      </c>
      <c r="E237" s="133" t="s">
        <v>2662</v>
      </c>
      <c r="F237" s="121" t="s">
        <v>2301</v>
      </c>
      <c r="G237" s="121" t="s">
        <v>503</v>
      </c>
      <c r="H237" s="121"/>
    </row>
    <row r="238" hidden="1">
      <c r="A238" s="121" t="s">
        <v>13</v>
      </c>
      <c r="B238" s="121" t="s">
        <v>1612</v>
      </c>
      <c r="C238" s="121" t="s">
        <v>1620</v>
      </c>
      <c r="D238" s="121" t="s">
        <v>109</v>
      </c>
      <c r="E238" s="133" t="s">
        <v>2663</v>
      </c>
      <c r="F238" s="121" t="s">
        <v>2283</v>
      </c>
      <c r="G238" s="121" t="s">
        <v>509</v>
      </c>
      <c r="H238" s="121"/>
    </row>
    <row r="239" hidden="1">
      <c r="A239" s="121" t="s">
        <v>13</v>
      </c>
      <c r="B239" s="121" t="s">
        <v>1612</v>
      </c>
      <c r="C239" s="121" t="s">
        <v>1620</v>
      </c>
      <c r="D239" s="121" t="s">
        <v>109</v>
      </c>
      <c r="E239" s="133" t="s">
        <v>2663</v>
      </c>
      <c r="F239" s="133" t="s">
        <v>2281</v>
      </c>
      <c r="G239" s="121" t="s">
        <v>542</v>
      </c>
      <c r="H239" s="121"/>
    </row>
    <row r="240" hidden="1">
      <c r="A240" s="121" t="s">
        <v>13</v>
      </c>
      <c r="B240" s="121" t="s">
        <v>1612</v>
      </c>
      <c r="C240" s="121" t="s">
        <v>1620</v>
      </c>
      <c r="D240" s="121" t="s">
        <v>14</v>
      </c>
      <c r="E240" s="133" t="s">
        <v>15</v>
      </c>
      <c r="F240" s="121" t="s">
        <v>2288</v>
      </c>
      <c r="G240" s="121" t="s">
        <v>539</v>
      </c>
      <c r="H240" s="121"/>
    </row>
    <row r="241" hidden="1">
      <c r="A241" s="121" t="s">
        <v>13</v>
      </c>
      <c r="B241" s="121" t="s">
        <v>1612</v>
      </c>
      <c r="C241" s="121" t="s">
        <v>1621</v>
      </c>
      <c r="D241" s="121" t="s">
        <v>2664</v>
      </c>
      <c r="E241" s="133" t="s">
        <v>2665</v>
      </c>
      <c r="F241" s="121" t="s">
        <v>2303</v>
      </c>
      <c r="G241" s="121" t="s">
        <v>512</v>
      </c>
      <c r="H241" s="121"/>
    </row>
    <row r="242" hidden="1">
      <c r="A242" s="121" t="s">
        <v>13</v>
      </c>
      <c r="B242" s="121" t="s">
        <v>1612</v>
      </c>
      <c r="C242" s="121" t="s">
        <v>1621</v>
      </c>
      <c r="D242" s="121" t="s">
        <v>2666</v>
      </c>
      <c r="E242" s="133" t="s">
        <v>2667</v>
      </c>
      <c r="F242" s="121" t="s">
        <v>2294</v>
      </c>
      <c r="G242" s="121" t="s">
        <v>545</v>
      </c>
      <c r="H242" s="121"/>
    </row>
    <row r="243" hidden="1">
      <c r="A243" s="121" t="s">
        <v>13</v>
      </c>
      <c r="B243" s="121" t="s">
        <v>1612</v>
      </c>
      <c r="C243" s="121" t="s">
        <v>1622</v>
      </c>
      <c r="D243" s="121" t="s">
        <v>107</v>
      </c>
      <c r="E243" s="133" t="s">
        <v>108</v>
      </c>
      <c r="F243" s="121" t="s">
        <v>2305</v>
      </c>
      <c r="G243" s="121" t="s">
        <v>548</v>
      </c>
      <c r="H243" s="121"/>
    </row>
    <row r="244" hidden="1">
      <c r="A244" s="121" t="s">
        <v>13</v>
      </c>
      <c r="B244" s="121" t="s">
        <v>1612</v>
      </c>
      <c r="C244" s="121" t="s">
        <v>1622</v>
      </c>
      <c r="D244" s="121" t="s">
        <v>107</v>
      </c>
      <c r="E244" s="133" t="s">
        <v>108</v>
      </c>
      <c r="F244" s="121" t="s">
        <v>2302</v>
      </c>
      <c r="G244" s="121" t="s">
        <v>506</v>
      </c>
      <c r="H244" s="121"/>
    </row>
    <row r="245" hidden="1">
      <c r="A245" s="121" t="s">
        <v>13</v>
      </c>
      <c r="B245" s="121" t="s">
        <v>1612</v>
      </c>
      <c r="C245" s="121" t="s">
        <v>86</v>
      </c>
      <c r="D245" s="121" t="s">
        <v>97</v>
      </c>
      <c r="E245" s="133" t="s">
        <v>98</v>
      </c>
      <c r="F245" s="121" t="s">
        <v>2300</v>
      </c>
      <c r="G245" s="121" t="s">
        <v>524</v>
      </c>
      <c r="H245" s="121"/>
    </row>
    <row r="246" hidden="1">
      <c r="A246" s="121" t="s">
        <v>13</v>
      </c>
      <c r="B246" s="121" t="s">
        <v>1612</v>
      </c>
      <c r="C246" s="121" t="s">
        <v>86</v>
      </c>
      <c r="D246" s="121" t="s">
        <v>97</v>
      </c>
      <c r="E246" s="133" t="s">
        <v>98</v>
      </c>
      <c r="F246" s="121" t="s">
        <v>2302</v>
      </c>
      <c r="G246" s="121" t="s">
        <v>506</v>
      </c>
      <c r="H246" s="121"/>
    </row>
    <row r="247" hidden="1">
      <c r="A247" s="121" t="s">
        <v>13</v>
      </c>
      <c r="B247" s="121" t="s">
        <v>1612</v>
      </c>
      <c r="C247" s="121" t="s">
        <v>1623</v>
      </c>
      <c r="D247" s="121" t="s">
        <v>1781</v>
      </c>
      <c r="E247" s="133" t="s">
        <v>2668</v>
      </c>
      <c r="F247" s="121" t="s">
        <v>2304</v>
      </c>
      <c r="G247" s="121" t="s">
        <v>533</v>
      </c>
      <c r="H247" s="121"/>
    </row>
    <row r="248" hidden="1">
      <c r="A248" s="121" t="s">
        <v>13</v>
      </c>
      <c r="B248" s="121" t="s">
        <v>1612</v>
      </c>
      <c r="C248" s="121" t="s">
        <v>1623</v>
      </c>
      <c r="D248" s="121" t="s">
        <v>1783</v>
      </c>
      <c r="E248" s="133" t="s">
        <v>2669</v>
      </c>
      <c r="F248" s="121" t="s">
        <v>2298</v>
      </c>
      <c r="G248" s="121" t="s">
        <v>2299</v>
      </c>
      <c r="H248" s="121"/>
    </row>
    <row r="249" hidden="1">
      <c r="A249" s="121" t="s">
        <v>13</v>
      </c>
      <c r="B249" s="121" t="s">
        <v>1612</v>
      </c>
      <c r="C249" s="121" t="s">
        <v>1573</v>
      </c>
      <c r="D249" s="121" t="s">
        <v>1785</v>
      </c>
      <c r="E249" s="133" t="s">
        <v>1630</v>
      </c>
      <c r="F249" s="121"/>
      <c r="G249" s="121"/>
      <c r="H249" s="121"/>
    </row>
    <row r="250" hidden="1">
      <c r="A250" s="121" t="s">
        <v>13</v>
      </c>
      <c r="B250" s="121" t="s">
        <v>1631</v>
      </c>
      <c r="C250" s="121" t="s">
        <v>1573</v>
      </c>
      <c r="D250" s="121" t="s">
        <v>2670</v>
      </c>
      <c r="E250" s="133" t="s">
        <v>1634</v>
      </c>
      <c r="F250" s="121"/>
      <c r="G250" s="121"/>
      <c r="H250" s="121"/>
    </row>
    <row r="251">
      <c r="A251" s="121" t="s">
        <v>111</v>
      </c>
      <c r="B251" s="121" t="s">
        <v>1596</v>
      </c>
      <c r="C251" s="121" t="s">
        <v>1573</v>
      </c>
      <c r="D251" s="121" t="s">
        <v>2671</v>
      </c>
      <c r="E251" s="133" t="s">
        <v>2672</v>
      </c>
      <c r="F251" s="121" t="s">
        <v>2306</v>
      </c>
      <c r="G251" s="121" t="s">
        <v>615</v>
      </c>
      <c r="H251" s="121"/>
    </row>
    <row r="252">
      <c r="A252" s="121" t="s">
        <v>111</v>
      </c>
      <c r="B252" s="121" t="s">
        <v>1596</v>
      </c>
      <c r="C252" s="121" t="s">
        <v>1573</v>
      </c>
      <c r="D252" s="121" t="s">
        <v>2090</v>
      </c>
      <c r="E252" s="133" t="s">
        <v>2091</v>
      </c>
      <c r="F252" s="133" t="s">
        <v>2308</v>
      </c>
      <c r="G252" s="121" t="s">
        <v>2309</v>
      </c>
      <c r="H252" s="121"/>
    </row>
    <row r="253">
      <c r="A253" s="121" t="s">
        <v>111</v>
      </c>
      <c r="B253" s="121" t="s">
        <v>1596</v>
      </c>
      <c r="C253" s="121" t="s">
        <v>1573</v>
      </c>
      <c r="D253" s="121" t="s">
        <v>2092</v>
      </c>
      <c r="E253" s="133" t="s">
        <v>2093</v>
      </c>
      <c r="F253" s="121" t="s">
        <v>2310</v>
      </c>
      <c r="G253" s="121" t="s">
        <v>606</v>
      </c>
      <c r="H253" s="121"/>
    </row>
    <row r="254">
      <c r="A254" s="121" t="s">
        <v>111</v>
      </c>
      <c r="B254" s="121" t="s">
        <v>1596</v>
      </c>
      <c r="C254" s="121" t="s">
        <v>1573</v>
      </c>
      <c r="D254" s="121" t="s">
        <v>2094</v>
      </c>
      <c r="E254" s="133" t="s">
        <v>2095</v>
      </c>
      <c r="F254" s="121" t="s">
        <v>2312</v>
      </c>
      <c r="G254" s="121" t="s">
        <v>2313</v>
      </c>
      <c r="H254" s="121"/>
    </row>
    <row r="255">
      <c r="A255" s="121" t="s">
        <v>111</v>
      </c>
      <c r="B255" s="121" t="s">
        <v>1596</v>
      </c>
      <c r="C255" s="121" t="s">
        <v>1573</v>
      </c>
      <c r="D255" s="121" t="s">
        <v>2096</v>
      </c>
      <c r="E255" s="133" t="s">
        <v>2097</v>
      </c>
      <c r="F255" s="121" t="s">
        <v>2314</v>
      </c>
      <c r="G255" s="121" t="s">
        <v>600</v>
      </c>
      <c r="H255" s="121"/>
    </row>
    <row r="256">
      <c r="A256" s="121" t="s">
        <v>111</v>
      </c>
      <c r="B256" s="121" t="s">
        <v>1596</v>
      </c>
      <c r="C256" s="121" t="s">
        <v>1607</v>
      </c>
      <c r="D256" s="121" t="s">
        <v>2673</v>
      </c>
      <c r="E256" s="133" t="s">
        <v>2674</v>
      </c>
      <c r="F256" s="121" t="s">
        <v>2316</v>
      </c>
      <c r="G256" s="121" t="s">
        <v>2317</v>
      </c>
      <c r="H256" s="121"/>
    </row>
    <row r="257">
      <c r="A257" s="121" t="s">
        <v>111</v>
      </c>
      <c r="B257" s="121" t="s">
        <v>1596</v>
      </c>
      <c r="C257" s="121" t="s">
        <v>1573</v>
      </c>
      <c r="D257" s="121" t="s">
        <v>1608</v>
      </c>
      <c r="E257" s="133" t="s">
        <v>1609</v>
      </c>
      <c r="F257" s="121" t="s">
        <v>2136</v>
      </c>
      <c r="G257" s="121" t="s">
        <v>622</v>
      </c>
      <c r="H257" s="121"/>
    </row>
    <row r="258">
      <c r="A258" s="121" t="s">
        <v>111</v>
      </c>
      <c r="B258" s="121" t="s">
        <v>1596</v>
      </c>
      <c r="C258" s="121" t="s">
        <v>1573</v>
      </c>
      <c r="D258" s="121" t="s">
        <v>1610</v>
      </c>
      <c r="E258" s="133" t="s">
        <v>2611</v>
      </c>
      <c r="F258" s="121"/>
      <c r="G258" s="121"/>
      <c r="H258" s="121"/>
    </row>
    <row r="259" hidden="1">
      <c r="A259" s="121" t="s">
        <v>111</v>
      </c>
      <c r="B259" s="121" t="s">
        <v>1612</v>
      </c>
      <c r="C259" s="121" t="s">
        <v>1573</v>
      </c>
      <c r="D259" s="121" t="s">
        <v>1820</v>
      </c>
      <c r="E259" s="133" t="s">
        <v>1821</v>
      </c>
      <c r="F259" s="121" t="s">
        <v>2318</v>
      </c>
      <c r="G259" s="121" t="s">
        <v>618</v>
      </c>
      <c r="H259" s="121"/>
    </row>
    <row r="260" hidden="1">
      <c r="A260" s="121" t="s">
        <v>111</v>
      </c>
      <c r="B260" s="121" t="s">
        <v>1612</v>
      </c>
      <c r="C260" s="121" t="s">
        <v>1573</v>
      </c>
      <c r="D260" s="121" t="s">
        <v>1822</v>
      </c>
      <c r="E260" s="133" t="s">
        <v>1823</v>
      </c>
      <c r="F260" s="121" t="s">
        <v>2319</v>
      </c>
      <c r="G260" s="121" t="s">
        <v>612</v>
      </c>
      <c r="H260" s="121"/>
    </row>
    <row r="261" hidden="1">
      <c r="A261" s="121" t="s">
        <v>111</v>
      </c>
      <c r="B261" s="121" t="s">
        <v>1612</v>
      </c>
      <c r="C261" s="121" t="s">
        <v>1573</v>
      </c>
      <c r="D261" s="121" t="s">
        <v>1824</v>
      </c>
      <c r="E261" s="133" t="s">
        <v>1825</v>
      </c>
      <c r="F261" s="121" t="s">
        <v>2321</v>
      </c>
      <c r="G261" s="121" t="s">
        <v>2322</v>
      </c>
      <c r="H261" s="121"/>
    </row>
    <row r="262" hidden="1">
      <c r="A262" s="121" t="s">
        <v>111</v>
      </c>
      <c r="B262" s="121" t="s">
        <v>1612</v>
      </c>
      <c r="C262" s="121" t="s">
        <v>1619</v>
      </c>
      <c r="D262" s="121" t="s">
        <v>2675</v>
      </c>
      <c r="E262" s="133" t="s">
        <v>2676</v>
      </c>
      <c r="F262" s="121" t="s">
        <v>2324</v>
      </c>
      <c r="G262" s="121" t="s">
        <v>2325</v>
      </c>
      <c r="H262" s="121"/>
    </row>
    <row r="263" hidden="1">
      <c r="A263" s="121" t="s">
        <v>111</v>
      </c>
      <c r="B263" s="121" t="s">
        <v>1612</v>
      </c>
      <c r="C263" s="121" t="s">
        <v>1620</v>
      </c>
      <c r="D263" s="121" t="s">
        <v>2677</v>
      </c>
      <c r="E263" s="133" t="s">
        <v>2678</v>
      </c>
      <c r="F263" s="121" t="s">
        <v>2321</v>
      </c>
      <c r="G263" s="121" t="s">
        <v>2322</v>
      </c>
      <c r="H263" s="121"/>
    </row>
    <row r="264" hidden="1">
      <c r="A264" s="121" t="s">
        <v>111</v>
      </c>
      <c r="B264" s="121" t="s">
        <v>1612</v>
      </c>
      <c r="C264" s="121" t="s">
        <v>1621</v>
      </c>
      <c r="D264" s="121" t="s">
        <v>2679</v>
      </c>
      <c r="E264" s="133" t="s">
        <v>2680</v>
      </c>
      <c r="F264" s="121" t="s">
        <v>2326</v>
      </c>
      <c r="G264" s="121" t="s">
        <v>603</v>
      </c>
      <c r="H264" s="121"/>
    </row>
    <row r="265" hidden="1">
      <c r="A265" s="121" t="s">
        <v>111</v>
      </c>
      <c r="B265" s="121" t="s">
        <v>1612</v>
      </c>
      <c r="C265" s="121" t="s">
        <v>1622</v>
      </c>
      <c r="D265" s="121" t="s">
        <v>2681</v>
      </c>
      <c r="E265" s="133" t="s">
        <v>2682</v>
      </c>
      <c r="F265" s="121" t="s">
        <v>2327</v>
      </c>
      <c r="G265" s="121" t="s">
        <v>471</v>
      </c>
      <c r="H265" s="121"/>
    </row>
    <row r="266" hidden="1">
      <c r="A266" s="121" t="s">
        <v>111</v>
      </c>
      <c r="B266" s="121" t="s">
        <v>1612</v>
      </c>
      <c r="C266" s="121" t="s">
        <v>86</v>
      </c>
      <c r="D266" s="121" t="s">
        <v>114</v>
      </c>
      <c r="E266" s="133" t="s">
        <v>115</v>
      </c>
      <c r="F266" s="121" t="s">
        <v>2328</v>
      </c>
      <c r="G266" s="121" t="s">
        <v>1381</v>
      </c>
      <c r="H266" s="121"/>
    </row>
    <row r="267" hidden="1">
      <c r="A267" s="121" t="s">
        <v>111</v>
      </c>
      <c r="B267" s="121" t="s">
        <v>1612</v>
      </c>
      <c r="C267" s="121" t="s">
        <v>86</v>
      </c>
      <c r="D267" s="121" t="s">
        <v>114</v>
      </c>
      <c r="E267" s="133" t="s">
        <v>115</v>
      </c>
      <c r="F267" s="121" t="s">
        <v>2329</v>
      </c>
      <c r="G267" s="121" t="s">
        <v>1449</v>
      </c>
      <c r="H267" s="121"/>
    </row>
    <row r="268" hidden="1">
      <c r="A268" s="121" t="s">
        <v>111</v>
      </c>
      <c r="B268" s="121" t="s">
        <v>1612</v>
      </c>
      <c r="C268" s="121" t="s">
        <v>86</v>
      </c>
      <c r="D268" s="121" t="s">
        <v>114</v>
      </c>
      <c r="E268" s="133" t="s">
        <v>115</v>
      </c>
      <c r="F268" s="121" t="s">
        <v>2330</v>
      </c>
      <c r="G268" s="121" t="s">
        <v>1455</v>
      </c>
      <c r="H268" s="121"/>
    </row>
    <row r="269" hidden="1">
      <c r="A269" s="121" t="s">
        <v>111</v>
      </c>
      <c r="B269" s="121" t="s">
        <v>1612</v>
      </c>
      <c r="C269" s="121" t="s">
        <v>1623</v>
      </c>
      <c r="D269" s="121" t="s">
        <v>2683</v>
      </c>
      <c r="E269" s="133" t="s">
        <v>117</v>
      </c>
      <c r="F269" s="121" t="s">
        <v>2312</v>
      </c>
      <c r="G269" s="121" t="s">
        <v>2313</v>
      </c>
      <c r="H269" s="121"/>
    </row>
    <row r="270" hidden="1">
      <c r="A270" s="121" t="s">
        <v>111</v>
      </c>
      <c r="B270" s="121" t="s">
        <v>1612</v>
      </c>
      <c r="C270" s="121" t="s">
        <v>1623</v>
      </c>
      <c r="D270" s="121" t="s">
        <v>2684</v>
      </c>
      <c r="E270" s="133" t="s">
        <v>2685</v>
      </c>
      <c r="F270" s="121" t="s">
        <v>2319</v>
      </c>
      <c r="G270" s="121" t="s">
        <v>612</v>
      </c>
      <c r="H270" s="121"/>
    </row>
    <row r="271" hidden="1">
      <c r="A271" s="121" t="s">
        <v>111</v>
      </c>
      <c r="B271" s="121" t="s">
        <v>1612</v>
      </c>
      <c r="C271" s="121" t="s">
        <v>1681</v>
      </c>
      <c r="D271" s="121" t="s">
        <v>2686</v>
      </c>
      <c r="E271" s="133" t="s">
        <v>2687</v>
      </c>
      <c r="F271" s="121" t="s">
        <v>2316</v>
      </c>
      <c r="G271" s="121" t="s">
        <v>2317</v>
      </c>
      <c r="H271" s="121"/>
    </row>
    <row r="272" hidden="1">
      <c r="A272" s="121" t="s">
        <v>111</v>
      </c>
      <c r="B272" s="121" t="s">
        <v>1612</v>
      </c>
      <c r="C272" s="121" t="s">
        <v>1681</v>
      </c>
      <c r="D272" s="121" t="s">
        <v>2688</v>
      </c>
      <c r="E272" s="133" t="s">
        <v>2689</v>
      </c>
      <c r="F272" s="121" t="s">
        <v>2324</v>
      </c>
      <c r="G272" s="121" t="s">
        <v>2325</v>
      </c>
      <c r="H272" s="121"/>
    </row>
    <row r="273" hidden="1">
      <c r="A273" s="121" t="s">
        <v>111</v>
      </c>
      <c r="B273" s="121" t="s">
        <v>1612</v>
      </c>
      <c r="C273" s="121" t="s">
        <v>1573</v>
      </c>
      <c r="D273" s="121" t="s">
        <v>1830</v>
      </c>
      <c r="E273" s="133" t="s">
        <v>1630</v>
      </c>
      <c r="F273" s="121"/>
      <c r="G273" s="121"/>
      <c r="H273" s="121"/>
    </row>
    <row r="274" hidden="1">
      <c r="A274" s="121" t="s">
        <v>111</v>
      </c>
      <c r="B274" s="121" t="s">
        <v>1631</v>
      </c>
      <c r="C274" s="121" t="s">
        <v>1573</v>
      </c>
      <c r="D274" s="121" t="s">
        <v>2690</v>
      </c>
      <c r="E274" s="133" t="s">
        <v>1634</v>
      </c>
      <c r="F274" s="121"/>
      <c r="G274" s="121"/>
      <c r="H274" s="121"/>
    </row>
    <row r="275" hidden="1">
      <c r="A275" s="121" t="s">
        <v>18</v>
      </c>
      <c r="B275" s="121" t="s">
        <v>1572</v>
      </c>
      <c r="C275" s="121" t="s">
        <v>1573</v>
      </c>
      <c r="D275" s="121" t="s">
        <v>1574</v>
      </c>
      <c r="E275" s="133" t="s">
        <v>1575</v>
      </c>
      <c r="F275" s="121" t="s">
        <v>2331</v>
      </c>
      <c r="G275" s="121" t="s">
        <v>1274</v>
      </c>
      <c r="H275" s="121"/>
    </row>
    <row r="276" hidden="1">
      <c r="A276" s="121" t="s">
        <v>18</v>
      </c>
      <c r="B276" s="121" t="s">
        <v>1572</v>
      </c>
      <c r="C276" s="121" t="s">
        <v>1573</v>
      </c>
      <c r="D276" s="121" t="s">
        <v>1574</v>
      </c>
      <c r="E276" s="133" t="s">
        <v>1575</v>
      </c>
      <c r="F276" s="121" t="s">
        <v>2332</v>
      </c>
      <c r="G276" s="121" t="s">
        <v>1295</v>
      </c>
      <c r="H276" s="121"/>
    </row>
    <row r="277" hidden="1">
      <c r="A277" s="121" t="s">
        <v>18</v>
      </c>
      <c r="B277" s="121" t="s">
        <v>1572</v>
      </c>
      <c r="C277" s="121" t="s">
        <v>1573</v>
      </c>
      <c r="D277" s="121" t="s">
        <v>1574</v>
      </c>
      <c r="E277" s="133" t="s">
        <v>1575</v>
      </c>
      <c r="F277" s="121" t="s">
        <v>2333</v>
      </c>
      <c r="G277" s="121" t="s">
        <v>1316</v>
      </c>
      <c r="H277" s="121"/>
    </row>
    <row r="278" hidden="1">
      <c r="A278" s="121" t="s">
        <v>18</v>
      </c>
      <c r="B278" s="121" t="s">
        <v>1572</v>
      </c>
      <c r="C278" s="121" t="s">
        <v>1573</v>
      </c>
      <c r="D278" s="121" t="s">
        <v>1574</v>
      </c>
      <c r="E278" s="133" t="s">
        <v>1575</v>
      </c>
      <c r="F278" s="121" t="s">
        <v>2334</v>
      </c>
      <c r="G278" s="121" t="s">
        <v>1265</v>
      </c>
      <c r="H278" s="121"/>
    </row>
    <row r="279" hidden="1">
      <c r="A279" s="121" t="s">
        <v>18</v>
      </c>
      <c r="B279" s="121" t="s">
        <v>1572</v>
      </c>
      <c r="C279" s="121" t="s">
        <v>1573</v>
      </c>
      <c r="D279" s="121" t="s">
        <v>1574</v>
      </c>
      <c r="E279" s="133" t="s">
        <v>1575</v>
      </c>
      <c r="F279" s="121" t="s">
        <v>2335</v>
      </c>
      <c r="G279" s="121" t="s">
        <v>1322</v>
      </c>
      <c r="H279" s="121"/>
    </row>
    <row r="280" hidden="1">
      <c r="A280" s="121" t="s">
        <v>18</v>
      </c>
      <c r="B280" s="121" t="s">
        <v>1572</v>
      </c>
      <c r="C280" s="121" t="s">
        <v>1573</v>
      </c>
      <c r="D280" s="121" t="s">
        <v>1574</v>
      </c>
      <c r="E280" s="133" t="s">
        <v>1575</v>
      </c>
      <c r="F280" s="121" t="s">
        <v>2268</v>
      </c>
      <c r="G280" s="121" t="s">
        <v>1298</v>
      </c>
      <c r="H280" s="121"/>
    </row>
    <row r="281" hidden="1">
      <c r="A281" s="121" t="s">
        <v>18</v>
      </c>
      <c r="B281" s="121" t="s">
        <v>1572</v>
      </c>
      <c r="C281" s="121" t="s">
        <v>1573</v>
      </c>
      <c r="D281" s="121" t="s">
        <v>1577</v>
      </c>
      <c r="E281" s="133" t="s">
        <v>1578</v>
      </c>
      <c r="F281" s="121" t="s">
        <v>2336</v>
      </c>
      <c r="G281" s="121" t="s">
        <v>1507</v>
      </c>
      <c r="H281" s="121"/>
    </row>
    <row r="282" hidden="1">
      <c r="A282" s="121" t="s">
        <v>18</v>
      </c>
      <c r="B282" s="121" t="s">
        <v>1572</v>
      </c>
      <c r="C282" s="121" t="s">
        <v>1573</v>
      </c>
      <c r="D282" s="121" t="s">
        <v>1577</v>
      </c>
      <c r="E282" s="133" t="s">
        <v>1578</v>
      </c>
      <c r="F282" s="121" t="s">
        <v>2337</v>
      </c>
      <c r="G282" s="121" t="s">
        <v>1468</v>
      </c>
      <c r="H282" s="121"/>
    </row>
    <row r="283" hidden="1">
      <c r="A283" s="121" t="s">
        <v>18</v>
      </c>
      <c r="B283" s="121" t="s">
        <v>1572</v>
      </c>
      <c r="C283" s="121" t="s">
        <v>1573</v>
      </c>
      <c r="D283" s="121" t="s">
        <v>1577</v>
      </c>
      <c r="E283" s="133" t="s">
        <v>1578</v>
      </c>
      <c r="F283" s="121" t="s">
        <v>2269</v>
      </c>
      <c r="G283" s="121" t="s">
        <v>1471</v>
      </c>
      <c r="H283" s="121"/>
    </row>
    <row r="284" hidden="1">
      <c r="A284" s="121" t="s">
        <v>18</v>
      </c>
      <c r="B284" s="121" t="s">
        <v>1572</v>
      </c>
      <c r="C284" s="121" t="s">
        <v>1573</v>
      </c>
      <c r="D284" s="121" t="s">
        <v>1577</v>
      </c>
      <c r="E284" s="133" t="s">
        <v>1578</v>
      </c>
      <c r="F284" s="121" t="s">
        <v>2338</v>
      </c>
      <c r="G284" s="121" t="s">
        <v>1489</v>
      </c>
      <c r="H284" s="121"/>
    </row>
    <row r="285" hidden="1">
      <c r="A285" s="121" t="s">
        <v>18</v>
      </c>
      <c r="B285" s="121" t="s">
        <v>1572</v>
      </c>
      <c r="C285" s="121" t="s">
        <v>1573</v>
      </c>
      <c r="D285" s="121" t="s">
        <v>1577</v>
      </c>
      <c r="E285" s="133" t="s">
        <v>1578</v>
      </c>
      <c r="F285" s="121" t="s">
        <v>2339</v>
      </c>
      <c r="G285" s="121" t="s">
        <v>1495</v>
      </c>
      <c r="H285" s="121"/>
    </row>
    <row r="286" hidden="1">
      <c r="A286" s="121" t="s">
        <v>18</v>
      </c>
      <c r="B286" s="121" t="s">
        <v>1572</v>
      </c>
      <c r="C286" s="121" t="s">
        <v>1573</v>
      </c>
      <c r="D286" s="121" t="s">
        <v>1577</v>
      </c>
      <c r="E286" s="133" t="s">
        <v>1578</v>
      </c>
      <c r="F286" s="121" t="s">
        <v>2150</v>
      </c>
      <c r="G286" s="121" t="s">
        <v>2151</v>
      </c>
      <c r="H286" s="121"/>
    </row>
    <row r="287" hidden="1">
      <c r="A287" s="121" t="s">
        <v>18</v>
      </c>
      <c r="B287" s="121" t="s">
        <v>1572</v>
      </c>
      <c r="C287" s="121" t="s">
        <v>1573</v>
      </c>
      <c r="D287" s="121" t="s">
        <v>1580</v>
      </c>
      <c r="E287" s="133" t="s">
        <v>1581</v>
      </c>
      <c r="F287" s="121" t="s">
        <v>2270</v>
      </c>
      <c r="G287" s="121" t="s">
        <v>658</v>
      </c>
      <c r="H287" s="121"/>
    </row>
    <row r="288" hidden="1">
      <c r="A288" s="121" t="s">
        <v>18</v>
      </c>
      <c r="B288" s="121" t="s">
        <v>1572</v>
      </c>
      <c r="C288" s="121" t="s">
        <v>1573</v>
      </c>
      <c r="D288" s="121" t="s">
        <v>1580</v>
      </c>
      <c r="E288" s="133" t="s">
        <v>1581</v>
      </c>
      <c r="F288" s="121" t="s">
        <v>2340</v>
      </c>
      <c r="G288" s="121" t="s">
        <v>661</v>
      </c>
      <c r="H288" s="121"/>
    </row>
    <row r="289" hidden="1">
      <c r="A289" s="121" t="s">
        <v>18</v>
      </c>
      <c r="B289" s="121" t="s">
        <v>1572</v>
      </c>
      <c r="C289" s="121" t="s">
        <v>1573</v>
      </c>
      <c r="D289" s="121" t="s">
        <v>1580</v>
      </c>
      <c r="E289" s="133" t="s">
        <v>1581</v>
      </c>
      <c r="F289" s="121" t="s">
        <v>2136</v>
      </c>
      <c r="G289" s="121" t="s">
        <v>622</v>
      </c>
      <c r="H289" s="121"/>
    </row>
    <row r="290" hidden="1">
      <c r="A290" s="121" t="s">
        <v>18</v>
      </c>
      <c r="B290" s="121" t="s">
        <v>1572</v>
      </c>
      <c r="C290" s="121" t="s">
        <v>1573</v>
      </c>
      <c r="D290" s="121" t="s">
        <v>1580</v>
      </c>
      <c r="E290" s="133" t="s">
        <v>1581</v>
      </c>
      <c r="F290" s="121" t="s">
        <v>2341</v>
      </c>
      <c r="G290" s="121" t="s">
        <v>631</v>
      </c>
      <c r="H290" s="121"/>
    </row>
    <row r="291" hidden="1">
      <c r="A291" s="121" t="s">
        <v>18</v>
      </c>
      <c r="B291" s="121" t="s">
        <v>1572</v>
      </c>
      <c r="C291" s="121" t="s">
        <v>1573</v>
      </c>
      <c r="D291" s="121" t="s">
        <v>1580</v>
      </c>
      <c r="E291" s="133" t="s">
        <v>1581</v>
      </c>
      <c r="F291" s="121" t="s">
        <v>2200</v>
      </c>
      <c r="G291" s="121" t="s">
        <v>625</v>
      </c>
      <c r="H291" s="121"/>
    </row>
    <row r="292" hidden="1">
      <c r="A292" s="121" t="s">
        <v>18</v>
      </c>
      <c r="B292" s="121" t="s">
        <v>1572</v>
      </c>
      <c r="C292" s="121" t="s">
        <v>1573</v>
      </c>
      <c r="D292" s="121" t="s">
        <v>1580</v>
      </c>
      <c r="E292" s="133" t="s">
        <v>1581</v>
      </c>
      <c r="F292" s="121" t="s">
        <v>2201</v>
      </c>
      <c r="G292" s="121" t="s">
        <v>643</v>
      </c>
      <c r="H292" s="121"/>
    </row>
    <row r="293" hidden="1">
      <c r="A293" s="121" t="s">
        <v>18</v>
      </c>
      <c r="B293" s="121" t="s">
        <v>1572</v>
      </c>
      <c r="C293" s="121" t="s">
        <v>1573</v>
      </c>
      <c r="D293" s="121" t="s">
        <v>1582</v>
      </c>
      <c r="E293" s="133" t="s">
        <v>1583</v>
      </c>
      <c r="F293" s="121" t="s">
        <v>2342</v>
      </c>
      <c r="G293" s="121" t="s">
        <v>770</v>
      </c>
      <c r="H293" s="121"/>
    </row>
    <row r="294" hidden="1">
      <c r="A294" s="121" t="s">
        <v>18</v>
      </c>
      <c r="B294" s="121" t="s">
        <v>1572</v>
      </c>
      <c r="C294" s="121" t="s">
        <v>1573</v>
      </c>
      <c r="D294" s="121" t="s">
        <v>1582</v>
      </c>
      <c r="E294" s="133" t="s">
        <v>1583</v>
      </c>
      <c r="F294" s="121" t="s">
        <v>2343</v>
      </c>
      <c r="G294" s="121" t="s">
        <v>812</v>
      </c>
      <c r="H294" s="121"/>
    </row>
    <row r="295" hidden="1">
      <c r="A295" s="121" t="s">
        <v>18</v>
      </c>
      <c r="B295" s="121" t="s">
        <v>1572</v>
      </c>
      <c r="C295" s="121" t="s">
        <v>1573</v>
      </c>
      <c r="D295" s="121" t="s">
        <v>1582</v>
      </c>
      <c r="E295" s="133" t="s">
        <v>1583</v>
      </c>
      <c r="F295" s="121" t="s">
        <v>2344</v>
      </c>
      <c r="G295" s="121" t="s">
        <v>809</v>
      </c>
      <c r="H295" s="121"/>
    </row>
    <row r="296" hidden="1">
      <c r="A296" s="121" t="s">
        <v>18</v>
      </c>
      <c r="B296" s="121" t="s">
        <v>1572</v>
      </c>
      <c r="C296" s="121" t="s">
        <v>1573</v>
      </c>
      <c r="D296" s="121" t="s">
        <v>1582</v>
      </c>
      <c r="E296" s="133" t="s">
        <v>1583</v>
      </c>
      <c r="F296" s="121" t="s">
        <v>2345</v>
      </c>
      <c r="G296" s="121" t="s">
        <v>764</v>
      </c>
      <c r="H296" s="121"/>
    </row>
    <row r="297" hidden="1">
      <c r="A297" s="121" t="s">
        <v>18</v>
      </c>
      <c r="B297" s="121" t="s">
        <v>1572</v>
      </c>
      <c r="C297" s="121" t="s">
        <v>1573</v>
      </c>
      <c r="D297" s="121" t="s">
        <v>1582</v>
      </c>
      <c r="E297" s="133" t="s">
        <v>1583</v>
      </c>
      <c r="F297" s="133" t="s">
        <v>2346</v>
      </c>
      <c r="G297" s="121" t="s">
        <v>740</v>
      </c>
      <c r="H297" s="121"/>
    </row>
    <row r="298" hidden="1">
      <c r="A298" s="121" t="s">
        <v>18</v>
      </c>
      <c r="B298" s="121" t="s">
        <v>1572</v>
      </c>
      <c r="C298" s="121" t="s">
        <v>1573</v>
      </c>
      <c r="D298" s="121" t="s">
        <v>1582</v>
      </c>
      <c r="E298" s="133" t="s">
        <v>1583</v>
      </c>
      <c r="F298" s="121" t="s">
        <v>2347</v>
      </c>
      <c r="G298" s="121" t="s">
        <v>1198</v>
      </c>
      <c r="H298" s="121"/>
    </row>
    <row r="299" hidden="1">
      <c r="A299" s="121" t="s">
        <v>18</v>
      </c>
      <c r="B299" s="121" t="s">
        <v>1572</v>
      </c>
      <c r="C299" s="121" t="s">
        <v>1573</v>
      </c>
      <c r="D299" s="121" t="s">
        <v>1636</v>
      </c>
      <c r="E299" s="133" t="s">
        <v>1637</v>
      </c>
      <c r="F299" s="121" t="s">
        <v>2348</v>
      </c>
      <c r="G299" s="121" t="s">
        <v>1002</v>
      </c>
      <c r="H299" s="121"/>
    </row>
    <row r="300" hidden="1">
      <c r="A300" s="121" t="s">
        <v>18</v>
      </c>
      <c r="B300" s="121" t="s">
        <v>1572</v>
      </c>
      <c r="C300" s="121" t="s">
        <v>1573</v>
      </c>
      <c r="D300" s="121" t="s">
        <v>1636</v>
      </c>
      <c r="E300" s="133" t="s">
        <v>1637</v>
      </c>
      <c r="F300" s="121" t="s">
        <v>2349</v>
      </c>
      <c r="G300" s="121" t="s">
        <v>975</v>
      </c>
      <c r="H300" s="121"/>
    </row>
    <row r="301" hidden="1">
      <c r="A301" s="121" t="s">
        <v>18</v>
      </c>
      <c r="B301" s="121" t="s">
        <v>1572</v>
      </c>
      <c r="C301" s="121" t="s">
        <v>1573</v>
      </c>
      <c r="D301" s="121" t="s">
        <v>1636</v>
      </c>
      <c r="E301" s="133" t="s">
        <v>1637</v>
      </c>
      <c r="F301" s="121" t="s">
        <v>2170</v>
      </c>
      <c r="G301" s="121" t="s">
        <v>1005</v>
      </c>
      <c r="H301" s="121"/>
    </row>
    <row r="302" hidden="1">
      <c r="A302" s="121" t="s">
        <v>18</v>
      </c>
      <c r="B302" s="121" t="s">
        <v>1572</v>
      </c>
      <c r="C302" s="121" t="s">
        <v>1573</v>
      </c>
      <c r="D302" s="121" t="s">
        <v>1636</v>
      </c>
      <c r="E302" s="133" t="s">
        <v>1637</v>
      </c>
      <c r="F302" s="121" t="s">
        <v>2350</v>
      </c>
      <c r="G302" s="121" t="s">
        <v>990</v>
      </c>
      <c r="H302" s="121"/>
    </row>
    <row r="303" hidden="1">
      <c r="A303" s="121" t="s">
        <v>18</v>
      </c>
      <c r="B303" s="121" t="s">
        <v>1572</v>
      </c>
      <c r="C303" s="121" t="s">
        <v>1573</v>
      </c>
      <c r="D303" s="121" t="s">
        <v>1636</v>
      </c>
      <c r="E303" s="133" t="s">
        <v>1637</v>
      </c>
      <c r="F303" s="121" t="s">
        <v>2351</v>
      </c>
      <c r="G303" s="121" t="s">
        <v>1014</v>
      </c>
      <c r="H303" s="121"/>
    </row>
    <row r="304" hidden="1">
      <c r="A304" s="121" t="s">
        <v>18</v>
      </c>
      <c r="B304" s="121" t="s">
        <v>1572</v>
      </c>
      <c r="C304" s="121" t="s">
        <v>1573</v>
      </c>
      <c r="D304" s="121" t="s">
        <v>1636</v>
      </c>
      <c r="E304" s="133" t="s">
        <v>1637</v>
      </c>
      <c r="F304" s="121" t="s">
        <v>2352</v>
      </c>
      <c r="G304" s="121" t="s">
        <v>1032</v>
      </c>
      <c r="H304" s="121"/>
    </row>
    <row r="305" hidden="1">
      <c r="A305" s="121" t="s">
        <v>18</v>
      </c>
      <c r="B305" s="121" t="s">
        <v>1572</v>
      </c>
      <c r="C305" s="121" t="s">
        <v>1573</v>
      </c>
      <c r="D305" s="121" t="s">
        <v>1636</v>
      </c>
      <c r="E305" s="133" t="s">
        <v>1637</v>
      </c>
      <c r="F305" s="121" t="s">
        <v>2353</v>
      </c>
      <c r="G305" s="121" t="s">
        <v>993</v>
      </c>
      <c r="H305" s="121"/>
    </row>
    <row r="306" hidden="1">
      <c r="A306" s="121" t="s">
        <v>18</v>
      </c>
      <c r="B306" s="121" t="s">
        <v>1572</v>
      </c>
      <c r="C306" s="121" t="s">
        <v>1573</v>
      </c>
      <c r="D306" s="121" t="s">
        <v>1725</v>
      </c>
      <c r="E306" s="133" t="s">
        <v>1639</v>
      </c>
      <c r="F306" s="121" t="s">
        <v>2354</v>
      </c>
      <c r="G306" s="121" t="s">
        <v>838</v>
      </c>
      <c r="H306" s="121"/>
    </row>
    <row r="307" hidden="1">
      <c r="A307" s="121" t="s">
        <v>18</v>
      </c>
      <c r="B307" s="121" t="s">
        <v>1572</v>
      </c>
      <c r="C307" s="121" t="s">
        <v>1573</v>
      </c>
      <c r="D307" s="121" t="s">
        <v>1725</v>
      </c>
      <c r="E307" s="133" t="s">
        <v>1639</v>
      </c>
      <c r="F307" s="121" t="s">
        <v>2355</v>
      </c>
      <c r="G307" s="121" t="s">
        <v>452</v>
      </c>
      <c r="H307" s="121"/>
    </row>
    <row r="308" hidden="1">
      <c r="A308" s="121" t="s">
        <v>18</v>
      </c>
      <c r="B308" s="121" t="s">
        <v>1572</v>
      </c>
      <c r="C308" s="121" t="s">
        <v>1573</v>
      </c>
      <c r="D308" s="121" t="s">
        <v>1725</v>
      </c>
      <c r="E308" s="133" t="s">
        <v>1639</v>
      </c>
      <c r="F308" s="121" t="s">
        <v>2251</v>
      </c>
      <c r="G308" s="121" t="s">
        <v>443</v>
      </c>
      <c r="H308" s="121"/>
    </row>
    <row r="309" hidden="1">
      <c r="A309" s="121" t="s">
        <v>18</v>
      </c>
      <c r="B309" s="121" t="s">
        <v>1572</v>
      </c>
      <c r="C309" s="121" t="s">
        <v>1573</v>
      </c>
      <c r="D309" s="121" t="s">
        <v>1725</v>
      </c>
      <c r="E309" s="133" t="s">
        <v>1639</v>
      </c>
      <c r="F309" s="121" t="s">
        <v>2356</v>
      </c>
      <c r="G309" s="121" t="s">
        <v>737</v>
      </c>
      <c r="H309" s="121"/>
    </row>
    <row r="310" hidden="1">
      <c r="A310" s="121" t="s">
        <v>18</v>
      </c>
      <c r="B310" s="121" t="s">
        <v>1572</v>
      </c>
      <c r="C310" s="121" t="s">
        <v>1573</v>
      </c>
      <c r="D310" s="121" t="s">
        <v>1725</v>
      </c>
      <c r="E310" s="133" t="s">
        <v>1639</v>
      </c>
      <c r="F310" s="121" t="s">
        <v>2548</v>
      </c>
      <c r="G310" s="121" t="s">
        <v>2549</v>
      </c>
      <c r="H310" s="121"/>
    </row>
    <row r="311" hidden="1">
      <c r="A311" s="121" t="s">
        <v>18</v>
      </c>
      <c r="B311" s="121" t="s">
        <v>1572</v>
      </c>
      <c r="C311" s="121" t="s">
        <v>1573</v>
      </c>
      <c r="D311" s="121" t="s">
        <v>1725</v>
      </c>
      <c r="E311" s="133" t="s">
        <v>1639</v>
      </c>
      <c r="F311" s="121" t="s">
        <v>2359</v>
      </c>
      <c r="G311" s="121" t="s">
        <v>695</v>
      </c>
      <c r="H311" s="121"/>
    </row>
    <row r="312" hidden="1">
      <c r="A312" s="121" t="s">
        <v>18</v>
      </c>
      <c r="B312" s="121" t="s">
        <v>1572</v>
      </c>
      <c r="C312" s="121" t="s">
        <v>1573</v>
      </c>
      <c r="D312" s="121" t="s">
        <v>1589</v>
      </c>
      <c r="E312" s="133" t="s">
        <v>1590</v>
      </c>
      <c r="F312" s="121" t="s">
        <v>2180</v>
      </c>
      <c r="G312" s="121" t="s">
        <v>1132</v>
      </c>
      <c r="H312" s="121"/>
    </row>
    <row r="313" hidden="1">
      <c r="A313" s="121" t="s">
        <v>18</v>
      </c>
      <c r="B313" s="121" t="s">
        <v>1572</v>
      </c>
      <c r="C313" s="121" t="s">
        <v>1573</v>
      </c>
      <c r="D313" s="121" t="s">
        <v>1589</v>
      </c>
      <c r="E313" s="133" t="s">
        <v>1590</v>
      </c>
      <c r="F313" s="121" t="s">
        <v>2177</v>
      </c>
      <c r="G313" s="121" t="s">
        <v>1114</v>
      </c>
      <c r="H313" s="121"/>
    </row>
    <row r="314" hidden="1">
      <c r="A314" s="121" t="s">
        <v>18</v>
      </c>
      <c r="B314" s="121" t="s">
        <v>1572</v>
      </c>
      <c r="C314" s="121" t="s">
        <v>1573</v>
      </c>
      <c r="D314" s="121" t="s">
        <v>1589</v>
      </c>
      <c r="E314" s="133" t="s">
        <v>1590</v>
      </c>
      <c r="F314" s="121" t="s">
        <v>2178</v>
      </c>
      <c r="G314" s="121" t="s">
        <v>1117</v>
      </c>
      <c r="H314" s="121"/>
    </row>
    <row r="315" hidden="1">
      <c r="A315" s="121" t="s">
        <v>18</v>
      </c>
      <c r="B315" s="121" t="s">
        <v>1572</v>
      </c>
      <c r="C315" s="121" t="s">
        <v>1573</v>
      </c>
      <c r="D315" s="121" t="s">
        <v>1591</v>
      </c>
      <c r="E315" s="133" t="s">
        <v>1726</v>
      </c>
      <c r="F315" s="121"/>
      <c r="G315" s="121"/>
      <c r="H315" s="121"/>
    </row>
    <row r="316" hidden="1">
      <c r="A316" s="121" t="s">
        <v>18</v>
      </c>
      <c r="B316" s="121" t="s">
        <v>1572</v>
      </c>
      <c r="C316" s="121" t="s">
        <v>1593</v>
      </c>
      <c r="D316" s="121" t="s">
        <v>1594</v>
      </c>
      <c r="E316" s="133" t="s">
        <v>1640</v>
      </c>
      <c r="F316" s="121"/>
      <c r="G316" s="121"/>
      <c r="H316" s="121"/>
    </row>
    <row r="317" hidden="1">
      <c r="A317" s="121" t="s">
        <v>18</v>
      </c>
      <c r="B317" s="121" t="s">
        <v>1572</v>
      </c>
      <c r="C317" s="121" t="s">
        <v>1593</v>
      </c>
      <c r="D317" s="121" t="s">
        <v>1641</v>
      </c>
      <c r="E317" s="133" t="s">
        <v>1642</v>
      </c>
      <c r="F317" s="121"/>
      <c r="G317" s="121"/>
      <c r="H317" s="121"/>
    </row>
    <row r="318" hidden="1">
      <c r="A318" s="121" t="s">
        <v>18</v>
      </c>
      <c r="B318" s="121" t="s">
        <v>1572</v>
      </c>
      <c r="C318" s="121" t="s">
        <v>1593</v>
      </c>
      <c r="D318" s="121" t="s">
        <v>1643</v>
      </c>
      <c r="E318" s="133" t="s">
        <v>1644</v>
      </c>
      <c r="F318" s="121"/>
      <c r="G318" s="121"/>
      <c r="H318" s="121"/>
    </row>
    <row r="319">
      <c r="A319" s="121" t="s">
        <v>18</v>
      </c>
      <c r="B319" s="121" t="s">
        <v>1596</v>
      </c>
      <c r="C319" s="121" t="s">
        <v>1573</v>
      </c>
      <c r="D319" s="121" t="s">
        <v>1727</v>
      </c>
      <c r="E319" s="133" t="s">
        <v>1728</v>
      </c>
      <c r="F319" s="121" t="s">
        <v>2360</v>
      </c>
      <c r="G319" s="121" t="s">
        <v>1271</v>
      </c>
      <c r="H319" s="121"/>
    </row>
    <row r="320">
      <c r="A320" s="121" t="s">
        <v>18</v>
      </c>
      <c r="B320" s="121" t="s">
        <v>1596</v>
      </c>
      <c r="C320" s="121" t="s">
        <v>1573</v>
      </c>
      <c r="D320" s="121" t="s">
        <v>1727</v>
      </c>
      <c r="E320" s="133" t="s">
        <v>1728</v>
      </c>
      <c r="F320" s="121" t="s">
        <v>2361</v>
      </c>
      <c r="G320" s="121" t="s">
        <v>1280</v>
      </c>
      <c r="H320" s="121"/>
    </row>
    <row r="321">
      <c r="A321" s="121" t="s">
        <v>18</v>
      </c>
      <c r="B321" s="121" t="s">
        <v>1596</v>
      </c>
      <c r="C321" s="121" t="s">
        <v>1573</v>
      </c>
      <c r="D321" s="121" t="s">
        <v>1727</v>
      </c>
      <c r="E321" s="133" t="s">
        <v>1728</v>
      </c>
      <c r="F321" s="121" t="s">
        <v>2362</v>
      </c>
      <c r="G321" s="121" t="s">
        <v>1277</v>
      </c>
      <c r="H321" s="121"/>
    </row>
    <row r="322">
      <c r="A322" s="121" t="s">
        <v>18</v>
      </c>
      <c r="B322" s="121" t="s">
        <v>1596</v>
      </c>
      <c r="C322" s="121" t="s">
        <v>1573</v>
      </c>
      <c r="D322" s="121" t="s">
        <v>1727</v>
      </c>
      <c r="E322" s="133" t="s">
        <v>1728</v>
      </c>
      <c r="F322" s="121" t="s">
        <v>2146</v>
      </c>
      <c r="G322" s="121" t="s">
        <v>1286</v>
      </c>
      <c r="H322" s="121"/>
    </row>
    <row r="323">
      <c r="A323" s="121" t="s">
        <v>18</v>
      </c>
      <c r="B323" s="121" t="s">
        <v>1596</v>
      </c>
      <c r="C323" s="121" t="s">
        <v>1573</v>
      </c>
      <c r="D323" s="121" t="s">
        <v>1729</v>
      </c>
      <c r="E323" s="133" t="s">
        <v>1649</v>
      </c>
      <c r="F323" s="121" t="s">
        <v>2342</v>
      </c>
      <c r="G323" s="121" t="s">
        <v>770</v>
      </c>
      <c r="H323" s="121"/>
    </row>
    <row r="324">
      <c r="A324" s="121" t="s">
        <v>18</v>
      </c>
      <c r="B324" s="121" t="s">
        <v>1596</v>
      </c>
      <c r="C324" s="121" t="s">
        <v>1573</v>
      </c>
      <c r="D324" s="121" t="s">
        <v>1729</v>
      </c>
      <c r="E324" s="133" t="s">
        <v>1649</v>
      </c>
      <c r="F324" s="121" t="s">
        <v>2363</v>
      </c>
      <c r="G324" s="121" t="s">
        <v>746</v>
      </c>
      <c r="H324" s="121"/>
    </row>
    <row r="325">
      <c r="A325" s="121" t="s">
        <v>18</v>
      </c>
      <c r="B325" s="121" t="s">
        <v>1596</v>
      </c>
      <c r="C325" s="121" t="s">
        <v>1573</v>
      </c>
      <c r="D325" s="121" t="s">
        <v>1729</v>
      </c>
      <c r="E325" s="133" t="s">
        <v>1649</v>
      </c>
      <c r="F325" s="121" t="s">
        <v>2364</v>
      </c>
      <c r="G325" s="121" t="s">
        <v>671</v>
      </c>
      <c r="H325" s="121"/>
    </row>
    <row r="326">
      <c r="A326" s="121" t="s">
        <v>18</v>
      </c>
      <c r="B326" s="121" t="s">
        <v>1596</v>
      </c>
      <c r="C326" s="121" t="s">
        <v>1573</v>
      </c>
      <c r="D326" s="121" t="s">
        <v>1729</v>
      </c>
      <c r="E326" s="133" t="s">
        <v>1649</v>
      </c>
      <c r="F326" s="121" t="s">
        <v>2365</v>
      </c>
      <c r="G326" s="121" t="s">
        <v>704</v>
      </c>
      <c r="H326" s="121"/>
    </row>
    <row r="327">
      <c r="A327" s="121" t="s">
        <v>18</v>
      </c>
      <c r="B327" s="121" t="s">
        <v>1596</v>
      </c>
      <c r="C327" s="121" t="s">
        <v>1573</v>
      </c>
      <c r="D327" s="121" t="s">
        <v>1729</v>
      </c>
      <c r="E327" s="133" t="s">
        <v>1649</v>
      </c>
      <c r="F327" s="121" t="s">
        <v>2367</v>
      </c>
      <c r="G327" s="121" t="s">
        <v>2368</v>
      </c>
      <c r="H327" s="121"/>
    </row>
    <row r="328">
      <c r="A328" s="121" t="s">
        <v>18</v>
      </c>
      <c r="B328" s="121" t="s">
        <v>1596</v>
      </c>
      <c r="C328" s="121" t="s">
        <v>1573</v>
      </c>
      <c r="D328" s="121" t="s">
        <v>1730</v>
      </c>
      <c r="E328" s="133" t="s">
        <v>1651</v>
      </c>
      <c r="F328" s="121" t="s">
        <v>2076</v>
      </c>
      <c r="G328" s="121" t="s">
        <v>728</v>
      </c>
      <c r="H328" s="121"/>
    </row>
    <row r="329">
      <c r="A329" s="121" t="s">
        <v>18</v>
      </c>
      <c r="B329" s="121" t="s">
        <v>1596</v>
      </c>
      <c r="C329" s="121" t="s">
        <v>1573</v>
      </c>
      <c r="D329" s="121" t="s">
        <v>1730</v>
      </c>
      <c r="E329" s="133" t="s">
        <v>1651</v>
      </c>
      <c r="F329" s="121" t="s">
        <v>2077</v>
      </c>
      <c r="G329" s="121" t="s">
        <v>1152</v>
      </c>
      <c r="H329" s="121"/>
    </row>
    <row r="330">
      <c r="A330" s="121" t="s">
        <v>18</v>
      </c>
      <c r="B330" s="121" t="s">
        <v>1596</v>
      </c>
      <c r="C330" s="121" t="s">
        <v>1573</v>
      </c>
      <c r="D330" s="121" t="s">
        <v>1730</v>
      </c>
      <c r="E330" s="133" t="s">
        <v>1651</v>
      </c>
      <c r="F330" s="121" t="s">
        <v>2079</v>
      </c>
      <c r="G330" s="121" t="s">
        <v>2080</v>
      </c>
      <c r="H330" s="121"/>
    </row>
    <row r="331">
      <c r="A331" s="121" t="s">
        <v>18</v>
      </c>
      <c r="B331" s="121" t="s">
        <v>1596</v>
      </c>
      <c r="C331" s="121" t="s">
        <v>1573</v>
      </c>
      <c r="D331" s="121" t="s">
        <v>1730</v>
      </c>
      <c r="E331" s="133" t="s">
        <v>1651</v>
      </c>
      <c r="F331" s="121" t="s">
        <v>2081</v>
      </c>
      <c r="G331" s="121" t="s">
        <v>692</v>
      </c>
      <c r="H331" s="121"/>
    </row>
    <row r="332">
      <c r="A332" s="121" t="s">
        <v>18</v>
      </c>
      <c r="B332" s="121" t="s">
        <v>1596</v>
      </c>
      <c r="C332" s="121" t="s">
        <v>1573</v>
      </c>
      <c r="D332" s="121" t="s">
        <v>1731</v>
      </c>
      <c r="E332" s="133" t="s">
        <v>1653</v>
      </c>
      <c r="F332" s="121" t="s">
        <v>2369</v>
      </c>
      <c r="G332" s="121" t="s">
        <v>701</v>
      </c>
      <c r="H332" s="121"/>
    </row>
    <row r="333">
      <c r="A333" s="121" t="s">
        <v>18</v>
      </c>
      <c r="B333" s="121" t="s">
        <v>1596</v>
      </c>
      <c r="C333" s="121" t="s">
        <v>1573</v>
      </c>
      <c r="D333" s="121" t="s">
        <v>1731</v>
      </c>
      <c r="E333" s="133" t="s">
        <v>1653</v>
      </c>
      <c r="F333" s="121" t="s">
        <v>2370</v>
      </c>
      <c r="G333" s="121" t="s">
        <v>731</v>
      </c>
      <c r="H333" s="121"/>
    </row>
    <row r="334">
      <c r="A334" s="121" t="s">
        <v>18</v>
      </c>
      <c r="B334" s="121" t="s">
        <v>1596</v>
      </c>
      <c r="C334" s="121" t="s">
        <v>1573</v>
      </c>
      <c r="D334" s="121" t="s">
        <v>1731</v>
      </c>
      <c r="E334" s="133" t="s">
        <v>1653</v>
      </c>
      <c r="F334" s="121" t="s">
        <v>2371</v>
      </c>
      <c r="G334" s="121" t="s">
        <v>680</v>
      </c>
      <c r="H334" s="121"/>
    </row>
    <row r="335">
      <c r="A335" s="121" t="s">
        <v>18</v>
      </c>
      <c r="B335" s="121" t="s">
        <v>1596</v>
      </c>
      <c r="C335" s="121" t="s">
        <v>1573</v>
      </c>
      <c r="D335" s="121" t="s">
        <v>1731</v>
      </c>
      <c r="E335" s="133" t="s">
        <v>1653</v>
      </c>
      <c r="F335" s="121" t="s">
        <v>2373</v>
      </c>
      <c r="G335" s="121" t="s">
        <v>698</v>
      </c>
      <c r="H335" s="121"/>
    </row>
    <row r="336">
      <c r="A336" s="121" t="s">
        <v>18</v>
      </c>
      <c r="B336" s="121" t="s">
        <v>1596</v>
      </c>
      <c r="C336" s="121" t="s">
        <v>1573</v>
      </c>
      <c r="D336" s="121" t="s">
        <v>1732</v>
      </c>
      <c r="E336" s="133" t="s">
        <v>1655</v>
      </c>
      <c r="F336" s="121" t="s">
        <v>2374</v>
      </c>
      <c r="G336" s="121" t="s">
        <v>752</v>
      </c>
      <c r="H336" s="121"/>
    </row>
    <row r="337">
      <c r="A337" s="121" t="s">
        <v>18</v>
      </c>
      <c r="B337" s="121" t="s">
        <v>1596</v>
      </c>
      <c r="C337" s="121" t="s">
        <v>1573</v>
      </c>
      <c r="D337" s="121" t="s">
        <v>1732</v>
      </c>
      <c r="E337" s="133" t="s">
        <v>1655</v>
      </c>
      <c r="F337" s="121" t="s">
        <v>2375</v>
      </c>
      <c r="G337" s="121" t="s">
        <v>713</v>
      </c>
      <c r="H337" s="121"/>
    </row>
    <row r="338">
      <c r="A338" s="121" t="s">
        <v>18</v>
      </c>
      <c r="B338" s="121" t="s">
        <v>1596</v>
      </c>
      <c r="C338" s="121" t="s">
        <v>1573</v>
      </c>
      <c r="D338" s="121" t="s">
        <v>1732</v>
      </c>
      <c r="E338" s="133" t="s">
        <v>1655</v>
      </c>
      <c r="F338" s="121" t="s">
        <v>2376</v>
      </c>
      <c r="G338" s="121" t="s">
        <v>725</v>
      </c>
      <c r="H338" s="121"/>
    </row>
    <row r="339">
      <c r="A339" s="121" t="s">
        <v>18</v>
      </c>
      <c r="B339" s="121" t="s">
        <v>1596</v>
      </c>
      <c r="C339" s="121" t="s">
        <v>1573</v>
      </c>
      <c r="D339" s="121" t="s">
        <v>1732</v>
      </c>
      <c r="E339" s="133" t="s">
        <v>1655</v>
      </c>
      <c r="F339" s="121" t="s">
        <v>2377</v>
      </c>
      <c r="G339" s="121" t="s">
        <v>689</v>
      </c>
      <c r="H339" s="121"/>
    </row>
    <row r="340">
      <c r="A340" s="121" t="s">
        <v>18</v>
      </c>
      <c r="B340" s="121" t="s">
        <v>1596</v>
      </c>
      <c r="C340" s="121" t="s">
        <v>1607</v>
      </c>
      <c r="D340" s="121" t="s">
        <v>19</v>
      </c>
      <c r="E340" s="133" t="s">
        <v>8</v>
      </c>
      <c r="F340" s="121" t="s">
        <v>2378</v>
      </c>
      <c r="G340" s="121" t="s">
        <v>755</v>
      </c>
      <c r="H340" s="121"/>
    </row>
    <row r="341">
      <c r="A341" s="121" t="s">
        <v>18</v>
      </c>
      <c r="B341" s="121" t="s">
        <v>1596</v>
      </c>
      <c r="C341" s="121" t="s">
        <v>1607</v>
      </c>
      <c r="D341" s="121" t="s">
        <v>19</v>
      </c>
      <c r="E341" s="133" t="s">
        <v>8</v>
      </c>
      <c r="F341" s="121" t="s">
        <v>2356</v>
      </c>
      <c r="G341" s="121" t="s">
        <v>737</v>
      </c>
      <c r="H341" s="121"/>
    </row>
    <row r="342">
      <c r="A342" s="121" t="s">
        <v>18</v>
      </c>
      <c r="B342" s="121" t="s">
        <v>1596</v>
      </c>
      <c r="C342" s="121" t="s">
        <v>1607</v>
      </c>
      <c r="D342" s="121" t="s">
        <v>19</v>
      </c>
      <c r="E342" s="133" t="s">
        <v>8</v>
      </c>
      <c r="F342" s="121" t="s">
        <v>2372</v>
      </c>
      <c r="G342" s="121" t="s">
        <v>710</v>
      </c>
      <c r="H342" s="121"/>
    </row>
    <row r="343">
      <c r="A343" s="121" t="s">
        <v>18</v>
      </c>
      <c r="B343" s="121" t="s">
        <v>1596</v>
      </c>
      <c r="C343" s="121" t="s">
        <v>1607</v>
      </c>
      <c r="D343" s="121" t="s">
        <v>19</v>
      </c>
      <c r="E343" s="133" t="s">
        <v>8</v>
      </c>
      <c r="F343" s="121" t="s">
        <v>2379</v>
      </c>
      <c r="G343" s="121" t="s">
        <v>686</v>
      </c>
      <c r="H343" s="121"/>
    </row>
    <row r="344">
      <c r="A344" s="121" t="s">
        <v>18</v>
      </c>
      <c r="B344" s="121" t="s">
        <v>1596</v>
      </c>
      <c r="C344" s="121" t="s">
        <v>1607</v>
      </c>
      <c r="D344" s="121" t="s">
        <v>22</v>
      </c>
      <c r="E344" s="133" t="s">
        <v>23</v>
      </c>
      <c r="F344" s="121" t="s">
        <v>2380</v>
      </c>
      <c r="G344" s="121" t="s">
        <v>707</v>
      </c>
      <c r="H344" s="121"/>
    </row>
    <row r="345">
      <c r="A345" s="121" t="s">
        <v>18</v>
      </c>
      <c r="B345" s="121" t="s">
        <v>1596</v>
      </c>
      <c r="C345" s="121" t="s">
        <v>1573</v>
      </c>
      <c r="D345" s="121" t="s">
        <v>1608</v>
      </c>
      <c r="E345" s="133" t="s">
        <v>1609</v>
      </c>
      <c r="F345" s="121" t="s">
        <v>2221</v>
      </c>
      <c r="G345" s="121" t="s">
        <v>655</v>
      </c>
      <c r="H345" s="121"/>
    </row>
    <row r="346">
      <c r="A346" s="121" t="s">
        <v>18</v>
      </c>
      <c r="B346" s="121" t="s">
        <v>1596</v>
      </c>
      <c r="C346" s="121" t="s">
        <v>1573</v>
      </c>
      <c r="D346" s="121" t="s">
        <v>1608</v>
      </c>
      <c r="E346" s="133" t="s">
        <v>1609</v>
      </c>
      <c r="F346" s="121" t="s">
        <v>2295</v>
      </c>
      <c r="G346" s="121" t="s">
        <v>664</v>
      </c>
      <c r="H346" s="121"/>
    </row>
    <row r="347">
      <c r="A347" s="121" t="s">
        <v>18</v>
      </c>
      <c r="B347" s="121" t="s">
        <v>1596</v>
      </c>
      <c r="C347" s="121" t="s">
        <v>1573</v>
      </c>
      <c r="D347" s="121" t="s">
        <v>1608</v>
      </c>
      <c r="E347" s="133" t="s">
        <v>1609</v>
      </c>
      <c r="F347" s="121" t="s">
        <v>2157</v>
      </c>
      <c r="G347" s="121" t="s">
        <v>628</v>
      </c>
      <c r="H347" s="121"/>
    </row>
    <row r="348">
      <c r="A348" s="121" t="s">
        <v>18</v>
      </c>
      <c r="B348" s="121" t="s">
        <v>1596</v>
      </c>
      <c r="C348" s="121" t="s">
        <v>1573</v>
      </c>
      <c r="D348" s="121" t="s">
        <v>1608</v>
      </c>
      <c r="E348" s="133" t="s">
        <v>1609</v>
      </c>
      <c r="F348" s="121" t="s">
        <v>2341</v>
      </c>
      <c r="G348" s="121" t="s">
        <v>631</v>
      </c>
      <c r="H348" s="121"/>
    </row>
    <row r="349">
      <c r="A349" s="121" t="s">
        <v>18</v>
      </c>
      <c r="B349" s="121" t="s">
        <v>1596</v>
      </c>
      <c r="C349" s="121" t="s">
        <v>1573</v>
      </c>
      <c r="D349" s="121" t="s">
        <v>1610</v>
      </c>
      <c r="E349" s="133" t="s">
        <v>2611</v>
      </c>
      <c r="F349" s="121"/>
      <c r="G349" s="121"/>
      <c r="H349" s="121"/>
    </row>
    <row r="350" hidden="1">
      <c r="A350" s="121" t="s">
        <v>18</v>
      </c>
      <c r="B350" s="121" t="s">
        <v>1612</v>
      </c>
      <c r="C350" s="121" t="s">
        <v>1573</v>
      </c>
      <c r="D350" s="121" t="s">
        <v>1733</v>
      </c>
      <c r="E350" s="133" t="s">
        <v>1734</v>
      </c>
      <c r="F350" s="121" t="s">
        <v>2384</v>
      </c>
      <c r="G350" s="121" t="s">
        <v>674</v>
      </c>
      <c r="H350" s="121"/>
    </row>
    <row r="351" hidden="1">
      <c r="A351" s="121" t="s">
        <v>18</v>
      </c>
      <c r="B351" s="121" t="s">
        <v>1612</v>
      </c>
      <c r="C351" s="121" t="s">
        <v>1573</v>
      </c>
      <c r="D351" s="121" t="s">
        <v>1733</v>
      </c>
      <c r="E351" s="133" t="s">
        <v>1734</v>
      </c>
      <c r="F351" s="121" t="s">
        <v>2385</v>
      </c>
      <c r="G351" s="121" t="s">
        <v>749</v>
      </c>
      <c r="H351" s="121"/>
    </row>
    <row r="352" hidden="1">
      <c r="A352" s="121" t="s">
        <v>18</v>
      </c>
      <c r="B352" s="121" t="s">
        <v>1612</v>
      </c>
      <c r="C352" s="121" t="s">
        <v>1573</v>
      </c>
      <c r="D352" s="121" t="s">
        <v>1733</v>
      </c>
      <c r="E352" s="133" t="s">
        <v>1734</v>
      </c>
      <c r="F352" s="121" t="s">
        <v>2386</v>
      </c>
      <c r="G352" s="121" t="s">
        <v>776</v>
      </c>
      <c r="H352" s="121"/>
    </row>
    <row r="353" hidden="1">
      <c r="A353" s="121" t="s">
        <v>18</v>
      </c>
      <c r="B353" s="121" t="s">
        <v>1612</v>
      </c>
      <c r="C353" s="121" t="s">
        <v>1573</v>
      </c>
      <c r="D353" s="121" t="s">
        <v>1733</v>
      </c>
      <c r="E353" s="133" t="s">
        <v>1734</v>
      </c>
      <c r="F353" s="121" t="s">
        <v>2375</v>
      </c>
      <c r="G353" s="121" t="s">
        <v>713</v>
      </c>
      <c r="H353" s="121"/>
    </row>
    <row r="354" hidden="1">
      <c r="A354" s="121" t="s">
        <v>18</v>
      </c>
      <c r="B354" s="121" t="s">
        <v>1612</v>
      </c>
      <c r="C354" s="121" t="s">
        <v>1573</v>
      </c>
      <c r="D354" s="121" t="s">
        <v>1735</v>
      </c>
      <c r="E354" s="133" t="s">
        <v>1736</v>
      </c>
      <c r="F354" s="121" t="s">
        <v>2369</v>
      </c>
      <c r="G354" s="121" t="s">
        <v>701</v>
      </c>
      <c r="H354" s="121"/>
    </row>
    <row r="355" hidden="1">
      <c r="A355" s="121" t="s">
        <v>18</v>
      </c>
      <c r="B355" s="121" t="s">
        <v>1612</v>
      </c>
      <c r="C355" s="121" t="s">
        <v>1573</v>
      </c>
      <c r="D355" s="121" t="s">
        <v>1735</v>
      </c>
      <c r="E355" s="133" t="s">
        <v>1736</v>
      </c>
      <c r="F355" s="121" t="s">
        <v>2691</v>
      </c>
      <c r="G355" s="121" t="s">
        <v>2692</v>
      </c>
      <c r="H355" s="121"/>
    </row>
    <row r="356" hidden="1">
      <c r="A356" s="121" t="s">
        <v>18</v>
      </c>
      <c r="B356" s="121" t="s">
        <v>1612</v>
      </c>
      <c r="C356" s="121" t="s">
        <v>1573</v>
      </c>
      <c r="D356" s="121" t="s">
        <v>1735</v>
      </c>
      <c r="E356" s="133" t="s">
        <v>1736</v>
      </c>
      <c r="F356" s="121" t="s">
        <v>2373</v>
      </c>
      <c r="G356" s="121" t="s">
        <v>698</v>
      </c>
      <c r="H356" s="121"/>
    </row>
    <row r="357" hidden="1">
      <c r="A357" s="121" t="s">
        <v>18</v>
      </c>
      <c r="B357" s="121" t="s">
        <v>1612</v>
      </c>
      <c r="C357" s="121" t="s">
        <v>1573</v>
      </c>
      <c r="D357" s="121" t="s">
        <v>1735</v>
      </c>
      <c r="E357" s="133" t="s">
        <v>1736</v>
      </c>
      <c r="F357" s="121" t="s">
        <v>2374</v>
      </c>
      <c r="G357" s="121" t="s">
        <v>752</v>
      </c>
      <c r="H357" s="121"/>
    </row>
    <row r="358" hidden="1">
      <c r="A358" s="121" t="s">
        <v>18</v>
      </c>
      <c r="B358" s="121" t="s">
        <v>1612</v>
      </c>
      <c r="C358" s="121" t="s">
        <v>1573</v>
      </c>
      <c r="D358" s="121" t="s">
        <v>1737</v>
      </c>
      <c r="E358" s="133" t="s">
        <v>1738</v>
      </c>
      <c r="F358" s="121" t="s">
        <v>2380</v>
      </c>
      <c r="G358" s="121" t="s">
        <v>707</v>
      </c>
      <c r="H358" s="121"/>
    </row>
    <row r="359" hidden="1">
      <c r="A359" s="121" t="s">
        <v>18</v>
      </c>
      <c r="B359" s="121" t="s">
        <v>1612</v>
      </c>
      <c r="C359" s="121" t="s">
        <v>1573</v>
      </c>
      <c r="D359" s="121" t="s">
        <v>1737</v>
      </c>
      <c r="E359" s="133" t="s">
        <v>1738</v>
      </c>
      <c r="F359" s="121" t="s">
        <v>2343</v>
      </c>
      <c r="G359" s="121" t="s">
        <v>812</v>
      </c>
      <c r="H359" s="121"/>
    </row>
    <row r="360" hidden="1">
      <c r="A360" s="121" t="s">
        <v>18</v>
      </c>
      <c r="B360" s="121" t="s">
        <v>1612</v>
      </c>
      <c r="C360" s="121" t="s">
        <v>1573</v>
      </c>
      <c r="D360" s="121" t="s">
        <v>1737</v>
      </c>
      <c r="E360" s="133" t="s">
        <v>1738</v>
      </c>
      <c r="F360" s="121" t="s">
        <v>2344</v>
      </c>
      <c r="G360" s="121" t="s">
        <v>809</v>
      </c>
      <c r="H360" s="121"/>
    </row>
    <row r="361" hidden="1">
      <c r="A361" s="121" t="s">
        <v>18</v>
      </c>
      <c r="B361" s="121" t="s">
        <v>1612</v>
      </c>
      <c r="C361" s="121" t="s">
        <v>1573</v>
      </c>
      <c r="D361" s="121" t="s">
        <v>1737</v>
      </c>
      <c r="E361" s="133" t="s">
        <v>1738</v>
      </c>
      <c r="F361" s="121" t="s">
        <v>2387</v>
      </c>
      <c r="G361" s="121" t="s">
        <v>734</v>
      </c>
      <c r="H361" s="121"/>
    </row>
    <row r="362" hidden="1">
      <c r="A362" s="121" t="s">
        <v>18</v>
      </c>
      <c r="B362" s="121" t="s">
        <v>1612</v>
      </c>
      <c r="C362" s="121" t="s">
        <v>1619</v>
      </c>
      <c r="D362" s="121" t="s">
        <v>126</v>
      </c>
      <c r="E362" s="133" t="s">
        <v>78</v>
      </c>
      <c r="F362" s="121" t="s">
        <v>2376</v>
      </c>
      <c r="G362" s="121" t="s">
        <v>725</v>
      </c>
      <c r="H362" s="121"/>
    </row>
    <row r="363" hidden="1">
      <c r="A363" s="121" t="s">
        <v>18</v>
      </c>
      <c r="B363" s="121" t="s">
        <v>1612</v>
      </c>
      <c r="C363" s="121" t="s">
        <v>1619</v>
      </c>
      <c r="D363" s="121" t="s">
        <v>126</v>
      </c>
      <c r="E363" s="133" t="s">
        <v>78</v>
      </c>
      <c r="F363" s="121" t="s">
        <v>2370</v>
      </c>
      <c r="G363" s="121" t="s">
        <v>731</v>
      </c>
      <c r="H363" s="121"/>
    </row>
    <row r="364" hidden="1">
      <c r="A364" s="121" t="s">
        <v>18</v>
      </c>
      <c r="B364" s="121" t="s">
        <v>1612</v>
      </c>
      <c r="C364" s="121" t="s">
        <v>1619</v>
      </c>
      <c r="D364" s="121" t="s">
        <v>127</v>
      </c>
      <c r="E364" s="133" t="s">
        <v>128</v>
      </c>
      <c r="F364" s="121" t="s">
        <v>2388</v>
      </c>
      <c r="G364" s="121" t="s">
        <v>743</v>
      </c>
      <c r="H364" s="121"/>
    </row>
    <row r="365" hidden="1">
      <c r="A365" s="121" t="s">
        <v>18</v>
      </c>
      <c r="B365" s="121" t="s">
        <v>1612</v>
      </c>
      <c r="C365" s="121" t="s">
        <v>1619</v>
      </c>
      <c r="D365" s="121" t="s">
        <v>127</v>
      </c>
      <c r="E365" s="133" t="s">
        <v>128</v>
      </c>
      <c r="F365" s="121" t="s">
        <v>2271</v>
      </c>
      <c r="G365" s="121" t="s">
        <v>761</v>
      </c>
      <c r="H365" s="121"/>
    </row>
    <row r="366" hidden="1">
      <c r="A366" s="121" t="s">
        <v>18</v>
      </c>
      <c r="B366" s="121" t="s">
        <v>1612</v>
      </c>
      <c r="C366" s="121" t="s">
        <v>1620</v>
      </c>
      <c r="D366" s="121" t="s">
        <v>2098</v>
      </c>
      <c r="E366" s="133" t="s">
        <v>148</v>
      </c>
      <c r="F366" s="121" t="s">
        <v>2389</v>
      </c>
      <c r="G366" s="121" t="s">
        <v>719</v>
      </c>
      <c r="H366" s="121"/>
    </row>
    <row r="367" hidden="1">
      <c r="A367" s="121" t="s">
        <v>18</v>
      </c>
      <c r="B367" s="121" t="s">
        <v>1612</v>
      </c>
      <c r="C367" s="121" t="s">
        <v>1620</v>
      </c>
      <c r="D367" s="121" t="s">
        <v>2098</v>
      </c>
      <c r="E367" s="133" t="s">
        <v>148</v>
      </c>
      <c r="F367" s="121" t="s">
        <v>2194</v>
      </c>
      <c r="G367" s="121" t="s">
        <v>831</v>
      </c>
      <c r="H367" s="121"/>
    </row>
    <row r="368" hidden="1">
      <c r="A368" s="121" t="s">
        <v>18</v>
      </c>
      <c r="B368" s="121" t="s">
        <v>1612</v>
      </c>
      <c r="C368" s="121" t="s">
        <v>1620</v>
      </c>
      <c r="D368" s="121" t="s">
        <v>2098</v>
      </c>
      <c r="E368" s="133" t="s">
        <v>148</v>
      </c>
      <c r="F368" s="121" t="s">
        <v>2390</v>
      </c>
      <c r="G368" s="121" t="s">
        <v>668</v>
      </c>
      <c r="H368" s="121"/>
    </row>
    <row r="369" hidden="1">
      <c r="A369" s="121" t="s">
        <v>18</v>
      </c>
      <c r="B369" s="121" t="s">
        <v>1612</v>
      </c>
      <c r="C369" s="121" t="s">
        <v>1620</v>
      </c>
      <c r="D369" s="121" t="s">
        <v>129</v>
      </c>
      <c r="E369" s="133" t="s">
        <v>130</v>
      </c>
      <c r="F369" s="121" t="s">
        <v>2363</v>
      </c>
      <c r="G369" s="121" t="s">
        <v>746</v>
      </c>
      <c r="H369" s="121"/>
    </row>
    <row r="370" hidden="1">
      <c r="A370" s="121" t="s">
        <v>18</v>
      </c>
      <c r="B370" s="121" t="s">
        <v>1612</v>
      </c>
      <c r="C370" s="121" t="s">
        <v>1621</v>
      </c>
      <c r="D370" s="121" t="s">
        <v>132</v>
      </c>
      <c r="E370" s="133" t="s">
        <v>133</v>
      </c>
      <c r="F370" s="121" t="s">
        <v>2392</v>
      </c>
      <c r="G370" s="121" t="s">
        <v>2393</v>
      </c>
      <c r="H370" s="121"/>
    </row>
    <row r="371" hidden="1">
      <c r="A371" s="121" t="s">
        <v>18</v>
      </c>
      <c r="B371" s="121" t="s">
        <v>1612</v>
      </c>
      <c r="C371" s="121" t="s">
        <v>1621</v>
      </c>
      <c r="D371" s="121" t="s">
        <v>132</v>
      </c>
      <c r="E371" s="133" t="s">
        <v>133</v>
      </c>
      <c r="F371" s="121" t="s">
        <v>2364</v>
      </c>
      <c r="G371" s="121" t="s">
        <v>671</v>
      </c>
      <c r="H371" s="121"/>
    </row>
    <row r="372" hidden="1">
      <c r="A372" s="121" t="s">
        <v>18</v>
      </c>
      <c r="B372" s="121" t="s">
        <v>1612</v>
      </c>
      <c r="C372" s="121" t="s">
        <v>1621</v>
      </c>
      <c r="D372" s="121" t="s">
        <v>132</v>
      </c>
      <c r="E372" s="133" t="s">
        <v>133</v>
      </c>
      <c r="F372" s="121" t="s">
        <v>2359</v>
      </c>
      <c r="G372" s="121" t="s">
        <v>695</v>
      </c>
      <c r="H372" s="121"/>
    </row>
    <row r="373" hidden="1">
      <c r="A373" s="121" t="s">
        <v>18</v>
      </c>
      <c r="B373" s="121" t="s">
        <v>1612</v>
      </c>
      <c r="C373" s="121" t="s">
        <v>1621</v>
      </c>
      <c r="D373" s="121" t="s">
        <v>2693</v>
      </c>
      <c r="E373" s="133" t="s">
        <v>72</v>
      </c>
      <c r="F373" s="121" t="s">
        <v>2367</v>
      </c>
      <c r="G373" s="121" t="s">
        <v>2368</v>
      </c>
      <c r="H373" s="121"/>
    </row>
    <row r="374" hidden="1">
      <c r="A374" s="121" t="s">
        <v>18</v>
      </c>
      <c r="B374" s="121" t="s">
        <v>1612</v>
      </c>
      <c r="C374" s="121" t="s">
        <v>86</v>
      </c>
      <c r="D374" s="121" t="s">
        <v>2694</v>
      </c>
      <c r="E374" s="133" t="s">
        <v>2695</v>
      </c>
      <c r="F374" s="121" t="s">
        <v>2209</v>
      </c>
      <c r="G374" s="121" t="s">
        <v>716</v>
      </c>
      <c r="H374" s="121"/>
    </row>
    <row r="375" hidden="1">
      <c r="A375" s="121" t="s">
        <v>18</v>
      </c>
      <c r="B375" s="121" t="s">
        <v>1612</v>
      </c>
      <c r="C375" s="121" t="s">
        <v>1622</v>
      </c>
      <c r="D375" s="121" t="s">
        <v>122</v>
      </c>
      <c r="E375" s="133" t="s">
        <v>123</v>
      </c>
      <c r="F375" s="133" t="s">
        <v>2395</v>
      </c>
      <c r="G375" s="121" t="s">
        <v>1225</v>
      </c>
      <c r="H375" s="1">
        <v>23.0</v>
      </c>
    </row>
    <row r="376" hidden="1">
      <c r="A376" s="121" t="s">
        <v>18</v>
      </c>
      <c r="B376" s="121" t="s">
        <v>1612</v>
      </c>
      <c r="C376" s="121" t="s">
        <v>1622</v>
      </c>
      <c r="D376" s="121" t="s">
        <v>122</v>
      </c>
      <c r="E376" s="133" t="s">
        <v>123</v>
      </c>
      <c r="F376" s="121" t="s">
        <v>2365</v>
      </c>
      <c r="G376" s="121" t="s">
        <v>704</v>
      </c>
      <c r="H376" s="121"/>
    </row>
    <row r="377" hidden="1">
      <c r="A377" s="121" t="s">
        <v>18</v>
      </c>
      <c r="B377" s="121" t="s">
        <v>1612</v>
      </c>
      <c r="C377" s="121" t="s">
        <v>1623</v>
      </c>
      <c r="D377" s="121" t="s">
        <v>2696</v>
      </c>
      <c r="E377" s="133" t="s">
        <v>1740</v>
      </c>
      <c r="F377" s="121" t="s">
        <v>2396</v>
      </c>
      <c r="G377" s="121" t="s">
        <v>1210</v>
      </c>
      <c r="H377" s="121"/>
    </row>
    <row r="378" hidden="1">
      <c r="A378" s="121" t="s">
        <v>18</v>
      </c>
      <c r="B378" s="121" t="s">
        <v>1612</v>
      </c>
      <c r="C378" s="121" t="s">
        <v>1623</v>
      </c>
      <c r="D378" s="121" t="s">
        <v>2099</v>
      </c>
      <c r="E378" s="133" t="s">
        <v>1742</v>
      </c>
      <c r="F378" s="121" t="s">
        <v>2371</v>
      </c>
      <c r="G378" s="121" t="s">
        <v>680</v>
      </c>
      <c r="H378" s="121"/>
    </row>
    <row r="379" hidden="1">
      <c r="A379" s="121" t="s">
        <v>18</v>
      </c>
      <c r="B379" s="121" t="s">
        <v>1612</v>
      </c>
      <c r="C379" s="121" t="s">
        <v>1573</v>
      </c>
      <c r="D379" s="121" t="s">
        <v>1743</v>
      </c>
      <c r="E379" s="133" t="s">
        <v>1630</v>
      </c>
      <c r="F379" s="121"/>
      <c r="G379" s="121"/>
      <c r="H379" s="121"/>
    </row>
    <row r="380" hidden="1">
      <c r="A380" s="121" t="s">
        <v>18</v>
      </c>
      <c r="B380" s="121" t="s">
        <v>1631</v>
      </c>
      <c r="C380" s="121" t="s">
        <v>1573</v>
      </c>
      <c r="D380" s="121" t="s">
        <v>2697</v>
      </c>
      <c r="E380" s="133" t="s">
        <v>1634</v>
      </c>
      <c r="F380" s="121"/>
      <c r="G380" s="121"/>
      <c r="H380" s="121"/>
    </row>
    <row r="381" hidden="1">
      <c r="A381" s="121" t="s">
        <v>24</v>
      </c>
      <c r="B381" s="121" t="s">
        <v>1572</v>
      </c>
      <c r="C381" s="121" t="s">
        <v>1573</v>
      </c>
      <c r="D381" s="121" t="s">
        <v>2698</v>
      </c>
      <c r="E381" s="133" t="s">
        <v>2699</v>
      </c>
      <c r="F381" s="121" t="s">
        <v>2228</v>
      </c>
      <c r="G381" s="121" t="s">
        <v>1307</v>
      </c>
      <c r="H381" s="121"/>
    </row>
    <row r="382" hidden="1">
      <c r="A382" s="121" t="s">
        <v>24</v>
      </c>
      <c r="B382" s="121" t="s">
        <v>1572</v>
      </c>
      <c r="C382" s="121" t="s">
        <v>1573</v>
      </c>
      <c r="D382" s="121" t="s">
        <v>2700</v>
      </c>
      <c r="E382" s="133" t="s">
        <v>2701</v>
      </c>
      <c r="F382" s="121" t="s">
        <v>2397</v>
      </c>
      <c r="G382" s="121" t="s">
        <v>1313</v>
      </c>
      <c r="H382" s="121"/>
    </row>
    <row r="383" hidden="1">
      <c r="A383" s="121" t="s">
        <v>24</v>
      </c>
      <c r="B383" s="121" t="s">
        <v>1572</v>
      </c>
      <c r="C383" s="121" t="s">
        <v>1573</v>
      </c>
      <c r="D383" s="121" t="s">
        <v>2702</v>
      </c>
      <c r="E383" s="133" t="s">
        <v>2703</v>
      </c>
      <c r="F383" s="121" t="s">
        <v>2065</v>
      </c>
      <c r="G383" s="121" t="s">
        <v>2066</v>
      </c>
      <c r="H383" s="121"/>
    </row>
    <row r="384" hidden="1">
      <c r="A384" s="121" t="s">
        <v>24</v>
      </c>
      <c r="B384" s="121" t="s">
        <v>1572</v>
      </c>
      <c r="C384" s="121" t="s">
        <v>1573</v>
      </c>
      <c r="D384" s="121" t="s">
        <v>2704</v>
      </c>
      <c r="E384" s="133" t="s">
        <v>2705</v>
      </c>
      <c r="F384" s="133" t="s">
        <v>2398</v>
      </c>
      <c r="G384" s="121" t="s">
        <v>944</v>
      </c>
      <c r="H384" s="121"/>
    </row>
    <row r="385" hidden="1">
      <c r="A385" s="121" t="s">
        <v>24</v>
      </c>
      <c r="B385" s="121" t="s">
        <v>1572</v>
      </c>
      <c r="C385" s="121" t="s">
        <v>1573</v>
      </c>
      <c r="D385" s="121" t="s">
        <v>2083</v>
      </c>
      <c r="E385" s="133" t="s">
        <v>2084</v>
      </c>
      <c r="F385" s="121" t="s">
        <v>2085</v>
      </c>
      <c r="G385" s="121" t="s">
        <v>2400</v>
      </c>
      <c r="H385" s="121"/>
    </row>
    <row r="386" hidden="1">
      <c r="A386" s="121" t="s">
        <v>24</v>
      </c>
      <c r="B386" s="121" t="s">
        <v>1572</v>
      </c>
      <c r="C386" s="121" t="s">
        <v>1573</v>
      </c>
      <c r="D386" s="121" t="s">
        <v>2706</v>
      </c>
      <c r="E386" s="133" t="s">
        <v>2707</v>
      </c>
      <c r="F386" s="121" t="s">
        <v>2382</v>
      </c>
      <c r="G386" s="121" t="s">
        <v>2383</v>
      </c>
      <c r="H386" s="121"/>
    </row>
    <row r="387" hidden="1">
      <c r="A387" s="121" t="s">
        <v>24</v>
      </c>
      <c r="B387" s="121" t="s">
        <v>1572</v>
      </c>
      <c r="C387" s="121" t="s">
        <v>1573</v>
      </c>
      <c r="D387" s="121" t="s">
        <v>1589</v>
      </c>
      <c r="E387" s="133" t="s">
        <v>1590</v>
      </c>
      <c r="F387" s="121" t="s">
        <v>2178</v>
      </c>
      <c r="G387" s="121" t="s">
        <v>1117</v>
      </c>
      <c r="H387" s="121"/>
    </row>
    <row r="388" hidden="1">
      <c r="A388" s="121" t="s">
        <v>24</v>
      </c>
      <c r="B388" s="121" t="s">
        <v>1572</v>
      </c>
      <c r="C388" s="121" t="s">
        <v>1573</v>
      </c>
      <c r="D388" s="121" t="s">
        <v>1591</v>
      </c>
      <c r="E388" s="133" t="s">
        <v>1726</v>
      </c>
      <c r="F388" s="121"/>
      <c r="G388" s="121"/>
      <c r="H388" s="121"/>
    </row>
    <row r="389">
      <c r="A389" s="121" t="s">
        <v>24</v>
      </c>
      <c r="B389" s="121" t="s">
        <v>1596</v>
      </c>
      <c r="C389" s="121" t="s">
        <v>1573</v>
      </c>
      <c r="D389" s="121" t="s">
        <v>1702</v>
      </c>
      <c r="E389" s="133" t="s">
        <v>1651</v>
      </c>
      <c r="F389" s="121" t="s">
        <v>2215</v>
      </c>
      <c r="G389" s="121" t="s">
        <v>564</v>
      </c>
      <c r="H389" s="121"/>
    </row>
    <row r="390">
      <c r="A390" s="121" t="s">
        <v>24</v>
      </c>
      <c r="B390" s="121" t="s">
        <v>1596</v>
      </c>
      <c r="C390" s="121" t="s">
        <v>1573</v>
      </c>
      <c r="D390" s="121" t="s">
        <v>1703</v>
      </c>
      <c r="E390" s="133" t="s">
        <v>1704</v>
      </c>
      <c r="F390" s="121" t="s">
        <v>2243</v>
      </c>
      <c r="G390" s="121" t="s">
        <v>2244</v>
      </c>
      <c r="H390" s="121"/>
    </row>
    <row r="391">
      <c r="A391" s="121" t="s">
        <v>24</v>
      </c>
      <c r="B391" s="121" t="s">
        <v>1596</v>
      </c>
      <c r="C391" s="121" t="s">
        <v>1573</v>
      </c>
      <c r="D391" s="121" t="s">
        <v>1705</v>
      </c>
      <c r="E391" s="133" t="s">
        <v>1706</v>
      </c>
      <c r="F391" s="121" t="s">
        <v>2401</v>
      </c>
      <c r="G391" s="121" t="s">
        <v>555</v>
      </c>
      <c r="H391" s="121"/>
    </row>
    <row r="392">
      <c r="A392" s="121" t="s">
        <v>24</v>
      </c>
      <c r="B392" s="121" t="s">
        <v>1596</v>
      </c>
      <c r="C392" s="121" t="s">
        <v>1573</v>
      </c>
      <c r="D392" s="121" t="s">
        <v>1707</v>
      </c>
      <c r="E392" s="133" t="s">
        <v>1708</v>
      </c>
      <c r="F392" s="121" t="s">
        <v>2069</v>
      </c>
      <c r="G392" s="121" t="s">
        <v>570</v>
      </c>
      <c r="H392" s="121"/>
    </row>
    <row r="393">
      <c r="A393" s="121" t="s">
        <v>24</v>
      </c>
      <c r="B393" s="121" t="s">
        <v>1596</v>
      </c>
      <c r="C393" s="121" t="s">
        <v>1573</v>
      </c>
      <c r="D393" s="121" t="s">
        <v>1709</v>
      </c>
      <c r="E393" s="133" t="s">
        <v>1710</v>
      </c>
      <c r="F393" s="121" t="s">
        <v>2397</v>
      </c>
      <c r="G393" s="121" t="s">
        <v>1313</v>
      </c>
      <c r="H393" s="121"/>
    </row>
    <row r="394">
      <c r="A394" s="121" t="s">
        <v>24</v>
      </c>
      <c r="B394" s="121" t="s">
        <v>1596</v>
      </c>
      <c r="C394" s="121" t="s">
        <v>1573</v>
      </c>
      <c r="D394" s="121" t="s">
        <v>1711</v>
      </c>
      <c r="E394" s="133" t="s">
        <v>1712</v>
      </c>
      <c r="F394" s="121" t="s">
        <v>2402</v>
      </c>
      <c r="G394" s="121" t="s">
        <v>1529</v>
      </c>
      <c r="H394" s="121"/>
    </row>
    <row r="395">
      <c r="A395" s="121" t="s">
        <v>24</v>
      </c>
      <c r="B395" s="121" t="s">
        <v>1596</v>
      </c>
      <c r="C395" s="121" t="s">
        <v>1607</v>
      </c>
      <c r="D395" s="121" t="s">
        <v>25</v>
      </c>
      <c r="E395" s="133" t="s">
        <v>26</v>
      </c>
      <c r="F395" s="121" t="s">
        <v>2070</v>
      </c>
      <c r="G395" s="121" t="s">
        <v>561</v>
      </c>
      <c r="H395" s="121"/>
    </row>
    <row r="396">
      <c r="A396" s="121" t="s">
        <v>24</v>
      </c>
      <c r="B396" s="121" t="s">
        <v>1596</v>
      </c>
      <c r="C396" s="121" t="s">
        <v>1573</v>
      </c>
      <c r="D396" s="121" t="s">
        <v>1608</v>
      </c>
      <c r="E396" s="133" t="s">
        <v>1609</v>
      </c>
      <c r="F396" s="121" t="s">
        <v>2222</v>
      </c>
      <c r="G396" s="121" t="s">
        <v>634</v>
      </c>
      <c r="H396" s="121"/>
    </row>
    <row r="397" hidden="1">
      <c r="A397" s="121" t="s">
        <v>24</v>
      </c>
      <c r="B397" s="121" t="s">
        <v>1612</v>
      </c>
      <c r="C397" s="121" t="s">
        <v>1573</v>
      </c>
      <c r="D397" s="121" t="s">
        <v>1713</v>
      </c>
      <c r="E397" s="133" t="s">
        <v>1714</v>
      </c>
      <c r="F397" s="121" t="s">
        <v>2404</v>
      </c>
      <c r="G397" s="121" t="s">
        <v>2405</v>
      </c>
      <c r="H397" s="121"/>
    </row>
    <row r="398" hidden="1">
      <c r="A398" s="121" t="s">
        <v>24</v>
      </c>
      <c r="B398" s="121" t="s">
        <v>1612</v>
      </c>
      <c r="C398" s="121" t="s">
        <v>1573</v>
      </c>
      <c r="D398" s="121" t="s">
        <v>1715</v>
      </c>
      <c r="E398" s="133" t="s">
        <v>1716</v>
      </c>
      <c r="F398" s="121" t="s">
        <v>2358</v>
      </c>
      <c r="G398" s="121" t="s">
        <v>1177</v>
      </c>
      <c r="H398" s="121"/>
    </row>
    <row r="399" hidden="1">
      <c r="A399" s="121" t="s">
        <v>24</v>
      </c>
      <c r="B399" s="121" t="s">
        <v>1612</v>
      </c>
      <c r="C399" s="121" t="s">
        <v>1573</v>
      </c>
      <c r="D399" s="121" t="s">
        <v>1717</v>
      </c>
      <c r="E399" s="133" t="s">
        <v>1718</v>
      </c>
      <c r="F399" s="121" t="s">
        <v>2407</v>
      </c>
      <c r="G399" s="121" t="s">
        <v>413</v>
      </c>
      <c r="H399" s="121"/>
    </row>
    <row r="400" hidden="1">
      <c r="A400" s="121" t="s">
        <v>24</v>
      </c>
      <c r="B400" s="121" t="s">
        <v>1612</v>
      </c>
      <c r="C400" s="121" t="s">
        <v>1573</v>
      </c>
      <c r="D400" s="121" t="s">
        <v>1719</v>
      </c>
      <c r="E400" s="133" t="s">
        <v>1720</v>
      </c>
      <c r="F400" s="121" t="s">
        <v>2409</v>
      </c>
      <c r="G400" s="121" t="s">
        <v>1189</v>
      </c>
      <c r="H400" s="121"/>
    </row>
    <row r="401" hidden="1">
      <c r="A401" s="121" t="s">
        <v>24</v>
      </c>
      <c r="B401" s="121" t="s">
        <v>1612</v>
      </c>
      <c r="C401" s="121" t="s">
        <v>1573</v>
      </c>
      <c r="D401" s="121" t="s">
        <v>1719</v>
      </c>
      <c r="E401" s="133" t="s">
        <v>1720</v>
      </c>
      <c r="F401" s="121" t="s">
        <v>2070</v>
      </c>
      <c r="G401" s="121" t="s">
        <v>561</v>
      </c>
      <c r="H401" s="121"/>
    </row>
    <row r="402" hidden="1">
      <c r="A402" s="121" t="s">
        <v>24</v>
      </c>
      <c r="B402" s="121" t="s">
        <v>1612</v>
      </c>
      <c r="C402" s="121" t="s">
        <v>1619</v>
      </c>
      <c r="D402" s="121" t="s">
        <v>137</v>
      </c>
      <c r="E402" s="133" t="s">
        <v>138</v>
      </c>
      <c r="F402" s="121" t="s">
        <v>2070</v>
      </c>
      <c r="G402" s="121" t="s">
        <v>561</v>
      </c>
      <c r="H402" s="121"/>
    </row>
    <row r="403" hidden="1">
      <c r="A403" s="121" t="s">
        <v>24</v>
      </c>
      <c r="B403" s="121" t="s">
        <v>1612</v>
      </c>
      <c r="C403" s="121" t="s">
        <v>1620</v>
      </c>
      <c r="D403" s="121" t="s">
        <v>139</v>
      </c>
      <c r="E403" s="133" t="s">
        <v>140</v>
      </c>
      <c r="F403" s="121" t="s">
        <v>2411</v>
      </c>
      <c r="G403" s="121" t="s">
        <v>2412</v>
      </c>
      <c r="H403" s="121"/>
    </row>
    <row r="404" hidden="1">
      <c r="A404" s="121" t="s">
        <v>24</v>
      </c>
      <c r="B404" s="121" t="s">
        <v>1612</v>
      </c>
      <c r="C404" s="121" t="s">
        <v>1621</v>
      </c>
      <c r="D404" s="121" t="s">
        <v>141</v>
      </c>
      <c r="E404" s="133" t="s">
        <v>142</v>
      </c>
      <c r="F404" s="121" t="s">
        <v>2413</v>
      </c>
      <c r="G404" s="121" t="s">
        <v>1523</v>
      </c>
      <c r="H404" s="121"/>
    </row>
    <row r="405" hidden="1">
      <c r="A405" s="121" t="s">
        <v>24</v>
      </c>
      <c r="B405" s="121" t="s">
        <v>1612</v>
      </c>
      <c r="C405" s="121" t="s">
        <v>1622</v>
      </c>
      <c r="D405" s="121" t="s">
        <v>2708</v>
      </c>
      <c r="E405" s="133" t="s">
        <v>2709</v>
      </c>
      <c r="F405" s="121" t="s">
        <v>2401</v>
      </c>
      <c r="G405" s="121" t="s">
        <v>555</v>
      </c>
      <c r="H405" s="121"/>
    </row>
    <row r="406" hidden="1">
      <c r="A406" s="121" t="s">
        <v>24</v>
      </c>
      <c r="B406" s="121" t="s">
        <v>1612</v>
      </c>
      <c r="C406" s="121" t="s">
        <v>1573</v>
      </c>
      <c r="D406" s="121" t="s">
        <v>1721</v>
      </c>
      <c r="E406" s="133" t="s">
        <v>1630</v>
      </c>
      <c r="F406" s="121"/>
      <c r="G406" s="121"/>
      <c r="H406" s="121"/>
    </row>
    <row r="407" hidden="1">
      <c r="A407" s="121" t="s">
        <v>24</v>
      </c>
      <c r="B407" s="121" t="s">
        <v>1631</v>
      </c>
      <c r="C407" s="121" t="s">
        <v>1573</v>
      </c>
      <c r="D407" s="121" t="s">
        <v>2710</v>
      </c>
      <c r="E407" s="133" t="s">
        <v>1723</v>
      </c>
      <c r="F407" s="133"/>
      <c r="G407" s="121"/>
      <c r="H407" s="121"/>
    </row>
    <row r="408">
      <c r="A408" s="121" t="s">
        <v>143</v>
      </c>
      <c r="B408" s="121" t="s">
        <v>1596</v>
      </c>
      <c r="C408" s="121" t="s">
        <v>1573</v>
      </c>
      <c r="D408" s="121" t="s">
        <v>2711</v>
      </c>
      <c r="E408" s="133" t="s">
        <v>1728</v>
      </c>
      <c r="F408" s="121" t="s">
        <v>2414</v>
      </c>
      <c r="G408" s="121" t="s">
        <v>1304</v>
      </c>
      <c r="H408" s="121"/>
    </row>
    <row r="409">
      <c r="A409" s="121" t="s">
        <v>143</v>
      </c>
      <c r="B409" s="121" t="s">
        <v>1596</v>
      </c>
      <c r="C409" s="121" t="s">
        <v>1573</v>
      </c>
      <c r="D409" s="121" t="s">
        <v>2100</v>
      </c>
      <c r="E409" s="133" t="s">
        <v>1649</v>
      </c>
      <c r="F409" s="121" t="s">
        <v>2415</v>
      </c>
      <c r="G409" s="121" t="s">
        <v>580</v>
      </c>
      <c r="H409" s="121"/>
    </row>
    <row r="410">
      <c r="A410" s="121" t="s">
        <v>143</v>
      </c>
      <c r="B410" s="121" t="s">
        <v>1596</v>
      </c>
      <c r="C410" s="121" t="s">
        <v>1573</v>
      </c>
      <c r="D410" s="121" t="s">
        <v>2712</v>
      </c>
      <c r="E410" s="133" t="s">
        <v>1651</v>
      </c>
      <c r="F410" s="121" t="s">
        <v>2390</v>
      </c>
      <c r="G410" s="121" t="s">
        <v>668</v>
      </c>
      <c r="H410" s="121"/>
    </row>
    <row r="411">
      <c r="A411" s="121" t="s">
        <v>143</v>
      </c>
      <c r="B411" s="121" t="s">
        <v>1596</v>
      </c>
      <c r="C411" s="121" t="s">
        <v>1573</v>
      </c>
      <c r="D411" s="121" t="s">
        <v>2101</v>
      </c>
      <c r="E411" s="133" t="s">
        <v>1653</v>
      </c>
      <c r="F411" s="121" t="s">
        <v>2416</v>
      </c>
      <c r="G411" s="121" t="s">
        <v>1171</v>
      </c>
      <c r="H411" s="121"/>
    </row>
    <row r="412">
      <c r="A412" s="121" t="s">
        <v>143</v>
      </c>
      <c r="B412" s="121" t="s">
        <v>1596</v>
      </c>
      <c r="C412" s="121" t="s">
        <v>1573</v>
      </c>
      <c r="D412" s="121" t="s">
        <v>2102</v>
      </c>
      <c r="E412" s="133" t="s">
        <v>1655</v>
      </c>
      <c r="F412" s="121" t="s">
        <v>2417</v>
      </c>
      <c r="G412" s="121" t="s">
        <v>1174</v>
      </c>
      <c r="H412" s="121"/>
    </row>
    <row r="413">
      <c r="A413" s="121" t="s">
        <v>143</v>
      </c>
      <c r="B413" s="121" t="s">
        <v>1596</v>
      </c>
      <c r="C413" s="121" t="s">
        <v>1607</v>
      </c>
      <c r="D413" s="121" t="s">
        <v>2713</v>
      </c>
      <c r="E413" s="133" t="s">
        <v>8</v>
      </c>
      <c r="F413" s="121" t="s">
        <v>2418</v>
      </c>
      <c r="G413" s="121" t="s">
        <v>372</v>
      </c>
      <c r="H413" s="121"/>
    </row>
    <row r="414">
      <c r="A414" s="121" t="s">
        <v>143</v>
      </c>
      <c r="B414" s="121" t="s">
        <v>1596</v>
      </c>
      <c r="C414" s="121" t="s">
        <v>1573</v>
      </c>
      <c r="D414" s="121" t="s">
        <v>1608</v>
      </c>
      <c r="E414" s="133" t="s">
        <v>1609</v>
      </c>
      <c r="F414" s="121" t="s">
        <v>2419</v>
      </c>
      <c r="G414" s="121" t="s">
        <v>640</v>
      </c>
      <c r="H414" s="121"/>
    </row>
    <row r="415">
      <c r="A415" s="121" t="s">
        <v>143</v>
      </c>
      <c r="B415" s="121" t="s">
        <v>1596</v>
      </c>
      <c r="C415" s="121" t="s">
        <v>1573</v>
      </c>
      <c r="D415" s="121" t="s">
        <v>1610</v>
      </c>
      <c r="E415" s="133" t="s">
        <v>2611</v>
      </c>
      <c r="F415" s="121"/>
      <c r="G415" s="121"/>
      <c r="H415" s="121"/>
    </row>
    <row r="416" hidden="1">
      <c r="A416" s="121" t="s">
        <v>143</v>
      </c>
      <c r="B416" s="121" t="s">
        <v>1612</v>
      </c>
      <c r="C416" s="121" t="s">
        <v>1573</v>
      </c>
      <c r="D416" s="121" t="s">
        <v>1787</v>
      </c>
      <c r="E416" s="133" t="s">
        <v>1788</v>
      </c>
      <c r="F416" s="121" t="s">
        <v>2420</v>
      </c>
      <c r="G416" s="121" t="s">
        <v>583</v>
      </c>
      <c r="H416" s="121"/>
    </row>
    <row r="417" hidden="1">
      <c r="A417" s="121" t="s">
        <v>143</v>
      </c>
      <c r="B417" s="121" t="s">
        <v>1612</v>
      </c>
      <c r="C417" s="121" t="s">
        <v>1573</v>
      </c>
      <c r="D417" s="121" t="s">
        <v>1789</v>
      </c>
      <c r="E417" s="133" t="s">
        <v>1736</v>
      </c>
      <c r="F417" s="121" t="s">
        <v>2418</v>
      </c>
      <c r="G417" s="121" t="s">
        <v>372</v>
      </c>
      <c r="H417" s="121"/>
    </row>
    <row r="418" hidden="1">
      <c r="A418" s="121" t="s">
        <v>143</v>
      </c>
      <c r="B418" s="121" t="s">
        <v>1612</v>
      </c>
      <c r="C418" s="121" t="s">
        <v>1573</v>
      </c>
      <c r="D418" s="121" t="s">
        <v>1790</v>
      </c>
      <c r="E418" s="133" t="s">
        <v>153</v>
      </c>
      <c r="F418" s="121" t="s">
        <v>2421</v>
      </c>
      <c r="G418" s="121" t="s">
        <v>819</v>
      </c>
      <c r="H418" s="121"/>
    </row>
    <row r="419" hidden="1">
      <c r="A419" s="121" t="s">
        <v>143</v>
      </c>
      <c r="B419" s="121" t="s">
        <v>1612</v>
      </c>
      <c r="C419" s="121" t="s">
        <v>1619</v>
      </c>
      <c r="D419" s="121" t="s">
        <v>2071</v>
      </c>
      <c r="E419" s="133" t="s">
        <v>1740</v>
      </c>
      <c r="F419" s="121" t="s">
        <v>2069</v>
      </c>
      <c r="G419" s="121" t="s">
        <v>570</v>
      </c>
      <c r="H419" s="121"/>
    </row>
    <row r="420" hidden="1">
      <c r="A420" s="121" t="s">
        <v>143</v>
      </c>
      <c r="B420" s="121" t="s">
        <v>1612</v>
      </c>
      <c r="C420" s="121" t="s">
        <v>1620</v>
      </c>
      <c r="D420" s="121" t="s">
        <v>147</v>
      </c>
      <c r="E420" s="133" t="s">
        <v>148</v>
      </c>
      <c r="F420" s="121" t="s">
        <v>2065</v>
      </c>
      <c r="G420" s="121" t="s">
        <v>2066</v>
      </c>
      <c r="H420" s="121"/>
    </row>
    <row r="421" hidden="1">
      <c r="A421" s="121" t="s">
        <v>143</v>
      </c>
      <c r="B421" s="121" t="s">
        <v>1612</v>
      </c>
      <c r="C421" s="121" t="s">
        <v>1620</v>
      </c>
      <c r="D421" s="121" t="s">
        <v>147</v>
      </c>
      <c r="E421" s="133" t="s">
        <v>148</v>
      </c>
      <c r="F421" s="121" t="s">
        <v>2062</v>
      </c>
      <c r="G421" s="121" t="s">
        <v>309</v>
      </c>
      <c r="H421" s="121"/>
    </row>
    <row r="422" hidden="1">
      <c r="A422" s="121" t="s">
        <v>143</v>
      </c>
      <c r="B422" s="121" t="s">
        <v>1612</v>
      </c>
      <c r="C422" s="121" t="s">
        <v>1621</v>
      </c>
      <c r="D422" s="121" t="s">
        <v>146</v>
      </c>
      <c r="E422" s="133" t="s">
        <v>133</v>
      </c>
      <c r="F422" s="121" t="s">
        <v>2409</v>
      </c>
      <c r="G422" s="121" t="s">
        <v>1189</v>
      </c>
      <c r="H422" s="121"/>
    </row>
    <row r="423" hidden="1">
      <c r="A423" s="121" t="s">
        <v>143</v>
      </c>
      <c r="B423" s="121" t="s">
        <v>1612</v>
      </c>
      <c r="C423" s="121" t="s">
        <v>1622</v>
      </c>
      <c r="D423" s="121" t="s">
        <v>2714</v>
      </c>
      <c r="E423" s="133" t="s">
        <v>1712</v>
      </c>
      <c r="F423" s="121" t="s">
        <v>2422</v>
      </c>
      <c r="G423" s="121" t="s">
        <v>1549</v>
      </c>
      <c r="H423" s="121"/>
    </row>
    <row r="424" hidden="1">
      <c r="A424" s="121" t="s">
        <v>143</v>
      </c>
      <c r="B424" s="121" t="s">
        <v>1612</v>
      </c>
      <c r="C424" s="121" t="s">
        <v>1623</v>
      </c>
      <c r="D424" s="121" t="s">
        <v>1792</v>
      </c>
      <c r="E424" s="133" t="s">
        <v>1793</v>
      </c>
      <c r="F424" s="121" t="s">
        <v>2415</v>
      </c>
      <c r="G424" s="121" t="s">
        <v>580</v>
      </c>
      <c r="H424" s="121"/>
    </row>
    <row r="425" hidden="1">
      <c r="A425" s="121" t="s">
        <v>143</v>
      </c>
      <c r="B425" s="121" t="s">
        <v>1612</v>
      </c>
      <c r="C425" s="121" t="s">
        <v>1623</v>
      </c>
      <c r="D425" s="121" t="s">
        <v>1794</v>
      </c>
      <c r="E425" s="133" t="s">
        <v>1795</v>
      </c>
      <c r="F425" s="121" t="s">
        <v>2420</v>
      </c>
      <c r="G425" s="121" t="s">
        <v>583</v>
      </c>
      <c r="H425" s="121"/>
    </row>
    <row r="426" hidden="1">
      <c r="A426" s="121" t="s">
        <v>143</v>
      </c>
      <c r="B426" s="121" t="s">
        <v>1612</v>
      </c>
      <c r="C426" s="121" t="s">
        <v>1573</v>
      </c>
      <c r="D426" s="121" t="s">
        <v>1796</v>
      </c>
      <c r="E426" s="133" t="s">
        <v>1630</v>
      </c>
      <c r="F426" s="121"/>
      <c r="G426" s="121"/>
      <c r="H426" s="121"/>
    </row>
    <row r="427">
      <c r="A427" s="121" t="s">
        <v>151</v>
      </c>
      <c r="B427" s="121" t="s">
        <v>1596</v>
      </c>
      <c r="C427" s="121" t="s">
        <v>1573</v>
      </c>
      <c r="D427" s="121" t="s">
        <v>2715</v>
      </c>
      <c r="E427" s="133" t="s">
        <v>1728</v>
      </c>
      <c r="F427" s="121" t="s">
        <v>2147</v>
      </c>
      <c r="G427" s="121" t="s">
        <v>1289</v>
      </c>
      <c r="H427" s="121"/>
    </row>
    <row r="428">
      <c r="A428" s="121" t="s">
        <v>151</v>
      </c>
      <c r="B428" s="121" t="s">
        <v>1596</v>
      </c>
      <c r="C428" s="121" t="s">
        <v>1573</v>
      </c>
      <c r="D428" s="121" t="s">
        <v>2103</v>
      </c>
      <c r="E428" s="133" t="s">
        <v>1649</v>
      </c>
      <c r="F428" s="121" t="s">
        <v>2421</v>
      </c>
      <c r="G428" s="121" t="s">
        <v>819</v>
      </c>
      <c r="H428" s="121"/>
    </row>
    <row r="429">
      <c r="A429" s="121" t="s">
        <v>151</v>
      </c>
      <c r="B429" s="121" t="s">
        <v>1596</v>
      </c>
      <c r="C429" s="121" t="s">
        <v>1573</v>
      </c>
      <c r="D429" s="121" t="s">
        <v>2103</v>
      </c>
      <c r="E429" s="133" t="s">
        <v>1649</v>
      </c>
      <c r="F429" s="121" t="s">
        <v>2367</v>
      </c>
      <c r="G429" s="121" t="s">
        <v>2368</v>
      </c>
      <c r="H429" s="121"/>
    </row>
    <row r="430">
      <c r="A430" s="121" t="s">
        <v>151</v>
      </c>
      <c r="B430" s="121" t="s">
        <v>1596</v>
      </c>
      <c r="C430" s="121" t="s">
        <v>1573</v>
      </c>
      <c r="D430" s="121" t="s">
        <v>2074</v>
      </c>
      <c r="E430" s="133" t="s">
        <v>1651</v>
      </c>
      <c r="F430" s="121" t="s">
        <v>2075</v>
      </c>
      <c r="G430" s="121" t="s">
        <v>2424</v>
      </c>
      <c r="H430" s="121"/>
    </row>
    <row r="431">
      <c r="A431" s="121" t="s">
        <v>151</v>
      </c>
      <c r="B431" s="121" t="s">
        <v>1596</v>
      </c>
      <c r="C431" s="121" t="s">
        <v>1573</v>
      </c>
      <c r="D431" s="121" t="s">
        <v>2104</v>
      </c>
      <c r="E431" s="133" t="s">
        <v>1653</v>
      </c>
      <c r="F431" s="121" t="s">
        <v>2425</v>
      </c>
      <c r="G431" s="121" t="s">
        <v>828</v>
      </c>
      <c r="H431" s="121"/>
    </row>
    <row r="432">
      <c r="A432" s="121" t="s">
        <v>151</v>
      </c>
      <c r="B432" s="121" t="s">
        <v>1596</v>
      </c>
      <c r="C432" s="121" t="s">
        <v>1573</v>
      </c>
      <c r="D432" s="121" t="s">
        <v>2105</v>
      </c>
      <c r="E432" s="133" t="s">
        <v>1655</v>
      </c>
      <c r="F432" s="121" t="s">
        <v>2427</v>
      </c>
      <c r="G432" s="121" t="s">
        <v>683</v>
      </c>
      <c r="H432" s="121"/>
    </row>
    <row r="433">
      <c r="A433" s="121" t="s">
        <v>151</v>
      </c>
      <c r="B433" s="121" t="s">
        <v>1596</v>
      </c>
      <c r="C433" s="121" t="s">
        <v>1607</v>
      </c>
      <c r="D433" s="121" t="s">
        <v>2716</v>
      </c>
      <c r="E433" s="133" t="s">
        <v>8</v>
      </c>
      <c r="F433" s="121" t="s">
        <v>2428</v>
      </c>
      <c r="G433" s="121" t="s">
        <v>822</v>
      </c>
      <c r="H433" s="121"/>
    </row>
    <row r="434">
      <c r="A434" s="121" t="s">
        <v>151</v>
      </c>
      <c r="B434" s="121" t="s">
        <v>1596</v>
      </c>
      <c r="C434" s="121" t="s">
        <v>1573</v>
      </c>
      <c r="D434" s="121" t="s">
        <v>1608</v>
      </c>
      <c r="E434" s="133" t="s">
        <v>1609</v>
      </c>
      <c r="F434" s="121" t="s">
        <v>2201</v>
      </c>
      <c r="G434" s="121" t="s">
        <v>643</v>
      </c>
      <c r="H434" s="121"/>
    </row>
    <row r="435">
      <c r="A435" s="121" t="s">
        <v>151</v>
      </c>
      <c r="B435" s="121" t="s">
        <v>1596</v>
      </c>
      <c r="C435" s="121" t="s">
        <v>1573</v>
      </c>
      <c r="D435" s="121" t="s">
        <v>1610</v>
      </c>
      <c r="E435" s="133" t="s">
        <v>2611</v>
      </c>
      <c r="F435" s="121"/>
      <c r="G435" s="121"/>
      <c r="H435" s="121"/>
    </row>
    <row r="436" hidden="1">
      <c r="A436" s="121" t="s">
        <v>151</v>
      </c>
      <c r="B436" s="121" t="s">
        <v>1612</v>
      </c>
      <c r="C436" s="121" t="s">
        <v>1573</v>
      </c>
      <c r="D436" s="121" t="s">
        <v>1864</v>
      </c>
      <c r="E436" s="133" t="s">
        <v>1865</v>
      </c>
      <c r="F436" s="121" t="s">
        <v>2387</v>
      </c>
      <c r="G436" s="121" t="s">
        <v>734</v>
      </c>
      <c r="H436" s="121"/>
    </row>
    <row r="437" hidden="1">
      <c r="A437" s="121" t="s">
        <v>151</v>
      </c>
      <c r="B437" s="121" t="s">
        <v>1612</v>
      </c>
      <c r="C437" s="121" t="s">
        <v>1573</v>
      </c>
      <c r="D437" s="121" t="s">
        <v>1866</v>
      </c>
      <c r="E437" s="133" t="s">
        <v>140</v>
      </c>
      <c r="F437" s="121" t="s">
        <v>2430</v>
      </c>
      <c r="G437" s="121" t="s">
        <v>419</v>
      </c>
      <c r="H437" s="121"/>
    </row>
    <row r="438" hidden="1">
      <c r="A438" s="121" t="s">
        <v>151</v>
      </c>
      <c r="B438" s="121" t="s">
        <v>1612</v>
      </c>
      <c r="C438" s="121" t="s">
        <v>1573</v>
      </c>
      <c r="D438" s="121" t="s">
        <v>1868</v>
      </c>
      <c r="E438" s="133" t="s">
        <v>1738</v>
      </c>
      <c r="F438" s="121" t="s">
        <v>2431</v>
      </c>
      <c r="G438" s="121" t="s">
        <v>825</v>
      </c>
      <c r="H438" s="121"/>
    </row>
    <row r="439" hidden="1">
      <c r="A439" s="121" t="s">
        <v>151</v>
      </c>
      <c r="B439" s="121" t="s">
        <v>1612</v>
      </c>
      <c r="C439" s="121" t="s">
        <v>1619</v>
      </c>
      <c r="D439" s="121" t="s">
        <v>154</v>
      </c>
      <c r="E439" s="133" t="s">
        <v>155</v>
      </c>
      <c r="F439" s="121" t="s">
        <v>2082</v>
      </c>
      <c r="G439" s="121" t="s">
        <v>1207</v>
      </c>
      <c r="H439" s="121"/>
    </row>
    <row r="440" hidden="1">
      <c r="A440" s="121" t="s">
        <v>151</v>
      </c>
      <c r="B440" s="121" t="s">
        <v>1612</v>
      </c>
      <c r="C440" s="121" t="s">
        <v>1620</v>
      </c>
      <c r="D440" s="121" t="s">
        <v>156</v>
      </c>
      <c r="E440" s="133" t="s">
        <v>148</v>
      </c>
      <c r="F440" s="121" t="s">
        <v>2075</v>
      </c>
      <c r="G440" s="121" t="s">
        <v>2424</v>
      </c>
      <c r="H440" s="121"/>
    </row>
    <row r="441" hidden="1">
      <c r="A441" s="121" t="s">
        <v>151</v>
      </c>
      <c r="B441" s="121" t="s">
        <v>1612</v>
      </c>
      <c r="C441" s="121" t="s">
        <v>1621</v>
      </c>
      <c r="D441" s="121" t="s">
        <v>157</v>
      </c>
      <c r="E441" s="133" t="s">
        <v>72</v>
      </c>
      <c r="F441" s="121" t="s">
        <v>2425</v>
      </c>
      <c r="G441" s="121" t="s">
        <v>828</v>
      </c>
      <c r="H441" s="121"/>
    </row>
    <row r="442" hidden="1">
      <c r="A442" s="121" t="s">
        <v>151</v>
      </c>
      <c r="B442" s="121" t="s">
        <v>1612</v>
      </c>
      <c r="C442" s="121" t="s">
        <v>1622</v>
      </c>
      <c r="D442" s="121" t="s">
        <v>152</v>
      </c>
      <c r="E442" s="133" t="s">
        <v>153</v>
      </c>
      <c r="F442" s="121" t="s">
        <v>2421</v>
      </c>
      <c r="G442" s="121" t="s">
        <v>819</v>
      </c>
      <c r="H442" s="121"/>
    </row>
    <row r="443" hidden="1">
      <c r="A443" s="121" t="s">
        <v>151</v>
      </c>
      <c r="B443" s="121" t="s">
        <v>1612</v>
      </c>
      <c r="C443" s="121" t="s">
        <v>1623</v>
      </c>
      <c r="D443" s="121" t="s">
        <v>2717</v>
      </c>
      <c r="E443" s="133" t="s">
        <v>2718</v>
      </c>
      <c r="F443" s="121" t="s">
        <v>2190</v>
      </c>
      <c r="G443" s="121" t="s">
        <v>284</v>
      </c>
      <c r="H443" s="121"/>
    </row>
    <row r="444" hidden="1">
      <c r="A444" s="121" t="s">
        <v>151</v>
      </c>
      <c r="B444" s="121" t="s">
        <v>1612</v>
      </c>
      <c r="C444" s="121" t="s">
        <v>1623</v>
      </c>
      <c r="D444" s="121" t="s">
        <v>2719</v>
      </c>
      <c r="E444" s="133" t="s">
        <v>2720</v>
      </c>
      <c r="F444" s="121" t="s">
        <v>2194</v>
      </c>
      <c r="G444" s="121" t="s">
        <v>831</v>
      </c>
      <c r="H444" s="121"/>
    </row>
    <row r="445" hidden="1">
      <c r="A445" s="121" t="s">
        <v>151</v>
      </c>
      <c r="B445" s="121" t="s">
        <v>1612</v>
      </c>
      <c r="C445" s="121" t="s">
        <v>1573</v>
      </c>
      <c r="D445" s="121" t="s">
        <v>1869</v>
      </c>
      <c r="E445" s="133" t="s">
        <v>1630</v>
      </c>
      <c r="F445" s="121"/>
      <c r="G445" s="121"/>
      <c r="H445" s="121"/>
    </row>
    <row r="446" hidden="1">
      <c r="A446" s="121" t="s">
        <v>151</v>
      </c>
      <c r="B446" s="121" t="s">
        <v>1631</v>
      </c>
      <c r="C446" s="121" t="s">
        <v>1573</v>
      </c>
      <c r="D446" s="121" t="s">
        <v>2721</v>
      </c>
      <c r="E446" s="133" t="s">
        <v>1634</v>
      </c>
      <c r="F446" s="121"/>
      <c r="G446" s="121"/>
      <c r="H446" s="121"/>
    </row>
    <row r="447" hidden="1">
      <c r="A447" s="121" t="s">
        <v>27</v>
      </c>
      <c r="B447" s="121" t="s">
        <v>1572</v>
      </c>
      <c r="C447" s="121" t="s">
        <v>1573</v>
      </c>
      <c r="D447" s="121" t="s">
        <v>1574</v>
      </c>
      <c r="E447" s="133" t="s">
        <v>1575</v>
      </c>
      <c r="F447" s="121" t="s">
        <v>2432</v>
      </c>
      <c r="G447" s="121" t="s">
        <v>1319</v>
      </c>
      <c r="H447" s="121"/>
    </row>
    <row r="448" hidden="1">
      <c r="A448" s="121" t="s">
        <v>27</v>
      </c>
      <c r="B448" s="121" t="s">
        <v>1572</v>
      </c>
      <c r="C448" s="121" t="s">
        <v>1573</v>
      </c>
      <c r="D448" s="121" t="s">
        <v>1574</v>
      </c>
      <c r="E448" s="133" t="s">
        <v>1575</v>
      </c>
      <c r="F448" s="121" t="s">
        <v>2433</v>
      </c>
      <c r="G448" s="121" t="s">
        <v>1325</v>
      </c>
      <c r="H448" s="121"/>
    </row>
    <row r="449" hidden="1">
      <c r="A449" s="121" t="s">
        <v>27</v>
      </c>
      <c r="B449" s="121" t="s">
        <v>1572</v>
      </c>
      <c r="C449" s="121" t="s">
        <v>1573</v>
      </c>
      <c r="D449" s="121" t="s">
        <v>1577</v>
      </c>
      <c r="E449" s="133" t="s">
        <v>1578</v>
      </c>
      <c r="F449" s="121" t="s">
        <v>2336</v>
      </c>
      <c r="G449" s="121" t="s">
        <v>1507</v>
      </c>
      <c r="H449" s="121"/>
    </row>
    <row r="450" hidden="1">
      <c r="A450" s="121" t="s">
        <v>27</v>
      </c>
      <c r="B450" s="121" t="s">
        <v>1572</v>
      </c>
      <c r="C450" s="121" t="s">
        <v>1573</v>
      </c>
      <c r="D450" s="121" t="s">
        <v>1577</v>
      </c>
      <c r="E450" s="133" t="s">
        <v>1578</v>
      </c>
      <c r="F450" s="121" t="s">
        <v>2150</v>
      </c>
      <c r="G450" s="121" t="s">
        <v>2151</v>
      </c>
      <c r="H450" s="121"/>
    </row>
    <row r="451" hidden="1">
      <c r="A451" s="121" t="s">
        <v>27</v>
      </c>
      <c r="B451" s="121" t="s">
        <v>1572</v>
      </c>
      <c r="C451" s="121" t="s">
        <v>1573</v>
      </c>
      <c r="D451" s="121" t="s">
        <v>1577</v>
      </c>
      <c r="E451" s="133" t="s">
        <v>1578</v>
      </c>
      <c r="F451" s="121" t="s">
        <v>2434</v>
      </c>
      <c r="G451" s="121" t="s">
        <v>1480</v>
      </c>
      <c r="H451" s="121"/>
    </row>
    <row r="452" hidden="1">
      <c r="A452" s="121" t="s">
        <v>27</v>
      </c>
      <c r="B452" s="121" t="s">
        <v>1572</v>
      </c>
      <c r="C452" s="121" t="s">
        <v>1573</v>
      </c>
      <c r="D452" s="121" t="s">
        <v>1580</v>
      </c>
      <c r="E452" s="133" t="s">
        <v>1581</v>
      </c>
      <c r="F452" s="121" t="s">
        <v>2340</v>
      </c>
      <c r="G452" s="121" t="s">
        <v>661</v>
      </c>
      <c r="H452" s="121"/>
    </row>
    <row r="453" hidden="1">
      <c r="A453" s="121" t="s">
        <v>27</v>
      </c>
      <c r="B453" s="121" t="s">
        <v>1572</v>
      </c>
      <c r="C453" s="121" t="s">
        <v>1573</v>
      </c>
      <c r="D453" s="121" t="s">
        <v>1580</v>
      </c>
      <c r="E453" s="133" t="s">
        <v>1581</v>
      </c>
      <c r="F453" s="121" t="s">
        <v>2222</v>
      </c>
      <c r="G453" s="121" t="s">
        <v>634</v>
      </c>
      <c r="H453" s="121"/>
    </row>
    <row r="454" hidden="1">
      <c r="A454" s="121" t="s">
        <v>27</v>
      </c>
      <c r="B454" s="121" t="s">
        <v>1572</v>
      </c>
      <c r="C454" s="121" t="s">
        <v>1573</v>
      </c>
      <c r="D454" s="121" t="s">
        <v>1582</v>
      </c>
      <c r="E454" s="133" t="s">
        <v>1583</v>
      </c>
      <c r="F454" s="121" t="s">
        <v>2691</v>
      </c>
      <c r="G454" s="121" t="s">
        <v>2692</v>
      </c>
      <c r="H454" s="121"/>
    </row>
    <row r="455" hidden="1">
      <c r="A455" s="121" t="s">
        <v>27</v>
      </c>
      <c r="B455" s="121" t="s">
        <v>1572</v>
      </c>
      <c r="C455" s="121" t="s">
        <v>1573</v>
      </c>
      <c r="D455" s="121" t="s">
        <v>1582</v>
      </c>
      <c r="E455" s="133" t="s">
        <v>1583</v>
      </c>
      <c r="F455" s="121" t="s">
        <v>2436</v>
      </c>
      <c r="G455" s="121" t="s">
        <v>2437</v>
      </c>
      <c r="H455" s="121"/>
    </row>
    <row r="456" hidden="1">
      <c r="A456" s="121" t="s">
        <v>27</v>
      </c>
      <c r="B456" s="121" t="s">
        <v>1572</v>
      </c>
      <c r="C456" s="121" t="s">
        <v>1573</v>
      </c>
      <c r="D456" s="121" t="s">
        <v>1584</v>
      </c>
      <c r="E456" s="133" t="s">
        <v>1585</v>
      </c>
      <c r="F456" s="121" t="s">
        <v>2438</v>
      </c>
      <c r="G456" s="121" t="s">
        <v>876</v>
      </c>
      <c r="H456" s="121"/>
    </row>
    <row r="457" hidden="1">
      <c r="A457" s="121" t="s">
        <v>27</v>
      </c>
      <c r="B457" s="121" t="s">
        <v>1572</v>
      </c>
      <c r="C457" s="121" t="s">
        <v>1573</v>
      </c>
      <c r="D457" s="121" t="s">
        <v>1584</v>
      </c>
      <c r="E457" s="133" t="s">
        <v>1585</v>
      </c>
      <c r="F457" s="121" t="s">
        <v>2439</v>
      </c>
      <c r="G457" s="121" t="s">
        <v>870</v>
      </c>
      <c r="H457" s="121"/>
    </row>
    <row r="458" hidden="1">
      <c r="A458" s="121" t="s">
        <v>27</v>
      </c>
      <c r="B458" s="121" t="s">
        <v>1572</v>
      </c>
      <c r="C458" s="121" t="s">
        <v>1573</v>
      </c>
      <c r="D458" s="121" t="s">
        <v>1584</v>
      </c>
      <c r="E458" s="133" t="s">
        <v>1585</v>
      </c>
      <c r="F458" s="121" t="s">
        <v>2440</v>
      </c>
      <c r="G458" s="121" t="s">
        <v>968</v>
      </c>
      <c r="H458" s="121"/>
    </row>
    <row r="459" hidden="1">
      <c r="A459" s="121" t="s">
        <v>27</v>
      </c>
      <c r="B459" s="121" t="s">
        <v>1572</v>
      </c>
      <c r="C459" s="121" t="s">
        <v>1573</v>
      </c>
      <c r="D459" s="121" t="s">
        <v>1763</v>
      </c>
      <c r="E459" s="133" t="s">
        <v>1764</v>
      </c>
      <c r="F459" s="121" t="s">
        <v>2285</v>
      </c>
      <c r="G459" s="121" t="s">
        <v>1406</v>
      </c>
      <c r="H459" s="121"/>
    </row>
    <row r="460" hidden="1">
      <c r="A460" s="121" t="s">
        <v>27</v>
      </c>
      <c r="B460" s="121" t="s">
        <v>1572</v>
      </c>
      <c r="C460" s="121" t="s">
        <v>1573</v>
      </c>
      <c r="D460" s="121" t="s">
        <v>1763</v>
      </c>
      <c r="E460" s="133" t="s">
        <v>1764</v>
      </c>
      <c r="F460" s="121" t="s">
        <v>2441</v>
      </c>
      <c r="G460" s="121" t="s">
        <v>1394</v>
      </c>
      <c r="H460" s="121"/>
    </row>
    <row r="461" hidden="1">
      <c r="A461" s="121" t="s">
        <v>27</v>
      </c>
      <c r="B461" s="121" t="s">
        <v>1572</v>
      </c>
      <c r="C461" s="121" t="s">
        <v>1573</v>
      </c>
      <c r="D461" s="121" t="s">
        <v>1589</v>
      </c>
      <c r="E461" s="133" t="s">
        <v>1590</v>
      </c>
      <c r="F461" s="121" t="s">
        <v>2180</v>
      </c>
      <c r="G461" s="121" t="s">
        <v>1132</v>
      </c>
      <c r="H461" s="121"/>
    </row>
    <row r="462" hidden="1">
      <c r="A462" s="121" t="s">
        <v>27</v>
      </c>
      <c r="B462" s="121" t="s">
        <v>1572</v>
      </c>
      <c r="C462" s="121" t="s">
        <v>1573</v>
      </c>
      <c r="D462" s="121" t="s">
        <v>1589</v>
      </c>
      <c r="E462" s="133" t="s">
        <v>1590</v>
      </c>
      <c r="F462" s="121" t="s">
        <v>2177</v>
      </c>
      <c r="G462" s="121" t="s">
        <v>1114</v>
      </c>
      <c r="H462" s="121"/>
    </row>
    <row r="463" hidden="1">
      <c r="A463" s="121" t="s">
        <v>27</v>
      </c>
      <c r="B463" s="121" t="s">
        <v>1572</v>
      </c>
      <c r="C463" s="121" t="s">
        <v>1573</v>
      </c>
      <c r="D463" s="121" t="s">
        <v>1591</v>
      </c>
      <c r="E463" s="133" t="s">
        <v>1726</v>
      </c>
      <c r="F463" s="121"/>
      <c r="G463" s="121"/>
      <c r="H463" s="121"/>
    </row>
    <row r="464" hidden="1">
      <c r="A464" s="121" t="s">
        <v>27</v>
      </c>
      <c r="B464" s="121" t="s">
        <v>1572</v>
      </c>
      <c r="C464" s="121" t="s">
        <v>1593</v>
      </c>
      <c r="D464" s="121" t="s">
        <v>1594</v>
      </c>
      <c r="E464" s="133" t="s">
        <v>1640</v>
      </c>
      <c r="F464" s="121"/>
      <c r="G464" s="121"/>
      <c r="H464" s="121"/>
    </row>
    <row r="465" hidden="1">
      <c r="A465" s="121" t="s">
        <v>27</v>
      </c>
      <c r="B465" s="121" t="s">
        <v>1572</v>
      </c>
      <c r="C465" s="121" t="s">
        <v>1593</v>
      </c>
      <c r="D465" s="121" t="s">
        <v>1641</v>
      </c>
      <c r="E465" s="133" t="s">
        <v>1642</v>
      </c>
      <c r="F465" s="121"/>
      <c r="G465" s="121"/>
      <c r="H465" s="121"/>
    </row>
    <row r="466" hidden="1">
      <c r="A466" s="121" t="s">
        <v>27</v>
      </c>
      <c r="B466" s="121" t="s">
        <v>1572</v>
      </c>
      <c r="C466" s="121" t="s">
        <v>1593</v>
      </c>
      <c r="D466" s="121" t="s">
        <v>1643</v>
      </c>
      <c r="E466" s="133" t="s">
        <v>1644</v>
      </c>
      <c r="F466" s="121"/>
      <c r="G466" s="121"/>
      <c r="H466" s="121"/>
    </row>
    <row r="467">
      <c r="A467" s="121" t="s">
        <v>27</v>
      </c>
      <c r="B467" s="121" t="s">
        <v>1596</v>
      </c>
      <c r="C467" s="121" t="s">
        <v>1573</v>
      </c>
      <c r="D467" s="121" t="s">
        <v>1798</v>
      </c>
      <c r="E467" s="133" t="s">
        <v>1799</v>
      </c>
      <c r="F467" s="121" t="s">
        <v>2442</v>
      </c>
      <c r="G467" s="121" t="s">
        <v>1020</v>
      </c>
      <c r="H467" s="121"/>
    </row>
    <row r="468">
      <c r="A468" s="121" t="s">
        <v>27</v>
      </c>
      <c r="B468" s="121" t="s">
        <v>1596</v>
      </c>
      <c r="C468" s="121" t="s">
        <v>1573</v>
      </c>
      <c r="D468" s="121" t="s">
        <v>1800</v>
      </c>
      <c r="E468" s="133" t="s">
        <v>1801</v>
      </c>
      <c r="F468" s="121" t="s">
        <v>2224</v>
      </c>
      <c r="G468" s="121" t="s">
        <v>1029</v>
      </c>
      <c r="H468" s="121"/>
    </row>
    <row r="469">
      <c r="A469" s="121" t="s">
        <v>27</v>
      </c>
      <c r="B469" s="121" t="s">
        <v>1596</v>
      </c>
      <c r="C469" s="121" t="s">
        <v>1573</v>
      </c>
      <c r="D469" s="121" t="s">
        <v>1802</v>
      </c>
      <c r="E469" s="133" t="s">
        <v>1803</v>
      </c>
      <c r="F469" s="121" t="s">
        <v>2443</v>
      </c>
      <c r="G469" s="121" t="s">
        <v>1035</v>
      </c>
      <c r="H469" s="121"/>
    </row>
    <row r="470">
      <c r="A470" s="121" t="s">
        <v>27</v>
      </c>
      <c r="B470" s="121" t="s">
        <v>1596</v>
      </c>
      <c r="C470" s="121" t="s">
        <v>1573</v>
      </c>
      <c r="D470" s="121" t="s">
        <v>1804</v>
      </c>
      <c r="E470" s="133" t="s">
        <v>2722</v>
      </c>
      <c r="F470" s="121" t="s">
        <v>2444</v>
      </c>
      <c r="G470" s="121" t="s">
        <v>996</v>
      </c>
      <c r="H470" s="121"/>
    </row>
    <row r="471">
      <c r="A471" s="121" t="s">
        <v>27</v>
      </c>
      <c r="B471" s="121" t="s">
        <v>1596</v>
      </c>
      <c r="C471" s="121" t="s">
        <v>1573</v>
      </c>
      <c r="D471" s="121" t="s">
        <v>1806</v>
      </c>
      <c r="E471" s="133" t="s">
        <v>1807</v>
      </c>
      <c r="F471" s="121" t="s">
        <v>2445</v>
      </c>
      <c r="G471" s="121" t="s">
        <v>999</v>
      </c>
      <c r="H471" s="121"/>
    </row>
    <row r="472">
      <c r="A472" s="121" t="s">
        <v>27</v>
      </c>
      <c r="B472" s="121" t="s">
        <v>1596</v>
      </c>
      <c r="C472" s="121" t="s">
        <v>1607</v>
      </c>
      <c r="D472" s="121" t="s">
        <v>28</v>
      </c>
      <c r="E472" s="133" t="s">
        <v>29</v>
      </c>
      <c r="F472" s="121" t="s">
        <v>2446</v>
      </c>
      <c r="G472" s="121" t="s">
        <v>984</v>
      </c>
      <c r="H472" s="121"/>
    </row>
    <row r="473">
      <c r="A473" s="121" t="s">
        <v>27</v>
      </c>
      <c r="B473" s="121" t="s">
        <v>1596</v>
      </c>
      <c r="C473" s="121" t="s">
        <v>1573</v>
      </c>
      <c r="D473" s="121" t="s">
        <v>1608</v>
      </c>
      <c r="E473" s="133" t="s">
        <v>1609</v>
      </c>
      <c r="F473" s="121" t="s">
        <v>2221</v>
      </c>
      <c r="G473" s="121" t="s">
        <v>655</v>
      </c>
      <c r="H473" s="121"/>
    </row>
    <row r="474">
      <c r="A474" s="121" t="s">
        <v>27</v>
      </c>
      <c r="B474" s="121" t="s">
        <v>1596</v>
      </c>
      <c r="C474" s="121" t="s">
        <v>1588</v>
      </c>
      <c r="D474" s="121" t="s">
        <v>1610</v>
      </c>
      <c r="E474" s="133" t="s">
        <v>2723</v>
      </c>
      <c r="F474" s="121"/>
      <c r="G474" s="121"/>
      <c r="H474" s="121"/>
    </row>
    <row r="475" hidden="1">
      <c r="A475" s="121" t="s">
        <v>27</v>
      </c>
      <c r="B475" s="121" t="s">
        <v>1612</v>
      </c>
      <c r="C475" s="121" t="s">
        <v>1573</v>
      </c>
      <c r="D475" s="121" t="s">
        <v>1808</v>
      </c>
      <c r="E475" s="133" t="s">
        <v>1809</v>
      </c>
      <c r="F475" s="121" t="s">
        <v>2352</v>
      </c>
      <c r="G475" s="121" t="s">
        <v>1032</v>
      </c>
      <c r="H475" s="121"/>
    </row>
    <row r="476" hidden="1">
      <c r="A476" s="121" t="s">
        <v>27</v>
      </c>
      <c r="B476" s="121" t="s">
        <v>1612</v>
      </c>
      <c r="C476" s="121" t="s">
        <v>1573</v>
      </c>
      <c r="D476" s="121" t="s">
        <v>1810</v>
      </c>
      <c r="E476" s="133" t="s">
        <v>1811</v>
      </c>
      <c r="F476" s="121" t="s">
        <v>2168</v>
      </c>
      <c r="G476" s="121" t="s">
        <v>2169</v>
      </c>
      <c r="H476" s="121"/>
    </row>
    <row r="477" hidden="1">
      <c r="A477" s="121" t="s">
        <v>27</v>
      </c>
      <c r="B477" s="121" t="s">
        <v>1612</v>
      </c>
      <c r="C477" s="121" t="s">
        <v>1573</v>
      </c>
      <c r="D477" s="121" t="s">
        <v>1812</v>
      </c>
      <c r="E477" s="133" t="s">
        <v>1813</v>
      </c>
      <c r="F477" s="121" t="s">
        <v>2351</v>
      </c>
      <c r="G477" s="121" t="s">
        <v>1014</v>
      </c>
      <c r="H477" s="121"/>
    </row>
    <row r="478" hidden="1">
      <c r="A478" s="121" t="s">
        <v>27</v>
      </c>
      <c r="B478" s="121" t="s">
        <v>1612</v>
      </c>
      <c r="C478" s="121" t="s">
        <v>1619</v>
      </c>
      <c r="D478" s="121" t="s">
        <v>2724</v>
      </c>
      <c r="E478" s="133" t="s">
        <v>2725</v>
      </c>
      <c r="F478" s="121" t="s">
        <v>2350</v>
      </c>
      <c r="G478" s="121" t="s">
        <v>990</v>
      </c>
      <c r="H478" s="121"/>
    </row>
    <row r="479" hidden="1">
      <c r="A479" s="121" t="s">
        <v>27</v>
      </c>
      <c r="B479" s="121" t="s">
        <v>1612</v>
      </c>
      <c r="C479" s="121" t="s">
        <v>1620</v>
      </c>
      <c r="D479" s="121" t="s">
        <v>162</v>
      </c>
      <c r="E479" s="133" t="s">
        <v>163</v>
      </c>
      <c r="F479" s="121" t="s">
        <v>2447</v>
      </c>
      <c r="G479" s="121" t="s">
        <v>972</v>
      </c>
      <c r="H479" s="121"/>
    </row>
    <row r="480" hidden="1">
      <c r="A480" s="121" t="s">
        <v>27</v>
      </c>
      <c r="B480" s="121" t="s">
        <v>1612</v>
      </c>
      <c r="C480" s="121" t="s">
        <v>1621</v>
      </c>
      <c r="D480" s="121" t="s">
        <v>166</v>
      </c>
      <c r="E480" s="133" t="s">
        <v>167</v>
      </c>
      <c r="F480" s="121" t="s">
        <v>2348</v>
      </c>
      <c r="G480" s="121" t="s">
        <v>1002</v>
      </c>
      <c r="H480" s="121"/>
    </row>
    <row r="481" hidden="1">
      <c r="A481" s="121" t="s">
        <v>27</v>
      </c>
      <c r="B481" s="121" t="s">
        <v>1612</v>
      </c>
      <c r="C481" s="121" t="s">
        <v>1622</v>
      </c>
      <c r="D481" s="121" t="s">
        <v>158</v>
      </c>
      <c r="E481" s="133" t="s">
        <v>159</v>
      </c>
      <c r="F481" s="121" t="s">
        <v>2448</v>
      </c>
      <c r="G481" s="121" t="s">
        <v>1026</v>
      </c>
      <c r="H481" s="121"/>
    </row>
    <row r="482" hidden="1">
      <c r="A482" s="121" t="s">
        <v>27</v>
      </c>
      <c r="B482" s="121" t="s">
        <v>1612</v>
      </c>
      <c r="C482" s="121" t="s">
        <v>86</v>
      </c>
      <c r="D482" s="121" t="s">
        <v>160</v>
      </c>
      <c r="E482" s="133" t="s">
        <v>161</v>
      </c>
      <c r="F482" s="121" t="s">
        <v>2353</v>
      </c>
      <c r="G482" s="121" t="s">
        <v>993</v>
      </c>
      <c r="H482" s="121"/>
    </row>
    <row r="483" hidden="1">
      <c r="A483" s="121" t="s">
        <v>27</v>
      </c>
      <c r="B483" s="121" t="s">
        <v>1612</v>
      </c>
      <c r="C483" s="121" t="s">
        <v>86</v>
      </c>
      <c r="D483" s="121" t="s">
        <v>160</v>
      </c>
      <c r="E483" s="133" t="s">
        <v>161</v>
      </c>
      <c r="F483" s="121" t="s">
        <v>2450</v>
      </c>
      <c r="G483" s="121" t="s">
        <v>2451</v>
      </c>
      <c r="H483" s="121"/>
    </row>
    <row r="484" hidden="1">
      <c r="A484" s="121" t="s">
        <v>27</v>
      </c>
      <c r="B484" s="121" t="s">
        <v>1612</v>
      </c>
      <c r="C484" s="121" t="s">
        <v>1623</v>
      </c>
      <c r="D484" s="121" t="s">
        <v>1814</v>
      </c>
      <c r="E484" s="133" t="s">
        <v>1815</v>
      </c>
      <c r="F484" s="121" t="s">
        <v>2452</v>
      </c>
      <c r="G484" s="121" t="s">
        <v>1038</v>
      </c>
      <c r="H484" s="121"/>
    </row>
    <row r="485" hidden="1">
      <c r="A485" s="121" t="s">
        <v>27</v>
      </c>
      <c r="B485" s="121" t="s">
        <v>1612</v>
      </c>
      <c r="C485" s="121" t="s">
        <v>1623</v>
      </c>
      <c r="D485" s="121" t="s">
        <v>1816</v>
      </c>
      <c r="E485" s="133" t="s">
        <v>1817</v>
      </c>
      <c r="F485" s="121" t="s">
        <v>2349</v>
      </c>
      <c r="G485" s="121" t="s">
        <v>975</v>
      </c>
      <c r="H485" s="121"/>
    </row>
    <row r="486" hidden="1">
      <c r="A486" s="121" t="s">
        <v>27</v>
      </c>
      <c r="B486" s="121" t="s">
        <v>1612</v>
      </c>
      <c r="C486" s="121" t="s">
        <v>1628</v>
      </c>
      <c r="D486" s="121" t="s">
        <v>1818</v>
      </c>
      <c r="E486" s="133" t="s">
        <v>1630</v>
      </c>
      <c r="F486" s="121"/>
      <c r="G486" s="121"/>
      <c r="H486" s="121"/>
    </row>
    <row r="487" hidden="1">
      <c r="A487" s="121" t="s">
        <v>27</v>
      </c>
      <c r="B487" s="121" t="s">
        <v>1631</v>
      </c>
      <c r="C487" s="121" t="s">
        <v>1573</v>
      </c>
      <c r="D487" s="121" t="s">
        <v>2726</v>
      </c>
      <c r="E487" s="133" t="s">
        <v>1634</v>
      </c>
      <c r="F487" s="121"/>
      <c r="G487" s="121"/>
      <c r="H487" s="121"/>
    </row>
    <row r="488" hidden="1">
      <c r="A488" s="121" t="s">
        <v>32</v>
      </c>
      <c r="B488" s="121" t="s">
        <v>1572</v>
      </c>
      <c r="C488" s="121" t="s">
        <v>1573</v>
      </c>
      <c r="D488" s="121" t="s">
        <v>1574</v>
      </c>
      <c r="E488" s="133" t="s">
        <v>1575</v>
      </c>
      <c r="F488" s="121" t="s">
        <v>2145</v>
      </c>
      <c r="G488" s="121" t="s">
        <v>1310</v>
      </c>
      <c r="H488" s="121"/>
    </row>
    <row r="489" hidden="1">
      <c r="A489" s="121" t="s">
        <v>32</v>
      </c>
      <c r="B489" s="121" t="s">
        <v>1572</v>
      </c>
      <c r="C489" s="121" t="s">
        <v>1573</v>
      </c>
      <c r="D489" s="121" t="s">
        <v>1574</v>
      </c>
      <c r="E489" s="133" t="s">
        <v>1575</v>
      </c>
      <c r="F489" s="121" t="s">
        <v>2333</v>
      </c>
      <c r="G489" s="121" t="s">
        <v>1316</v>
      </c>
      <c r="H489" s="121"/>
    </row>
    <row r="490" hidden="1">
      <c r="A490" s="121" t="s">
        <v>32</v>
      </c>
      <c r="B490" s="121" t="s">
        <v>1572</v>
      </c>
      <c r="C490" s="121" t="s">
        <v>1573</v>
      </c>
      <c r="D490" s="121" t="s">
        <v>1574</v>
      </c>
      <c r="E490" s="133" t="s">
        <v>1575</v>
      </c>
      <c r="F490" s="121" t="s">
        <v>2617</v>
      </c>
      <c r="G490" s="121" t="s">
        <v>2618</v>
      </c>
      <c r="H490" s="121"/>
    </row>
    <row r="491" hidden="1">
      <c r="A491" s="121" t="s">
        <v>32</v>
      </c>
      <c r="B491" s="121" t="s">
        <v>1572</v>
      </c>
      <c r="C491" s="121" t="s">
        <v>1573</v>
      </c>
      <c r="D491" s="121" t="s">
        <v>1574</v>
      </c>
      <c r="E491" s="133" t="s">
        <v>1575</v>
      </c>
      <c r="F491" s="133" t="s">
        <v>2144</v>
      </c>
      <c r="G491" s="121" t="s">
        <v>1283</v>
      </c>
      <c r="H491" s="121"/>
    </row>
    <row r="492" hidden="1">
      <c r="A492" s="121" t="s">
        <v>32</v>
      </c>
      <c r="B492" s="121" t="s">
        <v>1572</v>
      </c>
      <c r="C492" s="121" t="s">
        <v>1573</v>
      </c>
      <c r="D492" s="121" t="s">
        <v>1577</v>
      </c>
      <c r="E492" s="133" t="s">
        <v>1578</v>
      </c>
      <c r="F492" s="133" t="s">
        <v>2219</v>
      </c>
      <c r="G492" s="121" t="s">
        <v>1504</v>
      </c>
      <c r="H492" s="121"/>
    </row>
    <row r="493" hidden="1">
      <c r="A493" s="121" t="s">
        <v>32</v>
      </c>
      <c r="B493" s="121" t="s">
        <v>1572</v>
      </c>
      <c r="C493" s="121" t="s">
        <v>1573</v>
      </c>
      <c r="D493" s="121" t="s">
        <v>1577</v>
      </c>
      <c r="E493" s="133" t="s">
        <v>1578</v>
      </c>
      <c r="F493" s="133" t="s">
        <v>2152</v>
      </c>
      <c r="G493" s="121" t="s">
        <v>1474</v>
      </c>
      <c r="H493" s="121"/>
    </row>
    <row r="494" hidden="1">
      <c r="A494" s="121" t="s">
        <v>32</v>
      </c>
      <c r="B494" s="121" t="s">
        <v>1572</v>
      </c>
      <c r="C494" s="121" t="s">
        <v>1573</v>
      </c>
      <c r="D494" s="121" t="s">
        <v>1577</v>
      </c>
      <c r="E494" s="133" t="s">
        <v>1578</v>
      </c>
      <c r="F494" s="121" t="s">
        <v>2453</v>
      </c>
      <c r="G494" s="121" t="s">
        <v>1483</v>
      </c>
      <c r="H494" s="121"/>
    </row>
    <row r="495" hidden="1">
      <c r="A495" s="121" t="s">
        <v>32</v>
      </c>
      <c r="B495" s="121" t="s">
        <v>1572</v>
      </c>
      <c r="C495" s="121" t="s">
        <v>1573</v>
      </c>
      <c r="D495" s="121" t="s">
        <v>1577</v>
      </c>
      <c r="E495" s="133" t="s">
        <v>1578</v>
      </c>
      <c r="F495" s="121" t="s">
        <v>2220</v>
      </c>
      <c r="G495" s="121" t="s">
        <v>1492</v>
      </c>
      <c r="H495" s="121"/>
    </row>
    <row r="496" hidden="1">
      <c r="A496" s="121" t="s">
        <v>32</v>
      </c>
      <c r="B496" s="121" t="s">
        <v>1572</v>
      </c>
      <c r="C496" s="121" t="s">
        <v>1573</v>
      </c>
      <c r="D496" s="121" t="s">
        <v>1580</v>
      </c>
      <c r="E496" s="133" t="s">
        <v>1581</v>
      </c>
      <c r="F496" s="121" t="s">
        <v>2221</v>
      </c>
      <c r="G496" s="121" t="s">
        <v>655</v>
      </c>
      <c r="H496" s="121"/>
    </row>
    <row r="497" hidden="1">
      <c r="A497" s="121" t="s">
        <v>32</v>
      </c>
      <c r="B497" s="121" t="s">
        <v>1572</v>
      </c>
      <c r="C497" s="121" t="s">
        <v>1573</v>
      </c>
      <c r="D497" s="121" t="s">
        <v>1580</v>
      </c>
      <c r="E497" s="133" t="s">
        <v>1581</v>
      </c>
      <c r="F497" s="121" t="s">
        <v>2295</v>
      </c>
      <c r="G497" s="121" t="s">
        <v>664</v>
      </c>
      <c r="H497" s="121"/>
    </row>
    <row r="498" hidden="1">
      <c r="A498" s="121" t="s">
        <v>32</v>
      </c>
      <c r="B498" s="121" t="s">
        <v>1572</v>
      </c>
      <c r="C498" s="121" t="s">
        <v>1573</v>
      </c>
      <c r="D498" s="121" t="s">
        <v>1580</v>
      </c>
      <c r="E498" s="133" t="s">
        <v>1581</v>
      </c>
      <c r="F498" s="121" t="s">
        <v>2201</v>
      </c>
      <c r="G498" s="121" t="s">
        <v>643</v>
      </c>
      <c r="H498" s="121"/>
    </row>
    <row r="499" hidden="1">
      <c r="A499" s="121" t="s">
        <v>32</v>
      </c>
      <c r="B499" s="121" t="s">
        <v>1572</v>
      </c>
      <c r="C499" s="121" t="s">
        <v>1573</v>
      </c>
      <c r="D499" s="121" t="s">
        <v>1580</v>
      </c>
      <c r="E499" s="133" t="s">
        <v>1581</v>
      </c>
      <c r="F499" s="121" t="s">
        <v>2341</v>
      </c>
      <c r="G499" s="121" t="s">
        <v>631</v>
      </c>
      <c r="H499" s="121"/>
    </row>
    <row r="500" hidden="1">
      <c r="A500" s="121" t="s">
        <v>32</v>
      </c>
      <c r="B500" s="121" t="s">
        <v>1572</v>
      </c>
      <c r="C500" s="121" t="s">
        <v>1573</v>
      </c>
      <c r="D500" s="121" t="s">
        <v>1582</v>
      </c>
      <c r="E500" s="133" t="s">
        <v>1583</v>
      </c>
      <c r="F500" s="121" t="s">
        <v>2377</v>
      </c>
      <c r="G500" s="121" t="s">
        <v>689</v>
      </c>
      <c r="H500" s="121"/>
    </row>
    <row r="501" hidden="1">
      <c r="A501" s="121" t="s">
        <v>32</v>
      </c>
      <c r="B501" s="121" t="s">
        <v>1572</v>
      </c>
      <c r="C501" s="121" t="s">
        <v>1573</v>
      </c>
      <c r="D501" s="121" t="s">
        <v>1582</v>
      </c>
      <c r="E501" s="133" t="s">
        <v>1583</v>
      </c>
      <c r="F501" s="121" t="s">
        <v>2271</v>
      </c>
      <c r="G501" s="121" t="s">
        <v>761</v>
      </c>
      <c r="H501" s="121"/>
    </row>
    <row r="502" hidden="1">
      <c r="A502" s="121" t="s">
        <v>32</v>
      </c>
      <c r="B502" s="121" t="s">
        <v>1572</v>
      </c>
      <c r="C502" s="121" t="s">
        <v>1573</v>
      </c>
      <c r="D502" s="121" t="s">
        <v>1582</v>
      </c>
      <c r="E502" s="133" t="s">
        <v>1583</v>
      </c>
      <c r="F502" s="121" t="s">
        <v>2378</v>
      </c>
      <c r="G502" s="121" t="s">
        <v>755</v>
      </c>
      <c r="H502" s="121"/>
    </row>
    <row r="503" hidden="1">
      <c r="A503" s="121" t="s">
        <v>32</v>
      </c>
      <c r="B503" s="121" t="s">
        <v>1572</v>
      </c>
      <c r="C503" s="121" t="s">
        <v>1573</v>
      </c>
      <c r="D503" s="121" t="s">
        <v>1582</v>
      </c>
      <c r="E503" s="133" t="s">
        <v>1583</v>
      </c>
      <c r="F503" s="121" t="s">
        <v>2164</v>
      </c>
      <c r="G503" s="121" t="s">
        <v>434</v>
      </c>
      <c r="H503" s="121"/>
    </row>
    <row r="504" hidden="1">
      <c r="A504" s="121" t="s">
        <v>32</v>
      </c>
      <c r="B504" s="121" t="s">
        <v>1572</v>
      </c>
      <c r="C504" s="121" t="s">
        <v>1573</v>
      </c>
      <c r="D504" s="121" t="s">
        <v>1584</v>
      </c>
      <c r="E504" s="133" t="s">
        <v>1585</v>
      </c>
      <c r="F504" s="121" t="s">
        <v>2455</v>
      </c>
      <c r="G504" s="121" t="s">
        <v>914</v>
      </c>
      <c r="H504" s="121"/>
    </row>
    <row r="505" hidden="1">
      <c r="A505" s="121" t="s">
        <v>32</v>
      </c>
      <c r="B505" s="121" t="s">
        <v>1572</v>
      </c>
      <c r="C505" s="121" t="s">
        <v>1573</v>
      </c>
      <c r="D505" s="121" t="s">
        <v>1584</v>
      </c>
      <c r="E505" s="133" t="s">
        <v>1585</v>
      </c>
      <c r="F505" s="121" t="s">
        <v>2439</v>
      </c>
      <c r="G505" s="121" t="s">
        <v>870</v>
      </c>
      <c r="H505" s="121"/>
    </row>
    <row r="506" hidden="1">
      <c r="A506" s="121" t="s">
        <v>32</v>
      </c>
      <c r="B506" s="121" t="s">
        <v>1572</v>
      </c>
      <c r="C506" s="121" t="s">
        <v>1573</v>
      </c>
      <c r="D506" s="121" t="s">
        <v>1584</v>
      </c>
      <c r="E506" s="133" t="s">
        <v>1585</v>
      </c>
      <c r="F506" s="121" t="s">
        <v>2173</v>
      </c>
      <c r="G506" s="121" t="s">
        <v>864</v>
      </c>
      <c r="H506" s="121"/>
    </row>
    <row r="507" hidden="1">
      <c r="A507" s="121" t="s">
        <v>32</v>
      </c>
      <c r="B507" s="121" t="s">
        <v>1572</v>
      </c>
      <c r="C507" s="121" t="s">
        <v>1573</v>
      </c>
      <c r="D507" s="121" t="s">
        <v>1584</v>
      </c>
      <c r="E507" s="133" t="s">
        <v>1585</v>
      </c>
      <c r="F507" s="121" t="s">
        <v>2456</v>
      </c>
      <c r="G507" s="121" t="s">
        <v>899</v>
      </c>
      <c r="H507" s="121"/>
    </row>
    <row r="508" hidden="1">
      <c r="A508" s="121" t="s">
        <v>32</v>
      </c>
      <c r="B508" s="121" t="s">
        <v>1572</v>
      </c>
      <c r="C508" s="121" t="s">
        <v>1573</v>
      </c>
      <c r="D508" s="121" t="s">
        <v>1584</v>
      </c>
      <c r="E508" s="133" t="s">
        <v>1585</v>
      </c>
      <c r="F508" s="121" t="s">
        <v>2457</v>
      </c>
      <c r="G508" s="121" t="s">
        <v>908</v>
      </c>
      <c r="H508" s="121"/>
    </row>
    <row r="509" hidden="1">
      <c r="A509" s="121" t="s">
        <v>32</v>
      </c>
      <c r="B509" s="121" t="s">
        <v>1572</v>
      </c>
      <c r="C509" s="121" t="s">
        <v>1573</v>
      </c>
      <c r="D509" s="121" t="s">
        <v>1763</v>
      </c>
      <c r="E509" s="133" t="s">
        <v>1764</v>
      </c>
      <c r="F509" s="121" t="s">
        <v>2458</v>
      </c>
      <c r="G509" s="121" t="s">
        <v>1391</v>
      </c>
      <c r="H509" s="121"/>
    </row>
    <row r="510" hidden="1">
      <c r="A510" s="121" t="s">
        <v>32</v>
      </c>
      <c r="B510" s="121" t="s">
        <v>1572</v>
      </c>
      <c r="C510" s="121" t="s">
        <v>1573</v>
      </c>
      <c r="D510" s="121" t="s">
        <v>1763</v>
      </c>
      <c r="E510" s="133" t="s">
        <v>1764</v>
      </c>
      <c r="F510" s="121" t="s">
        <v>2459</v>
      </c>
      <c r="G510" s="121" t="s">
        <v>1443</v>
      </c>
      <c r="H510" s="121"/>
    </row>
    <row r="511" hidden="1">
      <c r="A511" s="121" t="s">
        <v>32</v>
      </c>
      <c r="B511" s="121" t="s">
        <v>1572</v>
      </c>
      <c r="C511" s="121" t="s">
        <v>1573</v>
      </c>
      <c r="D511" s="121" t="s">
        <v>1763</v>
      </c>
      <c r="E511" s="133" t="s">
        <v>1764</v>
      </c>
      <c r="F511" s="121" t="s">
        <v>2278</v>
      </c>
      <c r="G511" s="121" t="s">
        <v>2279</v>
      </c>
      <c r="H511" s="121"/>
    </row>
    <row r="512" hidden="1">
      <c r="A512" s="121" t="s">
        <v>32</v>
      </c>
      <c r="B512" s="121" t="s">
        <v>1572</v>
      </c>
      <c r="C512" s="121" t="s">
        <v>1573</v>
      </c>
      <c r="D512" s="121" t="s">
        <v>1763</v>
      </c>
      <c r="E512" s="133" t="s">
        <v>1764</v>
      </c>
      <c r="F512" s="121" t="s">
        <v>2461</v>
      </c>
      <c r="G512" s="121" t="s">
        <v>2462</v>
      </c>
      <c r="H512" s="121"/>
    </row>
    <row r="513" hidden="1">
      <c r="A513" s="121" t="s">
        <v>32</v>
      </c>
      <c r="B513" s="121" t="s">
        <v>1572</v>
      </c>
      <c r="C513" s="121" t="s">
        <v>1573</v>
      </c>
      <c r="D513" s="121" t="s">
        <v>1589</v>
      </c>
      <c r="E513" s="133" t="s">
        <v>1590</v>
      </c>
      <c r="F513" s="121" t="s">
        <v>2177</v>
      </c>
      <c r="G513" s="121" t="s">
        <v>1114</v>
      </c>
      <c r="H513" s="121"/>
    </row>
    <row r="514" hidden="1">
      <c r="A514" s="121" t="s">
        <v>32</v>
      </c>
      <c r="B514" s="121" t="s">
        <v>1572</v>
      </c>
      <c r="C514" s="121" t="s">
        <v>1573</v>
      </c>
      <c r="D514" s="121" t="s">
        <v>1589</v>
      </c>
      <c r="E514" s="133" t="s">
        <v>1590</v>
      </c>
      <c r="F514" s="121" t="s">
        <v>2178</v>
      </c>
      <c r="G514" s="121" t="s">
        <v>1117</v>
      </c>
      <c r="H514" s="121"/>
    </row>
    <row r="515" hidden="1">
      <c r="A515" s="121" t="s">
        <v>32</v>
      </c>
      <c r="B515" s="121" t="s">
        <v>1572</v>
      </c>
      <c r="C515" s="121" t="s">
        <v>1573</v>
      </c>
      <c r="D515" s="121" t="s">
        <v>1589</v>
      </c>
      <c r="E515" s="133" t="s">
        <v>1590</v>
      </c>
      <c r="F515" s="121" t="s">
        <v>2180</v>
      </c>
      <c r="G515" s="121" t="s">
        <v>1132</v>
      </c>
      <c r="H515" s="121"/>
    </row>
    <row r="516" hidden="1">
      <c r="A516" s="121" t="s">
        <v>32</v>
      </c>
      <c r="B516" s="121" t="s">
        <v>1572</v>
      </c>
      <c r="C516" s="121" t="s">
        <v>1573</v>
      </c>
      <c r="D516" s="121" t="s">
        <v>1591</v>
      </c>
      <c r="E516" s="133" t="s">
        <v>1726</v>
      </c>
      <c r="F516" s="121"/>
      <c r="G516" s="121"/>
      <c r="H516" s="121"/>
    </row>
    <row r="517" hidden="1">
      <c r="A517" s="121" t="s">
        <v>32</v>
      </c>
      <c r="B517" s="121" t="s">
        <v>1572</v>
      </c>
      <c r="C517" s="121" t="s">
        <v>1593</v>
      </c>
      <c r="D517" s="121" t="s">
        <v>1594</v>
      </c>
      <c r="E517" s="133" t="s">
        <v>1640</v>
      </c>
      <c r="F517" s="121"/>
      <c r="G517" s="121"/>
      <c r="H517" s="121"/>
    </row>
    <row r="518" hidden="1">
      <c r="A518" s="121" t="s">
        <v>32</v>
      </c>
      <c r="B518" s="121" t="s">
        <v>1572</v>
      </c>
      <c r="C518" s="121" t="s">
        <v>1593</v>
      </c>
      <c r="D518" s="121" t="s">
        <v>1641</v>
      </c>
      <c r="E518" s="133" t="s">
        <v>1642</v>
      </c>
      <c r="F518" s="121"/>
      <c r="G518" s="121"/>
      <c r="H518" s="121"/>
    </row>
    <row r="519" hidden="1">
      <c r="A519" s="121" t="s">
        <v>32</v>
      </c>
      <c r="B519" s="121" t="s">
        <v>1572</v>
      </c>
      <c r="C519" s="121" t="s">
        <v>1593</v>
      </c>
      <c r="D519" s="121" t="s">
        <v>1643</v>
      </c>
      <c r="E519" s="133" t="s">
        <v>1644</v>
      </c>
      <c r="F519" s="121"/>
      <c r="G519" s="121"/>
      <c r="H519" s="121"/>
    </row>
    <row r="520">
      <c r="A520" s="121" t="s">
        <v>32</v>
      </c>
      <c r="B520" s="121" t="s">
        <v>1596</v>
      </c>
      <c r="C520" s="121" t="s">
        <v>1573</v>
      </c>
      <c r="D520" s="121" t="s">
        <v>1842</v>
      </c>
      <c r="E520" s="133" t="s">
        <v>1843</v>
      </c>
      <c r="F520" s="121" t="s">
        <v>2463</v>
      </c>
      <c r="G520" s="121" t="s">
        <v>905</v>
      </c>
      <c r="H520" s="121"/>
    </row>
    <row r="521">
      <c r="A521" s="121" t="s">
        <v>32</v>
      </c>
      <c r="B521" s="121" t="s">
        <v>1596</v>
      </c>
      <c r="C521" s="121" t="s">
        <v>1573</v>
      </c>
      <c r="D521" s="121" t="s">
        <v>1842</v>
      </c>
      <c r="E521" s="133" t="s">
        <v>1843</v>
      </c>
      <c r="F521" s="121" t="s">
        <v>2267</v>
      </c>
      <c r="G521" s="121" t="s">
        <v>926</v>
      </c>
      <c r="H521" s="121"/>
    </row>
    <row r="522">
      <c r="A522" s="121" t="s">
        <v>32</v>
      </c>
      <c r="B522" s="121" t="s">
        <v>1596</v>
      </c>
      <c r="C522" s="121" t="s">
        <v>1573</v>
      </c>
      <c r="D522" s="121" t="s">
        <v>1842</v>
      </c>
      <c r="E522" s="133" t="s">
        <v>1843</v>
      </c>
      <c r="F522" s="133" t="s">
        <v>2464</v>
      </c>
      <c r="G522" s="121" t="s">
        <v>902</v>
      </c>
      <c r="H522" s="121"/>
    </row>
    <row r="523">
      <c r="A523" s="121" t="s">
        <v>32</v>
      </c>
      <c r="B523" s="121" t="s">
        <v>1596</v>
      </c>
      <c r="C523" s="121" t="s">
        <v>1573</v>
      </c>
      <c r="D523" s="121" t="s">
        <v>1842</v>
      </c>
      <c r="E523" s="133" t="s">
        <v>1843</v>
      </c>
      <c r="F523" s="121" t="s">
        <v>2465</v>
      </c>
      <c r="G523" s="121" t="s">
        <v>858</v>
      </c>
      <c r="H523" s="121"/>
    </row>
    <row r="524">
      <c r="A524" s="121" t="s">
        <v>32</v>
      </c>
      <c r="B524" s="121" t="s">
        <v>1596</v>
      </c>
      <c r="C524" s="121" t="s">
        <v>1573</v>
      </c>
      <c r="D524" s="121" t="s">
        <v>1844</v>
      </c>
      <c r="E524" s="133" t="s">
        <v>1845</v>
      </c>
      <c r="F524" s="121" t="s">
        <v>2466</v>
      </c>
      <c r="G524" s="121" t="s">
        <v>849</v>
      </c>
      <c r="H524" s="121"/>
    </row>
    <row r="525">
      <c r="A525" s="121" t="s">
        <v>32</v>
      </c>
      <c r="B525" s="121" t="s">
        <v>1596</v>
      </c>
      <c r="C525" s="121" t="s">
        <v>1573</v>
      </c>
      <c r="D525" s="121" t="s">
        <v>1844</v>
      </c>
      <c r="E525" s="133" t="s">
        <v>1845</v>
      </c>
      <c r="F525" s="121" t="s">
        <v>2467</v>
      </c>
      <c r="G525" s="121" t="s">
        <v>941</v>
      </c>
      <c r="H525" s="121"/>
    </row>
    <row r="526">
      <c r="A526" s="121" t="s">
        <v>32</v>
      </c>
      <c r="B526" s="121" t="s">
        <v>1596</v>
      </c>
      <c r="C526" s="121" t="s">
        <v>1573</v>
      </c>
      <c r="D526" s="121" t="s">
        <v>1844</v>
      </c>
      <c r="E526" s="133" t="s">
        <v>1845</v>
      </c>
      <c r="F526" s="121" t="s">
        <v>2468</v>
      </c>
      <c r="G526" s="121" t="s">
        <v>923</v>
      </c>
      <c r="H526" s="121"/>
    </row>
    <row r="527">
      <c r="A527" s="121" t="s">
        <v>32</v>
      </c>
      <c r="B527" s="121" t="s">
        <v>1596</v>
      </c>
      <c r="C527" s="121" t="s">
        <v>1573</v>
      </c>
      <c r="D527" s="121" t="s">
        <v>1844</v>
      </c>
      <c r="E527" s="133" t="s">
        <v>1845</v>
      </c>
      <c r="F527" s="121" t="s">
        <v>2469</v>
      </c>
      <c r="G527" s="121" t="s">
        <v>844</v>
      </c>
      <c r="H527" s="121"/>
    </row>
    <row r="528">
      <c r="A528" s="121" t="s">
        <v>32</v>
      </c>
      <c r="B528" s="121" t="s">
        <v>1596</v>
      </c>
      <c r="C528" s="121" t="s">
        <v>1573</v>
      </c>
      <c r="D528" s="121" t="s">
        <v>1846</v>
      </c>
      <c r="E528" s="133" t="s">
        <v>2727</v>
      </c>
      <c r="F528" s="121" t="s">
        <v>2456</v>
      </c>
      <c r="G528" s="121" t="s">
        <v>899</v>
      </c>
      <c r="H528" s="121"/>
    </row>
    <row r="529">
      <c r="A529" s="121" t="s">
        <v>32</v>
      </c>
      <c r="B529" s="121" t="s">
        <v>1596</v>
      </c>
      <c r="C529" s="121" t="s">
        <v>1573</v>
      </c>
      <c r="D529" s="121" t="s">
        <v>1846</v>
      </c>
      <c r="E529" s="133" t="s">
        <v>2727</v>
      </c>
      <c r="F529" s="121" t="s">
        <v>2455</v>
      </c>
      <c r="G529" s="121" t="s">
        <v>914</v>
      </c>
      <c r="H529" s="121"/>
    </row>
    <row r="530">
      <c r="A530" s="121" t="s">
        <v>32</v>
      </c>
      <c r="B530" s="121" t="s">
        <v>1596</v>
      </c>
      <c r="C530" s="121" t="s">
        <v>1573</v>
      </c>
      <c r="D530" s="121" t="s">
        <v>1846</v>
      </c>
      <c r="E530" s="133" t="s">
        <v>2727</v>
      </c>
      <c r="F530" s="121" t="s">
        <v>2470</v>
      </c>
      <c r="G530" s="121" t="s">
        <v>953</v>
      </c>
      <c r="H530" s="121"/>
    </row>
    <row r="531">
      <c r="A531" s="121" t="s">
        <v>32</v>
      </c>
      <c r="B531" s="121" t="s">
        <v>1596</v>
      </c>
      <c r="C531" s="121" t="s">
        <v>1573</v>
      </c>
      <c r="D531" s="121" t="s">
        <v>1846</v>
      </c>
      <c r="E531" s="133" t="s">
        <v>2727</v>
      </c>
      <c r="F531" s="121" t="s">
        <v>2471</v>
      </c>
      <c r="G531" s="121" t="s">
        <v>867</v>
      </c>
      <c r="H531" s="121"/>
    </row>
    <row r="532">
      <c r="A532" s="121" t="s">
        <v>32</v>
      </c>
      <c r="B532" s="121" t="s">
        <v>1596</v>
      </c>
      <c r="C532" s="121" t="s">
        <v>1573</v>
      </c>
      <c r="D532" s="121" t="s">
        <v>1848</v>
      </c>
      <c r="E532" s="133" t="s">
        <v>1849</v>
      </c>
      <c r="F532" s="121" t="s">
        <v>2398</v>
      </c>
      <c r="G532" s="121" t="s">
        <v>944</v>
      </c>
      <c r="H532" s="121"/>
    </row>
    <row r="533">
      <c r="A533" s="121" t="s">
        <v>32</v>
      </c>
      <c r="B533" s="121" t="s">
        <v>1596</v>
      </c>
      <c r="C533" s="121" t="s">
        <v>1573</v>
      </c>
      <c r="D533" s="121" t="s">
        <v>1848</v>
      </c>
      <c r="E533" s="133" t="s">
        <v>1849</v>
      </c>
      <c r="F533" s="121" t="s">
        <v>2256</v>
      </c>
      <c r="G533" s="121" t="s">
        <v>929</v>
      </c>
      <c r="H533" s="121"/>
    </row>
    <row r="534">
      <c r="A534" s="121" t="s">
        <v>32</v>
      </c>
      <c r="B534" s="121" t="s">
        <v>1596</v>
      </c>
      <c r="C534" s="121" t="s">
        <v>1573</v>
      </c>
      <c r="D534" s="121" t="s">
        <v>1848</v>
      </c>
      <c r="E534" s="133" t="s">
        <v>1849</v>
      </c>
      <c r="F534" s="121" t="s">
        <v>2472</v>
      </c>
      <c r="G534" s="121" t="s">
        <v>879</v>
      </c>
      <c r="H534" s="121"/>
    </row>
    <row r="535">
      <c r="A535" s="121" t="s">
        <v>32</v>
      </c>
      <c r="B535" s="121" t="s">
        <v>1596</v>
      </c>
      <c r="C535" s="121" t="s">
        <v>1573</v>
      </c>
      <c r="D535" s="121" t="s">
        <v>1848</v>
      </c>
      <c r="E535" s="133" t="s">
        <v>1849</v>
      </c>
      <c r="F535" s="121" t="s">
        <v>2473</v>
      </c>
      <c r="G535" s="121" t="s">
        <v>885</v>
      </c>
      <c r="H535" s="121"/>
    </row>
    <row r="536">
      <c r="A536" s="121" t="s">
        <v>32</v>
      </c>
      <c r="B536" s="121" t="s">
        <v>1596</v>
      </c>
      <c r="C536" s="121" t="s">
        <v>1573</v>
      </c>
      <c r="D536" s="121" t="s">
        <v>1848</v>
      </c>
      <c r="E536" s="133" t="s">
        <v>1849</v>
      </c>
      <c r="F536" s="121" t="s">
        <v>2488</v>
      </c>
      <c r="G536" s="121" t="s">
        <v>841</v>
      </c>
      <c r="H536" s="121"/>
    </row>
    <row r="537">
      <c r="A537" s="121" t="s">
        <v>32</v>
      </c>
      <c r="B537" s="121" t="s">
        <v>1596</v>
      </c>
      <c r="C537" s="121" t="s">
        <v>1573</v>
      </c>
      <c r="D537" s="121" t="s">
        <v>1848</v>
      </c>
      <c r="E537" s="133" t="s">
        <v>1849</v>
      </c>
      <c r="F537" s="121" t="s">
        <v>2474</v>
      </c>
      <c r="G537" s="121" t="s">
        <v>873</v>
      </c>
      <c r="H537" s="121"/>
    </row>
    <row r="538">
      <c r="A538" s="121" t="s">
        <v>32</v>
      </c>
      <c r="B538" s="121" t="s">
        <v>1596</v>
      </c>
      <c r="C538" s="121" t="s">
        <v>1573</v>
      </c>
      <c r="D538" s="121" t="s">
        <v>1850</v>
      </c>
      <c r="E538" s="133" t="s">
        <v>1807</v>
      </c>
      <c r="F538" s="121" t="s">
        <v>2475</v>
      </c>
      <c r="G538" s="121" t="s">
        <v>894</v>
      </c>
      <c r="H538" s="121"/>
    </row>
    <row r="539">
      <c r="A539" s="121" t="s">
        <v>32</v>
      </c>
      <c r="B539" s="121" t="s">
        <v>1596</v>
      </c>
      <c r="C539" s="121" t="s">
        <v>1573</v>
      </c>
      <c r="D539" s="121" t="s">
        <v>1850</v>
      </c>
      <c r="E539" s="133" t="s">
        <v>1807</v>
      </c>
      <c r="F539" s="121" t="s">
        <v>2276</v>
      </c>
      <c r="G539" s="121" t="s">
        <v>920</v>
      </c>
      <c r="H539" s="121"/>
    </row>
    <row r="540">
      <c r="A540" s="121" t="s">
        <v>32</v>
      </c>
      <c r="B540" s="121" t="s">
        <v>1596</v>
      </c>
      <c r="C540" s="121" t="s">
        <v>1573</v>
      </c>
      <c r="D540" s="121" t="s">
        <v>1850</v>
      </c>
      <c r="E540" s="133" t="s">
        <v>1807</v>
      </c>
      <c r="F540" s="121" t="s">
        <v>2477</v>
      </c>
      <c r="G540" s="121" t="s">
        <v>2478</v>
      </c>
      <c r="H540" s="121"/>
    </row>
    <row r="541">
      <c r="A541" s="121" t="s">
        <v>32</v>
      </c>
      <c r="B541" s="121" t="s">
        <v>1596</v>
      </c>
      <c r="C541" s="121" t="s">
        <v>1573</v>
      </c>
      <c r="D541" s="121" t="s">
        <v>1850</v>
      </c>
      <c r="E541" s="133" t="s">
        <v>1807</v>
      </c>
      <c r="F541" s="121" t="s">
        <v>2479</v>
      </c>
      <c r="G541" s="121" t="s">
        <v>956</v>
      </c>
      <c r="H541" s="121"/>
    </row>
    <row r="542">
      <c r="A542" s="121" t="s">
        <v>32</v>
      </c>
      <c r="B542" s="121" t="s">
        <v>1596</v>
      </c>
      <c r="C542" s="121" t="s">
        <v>1607</v>
      </c>
      <c r="D542" s="121" t="s">
        <v>33</v>
      </c>
      <c r="E542" s="133" t="s">
        <v>34</v>
      </c>
      <c r="F542" s="121" t="s">
        <v>2480</v>
      </c>
      <c r="G542" s="121" t="s">
        <v>911</v>
      </c>
      <c r="H542" s="121"/>
    </row>
    <row r="543">
      <c r="A543" s="121" t="s">
        <v>32</v>
      </c>
      <c r="B543" s="121" t="s">
        <v>1596</v>
      </c>
      <c r="C543" s="121" t="s">
        <v>1607</v>
      </c>
      <c r="D543" s="121" t="s">
        <v>33</v>
      </c>
      <c r="E543" s="133" t="s">
        <v>34</v>
      </c>
      <c r="F543" s="121" t="s">
        <v>2440</v>
      </c>
      <c r="G543" s="121" t="s">
        <v>968</v>
      </c>
      <c r="H543" s="121"/>
    </row>
    <row r="544">
      <c r="A544" s="121" t="s">
        <v>32</v>
      </c>
      <c r="B544" s="121" t="s">
        <v>1596</v>
      </c>
      <c r="C544" s="121" t="s">
        <v>1607</v>
      </c>
      <c r="D544" s="121" t="s">
        <v>35</v>
      </c>
      <c r="E544" s="133" t="s">
        <v>36</v>
      </c>
      <c r="F544" s="121" t="s">
        <v>2208</v>
      </c>
      <c r="G544" s="121" t="s">
        <v>324</v>
      </c>
      <c r="H544" s="121"/>
    </row>
    <row r="545">
      <c r="A545" s="121" t="s">
        <v>32</v>
      </c>
      <c r="B545" s="121" t="s">
        <v>1596</v>
      </c>
      <c r="C545" s="121" t="s">
        <v>1607</v>
      </c>
      <c r="D545" s="121" t="s">
        <v>35</v>
      </c>
      <c r="E545" s="133" t="s">
        <v>36</v>
      </c>
      <c r="F545" s="121" t="s">
        <v>2192</v>
      </c>
      <c r="G545" s="121" t="s">
        <v>342</v>
      </c>
      <c r="H545" s="121"/>
    </row>
    <row r="546">
      <c r="A546" s="121" t="s">
        <v>32</v>
      </c>
      <c r="B546" s="121" t="s">
        <v>1596</v>
      </c>
      <c r="C546" s="121" t="s">
        <v>1607</v>
      </c>
      <c r="D546" s="121" t="s">
        <v>35</v>
      </c>
      <c r="E546" s="133" t="s">
        <v>36</v>
      </c>
      <c r="F546" s="121" t="s">
        <v>2355</v>
      </c>
      <c r="G546" s="121" t="s">
        <v>452</v>
      </c>
      <c r="H546" s="121"/>
    </row>
    <row r="547">
      <c r="A547" s="121" t="s">
        <v>32</v>
      </c>
      <c r="B547" s="121" t="s">
        <v>1596</v>
      </c>
      <c r="C547" s="121" t="s">
        <v>1573</v>
      </c>
      <c r="D547" s="121" t="s">
        <v>1608</v>
      </c>
      <c r="E547" s="133" t="s">
        <v>1609</v>
      </c>
      <c r="F547" s="121" t="s">
        <v>2270</v>
      </c>
      <c r="G547" s="121" t="s">
        <v>658</v>
      </c>
      <c r="H547" s="121"/>
    </row>
    <row r="548">
      <c r="A548" s="121" t="s">
        <v>32</v>
      </c>
      <c r="B548" s="121" t="s">
        <v>1596</v>
      </c>
      <c r="C548" s="121" t="s">
        <v>1573</v>
      </c>
      <c r="D548" s="121" t="s">
        <v>1608</v>
      </c>
      <c r="E548" s="133" t="s">
        <v>1609</v>
      </c>
      <c r="F548" s="121" t="s">
        <v>2340</v>
      </c>
      <c r="G548" s="121" t="s">
        <v>661</v>
      </c>
      <c r="H548" s="121"/>
    </row>
    <row r="549">
      <c r="A549" s="121" t="s">
        <v>32</v>
      </c>
      <c r="B549" s="121" t="s">
        <v>1596</v>
      </c>
      <c r="C549" s="121" t="s">
        <v>1573</v>
      </c>
      <c r="D549" s="121" t="s">
        <v>1608</v>
      </c>
      <c r="E549" s="133" t="s">
        <v>1609</v>
      </c>
      <c r="F549" s="121" t="s">
        <v>2157</v>
      </c>
      <c r="G549" s="121" t="s">
        <v>628</v>
      </c>
      <c r="H549" s="121"/>
    </row>
    <row r="550">
      <c r="A550" s="121" t="s">
        <v>32</v>
      </c>
      <c r="B550" s="121" t="s">
        <v>1596</v>
      </c>
      <c r="C550" s="121" t="s">
        <v>1573</v>
      </c>
      <c r="D550" s="121" t="s">
        <v>1608</v>
      </c>
      <c r="E550" s="133" t="s">
        <v>1609</v>
      </c>
      <c r="F550" s="121" t="s">
        <v>2341</v>
      </c>
      <c r="G550" s="121" t="s">
        <v>631</v>
      </c>
      <c r="H550" s="121"/>
    </row>
    <row r="551">
      <c r="A551" s="121" t="s">
        <v>32</v>
      </c>
      <c r="B551" s="121" t="s">
        <v>1596</v>
      </c>
      <c r="C551" s="121" t="s">
        <v>1573</v>
      </c>
      <c r="D551" s="121" t="s">
        <v>1610</v>
      </c>
      <c r="E551" s="133" t="s">
        <v>2611</v>
      </c>
      <c r="F551" s="121"/>
      <c r="G551" s="121"/>
      <c r="H551" s="121"/>
    </row>
    <row r="552" hidden="1">
      <c r="A552" s="121" t="s">
        <v>32</v>
      </c>
      <c r="B552" s="121" t="s">
        <v>1612</v>
      </c>
      <c r="C552" s="121" t="s">
        <v>1573</v>
      </c>
      <c r="D552" s="121" t="s">
        <v>1851</v>
      </c>
      <c r="E552" s="133" t="s">
        <v>1852</v>
      </c>
      <c r="F552" s="121" t="s">
        <v>2275</v>
      </c>
      <c r="G552" s="121" t="s">
        <v>861</v>
      </c>
      <c r="H552" s="121"/>
    </row>
    <row r="553" hidden="1">
      <c r="A553" s="121" t="s">
        <v>32</v>
      </c>
      <c r="B553" s="121" t="s">
        <v>1612</v>
      </c>
      <c r="C553" s="121" t="s">
        <v>1573</v>
      </c>
      <c r="D553" s="121" t="s">
        <v>1851</v>
      </c>
      <c r="E553" s="133" t="s">
        <v>1852</v>
      </c>
      <c r="F553" s="121" t="s">
        <v>2481</v>
      </c>
      <c r="G553" s="121" t="s">
        <v>917</v>
      </c>
      <c r="H553" s="121"/>
    </row>
    <row r="554" hidden="1">
      <c r="A554" s="121" t="s">
        <v>32</v>
      </c>
      <c r="B554" s="121" t="s">
        <v>1612</v>
      </c>
      <c r="C554" s="121" t="s">
        <v>1573</v>
      </c>
      <c r="D554" s="121" t="s">
        <v>1851</v>
      </c>
      <c r="E554" s="133" t="s">
        <v>1852</v>
      </c>
      <c r="F554" s="121" t="s">
        <v>2438</v>
      </c>
      <c r="G554" s="121" t="s">
        <v>876</v>
      </c>
      <c r="H554" s="121"/>
    </row>
    <row r="555" hidden="1">
      <c r="A555" s="121" t="s">
        <v>32</v>
      </c>
      <c r="B555" s="121" t="s">
        <v>1612</v>
      </c>
      <c r="C555" s="121" t="s">
        <v>1573</v>
      </c>
      <c r="D555" s="121" t="s">
        <v>1851</v>
      </c>
      <c r="E555" s="133" t="s">
        <v>1852</v>
      </c>
      <c r="F555" s="121" t="s">
        <v>2215</v>
      </c>
      <c r="G555" s="121" t="s">
        <v>846</v>
      </c>
      <c r="H555" s="121"/>
    </row>
    <row r="556" hidden="1">
      <c r="A556" s="121" t="s">
        <v>32</v>
      </c>
      <c r="B556" s="121" t="s">
        <v>1612</v>
      </c>
      <c r="C556" s="121" t="s">
        <v>1573</v>
      </c>
      <c r="D556" s="121" t="s">
        <v>1853</v>
      </c>
      <c r="E556" s="133" t="s">
        <v>1854</v>
      </c>
      <c r="F556" s="121" t="s">
        <v>2482</v>
      </c>
      <c r="G556" s="121" t="s">
        <v>947</v>
      </c>
      <c r="H556" s="121"/>
    </row>
    <row r="557" hidden="1">
      <c r="A557" s="121" t="s">
        <v>32</v>
      </c>
      <c r="B557" s="121" t="s">
        <v>1612</v>
      </c>
      <c r="C557" s="121" t="s">
        <v>1573</v>
      </c>
      <c r="D557" s="121" t="s">
        <v>1853</v>
      </c>
      <c r="E557" s="133" t="s">
        <v>1854</v>
      </c>
      <c r="F557" s="121" t="s">
        <v>2483</v>
      </c>
      <c r="G557" s="121" t="s">
        <v>891</v>
      </c>
      <c r="H557" s="121"/>
    </row>
    <row r="558" hidden="1">
      <c r="A558" s="121" t="s">
        <v>32</v>
      </c>
      <c r="B558" s="121" t="s">
        <v>1612</v>
      </c>
      <c r="C558" s="121" t="s">
        <v>1573</v>
      </c>
      <c r="D558" s="121" t="s">
        <v>1853</v>
      </c>
      <c r="E558" s="133" t="s">
        <v>1854</v>
      </c>
      <c r="F558" s="121" t="s">
        <v>2463</v>
      </c>
      <c r="G558" s="121" t="s">
        <v>905</v>
      </c>
      <c r="H558" s="121"/>
    </row>
    <row r="559" hidden="1">
      <c r="A559" s="121" t="s">
        <v>32</v>
      </c>
      <c r="B559" s="121" t="s">
        <v>1612</v>
      </c>
      <c r="C559" s="121" t="s">
        <v>1573</v>
      </c>
      <c r="D559" s="121" t="s">
        <v>1853</v>
      </c>
      <c r="E559" s="133" t="s">
        <v>1854</v>
      </c>
      <c r="F559" s="121" t="s">
        <v>2484</v>
      </c>
      <c r="G559" s="121" t="s">
        <v>852</v>
      </c>
      <c r="H559" s="121"/>
    </row>
    <row r="560" hidden="1">
      <c r="A560" s="121" t="s">
        <v>32</v>
      </c>
      <c r="B560" s="121" t="s">
        <v>1612</v>
      </c>
      <c r="C560" s="121" t="s">
        <v>1573</v>
      </c>
      <c r="D560" s="121" t="s">
        <v>1853</v>
      </c>
      <c r="E560" s="133" t="s">
        <v>1854</v>
      </c>
      <c r="F560" s="121" t="s">
        <v>2480</v>
      </c>
      <c r="G560" s="121" t="s">
        <v>911</v>
      </c>
      <c r="H560" s="121"/>
    </row>
    <row r="561" hidden="1">
      <c r="A561" s="121" t="s">
        <v>32</v>
      </c>
      <c r="B561" s="121" t="s">
        <v>1612</v>
      </c>
      <c r="C561" s="121" t="s">
        <v>1573</v>
      </c>
      <c r="D561" s="121" t="s">
        <v>1855</v>
      </c>
      <c r="E561" s="133" t="s">
        <v>1694</v>
      </c>
      <c r="F561" s="121" t="s">
        <v>2385</v>
      </c>
      <c r="G561" s="121" t="s">
        <v>749</v>
      </c>
      <c r="H561" s="121"/>
    </row>
    <row r="562" hidden="1">
      <c r="A562" s="121" t="s">
        <v>32</v>
      </c>
      <c r="B562" s="121" t="s">
        <v>1612</v>
      </c>
      <c r="C562" s="121" t="s">
        <v>1573</v>
      </c>
      <c r="D562" s="121" t="s">
        <v>1855</v>
      </c>
      <c r="E562" s="133" t="s">
        <v>1694</v>
      </c>
      <c r="F562" s="121" t="s">
        <v>2197</v>
      </c>
      <c r="G562" s="121" t="s">
        <v>336</v>
      </c>
      <c r="H562" s="121"/>
    </row>
    <row r="563" hidden="1">
      <c r="A563" s="121" t="s">
        <v>32</v>
      </c>
      <c r="B563" s="121" t="s">
        <v>1612</v>
      </c>
      <c r="C563" s="121" t="s">
        <v>1573</v>
      </c>
      <c r="D563" s="121" t="s">
        <v>1855</v>
      </c>
      <c r="E563" s="133" t="s">
        <v>1694</v>
      </c>
      <c r="F563" s="121" t="s">
        <v>2250</v>
      </c>
      <c r="G563" s="121" t="s">
        <v>333</v>
      </c>
      <c r="H563" s="121"/>
    </row>
    <row r="564" hidden="1">
      <c r="A564" s="121" t="s">
        <v>32</v>
      </c>
      <c r="B564" s="121" t="s">
        <v>1612</v>
      </c>
      <c r="C564" s="121" t="s">
        <v>1573</v>
      </c>
      <c r="D564" s="121" t="s">
        <v>1855</v>
      </c>
      <c r="E564" s="133" t="s">
        <v>1694</v>
      </c>
      <c r="F564" s="121" t="s">
        <v>2214</v>
      </c>
      <c r="G564" s="121" t="s">
        <v>351</v>
      </c>
      <c r="H564" s="121"/>
    </row>
    <row r="565" hidden="1">
      <c r="A565" s="121" t="s">
        <v>32</v>
      </c>
      <c r="B565" s="121" t="s">
        <v>1612</v>
      </c>
      <c r="C565" s="121" t="s">
        <v>1619</v>
      </c>
      <c r="D565" s="121" t="s">
        <v>174</v>
      </c>
      <c r="E565" s="133" t="s">
        <v>175</v>
      </c>
      <c r="F565" s="121" t="s">
        <v>2472</v>
      </c>
      <c r="G565" s="121" t="s">
        <v>879</v>
      </c>
      <c r="H565" s="121"/>
    </row>
    <row r="566" hidden="1">
      <c r="A566" s="121" t="s">
        <v>32</v>
      </c>
      <c r="B566" s="121" t="s">
        <v>1612</v>
      </c>
      <c r="C566" s="121" t="s">
        <v>1619</v>
      </c>
      <c r="D566" s="121" t="s">
        <v>172</v>
      </c>
      <c r="E566" s="133" t="s">
        <v>173</v>
      </c>
      <c r="F566" s="121" t="s">
        <v>2486</v>
      </c>
      <c r="G566" s="121" t="s">
        <v>2487</v>
      </c>
      <c r="H566" s="121"/>
    </row>
    <row r="567" hidden="1">
      <c r="A567" s="121" t="s">
        <v>32</v>
      </c>
      <c r="B567" s="121" t="s">
        <v>1612</v>
      </c>
      <c r="C567" s="121" t="s">
        <v>1619</v>
      </c>
      <c r="D567" s="121" t="s">
        <v>172</v>
      </c>
      <c r="E567" s="133" t="s">
        <v>173</v>
      </c>
      <c r="F567" s="121" t="s">
        <v>2474</v>
      </c>
      <c r="G567" s="121" t="s">
        <v>873</v>
      </c>
      <c r="H567" s="121"/>
    </row>
    <row r="568" hidden="1">
      <c r="A568" s="121" t="s">
        <v>32</v>
      </c>
      <c r="B568" s="121" t="s">
        <v>1612</v>
      </c>
      <c r="C568" s="121" t="s">
        <v>1619</v>
      </c>
      <c r="D568" s="121" t="s">
        <v>172</v>
      </c>
      <c r="E568" s="133" t="s">
        <v>173</v>
      </c>
      <c r="F568" s="121" t="s">
        <v>2483</v>
      </c>
      <c r="G568" s="121" t="s">
        <v>891</v>
      </c>
      <c r="H568" s="121"/>
    </row>
    <row r="569" hidden="1">
      <c r="A569" s="121" t="s">
        <v>32</v>
      </c>
      <c r="B569" s="121" t="s">
        <v>1612</v>
      </c>
      <c r="C569" s="121" t="s">
        <v>1619</v>
      </c>
      <c r="D569" s="121" t="s">
        <v>172</v>
      </c>
      <c r="E569" s="133" t="s">
        <v>173</v>
      </c>
      <c r="F569" s="121" t="s">
        <v>2440</v>
      </c>
      <c r="G569" s="121" t="s">
        <v>968</v>
      </c>
      <c r="H569" s="121"/>
    </row>
    <row r="570" hidden="1">
      <c r="A570" s="121" t="s">
        <v>32</v>
      </c>
      <c r="B570" s="121" t="s">
        <v>1612</v>
      </c>
      <c r="C570" s="121" t="s">
        <v>1620</v>
      </c>
      <c r="D570" s="121" t="s">
        <v>2728</v>
      </c>
      <c r="E570" s="133" t="s">
        <v>2729</v>
      </c>
      <c r="F570" s="121" t="s">
        <v>2457</v>
      </c>
      <c r="G570" s="121" t="s">
        <v>908</v>
      </c>
      <c r="H570" s="121"/>
    </row>
    <row r="571" hidden="1">
      <c r="A571" s="121" t="s">
        <v>32</v>
      </c>
      <c r="B571" s="121" t="s">
        <v>1612</v>
      </c>
      <c r="C571" s="121" t="s">
        <v>1620</v>
      </c>
      <c r="D571" s="121" t="s">
        <v>2728</v>
      </c>
      <c r="E571" s="133" t="s">
        <v>2729</v>
      </c>
      <c r="F571" s="121" t="s">
        <v>2489</v>
      </c>
      <c r="G571" s="121" t="s">
        <v>882</v>
      </c>
      <c r="H571" s="121"/>
    </row>
    <row r="572" hidden="1">
      <c r="A572" s="121" t="s">
        <v>32</v>
      </c>
      <c r="B572" s="121" t="s">
        <v>1612</v>
      </c>
      <c r="C572" s="121" t="s">
        <v>1620</v>
      </c>
      <c r="D572" s="121" t="s">
        <v>2728</v>
      </c>
      <c r="E572" s="133" t="s">
        <v>2729</v>
      </c>
      <c r="F572" s="121" t="s">
        <v>2468</v>
      </c>
      <c r="G572" s="121" t="s">
        <v>923</v>
      </c>
      <c r="H572" s="121"/>
    </row>
    <row r="573" hidden="1">
      <c r="A573" s="121" t="s">
        <v>32</v>
      </c>
      <c r="B573" s="121" t="s">
        <v>1612</v>
      </c>
      <c r="C573" s="121" t="s">
        <v>1620</v>
      </c>
      <c r="D573" s="121" t="s">
        <v>2730</v>
      </c>
      <c r="E573" s="133" t="s">
        <v>2731</v>
      </c>
      <c r="F573" s="121" t="s">
        <v>2471</v>
      </c>
      <c r="G573" s="121" t="s">
        <v>867</v>
      </c>
      <c r="H573" s="121"/>
    </row>
    <row r="574" hidden="1">
      <c r="A574" s="121" t="s">
        <v>32</v>
      </c>
      <c r="B574" s="121" t="s">
        <v>1612</v>
      </c>
      <c r="C574" s="121" t="s">
        <v>1621</v>
      </c>
      <c r="D574" s="121" t="s">
        <v>180</v>
      </c>
      <c r="E574" s="133" t="s">
        <v>181</v>
      </c>
      <c r="F574" s="121" t="s">
        <v>2439</v>
      </c>
      <c r="G574" s="121" t="s">
        <v>870</v>
      </c>
      <c r="H574" s="121"/>
    </row>
    <row r="575" hidden="1">
      <c r="A575" s="121" t="s">
        <v>32</v>
      </c>
      <c r="B575" s="121" t="s">
        <v>1612</v>
      </c>
      <c r="C575" s="121" t="s">
        <v>1621</v>
      </c>
      <c r="D575" s="121" t="s">
        <v>182</v>
      </c>
      <c r="E575" s="133" t="s">
        <v>2732</v>
      </c>
      <c r="F575" s="121" t="s">
        <v>2467</v>
      </c>
      <c r="G575" s="121" t="s">
        <v>941</v>
      </c>
      <c r="H575" s="121"/>
    </row>
    <row r="576" hidden="1">
      <c r="A576" s="121" t="s">
        <v>32</v>
      </c>
      <c r="B576" s="121" t="s">
        <v>1612</v>
      </c>
      <c r="C576" s="121" t="s">
        <v>1622</v>
      </c>
      <c r="D576" s="121" t="s">
        <v>168</v>
      </c>
      <c r="E576" s="133" t="s">
        <v>169</v>
      </c>
      <c r="F576" s="121" t="s">
        <v>2491</v>
      </c>
      <c r="G576" s="121" t="s">
        <v>2492</v>
      </c>
      <c r="H576" s="121"/>
    </row>
    <row r="577" hidden="1">
      <c r="A577" s="121" t="s">
        <v>32</v>
      </c>
      <c r="B577" s="121" t="s">
        <v>1612</v>
      </c>
      <c r="C577" s="121" t="s">
        <v>1622</v>
      </c>
      <c r="D577" s="121" t="s">
        <v>168</v>
      </c>
      <c r="E577" s="133" t="s">
        <v>169</v>
      </c>
      <c r="F577" s="121" t="s">
        <v>2479</v>
      </c>
      <c r="G577" s="121" t="s">
        <v>956</v>
      </c>
      <c r="H577" s="121"/>
    </row>
    <row r="578" hidden="1">
      <c r="A578" s="121" t="s">
        <v>32</v>
      </c>
      <c r="B578" s="121" t="s">
        <v>1612</v>
      </c>
      <c r="C578" s="121" t="s">
        <v>1622</v>
      </c>
      <c r="D578" s="121" t="s">
        <v>168</v>
      </c>
      <c r="E578" s="133" t="s">
        <v>169</v>
      </c>
      <c r="F578" s="121" t="s">
        <v>2470</v>
      </c>
      <c r="G578" s="121" t="s">
        <v>953</v>
      </c>
      <c r="H578" s="121"/>
    </row>
    <row r="579" hidden="1">
      <c r="A579" s="121" t="s">
        <v>32</v>
      </c>
      <c r="B579" s="121" t="s">
        <v>1612</v>
      </c>
      <c r="C579" s="121" t="s">
        <v>86</v>
      </c>
      <c r="D579" s="121" t="s">
        <v>170</v>
      </c>
      <c r="E579" s="133" t="s">
        <v>171</v>
      </c>
      <c r="F579" s="121" t="s">
        <v>2173</v>
      </c>
      <c r="G579" s="121" t="s">
        <v>864</v>
      </c>
      <c r="H579" s="121"/>
    </row>
    <row r="580" hidden="1">
      <c r="A580" s="121" t="s">
        <v>32</v>
      </c>
      <c r="B580" s="121" t="s">
        <v>1612</v>
      </c>
      <c r="C580" s="121" t="s">
        <v>1623</v>
      </c>
      <c r="D580" s="121" t="s">
        <v>2733</v>
      </c>
      <c r="E580" s="133" t="s">
        <v>2734</v>
      </c>
      <c r="F580" s="133" t="s">
        <v>2482</v>
      </c>
      <c r="G580" s="121" t="s">
        <v>947</v>
      </c>
      <c r="H580" s="121"/>
    </row>
    <row r="581" hidden="1">
      <c r="A581" s="121" t="s">
        <v>32</v>
      </c>
      <c r="B581" s="121" t="s">
        <v>1612</v>
      </c>
      <c r="C581" s="121" t="s">
        <v>1623</v>
      </c>
      <c r="D581" s="121" t="s">
        <v>2735</v>
      </c>
      <c r="E581" s="133" t="s">
        <v>1861</v>
      </c>
      <c r="F581" s="121" t="s">
        <v>2477</v>
      </c>
      <c r="G581" s="121" t="s">
        <v>2478</v>
      </c>
      <c r="H581" s="121"/>
    </row>
    <row r="582" hidden="1">
      <c r="A582" s="121" t="s">
        <v>32</v>
      </c>
      <c r="B582" s="121" t="s">
        <v>1612</v>
      </c>
      <c r="C582" s="121" t="s">
        <v>1628</v>
      </c>
      <c r="D582" s="121" t="s">
        <v>1862</v>
      </c>
      <c r="E582" s="133" t="s">
        <v>1630</v>
      </c>
      <c r="F582" s="121"/>
      <c r="G582" s="121"/>
      <c r="H582" s="121"/>
    </row>
    <row r="583" hidden="1">
      <c r="A583" s="121" t="s">
        <v>32</v>
      </c>
      <c r="B583" s="121" t="s">
        <v>1631</v>
      </c>
      <c r="C583" s="121" t="s">
        <v>1573</v>
      </c>
      <c r="D583" s="121" t="s">
        <v>2736</v>
      </c>
      <c r="E583" s="133" t="s">
        <v>1634</v>
      </c>
      <c r="F583" s="121"/>
      <c r="G583" s="121"/>
      <c r="H583" s="121"/>
    </row>
    <row r="584" hidden="1">
      <c r="A584" s="121" t="s">
        <v>37</v>
      </c>
      <c r="B584" s="121" t="s">
        <v>1572</v>
      </c>
      <c r="C584" s="135" t="s">
        <v>1573</v>
      </c>
      <c r="D584" s="135" t="s">
        <v>1574</v>
      </c>
      <c r="E584" s="167" t="s">
        <v>1575</v>
      </c>
      <c r="F584" s="121" t="s">
        <v>2333</v>
      </c>
      <c r="G584" s="121" t="s">
        <v>1316</v>
      </c>
      <c r="H584" s="121"/>
    </row>
    <row r="585" hidden="1">
      <c r="A585" s="121" t="s">
        <v>37</v>
      </c>
      <c r="B585" s="121" t="s">
        <v>1572</v>
      </c>
      <c r="C585" s="121" t="s">
        <v>1573</v>
      </c>
      <c r="D585" s="121" t="s">
        <v>1577</v>
      </c>
      <c r="E585" s="133" t="s">
        <v>1578</v>
      </c>
      <c r="F585" s="121" t="s">
        <v>2619</v>
      </c>
      <c r="G585" s="121" t="s">
        <v>1510</v>
      </c>
      <c r="H585" s="121"/>
    </row>
    <row r="586" hidden="1">
      <c r="A586" s="121" t="s">
        <v>37</v>
      </c>
      <c r="B586" s="121" t="s">
        <v>1572</v>
      </c>
      <c r="C586" s="121" t="s">
        <v>1573</v>
      </c>
      <c r="D586" s="121" t="s">
        <v>1580</v>
      </c>
      <c r="E586" s="133" t="s">
        <v>1581</v>
      </c>
      <c r="F586" s="121" t="s">
        <v>2154</v>
      </c>
      <c r="G586" s="121" t="s">
        <v>652</v>
      </c>
      <c r="H586" s="121"/>
    </row>
    <row r="587" hidden="1">
      <c r="A587" s="121" t="s">
        <v>37</v>
      </c>
      <c r="B587" s="121" t="s">
        <v>1572</v>
      </c>
      <c r="C587" s="121" t="s">
        <v>1573</v>
      </c>
      <c r="D587" s="121" t="s">
        <v>1582</v>
      </c>
      <c r="E587" s="133" t="s">
        <v>1583</v>
      </c>
      <c r="F587" s="121" t="s">
        <v>2691</v>
      </c>
      <c r="G587" s="121" t="s">
        <v>2692</v>
      </c>
      <c r="H587" s="121"/>
    </row>
    <row r="588" hidden="1">
      <c r="A588" s="121" t="s">
        <v>37</v>
      </c>
      <c r="B588" s="121" t="s">
        <v>1572</v>
      </c>
      <c r="C588" s="121" t="s">
        <v>1573</v>
      </c>
      <c r="D588" s="121" t="s">
        <v>1584</v>
      </c>
      <c r="E588" s="133" t="s">
        <v>1585</v>
      </c>
      <c r="F588" s="121" t="s">
        <v>2493</v>
      </c>
      <c r="G588" s="121" t="s">
        <v>1069</v>
      </c>
      <c r="H588" s="121"/>
    </row>
    <row r="589" hidden="1">
      <c r="A589" s="121" t="s">
        <v>37</v>
      </c>
      <c r="B589" s="121" t="s">
        <v>1572</v>
      </c>
      <c r="C589" s="121" t="s">
        <v>1573</v>
      </c>
      <c r="D589" s="121" t="s">
        <v>1763</v>
      </c>
      <c r="E589" s="133" t="s">
        <v>1764</v>
      </c>
      <c r="F589" s="121" t="s">
        <v>2495</v>
      </c>
      <c r="G589" s="121" t="s">
        <v>2496</v>
      </c>
      <c r="H589" s="121"/>
    </row>
    <row r="590" hidden="1">
      <c r="A590" s="121" t="s">
        <v>37</v>
      </c>
      <c r="B590" s="121" t="s">
        <v>1572</v>
      </c>
      <c r="C590" s="121" t="s">
        <v>1573</v>
      </c>
      <c r="D590" s="121" t="s">
        <v>1589</v>
      </c>
      <c r="E590" s="133" t="s">
        <v>1590</v>
      </c>
      <c r="F590" s="133" t="s">
        <v>2180</v>
      </c>
      <c r="G590" s="121" t="s">
        <v>1132</v>
      </c>
      <c r="H590" s="121"/>
    </row>
    <row r="591" hidden="1">
      <c r="A591" s="121" t="s">
        <v>37</v>
      </c>
      <c r="B591" s="121" t="s">
        <v>1572</v>
      </c>
      <c r="C591" s="121" t="s">
        <v>1573</v>
      </c>
      <c r="D591" s="121" t="s">
        <v>1591</v>
      </c>
      <c r="E591" s="133" t="s">
        <v>1726</v>
      </c>
      <c r="F591" s="121"/>
      <c r="G591" s="121"/>
      <c r="H591" s="121"/>
    </row>
    <row r="592" hidden="1">
      <c r="A592" s="121" t="s">
        <v>37</v>
      </c>
      <c r="B592" s="121" t="s">
        <v>1572</v>
      </c>
      <c r="C592" s="121" t="s">
        <v>1593</v>
      </c>
      <c r="D592" s="121" t="s">
        <v>1594</v>
      </c>
      <c r="E592" s="133" t="s">
        <v>1640</v>
      </c>
      <c r="F592" s="121"/>
      <c r="G592" s="121"/>
      <c r="H592" s="121"/>
    </row>
    <row r="593" hidden="1">
      <c r="A593" s="121" t="s">
        <v>37</v>
      </c>
      <c r="B593" s="121" t="s">
        <v>1572</v>
      </c>
      <c r="C593" s="121" t="s">
        <v>1593</v>
      </c>
      <c r="D593" s="121" t="s">
        <v>1641</v>
      </c>
      <c r="E593" s="133" t="s">
        <v>1642</v>
      </c>
      <c r="F593" s="121"/>
      <c r="G593" s="121"/>
      <c r="H593" s="121"/>
    </row>
    <row r="594" hidden="1">
      <c r="A594" s="121" t="s">
        <v>37</v>
      </c>
      <c r="B594" s="121" t="s">
        <v>1572</v>
      </c>
      <c r="C594" s="121" t="s">
        <v>1593</v>
      </c>
      <c r="D594" s="121" t="s">
        <v>1643</v>
      </c>
      <c r="E594" s="133" t="s">
        <v>1644</v>
      </c>
      <c r="F594" s="121"/>
      <c r="G594" s="121"/>
      <c r="H594" s="121"/>
    </row>
    <row r="595">
      <c r="A595" s="121" t="s">
        <v>37</v>
      </c>
      <c r="B595" s="121" t="s">
        <v>1596</v>
      </c>
      <c r="C595" s="121" t="s">
        <v>1573</v>
      </c>
      <c r="D595" s="121" t="s">
        <v>1914</v>
      </c>
      <c r="E595" s="133" t="s">
        <v>1872</v>
      </c>
      <c r="F595" s="121" t="s">
        <v>2334</v>
      </c>
      <c r="G595" s="121" t="s">
        <v>1265</v>
      </c>
      <c r="H595" s="121"/>
    </row>
    <row r="596">
      <c r="A596" s="121" t="s">
        <v>37</v>
      </c>
      <c r="B596" s="121" t="s">
        <v>1596</v>
      </c>
      <c r="C596" s="121" t="s">
        <v>1573</v>
      </c>
      <c r="D596" s="121" t="s">
        <v>1915</v>
      </c>
      <c r="E596" s="133" t="s">
        <v>1874</v>
      </c>
      <c r="F596" s="121" t="s">
        <v>2497</v>
      </c>
      <c r="G596" s="121" t="s">
        <v>1072</v>
      </c>
      <c r="H596" s="121"/>
    </row>
    <row r="597">
      <c r="A597" s="121" t="s">
        <v>37</v>
      </c>
      <c r="B597" s="121" t="s">
        <v>1596</v>
      </c>
      <c r="C597" s="121" t="s">
        <v>1573</v>
      </c>
      <c r="D597" s="121" t="s">
        <v>1915</v>
      </c>
      <c r="E597" s="133" t="s">
        <v>1874</v>
      </c>
      <c r="F597" s="121" t="s">
        <v>2498</v>
      </c>
      <c r="G597" s="121" t="s">
        <v>1066</v>
      </c>
      <c r="H597" s="121"/>
    </row>
    <row r="598">
      <c r="A598" s="121" t="s">
        <v>37</v>
      </c>
      <c r="B598" s="121" t="s">
        <v>1596</v>
      </c>
      <c r="C598" s="121" t="s">
        <v>1573</v>
      </c>
      <c r="D598" s="121" t="s">
        <v>1916</v>
      </c>
      <c r="E598" s="133" t="s">
        <v>1917</v>
      </c>
      <c r="F598" s="121" t="s">
        <v>2737</v>
      </c>
      <c r="G598" s="121" t="s">
        <v>1057</v>
      </c>
      <c r="H598" s="121"/>
    </row>
    <row r="599">
      <c r="A599" s="121" t="s">
        <v>37</v>
      </c>
      <c r="B599" s="121" t="s">
        <v>1596</v>
      </c>
      <c r="C599" s="121" t="s">
        <v>1573</v>
      </c>
      <c r="D599" s="121" t="s">
        <v>1916</v>
      </c>
      <c r="E599" s="133" t="s">
        <v>1917</v>
      </c>
      <c r="F599" s="121" t="s">
        <v>2500</v>
      </c>
      <c r="G599" s="121" t="s">
        <v>1048</v>
      </c>
      <c r="H599" s="121"/>
    </row>
    <row r="600">
      <c r="A600" s="121" t="s">
        <v>37</v>
      </c>
      <c r="B600" s="121" t="s">
        <v>1596</v>
      </c>
      <c r="C600" s="121" t="s">
        <v>1573</v>
      </c>
      <c r="D600" s="121" t="s">
        <v>1918</v>
      </c>
      <c r="E600" s="133" t="s">
        <v>1919</v>
      </c>
      <c r="F600" s="121" t="s">
        <v>2501</v>
      </c>
      <c r="G600" s="121" t="s">
        <v>1063</v>
      </c>
      <c r="H600" s="121"/>
    </row>
    <row r="601">
      <c r="A601" s="121" t="s">
        <v>37</v>
      </c>
      <c r="B601" s="121" t="s">
        <v>1596</v>
      </c>
      <c r="C601" s="121" t="s">
        <v>1573</v>
      </c>
      <c r="D601" s="121" t="s">
        <v>1920</v>
      </c>
      <c r="E601" s="133" t="s">
        <v>1807</v>
      </c>
      <c r="F601" s="121" t="s">
        <v>2503</v>
      </c>
      <c r="G601" s="121" t="s">
        <v>2504</v>
      </c>
      <c r="H601" s="121"/>
    </row>
    <row r="602">
      <c r="A602" s="121" t="s">
        <v>37</v>
      </c>
      <c r="B602" s="121" t="s">
        <v>1596</v>
      </c>
      <c r="C602" s="121" t="s">
        <v>1607</v>
      </c>
      <c r="D602" s="121" t="s">
        <v>38</v>
      </c>
      <c r="E602" s="133" t="s">
        <v>39</v>
      </c>
      <c r="F602" s="121" t="s">
        <v>2505</v>
      </c>
      <c r="G602" s="121" t="s">
        <v>1045</v>
      </c>
      <c r="H602" s="121"/>
    </row>
    <row r="603">
      <c r="A603" s="121" t="s">
        <v>37</v>
      </c>
      <c r="B603" s="121" t="s">
        <v>1596</v>
      </c>
      <c r="C603" s="121" t="s">
        <v>1573</v>
      </c>
      <c r="D603" s="121" t="s">
        <v>1608</v>
      </c>
      <c r="E603" s="133" t="s">
        <v>1609</v>
      </c>
      <c r="F603" s="121" t="s">
        <v>2159</v>
      </c>
      <c r="G603" s="121" t="s">
        <v>2160</v>
      </c>
      <c r="H603" s="121"/>
    </row>
    <row r="604">
      <c r="A604" s="121" t="s">
        <v>37</v>
      </c>
      <c r="B604" s="121" t="s">
        <v>1596</v>
      </c>
      <c r="C604" s="121" t="s">
        <v>1573</v>
      </c>
      <c r="D604" s="121" t="s">
        <v>1610</v>
      </c>
      <c r="E604" s="133" t="s">
        <v>2611</v>
      </c>
      <c r="F604" s="121"/>
      <c r="G604" s="121"/>
      <c r="H604" s="121"/>
    </row>
    <row r="605" hidden="1">
      <c r="A605" s="121" t="s">
        <v>37</v>
      </c>
      <c r="B605" s="121" t="s">
        <v>1612</v>
      </c>
      <c r="C605" s="121" t="s">
        <v>1573</v>
      </c>
      <c r="D605" s="121" t="s">
        <v>1921</v>
      </c>
      <c r="E605" s="133" t="s">
        <v>1922</v>
      </c>
      <c r="F605" s="121" t="s">
        <v>2506</v>
      </c>
      <c r="G605" s="121" t="s">
        <v>1075</v>
      </c>
      <c r="H605" s="121"/>
    </row>
    <row r="606" hidden="1">
      <c r="A606" s="121" t="s">
        <v>37</v>
      </c>
      <c r="B606" s="121" t="s">
        <v>1612</v>
      </c>
      <c r="C606" s="121" t="s">
        <v>1573</v>
      </c>
      <c r="D606" s="121" t="s">
        <v>1921</v>
      </c>
      <c r="E606" s="133" t="s">
        <v>1922</v>
      </c>
      <c r="F606" s="121" t="s">
        <v>2507</v>
      </c>
      <c r="G606" s="121" t="s">
        <v>1060</v>
      </c>
      <c r="H606" s="121"/>
    </row>
    <row r="607" hidden="1">
      <c r="A607" s="121" t="s">
        <v>37</v>
      </c>
      <c r="B607" s="121" t="s">
        <v>1612</v>
      </c>
      <c r="C607" s="121" t="s">
        <v>1573</v>
      </c>
      <c r="D607" s="121" t="s">
        <v>1923</v>
      </c>
      <c r="E607" s="133" t="s">
        <v>1811</v>
      </c>
      <c r="F607" s="121" t="s">
        <v>2166</v>
      </c>
      <c r="G607" s="121" t="s">
        <v>1017</v>
      </c>
      <c r="H607" s="121"/>
    </row>
    <row r="608" hidden="1">
      <c r="A608" s="121" t="s">
        <v>37</v>
      </c>
      <c r="B608" s="121" t="s">
        <v>1612</v>
      </c>
      <c r="C608" s="121" t="s">
        <v>1573</v>
      </c>
      <c r="D608" s="121" t="s">
        <v>1924</v>
      </c>
      <c r="E608" s="133" t="s">
        <v>1694</v>
      </c>
      <c r="F608" s="121" t="s">
        <v>2509</v>
      </c>
      <c r="G608" s="121" t="s">
        <v>1042</v>
      </c>
      <c r="H608" s="121"/>
    </row>
    <row r="609" hidden="1">
      <c r="A609" s="121" t="s">
        <v>37</v>
      </c>
      <c r="B609" s="121" t="s">
        <v>1612</v>
      </c>
      <c r="C609" s="121" t="s">
        <v>1573</v>
      </c>
      <c r="D609" s="121" t="s">
        <v>1924</v>
      </c>
      <c r="E609" s="133" t="s">
        <v>1694</v>
      </c>
      <c r="F609" s="121" t="s">
        <v>2069</v>
      </c>
      <c r="G609" s="121" t="s">
        <v>570</v>
      </c>
      <c r="H609" s="121"/>
    </row>
    <row r="610" hidden="1">
      <c r="A610" s="121" t="s">
        <v>37</v>
      </c>
      <c r="B610" s="121" t="s">
        <v>1612</v>
      </c>
      <c r="C610" s="121" t="s">
        <v>1619</v>
      </c>
      <c r="D610" s="121" t="s">
        <v>183</v>
      </c>
      <c r="E610" s="133" t="s">
        <v>184</v>
      </c>
      <c r="F610" s="121" t="s">
        <v>2497</v>
      </c>
      <c r="G610" s="121" t="s">
        <v>1072</v>
      </c>
      <c r="H610" s="121"/>
    </row>
    <row r="611" hidden="1">
      <c r="A611" s="121" t="s">
        <v>37</v>
      </c>
      <c r="B611" s="121" t="s">
        <v>1612</v>
      </c>
      <c r="C611" s="121" t="s">
        <v>1620</v>
      </c>
      <c r="D611" s="121" t="s">
        <v>2738</v>
      </c>
      <c r="E611" s="133" t="s">
        <v>1887</v>
      </c>
      <c r="F611" s="121" t="s">
        <v>2493</v>
      </c>
      <c r="G611" s="121" t="s">
        <v>1069</v>
      </c>
      <c r="H611" s="121"/>
    </row>
    <row r="612" hidden="1">
      <c r="A612" s="121" t="s">
        <v>37</v>
      </c>
      <c r="B612" s="121" t="s">
        <v>1612</v>
      </c>
      <c r="C612" s="121" t="s">
        <v>1621</v>
      </c>
      <c r="D612" s="121" t="s">
        <v>187</v>
      </c>
      <c r="E612" s="133" t="s">
        <v>188</v>
      </c>
      <c r="F612" s="121" t="s">
        <v>2501</v>
      </c>
      <c r="G612" s="121" t="s">
        <v>1063</v>
      </c>
      <c r="H612" s="121"/>
    </row>
    <row r="613" hidden="1">
      <c r="A613" s="121" t="s">
        <v>37</v>
      </c>
      <c r="B613" s="121" t="s">
        <v>1612</v>
      </c>
      <c r="C613" s="121" t="s">
        <v>1622</v>
      </c>
      <c r="D613" s="121" t="s">
        <v>2739</v>
      </c>
      <c r="E613" s="133" t="s">
        <v>2740</v>
      </c>
      <c r="F613" s="121" t="s">
        <v>2498</v>
      </c>
      <c r="G613" s="121" t="s">
        <v>1066</v>
      </c>
      <c r="H613" s="121"/>
    </row>
    <row r="614" hidden="1">
      <c r="A614" s="121" t="s">
        <v>37</v>
      </c>
      <c r="B614" s="121" t="s">
        <v>1612</v>
      </c>
      <c r="C614" s="121" t="s">
        <v>86</v>
      </c>
      <c r="D614" s="121" t="s">
        <v>185</v>
      </c>
      <c r="E614" s="133" t="s">
        <v>186</v>
      </c>
      <c r="F614" s="121" t="s">
        <v>2507</v>
      </c>
      <c r="G614" s="121" t="s">
        <v>1060</v>
      </c>
      <c r="H614" s="121"/>
    </row>
    <row r="615" hidden="1">
      <c r="A615" s="121" t="s">
        <v>37</v>
      </c>
      <c r="B615" s="121" t="s">
        <v>1612</v>
      </c>
      <c r="C615" s="121" t="s">
        <v>1623</v>
      </c>
      <c r="D615" s="121" t="s">
        <v>2741</v>
      </c>
      <c r="E615" s="133" t="s">
        <v>2742</v>
      </c>
      <c r="F615" s="121" t="s">
        <v>2500</v>
      </c>
      <c r="G615" s="121" t="s">
        <v>1048</v>
      </c>
      <c r="H615" s="121"/>
    </row>
    <row r="616" hidden="1">
      <c r="A616" s="121" t="s">
        <v>37</v>
      </c>
      <c r="B616" s="121" t="s">
        <v>1612</v>
      </c>
      <c r="C616" s="121" t="s">
        <v>1628</v>
      </c>
      <c r="D616" s="121" t="s">
        <v>1925</v>
      </c>
      <c r="E616" s="133" t="s">
        <v>1630</v>
      </c>
      <c r="F616" s="121"/>
      <c r="G616" s="121"/>
      <c r="H616" s="121"/>
    </row>
    <row r="617" hidden="1">
      <c r="A617" s="121" t="s">
        <v>37</v>
      </c>
      <c r="B617" s="121" t="s">
        <v>1631</v>
      </c>
      <c r="C617" s="121" t="s">
        <v>1573</v>
      </c>
      <c r="D617" s="121" t="s">
        <v>2743</v>
      </c>
      <c r="E617" s="133" t="s">
        <v>1634</v>
      </c>
      <c r="F617" s="121"/>
      <c r="G617" s="121"/>
      <c r="H617" s="121"/>
    </row>
    <row r="618">
      <c r="A618" s="121" t="s">
        <v>193</v>
      </c>
      <c r="B618" s="121" t="s">
        <v>1596</v>
      </c>
      <c r="C618" s="121" t="s">
        <v>1573</v>
      </c>
      <c r="D618" s="121" t="s">
        <v>2744</v>
      </c>
      <c r="E618" s="133" t="s">
        <v>2745</v>
      </c>
      <c r="F618" s="121" t="s">
        <v>2335</v>
      </c>
      <c r="G618" s="121" t="s">
        <v>1322</v>
      </c>
      <c r="H618" s="121"/>
    </row>
    <row r="619">
      <c r="A619" s="121" t="s">
        <v>193</v>
      </c>
      <c r="B619" s="121" t="s">
        <v>1596</v>
      </c>
      <c r="C619" s="121" t="s">
        <v>1573</v>
      </c>
      <c r="D619" s="121" t="s">
        <v>2106</v>
      </c>
      <c r="E619" s="133" t="s">
        <v>2107</v>
      </c>
      <c r="F619" s="121" t="s">
        <v>2511</v>
      </c>
      <c r="G619" s="121" t="s">
        <v>2512</v>
      </c>
      <c r="H619" s="121"/>
    </row>
    <row r="620">
      <c r="A620" s="121" t="s">
        <v>193</v>
      </c>
      <c r="B620" s="121" t="s">
        <v>1596</v>
      </c>
      <c r="C620" s="121" t="s">
        <v>1573</v>
      </c>
      <c r="D620" s="121" t="s">
        <v>2108</v>
      </c>
      <c r="E620" s="133" t="s">
        <v>2109</v>
      </c>
      <c r="F620" s="121" t="s">
        <v>2511</v>
      </c>
      <c r="G620" s="121" t="s">
        <v>2512</v>
      </c>
      <c r="H620" s="121"/>
    </row>
    <row r="621">
      <c r="A621" s="121" t="s">
        <v>193</v>
      </c>
      <c r="B621" s="121" t="s">
        <v>1596</v>
      </c>
      <c r="C621" s="121" t="s">
        <v>1573</v>
      </c>
      <c r="D621" s="121" t="s">
        <v>2108</v>
      </c>
      <c r="E621" s="133" t="s">
        <v>2109</v>
      </c>
      <c r="F621" s="121" t="s">
        <v>2513</v>
      </c>
      <c r="G621" s="121" t="s">
        <v>1107</v>
      </c>
      <c r="H621" s="121"/>
    </row>
    <row r="622">
      <c r="A622" s="121" t="s">
        <v>193</v>
      </c>
      <c r="B622" s="121" t="s">
        <v>1596</v>
      </c>
      <c r="C622" s="121" t="s">
        <v>1573</v>
      </c>
      <c r="D622" s="121" t="s">
        <v>2110</v>
      </c>
      <c r="E622" s="133" t="s">
        <v>2111</v>
      </c>
      <c r="F622" s="121" t="s">
        <v>2515</v>
      </c>
      <c r="G622" s="121" t="s">
        <v>2516</v>
      </c>
      <c r="H622" s="121"/>
    </row>
    <row r="623">
      <c r="A623" s="121" t="s">
        <v>193</v>
      </c>
      <c r="B623" s="121" t="s">
        <v>1596</v>
      </c>
      <c r="C623" s="121" t="s">
        <v>1573</v>
      </c>
      <c r="D623" s="121" t="s">
        <v>2112</v>
      </c>
      <c r="E623" s="133" t="s">
        <v>2113</v>
      </c>
      <c r="F623" s="121" t="s">
        <v>2517</v>
      </c>
      <c r="G623" s="121" t="s">
        <v>1104</v>
      </c>
      <c r="H623" s="121"/>
    </row>
    <row r="624">
      <c r="A624" s="121" t="s">
        <v>193</v>
      </c>
      <c r="B624" s="121" t="s">
        <v>1596</v>
      </c>
      <c r="C624" s="121" t="s">
        <v>1573</v>
      </c>
      <c r="D624" s="121" t="s">
        <v>2112</v>
      </c>
      <c r="E624" s="133" t="s">
        <v>2113</v>
      </c>
      <c r="F624" s="121" t="s">
        <v>2518</v>
      </c>
      <c r="G624" s="121" t="s">
        <v>1101</v>
      </c>
      <c r="H624" s="121"/>
    </row>
    <row r="625">
      <c r="A625" s="121" t="s">
        <v>193</v>
      </c>
      <c r="B625" s="121" t="s">
        <v>1596</v>
      </c>
      <c r="C625" s="121" t="s">
        <v>1607</v>
      </c>
      <c r="D625" s="121" t="s">
        <v>2746</v>
      </c>
      <c r="E625" s="133" t="s">
        <v>2747</v>
      </c>
      <c r="F625" s="121" t="s">
        <v>2517</v>
      </c>
      <c r="G625" s="121" t="s">
        <v>1104</v>
      </c>
      <c r="H625" s="121"/>
    </row>
    <row r="626">
      <c r="A626" s="121" t="s">
        <v>193</v>
      </c>
      <c r="B626" s="121" t="s">
        <v>1596</v>
      </c>
      <c r="C626" s="121" t="s">
        <v>1573</v>
      </c>
      <c r="D626" s="121" t="s">
        <v>1608</v>
      </c>
      <c r="E626" s="133" t="s">
        <v>1609</v>
      </c>
      <c r="F626" s="121" t="s">
        <v>2245</v>
      </c>
      <c r="G626" s="121" t="s">
        <v>646</v>
      </c>
      <c r="H626" s="121"/>
    </row>
    <row r="627">
      <c r="A627" s="121" t="s">
        <v>193</v>
      </c>
      <c r="B627" s="121" t="s">
        <v>1596</v>
      </c>
      <c r="C627" s="121" t="s">
        <v>1573</v>
      </c>
      <c r="D627" s="121" t="s">
        <v>1610</v>
      </c>
      <c r="E627" s="133" t="s">
        <v>2723</v>
      </c>
      <c r="F627" s="121"/>
      <c r="G627" s="121"/>
      <c r="H627" s="121"/>
    </row>
    <row r="628" hidden="1">
      <c r="A628" s="121" t="s">
        <v>193</v>
      </c>
      <c r="B628" s="121" t="s">
        <v>1612</v>
      </c>
      <c r="C628" s="121" t="s">
        <v>1573</v>
      </c>
      <c r="D628" s="121" t="s">
        <v>1982</v>
      </c>
      <c r="E628" s="133" t="s">
        <v>1983</v>
      </c>
      <c r="F628" s="121" t="s">
        <v>2518</v>
      </c>
      <c r="G628" s="121" t="s">
        <v>1101</v>
      </c>
      <c r="H628" s="121"/>
    </row>
    <row r="629" hidden="1">
      <c r="A629" s="121" t="s">
        <v>193</v>
      </c>
      <c r="B629" s="121" t="s">
        <v>1612</v>
      </c>
      <c r="C629" s="121" t="s">
        <v>1573</v>
      </c>
      <c r="D629" s="121" t="s">
        <v>1984</v>
      </c>
      <c r="E629" s="133" t="s">
        <v>1985</v>
      </c>
      <c r="F629" s="121" t="s">
        <v>2513</v>
      </c>
      <c r="G629" s="121" t="s">
        <v>1107</v>
      </c>
      <c r="H629" s="121"/>
    </row>
    <row r="630" hidden="1">
      <c r="A630" s="121" t="s">
        <v>193</v>
      </c>
      <c r="B630" s="121" t="s">
        <v>1612</v>
      </c>
      <c r="C630" s="121" t="s">
        <v>1573</v>
      </c>
      <c r="D630" s="121" t="s">
        <v>1986</v>
      </c>
      <c r="E630" s="133" t="s">
        <v>1987</v>
      </c>
      <c r="F630" s="121" t="s">
        <v>2515</v>
      </c>
      <c r="G630" s="121" t="s">
        <v>2516</v>
      </c>
      <c r="H630" s="121"/>
    </row>
    <row r="631" hidden="1">
      <c r="A631" s="121" t="s">
        <v>193</v>
      </c>
      <c r="B631" s="121" t="s">
        <v>1612</v>
      </c>
      <c r="C631" s="121" t="s">
        <v>1619</v>
      </c>
      <c r="D631" s="121" t="s">
        <v>2748</v>
      </c>
      <c r="E631" s="133" t="s">
        <v>2749</v>
      </c>
      <c r="F631" s="121" t="s">
        <v>2205</v>
      </c>
      <c r="G631" s="121" t="s">
        <v>360</v>
      </c>
      <c r="H631" s="121"/>
    </row>
    <row r="632" hidden="1">
      <c r="A632" s="121" t="s">
        <v>193</v>
      </c>
      <c r="B632" s="121" t="s">
        <v>1612</v>
      </c>
      <c r="C632" s="121" t="s">
        <v>1620</v>
      </c>
      <c r="D632" s="121" t="s">
        <v>194</v>
      </c>
      <c r="E632" s="133" t="s">
        <v>195</v>
      </c>
      <c r="F632" s="121" t="s">
        <v>2518</v>
      </c>
      <c r="G632" s="121" t="s">
        <v>1101</v>
      </c>
      <c r="H632" s="121"/>
    </row>
    <row r="633" hidden="1">
      <c r="A633" s="121" t="s">
        <v>193</v>
      </c>
      <c r="B633" s="121" t="s">
        <v>1612</v>
      </c>
      <c r="C633" s="121" t="s">
        <v>1621</v>
      </c>
      <c r="D633" s="121" t="s">
        <v>2750</v>
      </c>
      <c r="E633" s="133" t="s">
        <v>2751</v>
      </c>
      <c r="F633" s="121" t="s">
        <v>2372</v>
      </c>
      <c r="G633" s="121" t="s">
        <v>710</v>
      </c>
      <c r="H633" s="121"/>
    </row>
    <row r="634" hidden="1">
      <c r="A634" s="121" t="s">
        <v>193</v>
      </c>
      <c r="B634" s="121" t="s">
        <v>1612</v>
      </c>
      <c r="C634" s="121" t="s">
        <v>1623</v>
      </c>
      <c r="D634" s="121" t="s">
        <v>1988</v>
      </c>
      <c r="E634" s="133" t="s">
        <v>245</v>
      </c>
      <c r="F634" s="121" t="s">
        <v>2394</v>
      </c>
      <c r="G634" s="121" t="s">
        <v>1403</v>
      </c>
      <c r="H634" s="121"/>
    </row>
    <row r="635" hidden="1">
      <c r="A635" s="121" t="s">
        <v>193</v>
      </c>
      <c r="B635" s="121" t="s">
        <v>1612</v>
      </c>
      <c r="C635" s="121" t="s">
        <v>1623</v>
      </c>
      <c r="D635" s="121" t="s">
        <v>1989</v>
      </c>
      <c r="E635" s="133" t="s">
        <v>1990</v>
      </c>
      <c r="F635" s="121" t="s">
        <v>2513</v>
      </c>
      <c r="G635" s="121" t="s">
        <v>1107</v>
      </c>
      <c r="H635" s="121"/>
    </row>
    <row r="636" hidden="1">
      <c r="A636" s="121" t="s">
        <v>193</v>
      </c>
      <c r="B636" s="121" t="s">
        <v>1612</v>
      </c>
      <c r="C636" s="121" t="s">
        <v>1628</v>
      </c>
      <c r="D636" s="121" t="s">
        <v>1991</v>
      </c>
      <c r="E636" s="133" t="s">
        <v>1630</v>
      </c>
      <c r="F636" s="121"/>
      <c r="G636" s="121"/>
      <c r="H636" s="121"/>
    </row>
    <row r="637" hidden="1">
      <c r="A637" s="121" t="s">
        <v>193</v>
      </c>
      <c r="B637" s="121" t="s">
        <v>1631</v>
      </c>
      <c r="C637" s="121" t="s">
        <v>1573</v>
      </c>
      <c r="D637" s="121" t="s">
        <v>2752</v>
      </c>
      <c r="E637" s="133" t="s">
        <v>1634</v>
      </c>
      <c r="F637" s="121"/>
      <c r="G637" s="121"/>
      <c r="H637" s="121"/>
    </row>
    <row r="638">
      <c r="A638" s="121" t="s">
        <v>200</v>
      </c>
      <c r="B638" s="121" t="s">
        <v>1596</v>
      </c>
      <c r="C638" s="121" t="s">
        <v>1573</v>
      </c>
      <c r="D638" s="121" t="s">
        <v>2753</v>
      </c>
      <c r="E638" s="133" t="s">
        <v>2754</v>
      </c>
      <c r="F638" s="121" t="s">
        <v>2520</v>
      </c>
      <c r="G638" s="121" t="s">
        <v>2521</v>
      </c>
      <c r="H638" s="121"/>
    </row>
    <row r="639">
      <c r="A639" s="121" t="s">
        <v>200</v>
      </c>
      <c r="B639" s="121" t="s">
        <v>1596</v>
      </c>
      <c r="C639" s="121" t="s">
        <v>1573</v>
      </c>
      <c r="D639" s="121" t="s">
        <v>2114</v>
      </c>
      <c r="E639" s="133" t="s">
        <v>1600</v>
      </c>
      <c r="F639" s="121" t="s">
        <v>2523</v>
      </c>
      <c r="G639" s="121" t="s">
        <v>382</v>
      </c>
      <c r="H639" s="121"/>
    </row>
    <row r="640">
      <c r="A640" s="121" t="s">
        <v>200</v>
      </c>
      <c r="B640" s="121" t="s">
        <v>1596</v>
      </c>
      <c r="C640" s="121" t="s">
        <v>1573</v>
      </c>
      <c r="D640" s="121" t="s">
        <v>2755</v>
      </c>
      <c r="E640" s="133" t="s">
        <v>2756</v>
      </c>
      <c r="F640" s="121" t="s">
        <v>2524</v>
      </c>
      <c r="G640" s="121" t="s">
        <v>1082</v>
      </c>
      <c r="H640" s="121"/>
    </row>
    <row r="641">
      <c r="A641" s="121" t="s">
        <v>200</v>
      </c>
      <c r="B641" s="121" t="s">
        <v>1596</v>
      </c>
      <c r="C641" s="121" t="s">
        <v>1573</v>
      </c>
      <c r="D641" s="121" t="s">
        <v>2115</v>
      </c>
      <c r="E641" s="133" t="s">
        <v>2116</v>
      </c>
      <c r="F641" s="121" t="s">
        <v>2520</v>
      </c>
      <c r="G641" s="121" t="s">
        <v>2521</v>
      </c>
      <c r="H641" s="121"/>
    </row>
    <row r="642">
      <c r="A642" s="121" t="s">
        <v>200</v>
      </c>
      <c r="B642" s="121" t="s">
        <v>1596</v>
      </c>
      <c r="C642" s="121" t="s">
        <v>1573</v>
      </c>
      <c r="D642" s="121" t="s">
        <v>2117</v>
      </c>
      <c r="E642" s="133" t="s">
        <v>2118</v>
      </c>
      <c r="F642" s="121" t="s">
        <v>2525</v>
      </c>
      <c r="G642" s="121" t="s">
        <v>1085</v>
      </c>
      <c r="H642" s="121"/>
    </row>
    <row r="643">
      <c r="A643" s="121" t="s">
        <v>200</v>
      </c>
      <c r="B643" s="121" t="s">
        <v>1596</v>
      </c>
      <c r="C643" s="121" t="s">
        <v>1607</v>
      </c>
      <c r="D643" s="121" t="s">
        <v>2757</v>
      </c>
      <c r="E643" s="133" t="s">
        <v>2758</v>
      </c>
      <c r="F643" s="121" t="s">
        <v>2526</v>
      </c>
      <c r="G643" s="121" t="s">
        <v>1094</v>
      </c>
      <c r="H643" s="121"/>
    </row>
    <row r="644">
      <c r="A644" s="121" t="s">
        <v>200</v>
      </c>
      <c r="B644" s="121" t="s">
        <v>1596</v>
      </c>
      <c r="C644" s="121" t="s">
        <v>1573</v>
      </c>
      <c r="D644" s="121" t="s">
        <v>1608</v>
      </c>
      <c r="E644" s="133" t="s">
        <v>1609</v>
      </c>
      <c r="F644" s="121" t="s">
        <v>2222</v>
      </c>
      <c r="G644" s="121" t="s">
        <v>634</v>
      </c>
      <c r="H644" s="121"/>
    </row>
    <row r="645">
      <c r="A645" s="121" t="s">
        <v>200</v>
      </c>
      <c r="B645" s="121" t="s">
        <v>1596</v>
      </c>
      <c r="C645" s="121" t="s">
        <v>1573</v>
      </c>
      <c r="D645" s="121" t="s">
        <v>1610</v>
      </c>
      <c r="E645" s="133" t="s">
        <v>2611</v>
      </c>
      <c r="F645" s="121"/>
      <c r="G645" s="121"/>
      <c r="H645" s="121"/>
    </row>
    <row r="646" hidden="1">
      <c r="A646" s="121" t="s">
        <v>200</v>
      </c>
      <c r="B646" s="121" t="s">
        <v>1612</v>
      </c>
      <c r="C646" s="121" t="s">
        <v>1573</v>
      </c>
      <c r="D646" s="121" t="s">
        <v>1927</v>
      </c>
      <c r="E646" s="133" t="s">
        <v>1928</v>
      </c>
      <c r="F646" s="121" t="s">
        <v>2527</v>
      </c>
      <c r="G646" s="121" t="s">
        <v>1091</v>
      </c>
      <c r="H646" s="121"/>
    </row>
    <row r="647" hidden="1">
      <c r="A647" s="121" t="s">
        <v>200</v>
      </c>
      <c r="B647" s="121" t="s">
        <v>1612</v>
      </c>
      <c r="C647" s="121" t="s">
        <v>1573</v>
      </c>
      <c r="D647" s="121" t="s">
        <v>1929</v>
      </c>
      <c r="E647" s="133" t="s">
        <v>1930</v>
      </c>
      <c r="F647" s="121" t="s">
        <v>2528</v>
      </c>
      <c r="G647" s="121" t="s">
        <v>1097</v>
      </c>
      <c r="H647" s="121"/>
    </row>
    <row r="648" hidden="1">
      <c r="A648" s="121" t="s">
        <v>200</v>
      </c>
      <c r="B648" s="121" t="s">
        <v>1612</v>
      </c>
      <c r="C648" s="121" t="s">
        <v>1573</v>
      </c>
      <c r="D648" s="121" t="s">
        <v>1931</v>
      </c>
      <c r="E648" s="133" t="s">
        <v>1932</v>
      </c>
      <c r="F648" s="121" t="s">
        <v>2524</v>
      </c>
      <c r="G648" s="121" t="s">
        <v>1082</v>
      </c>
      <c r="H648" s="121"/>
    </row>
    <row r="649" hidden="1">
      <c r="A649" s="121" t="s">
        <v>200</v>
      </c>
      <c r="B649" s="121" t="s">
        <v>1612</v>
      </c>
      <c r="C649" s="121" t="s">
        <v>1573</v>
      </c>
      <c r="D649" s="121" t="s">
        <v>1931</v>
      </c>
      <c r="E649" s="133" t="s">
        <v>1932</v>
      </c>
      <c r="F649" s="121" t="s">
        <v>2529</v>
      </c>
      <c r="G649" s="121" t="s">
        <v>1088</v>
      </c>
      <c r="H649" s="121"/>
    </row>
    <row r="650" hidden="1">
      <c r="A650" s="121" t="s">
        <v>200</v>
      </c>
      <c r="B650" s="121" t="s">
        <v>1612</v>
      </c>
      <c r="C650" s="121" t="s">
        <v>1619</v>
      </c>
      <c r="D650" s="121" t="s">
        <v>203</v>
      </c>
      <c r="E650" s="133" t="s">
        <v>1933</v>
      </c>
      <c r="F650" s="121" t="s">
        <v>2527</v>
      </c>
      <c r="G650" s="121" t="s">
        <v>1091</v>
      </c>
      <c r="H650" s="121"/>
    </row>
    <row r="651" hidden="1">
      <c r="A651" s="121" t="s">
        <v>200</v>
      </c>
      <c r="B651" s="121" t="s">
        <v>1612</v>
      </c>
      <c r="C651" s="121" t="s">
        <v>1620</v>
      </c>
      <c r="D651" s="121" t="s">
        <v>205</v>
      </c>
      <c r="E651" s="133" t="s">
        <v>1934</v>
      </c>
      <c r="F651" s="121" t="s">
        <v>2529</v>
      </c>
      <c r="G651" s="121" t="s">
        <v>1088</v>
      </c>
      <c r="H651" s="121"/>
    </row>
    <row r="652" hidden="1">
      <c r="A652" s="121" t="s">
        <v>200</v>
      </c>
      <c r="B652" s="121" t="s">
        <v>1612</v>
      </c>
      <c r="C652" s="121" t="s">
        <v>1621</v>
      </c>
      <c r="D652" s="121" t="s">
        <v>207</v>
      </c>
      <c r="E652" s="133" t="s">
        <v>208</v>
      </c>
      <c r="F652" s="121" t="s">
        <v>2525</v>
      </c>
      <c r="G652" s="121" t="s">
        <v>1085</v>
      </c>
      <c r="H652" s="121"/>
    </row>
    <row r="653" hidden="1">
      <c r="A653" s="121" t="s">
        <v>200</v>
      </c>
      <c r="B653" s="121" t="s">
        <v>1612</v>
      </c>
      <c r="C653" s="121" t="s">
        <v>1622</v>
      </c>
      <c r="D653" s="121" t="s">
        <v>201</v>
      </c>
      <c r="E653" s="133" t="s">
        <v>202</v>
      </c>
      <c r="F653" s="121" t="s">
        <v>2528</v>
      </c>
      <c r="G653" s="121" t="s">
        <v>1097</v>
      </c>
      <c r="H653" s="121"/>
    </row>
    <row r="654" hidden="1">
      <c r="A654" s="121" t="s">
        <v>200</v>
      </c>
      <c r="B654" s="121" t="s">
        <v>1612</v>
      </c>
      <c r="C654" s="121" t="s">
        <v>1623</v>
      </c>
      <c r="D654" s="121" t="s">
        <v>2759</v>
      </c>
      <c r="E654" s="133" t="s">
        <v>1936</v>
      </c>
      <c r="F654" s="121" t="s">
        <v>2526</v>
      </c>
      <c r="G654" s="121" t="s">
        <v>1094</v>
      </c>
      <c r="H654" s="121"/>
    </row>
    <row r="655" hidden="1">
      <c r="A655" s="121" t="s">
        <v>200</v>
      </c>
      <c r="B655" s="121" t="s">
        <v>1612</v>
      </c>
      <c r="C655" s="121" t="s">
        <v>1623</v>
      </c>
      <c r="D655" s="121" t="s">
        <v>2760</v>
      </c>
      <c r="E655" s="133" t="s">
        <v>1938</v>
      </c>
      <c r="F655" s="121" t="s">
        <v>2529</v>
      </c>
      <c r="G655" s="121" t="s">
        <v>1088</v>
      </c>
      <c r="H655" s="121"/>
    </row>
    <row r="656" hidden="1">
      <c r="A656" s="121" t="s">
        <v>200</v>
      </c>
      <c r="B656" s="121" t="s">
        <v>1612</v>
      </c>
      <c r="C656" s="121" t="s">
        <v>1573</v>
      </c>
      <c r="D656" s="121" t="s">
        <v>1939</v>
      </c>
      <c r="E656" s="133" t="s">
        <v>1630</v>
      </c>
      <c r="F656" s="121"/>
      <c r="G656" s="121"/>
      <c r="H656" s="121"/>
    </row>
    <row r="657" hidden="1">
      <c r="A657" s="121" t="s">
        <v>200</v>
      </c>
      <c r="B657" s="121" t="s">
        <v>1631</v>
      </c>
      <c r="C657" s="121" t="s">
        <v>1573</v>
      </c>
      <c r="D657" s="121" t="s">
        <v>2761</v>
      </c>
      <c r="E657" s="133" t="s">
        <v>1634</v>
      </c>
      <c r="F657" s="121"/>
      <c r="G657" s="121"/>
      <c r="H657" s="121"/>
    </row>
    <row r="658">
      <c r="A658" s="121" t="s">
        <v>209</v>
      </c>
      <c r="B658" s="121" t="s">
        <v>1596</v>
      </c>
      <c r="C658" s="121" t="s">
        <v>1573</v>
      </c>
      <c r="D658" s="121" t="s">
        <v>2762</v>
      </c>
      <c r="E658" s="133" t="s">
        <v>1728</v>
      </c>
      <c r="F658" s="121" t="s">
        <v>2414</v>
      </c>
      <c r="G658" s="121" t="s">
        <v>1304</v>
      </c>
      <c r="H658" s="121"/>
    </row>
    <row r="659">
      <c r="A659" s="121" t="s">
        <v>209</v>
      </c>
      <c r="B659" s="121" t="s">
        <v>1596</v>
      </c>
      <c r="C659" s="121" t="s">
        <v>1573</v>
      </c>
      <c r="D659" s="121" t="s">
        <v>2119</v>
      </c>
      <c r="E659" s="133" t="s">
        <v>1649</v>
      </c>
      <c r="F659" s="121" t="s">
        <v>2530</v>
      </c>
      <c r="G659" s="121" t="s">
        <v>758</v>
      </c>
      <c r="H659" s="121"/>
    </row>
    <row r="660">
      <c r="A660" s="121" t="s">
        <v>209</v>
      </c>
      <c r="B660" s="121" t="s">
        <v>1596</v>
      </c>
      <c r="C660" s="121" t="s">
        <v>1573</v>
      </c>
      <c r="D660" s="121" t="s">
        <v>2763</v>
      </c>
      <c r="E660" s="133" t="s">
        <v>1651</v>
      </c>
      <c r="F660" s="121" t="s">
        <v>2175</v>
      </c>
      <c r="G660" s="121" t="s">
        <v>1213</v>
      </c>
      <c r="H660" s="121"/>
    </row>
    <row r="661">
      <c r="A661" s="121" t="s">
        <v>209</v>
      </c>
      <c r="B661" s="121" t="s">
        <v>1596</v>
      </c>
      <c r="C661" s="121" t="s">
        <v>1573</v>
      </c>
      <c r="D661" s="121" t="s">
        <v>2120</v>
      </c>
      <c r="E661" s="133" t="s">
        <v>1653</v>
      </c>
      <c r="F661" s="121" t="s">
        <v>2395</v>
      </c>
      <c r="G661" s="121" t="s">
        <v>1225</v>
      </c>
      <c r="H661" s="121"/>
    </row>
    <row r="662">
      <c r="A662" s="121" t="s">
        <v>209</v>
      </c>
      <c r="B662" s="121" t="s">
        <v>1596</v>
      </c>
      <c r="C662" s="121" t="s">
        <v>1573</v>
      </c>
      <c r="D662" s="121" t="s">
        <v>2121</v>
      </c>
      <c r="E662" s="133" t="s">
        <v>1655</v>
      </c>
      <c r="F662" s="121" t="s">
        <v>2531</v>
      </c>
      <c r="G662" s="121" t="s">
        <v>1146</v>
      </c>
      <c r="H662" s="121"/>
    </row>
    <row r="663">
      <c r="A663" s="121" t="s">
        <v>209</v>
      </c>
      <c r="B663" s="121" t="s">
        <v>1596</v>
      </c>
      <c r="C663" s="121" t="s">
        <v>1607</v>
      </c>
      <c r="D663" s="121" t="s">
        <v>2764</v>
      </c>
      <c r="E663" s="133" t="s">
        <v>8</v>
      </c>
      <c r="F663" s="121" t="s">
        <v>2532</v>
      </c>
      <c r="G663" s="121" t="s">
        <v>1143</v>
      </c>
      <c r="H663" s="121"/>
    </row>
    <row r="664">
      <c r="A664" s="121" t="s">
        <v>209</v>
      </c>
      <c r="B664" s="121" t="s">
        <v>1596</v>
      </c>
      <c r="C664" s="121" t="s">
        <v>1573</v>
      </c>
      <c r="D664" s="121" t="s">
        <v>1608</v>
      </c>
      <c r="E664" s="133" t="s">
        <v>1609</v>
      </c>
      <c r="F664" s="121" t="s">
        <v>2159</v>
      </c>
      <c r="G664" s="121" t="s">
        <v>2160</v>
      </c>
      <c r="H664" s="121"/>
    </row>
    <row r="665">
      <c r="A665" s="121" t="s">
        <v>209</v>
      </c>
      <c r="B665" s="121" t="s">
        <v>1596</v>
      </c>
      <c r="C665" s="121" t="s">
        <v>1573</v>
      </c>
      <c r="D665" s="121" t="s">
        <v>1610</v>
      </c>
      <c r="E665" s="133" t="s">
        <v>2723</v>
      </c>
      <c r="F665" s="121"/>
      <c r="G665" s="121"/>
      <c r="H665" s="121"/>
    </row>
    <row r="666" hidden="1">
      <c r="A666" s="121" t="s">
        <v>209</v>
      </c>
      <c r="B666" s="121" t="s">
        <v>1612</v>
      </c>
      <c r="C666" s="121" t="s">
        <v>1573</v>
      </c>
      <c r="D666" s="121" t="s">
        <v>1832</v>
      </c>
      <c r="E666" s="133" t="s">
        <v>1833</v>
      </c>
      <c r="F666" s="121" t="s">
        <v>2534</v>
      </c>
      <c r="G666" s="121" t="s">
        <v>2535</v>
      </c>
      <c r="H666" s="121"/>
    </row>
    <row r="667" hidden="1">
      <c r="A667" s="121" t="s">
        <v>209</v>
      </c>
      <c r="B667" s="121" t="s">
        <v>1612</v>
      </c>
      <c r="C667" s="121" t="s">
        <v>1573</v>
      </c>
      <c r="D667" s="121" t="s">
        <v>1834</v>
      </c>
      <c r="E667" s="133" t="s">
        <v>1835</v>
      </c>
      <c r="F667" s="121" t="s">
        <v>2536</v>
      </c>
      <c r="G667" s="121" t="s">
        <v>1195</v>
      </c>
      <c r="H667" s="121"/>
    </row>
    <row r="668" hidden="1">
      <c r="A668" s="121" t="s">
        <v>209</v>
      </c>
      <c r="B668" s="121" t="s">
        <v>1612</v>
      </c>
      <c r="C668" s="121" t="s">
        <v>1573</v>
      </c>
      <c r="D668" s="121" t="s">
        <v>1836</v>
      </c>
      <c r="E668" s="133" t="s">
        <v>1837</v>
      </c>
      <c r="F668" s="121" t="s">
        <v>2530</v>
      </c>
      <c r="G668" s="121" t="s">
        <v>758</v>
      </c>
      <c r="H668" s="121"/>
    </row>
    <row r="669" hidden="1">
      <c r="A669" s="121" t="s">
        <v>209</v>
      </c>
      <c r="B669" s="121" t="s">
        <v>1612</v>
      </c>
      <c r="C669" s="121" t="s">
        <v>1619</v>
      </c>
      <c r="D669" s="121" t="s">
        <v>213</v>
      </c>
      <c r="E669" s="133" t="s">
        <v>214</v>
      </c>
      <c r="F669" s="121" t="s">
        <v>2537</v>
      </c>
      <c r="G669" s="121" t="s">
        <v>1201</v>
      </c>
      <c r="H669" s="121"/>
    </row>
    <row r="670" hidden="1">
      <c r="A670" s="121" t="s">
        <v>209</v>
      </c>
      <c r="B670" s="121" t="s">
        <v>1612</v>
      </c>
      <c r="C670" s="121" t="s">
        <v>1620</v>
      </c>
      <c r="D670" s="121" t="s">
        <v>215</v>
      </c>
      <c r="E670" s="133" t="s">
        <v>82</v>
      </c>
      <c r="F670" s="121" t="s">
        <v>2386</v>
      </c>
      <c r="G670" s="121" t="s">
        <v>776</v>
      </c>
      <c r="H670" s="121"/>
    </row>
    <row r="671" hidden="1">
      <c r="A671" s="121" t="s">
        <v>209</v>
      </c>
      <c r="B671" s="121" t="s">
        <v>1612</v>
      </c>
      <c r="C671" s="121" t="s">
        <v>1621</v>
      </c>
      <c r="D671" s="121" t="s">
        <v>210</v>
      </c>
      <c r="E671" s="133" t="s">
        <v>211</v>
      </c>
      <c r="F671" s="121" t="s">
        <v>2531</v>
      </c>
      <c r="G671" s="121" t="s">
        <v>1146</v>
      </c>
      <c r="H671" s="121"/>
    </row>
    <row r="672" hidden="1">
      <c r="A672" s="121" t="s">
        <v>209</v>
      </c>
      <c r="B672" s="121" t="s">
        <v>1612</v>
      </c>
      <c r="C672" s="121" t="s">
        <v>1622</v>
      </c>
      <c r="D672" s="121" t="s">
        <v>2765</v>
      </c>
      <c r="E672" s="133" t="s">
        <v>1708</v>
      </c>
      <c r="F672" s="121" t="s">
        <v>2227</v>
      </c>
      <c r="G672" s="121" t="s">
        <v>446</v>
      </c>
      <c r="H672" s="121"/>
    </row>
    <row r="673" hidden="1">
      <c r="A673" s="121" t="s">
        <v>209</v>
      </c>
      <c r="B673" s="121" t="s">
        <v>1612</v>
      </c>
      <c r="C673" s="121" t="s">
        <v>1623</v>
      </c>
      <c r="D673" s="121" t="s">
        <v>1838</v>
      </c>
      <c r="E673" s="133" t="s">
        <v>1839</v>
      </c>
      <c r="F673" s="121" t="s">
        <v>2431</v>
      </c>
      <c r="G673" s="121" t="s">
        <v>825</v>
      </c>
      <c r="H673" s="121"/>
    </row>
    <row r="674" hidden="1">
      <c r="A674" s="121" t="s">
        <v>209</v>
      </c>
      <c r="B674" s="121" t="s">
        <v>1612</v>
      </c>
      <c r="C674" s="121" t="s">
        <v>1628</v>
      </c>
      <c r="D674" s="121" t="s">
        <v>1840</v>
      </c>
      <c r="E674" s="133" t="s">
        <v>1630</v>
      </c>
      <c r="F674" s="121"/>
      <c r="G674" s="121"/>
      <c r="H674" s="121"/>
    </row>
    <row r="675" hidden="1">
      <c r="A675" s="121" t="s">
        <v>209</v>
      </c>
      <c r="B675" s="121" t="s">
        <v>1631</v>
      </c>
      <c r="C675" s="121" t="s">
        <v>1573</v>
      </c>
      <c r="D675" s="121" t="s">
        <v>2766</v>
      </c>
      <c r="E675" s="133" t="s">
        <v>1634</v>
      </c>
      <c r="F675" s="121"/>
      <c r="G675" s="121"/>
      <c r="H675" s="121"/>
    </row>
    <row r="676" hidden="1">
      <c r="A676" s="121" t="s">
        <v>40</v>
      </c>
      <c r="B676" s="121" t="s">
        <v>1572</v>
      </c>
      <c r="C676" s="121" t="s">
        <v>1573</v>
      </c>
      <c r="D676" s="121" t="s">
        <v>1574</v>
      </c>
      <c r="E676" s="133" t="s">
        <v>1575</v>
      </c>
      <c r="F676" s="121" t="s">
        <v>2181</v>
      </c>
      <c r="G676" s="121" t="s">
        <v>1268</v>
      </c>
      <c r="H676" s="121"/>
    </row>
    <row r="677" hidden="1">
      <c r="A677" s="121" t="s">
        <v>40</v>
      </c>
      <c r="B677" s="121" t="s">
        <v>1572</v>
      </c>
      <c r="C677" s="121" t="s">
        <v>1573</v>
      </c>
      <c r="D677" s="121" t="s">
        <v>1574</v>
      </c>
      <c r="E677" s="133" t="s">
        <v>1575</v>
      </c>
      <c r="F677" s="121" t="s">
        <v>2433</v>
      </c>
      <c r="G677" s="121" t="s">
        <v>1325</v>
      </c>
      <c r="H677" s="121"/>
    </row>
    <row r="678" hidden="1">
      <c r="A678" s="121" t="s">
        <v>40</v>
      </c>
      <c r="B678" s="121" t="s">
        <v>1572</v>
      </c>
      <c r="C678" s="121" t="s">
        <v>1573</v>
      </c>
      <c r="D678" s="121" t="s">
        <v>1574</v>
      </c>
      <c r="E678" s="133" t="s">
        <v>1575</v>
      </c>
      <c r="F678" s="121" t="s">
        <v>2146</v>
      </c>
      <c r="G678" s="121" t="s">
        <v>1286</v>
      </c>
      <c r="H678" s="121"/>
    </row>
    <row r="679" hidden="1">
      <c r="A679" s="121" t="s">
        <v>40</v>
      </c>
      <c r="B679" s="121" t="s">
        <v>1572</v>
      </c>
      <c r="C679" s="121" t="s">
        <v>1573</v>
      </c>
      <c r="D679" s="121" t="s">
        <v>1574</v>
      </c>
      <c r="E679" s="133" t="s">
        <v>1575</v>
      </c>
      <c r="F679" s="133" t="s">
        <v>2538</v>
      </c>
      <c r="G679" s="121" t="s">
        <v>1292</v>
      </c>
      <c r="H679" s="121"/>
    </row>
    <row r="680" hidden="1">
      <c r="A680" s="121" t="s">
        <v>40</v>
      </c>
      <c r="B680" s="121" t="s">
        <v>1572</v>
      </c>
      <c r="C680" s="121" t="s">
        <v>1573</v>
      </c>
      <c r="D680" s="121" t="s">
        <v>1577</v>
      </c>
      <c r="E680" s="133" t="s">
        <v>1578</v>
      </c>
      <c r="F680" s="121" t="s">
        <v>2339</v>
      </c>
      <c r="G680" s="121" t="s">
        <v>1495</v>
      </c>
      <c r="H680" s="121"/>
    </row>
    <row r="681" hidden="1">
      <c r="A681" s="121" t="s">
        <v>40</v>
      </c>
      <c r="B681" s="121" t="s">
        <v>1572</v>
      </c>
      <c r="C681" s="121" t="s">
        <v>1573</v>
      </c>
      <c r="D681" s="121" t="s">
        <v>1577</v>
      </c>
      <c r="E681" s="133" t="s">
        <v>1578</v>
      </c>
      <c r="F681" s="121" t="s">
        <v>2539</v>
      </c>
      <c r="G681" s="121" t="s">
        <v>1465</v>
      </c>
      <c r="H681" s="121"/>
    </row>
    <row r="682" hidden="1">
      <c r="A682" s="121" t="s">
        <v>40</v>
      </c>
      <c r="B682" s="121" t="s">
        <v>1572</v>
      </c>
      <c r="C682" s="121" t="s">
        <v>1573</v>
      </c>
      <c r="D682" s="121" t="s">
        <v>1577</v>
      </c>
      <c r="E682" s="133" t="s">
        <v>1578</v>
      </c>
      <c r="F682" s="133" t="s">
        <v>2434</v>
      </c>
      <c r="G682" s="121" t="s">
        <v>1480</v>
      </c>
      <c r="H682" s="121"/>
    </row>
    <row r="683" hidden="1">
      <c r="A683" s="121" t="s">
        <v>40</v>
      </c>
      <c r="B683" s="121" t="s">
        <v>1572</v>
      </c>
      <c r="C683" s="121" t="s">
        <v>1573</v>
      </c>
      <c r="D683" s="121" t="s">
        <v>1577</v>
      </c>
      <c r="E683" s="133" t="s">
        <v>1578</v>
      </c>
      <c r="F683" s="121" t="s">
        <v>2453</v>
      </c>
      <c r="G683" s="121" t="s">
        <v>1483</v>
      </c>
      <c r="H683" s="121"/>
    </row>
    <row r="684" hidden="1">
      <c r="A684" s="121" t="s">
        <v>40</v>
      </c>
      <c r="B684" s="121" t="s">
        <v>1572</v>
      </c>
      <c r="C684" s="121" t="s">
        <v>1573</v>
      </c>
      <c r="D684" s="121" t="s">
        <v>1580</v>
      </c>
      <c r="E684" s="133" t="s">
        <v>1581</v>
      </c>
      <c r="F684" s="133" t="s">
        <v>2295</v>
      </c>
      <c r="G684" s="121" t="s">
        <v>664</v>
      </c>
      <c r="H684" s="121"/>
    </row>
    <row r="685" hidden="1">
      <c r="A685" s="121" t="s">
        <v>40</v>
      </c>
      <c r="B685" s="121" t="s">
        <v>1572</v>
      </c>
      <c r="C685" s="121" t="s">
        <v>1573</v>
      </c>
      <c r="D685" s="121" t="s">
        <v>1580</v>
      </c>
      <c r="E685" s="133" t="s">
        <v>1581</v>
      </c>
      <c r="F685" s="121" t="s">
        <v>2157</v>
      </c>
      <c r="G685" s="121" t="s">
        <v>628</v>
      </c>
      <c r="H685" s="121"/>
    </row>
    <row r="686" hidden="1">
      <c r="A686" s="121" t="s">
        <v>40</v>
      </c>
      <c r="B686" s="121" t="s">
        <v>1572</v>
      </c>
      <c r="C686" s="121" t="s">
        <v>1573</v>
      </c>
      <c r="D686" s="121" t="s">
        <v>1580</v>
      </c>
      <c r="E686" s="133" t="s">
        <v>1581</v>
      </c>
      <c r="F686" s="121" t="s">
        <v>2156</v>
      </c>
      <c r="G686" s="121" t="s">
        <v>637</v>
      </c>
      <c r="H686" s="121"/>
    </row>
    <row r="687" hidden="1">
      <c r="A687" s="121" t="s">
        <v>40</v>
      </c>
      <c r="B687" s="121" t="s">
        <v>1572</v>
      </c>
      <c r="C687" s="121" t="s">
        <v>1573</v>
      </c>
      <c r="D687" s="121" t="s">
        <v>1580</v>
      </c>
      <c r="E687" s="133" t="s">
        <v>1581</v>
      </c>
      <c r="F687" s="121" t="s">
        <v>2201</v>
      </c>
      <c r="G687" s="121" t="s">
        <v>643</v>
      </c>
      <c r="H687" s="121"/>
    </row>
    <row r="688" hidden="1">
      <c r="A688" s="121" t="s">
        <v>40</v>
      </c>
      <c r="B688" s="121" t="s">
        <v>1572</v>
      </c>
      <c r="C688" s="121" t="s">
        <v>1573</v>
      </c>
      <c r="D688" s="121" t="s">
        <v>1582</v>
      </c>
      <c r="E688" s="133" t="s">
        <v>1583</v>
      </c>
      <c r="F688" s="121" t="s">
        <v>2454</v>
      </c>
      <c r="G688" s="121" t="s">
        <v>1219</v>
      </c>
      <c r="H688" s="121"/>
    </row>
    <row r="689" hidden="1">
      <c r="A689" s="121" t="s">
        <v>40</v>
      </c>
      <c r="B689" s="121" t="s">
        <v>1572</v>
      </c>
      <c r="C689" s="121" t="s">
        <v>1573</v>
      </c>
      <c r="D689" s="121" t="s">
        <v>1582</v>
      </c>
      <c r="E689" s="133" t="s">
        <v>1583</v>
      </c>
      <c r="F689" s="121" t="s">
        <v>2428</v>
      </c>
      <c r="G689" s="121" t="s">
        <v>822</v>
      </c>
      <c r="H689" s="121"/>
    </row>
    <row r="690" hidden="1">
      <c r="A690" s="121" t="s">
        <v>40</v>
      </c>
      <c r="B690" s="121" t="s">
        <v>1572</v>
      </c>
      <c r="C690" s="121" t="s">
        <v>1573</v>
      </c>
      <c r="D690" s="121" t="s">
        <v>1582</v>
      </c>
      <c r="E690" s="133" t="s">
        <v>1583</v>
      </c>
      <c r="F690" s="121" t="s">
        <v>2541</v>
      </c>
      <c r="G690" s="121" t="s">
        <v>410</v>
      </c>
      <c r="H690" s="121"/>
    </row>
    <row r="691" hidden="1">
      <c r="A691" s="121" t="s">
        <v>40</v>
      </c>
      <c r="B691" s="121" t="s">
        <v>1572</v>
      </c>
      <c r="C691" s="121" t="s">
        <v>1573</v>
      </c>
      <c r="D691" s="121" t="s">
        <v>1582</v>
      </c>
      <c r="E691" s="133" t="s">
        <v>1583</v>
      </c>
      <c r="F691" s="121" t="s">
        <v>2542</v>
      </c>
      <c r="G691" s="121" t="s">
        <v>1186</v>
      </c>
      <c r="H691" s="121"/>
    </row>
    <row r="692" hidden="1">
      <c r="A692" s="121" t="s">
        <v>40</v>
      </c>
      <c r="B692" s="121" t="s">
        <v>1572</v>
      </c>
      <c r="C692" s="121" t="s">
        <v>1573</v>
      </c>
      <c r="D692" s="121" t="s">
        <v>1636</v>
      </c>
      <c r="E692" s="133" t="s">
        <v>1637</v>
      </c>
      <c r="F692" s="121" t="s">
        <v>2448</v>
      </c>
      <c r="G692" s="121" t="s">
        <v>1026</v>
      </c>
      <c r="H692" s="121"/>
    </row>
    <row r="693" hidden="1">
      <c r="A693" s="121" t="s">
        <v>40</v>
      </c>
      <c r="B693" s="121" t="s">
        <v>1572</v>
      </c>
      <c r="C693" s="121" t="s">
        <v>1573</v>
      </c>
      <c r="D693" s="121" t="s">
        <v>1636</v>
      </c>
      <c r="E693" s="133" t="s">
        <v>1637</v>
      </c>
      <c r="F693" s="121" t="s">
        <v>2224</v>
      </c>
      <c r="G693" s="121" t="s">
        <v>1029</v>
      </c>
      <c r="H693" s="121"/>
    </row>
    <row r="694" hidden="1">
      <c r="A694" s="121" t="s">
        <v>40</v>
      </c>
      <c r="B694" s="121" t="s">
        <v>1572</v>
      </c>
      <c r="C694" s="121" t="s">
        <v>1573</v>
      </c>
      <c r="D694" s="121" t="s">
        <v>1636</v>
      </c>
      <c r="E694" s="133" t="s">
        <v>1637</v>
      </c>
      <c r="F694" s="121" t="s">
        <v>2447</v>
      </c>
      <c r="G694" s="121" t="s">
        <v>972</v>
      </c>
      <c r="H694" s="121"/>
    </row>
    <row r="695" hidden="1">
      <c r="A695" s="121" t="s">
        <v>40</v>
      </c>
      <c r="B695" s="121" t="s">
        <v>1572</v>
      </c>
      <c r="C695" s="121" t="s">
        <v>1573</v>
      </c>
      <c r="D695" s="121" t="s">
        <v>1636</v>
      </c>
      <c r="E695" s="133" t="s">
        <v>1637</v>
      </c>
      <c r="F695" s="121" t="s">
        <v>2446</v>
      </c>
      <c r="G695" s="121" t="s">
        <v>984</v>
      </c>
      <c r="H695" s="121"/>
    </row>
    <row r="696" hidden="1">
      <c r="A696" s="121" t="s">
        <v>40</v>
      </c>
      <c r="B696" s="121" t="s">
        <v>1572</v>
      </c>
      <c r="C696" s="121" t="s">
        <v>1573</v>
      </c>
      <c r="D696" s="121" t="s">
        <v>1636</v>
      </c>
      <c r="E696" s="133" t="s">
        <v>1637</v>
      </c>
      <c r="F696" s="121" t="s">
        <v>2450</v>
      </c>
      <c r="G696" s="121" t="s">
        <v>2451</v>
      </c>
      <c r="H696" s="121"/>
    </row>
    <row r="697" hidden="1">
      <c r="A697" s="121" t="s">
        <v>40</v>
      </c>
      <c r="B697" s="121" t="s">
        <v>1572</v>
      </c>
      <c r="C697" s="121" t="s">
        <v>1573</v>
      </c>
      <c r="D697" s="121" t="s">
        <v>1896</v>
      </c>
      <c r="E697" s="133" t="s">
        <v>1639</v>
      </c>
      <c r="F697" s="121" t="s">
        <v>2543</v>
      </c>
      <c r="G697" s="121" t="s">
        <v>888</v>
      </c>
      <c r="H697" s="121"/>
    </row>
    <row r="698" hidden="1">
      <c r="A698" s="121" t="s">
        <v>40</v>
      </c>
      <c r="B698" s="121" t="s">
        <v>1572</v>
      </c>
      <c r="C698" s="121" t="s">
        <v>1573</v>
      </c>
      <c r="D698" s="121" t="s">
        <v>1896</v>
      </c>
      <c r="E698" s="133" t="s">
        <v>1639</v>
      </c>
      <c r="F698" s="121" t="s">
        <v>2544</v>
      </c>
      <c r="G698" s="121" t="s">
        <v>1180</v>
      </c>
      <c r="H698" s="121"/>
    </row>
    <row r="699" hidden="1">
      <c r="A699" s="121" t="s">
        <v>40</v>
      </c>
      <c r="B699" s="121" t="s">
        <v>1572</v>
      </c>
      <c r="C699" s="121" t="s">
        <v>1573</v>
      </c>
      <c r="D699" s="121" t="s">
        <v>1896</v>
      </c>
      <c r="E699" s="133" t="s">
        <v>1639</v>
      </c>
      <c r="F699" s="121" t="s">
        <v>2545</v>
      </c>
      <c r="G699" s="121" t="s">
        <v>1216</v>
      </c>
      <c r="H699" s="121"/>
    </row>
    <row r="700" hidden="1">
      <c r="A700" s="121" t="s">
        <v>40</v>
      </c>
      <c r="B700" s="121" t="s">
        <v>1572</v>
      </c>
      <c r="C700" s="121" t="s">
        <v>1573</v>
      </c>
      <c r="D700" s="121" t="s">
        <v>1896</v>
      </c>
      <c r="E700" s="133" t="s">
        <v>1639</v>
      </c>
      <c r="F700" s="121" t="s">
        <v>2396</v>
      </c>
      <c r="G700" s="121" t="s">
        <v>1210</v>
      </c>
      <c r="H700" s="121"/>
    </row>
    <row r="701" hidden="1">
      <c r="A701" s="121" t="s">
        <v>40</v>
      </c>
      <c r="B701" s="121" t="s">
        <v>1572</v>
      </c>
      <c r="C701" s="121" t="s">
        <v>1573</v>
      </c>
      <c r="D701" s="121" t="s">
        <v>1589</v>
      </c>
      <c r="E701" s="133" t="s">
        <v>1590</v>
      </c>
      <c r="F701" s="121" t="s">
        <v>2180</v>
      </c>
      <c r="G701" s="121" t="s">
        <v>1132</v>
      </c>
      <c r="H701" s="121"/>
    </row>
    <row r="702" hidden="1">
      <c r="A702" s="121" t="s">
        <v>40</v>
      </c>
      <c r="B702" s="121" t="s">
        <v>1572</v>
      </c>
      <c r="C702" s="121" t="s">
        <v>1573</v>
      </c>
      <c r="D702" s="121" t="s">
        <v>1589</v>
      </c>
      <c r="E702" s="133" t="s">
        <v>1590</v>
      </c>
      <c r="F702" s="121" t="s">
        <v>2178</v>
      </c>
      <c r="G702" s="121" t="s">
        <v>1117</v>
      </c>
      <c r="H702" s="121"/>
    </row>
    <row r="703" hidden="1">
      <c r="A703" s="121" t="s">
        <v>40</v>
      </c>
      <c r="B703" s="121" t="s">
        <v>1572</v>
      </c>
      <c r="C703" s="121" t="s">
        <v>1573</v>
      </c>
      <c r="D703" s="121" t="s">
        <v>1589</v>
      </c>
      <c r="E703" s="133" t="s">
        <v>1590</v>
      </c>
      <c r="F703" s="121" t="s">
        <v>2177</v>
      </c>
      <c r="G703" s="121" t="s">
        <v>1114</v>
      </c>
      <c r="H703" s="121"/>
    </row>
    <row r="704" hidden="1">
      <c r="A704" s="121" t="s">
        <v>40</v>
      </c>
      <c r="B704" s="121" t="s">
        <v>1572</v>
      </c>
      <c r="C704" s="121" t="s">
        <v>1573</v>
      </c>
      <c r="D704" s="121" t="s">
        <v>1591</v>
      </c>
      <c r="E704" s="133" t="s">
        <v>1726</v>
      </c>
      <c r="F704" s="121"/>
      <c r="G704" s="121"/>
      <c r="H704" s="121"/>
    </row>
    <row r="705">
      <c r="A705" s="121" t="s">
        <v>40</v>
      </c>
      <c r="B705" s="121" t="s">
        <v>1596</v>
      </c>
      <c r="C705" s="121" t="s">
        <v>1573</v>
      </c>
      <c r="D705" s="121" t="s">
        <v>1898</v>
      </c>
      <c r="E705" s="133" t="s">
        <v>1728</v>
      </c>
      <c r="F705" s="121" t="s">
        <v>2432</v>
      </c>
      <c r="G705" s="121" t="s">
        <v>1319</v>
      </c>
      <c r="H705" s="121"/>
    </row>
    <row r="706">
      <c r="A706" s="121" t="s">
        <v>40</v>
      </c>
      <c r="B706" s="121" t="s">
        <v>1596</v>
      </c>
      <c r="C706" s="121" t="s">
        <v>1573</v>
      </c>
      <c r="D706" s="121" t="s">
        <v>1898</v>
      </c>
      <c r="E706" s="133" t="s">
        <v>1728</v>
      </c>
      <c r="F706" s="133" t="s">
        <v>2433</v>
      </c>
      <c r="G706" s="121" t="s">
        <v>1325</v>
      </c>
      <c r="H706" s="121"/>
    </row>
    <row r="707">
      <c r="A707" s="121" t="s">
        <v>40</v>
      </c>
      <c r="B707" s="121" t="s">
        <v>1596</v>
      </c>
      <c r="C707" s="121" t="s">
        <v>1573</v>
      </c>
      <c r="D707" s="121" t="s">
        <v>1898</v>
      </c>
      <c r="E707" s="133" t="s">
        <v>1728</v>
      </c>
      <c r="F707" s="121" t="s">
        <v>2538</v>
      </c>
      <c r="G707" s="121" t="s">
        <v>1292</v>
      </c>
      <c r="H707" s="121"/>
    </row>
    <row r="708">
      <c r="A708" s="121" t="s">
        <v>40</v>
      </c>
      <c r="B708" s="121" t="s">
        <v>1596</v>
      </c>
      <c r="C708" s="121" t="s">
        <v>1573</v>
      </c>
      <c r="D708" s="121" t="s">
        <v>1899</v>
      </c>
      <c r="E708" s="133" t="s">
        <v>1649</v>
      </c>
      <c r="F708" s="121" t="s">
        <v>2541</v>
      </c>
      <c r="G708" s="121" t="s">
        <v>410</v>
      </c>
      <c r="H708" s="121"/>
    </row>
    <row r="709">
      <c r="A709" s="121" t="s">
        <v>40</v>
      </c>
      <c r="B709" s="121" t="s">
        <v>1596</v>
      </c>
      <c r="C709" s="121" t="s">
        <v>1573</v>
      </c>
      <c r="D709" s="121" t="s">
        <v>1899</v>
      </c>
      <c r="E709" s="133" t="s">
        <v>1649</v>
      </c>
      <c r="F709" s="121" t="s">
        <v>2062</v>
      </c>
      <c r="G709" s="121" t="s">
        <v>309</v>
      </c>
      <c r="H709" s="121"/>
    </row>
    <row r="710">
      <c r="A710" s="121" t="s">
        <v>40</v>
      </c>
      <c r="B710" s="121" t="s">
        <v>1596</v>
      </c>
      <c r="C710" s="121" t="s">
        <v>1573</v>
      </c>
      <c r="D710" s="121" t="s">
        <v>1899</v>
      </c>
      <c r="E710" s="133" t="s">
        <v>1649</v>
      </c>
      <c r="F710" s="121" t="s">
        <v>2546</v>
      </c>
      <c r="G710" s="121" t="s">
        <v>1159</v>
      </c>
      <c r="H710" s="121"/>
    </row>
    <row r="711">
      <c r="A711" s="121" t="s">
        <v>40</v>
      </c>
      <c r="B711" s="121" t="s">
        <v>1596</v>
      </c>
      <c r="C711" s="121" t="s">
        <v>1573</v>
      </c>
      <c r="D711" s="121" t="s">
        <v>1900</v>
      </c>
      <c r="E711" s="133" t="s">
        <v>1651</v>
      </c>
      <c r="F711" s="121" t="s">
        <v>2407</v>
      </c>
      <c r="G711" s="121" t="s">
        <v>413</v>
      </c>
      <c r="H711" s="121"/>
    </row>
    <row r="712">
      <c r="A712" s="121" t="s">
        <v>40</v>
      </c>
      <c r="B712" s="121" t="s">
        <v>1596</v>
      </c>
      <c r="C712" s="121" t="s">
        <v>1573</v>
      </c>
      <c r="D712" s="121" t="s">
        <v>1900</v>
      </c>
      <c r="E712" s="133" t="s">
        <v>1651</v>
      </c>
      <c r="F712" s="121" t="s">
        <v>2548</v>
      </c>
      <c r="G712" s="121" t="s">
        <v>2549</v>
      </c>
      <c r="H712" s="121"/>
    </row>
    <row r="713">
      <c r="A713" s="121" t="s">
        <v>40</v>
      </c>
      <c r="B713" s="121" t="s">
        <v>1596</v>
      </c>
      <c r="C713" s="121" t="s">
        <v>1573</v>
      </c>
      <c r="D713" s="121" t="s">
        <v>1900</v>
      </c>
      <c r="E713" s="133" t="s">
        <v>1651</v>
      </c>
      <c r="F713" s="121" t="s">
        <v>2550</v>
      </c>
      <c r="G713" s="121" t="s">
        <v>1255</v>
      </c>
      <c r="H713" s="121"/>
    </row>
    <row r="714">
      <c r="A714" s="121" t="s">
        <v>40</v>
      </c>
      <c r="B714" s="121" t="s">
        <v>1596</v>
      </c>
      <c r="C714" s="121" t="s">
        <v>1573</v>
      </c>
      <c r="D714" s="121" t="s">
        <v>1901</v>
      </c>
      <c r="E714" s="133" t="s">
        <v>1653</v>
      </c>
      <c r="F714" s="121" t="s">
        <v>2551</v>
      </c>
      <c r="G714" s="121" t="s">
        <v>1192</v>
      </c>
      <c r="H714" s="121"/>
    </row>
    <row r="715">
      <c r="A715" s="121" t="s">
        <v>40</v>
      </c>
      <c r="B715" s="121" t="s">
        <v>1596</v>
      </c>
      <c r="C715" s="121" t="s">
        <v>1573</v>
      </c>
      <c r="D715" s="121" t="s">
        <v>1901</v>
      </c>
      <c r="E715" s="133" t="s">
        <v>1653</v>
      </c>
      <c r="F715" s="121" t="s">
        <v>2552</v>
      </c>
      <c r="G715" s="121" t="s">
        <v>1183</v>
      </c>
      <c r="H715" s="121"/>
    </row>
    <row r="716">
      <c r="A716" s="121" t="s">
        <v>40</v>
      </c>
      <c r="B716" s="121" t="s">
        <v>1596</v>
      </c>
      <c r="C716" s="121" t="s">
        <v>1573</v>
      </c>
      <c r="D716" s="121" t="s">
        <v>1901</v>
      </c>
      <c r="E716" s="133" t="s">
        <v>1653</v>
      </c>
      <c r="F716" s="121" t="s">
        <v>2246</v>
      </c>
      <c r="G716" s="121" t="s">
        <v>330</v>
      </c>
      <c r="H716" s="121"/>
    </row>
    <row r="717" hidden="1">
      <c r="A717" s="121"/>
      <c r="B717" s="121"/>
      <c r="C717" s="121"/>
      <c r="D717" s="121" t="s">
        <v>1901</v>
      </c>
      <c r="E717" s="133" t="s">
        <v>1653</v>
      </c>
      <c r="F717" s="121" t="s">
        <v>2199</v>
      </c>
      <c r="G717" s="121" t="s">
        <v>318</v>
      </c>
      <c r="H717" s="121"/>
    </row>
    <row r="718">
      <c r="A718" s="121" t="s">
        <v>40</v>
      </c>
      <c r="B718" s="121" t="s">
        <v>1596</v>
      </c>
      <c r="C718" s="121" t="s">
        <v>1573</v>
      </c>
      <c r="D718" s="121" t="s">
        <v>1902</v>
      </c>
      <c r="E718" s="133" t="s">
        <v>1655</v>
      </c>
      <c r="F718" s="121" t="s">
        <v>2347</v>
      </c>
      <c r="G718" s="121" t="s">
        <v>1198</v>
      </c>
      <c r="H718" s="121"/>
    </row>
    <row r="719">
      <c r="A719" s="121" t="s">
        <v>40</v>
      </c>
      <c r="B719" s="121" t="s">
        <v>1596</v>
      </c>
      <c r="C719" s="121" t="s">
        <v>1573</v>
      </c>
      <c r="D719" s="121" t="s">
        <v>1902</v>
      </c>
      <c r="E719" s="133" t="s">
        <v>1655</v>
      </c>
      <c r="F719" s="121" t="s">
        <v>2554</v>
      </c>
      <c r="G719" s="121" t="s">
        <v>2555</v>
      </c>
      <c r="H719" s="121"/>
    </row>
    <row r="720">
      <c r="A720" s="121" t="s">
        <v>40</v>
      </c>
      <c r="B720" s="121" t="s">
        <v>1596</v>
      </c>
      <c r="C720" s="121" t="s">
        <v>1573</v>
      </c>
      <c r="D720" s="121" t="s">
        <v>1902</v>
      </c>
      <c r="E720" s="133" t="s">
        <v>1655</v>
      </c>
      <c r="F720" s="121" t="s">
        <v>2563</v>
      </c>
      <c r="G720" s="121" t="s">
        <v>2564</v>
      </c>
      <c r="H720" s="121"/>
    </row>
    <row r="721">
      <c r="A721" s="121" t="s">
        <v>2155</v>
      </c>
      <c r="B721" s="121" t="s">
        <v>1596</v>
      </c>
      <c r="C721" s="121" t="s">
        <v>1607</v>
      </c>
      <c r="D721" s="121" t="s">
        <v>2767</v>
      </c>
      <c r="E721" s="133" t="s">
        <v>21</v>
      </c>
      <c r="F721" s="121" t="s">
        <v>2550</v>
      </c>
      <c r="G721" s="121" t="s">
        <v>1255</v>
      </c>
      <c r="H721" s="121"/>
    </row>
    <row r="722">
      <c r="A722" s="121" t="s">
        <v>40</v>
      </c>
      <c r="B722" s="121" t="s">
        <v>1596</v>
      </c>
      <c r="C722" s="121" t="s">
        <v>1607</v>
      </c>
      <c r="D722" s="121" t="s">
        <v>42</v>
      </c>
      <c r="E722" s="133" t="s">
        <v>8</v>
      </c>
      <c r="F722" s="121" t="s">
        <v>2536</v>
      </c>
      <c r="G722" s="121" t="s">
        <v>1195</v>
      </c>
      <c r="H722" s="121"/>
    </row>
    <row r="723">
      <c r="A723" s="121" t="s">
        <v>40</v>
      </c>
      <c r="B723" s="121" t="s">
        <v>1596</v>
      </c>
      <c r="C723" s="121" t="s">
        <v>1607</v>
      </c>
      <c r="D723" s="121" t="s">
        <v>42</v>
      </c>
      <c r="E723" s="133" t="s">
        <v>8</v>
      </c>
      <c r="F723" s="121" t="s">
        <v>2557</v>
      </c>
      <c r="G723" s="121" t="s">
        <v>1252</v>
      </c>
      <c r="H723" s="121"/>
    </row>
    <row r="724">
      <c r="A724" s="121" t="s">
        <v>40</v>
      </c>
      <c r="B724" s="121" t="s">
        <v>1596</v>
      </c>
      <c r="C724" s="121" t="s">
        <v>1607</v>
      </c>
      <c r="D724" s="121" t="s">
        <v>42</v>
      </c>
      <c r="E724" s="133" t="s">
        <v>8</v>
      </c>
      <c r="F724" s="121" t="s">
        <v>2558</v>
      </c>
      <c r="G724" s="121" t="s">
        <v>1222</v>
      </c>
      <c r="H724" s="121"/>
    </row>
    <row r="725">
      <c r="A725" s="121" t="s">
        <v>40</v>
      </c>
      <c r="B725" s="121" t="s">
        <v>1596</v>
      </c>
      <c r="C725" s="121" t="s">
        <v>1573</v>
      </c>
      <c r="D725" s="121" t="s">
        <v>1608</v>
      </c>
      <c r="E725" s="133" t="s">
        <v>1609</v>
      </c>
      <c r="F725" s="121" t="s">
        <v>2270</v>
      </c>
      <c r="G725" s="121" t="s">
        <v>658</v>
      </c>
      <c r="H725" s="121"/>
    </row>
    <row r="726">
      <c r="A726" s="121" t="s">
        <v>40</v>
      </c>
      <c r="B726" s="121" t="s">
        <v>1596</v>
      </c>
      <c r="C726" s="121" t="s">
        <v>1573</v>
      </c>
      <c r="D726" s="121" t="s">
        <v>1608</v>
      </c>
      <c r="E726" s="133" t="s">
        <v>1609</v>
      </c>
      <c r="F726" s="121" t="s">
        <v>2340</v>
      </c>
      <c r="G726" s="121" t="s">
        <v>661</v>
      </c>
      <c r="H726" s="121"/>
    </row>
    <row r="727">
      <c r="A727" s="121" t="s">
        <v>40</v>
      </c>
      <c r="B727" s="121" t="s">
        <v>1596</v>
      </c>
      <c r="C727" s="121" t="s">
        <v>1573</v>
      </c>
      <c r="D727" s="121" t="s">
        <v>1608</v>
      </c>
      <c r="E727" s="133" t="s">
        <v>1609</v>
      </c>
      <c r="F727" s="121" t="s">
        <v>2156</v>
      </c>
      <c r="G727" s="121" t="s">
        <v>637</v>
      </c>
      <c r="H727" s="121"/>
    </row>
    <row r="728">
      <c r="A728" s="121" t="s">
        <v>40</v>
      </c>
      <c r="B728" s="121" t="s">
        <v>1596</v>
      </c>
      <c r="C728" s="121" t="s">
        <v>1588</v>
      </c>
      <c r="D728" s="121" t="s">
        <v>1610</v>
      </c>
      <c r="E728" s="133" t="s">
        <v>2723</v>
      </c>
      <c r="F728" s="121"/>
      <c r="G728" s="121"/>
      <c r="H728" s="121"/>
    </row>
    <row r="729" hidden="1">
      <c r="A729" s="121" t="s">
        <v>40</v>
      </c>
      <c r="B729" s="121" t="s">
        <v>1612</v>
      </c>
      <c r="C729" s="121" t="s">
        <v>1573</v>
      </c>
      <c r="D729" s="121" t="s">
        <v>1903</v>
      </c>
      <c r="E729" s="133" t="s">
        <v>1904</v>
      </c>
      <c r="F729" s="121" t="s">
        <v>2559</v>
      </c>
      <c r="G729" s="121" t="s">
        <v>1162</v>
      </c>
      <c r="H729" s="121"/>
    </row>
    <row r="730" hidden="1">
      <c r="A730" s="121" t="s">
        <v>40</v>
      </c>
      <c r="B730" s="121" t="s">
        <v>1612</v>
      </c>
      <c r="C730" s="121" t="s">
        <v>1573</v>
      </c>
      <c r="D730" s="121" t="s">
        <v>1903</v>
      </c>
      <c r="E730" s="133" t="s">
        <v>1904</v>
      </c>
      <c r="F730" s="121" t="s">
        <v>2545</v>
      </c>
      <c r="G730" s="121" t="s">
        <v>1216</v>
      </c>
      <c r="H730" s="121"/>
    </row>
    <row r="731" hidden="1">
      <c r="A731" s="121" t="s">
        <v>40</v>
      </c>
      <c r="B731" s="121" t="s">
        <v>1612</v>
      </c>
      <c r="C731" s="121" t="s">
        <v>1573</v>
      </c>
      <c r="D731" s="121" t="s">
        <v>1903</v>
      </c>
      <c r="E731" s="133" t="s">
        <v>1904</v>
      </c>
      <c r="F731" s="121" t="s">
        <v>2428</v>
      </c>
      <c r="G731" s="121" t="s">
        <v>822</v>
      </c>
      <c r="H731" s="121"/>
    </row>
    <row r="732" hidden="1">
      <c r="A732" s="121" t="s">
        <v>40</v>
      </c>
      <c r="B732" s="121" t="s">
        <v>1612</v>
      </c>
      <c r="C732" s="121" t="s">
        <v>1573</v>
      </c>
      <c r="D732" s="121" t="s">
        <v>1903</v>
      </c>
      <c r="E732" s="133" t="s">
        <v>1904</v>
      </c>
      <c r="F732" s="121" t="s">
        <v>2534</v>
      </c>
      <c r="G732" s="121" t="s">
        <v>2535</v>
      </c>
      <c r="H732" s="121"/>
    </row>
    <row r="733" hidden="1">
      <c r="A733" s="121" t="s">
        <v>40</v>
      </c>
      <c r="B733" s="121" t="s">
        <v>1612</v>
      </c>
      <c r="C733" s="121" t="s">
        <v>1573</v>
      </c>
      <c r="D733" s="121" t="s">
        <v>1905</v>
      </c>
      <c r="E733" s="133" t="s">
        <v>1736</v>
      </c>
      <c r="F733" s="121" t="s">
        <v>2544</v>
      </c>
      <c r="G733" s="121" t="s">
        <v>1180</v>
      </c>
      <c r="H733" s="121"/>
    </row>
    <row r="734" hidden="1">
      <c r="A734" s="121" t="s">
        <v>40</v>
      </c>
      <c r="B734" s="121" t="s">
        <v>1612</v>
      </c>
      <c r="C734" s="121" t="s">
        <v>1573</v>
      </c>
      <c r="D734" s="121" t="s">
        <v>1905</v>
      </c>
      <c r="E734" s="133" t="s">
        <v>1736</v>
      </c>
      <c r="F734" s="121" t="s">
        <v>2263</v>
      </c>
      <c r="G734" s="121" t="s">
        <v>567</v>
      </c>
      <c r="H734" s="121"/>
    </row>
    <row r="735" hidden="1">
      <c r="A735" s="121" t="s">
        <v>40</v>
      </c>
      <c r="B735" s="121" t="s">
        <v>1612</v>
      </c>
      <c r="C735" s="121" t="s">
        <v>1573</v>
      </c>
      <c r="D735" s="121" t="s">
        <v>1905</v>
      </c>
      <c r="E735" s="133" t="s">
        <v>1736</v>
      </c>
      <c r="F735" s="121" t="s">
        <v>2552</v>
      </c>
      <c r="G735" s="121" t="s">
        <v>1183</v>
      </c>
      <c r="H735" s="121"/>
    </row>
    <row r="736" hidden="1">
      <c r="A736" s="121" t="s">
        <v>40</v>
      </c>
      <c r="B736" s="121" t="s">
        <v>1612</v>
      </c>
      <c r="C736" s="121" t="s">
        <v>1573</v>
      </c>
      <c r="D736" s="121" t="s">
        <v>1906</v>
      </c>
      <c r="E736" s="133" t="s">
        <v>1738</v>
      </c>
      <c r="F736" s="121" t="s">
        <v>2560</v>
      </c>
      <c r="G736" s="121" t="s">
        <v>1261</v>
      </c>
      <c r="H736" s="121"/>
    </row>
    <row r="737" hidden="1">
      <c r="A737" s="121" t="s">
        <v>40</v>
      </c>
      <c r="B737" s="121" t="s">
        <v>1612</v>
      </c>
      <c r="C737" s="121" t="s">
        <v>1573</v>
      </c>
      <c r="D737" s="121" t="s">
        <v>1906</v>
      </c>
      <c r="E737" s="133" t="s">
        <v>1738</v>
      </c>
      <c r="F737" s="121" t="s">
        <v>2561</v>
      </c>
      <c r="G737" s="121" t="s">
        <v>1204</v>
      </c>
      <c r="H737" s="121"/>
    </row>
    <row r="738" hidden="1">
      <c r="A738" s="121" t="s">
        <v>40</v>
      </c>
      <c r="B738" s="121" t="s">
        <v>1612</v>
      </c>
      <c r="C738" s="121" t="s">
        <v>1573</v>
      </c>
      <c r="D738" s="121" t="s">
        <v>1906</v>
      </c>
      <c r="E738" s="133" t="s">
        <v>1738</v>
      </c>
      <c r="F738" s="121" t="s">
        <v>2558</v>
      </c>
      <c r="G738" s="121" t="s">
        <v>1222</v>
      </c>
      <c r="H738" s="121"/>
    </row>
    <row r="739" hidden="1">
      <c r="A739" s="121" t="s">
        <v>40</v>
      </c>
      <c r="B739" s="121" t="s">
        <v>1612</v>
      </c>
      <c r="C739" s="121" t="s">
        <v>1619</v>
      </c>
      <c r="D739" s="121" t="s">
        <v>219</v>
      </c>
      <c r="E739" s="133" t="s">
        <v>78</v>
      </c>
      <c r="F739" s="133" t="s">
        <v>2551</v>
      </c>
      <c r="G739" s="121" t="s">
        <v>1192</v>
      </c>
      <c r="H739" s="121"/>
    </row>
    <row r="740" hidden="1">
      <c r="A740" s="121" t="s">
        <v>40</v>
      </c>
      <c r="B740" s="121" t="s">
        <v>1612</v>
      </c>
      <c r="C740" s="121" t="s">
        <v>1619</v>
      </c>
      <c r="D740" s="121" t="s">
        <v>219</v>
      </c>
      <c r="E740" s="133" t="s">
        <v>78</v>
      </c>
      <c r="F740" s="121" t="s">
        <v>2206</v>
      </c>
      <c r="G740" s="121" t="s">
        <v>722</v>
      </c>
      <c r="H740" s="121"/>
    </row>
    <row r="741" hidden="1">
      <c r="A741" s="121" t="s">
        <v>40</v>
      </c>
      <c r="B741" s="121" t="s">
        <v>1612</v>
      </c>
      <c r="C741" s="121" t="s">
        <v>1619</v>
      </c>
      <c r="D741" s="121" t="s">
        <v>220</v>
      </c>
      <c r="E741" s="133" t="s">
        <v>155</v>
      </c>
      <c r="F741" s="121" t="s">
        <v>2554</v>
      </c>
      <c r="G741" s="121" t="s">
        <v>2555</v>
      </c>
      <c r="H741" s="121"/>
    </row>
    <row r="742" hidden="1">
      <c r="A742" s="121" t="s">
        <v>40</v>
      </c>
      <c r="B742" s="121" t="s">
        <v>1612</v>
      </c>
      <c r="C742" s="121" t="s">
        <v>1620</v>
      </c>
      <c r="D742" s="121" t="s">
        <v>222</v>
      </c>
      <c r="E742" s="133" t="s">
        <v>223</v>
      </c>
      <c r="F742" s="121" t="s">
        <v>2563</v>
      </c>
      <c r="G742" s="121" t="s">
        <v>2564</v>
      </c>
      <c r="H742" s="121"/>
    </row>
    <row r="743" hidden="1">
      <c r="A743" s="121" t="s">
        <v>40</v>
      </c>
      <c r="B743" s="121" t="s">
        <v>1612</v>
      </c>
      <c r="C743" s="121" t="s">
        <v>1620</v>
      </c>
      <c r="D743" s="121" t="s">
        <v>2122</v>
      </c>
      <c r="E743" s="133" t="s">
        <v>148</v>
      </c>
      <c r="F743" s="121" t="s">
        <v>2537</v>
      </c>
      <c r="G743" s="121" t="s">
        <v>1201</v>
      </c>
      <c r="H743" s="121"/>
    </row>
    <row r="744" hidden="1">
      <c r="A744" s="121" t="s">
        <v>40</v>
      </c>
      <c r="B744" s="121" t="s">
        <v>1612</v>
      </c>
      <c r="C744" s="121" t="s">
        <v>1620</v>
      </c>
      <c r="D744" s="121" t="s">
        <v>2122</v>
      </c>
      <c r="E744" s="133" t="s">
        <v>148</v>
      </c>
      <c r="F744" s="121" t="s">
        <v>2082</v>
      </c>
      <c r="G744" s="121" t="s">
        <v>1207</v>
      </c>
      <c r="H744" s="121"/>
    </row>
    <row r="745" hidden="1">
      <c r="A745" s="121" t="s">
        <v>40</v>
      </c>
      <c r="B745" s="121" t="s">
        <v>1612</v>
      </c>
      <c r="C745" s="121" t="s">
        <v>1621</v>
      </c>
      <c r="D745" s="121" t="s">
        <v>226</v>
      </c>
      <c r="E745" s="133" t="s">
        <v>133</v>
      </c>
      <c r="F745" s="121" t="s">
        <v>2427</v>
      </c>
      <c r="G745" s="121" t="s">
        <v>683</v>
      </c>
      <c r="H745" s="121"/>
    </row>
    <row r="746" hidden="1">
      <c r="A746" s="121" t="s">
        <v>40</v>
      </c>
      <c r="B746" s="121" t="s">
        <v>1612</v>
      </c>
      <c r="C746" s="121" t="s">
        <v>1621</v>
      </c>
      <c r="D746" s="121" t="s">
        <v>2768</v>
      </c>
      <c r="E746" s="133" t="s">
        <v>2769</v>
      </c>
      <c r="F746" s="121" t="s">
        <v>2565</v>
      </c>
      <c r="G746" s="121" t="s">
        <v>1168</v>
      </c>
      <c r="H746" s="121"/>
    </row>
    <row r="747" hidden="1">
      <c r="A747" s="121" t="s">
        <v>40</v>
      </c>
      <c r="B747" s="121" t="s">
        <v>1612</v>
      </c>
      <c r="C747" s="121" t="s">
        <v>1622</v>
      </c>
      <c r="D747" s="121" t="s">
        <v>216</v>
      </c>
      <c r="E747" s="133" t="s">
        <v>153</v>
      </c>
      <c r="F747" s="121" t="s">
        <v>2417</v>
      </c>
      <c r="G747" s="121" t="s">
        <v>1174</v>
      </c>
      <c r="H747" s="121"/>
    </row>
    <row r="748" hidden="1">
      <c r="A748" s="121" t="s">
        <v>40</v>
      </c>
      <c r="B748" s="121" t="s">
        <v>1612</v>
      </c>
      <c r="C748" s="121" t="s">
        <v>1622</v>
      </c>
      <c r="D748" s="121" t="s">
        <v>216</v>
      </c>
      <c r="E748" s="133" t="s">
        <v>153</v>
      </c>
      <c r="F748" s="121" t="s">
        <v>2207</v>
      </c>
      <c r="G748" s="121" t="s">
        <v>357</v>
      </c>
      <c r="H748" s="121"/>
    </row>
    <row r="749" hidden="1">
      <c r="A749" s="121" t="s">
        <v>40</v>
      </c>
      <c r="B749" s="121" t="s">
        <v>1612</v>
      </c>
      <c r="C749" s="121" t="s">
        <v>1628</v>
      </c>
      <c r="D749" s="121" t="s">
        <v>1911</v>
      </c>
      <c r="E749" s="133" t="s">
        <v>1630</v>
      </c>
      <c r="F749" s="121"/>
      <c r="G749" s="121"/>
      <c r="H749" s="121"/>
    </row>
    <row r="750" hidden="1">
      <c r="A750" s="121" t="s">
        <v>40</v>
      </c>
      <c r="B750" s="121" t="s">
        <v>1631</v>
      </c>
      <c r="C750" s="121" t="s">
        <v>1573</v>
      </c>
      <c r="D750" s="121" t="s">
        <v>2770</v>
      </c>
      <c r="E750" s="133" t="s">
        <v>1634</v>
      </c>
      <c r="F750" s="121"/>
      <c r="G750" s="121"/>
      <c r="H750" s="121"/>
    </row>
    <row r="751" hidden="1">
      <c r="A751" s="121" t="s">
        <v>43</v>
      </c>
      <c r="B751" s="121" t="s">
        <v>1572</v>
      </c>
      <c r="C751" s="121" t="s">
        <v>1573</v>
      </c>
      <c r="D751" s="121" t="s">
        <v>1574</v>
      </c>
      <c r="E751" s="133" t="s">
        <v>1575</v>
      </c>
      <c r="F751" s="121" t="s">
        <v>2432</v>
      </c>
      <c r="G751" s="121" t="s">
        <v>1319</v>
      </c>
      <c r="H751" s="121"/>
    </row>
    <row r="752" hidden="1">
      <c r="A752" s="121" t="s">
        <v>43</v>
      </c>
      <c r="B752" s="121" t="s">
        <v>1572</v>
      </c>
      <c r="C752" s="121" t="s">
        <v>1573</v>
      </c>
      <c r="D752" s="121" t="s">
        <v>1577</v>
      </c>
      <c r="E752" s="133" t="s">
        <v>1578</v>
      </c>
      <c r="F752" s="121" t="s">
        <v>2539</v>
      </c>
      <c r="G752" s="121" t="s">
        <v>1465</v>
      </c>
      <c r="H752" s="121"/>
    </row>
    <row r="753" hidden="1">
      <c r="A753" s="121" t="s">
        <v>43</v>
      </c>
      <c r="B753" s="121" t="s">
        <v>1572</v>
      </c>
      <c r="C753" s="121" t="s">
        <v>1573</v>
      </c>
      <c r="D753" s="121" t="s">
        <v>1580</v>
      </c>
      <c r="E753" s="133" t="s">
        <v>1581</v>
      </c>
      <c r="F753" s="121" t="s">
        <v>2419</v>
      </c>
      <c r="G753" s="121" t="s">
        <v>640</v>
      </c>
      <c r="H753" s="121"/>
    </row>
    <row r="754" hidden="1">
      <c r="A754" s="121" t="s">
        <v>43</v>
      </c>
      <c r="B754" s="121" t="s">
        <v>1572</v>
      </c>
      <c r="C754" s="121" t="s">
        <v>1573</v>
      </c>
      <c r="D754" s="121" t="s">
        <v>1582</v>
      </c>
      <c r="E754" s="133" t="s">
        <v>1583</v>
      </c>
      <c r="F754" s="121" t="s">
        <v>2063</v>
      </c>
      <c r="G754" s="121" t="s">
        <v>302</v>
      </c>
      <c r="H754" s="121"/>
    </row>
    <row r="755" hidden="1">
      <c r="A755" s="121" t="s">
        <v>43</v>
      </c>
      <c r="B755" s="121" t="s">
        <v>1572</v>
      </c>
      <c r="C755" s="121" t="s">
        <v>1573</v>
      </c>
      <c r="D755" s="121" t="s">
        <v>1584</v>
      </c>
      <c r="E755" s="133" t="s">
        <v>1585</v>
      </c>
      <c r="F755" s="121" t="s">
        <v>2464</v>
      </c>
      <c r="G755" s="121" t="s">
        <v>902</v>
      </c>
      <c r="H755" s="121"/>
    </row>
    <row r="756" hidden="1">
      <c r="A756" s="121" t="s">
        <v>43</v>
      </c>
      <c r="B756" s="121" t="s">
        <v>1572</v>
      </c>
      <c r="C756" s="121" t="s">
        <v>1573</v>
      </c>
      <c r="D756" s="121" t="s">
        <v>1584</v>
      </c>
      <c r="E756" s="133" t="s">
        <v>1585</v>
      </c>
      <c r="F756" s="121" t="s">
        <v>2215</v>
      </c>
      <c r="G756" s="121" t="s">
        <v>846</v>
      </c>
      <c r="H756" s="121"/>
    </row>
    <row r="757" hidden="1">
      <c r="A757" s="121" t="s">
        <v>43</v>
      </c>
      <c r="B757" s="121" t="s">
        <v>1572</v>
      </c>
      <c r="C757" s="121" t="s">
        <v>1573</v>
      </c>
      <c r="D757" s="121" t="s">
        <v>1586</v>
      </c>
      <c r="E757" s="133" t="s">
        <v>1587</v>
      </c>
      <c r="F757" s="121" t="s">
        <v>2461</v>
      </c>
      <c r="G757" s="121" t="s">
        <v>2462</v>
      </c>
      <c r="H757" s="121"/>
    </row>
    <row r="758" hidden="1">
      <c r="A758" s="121" t="s">
        <v>43</v>
      </c>
      <c r="B758" s="121" t="s">
        <v>1572</v>
      </c>
      <c r="C758" s="121" t="s">
        <v>1573</v>
      </c>
      <c r="D758" s="121" t="s">
        <v>1589</v>
      </c>
      <c r="E758" s="133" t="s">
        <v>1590</v>
      </c>
      <c r="F758" s="121" t="s">
        <v>2178</v>
      </c>
      <c r="G758" s="121" t="s">
        <v>1117</v>
      </c>
      <c r="H758" s="121"/>
    </row>
    <row r="759" hidden="1">
      <c r="A759" s="121" t="s">
        <v>43</v>
      </c>
      <c r="B759" s="121" t="s">
        <v>1572</v>
      </c>
      <c r="C759" s="121" t="s">
        <v>1573</v>
      </c>
      <c r="D759" s="121" t="s">
        <v>1591</v>
      </c>
      <c r="E759" s="133" t="s">
        <v>1726</v>
      </c>
      <c r="F759" s="121"/>
      <c r="G759" s="121"/>
      <c r="H759" s="121"/>
    </row>
    <row r="760" hidden="1">
      <c r="A760" s="121" t="s">
        <v>43</v>
      </c>
      <c r="B760" s="121" t="s">
        <v>1572</v>
      </c>
      <c r="C760" s="121" t="s">
        <v>1593</v>
      </c>
      <c r="D760" s="121" t="s">
        <v>1594</v>
      </c>
      <c r="E760" s="133" t="s">
        <v>1640</v>
      </c>
      <c r="F760" s="121"/>
      <c r="G760" s="121"/>
      <c r="H760" s="121"/>
    </row>
    <row r="761">
      <c r="A761" s="121" t="s">
        <v>43</v>
      </c>
      <c r="B761" s="121" t="s">
        <v>1596</v>
      </c>
      <c r="C761" s="121" t="s">
        <v>1573</v>
      </c>
      <c r="D761" s="121" t="s">
        <v>1941</v>
      </c>
      <c r="E761" s="133" t="s">
        <v>1942</v>
      </c>
      <c r="F761" s="133" t="s">
        <v>2566</v>
      </c>
      <c r="G761" s="121" t="s">
        <v>1437</v>
      </c>
      <c r="H761" s="121"/>
    </row>
    <row r="762">
      <c r="A762" s="121" t="s">
        <v>43</v>
      </c>
      <c r="B762" s="121" t="s">
        <v>1596</v>
      </c>
      <c r="C762" s="121" t="s">
        <v>1573</v>
      </c>
      <c r="D762" s="121" t="s">
        <v>1943</v>
      </c>
      <c r="E762" s="133" t="s">
        <v>1874</v>
      </c>
      <c r="F762" s="121" t="s">
        <v>2506</v>
      </c>
      <c r="G762" s="121" t="s">
        <v>1075</v>
      </c>
      <c r="H762" s="121"/>
    </row>
    <row r="763">
      <c r="A763" s="121" t="s">
        <v>43</v>
      </c>
      <c r="B763" s="121" t="s">
        <v>1596</v>
      </c>
      <c r="C763" s="121" t="s">
        <v>1573</v>
      </c>
      <c r="D763" s="121" t="s">
        <v>1944</v>
      </c>
      <c r="E763" s="133" t="s">
        <v>1602</v>
      </c>
      <c r="F763" s="121" t="s">
        <v>2567</v>
      </c>
      <c r="G763" s="121" t="s">
        <v>1375</v>
      </c>
      <c r="H763" s="121"/>
    </row>
    <row r="764">
      <c r="A764" s="121" t="s">
        <v>43</v>
      </c>
      <c r="B764" s="121" t="s">
        <v>1596</v>
      </c>
      <c r="C764" s="121" t="s">
        <v>1573</v>
      </c>
      <c r="D764" s="121" t="s">
        <v>1944</v>
      </c>
      <c r="E764" s="133" t="s">
        <v>1602</v>
      </c>
      <c r="F764" s="121" t="s">
        <v>2569</v>
      </c>
      <c r="G764" s="121" t="s">
        <v>2570</v>
      </c>
      <c r="H764" s="121"/>
    </row>
    <row r="765">
      <c r="A765" s="121" t="s">
        <v>43</v>
      </c>
      <c r="B765" s="121" t="s">
        <v>1596</v>
      </c>
      <c r="C765" s="121" t="s">
        <v>1573</v>
      </c>
      <c r="D765" s="121" t="s">
        <v>1945</v>
      </c>
      <c r="E765" s="133" t="s">
        <v>1946</v>
      </c>
      <c r="F765" s="121" t="s">
        <v>2571</v>
      </c>
      <c r="G765" s="121" t="s">
        <v>1458</v>
      </c>
      <c r="H765" s="121"/>
    </row>
    <row r="766">
      <c r="A766" s="121" t="s">
        <v>43</v>
      </c>
      <c r="B766" s="121" t="s">
        <v>1596</v>
      </c>
      <c r="C766" s="121" t="s">
        <v>1573</v>
      </c>
      <c r="D766" s="121" t="s">
        <v>1947</v>
      </c>
      <c r="E766" s="133" t="s">
        <v>1948</v>
      </c>
      <c r="F766" s="121" t="s">
        <v>2458</v>
      </c>
      <c r="G766" s="121" t="s">
        <v>1391</v>
      </c>
      <c r="H766" s="121"/>
    </row>
    <row r="767">
      <c r="A767" s="121" t="s">
        <v>43</v>
      </c>
      <c r="B767" s="121" t="s">
        <v>1596</v>
      </c>
      <c r="C767" s="121" t="s">
        <v>1607</v>
      </c>
      <c r="D767" s="121" t="s">
        <v>44</v>
      </c>
      <c r="E767" s="133" t="s">
        <v>45</v>
      </c>
      <c r="F767" s="121" t="s">
        <v>2132</v>
      </c>
      <c r="G767" s="121" t="s">
        <v>1415</v>
      </c>
      <c r="H767" s="121"/>
    </row>
    <row r="768">
      <c r="A768" s="121" t="s">
        <v>43</v>
      </c>
      <c r="B768" s="121" t="s">
        <v>1596</v>
      </c>
      <c r="C768" s="121" t="s">
        <v>1607</v>
      </c>
      <c r="D768" s="121" t="s">
        <v>2771</v>
      </c>
      <c r="E768" s="133" t="s">
        <v>2772</v>
      </c>
      <c r="F768" s="133" t="s">
        <v>2572</v>
      </c>
      <c r="G768" s="121" t="s">
        <v>1452</v>
      </c>
      <c r="H768" s="121"/>
    </row>
    <row r="769">
      <c r="A769" s="121" t="s">
        <v>43</v>
      </c>
      <c r="B769" s="121" t="s">
        <v>1596</v>
      </c>
      <c r="C769" s="121" t="s">
        <v>1573</v>
      </c>
      <c r="D769" s="121" t="s">
        <v>1608</v>
      </c>
      <c r="E769" s="133" t="s">
        <v>1609</v>
      </c>
      <c r="F769" s="121" t="s">
        <v>2419</v>
      </c>
      <c r="G769" s="121" t="s">
        <v>640</v>
      </c>
      <c r="H769" s="121"/>
    </row>
    <row r="770">
      <c r="A770" s="121" t="s">
        <v>43</v>
      </c>
      <c r="B770" s="121" t="s">
        <v>1596</v>
      </c>
      <c r="C770" s="121" t="s">
        <v>1573</v>
      </c>
      <c r="D770" s="121" t="s">
        <v>1610</v>
      </c>
      <c r="E770" s="133" t="s">
        <v>2723</v>
      </c>
      <c r="F770" s="121"/>
      <c r="G770" s="121"/>
      <c r="H770" s="121"/>
    </row>
    <row r="771" hidden="1">
      <c r="A771" s="121" t="s">
        <v>43</v>
      </c>
      <c r="B771" s="121" t="s">
        <v>1612</v>
      </c>
      <c r="C771" s="121" t="s">
        <v>1573</v>
      </c>
      <c r="D771" s="121" t="s">
        <v>1971</v>
      </c>
      <c r="E771" s="133" t="s">
        <v>1600</v>
      </c>
      <c r="F771" s="121" t="s">
        <v>2573</v>
      </c>
      <c r="G771" s="121" t="s">
        <v>1384</v>
      </c>
      <c r="H771" s="121"/>
    </row>
    <row r="772" hidden="1">
      <c r="A772" s="121" t="s">
        <v>43</v>
      </c>
      <c r="B772" s="121" t="s">
        <v>1612</v>
      </c>
      <c r="C772" s="121" t="s">
        <v>1573</v>
      </c>
      <c r="D772" s="121" t="s">
        <v>1972</v>
      </c>
      <c r="E772" s="133" t="s">
        <v>1973</v>
      </c>
      <c r="F772" s="121" t="s">
        <v>2495</v>
      </c>
      <c r="G772" s="121" t="s">
        <v>2496</v>
      </c>
      <c r="H772" s="121"/>
    </row>
    <row r="773" hidden="1">
      <c r="A773" s="121" t="s">
        <v>43</v>
      </c>
      <c r="B773" s="121" t="s">
        <v>1612</v>
      </c>
      <c r="C773" s="121" t="s">
        <v>1573</v>
      </c>
      <c r="D773" s="121" t="s">
        <v>1974</v>
      </c>
      <c r="E773" s="133" t="s">
        <v>1975</v>
      </c>
      <c r="F773" s="121" t="s">
        <v>2574</v>
      </c>
      <c r="G773" s="121" t="s">
        <v>1400</v>
      </c>
      <c r="H773" s="121"/>
    </row>
    <row r="774" hidden="1">
      <c r="A774" s="121" t="s">
        <v>43</v>
      </c>
      <c r="B774" s="121" t="s">
        <v>1612</v>
      </c>
      <c r="C774" s="121" t="s">
        <v>1619</v>
      </c>
      <c r="D774" s="121" t="s">
        <v>237</v>
      </c>
      <c r="E774" s="133" t="s">
        <v>2773</v>
      </c>
      <c r="F774" s="121" t="s">
        <v>2285</v>
      </c>
      <c r="G774" s="121" t="s">
        <v>1406</v>
      </c>
      <c r="H774" s="121"/>
    </row>
    <row r="775" hidden="1">
      <c r="A775" s="121" t="s">
        <v>43</v>
      </c>
      <c r="B775" s="121" t="s">
        <v>1612</v>
      </c>
      <c r="C775" s="121" t="s">
        <v>1620</v>
      </c>
      <c r="D775" s="121" t="s">
        <v>238</v>
      </c>
      <c r="E775" s="133" t="s">
        <v>239</v>
      </c>
      <c r="F775" s="121" t="s">
        <v>2575</v>
      </c>
      <c r="G775" s="121" t="s">
        <v>1440</v>
      </c>
      <c r="H775" s="121"/>
    </row>
    <row r="776" hidden="1">
      <c r="A776" s="121" t="s">
        <v>43</v>
      </c>
      <c r="B776" s="121" t="s">
        <v>1612</v>
      </c>
      <c r="C776" s="121" t="s">
        <v>1621</v>
      </c>
      <c r="D776" s="121" t="s">
        <v>242</v>
      </c>
      <c r="E776" s="133" t="s">
        <v>243</v>
      </c>
      <c r="F776" s="121" t="s">
        <v>2284</v>
      </c>
      <c r="G776" s="121" t="s">
        <v>1372</v>
      </c>
      <c r="H776" s="121"/>
    </row>
    <row r="777" hidden="1">
      <c r="A777" s="121" t="s">
        <v>43</v>
      </c>
      <c r="B777" s="121" t="s">
        <v>1612</v>
      </c>
      <c r="C777" s="121" t="s">
        <v>1622</v>
      </c>
      <c r="D777" s="121" t="s">
        <v>229</v>
      </c>
      <c r="E777" s="133" t="s">
        <v>230</v>
      </c>
      <c r="F777" s="121" t="s">
        <v>2576</v>
      </c>
      <c r="G777" s="121" t="s">
        <v>1446</v>
      </c>
      <c r="H777" s="121"/>
    </row>
    <row r="778" hidden="1">
      <c r="A778" s="121" t="s">
        <v>43</v>
      </c>
      <c r="B778" s="121" t="s">
        <v>1612</v>
      </c>
      <c r="C778" s="121" t="s">
        <v>86</v>
      </c>
      <c r="D778" s="121" t="s">
        <v>233</v>
      </c>
      <c r="E778" s="133" t="s">
        <v>234</v>
      </c>
      <c r="F778" s="133" t="s">
        <v>2577</v>
      </c>
      <c r="G778" s="121" t="s">
        <v>1434</v>
      </c>
      <c r="H778" s="121"/>
    </row>
    <row r="779" hidden="1">
      <c r="A779" s="121" t="s">
        <v>43</v>
      </c>
      <c r="B779" s="121" t="s">
        <v>1612</v>
      </c>
      <c r="C779" s="121" t="s">
        <v>86</v>
      </c>
      <c r="D779" s="121" t="s">
        <v>233</v>
      </c>
      <c r="E779" s="133" t="s">
        <v>234</v>
      </c>
      <c r="F779" s="133" t="s">
        <v>2441</v>
      </c>
      <c r="G779" s="121" t="s">
        <v>1394</v>
      </c>
      <c r="H779" s="121"/>
    </row>
    <row r="780" hidden="1">
      <c r="A780" s="121" t="s">
        <v>43</v>
      </c>
      <c r="B780" s="121" t="s">
        <v>1612</v>
      </c>
      <c r="C780" s="121" t="s">
        <v>1623</v>
      </c>
      <c r="D780" s="121" t="s">
        <v>1976</v>
      </c>
      <c r="E780" s="133" t="s">
        <v>1977</v>
      </c>
      <c r="F780" s="121" t="s">
        <v>2569</v>
      </c>
      <c r="G780" s="121" t="s">
        <v>2570</v>
      </c>
      <c r="H780" s="121"/>
    </row>
    <row r="781" hidden="1">
      <c r="A781" s="121" t="s">
        <v>43</v>
      </c>
      <c r="B781" s="121" t="s">
        <v>1612</v>
      </c>
      <c r="C781" s="121" t="s">
        <v>1623</v>
      </c>
      <c r="D781" s="121" t="s">
        <v>1978</v>
      </c>
      <c r="E781" s="133" t="s">
        <v>1979</v>
      </c>
      <c r="F781" s="121" t="s">
        <v>2461</v>
      </c>
      <c r="G781" s="121" t="s">
        <v>2462</v>
      </c>
      <c r="H781" s="121"/>
    </row>
    <row r="782" hidden="1">
      <c r="A782" s="121" t="s">
        <v>43</v>
      </c>
      <c r="B782" s="121" t="s">
        <v>1612</v>
      </c>
      <c r="C782" s="121" t="s">
        <v>1573</v>
      </c>
      <c r="D782" s="121" t="s">
        <v>1980</v>
      </c>
      <c r="E782" s="133" t="s">
        <v>1630</v>
      </c>
      <c r="F782" s="133"/>
      <c r="G782" s="121"/>
      <c r="H782" s="121"/>
    </row>
    <row r="783" hidden="1">
      <c r="A783" s="121" t="s">
        <v>43</v>
      </c>
      <c r="B783" s="121" t="s">
        <v>1631</v>
      </c>
      <c r="C783" s="121" t="s">
        <v>1573</v>
      </c>
      <c r="D783" s="121" t="s">
        <v>2774</v>
      </c>
      <c r="E783" s="133" t="s">
        <v>1634</v>
      </c>
      <c r="F783" s="133"/>
      <c r="G783" s="121"/>
      <c r="H783" s="121"/>
    </row>
    <row r="784" hidden="1">
      <c r="A784" s="121" t="s">
        <v>46</v>
      </c>
      <c r="B784" s="121" t="s">
        <v>1572</v>
      </c>
      <c r="C784" s="121" t="s">
        <v>1573</v>
      </c>
      <c r="D784" s="121" t="s">
        <v>1574</v>
      </c>
      <c r="E784" s="133" t="s">
        <v>1575</v>
      </c>
      <c r="F784" s="133" t="s">
        <v>2334</v>
      </c>
      <c r="G784" s="121" t="s">
        <v>1265</v>
      </c>
      <c r="H784" s="121"/>
    </row>
    <row r="785" hidden="1">
      <c r="A785" s="121" t="s">
        <v>46</v>
      </c>
      <c r="B785" s="121" t="s">
        <v>1572</v>
      </c>
      <c r="C785" s="121" t="s">
        <v>1573</v>
      </c>
      <c r="D785" s="121" t="s">
        <v>1577</v>
      </c>
      <c r="E785" s="133" t="s">
        <v>1578</v>
      </c>
      <c r="F785" s="133" t="s">
        <v>2337</v>
      </c>
      <c r="G785" s="121" t="s">
        <v>1468</v>
      </c>
      <c r="H785" s="121"/>
    </row>
    <row r="786" hidden="1">
      <c r="A786" s="121" t="s">
        <v>46</v>
      </c>
      <c r="B786" s="121" t="s">
        <v>1572</v>
      </c>
      <c r="C786" s="121" t="s">
        <v>1573</v>
      </c>
      <c r="D786" s="121" t="s">
        <v>1580</v>
      </c>
      <c r="E786" s="133" t="s">
        <v>1581</v>
      </c>
      <c r="F786" s="133" t="s">
        <v>2245</v>
      </c>
      <c r="G786" s="121" t="s">
        <v>646</v>
      </c>
      <c r="H786" s="121"/>
    </row>
    <row r="787" hidden="1">
      <c r="A787" s="121" t="s">
        <v>46</v>
      </c>
      <c r="B787" s="121" t="s">
        <v>1572</v>
      </c>
      <c r="C787" s="121" t="s">
        <v>1573</v>
      </c>
      <c r="D787" s="121" t="s">
        <v>1582</v>
      </c>
      <c r="E787" s="133" t="s">
        <v>1583</v>
      </c>
      <c r="F787" s="133" t="s">
        <v>2416</v>
      </c>
      <c r="G787" s="121" t="s">
        <v>1171</v>
      </c>
      <c r="H787" s="121"/>
    </row>
    <row r="788" hidden="1">
      <c r="A788" s="121" t="s">
        <v>46</v>
      </c>
      <c r="B788" s="121" t="s">
        <v>1572</v>
      </c>
      <c r="C788" s="121" t="s">
        <v>1573</v>
      </c>
      <c r="D788" s="121" t="s">
        <v>1584</v>
      </c>
      <c r="E788" s="133" t="s">
        <v>1585</v>
      </c>
      <c r="F788" s="121" t="s">
        <v>2579</v>
      </c>
      <c r="G788" s="121" t="s">
        <v>2580</v>
      </c>
      <c r="H788" s="121"/>
    </row>
    <row r="789" hidden="1">
      <c r="A789" s="121" t="s">
        <v>46</v>
      </c>
      <c r="B789" s="121" t="s">
        <v>1572</v>
      </c>
      <c r="C789" s="121" t="s">
        <v>1573</v>
      </c>
      <c r="D789" s="121" t="s">
        <v>1584</v>
      </c>
      <c r="E789" s="133" t="s">
        <v>1585</v>
      </c>
      <c r="F789" s="133" t="s">
        <v>2491</v>
      </c>
      <c r="G789" s="121" t="s">
        <v>2492</v>
      </c>
      <c r="H789" s="121"/>
    </row>
    <row r="790" hidden="1">
      <c r="A790" s="121" t="s">
        <v>46</v>
      </c>
      <c r="B790" s="121" t="s">
        <v>1572</v>
      </c>
      <c r="C790" s="121" t="s">
        <v>1573</v>
      </c>
      <c r="D790" s="121" t="s">
        <v>1586</v>
      </c>
      <c r="E790" s="133" t="s">
        <v>1587</v>
      </c>
      <c r="F790" s="133" t="s">
        <v>2581</v>
      </c>
      <c r="G790" s="121" t="s">
        <v>1353</v>
      </c>
      <c r="H790" s="121"/>
    </row>
    <row r="791" hidden="1">
      <c r="A791" s="121" t="s">
        <v>46</v>
      </c>
      <c r="B791" s="121" t="s">
        <v>1572</v>
      </c>
      <c r="C791" s="121" t="s">
        <v>1573</v>
      </c>
      <c r="D791" s="121" t="s">
        <v>1589</v>
      </c>
      <c r="E791" s="133" t="s">
        <v>1590</v>
      </c>
      <c r="F791" s="133" t="s">
        <v>2177</v>
      </c>
      <c r="G791" s="121" t="s">
        <v>1114</v>
      </c>
      <c r="H791" s="121"/>
    </row>
    <row r="792" hidden="1">
      <c r="A792" s="121" t="s">
        <v>46</v>
      </c>
      <c r="B792" s="121" t="s">
        <v>1572</v>
      </c>
      <c r="C792" s="121" t="s">
        <v>1573</v>
      </c>
      <c r="D792" s="121" t="s">
        <v>1591</v>
      </c>
      <c r="E792" s="133" t="s">
        <v>1726</v>
      </c>
      <c r="F792" s="133"/>
      <c r="G792" s="121"/>
      <c r="H792" s="121"/>
    </row>
    <row r="793" hidden="1">
      <c r="A793" s="121" t="s">
        <v>46</v>
      </c>
      <c r="B793" s="121" t="s">
        <v>1572</v>
      </c>
      <c r="C793" s="121" t="s">
        <v>1593</v>
      </c>
      <c r="D793" s="121" t="s">
        <v>1594</v>
      </c>
      <c r="E793" s="133" t="s">
        <v>1640</v>
      </c>
      <c r="F793" s="133"/>
      <c r="G793" s="121"/>
      <c r="H793" s="121"/>
    </row>
    <row r="794">
      <c r="A794" s="121" t="s">
        <v>46</v>
      </c>
      <c r="B794" s="121" t="s">
        <v>1596</v>
      </c>
      <c r="C794" s="121" t="s">
        <v>1573</v>
      </c>
      <c r="D794" s="121" t="s">
        <v>1871</v>
      </c>
      <c r="E794" s="133" t="s">
        <v>1872</v>
      </c>
      <c r="F794" s="133" t="s">
        <v>2332</v>
      </c>
      <c r="G794" s="121" t="s">
        <v>1295</v>
      </c>
      <c r="H794" s="121"/>
    </row>
    <row r="795">
      <c r="A795" s="121" t="s">
        <v>46</v>
      </c>
      <c r="B795" s="121" t="s">
        <v>1596</v>
      </c>
      <c r="C795" s="121" t="s">
        <v>1573</v>
      </c>
      <c r="D795" s="121" t="s">
        <v>1873</v>
      </c>
      <c r="E795" s="133" t="s">
        <v>1874</v>
      </c>
      <c r="F795" s="121" t="s">
        <v>2582</v>
      </c>
      <c r="G795" s="121" t="s">
        <v>1344</v>
      </c>
      <c r="H795" s="121"/>
    </row>
    <row r="796">
      <c r="A796" s="121" t="s">
        <v>46</v>
      </c>
      <c r="B796" s="121" t="s">
        <v>1596</v>
      </c>
      <c r="C796" s="121" t="s">
        <v>1573</v>
      </c>
      <c r="D796" s="121" t="s">
        <v>1875</v>
      </c>
      <c r="E796" s="133" t="s">
        <v>1602</v>
      </c>
      <c r="F796" s="133" t="s">
        <v>2581</v>
      </c>
      <c r="G796" s="121" t="s">
        <v>1353</v>
      </c>
      <c r="H796" s="121"/>
    </row>
    <row r="797">
      <c r="A797" s="121" t="s">
        <v>46</v>
      </c>
      <c r="B797" s="121" t="s">
        <v>1596</v>
      </c>
      <c r="C797" s="121" t="s">
        <v>1573</v>
      </c>
      <c r="D797" s="121" t="s">
        <v>1876</v>
      </c>
      <c r="E797" s="133" t="s">
        <v>1604</v>
      </c>
      <c r="F797" s="121" t="s">
        <v>2583</v>
      </c>
      <c r="G797" s="121" t="s">
        <v>1378</v>
      </c>
      <c r="H797" s="121"/>
    </row>
    <row r="798">
      <c r="A798" s="121" t="s">
        <v>46</v>
      </c>
      <c r="B798" s="121" t="s">
        <v>1596</v>
      </c>
      <c r="C798" s="121" t="s">
        <v>1573</v>
      </c>
      <c r="D798" s="121" t="s">
        <v>1876</v>
      </c>
      <c r="E798" s="133" t="s">
        <v>1604</v>
      </c>
      <c r="F798" s="133" t="s">
        <v>2574</v>
      </c>
      <c r="G798" s="121" t="s">
        <v>1400</v>
      </c>
      <c r="H798" s="121"/>
    </row>
    <row r="799">
      <c r="A799" s="121" t="s">
        <v>46</v>
      </c>
      <c r="B799" s="121" t="s">
        <v>1596</v>
      </c>
      <c r="C799" s="121" t="s">
        <v>1573</v>
      </c>
      <c r="D799" s="121" t="s">
        <v>1877</v>
      </c>
      <c r="E799" s="133" t="s">
        <v>1807</v>
      </c>
      <c r="F799" s="121" t="s">
        <v>2260</v>
      </c>
      <c r="G799" s="121" t="s">
        <v>1335</v>
      </c>
      <c r="H799" s="121"/>
    </row>
    <row r="800">
      <c r="A800" s="121" t="s">
        <v>46</v>
      </c>
      <c r="B800" s="121" t="s">
        <v>1596</v>
      </c>
      <c r="C800" s="121" t="s">
        <v>1607</v>
      </c>
      <c r="D800" s="121" t="s">
        <v>1878</v>
      </c>
      <c r="E800" s="133" t="s">
        <v>1879</v>
      </c>
      <c r="F800" s="133" t="s">
        <v>2287</v>
      </c>
      <c r="G800" s="121" t="s">
        <v>1368</v>
      </c>
      <c r="H800" s="121"/>
    </row>
    <row r="801">
      <c r="A801" s="121" t="s">
        <v>46</v>
      </c>
      <c r="B801" s="121" t="s">
        <v>1596</v>
      </c>
      <c r="C801" s="121" t="s">
        <v>1573</v>
      </c>
      <c r="D801" s="121" t="s">
        <v>1608</v>
      </c>
      <c r="E801" s="133" t="s">
        <v>1609</v>
      </c>
      <c r="F801" s="133" t="s">
        <v>2156</v>
      </c>
      <c r="G801" s="121" t="s">
        <v>637</v>
      </c>
      <c r="H801" s="121"/>
    </row>
    <row r="802">
      <c r="A802" s="121" t="s">
        <v>46</v>
      </c>
      <c r="B802" s="121" t="s">
        <v>1596</v>
      </c>
      <c r="C802" s="121" t="s">
        <v>1573</v>
      </c>
      <c r="D802" s="121" t="s">
        <v>1610</v>
      </c>
      <c r="E802" s="133" t="s">
        <v>2723</v>
      </c>
      <c r="F802" s="133"/>
      <c r="G802" s="121"/>
      <c r="H802" s="121"/>
    </row>
    <row r="803" hidden="1">
      <c r="A803" s="121" t="s">
        <v>46</v>
      </c>
      <c r="B803" s="121" t="s">
        <v>1612</v>
      </c>
      <c r="C803" s="121" t="s">
        <v>1573</v>
      </c>
      <c r="D803" s="121" t="s">
        <v>1880</v>
      </c>
      <c r="E803" s="133" t="s">
        <v>2775</v>
      </c>
      <c r="F803" s="133" t="s">
        <v>2584</v>
      </c>
      <c r="G803" s="121" t="s">
        <v>1362</v>
      </c>
      <c r="H803" s="121"/>
    </row>
    <row r="804" hidden="1">
      <c r="A804" s="121" t="s">
        <v>46</v>
      </c>
      <c r="B804" s="121" t="s">
        <v>1612</v>
      </c>
      <c r="C804" s="121" t="s">
        <v>1573</v>
      </c>
      <c r="D804" s="121" t="s">
        <v>1882</v>
      </c>
      <c r="E804" s="133" t="s">
        <v>1883</v>
      </c>
      <c r="F804" s="133" t="s">
        <v>2503</v>
      </c>
      <c r="G804" s="121" t="s">
        <v>2504</v>
      </c>
      <c r="H804" s="121"/>
    </row>
    <row r="805" hidden="1">
      <c r="A805" s="121" t="s">
        <v>46</v>
      </c>
      <c r="B805" s="121" t="s">
        <v>1612</v>
      </c>
      <c r="C805" s="121" t="s">
        <v>1573</v>
      </c>
      <c r="D805" s="121" t="s">
        <v>1884</v>
      </c>
      <c r="E805" s="133" t="s">
        <v>1885</v>
      </c>
      <c r="F805" s="133" t="s">
        <v>2585</v>
      </c>
      <c r="G805" s="121" t="s">
        <v>1350</v>
      </c>
      <c r="H805" s="121"/>
    </row>
    <row r="806" hidden="1">
      <c r="A806" s="121" t="s">
        <v>46</v>
      </c>
      <c r="B806" s="121" t="s">
        <v>1612</v>
      </c>
      <c r="C806" s="121" t="s">
        <v>1619</v>
      </c>
      <c r="D806" s="121" t="s">
        <v>248</v>
      </c>
      <c r="E806" s="133" t="s">
        <v>249</v>
      </c>
      <c r="F806" s="133" t="s">
        <v>2586</v>
      </c>
      <c r="G806" s="121" t="s">
        <v>1347</v>
      </c>
      <c r="H806" s="121"/>
    </row>
    <row r="807" hidden="1">
      <c r="A807" s="121" t="s">
        <v>46</v>
      </c>
      <c r="B807" s="121" t="s">
        <v>1612</v>
      </c>
      <c r="C807" s="121" t="s">
        <v>1620</v>
      </c>
      <c r="D807" s="121" t="s">
        <v>252</v>
      </c>
      <c r="E807" s="133" t="s">
        <v>253</v>
      </c>
      <c r="F807" s="133" t="s">
        <v>2588</v>
      </c>
      <c r="G807" s="121" t="s">
        <v>2589</v>
      </c>
      <c r="H807" s="121"/>
    </row>
    <row r="808" hidden="1">
      <c r="A808" s="121" t="s">
        <v>46</v>
      </c>
      <c r="B808" s="121" t="s">
        <v>1612</v>
      </c>
      <c r="C808" s="121" t="s">
        <v>1622</v>
      </c>
      <c r="D808" s="121" t="s">
        <v>246</v>
      </c>
      <c r="E808" s="133" t="s">
        <v>247</v>
      </c>
      <c r="F808" s="121" t="s">
        <v>2590</v>
      </c>
      <c r="G808" s="121" t="s">
        <v>1332</v>
      </c>
      <c r="H808" s="121"/>
    </row>
    <row r="809" hidden="1">
      <c r="A809" s="121" t="s">
        <v>46</v>
      </c>
      <c r="B809" s="121" t="s">
        <v>1612</v>
      </c>
      <c r="C809" s="121" t="s">
        <v>1623</v>
      </c>
      <c r="D809" s="121" t="s">
        <v>2776</v>
      </c>
      <c r="E809" s="133" t="s">
        <v>1891</v>
      </c>
      <c r="F809" s="133" t="s">
        <v>2171</v>
      </c>
      <c r="G809" s="121" t="s">
        <v>1338</v>
      </c>
      <c r="H809" s="121"/>
    </row>
    <row r="810" hidden="1">
      <c r="A810" s="121" t="s">
        <v>46</v>
      </c>
      <c r="B810" s="121" t="s">
        <v>1612</v>
      </c>
      <c r="C810" s="121" t="s">
        <v>1623</v>
      </c>
      <c r="D810" s="121" t="s">
        <v>2777</v>
      </c>
      <c r="E810" s="133" t="s">
        <v>1893</v>
      </c>
      <c r="F810" s="133" t="s">
        <v>2591</v>
      </c>
      <c r="G810" s="121" t="s">
        <v>1359</v>
      </c>
      <c r="H810" s="121"/>
    </row>
    <row r="811" hidden="1">
      <c r="A811" s="121" t="s">
        <v>46</v>
      </c>
      <c r="B811" s="121" t="s">
        <v>1612</v>
      </c>
      <c r="C811" s="121" t="s">
        <v>1628</v>
      </c>
      <c r="D811" s="121" t="s">
        <v>1894</v>
      </c>
      <c r="E811" s="133" t="s">
        <v>1630</v>
      </c>
      <c r="F811" s="133"/>
      <c r="G811" s="121"/>
      <c r="H811" s="121"/>
    </row>
    <row r="812" hidden="1">
      <c r="A812" s="121" t="s">
        <v>46</v>
      </c>
      <c r="B812" s="121" t="s">
        <v>1631</v>
      </c>
      <c r="C812" s="121" t="s">
        <v>1573</v>
      </c>
      <c r="D812" s="121" t="s">
        <v>2778</v>
      </c>
      <c r="E812" s="133" t="s">
        <v>1634</v>
      </c>
      <c r="F812" s="133"/>
      <c r="G812" s="121"/>
      <c r="H812" s="121"/>
    </row>
    <row r="813" hidden="1">
      <c r="A813" s="121" t="s">
        <v>1993</v>
      </c>
      <c r="B813" s="121" t="s">
        <v>1612</v>
      </c>
      <c r="C813" s="121" t="s">
        <v>1573</v>
      </c>
      <c r="D813" s="121" t="s">
        <v>2123</v>
      </c>
      <c r="E813" s="133" t="s">
        <v>2124</v>
      </c>
      <c r="F813" s="133" t="s">
        <v>2592</v>
      </c>
      <c r="G813" s="121" t="s">
        <v>1556</v>
      </c>
      <c r="H813" s="121"/>
    </row>
    <row r="814" hidden="1">
      <c r="A814" s="121" t="s">
        <v>1993</v>
      </c>
      <c r="B814" s="121" t="s">
        <v>1612</v>
      </c>
      <c r="C814" s="121" t="s">
        <v>1573</v>
      </c>
      <c r="D814" s="121" t="s">
        <v>2779</v>
      </c>
      <c r="E814" s="133" t="s">
        <v>2780</v>
      </c>
      <c r="F814" s="133" t="s">
        <v>2265</v>
      </c>
      <c r="G814" s="121" t="s">
        <v>2266</v>
      </c>
      <c r="H814" s="121"/>
    </row>
    <row r="815" hidden="1">
      <c r="A815" s="121" t="s">
        <v>1993</v>
      </c>
      <c r="B815" s="121" t="s">
        <v>1612</v>
      </c>
      <c r="C815" s="121" t="s">
        <v>1573</v>
      </c>
      <c r="D815" s="121" t="s">
        <v>2779</v>
      </c>
      <c r="E815" s="133" t="s">
        <v>2780</v>
      </c>
      <c r="F815" s="133" t="s">
        <v>2593</v>
      </c>
      <c r="G815" s="121" t="s">
        <v>474</v>
      </c>
      <c r="H815" s="121"/>
    </row>
    <row r="816" hidden="1">
      <c r="A816" s="121" t="s">
        <v>1993</v>
      </c>
      <c r="B816" s="121" t="s">
        <v>1612</v>
      </c>
      <c r="C816" s="121" t="s">
        <v>1573</v>
      </c>
      <c r="D816" s="121" t="s">
        <v>2781</v>
      </c>
      <c r="E816" s="133" t="s">
        <v>2782</v>
      </c>
      <c r="F816" s="133" t="s">
        <v>2594</v>
      </c>
      <c r="G816" s="121" t="s">
        <v>1553</v>
      </c>
      <c r="H816" s="121"/>
    </row>
    <row r="817" hidden="1">
      <c r="A817" s="121" t="s">
        <v>1993</v>
      </c>
      <c r="B817" s="121" t="s">
        <v>1612</v>
      </c>
      <c r="C817" s="121" t="s">
        <v>1619</v>
      </c>
      <c r="D817" s="121" t="s">
        <v>2783</v>
      </c>
      <c r="E817" s="133" t="s">
        <v>2784</v>
      </c>
      <c r="F817" s="133" t="s">
        <v>2265</v>
      </c>
      <c r="G817" s="121" t="s">
        <v>2266</v>
      </c>
      <c r="H817" s="121"/>
    </row>
    <row r="818" hidden="1">
      <c r="A818" s="121" t="s">
        <v>1993</v>
      </c>
      <c r="B818" s="121" t="s">
        <v>1612</v>
      </c>
      <c r="C818" s="121" t="s">
        <v>1620</v>
      </c>
      <c r="D818" s="121" t="s">
        <v>2785</v>
      </c>
      <c r="E818" s="133" t="s">
        <v>1983</v>
      </c>
      <c r="F818" s="121" t="s">
        <v>2594</v>
      </c>
      <c r="G818" s="121" t="s">
        <v>1553</v>
      </c>
      <c r="H818" s="121"/>
    </row>
    <row r="819" hidden="1">
      <c r="A819" s="121" t="s">
        <v>1993</v>
      </c>
      <c r="B819" s="121" t="s">
        <v>1612</v>
      </c>
      <c r="C819" s="121" t="s">
        <v>1621</v>
      </c>
      <c r="D819" s="121" t="s">
        <v>2786</v>
      </c>
      <c r="E819" s="133" t="s">
        <v>2787</v>
      </c>
      <c r="F819" s="133" t="s">
        <v>2596</v>
      </c>
      <c r="G819" s="121" t="s">
        <v>2597</v>
      </c>
      <c r="H819" s="121"/>
    </row>
    <row r="820" hidden="1">
      <c r="A820" s="121" t="s">
        <v>1993</v>
      </c>
      <c r="B820" s="121" t="s">
        <v>1612</v>
      </c>
      <c r="C820" s="121" t="s">
        <v>1623</v>
      </c>
      <c r="D820" s="121" t="s">
        <v>2788</v>
      </c>
      <c r="E820" s="133" t="s">
        <v>2789</v>
      </c>
      <c r="F820" s="133" t="s">
        <v>2596</v>
      </c>
      <c r="G820" s="121" t="s">
        <v>2597</v>
      </c>
      <c r="H820" s="121"/>
    </row>
    <row r="821" hidden="1">
      <c r="A821" s="121" t="s">
        <v>1993</v>
      </c>
      <c r="B821" s="121" t="s">
        <v>1612</v>
      </c>
      <c r="C821" s="121" t="s">
        <v>1623</v>
      </c>
      <c r="D821" s="121" t="s">
        <v>2790</v>
      </c>
      <c r="E821" s="133" t="s">
        <v>2791</v>
      </c>
      <c r="F821" s="133" t="s">
        <v>2592</v>
      </c>
      <c r="G821" s="121" t="s">
        <v>1556</v>
      </c>
      <c r="H821" s="121"/>
    </row>
    <row r="822" hidden="1">
      <c r="A822" s="121" t="s">
        <v>1993</v>
      </c>
      <c r="B822" s="121" t="s">
        <v>1612</v>
      </c>
      <c r="C822" s="121" t="s">
        <v>1573</v>
      </c>
      <c r="D822" s="121" t="s">
        <v>2792</v>
      </c>
      <c r="E822" s="133" t="s">
        <v>1630</v>
      </c>
      <c r="F822" s="133"/>
      <c r="G822" s="121"/>
      <c r="H822" s="121"/>
    </row>
    <row r="823" hidden="1">
      <c r="A823" s="121" t="s">
        <v>1993</v>
      </c>
      <c r="B823" s="121" t="s">
        <v>1631</v>
      </c>
      <c r="C823" s="121" t="s">
        <v>1573</v>
      </c>
      <c r="D823" s="121" t="s">
        <v>2793</v>
      </c>
      <c r="E823" s="133" t="s">
        <v>1634</v>
      </c>
      <c r="F823" s="121"/>
      <c r="G823" s="121"/>
      <c r="H823" s="121"/>
    </row>
    <row r="824" hidden="1">
      <c r="A824" s="121" t="s">
        <v>1995</v>
      </c>
      <c r="B824" s="121" t="s">
        <v>1572</v>
      </c>
      <c r="C824" s="121" t="s">
        <v>1573</v>
      </c>
      <c r="D824" s="121" t="s">
        <v>1996</v>
      </c>
      <c r="E824" s="133" t="s">
        <v>1997</v>
      </c>
      <c r="F824" s="121" t="s">
        <v>2598</v>
      </c>
      <c r="G824" s="121" t="s">
        <v>1520</v>
      </c>
      <c r="H824" s="121"/>
    </row>
    <row r="825" hidden="1">
      <c r="A825" s="121" t="s">
        <v>1995</v>
      </c>
      <c r="B825" s="121" t="s">
        <v>1572</v>
      </c>
      <c r="C825" s="121" t="s">
        <v>1573</v>
      </c>
      <c r="D825" s="121" t="s">
        <v>1998</v>
      </c>
      <c r="E825" s="133" t="s">
        <v>1999</v>
      </c>
      <c r="F825" s="121" t="s">
        <v>2085</v>
      </c>
      <c r="G825" s="121" t="s">
        <v>2400</v>
      </c>
      <c r="H825" s="121"/>
    </row>
    <row r="826" hidden="1">
      <c r="A826" s="121" t="s">
        <v>1995</v>
      </c>
      <c r="B826" s="121" t="s">
        <v>1572</v>
      </c>
      <c r="C826" s="121" t="s">
        <v>1573</v>
      </c>
      <c r="D826" s="121" t="s">
        <v>2000</v>
      </c>
      <c r="E826" s="133" t="s">
        <v>2001</v>
      </c>
      <c r="F826" s="133" t="s">
        <v>2599</v>
      </c>
      <c r="G826" s="121" t="s">
        <v>1526</v>
      </c>
      <c r="H826" s="121"/>
    </row>
    <row r="827" hidden="1">
      <c r="A827" s="121" t="s">
        <v>1995</v>
      </c>
      <c r="B827" s="121" t="s">
        <v>1572</v>
      </c>
      <c r="C827" s="121" t="s">
        <v>1573</v>
      </c>
      <c r="D827" s="121" t="s">
        <v>2002</v>
      </c>
      <c r="E827" s="133" t="s">
        <v>142</v>
      </c>
      <c r="F827" s="133" t="s">
        <v>2601</v>
      </c>
      <c r="G827" s="121" t="s">
        <v>2602</v>
      </c>
      <c r="H827" s="121"/>
    </row>
    <row r="828" hidden="1">
      <c r="A828" s="121" t="s">
        <v>1995</v>
      </c>
      <c r="B828" s="121" t="s">
        <v>1572</v>
      </c>
      <c r="C828" s="121" t="s">
        <v>1573</v>
      </c>
      <c r="D828" s="121" t="s">
        <v>2003</v>
      </c>
      <c r="E828" s="133" t="s">
        <v>1710</v>
      </c>
      <c r="F828" s="133" t="s">
        <v>2604</v>
      </c>
      <c r="G828" s="121" t="s">
        <v>2605</v>
      </c>
      <c r="H828" s="121"/>
    </row>
    <row r="829" hidden="1">
      <c r="A829" s="121" t="s">
        <v>1995</v>
      </c>
      <c r="B829" s="121" t="s">
        <v>1572</v>
      </c>
      <c r="C829" s="121" t="s">
        <v>1573</v>
      </c>
      <c r="D829" s="121" t="s">
        <v>2004</v>
      </c>
      <c r="E829" s="133" t="s">
        <v>2005</v>
      </c>
      <c r="F829" s="133" t="s">
        <v>2606</v>
      </c>
      <c r="G829" s="121" t="s">
        <v>1514</v>
      </c>
      <c r="H829" s="121"/>
    </row>
    <row r="830" hidden="1">
      <c r="A830" s="121" t="s">
        <v>1995</v>
      </c>
      <c r="B830" s="121" t="s">
        <v>1572</v>
      </c>
      <c r="C830" s="121" t="s">
        <v>1573</v>
      </c>
      <c r="D830" s="121" t="s">
        <v>2006</v>
      </c>
      <c r="E830" s="133" t="s">
        <v>2007</v>
      </c>
      <c r="F830" s="133" t="s">
        <v>2606</v>
      </c>
      <c r="G830" s="121" t="s">
        <v>1514</v>
      </c>
      <c r="H830" s="121"/>
    </row>
    <row r="831" hidden="1">
      <c r="A831" s="121" t="s">
        <v>1995</v>
      </c>
      <c r="B831" s="121" t="s">
        <v>1572</v>
      </c>
      <c r="C831" s="121" t="s">
        <v>1632</v>
      </c>
      <c r="D831" s="121" t="s">
        <v>2008</v>
      </c>
      <c r="E831" s="133" t="s">
        <v>2009</v>
      </c>
      <c r="F831" s="133" t="s">
        <v>2607</v>
      </c>
      <c r="G831" s="121" t="s">
        <v>1546</v>
      </c>
      <c r="H831" s="121"/>
    </row>
    <row r="832" hidden="1">
      <c r="A832" s="121" t="s">
        <v>1995</v>
      </c>
      <c r="B832" s="121" t="s">
        <v>1572</v>
      </c>
      <c r="C832" s="121" t="s">
        <v>2010</v>
      </c>
      <c r="D832" s="121" t="s">
        <v>2011</v>
      </c>
      <c r="E832" s="133" t="s">
        <v>2012</v>
      </c>
      <c r="F832" s="133" t="s">
        <v>2607</v>
      </c>
      <c r="G832" s="121" t="s">
        <v>1546</v>
      </c>
      <c r="H832" s="121"/>
    </row>
    <row r="833" hidden="1">
      <c r="A833" s="121" t="s">
        <v>1995</v>
      </c>
      <c r="B833" s="121" t="s">
        <v>1572</v>
      </c>
      <c r="C833" s="121" t="s">
        <v>2013</v>
      </c>
      <c r="D833" s="121" t="s">
        <v>2014</v>
      </c>
      <c r="E833" s="133" t="s">
        <v>2015</v>
      </c>
      <c r="F833" s="133" t="s">
        <v>2606</v>
      </c>
      <c r="G833" s="121" t="s">
        <v>1514</v>
      </c>
      <c r="H833" s="121"/>
    </row>
    <row r="834">
      <c r="A834" s="121" t="s">
        <v>1995</v>
      </c>
      <c r="B834" s="121" t="s">
        <v>1596</v>
      </c>
      <c r="C834" s="121" t="s">
        <v>1573</v>
      </c>
      <c r="D834" s="121" t="s">
        <v>2794</v>
      </c>
      <c r="E834" s="133" t="s">
        <v>2018</v>
      </c>
      <c r="F834" s="133" t="s">
        <v>2601</v>
      </c>
      <c r="G834" s="121" t="s">
        <v>2602</v>
      </c>
      <c r="H834" s="121"/>
    </row>
    <row r="835">
      <c r="A835" s="121" t="s">
        <v>1995</v>
      </c>
      <c r="B835" s="121" t="s">
        <v>1596</v>
      </c>
      <c r="C835" s="121" t="s">
        <v>2021</v>
      </c>
      <c r="D835" s="121" t="s">
        <v>2795</v>
      </c>
      <c r="E835" s="133" t="s">
        <v>2023</v>
      </c>
      <c r="F835" s="133" t="s">
        <v>2604</v>
      </c>
      <c r="G835" s="121" t="s">
        <v>2605</v>
      </c>
      <c r="H835" s="121"/>
    </row>
    <row r="836">
      <c r="A836" s="121" t="s">
        <v>1995</v>
      </c>
      <c r="B836" s="121" t="s">
        <v>1596</v>
      </c>
      <c r="C836" s="121" t="s">
        <v>2021</v>
      </c>
      <c r="D836" s="121" t="s">
        <v>2796</v>
      </c>
      <c r="E836" s="133" t="s">
        <v>2026</v>
      </c>
      <c r="F836" s="133" t="s">
        <v>2598</v>
      </c>
      <c r="G836" s="121" t="s">
        <v>1520</v>
      </c>
      <c r="H836" s="121"/>
    </row>
    <row r="837">
      <c r="A837" s="121" t="s">
        <v>1995</v>
      </c>
      <c r="B837" s="121" t="s">
        <v>1596</v>
      </c>
      <c r="C837" s="121" t="s">
        <v>2021</v>
      </c>
      <c r="D837" s="121" t="s">
        <v>2797</v>
      </c>
      <c r="E837" s="133" t="s">
        <v>2029</v>
      </c>
      <c r="F837" s="133" t="s">
        <v>2607</v>
      </c>
      <c r="G837" s="121" t="s">
        <v>1546</v>
      </c>
      <c r="H837" s="121"/>
    </row>
    <row r="838">
      <c r="A838" s="121" t="s">
        <v>1995</v>
      </c>
      <c r="B838" s="121" t="s">
        <v>1596</v>
      </c>
      <c r="C838" s="121" t="s">
        <v>2024</v>
      </c>
      <c r="D838" s="121" t="s">
        <v>2798</v>
      </c>
      <c r="E838" s="133" t="s">
        <v>2031</v>
      </c>
      <c r="F838" s="133" t="s">
        <v>2402</v>
      </c>
      <c r="G838" s="121" t="s">
        <v>1529</v>
      </c>
      <c r="H838" s="121"/>
    </row>
    <row r="839">
      <c r="A839" s="121" t="s">
        <v>1995</v>
      </c>
      <c r="B839" s="121" t="s">
        <v>1596</v>
      </c>
      <c r="C839" s="121" t="s">
        <v>2027</v>
      </c>
      <c r="D839" s="121" t="s">
        <v>2799</v>
      </c>
      <c r="E839" s="133" t="s">
        <v>2033</v>
      </c>
      <c r="F839" s="133" t="s">
        <v>2599</v>
      </c>
      <c r="G839" s="121" t="s">
        <v>1526</v>
      </c>
      <c r="H839" s="121"/>
    </row>
    <row r="840">
      <c r="A840" s="121" t="s">
        <v>1995</v>
      </c>
      <c r="B840" s="121" t="s">
        <v>1596</v>
      </c>
      <c r="C840" s="121" t="s">
        <v>2013</v>
      </c>
      <c r="D840" s="121" t="s">
        <v>2800</v>
      </c>
      <c r="E840" s="133" t="s">
        <v>2801</v>
      </c>
      <c r="F840" s="133" t="s">
        <v>2606</v>
      </c>
      <c r="G840" s="121" t="s">
        <v>1514</v>
      </c>
      <c r="H840" s="121"/>
    </row>
    <row r="841">
      <c r="A841" s="121"/>
      <c r="B841" s="121" t="s">
        <v>1596</v>
      </c>
      <c r="C841" s="121" t="s">
        <v>1632</v>
      </c>
      <c r="D841" s="121" t="s">
        <v>2802</v>
      </c>
      <c r="E841" s="133" t="s">
        <v>1632</v>
      </c>
      <c r="F841" s="133" t="s">
        <v>2085</v>
      </c>
      <c r="G841" s="121" t="s">
        <v>2400</v>
      </c>
      <c r="H841" s="121"/>
    </row>
    <row r="842" hidden="1">
      <c r="A842" s="121"/>
      <c r="B842" s="121"/>
      <c r="C842" s="121"/>
      <c r="D842" s="121"/>
      <c r="E842" s="133"/>
      <c r="F842" s="133"/>
      <c r="G842" s="121"/>
      <c r="H842" s="121"/>
    </row>
    <row r="843" hidden="1">
      <c r="A843" s="121"/>
      <c r="B843" s="121"/>
      <c r="C843" s="121"/>
      <c r="D843" s="121"/>
      <c r="E843" s="133"/>
      <c r="F843" s="133"/>
      <c r="G843" s="121"/>
      <c r="H843" s="121"/>
    </row>
    <row r="844" hidden="1">
      <c r="A844" s="121"/>
      <c r="B844" s="121"/>
      <c r="C844" s="121"/>
      <c r="D844" s="121"/>
      <c r="E844" s="133"/>
      <c r="F844" s="133"/>
      <c r="G844" s="121"/>
      <c r="H844" s="121"/>
    </row>
    <row r="845" hidden="1">
      <c r="A845" s="121"/>
      <c r="B845" s="121"/>
      <c r="C845" s="121"/>
      <c r="D845" s="121"/>
      <c r="E845" s="133"/>
      <c r="F845" s="133"/>
      <c r="G845" s="121"/>
      <c r="H845" s="121"/>
    </row>
    <row r="846" hidden="1">
      <c r="A846" s="121"/>
      <c r="B846" s="121"/>
      <c r="C846" s="121"/>
      <c r="D846" s="121"/>
      <c r="E846" s="133"/>
      <c r="F846" s="133"/>
      <c r="G846" s="121"/>
      <c r="H846" s="121"/>
    </row>
    <row r="847" hidden="1">
      <c r="A847" s="121"/>
      <c r="B847" s="121"/>
      <c r="C847" s="121"/>
      <c r="D847" s="121"/>
      <c r="E847" s="133"/>
      <c r="F847" s="133"/>
      <c r="G847" s="121"/>
      <c r="H847" s="121"/>
    </row>
    <row r="848" hidden="1">
      <c r="A848" s="121"/>
      <c r="B848" s="121"/>
      <c r="C848" s="121"/>
      <c r="D848" s="121"/>
      <c r="E848" s="133"/>
      <c r="F848" s="133"/>
      <c r="G848" s="121"/>
      <c r="H848" s="121"/>
    </row>
    <row r="849" hidden="1">
      <c r="A849" s="121"/>
      <c r="B849" s="121"/>
      <c r="C849" s="121"/>
      <c r="D849" s="121"/>
      <c r="E849" s="133"/>
      <c r="F849" s="133"/>
      <c r="G849" s="121"/>
      <c r="H849" s="121"/>
    </row>
    <row r="850" hidden="1">
      <c r="A850" s="121"/>
      <c r="B850" s="121"/>
      <c r="C850" s="121"/>
      <c r="D850" s="121"/>
      <c r="E850" s="133"/>
      <c r="F850" s="133"/>
      <c r="G850" s="121"/>
      <c r="H850" s="121"/>
    </row>
    <row r="851" hidden="1">
      <c r="A851" s="121"/>
      <c r="B851" s="121"/>
      <c r="C851" s="121"/>
      <c r="D851" s="121"/>
      <c r="E851" s="133"/>
      <c r="F851" s="133"/>
      <c r="G851" s="121"/>
      <c r="H851" s="121"/>
    </row>
    <row r="852" hidden="1">
      <c r="A852" s="121"/>
      <c r="B852" s="121"/>
      <c r="C852" s="121"/>
      <c r="D852" s="121"/>
      <c r="E852" s="133"/>
      <c r="F852" s="133"/>
      <c r="G852" s="121"/>
      <c r="H852" s="121"/>
    </row>
    <row r="853" hidden="1">
      <c r="A853" s="121"/>
      <c r="B853" s="121"/>
      <c r="C853" s="121"/>
      <c r="D853" s="121"/>
      <c r="E853" s="133"/>
      <c r="F853" s="133"/>
      <c r="G853" s="121"/>
      <c r="H853" s="121"/>
    </row>
    <row r="854" hidden="1">
      <c r="A854" s="121"/>
      <c r="B854" s="121"/>
      <c r="C854" s="121"/>
      <c r="D854" s="121"/>
      <c r="E854" s="133"/>
      <c r="F854" s="133"/>
      <c r="G854" s="121"/>
      <c r="H854" s="121"/>
    </row>
    <row r="855" hidden="1">
      <c r="A855" s="121"/>
      <c r="B855" s="121"/>
      <c r="C855" s="121"/>
      <c r="D855" s="121"/>
      <c r="E855" s="133"/>
      <c r="F855" s="133"/>
      <c r="G855" s="121"/>
      <c r="H855" s="121"/>
    </row>
    <row r="856" hidden="1">
      <c r="A856" s="121"/>
      <c r="B856" s="121"/>
      <c r="C856" s="121"/>
      <c r="D856" s="121"/>
      <c r="E856" s="133"/>
      <c r="F856" s="133"/>
      <c r="G856" s="121"/>
      <c r="H856" s="121"/>
    </row>
    <row r="857" hidden="1">
      <c r="A857" s="121"/>
      <c r="B857" s="121"/>
      <c r="C857" s="121"/>
      <c r="D857" s="121"/>
      <c r="E857" s="133"/>
      <c r="F857" s="133"/>
      <c r="G857" s="121"/>
      <c r="H857" s="121"/>
    </row>
    <row r="858" hidden="1">
      <c r="A858" s="121"/>
      <c r="B858" s="121"/>
      <c r="C858" s="121"/>
      <c r="D858" s="121"/>
      <c r="E858" s="133"/>
      <c r="F858" s="133"/>
      <c r="G858" s="121"/>
      <c r="H858" s="121"/>
    </row>
    <row r="859" hidden="1">
      <c r="A859" s="121"/>
      <c r="B859" s="121"/>
      <c r="C859" s="121"/>
      <c r="D859" s="121"/>
      <c r="E859" s="133"/>
      <c r="F859" s="133"/>
      <c r="G859" s="121"/>
      <c r="H859" s="121"/>
    </row>
    <row r="860" hidden="1">
      <c r="A860" s="121"/>
      <c r="B860" s="121"/>
      <c r="C860" s="121"/>
      <c r="D860" s="121"/>
      <c r="E860" s="133"/>
      <c r="F860" s="133"/>
      <c r="G860" s="121"/>
      <c r="H860" s="121"/>
    </row>
    <row r="861" hidden="1">
      <c r="A861" s="121"/>
      <c r="B861" s="121"/>
      <c r="C861" s="121"/>
      <c r="D861" s="121"/>
      <c r="E861" s="133"/>
      <c r="F861" s="133"/>
      <c r="G861" s="121"/>
      <c r="H861" s="121"/>
    </row>
    <row r="862" hidden="1">
      <c r="A862" s="121"/>
      <c r="B862" s="121"/>
      <c r="C862" s="121"/>
      <c r="D862" s="121"/>
      <c r="E862" s="133"/>
      <c r="F862" s="133"/>
      <c r="G862" s="121"/>
      <c r="H862" s="121"/>
    </row>
    <row r="863" hidden="1">
      <c r="A863" s="121"/>
      <c r="B863" s="121"/>
      <c r="C863" s="121"/>
      <c r="D863" s="121"/>
      <c r="E863" s="133"/>
      <c r="F863" s="133"/>
      <c r="G863" s="121"/>
      <c r="H863" s="121"/>
    </row>
    <row r="864" hidden="1">
      <c r="A864" s="121"/>
      <c r="B864" s="121"/>
      <c r="C864" s="121"/>
      <c r="D864" s="121"/>
      <c r="E864" s="133"/>
      <c r="F864" s="133"/>
      <c r="G864" s="121"/>
      <c r="H864" s="121"/>
    </row>
    <row r="865" hidden="1">
      <c r="A865" s="121"/>
      <c r="B865" s="121"/>
      <c r="C865" s="121"/>
      <c r="D865" s="121"/>
      <c r="E865" s="133"/>
      <c r="F865" s="133"/>
      <c r="G865" s="121"/>
      <c r="H865" s="121"/>
    </row>
    <row r="866" hidden="1">
      <c r="A866" s="121"/>
      <c r="B866" s="121"/>
      <c r="C866" s="121"/>
      <c r="D866" s="121"/>
      <c r="E866" s="133"/>
      <c r="F866" s="133"/>
      <c r="G866" s="121"/>
      <c r="H866" s="121"/>
    </row>
    <row r="867" hidden="1">
      <c r="A867" s="121"/>
      <c r="B867" s="121"/>
      <c r="C867" s="121"/>
      <c r="D867" s="121"/>
      <c r="E867" s="133"/>
      <c r="F867" s="133"/>
      <c r="G867" s="121"/>
      <c r="H867" s="121"/>
    </row>
    <row r="868" hidden="1">
      <c r="A868" s="121"/>
      <c r="B868" s="121"/>
      <c r="C868" s="121"/>
      <c r="D868" s="121"/>
      <c r="E868" s="133"/>
      <c r="F868" s="133"/>
      <c r="G868" s="121"/>
      <c r="H868" s="121"/>
    </row>
    <row r="869" hidden="1">
      <c r="A869" s="121"/>
      <c r="B869" s="121"/>
      <c r="C869" s="121"/>
      <c r="D869" s="121"/>
      <c r="E869" s="133"/>
      <c r="F869" s="133"/>
      <c r="G869" s="121"/>
      <c r="H869" s="121"/>
    </row>
    <row r="870" hidden="1">
      <c r="A870" s="121"/>
      <c r="B870" s="121"/>
      <c r="C870" s="121"/>
      <c r="D870" s="121"/>
      <c r="E870" s="133"/>
      <c r="F870" s="133"/>
      <c r="G870" s="121"/>
      <c r="H870" s="121"/>
    </row>
    <row r="871" hidden="1">
      <c r="A871" s="121"/>
      <c r="B871" s="121"/>
      <c r="C871" s="121"/>
      <c r="D871" s="121"/>
      <c r="E871" s="133"/>
      <c r="F871" s="133"/>
      <c r="G871" s="121"/>
      <c r="H871" s="121"/>
    </row>
    <row r="872" hidden="1">
      <c r="A872" s="121"/>
      <c r="B872" s="121"/>
      <c r="C872" s="121"/>
      <c r="D872" s="121"/>
      <c r="E872" s="133"/>
      <c r="F872" s="133"/>
      <c r="G872" s="121"/>
      <c r="H872" s="121"/>
    </row>
    <row r="873" hidden="1">
      <c r="A873" s="121"/>
      <c r="B873" s="121"/>
      <c r="C873" s="121"/>
      <c r="D873" s="121"/>
      <c r="E873" s="133"/>
      <c r="F873" s="133"/>
      <c r="G873" s="121"/>
      <c r="H873" s="121"/>
    </row>
    <row r="874" hidden="1">
      <c r="A874" s="121"/>
      <c r="B874" s="121"/>
      <c r="C874" s="121"/>
      <c r="D874" s="121"/>
      <c r="E874" s="133"/>
      <c r="F874" s="133"/>
      <c r="G874" s="121"/>
      <c r="H874" s="121"/>
    </row>
    <row r="875" hidden="1">
      <c r="A875" s="121"/>
      <c r="B875" s="121"/>
      <c r="C875" s="121"/>
      <c r="D875" s="121"/>
      <c r="E875" s="133"/>
      <c r="F875" s="133"/>
      <c r="G875" s="121"/>
      <c r="H875" s="121"/>
    </row>
    <row r="876" hidden="1">
      <c r="A876" s="121"/>
      <c r="B876" s="121"/>
      <c r="C876" s="121"/>
      <c r="D876" s="121"/>
      <c r="E876" s="133"/>
      <c r="F876" s="133"/>
      <c r="G876" s="121"/>
      <c r="H876" s="121"/>
    </row>
    <row r="877" hidden="1">
      <c r="A877" s="121"/>
      <c r="B877" s="121"/>
      <c r="C877" s="121"/>
      <c r="D877" s="121"/>
      <c r="E877" s="133"/>
      <c r="F877" s="133"/>
      <c r="G877" s="121"/>
      <c r="H877" s="121"/>
    </row>
    <row r="878" hidden="1">
      <c r="A878" s="121"/>
      <c r="B878" s="121"/>
      <c r="C878" s="121"/>
      <c r="D878" s="121"/>
      <c r="E878" s="133"/>
      <c r="F878" s="133"/>
      <c r="G878" s="121"/>
      <c r="H878" s="121"/>
    </row>
    <row r="879" hidden="1">
      <c r="A879" s="121"/>
      <c r="B879" s="121"/>
      <c r="C879" s="121"/>
      <c r="D879" s="121"/>
      <c r="E879" s="133"/>
      <c r="F879" s="133"/>
      <c r="G879" s="121"/>
      <c r="H879" s="121"/>
    </row>
    <row r="880" hidden="1">
      <c r="A880" s="121"/>
      <c r="B880" s="121"/>
      <c r="C880" s="121"/>
      <c r="D880" s="121"/>
      <c r="E880" s="133"/>
      <c r="F880" s="133"/>
      <c r="G880" s="121"/>
      <c r="H880" s="121"/>
    </row>
    <row r="881" hidden="1">
      <c r="A881" s="121"/>
      <c r="B881" s="121"/>
      <c r="C881" s="121"/>
      <c r="D881" s="121"/>
      <c r="E881" s="133"/>
      <c r="F881" s="133"/>
      <c r="G881" s="121"/>
      <c r="H881" s="121"/>
    </row>
    <row r="882" hidden="1">
      <c r="A882" s="121"/>
      <c r="B882" s="121"/>
      <c r="C882" s="121"/>
      <c r="D882" s="121"/>
      <c r="E882" s="133"/>
      <c r="F882" s="133"/>
      <c r="G882" s="121"/>
      <c r="H882" s="121"/>
    </row>
    <row r="883" hidden="1">
      <c r="A883" s="121"/>
      <c r="B883" s="121"/>
      <c r="C883" s="121"/>
      <c r="D883" s="121"/>
      <c r="E883" s="133"/>
      <c r="F883" s="133"/>
      <c r="G883" s="121"/>
      <c r="H883" s="121"/>
    </row>
    <row r="884" hidden="1">
      <c r="A884" s="121"/>
      <c r="B884" s="121"/>
      <c r="C884" s="121"/>
      <c r="D884" s="121"/>
      <c r="E884" s="133"/>
      <c r="F884" s="133"/>
      <c r="G884" s="121"/>
      <c r="H884" s="121"/>
    </row>
    <row r="885" hidden="1">
      <c r="A885" s="121"/>
      <c r="B885" s="121"/>
      <c r="C885" s="121"/>
      <c r="D885" s="121"/>
      <c r="E885" s="133"/>
      <c r="F885" s="133"/>
      <c r="G885" s="121"/>
      <c r="H885" s="121"/>
    </row>
    <row r="886" hidden="1">
      <c r="A886" s="121"/>
      <c r="B886" s="121"/>
      <c r="C886" s="121"/>
      <c r="D886" s="121"/>
      <c r="E886" s="133"/>
      <c r="F886" s="133"/>
      <c r="G886" s="121"/>
      <c r="H886" s="121"/>
    </row>
    <row r="887" hidden="1">
      <c r="A887" s="121"/>
      <c r="B887" s="121"/>
      <c r="C887" s="121"/>
      <c r="D887" s="121"/>
      <c r="E887" s="133"/>
      <c r="F887" s="133"/>
      <c r="G887" s="121"/>
      <c r="H887" s="121"/>
    </row>
    <row r="888" hidden="1">
      <c r="A888" s="121"/>
      <c r="B888" s="121"/>
      <c r="C888" s="121"/>
      <c r="D888" s="121"/>
      <c r="E888" s="133"/>
      <c r="F888" s="133"/>
      <c r="G888" s="121"/>
      <c r="H888" s="121"/>
    </row>
    <row r="889" hidden="1">
      <c r="A889" s="121"/>
      <c r="B889" s="121"/>
      <c r="C889" s="121"/>
      <c r="D889" s="121"/>
      <c r="E889" s="133"/>
      <c r="F889" s="133"/>
      <c r="G889" s="121"/>
      <c r="H889" s="121"/>
    </row>
    <row r="890" hidden="1">
      <c r="A890" s="121"/>
      <c r="B890" s="121"/>
      <c r="C890" s="121"/>
      <c r="D890" s="121"/>
      <c r="E890" s="133"/>
      <c r="F890" s="133"/>
      <c r="G890" s="121"/>
      <c r="H890" s="121"/>
    </row>
    <row r="891" hidden="1">
      <c r="A891" s="121"/>
      <c r="B891" s="121"/>
      <c r="C891" s="121"/>
      <c r="D891" s="121"/>
      <c r="E891" s="133"/>
      <c r="F891" s="133"/>
      <c r="G891" s="121"/>
      <c r="H891" s="121"/>
    </row>
    <row r="892" hidden="1">
      <c r="A892" s="121"/>
      <c r="B892" s="121"/>
      <c r="C892" s="121"/>
      <c r="D892" s="121"/>
      <c r="E892" s="133"/>
      <c r="F892" s="133"/>
      <c r="G892" s="121"/>
      <c r="H892" s="121"/>
    </row>
    <row r="893" hidden="1">
      <c r="A893" s="121"/>
      <c r="B893" s="121"/>
      <c r="C893" s="121"/>
      <c r="D893" s="121"/>
      <c r="E893" s="133"/>
      <c r="F893" s="133"/>
      <c r="G893" s="121"/>
      <c r="H893" s="121"/>
    </row>
    <row r="894" hidden="1">
      <c r="A894" s="121"/>
      <c r="B894" s="121"/>
      <c r="C894" s="121"/>
      <c r="D894" s="121"/>
      <c r="E894" s="133"/>
      <c r="F894" s="133"/>
      <c r="G894" s="121"/>
      <c r="H894" s="121"/>
    </row>
    <row r="895" hidden="1">
      <c r="A895" s="121"/>
      <c r="B895" s="121"/>
      <c r="C895" s="121"/>
      <c r="D895" s="121"/>
      <c r="E895" s="133"/>
      <c r="F895" s="133"/>
      <c r="G895" s="121"/>
      <c r="H895" s="121"/>
    </row>
    <row r="896" hidden="1">
      <c r="A896" s="121"/>
      <c r="B896" s="121"/>
      <c r="C896" s="121"/>
      <c r="D896" s="121"/>
      <c r="E896" s="133"/>
      <c r="F896" s="133"/>
      <c r="G896" s="121"/>
      <c r="H896" s="121"/>
    </row>
    <row r="897" hidden="1">
      <c r="A897" s="121"/>
      <c r="B897" s="121"/>
      <c r="C897" s="121"/>
      <c r="D897" s="121"/>
      <c r="E897" s="133"/>
      <c r="F897" s="133"/>
      <c r="G897" s="121"/>
      <c r="H897" s="121"/>
    </row>
    <row r="898" hidden="1">
      <c r="A898" s="121"/>
      <c r="B898" s="121"/>
      <c r="C898" s="121"/>
      <c r="D898" s="121"/>
      <c r="E898" s="133"/>
      <c r="F898" s="133"/>
      <c r="G898" s="121"/>
      <c r="H898" s="121"/>
    </row>
    <row r="899" hidden="1">
      <c r="A899" s="121"/>
      <c r="B899" s="121"/>
      <c r="C899" s="121"/>
      <c r="D899" s="121"/>
      <c r="E899" s="133"/>
      <c r="F899" s="133"/>
      <c r="G899" s="121"/>
      <c r="H899" s="121"/>
    </row>
    <row r="900" hidden="1">
      <c r="A900" s="121"/>
      <c r="B900" s="121"/>
      <c r="C900" s="121"/>
      <c r="D900" s="121"/>
      <c r="E900" s="133"/>
      <c r="F900" s="133"/>
      <c r="G900" s="121"/>
      <c r="H900" s="121"/>
    </row>
    <row r="901" hidden="1">
      <c r="A901" s="121"/>
      <c r="B901" s="121"/>
      <c r="C901" s="121"/>
      <c r="D901" s="121"/>
      <c r="E901" s="133"/>
      <c r="F901" s="133"/>
      <c r="G901" s="121"/>
      <c r="H901" s="121"/>
    </row>
    <row r="902" hidden="1">
      <c r="A902" s="121"/>
      <c r="B902" s="121"/>
      <c r="C902" s="121"/>
      <c r="D902" s="121"/>
      <c r="E902" s="133"/>
      <c r="F902" s="133"/>
      <c r="G902" s="121"/>
      <c r="H902" s="121"/>
    </row>
    <row r="903" hidden="1">
      <c r="A903" s="121"/>
      <c r="B903" s="121"/>
      <c r="C903" s="121"/>
      <c r="D903" s="121"/>
      <c r="E903" s="133"/>
      <c r="F903" s="133"/>
      <c r="G903" s="121"/>
      <c r="H903" s="121"/>
    </row>
    <row r="904" hidden="1">
      <c r="A904" s="121"/>
      <c r="B904" s="121"/>
      <c r="C904" s="121"/>
      <c r="D904" s="121"/>
      <c r="E904" s="133"/>
      <c r="F904" s="133"/>
      <c r="G904" s="121"/>
      <c r="H904" s="121"/>
    </row>
    <row r="905" hidden="1">
      <c r="A905" s="121"/>
      <c r="B905" s="121"/>
      <c r="C905" s="121"/>
      <c r="D905" s="121"/>
      <c r="E905" s="133"/>
      <c r="F905" s="133"/>
      <c r="G905" s="121"/>
      <c r="H905" s="121"/>
    </row>
    <row r="906" hidden="1">
      <c r="A906" s="121"/>
      <c r="B906" s="121"/>
      <c r="C906" s="121"/>
      <c r="D906" s="121"/>
      <c r="E906" s="133"/>
      <c r="F906" s="133"/>
      <c r="G906" s="121"/>
      <c r="H906" s="121"/>
    </row>
    <row r="907" hidden="1">
      <c r="A907" s="121"/>
      <c r="B907" s="121"/>
      <c r="C907" s="121"/>
      <c r="D907" s="121"/>
      <c r="E907" s="133"/>
      <c r="F907" s="133"/>
      <c r="G907" s="121"/>
      <c r="H907" s="121"/>
    </row>
    <row r="908" hidden="1">
      <c r="A908" s="121"/>
      <c r="B908" s="121"/>
      <c r="C908" s="121"/>
      <c r="D908" s="121"/>
      <c r="E908" s="133"/>
      <c r="F908" s="133"/>
      <c r="G908" s="121"/>
      <c r="H908" s="121"/>
    </row>
    <row r="909" hidden="1">
      <c r="A909" s="121"/>
      <c r="B909" s="121"/>
      <c r="C909" s="121"/>
      <c r="D909" s="121"/>
      <c r="E909" s="133"/>
      <c r="F909" s="133"/>
      <c r="G909" s="121"/>
      <c r="H909" s="121"/>
    </row>
    <row r="910" hidden="1">
      <c r="A910" s="121"/>
      <c r="B910" s="121"/>
      <c r="C910" s="121"/>
      <c r="D910" s="121"/>
      <c r="E910" s="133"/>
      <c r="F910" s="133"/>
      <c r="G910" s="121"/>
      <c r="H910" s="121"/>
    </row>
    <row r="911" hidden="1">
      <c r="A911" s="121"/>
      <c r="B911" s="121"/>
      <c r="C911" s="121"/>
      <c r="D911" s="121"/>
      <c r="E911" s="133"/>
      <c r="F911" s="133"/>
      <c r="G911" s="121"/>
      <c r="H911" s="121"/>
    </row>
    <row r="912" hidden="1">
      <c r="A912" s="121"/>
      <c r="B912" s="121"/>
      <c r="C912" s="121"/>
      <c r="D912" s="121"/>
      <c r="E912" s="133"/>
      <c r="F912" s="133"/>
      <c r="G912" s="121"/>
      <c r="H912" s="121"/>
    </row>
    <row r="913" hidden="1">
      <c r="A913" s="121"/>
      <c r="B913" s="121"/>
      <c r="C913" s="121"/>
      <c r="D913" s="121"/>
      <c r="E913" s="133"/>
      <c r="F913" s="133"/>
      <c r="G913" s="121"/>
      <c r="H913" s="121"/>
    </row>
    <row r="914" hidden="1">
      <c r="A914" s="121"/>
      <c r="B914" s="121"/>
      <c r="C914" s="121"/>
      <c r="D914" s="121"/>
      <c r="E914" s="133"/>
      <c r="F914" s="133"/>
      <c r="G914" s="121"/>
      <c r="H914" s="121"/>
    </row>
    <row r="915" hidden="1">
      <c r="A915" s="121"/>
      <c r="B915" s="121"/>
      <c r="C915" s="121"/>
      <c r="D915" s="121"/>
      <c r="E915" s="133"/>
      <c r="F915" s="133"/>
      <c r="G915" s="121"/>
      <c r="H915" s="121"/>
    </row>
    <row r="916" hidden="1">
      <c r="A916" s="121"/>
      <c r="B916" s="121"/>
      <c r="C916" s="121"/>
      <c r="D916" s="121"/>
      <c r="E916" s="133"/>
      <c r="F916" s="133"/>
      <c r="G916" s="121"/>
      <c r="H916" s="121"/>
    </row>
    <row r="917" hidden="1">
      <c r="A917" s="121"/>
      <c r="B917" s="121"/>
      <c r="C917" s="121"/>
      <c r="D917" s="121"/>
      <c r="E917" s="133"/>
      <c r="F917" s="133"/>
      <c r="G917" s="121"/>
      <c r="H917" s="121"/>
    </row>
    <row r="918" hidden="1">
      <c r="A918" s="121"/>
      <c r="B918" s="121"/>
      <c r="C918" s="121"/>
      <c r="D918" s="121"/>
      <c r="E918" s="133"/>
      <c r="F918" s="133"/>
      <c r="G918" s="121"/>
      <c r="H918" s="121"/>
    </row>
    <row r="919" hidden="1">
      <c r="A919" s="121"/>
      <c r="B919" s="121"/>
      <c r="C919" s="121"/>
      <c r="D919" s="121"/>
      <c r="E919" s="133"/>
      <c r="F919" s="133"/>
      <c r="G919" s="121"/>
      <c r="H919" s="121"/>
    </row>
    <row r="920" hidden="1">
      <c r="A920" s="121"/>
      <c r="B920" s="121"/>
      <c r="C920" s="121"/>
      <c r="D920" s="121"/>
      <c r="E920" s="133"/>
      <c r="F920" s="133"/>
      <c r="G920" s="121"/>
      <c r="H920" s="121"/>
    </row>
    <row r="921" hidden="1">
      <c r="A921" s="121"/>
      <c r="B921" s="121"/>
      <c r="C921" s="121"/>
      <c r="D921" s="121"/>
      <c r="E921" s="133"/>
      <c r="F921" s="133"/>
      <c r="G921" s="121"/>
      <c r="H921" s="121"/>
    </row>
    <row r="922" hidden="1">
      <c r="A922" s="121"/>
      <c r="B922" s="121"/>
      <c r="C922" s="121"/>
      <c r="D922" s="121"/>
      <c r="E922" s="133"/>
      <c r="F922" s="133"/>
      <c r="G922" s="121"/>
      <c r="H922" s="121"/>
    </row>
    <row r="923" hidden="1">
      <c r="A923" s="121"/>
      <c r="B923" s="121"/>
      <c r="C923" s="121"/>
      <c r="D923" s="121"/>
      <c r="E923" s="133"/>
      <c r="F923" s="133"/>
      <c r="G923" s="121"/>
      <c r="H923" s="121"/>
    </row>
    <row r="924" hidden="1">
      <c r="A924" s="121"/>
      <c r="B924" s="121"/>
      <c r="C924" s="121"/>
      <c r="D924" s="121"/>
      <c r="E924" s="133"/>
      <c r="F924" s="133"/>
      <c r="G924" s="121"/>
      <c r="H924" s="121"/>
    </row>
    <row r="925" hidden="1">
      <c r="A925" s="121"/>
      <c r="B925" s="121"/>
      <c r="C925" s="121"/>
      <c r="D925" s="121"/>
      <c r="E925" s="133"/>
      <c r="F925" s="133"/>
      <c r="G925" s="121"/>
      <c r="H925" s="121"/>
    </row>
    <row r="926" hidden="1">
      <c r="A926" s="121"/>
      <c r="B926" s="121"/>
      <c r="C926" s="121"/>
      <c r="D926" s="121"/>
      <c r="E926" s="133"/>
      <c r="F926" s="133"/>
      <c r="G926" s="121"/>
      <c r="H926" s="121"/>
    </row>
    <row r="927" hidden="1">
      <c r="A927" s="121"/>
      <c r="B927" s="121"/>
      <c r="C927" s="121"/>
      <c r="D927" s="121"/>
      <c r="E927" s="133"/>
      <c r="F927" s="133"/>
      <c r="G927" s="121"/>
      <c r="H927" s="121"/>
    </row>
    <row r="928" hidden="1">
      <c r="A928" s="121"/>
      <c r="B928" s="121"/>
      <c r="C928" s="121"/>
      <c r="D928" s="121"/>
      <c r="E928" s="133"/>
      <c r="F928" s="133"/>
      <c r="G928" s="121"/>
      <c r="H928" s="121"/>
    </row>
    <row r="929" hidden="1">
      <c r="A929" s="121"/>
      <c r="B929" s="121"/>
      <c r="C929" s="121"/>
      <c r="D929" s="121"/>
      <c r="E929" s="133"/>
      <c r="F929" s="133"/>
      <c r="G929" s="121"/>
      <c r="H929" s="121"/>
    </row>
    <row r="930" hidden="1">
      <c r="A930" s="121"/>
      <c r="B930" s="121"/>
      <c r="C930" s="121"/>
      <c r="D930" s="121"/>
      <c r="E930" s="133"/>
      <c r="F930" s="133"/>
      <c r="G930" s="121"/>
      <c r="H930" s="121"/>
    </row>
    <row r="931" hidden="1">
      <c r="A931" s="121"/>
      <c r="B931" s="121"/>
      <c r="C931" s="121"/>
      <c r="D931" s="121"/>
      <c r="E931" s="133"/>
      <c r="F931" s="133"/>
      <c r="G931" s="121"/>
      <c r="H931" s="121"/>
    </row>
    <row r="932" hidden="1">
      <c r="A932" s="121"/>
      <c r="B932" s="121"/>
      <c r="C932" s="121"/>
      <c r="D932" s="121"/>
      <c r="E932" s="133"/>
      <c r="F932" s="133"/>
      <c r="G932" s="121"/>
      <c r="H932" s="121"/>
    </row>
    <row r="933" hidden="1">
      <c r="A933" s="121"/>
      <c r="B933" s="121"/>
      <c r="C933" s="121"/>
      <c r="D933" s="121"/>
      <c r="E933" s="133"/>
      <c r="F933" s="133"/>
      <c r="G933" s="121"/>
      <c r="H933" s="121"/>
    </row>
    <row r="934" hidden="1">
      <c r="A934" s="121"/>
      <c r="B934" s="121"/>
      <c r="C934" s="121"/>
      <c r="D934" s="121"/>
      <c r="E934" s="133"/>
      <c r="F934" s="133"/>
      <c r="G934" s="121"/>
      <c r="H934" s="121"/>
    </row>
    <row r="935" hidden="1">
      <c r="A935" s="121"/>
      <c r="B935" s="121"/>
      <c r="C935" s="121"/>
      <c r="D935" s="121"/>
      <c r="E935" s="133"/>
      <c r="F935" s="133"/>
      <c r="G935" s="121"/>
      <c r="H935" s="121"/>
    </row>
    <row r="936" hidden="1">
      <c r="A936" s="121"/>
      <c r="B936" s="121"/>
      <c r="C936" s="121"/>
      <c r="D936" s="121"/>
      <c r="E936" s="133"/>
      <c r="F936" s="133"/>
      <c r="G936" s="121"/>
      <c r="H936" s="121"/>
    </row>
    <row r="937" hidden="1">
      <c r="A937" s="121"/>
      <c r="B937" s="121"/>
      <c r="C937" s="121"/>
      <c r="D937" s="121"/>
      <c r="E937" s="133"/>
      <c r="F937" s="133"/>
      <c r="G937" s="121"/>
      <c r="H937" s="121"/>
    </row>
    <row r="938" hidden="1">
      <c r="A938" s="121"/>
      <c r="B938" s="121"/>
      <c r="C938" s="121"/>
      <c r="D938" s="121"/>
      <c r="E938" s="133"/>
      <c r="F938" s="133"/>
      <c r="G938" s="121"/>
      <c r="H938" s="121"/>
    </row>
    <row r="939" hidden="1">
      <c r="A939" s="121"/>
      <c r="B939" s="121"/>
      <c r="C939" s="121"/>
      <c r="D939" s="121"/>
      <c r="E939" s="133"/>
      <c r="F939" s="133"/>
      <c r="G939" s="121"/>
      <c r="H939" s="121"/>
    </row>
    <row r="940" hidden="1">
      <c r="A940" s="121"/>
      <c r="B940" s="121"/>
      <c r="C940" s="121"/>
      <c r="D940" s="121"/>
      <c r="E940" s="133"/>
      <c r="F940" s="133"/>
      <c r="G940" s="121"/>
      <c r="H940" s="121"/>
    </row>
    <row r="941" hidden="1">
      <c r="A941" s="121"/>
      <c r="B941" s="121"/>
      <c r="C941" s="121"/>
      <c r="D941" s="121"/>
      <c r="E941" s="133"/>
      <c r="F941" s="133"/>
      <c r="G941" s="121"/>
      <c r="H941" s="121"/>
    </row>
    <row r="942" hidden="1">
      <c r="A942" s="121"/>
      <c r="B942" s="121"/>
      <c r="C942" s="121"/>
      <c r="D942" s="121"/>
      <c r="E942" s="133"/>
      <c r="F942" s="133"/>
      <c r="G942" s="121"/>
      <c r="H942" s="121"/>
    </row>
    <row r="943" hidden="1">
      <c r="A943" s="121"/>
      <c r="B943" s="121"/>
      <c r="C943" s="121"/>
      <c r="D943" s="121"/>
      <c r="E943" s="133"/>
      <c r="F943" s="133"/>
      <c r="G943" s="121"/>
      <c r="H943" s="121"/>
    </row>
    <row r="944" hidden="1">
      <c r="A944" s="121"/>
      <c r="B944" s="121"/>
      <c r="C944" s="121"/>
      <c r="D944" s="121"/>
      <c r="E944" s="133"/>
      <c r="F944" s="133"/>
      <c r="G944" s="121"/>
      <c r="H944" s="121"/>
    </row>
    <row r="945" hidden="1">
      <c r="A945" s="121"/>
      <c r="B945" s="121"/>
      <c r="C945" s="121"/>
      <c r="D945" s="121"/>
      <c r="E945" s="133"/>
      <c r="F945" s="133"/>
      <c r="G945" s="121"/>
      <c r="H945" s="121"/>
    </row>
    <row r="946" hidden="1">
      <c r="A946" s="121"/>
      <c r="B946" s="121"/>
      <c r="C946" s="121"/>
      <c r="D946" s="121"/>
      <c r="E946" s="133"/>
      <c r="F946" s="133"/>
      <c r="G946" s="121"/>
      <c r="H946" s="121"/>
    </row>
    <row r="947" hidden="1">
      <c r="A947" s="121"/>
      <c r="B947" s="121"/>
      <c r="C947" s="121"/>
      <c r="D947" s="121"/>
      <c r="E947" s="133"/>
      <c r="F947" s="133"/>
      <c r="G947" s="121"/>
      <c r="H947" s="121"/>
    </row>
    <row r="948" hidden="1">
      <c r="A948" s="121"/>
      <c r="B948" s="121"/>
      <c r="C948" s="121"/>
      <c r="D948" s="121"/>
      <c r="E948" s="133"/>
      <c r="F948" s="133"/>
      <c r="G948" s="121"/>
      <c r="H948" s="121"/>
    </row>
    <row r="949" hidden="1">
      <c r="A949" s="121"/>
      <c r="B949" s="121"/>
      <c r="C949" s="121"/>
      <c r="D949" s="121"/>
      <c r="E949" s="133"/>
      <c r="F949" s="133"/>
      <c r="G949" s="121"/>
      <c r="H949" s="121"/>
    </row>
    <row r="950" hidden="1">
      <c r="A950" s="121"/>
      <c r="B950" s="121"/>
      <c r="C950" s="121"/>
      <c r="D950" s="121"/>
      <c r="E950" s="133"/>
      <c r="F950" s="133"/>
      <c r="G950" s="121"/>
      <c r="H950" s="121"/>
    </row>
    <row r="951" hidden="1">
      <c r="A951" s="121"/>
      <c r="B951" s="121"/>
      <c r="C951" s="121"/>
      <c r="D951" s="121"/>
      <c r="E951" s="133"/>
      <c r="F951" s="133"/>
      <c r="G951" s="121"/>
      <c r="H951" s="121"/>
    </row>
    <row r="952" hidden="1">
      <c r="A952" s="121"/>
      <c r="B952" s="121"/>
      <c r="C952" s="121"/>
      <c r="D952" s="121"/>
      <c r="E952" s="133"/>
      <c r="F952" s="133"/>
      <c r="G952" s="121"/>
      <c r="H952" s="121"/>
    </row>
    <row r="953" hidden="1">
      <c r="A953" s="121"/>
      <c r="B953" s="121"/>
      <c r="C953" s="121"/>
      <c r="D953" s="121"/>
      <c r="E953" s="133"/>
      <c r="F953" s="133"/>
      <c r="G953" s="121"/>
      <c r="H953" s="121"/>
    </row>
    <row r="954" hidden="1">
      <c r="A954" s="121"/>
      <c r="B954" s="121"/>
      <c r="C954" s="121"/>
      <c r="D954" s="121"/>
      <c r="E954" s="133"/>
      <c r="F954" s="133"/>
      <c r="G954" s="121"/>
      <c r="H954" s="121"/>
    </row>
    <row r="955" hidden="1">
      <c r="A955" s="121"/>
      <c r="B955" s="121"/>
      <c r="C955" s="121"/>
      <c r="D955" s="121"/>
      <c r="E955" s="133"/>
      <c r="F955" s="133"/>
      <c r="G955" s="121"/>
      <c r="H955" s="121"/>
    </row>
    <row r="956" hidden="1">
      <c r="A956" s="121"/>
      <c r="B956" s="121"/>
      <c r="C956" s="121"/>
      <c r="D956" s="121"/>
      <c r="E956" s="133"/>
      <c r="F956" s="133"/>
      <c r="G956" s="121"/>
      <c r="H956" s="121"/>
    </row>
    <row r="957" hidden="1">
      <c r="A957" s="121"/>
      <c r="B957" s="121"/>
      <c r="C957" s="121"/>
      <c r="D957" s="121"/>
      <c r="E957" s="133"/>
      <c r="F957" s="133"/>
      <c r="G957" s="121"/>
      <c r="H957" s="121"/>
    </row>
    <row r="958" hidden="1">
      <c r="A958" s="121"/>
      <c r="B958" s="121"/>
      <c r="C958" s="121"/>
      <c r="D958" s="121"/>
      <c r="E958" s="133"/>
      <c r="F958" s="133"/>
      <c r="G958" s="121"/>
      <c r="H958" s="121"/>
    </row>
    <row r="959" hidden="1">
      <c r="A959" s="121"/>
      <c r="B959" s="121"/>
      <c r="C959" s="121"/>
      <c r="D959" s="121"/>
      <c r="E959" s="133"/>
      <c r="F959" s="133"/>
      <c r="G959" s="121"/>
      <c r="H959" s="121"/>
    </row>
    <row r="960" hidden="1">
      <c r="A960" s="121"/>
      <c r="B960" s="121"/>
      <c r="C960" s="121"/>
      <c r="D960" s="121"/>
      <c r="E960" s="133"/>
      <c r="F960" s="133"/>
      <c r="G960" s="121"/>
      <c r="H960" s="121"/>
    </row>
    <row r="961" hidden="1">
      <c r="A961" s="121"/>
      <c r="B961" s="121"/>
      <c r="C961" s="121"/>
      <c r="D961" s="121"/>
      <c r="E961" s="133"/>
      <c r="F961" s="133"/>
      <c r="G961" s="121"/>
      <c r="H961" s="121"/>
    </row>
    <row r="962" hidden="1">
      <c r="A962" s="121"/>
      <c r="B962" s="121"/>
      <c r="C962" s="121"/>
      <c r="D962" s="121"/>
      <c r="E962" s="133"/>
      <c r="F962" s="133"/>
      <c r="G962" s="121"/>
      <c r="H962" s="121"/>
    </row>
    <row r="963" hidden="1">
      <c r="A963" s="121"/>
      <c r="B963" s="121"/>
      <c r="C963" s="121"/>
      <c r="D963" s="121"/>
      <c r="E963" s="133"/>
      <c r="F963" s="133"/>
      <c r="G963" s="121"/>
      <c r="H963" s="121"/>
    </row>
    <row r="964" hidden="1">
      <c r="A964" s="121"/>
      <c r="B964" s="121"/>
      <c r="C964" s="121"/>
      <c r="D964" s="121"/>
      <c r="E964" s="133"/>
      <c r="F964" s="133"/>
      <c r="G964" s="121"/>
      <c r="H964" s="121"/>
    </row>
    <row r="965" hidden="1">
      <c r="A965" s="121"/>
      <c r="B965" s="121"/>
      <c r="C965" s="121"/>
      <c r="D965" s="121"/>
      <c r="E965" s="133"/>
      <c r="F965" s="133"/>
      <c r="G965" s="121"/>
      <c r="H965" s="121"/>
    </row>
    <row r="966" hidden="1">
      <c r="A966" s="121"/>
      <c r="B966" s="121"/>
      <c r="C966" s="121"/>
      <c r="D966" s="121"/>
      <c r="E966" s="133"/>
      <c r="F966" s="133"/>
      <c r="G966" s="121"/>
      <c r="H966" s="121"/>
    </row>
    <row r="967" hidden="1">
      <c r="A967" s="121"/>
      <c r="B967" s="121"/>
      <c r="C967" s="121"/>
      <c r="D967" s="121"/>
      <c r="E967" s="133"/>
      <c r="F967" s="133"/>
      <c r="G967" s="121"/>
      <c r="H967" s="121"/>
    </row>
    <row r="968" hidden="1">
      <c r="A968" s="121"/>
      <c r="B968" s="121"/>
      <c r="C968" s="121"/>
      <c r="D968" s="121"/>
      <c r="E968" s="133"/>
      <c r="F968" s="133"/>
      <c r="G968" s="121"/>
      <c r="H968" s="121"/>
    </row>
    <row r="969" hidden="1">
      <c r="A969" s="121"/>
      <c r="B969" s="121"/>
      <c r="C969" s="121"/>
      <c r="D969" s="121"/>
      <c r="E969" s="133"/>
      <c r="F969" s="133"/>
      <c r="G969" s="121"/>
      <c r="H969" s="121"/>
    </row>
    <row r="970" hidden="1">
      <c r="A970" s="121"/>
      <c r="B970" s="121"/>
      <c r="C970" s="121"/>
      <c r="D970" s="121"/>
      <c r="E970" s="133"/>
      <c r="F970" s="133"/>
      <c r="G970" s="121"/>
      <c r="H970" s="121"/>
    </row>
    <row r="971" hidden="1">
      <c r="A971" s="121"/>
      <c r="B971" s="121"/>
      <c r="C971" s="121"/>
      <c r="D971" s="121"/>
      <c r="E971" s="133"/>
      <c r="F971" s="133"/>
      <c r="G971" s="121"/>
      <c r="H971" s="121"/>
    </row>
    <row r="972" hidden="1">
      <c r="A972" s="121"/>
      <c r="B972" s="121"/>
      <c r="C972" s="121"/>
      <c r="D972" s="121"/>
      <c r="E972" s="133"/>
      <c r="F972" s="133"/>
      <c r="G972" s="121"/>
      <c r="H972" s="121"/>
    </row>
    <row r="973" hidden="1">
      <c r="A973" s="121"/>
      <c r="B973" s="121"/>
      <c r="C973" s="121"/>
      <c r="D973" s="121"/>
      <c r="E973" s="133"/>
      <c r="F973" s="133"/>
      <c r="G973" s="121"/>
      <c r="H973" s="121"/>
    </row>
    <row r="974" hidden="1">
      <c r="A974" s="121"/>
      <c r="B974" s="121"/>
      <c r="C974" s="121"/>
      <c r="D974" s="121"/>
      <c r="E974" s="133"/>
      <c r="F974" s="133"/>
      <c r="G974" s="121"/>
      <c r="H974" s="121"/>
    </row>
    <row r="975" hidden="1">
      <c r="A975" s="121"/>
      <c r="B975" s="121"/>
      <c r="C975" s="121"/>
      <c r="D975" s="121"/>
      <c r="E975" s="133"/>
      <c r="F975" s="133"/>
      <c r="G975" s="121"/>
      <c r="H975" s="121"/>
    </row>
    <row r="976" hidden="1">
      <c r="A976" s="121"/>
      <c r="B976" s="121"/>
      <c r="C976" s="121"/>
      <c r="D976" s="121"/>
      <c r="E976" s="133"/>
      <c r="F976" s="133"/>
      <c r="G976" s="121"/>
      <c r="H976" s="121"/>
    </row>
    <row r="977" hidden="1">
      <c r="A977" s="121"/>
      <c r="B977" s="121"/>
      <c r="C977" s="121"/>
      <c r="D977" s="121"/>
      <c r="E977" s="133"/>
      <c r="F977" s="133"/>
      <c r="G977" s="121"/>
      <c r="H977" s="121"/>
    </row>
    <row r="978" hidden="1">
      <c r="A978" s="121"/>
      <c r="B978" s="121"/>
      <c r="C978" s="121"/>
      <c r="D978" s="121"/>
      <c r="E978" s="133"/>
      <c r="F978" s="133"/>
      <c r="G978" s="121"/>
      <c r="H978" s="121"/>
    </row>
    <row r="979" hidden="1">
      <c r="A979" s="121"/>
      <c r="B979" s="121"/>
      <c r="C979" s="121"/>
      <c r="D979" s="121"/>
      <c r="E979" s="133"/>
      <c r="F979" s="133"/>
      <c r="G979" s="121"/>
      <c r="H979" s="121"/>
    </row>
    <row r="980" hidden="1">
      <c r="A980" s="121"/>
      <c r="B980" s="121"/>
      <c r="C980" s="121"/>
      <c r="D980" s="121"/>
      <c r="E980" s="133"/>
      <c r="F980" s="133"/>
      <c r="G980" s="121"/>
      <c r="H980" s="121"/>
    </row>
    <row r="981" hidden="1">
      <c r="A981" s="121"/>
      <c r="B981" s="121"/>
      <c r="C981" s="121"/>
      <c r="D981" s="121"/>
      <c r="E981" s="133"/>
      <c r="F981" s="133"/>
      <c r="G981" s="121"/>
      <c r="H981" s="121"/>
    </row>
    <row r="982" hidden="1">
      <c r="A982" s="121"/>
      <c r="B982" s="121"/>
      <c r="C982" s="121"/>
      <c r="D982" s="121"/>
      <c r="E982" s="133"/>
      <c r="F982" s="133"/>
      <c r="G982" s="121"/>
      <c r="H982" s="121"/>
    </row>
    <row r="983" hidden="1">
      <c r="A983" s="121"/>
      <c r="B983" s="121"/>
      <c r="C983" s="121"/>
      <c r="D983" s="121"/>
      <c r="E983" s="133"/>
      <c r="F983" s="133"/>
      <c r="G983" s="121"/>
      <c r="H983" s="121"/>
    </row>
    <row r="984" hidden="1">
      <c r="A984" s="121"/>
      <c r="B984" s="121"/>
      <c r="C984" s="121"/>
      <c r="D984" s="121"/>
      <c r="E984" s="133"/>
      <c r="F984" s="133"/>
      <c r="G984" s="121"/>
      <c r="H984" s="121"/>
    </row>
    <row r="985" hidden="1">
      <c r="A985" s="121"/>
      <c r="B985" s="121"/>
      <c r="C985" s="121"/>
      <c r="D985" s="121"/>
      <c r="E985" s="133"/>
      <c r="F985" s="133"/>
      <c r="G985" s="121"/>
      <c r="H985" s="121"/>
    </row>
    <row r="986" hidden="1">
      <c r="A986" s="121"/>
      <c r="B986" s="121"/>
      <c r="C986" s="121"/>
      <c r="D986" s="121"/>
      <c r="E986" s="133"/>
      <c r="F986" s="133"/>
      <c r="G986" s="121"/>
      <c r="H986" s="121"/>
    </row>
    <row r="987" hidden="1">
      <c r="A987" s="121"/>
      <c r="B987" s="121"/>
      <c r="C987" s="121"/>
      <c r="D987" s="121"/>
      <c r="E987" s="133"/>
      <c r="F987" s="133"/>
      <c r="G987" s="121"/>
      <c r="H987" s="121"/>
    </row>
    <row r="988" hidden="1">
      <c r="A988" s="121"/>
      <c r="B988" s="121"/>
      <c r="C988" s="121"/>
      <c r="D988" s="121"/>
      <c r="E988" s="133"/>
      <c r="F988" s="133"/>
      <c r="G988" s="121"/>
      <c r="H988" s="121"/>
    </row>
    <row r="989" hidden="1">
      <c r="A989" s="121"/>
      <c r="B989" s="121"/>
      <c r="C989" s="121"/>
      <c r="D989" s="121"/>
      <c r="E989" s="133"/>
      <c r="F989" s="133"/>
      <c r="G989" s="121"/>
      <c r="H989" s="121"/>
    </row>
    <row r="990" hidden="1">
      <c r="A990" s="121"/>
      <c r="B990" s="121"/>
      <c r="C990" s="121"/>
      <c r="D990" s="121"/>
      <c r="E990" s="133"/>
      <c r="F990" s="133"/>
      <c r="G990" s="121"/>
      <c r="H990" s="121"/>
    </row>
    <row r="991" hidden="1">
      <c r="A991" s="121"/>
      <c r="B991" s="121"/>
      <c r="C991" s="121"/>
      <c r="D991" s="121"/>
      <c r="E991" s="133"/>
      <c r="F991" s="133"/>
      <c r="G991" s="121"/>
      <c r="H991" s="121"/>
    </row>
    <row r="992" hidden="1">
      <c r="A992" s="121"/>
      <c r="B992" s="121"/>
      <c r="C992" s="121"/>
      <c r="D992" s="121"/>
      <c r="E992" s="133"/>
      <c r="F992" s="133"/>
      <c r="G992" s="121"/>
      <c r="H992" s="121"/>
    </row>
    <row r="993" hidden="1">
      <c r="A993" s="121"/>
      <c r="B993" s="121"/>
      <c r="C993" s="121"/>
      <c r="D993" s="121"/>
      <c r="E993" s="133"/>
      <c r="F993" s="133"/>
      <c r="G993" s="121"/>
      <c r="H993" s="121"/>
    </row>
    <row r="994" hidden="1">
      <c r="A994" s="121"/>
      <c r="B994" s="121"/>
      <c r="C994" s="121"/>
      <c r="D994" s="121"/>
      <c r="E994" s="133"/>
      <c r="F994" s="133"/>
      <c r="G994" s="121"/>
      <c r="H994" s="121"/>
    </row>
    <row r="995" hidden="1">
      <c r="A995" s="121"/>
      <c r="B995" s="121"/>
      <c r="C995" s="121"/>
      <c r="D995" s="121"/>
      <c r="E995" s="133"/>
      <c r="F995" s="133"/>
      <c r="G995" s="121"/>
      <c r="H995" s="121"/>
    </row>
    <row r="996" hidden="1">
      <c r="A996" s="121"/>
      <c r="B996" s="121"/>
      <c r="C996" s="121"/>
      <c r="D996" s="121"/>
      <c r="E996" s="133"/>
      <c r="F996" s="133"/>
      <c r="G996" s="121"/>
      <c r="H996" s="121"/>
    </row>
    <row r="997" hidden="1">
      <c r="A997" s="121"/>
      <c r="B997" s="121"/>
      <c r="C997" s="121"/>
      <c r="D997" s="121"/>
      <c r="E997" s="133"/>
      <c r="F997" s="133"/>
      <c r="G997" s="121"/>
      <c r="H997" s="121"/>
    </row>
    <row r="998" hidden="1">
      <c r="A998" s="121"/>
      <c r="B998" s="121"/>
      <c r="C998" s="121"/>
      <c r="D998" s="121"/>
      <c r="E998" s="133"/>
      <c r="F998" s="133"/>
      <c r="G998" s="121"/>
      <c r="H998" s="121"/>
    </row>
    <row r="999" hidden="1">
      <c r="A999" s="121"/>
      <c r="B999" s="121"/>
      <c r="C999" s="121"/>
      <c r="D999" s="121"/>
      <c r="E999" s="133"/>
      <c r="F999" s="133"/>
      <c r="G999" s="121"/>
      <c r="H999" s="121"/>
    </row>
    <row r="1000" hidden="1">
      <c r="A1000" s="121"/>
      <c r="B1000" s="121"/>
      <c r="C1000" s="121"/>
      <c r="D1000" s="121"/>
      <c r="E1000" s="133"/>
      <c r="F1000" s="133"/>
      <c r="G1000" s="121"/>
      <c r="H1000" s="121"/>
    </row>
    <row r="1001" hidden="1">
      <c r="A1001" s="121"/>
      <c r="B1001" s="121"/>
      <c r="C1001" s="121"/>
      <c r="D1001" s="121"/>
      <c r="E1001" s="133"/>
      <c r="F1001" s="133"/>
      <c r="G1001" s="121"/>
      <c r="H1001" s="121"/>
    </row>
    <row r="1002" hidden="1">
      <c r="A1002" s="121"/>
      <c r="B1002" s="121"/>
      <c r="C1002" s="121"/>
      <c r="D1002" s="121"/>
      <c r="E1002" s="133"/>
      <c r="F1002" s="133"/>
      <c r="G1002" s="121"/>
      <c r="H1002" s="121"/>
    </row>
    <row r="1003" hidden="1">
      <c r="A1003" s="121"/>
      <c r="B1003" s="121"/>
      <c r="C1003" s="121"/>
      <c r="D1003" s="121"/>
      <c r="E1003" s="133"/>
      <c r="F1003" s="133"/>
      <c r="G1003" s="121"/>
      <c r="H1003" s="121"/>
    </row>
    <row r="1004" hidden="1">
      <c r="A1004" s="121"/>
      <c r="B1004" s="121"/>
      <c r="C1004" s="121"/>
      <c r="D1004" s="121"/>
      <c r="E1004" s="133"/>
      <c r="F1004" s="133"/>
      <c r="G1004" s="121"/>
      <c r="H1004" s="121"/>
    </row>
    <row r="1005" hidden="1">
      <c r="A1005" s="121"/>
      <c r="B1005" s="121"/>
      <c r="C1005" s="121"/>
      <c r="D1005" s="121"/>
      <c r="E1005" s="133"/>
      <c r="F1005" s="133"/>
      <c r="G1005" s="121"/>
      <c r="H1005" s="121"/>
    </row>
    <row r="1006" hidden="1">
      <c r="A1006" s="121"/>
      <c r="B1006" s="121"/>
      <c r="C1006" s="121"/>
      <c r="D1006" s="121"/>
      <c r="E1006" s="133"/>
      <c r="F1006" s="133"/>
      <c r="G1006" s="121"/>
      <c r="H1006" s="121"/>
    </row>
    <row r="1007" hidden="1">
      <c r="A1007" s="121"/>
      <c r="B1007" s="121"/>
      <c r="C1007" s="121"/>
      <c r="D1007" s="121"/>
      <c r="E1007" s="133"/>
      <c r="F1007" s="133"/>
      <c r="G1007" s="121"/>
      <c r="H1007" s="121"/>
    </row>
    <row r="1008" hidden="1">
      <c r="A1008" s="121"/>
      <c r="B1008" s="121"/>
      <c r="C1008" s="121"/>
      <c r="D1008" s="121"/>
      <c r="E1008" s="133"/>
      <c r="F1008" s="133"/>
      <c r="G1008" s="121"/>
      <c r="H1008" s="121"/>
    </row>
    <row r="1009" hidden="1">
      <c r="A1009" s="121"/>
      <c r="B1009" s="121"/>
      <c r="C1009" s="121"/>
      <c r="D1009" s="121"/>
      <c r="E1009" s="133"/>
      <c r="F1009" s="133"/>
      <c r="G1009" s="121"/>
      <c r="H1009" s="121"/>
    </row>
    <row r="1010" hidden="1">
      <c r="A1010" s="121"/>
      <c r="B1010" s="121"/>
      <c r="C1010" s="121"/>
      <c r="D1010" s="121"/>
      <c r="E1010" s="133"/>
      <c r="F1010" s="133"/>
      <c r="G1010" s="121"/>
      <c r="H1010" s="121"/>
    </row>
    <row r="1011" hidden="1">
      <c r="A1011" s="121"/>
      <c r="B1011" s="121"/>
      <c r="C1011" s="121"/>
      <c r="D1011" s="121"/>
      <c r="E1011" s="133"/>
      <c r="F1011" s="133"/>
      <c r="G1011" s="121"/>
      <c r="H1011" s="121"/>
    </row>
    <row r="1012" hidden="1">
      <c r="A1012" s="121"/>
      <c r="B1012" s="121"/>
      <c r="C1012" s="121"/>
      <c r="D1012" s="121"/>
      <c r="E1012" s="133"/>
      <c r="F1012" s="133"/>
      <c r="G1012" s="121"/>
      <c r="H1012" s="121"/>
    </row>
    <row r="1013" hidden="1">
      <c r="A1013" s="121"/>
      <c r="B1013" s="121"/>
      <c r="C1013" s="121"/>
      <c r="D1013" s="121"/>
      <c r="E1013" s="133"/>
      <c r="F1013" s="133"/>
      <c r="G1013" s="121"/>
      <c r="H1013" s="121"/>
    </row>
    <row r="1014" hidden="1">
      <c r="A1014" s="121"/>
      <c r="B1014" s="121"/>
      <c r="C1014" s="121"/>
      <c r="D1014" s="121"/>
      <c r="E1014" s="133"/>
      <c r="F1014" s="133"/>
      <c r="G1014" s="121"/>
      <c r="H1014" s="121"/>
    </row>
    <row r="1015" hidden="1">
      <c r="A1015" s="121"/>
      <c r="B1015" s="121"/>
      <c r="C1015" s="121"/>
      <c r="D1015" s="121"/>
      <c r="E1015" s="133"/>
      <c r="F1015" s="133"/>
      <c r="G1015" s="121"/>
      <c r="H1015" s="121"/>
    </row>
    <row r="1016" hidden="1">
      <c r="A1016" s="121"/>
      <c r="B1016" s="121"/>
      <c r="C1016" s="121"/>
      <c r="D1016" s="121"/>
      <c r="E1016" s="133"/>
      <c r="F1016" s="133"/>
      <c r="G1016" s="121"/>
      <c r="H1016" s="121"/>
    </row>
    <row r="1017" hidden="1">
      <c r="A1017" s="121"/>
      <c r="B1017" s="121"/>
      <c r="C1017" s="121"/>
      <c r="D1017" s="121"/>
      <c r="E1017" s="133"/>
      <c r="F1017" s="133"/>
      <c r="G1017" s="121"/>
      <c r="H1017" s="121"/>
    </row>
    <row r="1018" hidden="1">
      <c r="A1018" s="121"/>
      <c r="B1018" s="121"/>
      <c r="C1018" s="121"/>
      <c r="D1018" s="121"/>
      <c r="E1018" s="133"/>
      <c r="F1018" s="133"/>
      <c r="G1018" s="121"/>
      <c r="H1018" s="121"/>
    </row>
    <row r="1019" hidden="1">
      <c r="A1019" s="121"/>
      <c r="B1019" s="121"/>
      <c r="C1019" s="121"/>
      <c r="D1019" s="121"/>
      <c r="E1019" s="133"/>
      <c r="F1019" s="133"/>
      <c r="G1019" s="121"/>
      <c r="H1019" s="121"/>
    </row>
    <row r="1020" hidden="1">
      <c r="A1020" s="121"/>
      <c r="B1020" s="121"/>
      <c r="C1020" s="121"/>
      <c r="D1020" s="121"/>
      <c r="E1020" s="133"/>
      <c r="F1020" s="133"/>
      <c r="G1020" s="121"/>
      <c r="H1020" s="121"/>
    </row>
    <row r="1021" hidden="1">
      <c r="A1021" s="121"/>
      <c r="B1021" s="121"/>
      <c r="C1021" s="121"/>
      <c r="D1021" s="121"/>
      <c r="E1021" s="133"/>
      <c r="F1021" s="133"/>
      <c r="G1021" s="121"/>
      <c r="H1021" s="121"/>
    </row>
    <row r="1022" hidden="1">
      <c r="A1022" s="121"/>
      <c r="B1022" s="121"/>
      <c r="C1022" s="121"/>
      <c r="D1022" s="121"/>
      <c r="E1022" s="133"/>
      <c r="F1022" s="133"/>
      <c r="G1022" s="121"/>
      <c r="H1022" s="121"/>
    </row>
    <row r="1023" hidden="1">
      <c r="A1023" s="121"/>
      <c r="B1023" s="121"/>
      <c r="C1023" s="121"/>
      <c r="D1023" s="121"/>
      <c r="E1023" s="133"/>
      <c r="F1023" s="133"/>
      <c r="G1023" s="121"/>
      <c r="H1023" s="121"/>
    </row>
    <row r="1024" hidden="1">
      <c r="A1024" s="121"/>
      <c r="B1024" s="121"/>
      <c r="C1024" s="121"/>
      <c r="D1024" s="121"/>
      <c r="E1024" s="133"/>
      <c r="F1024" s="133"/>
      <c r="G1024" s="121"/>
      <c r="H1024" s="121"/>
    </row>
    <row r="1025" hidden="1">
      <c r="A1025" s="121"/>
      <c r="B1025" s="121"/>
      <c r="C1025" s="121"/>
      <c r="D1025" s="121"/>
      <c r="E1025" s="133"/>
      <c r="F1025" s="133"/>
      <c r="G1025" s="121"/>
      <c r="H1025" s="121"/>
    </row>
    <row r="1026" hidden="1">
      <c r="A1026" s="121"/>
      <c r="B1026" s="121"/>
      <c r="C1026" s="121"/>
      <c r="D1026" s="121"/>
      <c r="E1026" s="133"/>
      <c r="F1026" s="133"/>
      <c r="G1026" s="121"/>
      <c r="H1026" s="121"/>
    </row>
    <row r="1027" hidden="1">
      <c r="A1027" s="121"/>
      <c r="B1027" s="121"/>
      <c r="C1027" s="121"/>
      <c r="D1027" s="121"/>
      <c r="E1027" s="133"/>
      <c r="F1027" s="133"/>
      <c r="G1027" s="121"/>
      <c r="H1027" s="121"/>
    </row>
    <row r="1028" hidden="1">
      <c r="A1028" s="121"/>
      <c r="B1028" s="121"/>
      <c r="C1028" s="121"/>
      <c r="D1028" s="121"/>
      <c r="E1028" s="133"/>
      <c r="F1028" s="133"/>
      <c r="G1028" s="121"/>
      <c r="H1028" s="121"/>
    </row>
    <row r="1029" hidden="1">
      <c r="A1029" s="121"/>
      <c r="B1029" s="121"/>
      <c r="C1029" s="121"/>
      <c r="D1029" s="121"/>
      <c r="E1029" s="133"/>
      <c r="F1029" s="133"/>
      <c r="G1029" s="121"/>
      <c r="H1029" s="121"/>
    </row>
    <row r="1030" hidden="1">
      <c r="A1030" s="121"/>
      <c r="B1030" s="121"/>
      <c r="C1030" s="121"/>
      <c r="D1030" s="121"/>
      <c r="E1030" s="133"/>
      <c r="F1030" s="133"/>
      <c r="G1030" s="121"/>
      <c r="H1030" s="121"/>
    </row>
    <row r="1031" hidden="1">
      <c r="A1031" s="121"/>
      <c r="B1031" s="121"/>
      <c r="C1031" s="121"/>
      <c r="D1031" s="121"/>
      <c r="E1031" s="133"/>
      <c r="F1031" s="133"/>
      <c r="G1031" s="121"/>
      <c r="H1031" s="121"/>
    </row>
    <row r="1032" hidden="1">
      <c r="A1032" s="121"/>
      <c r="B1032" s="121"/>
      <c r="C1032" s="121"/>
      <c r="D1032" s="121"/>
      <c r="E1032" s="133"/>
      <c r="F1032" s="133"/>
      <c r="G1032" s="121"/>
      <c r="H1032" s="121"/>
    </row>
    <row r="1033" hidden="1">
      <c r="A1033" s="121"/>
      <c r="B1033" s="121"/>
      <c r="C1033" s="121"/>
      <c r="D1033" s="121"/>
      <c r="E1033" s="133"/>
      <c r="F1033" s="133"/>
      <c r="G1033" s="121"/>
      <c r="H1033" s="121"/>
    </row>
    <row r="1034" hidden="1">
      <c r="A1034" s="121"/>
      <c r="B1034" s="121"/>
      <c r="C1034" s="121"/>
      <c r="D1034" s="121"/>
      <c r="E1034" s="133"/>
      <c r="F1034" s="133"/>
      <c r="G1034" s="121"/>
      <c r="H1034" s="121"/>
    </row>
    <row r="1035" hidden="1">
      <c r="A1035" s="121"/>
      <c r="B1035" s="121"/>
      <c r="C1035" s="121"/>
      <c r="D1035" s="121"/>
      <c r="E1035" s="133"/>
      <c r="F1035" s="133"/>
      <c r="G1035" s="121"/>
      <c r="H1035" s="121"/>
    </row>
    <row r="1036" hidden="1">
      <c r="A1036" s="121"/>
      <c r="B1036" s="121"/>
      <c r="C1036" s="121"/>
      <c r="D1036" s="121"/>
      <c r="E1036" s="133"/>
      <c r="F1036" s="133"/>
      <c r="G1036" s="121"/>
      <c r="H1036" s="121"/>
    </row>
    <row r="1037" hidden="1">
      <c r="A1037" s="121"/>
      <c r="B1037" s="121"/>
      <c r="C1037" s="121"/>
      <c r="D1037" s="121"/>
      <c r="E1037" s="133"/>
      <c r="F1037" s="133"/>
      <c r="G1037" s="121"/>
      <c r="H1037" s="121"/>
    </row>
    <row r="1038" hidden="1">
      <c r="A1038" s="121"/>
      <c r="B1038" s="121"/>
      <c r="C1038" s="121"/>
      <c r="D1038" s="121"/>
      <c r="E1038" s="133"/>
      <c r="F1038" s="133"/>
      <c r="G1038" s="121"/>
      <c r="H1038" s="121"/>
    </row>
    <row r="1039" hidden="1">
      <c r="A1039" s="121"/>
      <c r="B1039" s="121"/>
      <c r="C1039" s="121"/>
      <c r="D1039" s="121"/>
      <c r="E1039" s="133"/>
      <c r="F1039" s="133"/>
      <c r="G1039" s="121"/>
      <c r="H1039" s="121"/>
    </row>
    <row r="1040" hidden="1">
      <c r="A1040" s="121"/>
      <c r="B1040" s="121"/>
      <c r="C1040" s="121"/>
      <c r="D1040" s="121"/>
      <c r="E1040" s="133"/>
      <c r="F1040" s="133"/>
      <c r="G1040" s="121"/>
      <c r="H1040" s="121"/>
    </row>
    <row r="1041" hidden="1">
      <c r="A1041" s="121"/>
      <c r="B1041" s="121"/>
      <c r="C1041" s="121"/>
      <c r="D1041" s="121"/>
      <c r="E1041" s="133"/>
      <c r="F1041" s="133"/>
      <c r="G1041" s="121"/>
      <c r="H1041" s="121"/>
    </row>
    <row r="1042" hidden="1">
      <c r="A1042" s="121"/>
      <c r="B1042" s="121"/>
      <c r="C1042" s="121"/>
      <c r="D1042" s="121"/>
      <c r="E1042" s="133"/>
      <c r="F1042" s="133"/>
      <c r="G1042" s="121"/>
      <c r="H1042" s="121"/>
    </row>
    <row r="1043" hidden="1">
      <c r="A1043" s="121"/>
      <c r="B1043" s="121"/>
      <c r="C1043" s="121"/>
      <c r="D1043" s="121"/>
      <c r="E1043" s="133"/>
      <c r="F1043" s="133"/>
      <c r="G1043" s="121"/>
      <c r="H1043" s="121"/>
    </row>
    <row r="1044" hidden="1">
      <c r="A1044" s="121"/>
      <c r="B1044" s="121"/>
      <c r="C1044" s="121"/>
      <c r="D1044" s="121"/>
      <c r="E1044" s="133"/>
      <c r="F1044" s="133"/>
      <c r="G1044" s="121"/>
      <c r="H1044" s="121"/>
    </row>
    <row r="1045" hidden="1">
      <c r="A1045" s="121"/>
      <c r="B1045" s="121"/>
      <c r="C1045" s="121"/>
      <c r="D1045" s="121"/>
      <c r="E1045" s="133"/>
      <c r="F1045" s="133"/>
      <c r="G1045" s="121"/>
      <c r="H1045" s="121"/>
    </row>
    <row r="1046" hidden="1">
      <c r="A1046" s="121"/>
      <c r="B1046" s="121"/>
      <c r="C1046" s="121"/>
      <c r="D1046" s="121"/>
      <c r="E1046" s="133"/>
      <c r="F1046" s="133"/>
      <c r="G1046" s="121"/>
      <c r="H1046" s="121"/>
    </row>
    <row r="1047" hidden="1">
      <c r="A1047" s="121"/>
      <c r="B1047" s="121"/>
      <c r="C1047" s="121"/>
      <c r="D1047" s="121"/>
      <c r="E1047" s="133"/>
      <c r="F1047" s="133"/>
      <c r="G1047" s="121"/>
      <c r="H1047" s="121"/>
    </row>
    <row r="1048" hidden="1">
      <c r="A1048" s="121"/>
      <c r="B1048" s="121"/>
      <c r="C1048" s="121"/>
      <c r="D1048" s="121"/>
      <c r="E1048" s="133"/>
      <c r="F1048" s="133"/>
      <c r="G1048" s="121"/>
      <c r="H1048" s="121"/>
    </row>
    <row r="1049" hidden="1">
      <c r="A1049" s="121"/>
      <c r="B1049" s="121"/>
      <c r="C1049" s="121"/>
      <c r="D1049" s="121"/>
      <c r="E1049" s="133"/>
      <c r="F1049" s="133"/>
      <c r="G1049" s="121"/>
      <c r="H1049" s="121"/>
    </row>
    <row r="1050" hidden="1">
      <c r="A1050" s="121"/>
      <c r="B1050" s="121"/>
      <c r="C1050" s="121"/>
      <c r="D1050" s="121"/>
      <c r="E1050" s="133"/>
      <c r="F1050" s="133"/>
      <c r="G1050" s="121"/>
      <c r="H1050" s="121"/>
    </row>
    <row r="1051" hidden="1">
      <c r="A1051" s="121"/>
      <c r="B1051" s="121"/>
      <c r="C1051" s="121"/>
      <c r="D1051" s="121"/>
      <c r="E1051" s="133"/>
      <c r="F1051" s="133"/>
      <c r="G1051" s="121"/>
      <c r="H1051" s="121"/>
    </row>
    <row r="1052" hidden="1">
      <c r="A1052" s="121"/>
      <c r="B1052" s="121"/>
      <c r="C1052" s="121"/>
      <c r="D1052" s="121"/>
      <c r="E1052" s="133"/>
      <c r="F1052" s="133"/>
      <c r="G1052" s="121"/>
      <c r="H1052" s="121"/>
    </row>
    <row r="1053" hidden="1">
      <c r="A1053" s="121"/>
      <c r="B1053" s="121"/>
      <c r="C1053" s="121"/>
      <c r="D1053" s="121"/>
      <c r="E1053" s="133"/>
      <c r="F1053" s="133"/>
      <c r="G1053" s="121"/>
      <c r="H1053" s="121"/>
    </row>
    <row r="1054" hidden="1">
      <c r="A1054" s="121"/>
      <c r="B1054" s="121"/>
      <c r="C1054" s="121"/>
      <c r="D1054" s="121"/>
      <c r="E1054" s="133"/>
      <c r="F1054" s="133"/>
      <c r="G1054" s="121"/>
      <c r="H1054" s="121"/>
    </row>
    <row r="1055" hidden="1">
      <c r="A1055" s="121"/>
      <c r="B1055" s="121"/>
      <c r="C1055" s="121"/>
      <c r="D1055" s="121"/>
      <c r="E1055" s="133"/>
      <c r="F1055" s="133"/>
      <c r="G1055" s="121"/>
      <c r="H1055" s="121"/>
    </row>
    <row r="1056" hidden="1">
      <c r="A1056" s="121"/>
      <c r="B1056" s="121"/>
      <c r="C1056" s="121"/>
      <c r="D1056" s="121"/>
      <c r="E1056" s="133"/>
      <c r="F1056" s="133"/>
      <c r="G1056" s="121"/>
      <c r="H1056" s="121"/>
    </row>
    <row r="1057" hidden="1">
      <c r="A1057" s="121"/>
      <c r="B1057" s="121"/>
      <c r="C1057" s="121"/>
      <c r="D1057" s="121"/>
      <c r="E1057" s="133"/>
      <c r="F1057" s="133"/>
      <c r="G1057" s="121"/>
      <c r="H1057" s="121"/>
    </row>
    <row r="1058" hidden="1">
      <c r="A1058" s="121"/>
      <c r="B1058" s="121"/>
      <c r="C1058" s="121"/>
      <c r="D1058" s="121"/>
      <c r="E1058" s="133"/>
      <c r="F1058" s="133"/>
      <c r="G1058" s="121"/>
      <c r="H1058" s="121"/>
    </row>
    <row r="1059" hidden="1">
      <c r="A1059" s="121"/>
      <c r="B1059" s="121"/>
      <c r="C1059" s="121"/>
      <c r="D1059" s="121"/>
      <c r="E1059" s="133"/>
      <c r="F1059" s="133"/>
      <c r="G1059" s="121"/>
      <c r="H1059" s="121"/>
    </row>
    <row r="1060" hidden="1">
      <c r="A1060" s="121"/>
      <c r="B1060" s="121"/>
      <c r="C1060" s="121"/>
      <c r="D1060" s="121"/>
      <c r="E1060" s="133"/>
      <c r="F1060" s="133"/>
      <c r="G1060" s="121"/>
      <c r="H1060" s="121"/>
    </row>
    <row r="1061" hidden="1">
      <c r="A1061" s="121"/>
      <c r="B1061" s="121"/>
      <c r="C1061" s="121"/>
      <c r="D1061" s="121"/>
      <c r="E1061" s="133"/>
      <c r="F1061" s="133"/>
      <c r="G1061" s="121"/>
      <c r="H1061" s="121"/>
    </row>
    <row r="1062" hidden="1">
      <c r="A1062" s="121"/>
      <c r="B1062" s="121"/>
      <c r="C1062" s="121"/>
      <c r="D1062" s="121"/>
      <c r="E1062" s="133"/>
      <c r="F1062" s="133"/>
      <c r="G1062" s="121"/>
      <c r="H1062" s="121"/>
    </row>
    <row r="1063" hidden="1">
      <c r="A1063" s="121"/>
      <c r="B1063" s="121"/>
      <c r="C1063" s="121"/>
      <c r="D1063" s="121"/>
      <c r="E1063" s="133"/>
      <c r="F1063" s="133"/>
      <c r="G1063" s="121"/>
      <c r="H1063" s="121"/>
    </row>
    <row r="1064" hidden="1">
      <c r="A1064" s="121"/>
      <c r="B1064" s="121"/>
      <c r="C1064" s="121"/>
      <c r="D1064" s="121"/>
      <c r="E1064" s="133"/>
      <c r="F1064" s="133"/>
      <c r="G1064" s="121"/>
      <c r="H1064" s="121"/>
    </row>
    <row r="1065" hidden="1">
      <c r="A1065" s="121"/>
      <c r="B1065" s="121"/>
      <c r="C1065" s="121"/>
      <c r="D1065" s="121"/>
      <c r="E1065" s="133"/>
      <c r="F1065" s="133"/>
      <c r="G1065" s="121"/>
      <c r="H1065" s="121"/>
    </row>
    <row r="1066" hidden="1">
      <c r="A1066" s="121"/>
      <c r="B1066" s="121"/>
      <c r="C1066" s="121"/>
      <c r="D1066" s="121"/>
      <c r="E1066" s="133"/>
      <c r="F1066" s="133"/>
      <c r="G1066" s="121"/>
      <c r="H1066" s="121"/>
    </row>
    <row r="1067" hidden="1">
      <c r="A1067" s="121"/>
      <c r="B1067" s="121"/>
      <c r="C1067" s="121"/>
      <c r="D1067" s="121"/>
      <c r="E1067" s="133"/>
      <c r="F1067" s="133"/>
      <c r="G1067" s="121"/>
      <c r="H1067" s="121"/>
    </row>
    <row r="1068" hidden="1">
      <c r="A1068" s="121"/>
      <c r="B1068" s="121"/>
      <c r="C1068" s="121"/>
      <c r="D1068" s="121"/>
      <c r="E1068" s="133"/>
      <c r="F1068" s="133"/>
      <c r="G1068" s="121"/>
      <c r="H1068" s="121"/>
    </row>
    <row r="1069" hidden="1">
      <c r="A1069" s="121"/>
      <c r="B1069" s="121"/>
      <c r="C1069" s="121"/>
      <c r="D1069" s="121"/>
      <c r="E1069" s="133"/>
      <c r="F1069" s="133"/>
      <c r="G1069" s="121"/>
      <c r="H1069" s="121"/>
    </row>
    <row r="1070" hidden="1">
      <c r="A1070" s="121"/>
      <c r="B1070" s="121"/>
      <c r="C1070" s="121"/>
      <c r="D1070" s="121"/>
      <c r="E1070" s="133"/>
      <c r="F1070" s="133"/>
      <c r="G1070" s="121"/>
      <c r="H1070" s="121"/>
    </row>
    <row r="1071" hidden="1">
      <c r="A1071" s="121"/>
      <c r="B1071" s="121"/>
      <c r="C1071" s="121"/>
      <c r="D1071" s="121"/>
      <c r="E1071" s="133"/>
      <c r="F1071" s="133"/>
      <c r="G1071" s="121"/>
      <c r="H1071" s="121"/>
    </row>
    <row r="1072" hidden="1">
      <c r="A1072" s="121"/>
      <c r="B1072" s="121"/>
      <c r="C1072" s="121"/>
      <c r="D1072" s="121"/>
      <c r="E1072" s="133"/>
      <c r="F1072" s="133"/>
      <c r="G1072" s="121"/>
      <c r="H1072" s="121"/>
    </row>
    <row r="1073" hidden="1">
      <c r="A1073" s="121"/>
      <c r="B1073" s="121"/>
      <c r="C1073" s="121"/>
      <c r="D1073" s="121"/>
      <c r="E1073" s="133"/>
      <c r="F1073" s="133"/>
      <c r="G1073" s="121"/>
      <c r="H1073" s="121"/>
    </row>
    <row r="1074" hidden="1">
      <c r="A1074" s="121"/>
      <c r="B1074" s="121"/>
      <c r="C1074" s="121"/>
      <c r="D1074" s="121"/>
      <c r="E1074" s="133"/>
      <c r="F1074" s="133"/>
      <c r="G1074" s="121"/>
      <c r="H1074" s="121"/>
    </row>
    <row r="1075" hidden="1">
      <c r="A1075" s="121"/>
      <c r="B1075" s="121"/>
      <c r="C1075" s="121"/>
      <c r="D1075" s="121"/>
      <c r="E1075" s="133"/>
      <c r="F1075" s="133"/>
      <c r="G1075" s="121"/>
      <c r="H1075" s="121"/>
    </row>
    <row r="1076" hidden="1">
      <c r="A1076" s="121"/>
      <c r="B1076" s="121"/>
      <c r="C1076" s="121"/>
      <c r="D1076" s="121"/>
      <c r="E1076" s="133"/>
      <c r="F1076" s="133"/>
      <c r="G1076" s="121"/>
      <c r="H1076" s="121"/>
    </row>
    <row r="1077" hidden="1">
      <c r="A1077" s="121"/>
      <c r="B1077" s="121"/>
      <c r="C1077" s="121"/>
      <c r="D1077" s="121"/>
      <c r="E1077" s="133"/>
      <c r="F1077" s="133"/>
      <c r="G1077" s="121"/>
      <c r="H1077" s="121"/>
    </row>
    <row r="1078" hidden="1">
      <c r="A1078" s="121"/>
      <c r="B1078" s="121"/>
      <c r="C1078" s="121"/>
      <c r="D1078" s="121"/>
      <c r="E1078" s="133"/>
      <c r="F1078" s="133"/>
      <c r="G1078" s="121"/>
      <c r="H1078" s="121"/>
    </row>
    <row r="1079" hidden="1">
      <c r="A1079" s="121"/>
      <c r="B1079" s="121"/>
      <c r="C1079" s="121"/>
      <c r="D1079" s="121"/>
      <c r="E1079" s="133"/>
      <c r="F1079" s="133"/>
      <c r="G1079" s="121"/>
      <c r="H1079" s="121"/>
    </row>
    <row r="1080" hidden="1">
      <c r="A1080" s="121"/>
      <c r="B1080" s="121"/>
      <c r="C1080" s="121"/>
      <c r="D1080" s="121"/>
      <c r="E1080" s="133"/>
      <c r="F1080" s="133"/>
      <c r="G1080" s="121"/>
      <c r="H1080" s="121"/>
    </row>
    <row r="1081" hidden="1">
      <c r="A1081" s="121"/>
      <c r="B1081" s="121"/>
      <c r="C1081" s="121"/>
      <c r="D1081" s="121"/>
      <c r="E1081" s="133"/>
      <c r="F1081" s="133"/>
      <c r="G1081" s="121"/>
      <c r="H1081" s="121"/>
    </row>
    <row r="1082" hidden="1">
      <c r="A1082" s="121"/>
      <c r="B1082" s="121"/>
      <c r="C1082" s="121"/>
      <c r="D1082" s="121"/>
      <c r="E1082" s="133"/>
      <c r="F1082" s="133"/>
      <c r="G1082" s="121"/>
      <c r="H1082" s="121"/>
    </row>
    <row r="1083" hidden="1">
      <c r="A1083" s="121"/>
      <c r="B1083" s="121"/>
      <c r="C1083" s="121"/>
      <c r="D1083" s="121"/>
      <c r="E1083" s="133"/>
      <c r="F1083" s="133"/>
      <c r="G1083" s="121"/>
      <c r="H1083" s="121"/>
    </row>
    <row r="1084" hidden="1">
      <c r="A1084" s="121"/>
      <c r="B1084" s="121"/>
      <c r="C1084" s="121"/>
      <c r="D1084" s="121"/>
      <c r="E1084" s="133"/>
      <c r="F1084" s="133"/>
      <c r="G1084" s="121"/>
      <c r="H1084" s="121"/>
    </row>
    <row r="1085" hidden="1">
      <c r="A1085" s="121"/>
      <c r="B1085" s="121"/>
      <c r="C1085" s="121"/>
      <c r="D1085" s="121"/>
      <c r="E1085" s="133"/>
      <c r="F1085" s="133"/>
      <c r="G1085" s="121"/>
      <c r="H1085" s="121"/>
    </row>
    <row r="1086" hidden="1">
      <c r="A1086" s="121"/>
      <c r="B1086" s="121"/>
      <c r="C1086" s="121"/>
      <c r="D1086" s="121"/>
      <c r="E1086" s="133"/>
      <c r="F1086" s="133"/>
      <c r="G1086" s="121"/>
      <c r="H1086" s="121"/>
    </row>
    <row r="1087" hidden="1">
      <c r="A1087" s="121"/>
      <c r="B1087" s="121"/>
      <c r="C1087" s="121"/>
      <c r="D1087" s="121"/>
      <c r="E1087" s="133"/>
      <c r="F1087" s="133"/>
      <c r="G1087" s="121"/>
      <c r="H1087" s="121"/>
    </row>
    <row r="1088" hidden="1">
      <c r="A1088" s="121"/>
      <c r="B1088" s="121"/>
      <c r="C1088" s="121"/>
      <c r="D1088" s="121"/>
      <c r="E1088" s="133"/>
      <c r="F1088" s="133"/>
      <c r="G1088" s="121"/>
      <c r="H1088" s="121"/>
    </row>
    <row r="1089" hidden="1">
      <c r="A1089" s="121"/>
      <c r="B1089" s="121"/>
      <c r="C1089" s="121"/>
      <c r="D1089" s="121"/>
      <c r="E1089" s="133"/>
      <c r="F1089" s="133"/>
      <c r="G1089" s="121"/>
      <c r="H1089" s="121"/>
    </row>
    <row r="1090" hidden="1">
      <c r="A1090" s="121"/>
      <c r="B1090" s="121"/>
      <c r="C1090" s="121"/>
      <c r="D1090" s="121"/>
      <c r="E1090" s="133"/>
      <c r="F1090" s="133"/>
      <c r="G1090" s="121"/>
      <c r="H1090" s="121"/>
    </row>
    <row r="1091" hidden="1">
      <c r="A1091" s="121"/>
      <c r="B1091" s="121"/>
      <c r="C1091" s="121"/>
      <c r="D1091" s="121"/>
      <c r="E1091" s="133"/>
      <c r="F1091" s="133"/>
      <c r="G1091" s="121"/>
      <c r="H1091" s="121"/>
    </row>
    <row r="1092" hidden="1">
      <c r="A1092" s="121"/>
      <c r="B1092" s="121"/>
      <c r="C1092" s="121"/>
      <c r="D1092" s="121"/>
      <c r="E1092" s="133"/>
      <c r="F1092" s="133"/>
      <c r="G1092" s="121"/>
      <c r="H1092" s="121"/>
    </row>
    <row r="1093" hidden="1">
      <c r="A1093" s="121"/>
      <c r="B1093" s="121"/>
      <c r="C1093" s="121"/>
      <c r="D1093" s="121"/>
      <c r="E1093" s="133"/>
      <c r="F1093" s="133"/>
      <c r="G1093" s="121"/>
      <c r="H1093" s="121"/>
    </row>
    <row r="1094" hidden="1">
      <c r="A1094" s="121"/>
      <c r="B1094" s="121"/>
      <c r="C1094" s="121"/>
      <c r="D1094" s="121"/>
      <c r="E1094" s="133"/>
      <c r="F1094" s="133"/>
      <c r="G1094" s="121"/>
      <c r="H1094" s="121"/>
    </row>
    <row r="1095" hidden="1">
      <c r="A1095" s="121"/>
      <c r="B1095" s="121"/>
      <c r="C1095" s="121"/>
      <c r="D1095" s="121"/>
      <c r="E1095" s="133"/>
      <c r="F1095" s="133"/>
      <c r="G1095" s="121"/>
      <c r="H1095" s="121"/>
    </row>
    <row r="1096" hidden="1">
      <c r="A1096" s="121"/>
      <c r="B1096" s="121"/>
      <c r="C1096" s="121"/>
      <c r="D1096" s="121"/>
      <c r="E1096" s="133"/>
      <c r="F1096" s="133"/>
      <c r="G1096" s="121"/>
      <c r="H1096" s="121"/>
    </row>
    <row r="1097" hidden="1">
      <c r="A1097" s="121"/>
      <c r="B1097" s="121"/>
      <c r="C1097" s="121"/>
      <c r="D1097" s="121"/>
      <c r="E1097" s="133"/>
      <c r="F1097" s="133"/>
      <c r="G1097" s="121"/>
      <c r="H1097" s="121"/>
    </row>
    <row r="1098" hidden="1">
      <c r="A1098" s="121"/>
      <c r="B1098" s="121"/>
      <c r="C1098" s="121"/>
      <c r="D1098" s="121"/>
      <c r="E1098" s="133"/>
      <c r="F1098" s="133"/>
      <c r="G1098" s="121"/>
      <c r="H1098" s="121"/>
    </row>
    <row r="1099" hidden="1">
      <c r="A1099" s="121"/>
      <c r="B1099" s="121"/>
      <c r="C1099" s="121"/>
      <c r="D1099" s="121"/>
      <c r="E1099" s="133"/>
      <c r="F1099" s="133"/>
      <c r="G1099" s="121"/>
      <c r="H1099" s="121"/>
    </row>
    <row r="1100" hidden="1">
      <c r="A1100" s="121"/>
      <c r="B1100" s="121"/>
      <c r="C1100" s="121"/>
      <c r="D1100" s="121"/>
      <c r="E1100" s="133"/>
      <c r="F1100" s="133"/>
      <c r="G1100" s="121"/>
      <c r="H1100" s="121"/>
    </row>
    <row r="1101" hidden="1">
      <c r="A1101" s="121"/>
      <c r="B1101" s="121"/>
      <c r="C1101" s="121"/>
      <c r="D1101" s="121"/>
      <c r="E1101" s="133"/>
      <c r="F1101" s="133"/>
      <c r="G1101" s="121"/>
      <c r="H1101" s="121"/>
    </row>
    <row r="1102" hidden="1">
      <c r="A1102" s="121"/>
      <c r="B1102" s="121"/>
      <c r="C1102" s="121"/>
      <c r="D1102" s="121"/>
      <c r="E1102" s="133"/>
      <c r="F1102" s="133"/>
      <c r="G1102" s="121"/>
      <c r="H1102" s="121"/>
    </row>
    <row r="1103" hidden="1">
      <c r="A1103" s="121"/>
      <c r="B1103" s="121"/>
      <c r="C1103" s="121"/>
      <c r="D1103" s="121"/>
      <c r="E1103" s="133"/>
      <c r="F1103" s="133"/>
      <c r="G1103" s="121"/>
      <c r="H1103" s="121"/>
    </row>
    <row r="1104" hidden="1">
      <c r="A1104" s="121"/>
      <c r="B1104" s="121"/>
      <c r="C1104" s="121"/>
      <c r="D1104" s="121"/>
      <c r="E1104" s="133"/>
      <c r="F1104" s="133"/>
      <c r="G1104" s="121"/>
      <c r="H1104" s="121"/>
    </row>
    <row r="1105" hidden="1">
      <c r="A1105" s="121"/>
      <c r="B1105" s="121"/>
      <c r="C1105" s="121"/>
      <c r="D1105" s="121"/>
      <c r="E1105" s="133"/>
      <c r="F1105" s="133"/>
      <c r="G1105" s="121"/>
      <c r="H1105" s="121"/>
    </row>
    <row r="1106" hidden="1">
      <c r="A1106" s="121"/>
      <c r="B1106" s="121"/>
      <c r="C1106" s="121"/>
      <c r="D1106" s="121"/>
      <c r="E1106" s="133"/>
      <c r="F1106" s="133"/>
      <c r="G1106" s="121"/>
      <c r="H1106" s="121"/>
    </row>
    <row r="1107" hidden="1">
      <c r="A1107" s="121"/>
      <c r="B1107" s="121"/>
      <c r="C1107" s="121"/>
      <c r="D1107" s="121"/>
      <c r="E1107" s="133"/>
      <c r="F1107" s="133"/>
      <c r="G1107" s="121"/>
      <c r="H1107" s="121"/>
    </row>
    <row r="1108" hidden="1">
      <c r="A1108" s="121"/>
      <c r="B1108" s="121"/>
      <c r="C1108" s="121"/>
      <c r="D1108" s="121"/>
      <c r="E1108" s="133"/>
      <c r="F1108" s="133"/>
      <c r="G1108" s="121"/>
      <c r="H1108" s="121"/>
    </row>
    <row r="1109" hidden="1">
      <c r="A1109" s="121"/>
      <c r="B1109" s="121"/>
      <c r="C1109" s="121"/>
      <c r="D1109" s="121"/>
      <c r="E1109" s="133"/>
      <c r="F1109" s="133"/>
      <c r="G1109" s="121"/>
      <c r="H1109" s="121"/>
    </row>
    <row r="1110" hidden="1">
      <c r="A1110" s="121"/>
      <c r="B1110" s="121"/>
      <c r="C1110" s="121"/>
      <c r="D1110" s="121"/>
      <c r="E1110" s="133"/>
      <c r="F1110" s="133"/>
      <c r="G1110" s="121"/>
      <c r="H1110" s="121"/>
    </row>
    <row r="1111" hidden="1">
      <c r="A1111" s="121"/>
      <c r="B1111" s="121"/>
      <c r="C1111" s="121"/>
      <c r="D1111" s="121"/>
      <c r="E1111" s="133"/>
      <c r="F1111" s="133"/>
      <c r="G1111" s="121"/>
      <c r="H1111" s="121"/>
    </row>
    <row r="1112" hidden="1">
      <c r="A1112" s="121"/>
      <c r="B1112" s="121"/>
      <c r="C1112" s="121"/>
      <c r="D1112" s="121"/>
      <c r="E1112" s="133"/>
      <c r="F1112" s="133"/>
      <c r="G1112" s="121"/>
      <c r="H1112" s="121"/>
    </row>
    <row r="1113" hidden="1">
      <c r="A1113" s="121"/>
      <c r="B1113" s="121"/>
      <c r="C1113" s="121"/>
      <c r="D1113" s="121"/>
      <c r="E1113" s="133"/>
      <c r="F1113" s="133"/>
      <c r="G1113" s="121"/>
      <c r="H1113" s="121"/>
    </row>
    <row r="1114" hidden="1">
      <c r="A1114" s="121"/>
      <c r="B1114" s="121"/>
      <c r="C1114" s="121"/>
      <c r="D1114" s="121"/>
      <c r="E1114" s="133"/>
      <c r="F1114" s="133"/>
      <c r="G1114" s="121"/>
      <c r="H1114" s="121"/>
    </row>
    <row r="1115" hidden="1">
      <c r="A1115" s="121"/>
      <c r="B1115" s="121"/>
      <c r="C1115" s="121"/>
      <c r="D1115" s="121"/>
      <c r="E1115" s="133"/>
      <c r="F1115" s="133"/>
      <c r="G1115" s="121"/>
      <c r="H1115" s="121"/>
    </row>
    <row r="1116" hidden="1">
      <c r="A1116" s="121"/>
      <c r="B1116" s="121"/>
      <c r="C1116" s="121"/>
      <c r="D1116" s="121"/>
      <c r="E1116" s="133"/>
      <c r="F1116" s="133"/>
      <c r="G1116" s="121"/>
      <c r="H1116" s="121"/>
    </row>
    <row r="1117" hidden="1">
      <c r="A1117" s="121"/>
      <c r="B1117" s="121"/>
      <c r="C1117" s="121"/>
      <c r="D1117" s="121"/>
      <c r="E1117" s="133"/>
      <c r="F1117" s="133"/>
      <c r="G1117" s="121"/>
      <c r="H1117" s="121"/>
    </row>
    <row r="1118" hidden="1">
      <c r="A1118" s="121"/>
      <c r="B1118" s="121"/>
      <c r="C1118" s="121"/>
      <c r="D1118" s="121"/>
      <c r="E1118" s="133"/>
      <c r="F1118" s="133"/>
      <c r="G1118" s="121"/>
      <c r="H1118" s="121"/>
    </row>
    <row r="1119" hidden="1">
      <c r="A1119" s="121"/>
      <c r="B1119" s="121"/>
      <c r="C1119" s="121"/>
      <c r="D1119" s="121"/>
      <c r="E1119" s="133"/>
      <c r="F1119" s="133"/>
      <c r="G1119" s="121"/>
      <c r="H1119" s="121"/>
    </row>
    <row r="1120" hidden="1">
      <c r="A1120" s="121"/>
      <c r="B1120" s="121"/>
      <c r="C1120" s="121"/>
      <c r="D1120" s="121"/>
      <c r="E1120" s="133"/>
      <c r="F1120" s="133"/>
      <c r="G1120" s="121"/>
      <c r="H1120" s="121"/>
    </row>
    <row r="1121" hidden="1">
      <c r="A1121" s="121"/>
      <c r="B1121" s="121"/>
      <c r="C1121" s="121"/>
      <c r="D1121" s="121"/>
      <c r="E1121" s="133"/>
      <c r="F1121" s="133"/>
      <c r="G1121" s="121"/>
      <c r="H1121" s="121"/>
    </row>
    <row r="1122" hidden="1">
      <c r="A1122" s="121"/>
      <c r="B1122" s="121"/>
      <c r="C1122" s="121"/>
      <c r="D1122" s="121"/>
      <c r="E1122" s="133"/>
      <c r="F1122" s="133"/>
      <c r="G1122" s="121"/>
      <c r="H1122" s="121"/>
    </row>
    <row r="1123" hidden="1">
      <c r="A1123" s="121"/>
      <c r="B1123" s="121"/>
      <c r="C1123" s="121"/>
      <c r="D1123" s="121"/>
      <c r="E1123" s="133"/>
      <c r="F1123" s="133"/>
      <c r="G1123" s="121"/>
      <c r="H1123" s="121"/>
    </row>
    <row r="1124" hidden="1">
      <c r="A1124" s="121"/>
      <c r="B1124" s="121"/>
      <c r="C1124" s="121"/>
      <c r="D1124" s="121"/>
      <c r="E1124" s="133"/>
      <c r="F1124" s="133"/>
      <c r="G1124" s="121"/>
      <c r="H1124" s="121"/>
    </row>
    <row r="1125" hidden="1">
      <c r="A1125" s="121"/>
      <c r="B1125" s="121"/>
      <c r="C1125" s="121"/>
      <c r="D1125" s="121"/>
      <c r="E1125" s="133"/>
      <c r="F1125" s="133"/>
      <c r="G1125" s="121"/>
      <c r="H1125" s="121"/>
    </row>
    <row r="1126" hidden="1">
      <c r="A1126" s="121"/>
      <c r="B1126" s="121"/>
      <c r="C1126" s="121"/>
      <c r="D1126" s="121"/>
      <c r="E1126" s="133"/>
      <c r="F1126" s="133"/>
      <c r="G1126" s="121"/>
      <c r="H1126" s="121"/>
    </row>
    <row r="1127" hidden="1">
      <c r="A1127" s="121"/>
      <c r="B1127" s="121"/>
      <c r="C1127" s="121"/>
      <c r="D1127" s="121"/>
      <c r="E1127" s="133"/>
      <c r="F1127" s="133"/>
      <c r="G1127" s="121"/>
      <c r="H1127" s="121"/>
    </row>
    <row r="1128" hidden="1">
      <c r="A1128" s="121"/>
      <c r="B1128" s="121"/>
      <c r="C1128" s="121"/>
      <c r="D1128" s="121"/>
      <c r="E1128" s="133"/>
      <c r="F1128" s="133"/>
      <c r="G1128" s="121"/>
      <c r="H1128" s="121"/>
    </row>
    <row r="1129" hidden="1">
      <c r="A1129" s="121"/>
      <c r="B1129" s="121"/>
      <c r="C1129" s="121"/>
      <c r="D1129" s="121"/>
      <c r="E1129" s="133"/>
      <c r="F1129" s="133"/>
      <c r="G1129" s="121"/>
      <c r="H1129" s="121"/>
    </row>
    <row r="1130" hidden="1">
      <c r="A1130" s="121"/>
      <c r="B1130" s="121"/>
      <c r="C1130" s="121"/>
      <c r="D1130" s="121"/>
      <c r="E1130" s="133"/>
      <c r="F1130" s="133"/>
      <c r="G1130" s="121"/>
      <c r="H1130" s="121"/>
    </row>
    <row r="1131" hidden="1">
      <c r="A1131" s="121"/>
      <c r="B1131" s="121"/>
      <c r="C1131" s="121"/>
      <c r="D1131" s="121"/>
      <c r="E1131" s="133"/>
      <c r="F1131" s="133"/>
      <c r="G1131" s="121"/>
      <c r="H1131" s="121"/>
    </row>
    <row r="1132" hidden="1">
      <c r="A1132" s="121"/>
      <c r="B1132" s="121"/>
      <c r="C1132" s="121"/>
      <c r="D1132" s="121"/>
      <c r="E1132" s="133"/>
      <c r="F1132" s="133"/>
      <c r="G1132" s="121"/>
      <c r="H1132" s="121"/>
    </row>
    <row r="1133" hidden="1">
      <c r="A1133" s="121"/>
      <c r="B1133" s="121"/>
      <c r="C1133" s="121"/>
      <c r="D1133" s="121"/>
      <c r="E1133" s="133"/>
      <c r="F1133" s="133"/>
      <c r="G1133" s="121"/>
      <c r="H1133" s="121"/>
    </row>
    <row r="1134" hidden="1">
      <c r="A1134" s="121"/>
      <c r="B1134" s="121"/>
      <c r="C1134" s="121"/>
      <c r="D1134" s="121"/>
      <c r="E1134" s="133"/>
      <c r="F1134" s="133"/>
      <c r="G1134" s="121"/>
      <c r="H1134" s="121"/>
    </row>
    <row r="1135" hidden="1">
      <c r="A1135" s="121"/>
      <c r="B1135" s="121"/>
      <c r="C1135" s="121"/>
      <c r="D1135" s="121"/>
      <c r="E1135" s="133"/>
      <c r="F1135" s="133"/>
      <c r="G1135" s="121"/>
      <c r="H1135" s="121"/>
    </row>
    <row r="1136" hidden="1">
      <c r="A1136" s="121"/>
      <c r="B1136" s="121"/>
      <c r="C1136" s="121"/>
      <c r="D1136" s="121"/>
      <c r="E1136" s="133"/>
      <c r="F1136" s="133"/>
      <c r="G1136" s="121"/>
      <c r="H1136" s="121"/>
    </row>
    <row r="1137" hidden="1">
      <c r="A1137" s="121"/>
      <c r="B1137" s="121"/>
      <c r="C1137" s="121"/>
      <c r="D1137" s="121"/>
      <c r="E1137" s="133"/>
      <c r="F1137" s="133"/>
      <c r="G1137" s="121"/>
      <c r="H1137" s="121"/>
    </row>
    <row r="1138" hidden="1">
      <c r="A1138" s="121"/>
      <c r="B1138" s="121"/>
      <c r="C1138" s="121"/>
      <c r="D1138" s="121"/>
      <c r="E1138" s="133"/>
      <c r="F1138" s="133"/>
      <c r="G1138" s="121"/>
      <c r="H1138" s="121"/>
    </row>
    <row r="1139" hidden="1">
      <c r="A1139" s="121"/>
      <c r="B1139" s="121"/>
      <c r="C1139" s="121"/>
      <c r="D1139" s="121"/>
      <c r="E1139" s="133"/>
      <c r="F1139" s="133"/>
      <c r="G1139" s="121"/>
      <c r="H1139" s="121"/>
    </row>
    <row r="1140" hidden="1">
      <c r="A1140" s="121"/>
      <c r="B1140" s="121"/>
      <c r="C1140" s="121"/>
      <c r="D1140" s="121"/>
      <c r="E1140" s="133"/>
      <c r="F1140" s="133"/>
      <c r="G1140" s="121"/>
      <c r="H1140" s="121"/>
    </row>
    <row r="1141" hidden="1">
      <c r="A1141" s="121"/>
      <c r="B1141" s="121"/>
      <c r="C1141" s="121"/>
      <c r="D1141" s="121"/>
      <c r="E1141" s="133"/>
      <c r="F1141" s="133"/>
      <c r="G1141" s="121"/>
      <c r="H1141" s="121"/>
    </row>
    <row r="1142" hidden="1">
      <c r="A1142" s="121"/>
      <c r="B1142" s="121"/>
      <c r="C1142" s="121"/>
      <c r="D1142" s="121"/>
      <c r="E1142" s="133"/>
      <c r="F1142" s="133"/>
      <c r="G1142" s="121"/>
      <c r="H1142" s="121"/>
    </row>
    <row r="1143" hidden="1">
      <c r="A1143" s="121"/>
      <c r="B1143" s="121"/>
      <c r="C1143" s="121"/>
      <c r="D1143" s="121"/>
      <c r="E1143" s="133"/>
      <c r="F1143" s="133"/>
      <c r="G1143" s="121"/>
      <c r="H1143" s="121"/>
    </row>
    <row r="1144" hidden="1">
      <c r="A1144" s="121"/>
      <c r="B1144" s="121"/>
      <c r="C1144" s="121"/>
      <c r="D1144" s="121"/>
      <c r="E1144" s="133"/>
      <c r="F1144" s="133"/>
      <c r="G1144" s="121"/>
      <c r="H1144" s="121"/>
    </row>
    <row r="1145" hidden="1">
      <c r="A1145" s="121"/>
      <c r="B1145" s="121"/>
      <c r="C1145" s="121"/>
      <c r="D1145" s="121"/>
      <c r="E1145" s="133"/>
      <c r="F1145" s="133"/>
      <c r="G1145" s="121"/>
      <c r="H1145" s="121"/>
    </row>
    <row r="1146" hidden="1">
      <c r="A1146" s="121"/>
      <c r="B1146" s="121"/>
      <c r="C1146" s="121"/>
      <c r="D1146" s="121"/>
      <c r="E1146" s="133"/>
      <c r="F1146" s="133"/>
      <c r="G1146" s="121"/>
      <c r="H1146" s="121"/>
    </row>
    <row r="1147" hidden="1">
      <c r="A1147" s="121"/>
      <c r="B1147" s="121"/>
      <c r="C1147" s="121"/>
      <c r="D1147" s="121"/>
      <c r="E1147" s="133"/>
      <c r="F1147" s="133"/>
      <c r="G1147" s="121"/>
      <c r="H1147" s="121"/>
    </row>
    <row r="1148" hidden="1">
      <c r="A1148" s="121"/>
      <c r="B1148" s="121"/>
      <c r="C1148" s="121"/>
      <c r="D1148" s="121"/>
      <c r="E1148" s="133"/>
      <c r="F1148" s="133"/>
      <c r="G1148" s="121"/>
      <c r="H1148" s="121"/>
    </row>
    <row r="1149" hidden="1">
      <c r="A1149" s="121"/>
      <c r="B1149" s="121"/>
      <c r="C1149" s="121"/>
      <c r="D1149" s="121"/>
      <c r="E1149" s="133"/>
      <c r="F1149" s="133"/>
      <c r="G1149" s="121"/>
      <c r="H1149" s="121"/>
    </row>
    <row r="1150" hidden="1">
      <c r="A1150" s="121"/>
      <c r="B1150" s="121"/>
      <c r="C1150" s="121"/>
      <c r="D1150" s="121"/>
      <c r="E1150" s="133"/>
      <c r="F1150" s="133"/>
      <c r="G1150" s="121"/>
      <c r="H1150" s="121"/>
    </row>
    <row r="1151" hidden="1">
      <c r="A1151" s="121"/>
      <c r="B1151" s="121"/>
      <c r="C1151" s="121"/>
      <c r="D1151" s="121"/>
      <c r="E1151" s="133"/>
      <c r="F1151" s="133"/>
      <c r="G1151" s="121"/>
      <c r="H1151" s="121"/>
    </row>
    <row r="1152" hidden="1">
      <c r="A1152" s="121"/>
      <c r="B1152" s="121"/>
      <c r="C1152" s="121"/>
      <c r="D1152" s="121"/>
      <c r="E1152" s="133"/>
      <c r="F1152" s="133"/>
      <c r="G1152" s="121"/>
      <c r="H1152" s="121"/>
    </row>
    <row r="1153" hidden="1">
      <c r="A1153" s="121"/>
      <c r="B1153" s="121"/>
      <c r="C1153" s="121"/>
      <c r="D1153" s="121"/>
      <c r="E1153" s="133"/>
      <c r="F1153" s="133"/>
      <c r="G1153" s="121"/>
      <c r="H1153" s="121"/>
    </row>
    <row r="1154" hidden="1">
      <c r="A1154" s="121"/>
      <c r="B1154" s="121"/>
      <c r="C1154" s="121"/>
      <c r="D1154" s="121"/>
      <c r="E1154" s="133"/>
      <c r="F1154" s="133"/>
      <c r="G1154" s="121"/>
      <c r="H1154" s="121"/>
    </row>
    <row r="1155" hidden="1">
      <c r="A1155" s="121"/>
      <c r="B1155" s="121"/>
      <c r="C1155" s="121"/>
      <c r="D1155" s="121"/>
      <c r="E1155" s="133"/>
      <c r="F1155" s="133"/>
      <c r="G1155" s="121"/>
      <c r="H1155" s="121"/>
    </row>
    <row r="1156" hidden="1">
      <c r="A1156" s="121"/>
      <c r="B1156" s="121"/>
      <c r="C1156" s="121"/>
      <c r="D1156" s="121"/>
      <c r="E1156" s="133"/>
      <c r="F1156" s="133"/>
      <c r="G1156" s="121"/>
      <c r="H1156" s="121"/>
    </row>
    <row r="1157" hidden="1">
      <c r="A1157" s="121"/>
      <c r="B1157" s="121"/>
      <c r="C1157" s="121"/>
      <c r="D1157" s="121"/>
      <c r="E1157" s="133"/>
      <c r="F1157" s="133"/>
      <c r="G1157" s="121"/>
      <c r="H1157" s="121"/>
    </row>
    <row r="1158" hidden="1">
      <c r="A1158" s="121"/>
      <c r="B1158" s="121"/>
      <c r="C1158" s="121"/>
      <c r="D1158" s="121"/>
      <c r="E1158" s="133"/>
      <c r="F1158" s="133"/>
      <c r="G1158" s="121"/>
      <c r="H1158" s="121"/>
    </row>
    <row r="1159" hidden="1">
      <c r="A1159" s="121"/>
      <c r="B1159" s="121"/>
      <c r="C1159" s="121"/>
      <c r="D1159" s="121"/>
      <c r="E1159" s="133"/>
      <c r="F1159" s="133"/>
      <c r="G1159" s="121"/>
      <c r="H1159" s="121"/>
    </row>
    <row r="1160" hidden="1">
      <c r="A1160" s="121"/>
      <c r="B1160" s="121"/>
      <c r="C1160" s="121"/>
      <c r="D1160" s="121"/>
      <c r="E1160" s="133"/>
      <c r="F1160" s="133"/>
      <c r="G1160" s="121"/>
      <c r="H1160" s="121"/>
    </row>
    <row r="1161" hidden="1">
      <c r="A1161" s="121"/>
      <c r="B1161" s="121"/>
      <c r="C1161" s="121"/>
      <c r="D1161" s="121"/>
      <c r="E1161" s="133"/>
      <c r="F1161" s="133"/>
      <c r="G1161" s="121"/>
      <c r="H1161" s="121"/>
    </row>
    <row r="1162" hidden="1">
      <c r="A1162" s="121"/>
      <c r="B1162" s="121"/>
      <c r="C1162" s="121"/>
      <c r="D1162" s="121"/>
      <c r="E1162" s="133"/>
      <c r="F1162" s="133"/>
      <c r="G1162" s="121"/>
      <c r="H1162" s="121"/>
    </row>
    <row r="1163" hidden="1">
      <c r="A1163" s="121"/>
      <c r="B1163" s="121"/>
      <c r="C1163" s="121"/>
      <c r="D1163" s="121"/>
      <c r="E1163" s="133"/>
      <c r="F1163" s="133"/>
      <c r="G1163" s="121"/>
      <c r="H1163" s="121"/>
    </row>
    <row r="1164" hidden="1">
      <c r="A1164" s="121"/>
      <c r="B1164" s="121"/>
      <c r="C1164" s="121"/>
      <c r="D1164" s="121"/>
      <c r="E1164" s="133"/>
      <c r="F1164" s="133"/>
      <c r="G1164" s="121"/>
      <c r="H1164" s="121"/>
    </row>
    <row r="1165" hidden="1">
      <c r="A1165" s="121"/>
      <c r="B1165" s="121"/>
      <c r="C1165" s="121"/>
      <c r="D1165" s="121"/>
      <c r="E1165" s="133"/>
      <c r="F1165" s="133"/>
      <c r="G1165" s="121"/>
      <c r="H1165" s="121"/>
    </row>
    <row r="1166" hidden="1">
      <c r="A1166" s="121"/>
      <c r="B1166" s="121"/>
      <c r="C1166" s="121"/>
      <c r="D1166" s="121"/>
      <c r="E1166" s="133"/>
      <c r="F1166" s="133"/>
      <c r="G1166" s="121"/>
      <c r="H1166" s="121"/>
    </row>
    <row r="1167" hidden="1">
      <c r="A1167" s="121"/>
      <c r="B1167" s="121"/>
      <c r="C1167" s="121"/>
      <c r="D1167" s="121"/>
      <c r="E1167" s="133"/>
      <c r="F1167" s="133"/>
      <c r="G1167" s="121"/>
      <c r="H1167" s="121"/>
    </row>
    <row r="1168" hidden="1">
      <c r="A1168" s="121"/>
      <c r="B1168" s="121"/>
      <c r="C1168" s="121"/>
      <c r="D1168" s="121"/>
      <c r="E1168" s="133"/>
      <c r="F1168" s="133"/>
      <c r="G1168" s="121"/>
      <c r="H1168" s="121"/>
    </row>
    <row r="1169" hidden="1">
      <c r="A1169" s="121"/>
      <c r="B1169" s="121"/>
      <c r="C1169" s="121"/>
      <c r="D1169" s="121"/>
      <c r="E1169" s="133"/>
      <c r="F1169" s="133"/>
      <c r="G1169" s="121"/>
      <c r="H1169" s="121"/>
    </row>
    <row r="1170" hidden="1">
      <c r="A1170" s="121"/>
      <c r="B1170" s="121"/>
      <c r="C1170" s="121"/>
      <c r="D1170" s="121"/>
      <c r="E1170" s="133"/>
      <c r="F1170" s="133"/>
      <c r="G1170" s="121"/>
      <c r="H1170" s="121"/>
    </row>
    <row r="1171" hidden="1">
      <c r="A1171" s="121"/>
      <c r="B1171" s="121"/>
      <c r="C1171" s="121"/>
      <c r="D1171" s="121"/>
      <c r="E1171" s="133"/>
      <c r="F1171" s="133"/>
      <c r="G1171" s="121"/>
      <c r="H1171" s="121"/>
    </row>
    <row r="1172" hidden="1">
      <c r="A1172" s="121"/>
      <c r="B1172" s="121"/>
      <c r="C1172" s="121"/>
      <c r="D1172" s="121"/>
      <c r="E1172" s="133"/>
      <c r="F1172" s="133"/>
      <c r="G1172" s="121"/>
      <c r="H1172" s="121"/>
    </row>
    <row r="1173" hidden="1">
      <c r="A1173" s="121"/>
      <c r="B1173" s="121"/>
      <c r="C1173" s="121"/>
      <c r="D1173" s="121"/>
      <c r="E1173" s="133"/>
      <c r="F1173" s="133"/>
      <c r="G1173" s="121"/>
      <c r="H1173" s="121"/>
    </row>
    <row r="1174" hidden="1">
      <c r="A1174" s="121"/>
      <c r="B1174" s="121"/>
      <c r="C1174" s="121"/>
      <c r="D1174" s="121"/>
      <c r="E1174" s="133"/>
      <c r="F1174" s="133"/>
      <c r="G1174" s="121"/>
      <c r="H1174" s="121"/>
    </row>
    <row r="1175" hidden="1">
      <c r="A1175" s="121"/>
      <c r="B1175" s="121"/>
      <c r="C1175" s="121"/>
      <c r="D1175" s="121"/>
      <c r="E1175" s="133"/>
      <c r="F1175" s="133"/>
      <c r="G1175" s="121"/>
      <c r="H1175" s="121"/>
    </row>
    <row r="1176" hidden="1">
      <c r="A1176" s="121"/>
      <c r="B1176" s="121"/>
      <c r="C1176" s="121"/>
      <c r="D1176" s="121"/>
      <c r="E1176" s="133"/>
      <c r="F1176" s="133"/>
      <c r="G1176" s="121"/>
      <c r="H1176" s="121"/>
    </row>
    <row r="1177" hidden="1">
      <c r="A1177" s="121"/>
      <c r="B1177" s="121"/>
      <c r="C1177" s="121"/>
      <c r="D1177" s="121"/>
      <c r="E1177" s="133"/>
      <c r="F1177" s="133"/>
      <c r="G1177" s="121"/>
      <c r="H1177" s="121"/>
    </row>
    <row r="1178" hidden="1">
      <c r="A1178" s="121"/>
      <c r="B1178" s="121"/>
      <c r="C1178" s="121"/>
      <c r="D1178" s="121"/>
      <c r="E1178" s="133"/>
      <c r="F1178" s="133"/>
      <c r="G1178" s="121"/>
      <c r="H1178" s="121"/>
    </row>
    <row r="1179" hidden="1">
      <c r="A1179" s="121"/>
      <c r="B1179" s="121"/>
      <c r="C1179" s="121"/>
      <c r="D1179" s="121"/>
      <c r="E1179" s="133"/>
      <c r="F1179" s="133"/>
      <c r="G1179" s="121"/>
      <c r="H1179" s="121"/>
    </row>
    <row r="1180" hidden="1">
      <c r="A1180" s="121"/>
      <c r="B1180" s="121"/>
      <c r="C1180" s="121"/>
      <c r="D1180" s="121"/>
      <c r="E1180" s="133"/>
      <c r="F1180" s="133"/>
      <c r="G1180" s="121"/>
      <c r="H1180" s="121"/>
    </row>
    <row r="1181" hidden="1">
      <c r="A1181" s="121"/>
      <c r="B1181" s="121"/>
      <c r="C1181" s="121"/>
      <c r="D1181" s="121"/>
      <c r="E1181" s="133"/>
      <c r="F1181" s="133"/>
      <c r="G1181" s="121"/>
      <c r="H1181" s="121"/>
    </row>
    <row r="1182" hidden="1">
      <c r="A1182" s="121"/>
      <c r="B1182" s="121"/>
      <c r="C1182" s="121"/>
      <c r="D1182" s="121"/>
      <c r="E1182" s="133"/>
      <c r="F1182" s="133"/>
      <c r="G1182" s="121"/>
      <c r="H1182" s="121"/>
    </row>
    <row r="1183" hidden="1">
      <c r="A1183" s="121"/>
      <c r="B1183" s="121"/>
      <c r="C1183" s="121"/>
      <c r="D1183" s="121"/>
      <c r="E1183" s="133"/>
      <c r="F1183" s="133"/>
      <c r="G1183" s="121"/>
      <c r="H1183" s="121"/>
    </row>
    <row r="1184" hidden="1">
      <c r="A1184" s="121"/>
      <c r="B1184" s="121"/>
      <c r="C1184" s="121"/>
      <c r="D1184" s="121"/>
      <c r="E1184" s="133"/>
      <c r="F1184" s="133"/>
      <c r="G1184" s="121"/>
      <c r="H1184" s="121"/>
    </row>
    <row r="1185" hidden="1">
      <c r="A1185" s="121"/>
      <c r="B1185" s="121"/>
      <c r="C1185" s="121"/>
      <c r="D1185" s="121"/>
      <c r="E1185" s="133"/>
      <c r="F1185" s="133"/>
      <c r="G1185" s="121"/>
      <c r="H1185" s="121"/>
    </row>
    <row r="1186" hidden="1">
      <c r="A1186" s="121"/>
      <c r="B1186" s="121"/>
      <c r="C1186" s="121"/>
      <c r="D1186" s="121"/>
      <c r="E1186" s="133"/>
      <c r="F1186" s="133"/>
      <c r="G1186" s="121"/>
      <c r="H1186" s="121"/>
    </row>
    <row r="1187" hidden="1">
      <c r="A1187" s="121"/>
      <c r="B1187" s="121"/>
      <c r="C1187" s="121"/>
      <c r="D1187" s="121"/>
      <c r="E1187" s="133"/>
      <c r="F1187" s="133"/>
      <c r="G1187" s="121"/>
      <c r="H1187" s="121"/>
    </row>
    <row r="1188" hidden="1">
      <c r="A1188" s="121"/>
      <c r="B1188" s="121"/>
      <c r="C1188" s="121"/>
      <c r="D1188" s="121"/>
      <c r="E1188" s="133"/>
      <c r="F1188" s="133"/>
      <c r="G1188" s="121"/>
      <c r="H1188" s="121"/>
    </row>
    <row r="1189" hidden="1">
      <c r="A1189" s="121"/>
      <c r="B1189" s="121"/>
      <c r="C1189" s="121"/>
      <c r="D1189" s="121"/>
      <c r="E1189" s="133"/>
      <c r="F1189" s="133"/>
      <c r="G1189" s="121"/>
      <c r="H1189" s="121"/>
    </row>
    <row r="1190" hidden="1">
      <c r="A1190" s="121"/>
      <c r="B1190" s="121"/>
      <c r="C1190" s="121"/>
      <c r="D1190" s="121"/>
      <c r="E1190" s="133"/>
      <c r="F1190" s="133"/>
      <c r="G1190" s="121"/>
      <c r="H1190" s="121"/>
    </row>
    <row r="1191" hidden="1">
      <c r="A1191" s="121"/>
      <c r="B1191" s="121"/>
      <c r="C1191" s="121"/>
      <c r="D1191" s="121"/>
      <c r="E1191" s="133"/>
      <c r="F1191" s="133"/>
      <c r="G1191" s="121"/>
      <c r="H1191" s="121"/>
    </row>
    <row r="1192" hidden="1">
      <c r="A1192" s="121"/>
      <c r="B1192" s="121"/>
      <c r="C1192" s="121"/>
      <c r="D1192" s="121"/>
      <c r="E1192" s="133"/>
      <c r="F1192" s="133"/>
      <c r="G1192" s="121"/>
      <c r="H1192" s="121"/>
    </row>
    <row r="1193" hidden="1">
      <c r="A1193" s="121"/>
      <c r="B1193" s="121"/>
      <c r="C1193" s="121"/>
      <c r="D1193" s="121"/>
      <c r="E1193" s="133"/>
      <c r="F1193" s="133"/>
      <c r="G1193" s="121"/>
      <c r="H1193" s="121"/>
    </row>
    <row r="1194" hidden="1">
      <c r="A1194" s="121"/>
      <c r="B1194" s="121"/>
      <c r="C1194" s="121"/>
      <c r="D1194" s="121"/>
      <c r="E1194" s="133"/>
      <c r="F1194" s="133"/>
      <c r="G1194" s="121"/>
      <c r="H1194" s="121"/>
    </row>
    <row r="1195" hidden="1">
      <c r="A1195" s="121"/>
      <c r="B1195" s="121"/>
      <c r="C1195" s="121"/>
      <c r="D1195" s="121"/>
      <c r="E1195" s="133"/>
      <c r="F1195" s="133"/>
      <c r="G1195" s="121"/>
      <c r="H1195" s="121"/>
    </row>
    <row r="1196" hidden="1">
      <c r="A1196" s="121"/>
      <c r="B1196" s="121"/>
      <c r="C1196" s="121"/>
      <c r="D1196" s="121"/>
      <c r="E1196" s="133"/>
      <c r="F1196" s="133"/>
      <c r="G1196" s="121"/>
      <c r="H1196" s="121"/>
    </row>
    <row r="1197" hidden="1">
      <c r="A1197" s="121"/>
      <c r="B1197" s="121"/>
      <c r="C1197" s="121"/>
      <c r="D1197" s="121"/>
      <c r="E1197" s="133"/>
      <c r="F1197" s="133"/>
      <c r="G1197" s="121"/>
      <c r="H1197" s="121"/>
    </row>
    <row r="1198" hidden="1">
      <c r="A1198" s="121"/>
      <c r="B1198" s="121"/>
      <c r="C1198" s="121"/>
      <c r="D1198" s="121"/>
      <c r="E1198" s="133"/>
      <c r="F1198" s="133"/>
      <c r="G1198" s="121"/>
      <c r="H1198" s="121"/>
    </row>
    <row r="1199" hidden="1">
      <c r="A1199" s="121"/>
      <c r="B1199" s="121"/>
      <c r="C1199" s="121"/>
      <c r="D1199" s="121"/>
      <c r="E1199" s="133"/>
      <c r="F1199" s="133"/>
      <c r="G1199" s="121"/>
      <c r="H1199" s="121"/>
    </row>
    <row r="1200" hidden="1">
      <c r="A1200" s="121"/>
      <c r="B1200" s="121"/>
      <c r="C1200" s="121"/>
      <c r="D1200" s="121"/>
      <c r="E1200" s="133"/>
      <c r="F1200" s="133"/>
      <c r="G1200" s="121"/>
      <c r="H1200" s="121"/>
    </row>
    <row r="1201" hidden="1">
      <c r="A1201" s="121"/>
      <c r="B1201" s="121"/>
      <c r="C1201" s="121"/>
      <c r="D1201" s="121"/>
      <c r="E1201" s="133"/>
      <c r="F1201" s="133"/>
      <c r="G1201" s="121"/>
      <c r="H1201" s="121"/>
    </row>
    <row r="1202" hidden="1">
      <c r="A1202" s="121"/>
      <c r="B1202" s="121"/>
      <c r="C1202" s="121"/>
      <c r="D1202" s="121"/>
      <c r="E1202" s="133"/>
      <c r="F1202" s="133"/>
      <c r="G1202" s="121"/>
      <c r="H1202" s="121"/>
    </row>
    <row r="1203" hidden="1">
      <c r="A1203" s="121"/>
      <c r="B1203" s="121"/>
      <c r="C1203" s="121"/>
      <c r="D1203" s="121"/>
      <c r="E1203" s="133"/>
      <c r="F1203" s="133"/>
      <c r="G1203" s="121"/>
      <c r="H1203" s="121"/>
    </row>
    <row r="1204" hidden="1">
      <c r="A1204" s="121"/>
      <c r="B1204" s="121"/>
      <c r="C1204" s="121"/>
      <c r="D1204" s="121"/>
      <c r="E1204" s="133"/>
      <c r="F1204" s="133"/>
      <c r="G1204" s="121"/>
      <c r="H1204" s="121"/>
    </row>
    <row r="1205" hidden="1">
      <c r="A1205" s="121"/>
      <c r="B1205" s="121"/>
      <c r="C1205" s="121"/>
      <c r="D1205" s="121"/>
      <c r="E1205" s="133"/>
      <c r="F1205" s="133"/>
      <c r="G1205" s="121"/>
      <c r="H1205" s="121"/>
    </row>
    <row r="1206" hidden="1">
      <c r="A1206" s="121"/>
      <c r="B1206" s="121"/>
      <c r="C1206" s="121"/>
      <c r="D1206" s="121"/>
      <c r="E1206" s="133"/>
      <c r="F1206" s="133"/>
      <c r="G1206" s="121"/>
      <c r="H1206" s="121"/>
    </row>
    <row r="1207" hidden="1">
      <c r="A1207" s="121"/>
      <c r="B1207" s="121"/>
      <c r="C1207" s="121"/>
      <c r="D1207" s="121"/>
      <c r="E1207" s="133"/>
      <c r="F1207" s="133"/>
      <c r="G1207" s="121"/>
      <c r="H1207" s="121"/>
    </row>
    <row r="1208" hidden="1">
      <c r="A1208" s="121"/>
      <c r="B1208" s="121"/>
      <c r="C1208" s="121"/>
      <c r="D1208" s="121"/>
      <c r="E1208" s="133"/>
      <c r="F1208" s="133"/>
      <c r="G1208" s="121"/>
      <c r="H1208" s="121"/>
    </row>
    <row r="1209" hidden="1">
      <c r="A1209" s="121"/>
      <c r="B1209" s="121"/>
      <c r="C1209" s="121"/>
      <c r="D1209" s="121"/>
      <c r="E1209" s="133"/>
      <c r="F1209" s="133"/>
      <c r="G1209" s="121"/>
      <c r="H1209" s="121"/>
    </row>
    <row r="1210" hidden="1">
      <c r="A1210" s="121"/>
      <c r="B1210" s="121"/>
      <c r="C1210" s="121"/>
      <c r="D1210" s="121"/>
      <c r="E1210" s="133"/>
      <c r="F1210" s="133"/>
      <c r="G1210" s="121"/>
      <c r="H1210" s="121"/>
    </row>
    <row r="1211" hidden="1">
      <c r="A1211" s="121"/>
      <c r="B1211" s="121"/>
      <c r="C1211" s="121"/>
      <c r="D1211" s="121"/>
      <c r="E1211" s="133"/>
      <c r="F1211" s="133"/>
      <c r="G1211" s="121"/>
      <c r="H1211" s="121"/>
    </row>
    <row r="1212" hidden="1">
      <c r="A1212" s="121"/>
      <c r="B1212" s="121"/>
      <c r="C1212" s="121"/>
      <c r="D1212" s="121"/>
      <c r="E1212" s="133"/>
      <c r="F1212" s="133"/>
      <c r="G1212" s="121"/>
      <c r="H1212" s="121"/>
    </row>
    <row r="1213" hidden="1">
      <c r="A1213" s="121"/>
      <c r="B1213" s="121"/>
      <c r="C1213" s="121"/>
      <c r="D1213" s="121"/>
      <c r="E1213" s="133"/>
      <c r="F1213" s="133"/>
      <c r="G1213" s="121"/>
      <c r="H1213" s="121"/>
    </row>
    <row r="1214" hidden="1">
      <c r="A1214" s="121"/>
      <c r="B1214" s="121"/>
      <c r="C1214" s="121"/>
      <c r="D1214" s="121"/>
      <c r="E1214" s="133"/>
      <c r="F1214" s="133"/>
      <c r="G1214" s="121"/>
      <c r="H1214" s="121"/>
    </row>
    <row r="1215" hidden="1">
      <c r="A1215" s="121"/>
      <c r="B1215" s="121"/>
      <c r="C1215" s="121"/>
      <c r="D1215" s="121"/>
      <c r="E1215" s="133"/>
      <c r="F1215" s="133"/>
      <c r="G1215" s="121"/>
      <c r="H1215" s="121"/>
    </row>
    <row r="1216" hidden="1">
      <c r="A1216" s="121"/>
      <c r="B1216" s="121"/>
      <c r="C1216" s="121"/>
      <c r="D1216" s="121"/>
      <c r="E1216" s="133"/>
      <c r="F1216" s="133"/>
      <c r="G1216" s="121"/>
      <c r="H1216" s="121"/>
    </row>
    <row r="1217" hidden="1">
      <c r="A1217" s="121"/>
      <c r="B1217" s="121"/>
      <c r="C1217" s="121"/>
      <c r="D1217" s="121"/>
      <c r="E1217" s="133"/>
      <c r="F1217" s="133"/>
      <c r="G1217" s="121"/>
      <c r="H1217" s="121"/>
    </row>
    <row r="1218" hidden="1">
      <c r="A1218" s="121"/>
      <c r="B1218" s="121"/>
      <c r="C1218" s="121"/>
      <c r="D1218" s="121"/>
      <c r="E1218" s="133"/>
      <c r="F1218" s="133"/>
      <c r="G1218" s="121"/>
      <c r="H1218" s="121"/>
    </row>
    <row r="1219" hidden="1">
      <c r="A1219" s="121"/>
      <c r="B1219" s="121"/>
      <c r="C1219" s="121"/>
      <c r="D1219" s="121"/>
      <c r="E1219" s="133"/>
      <c r="F1219" s="133"/>
      <c r="G1219" s="121"/>
      <c r="H1219" s="121"/>
    </row>
    <row r="1220" hidden="1">
      <c r="A1220" s="121"/>
      <c r="B1220" s="121"/>
      <c r="C1220" s="121"/>
      <c r="D1220" s="121"/>
      <c r="E1220" s="133"/>
      <c r="F1220" s="133"/>
      <c r="G1220" s="121"/>
      <c r="H1220" s="121"/>
    </row>
    <row r="1221" hidden="1">
      <c r="A1221" s="121"/>
      <c r="B1221" s="121"/>
      <c r="C1221" s="121"/>
      <c r="D1221" s="121"/>
      <c r="E1221" s="133"/>
      <c r="F1221" s="133"/>
      <c r="G1221" s="121"/>
      <c r="H1221" s="121"/>
    </row>
    <row r="1222" hidden="1">
      <c r="A1222" s="121"/>
      <c r="B1222" s="121"/>
      <c r="C1222" s="121"/>
      <c r="D1222" s="121"/>
      <c r="E1222" s="133"/>
      <c r="F1222" s="133"/>
      <c r="G1222" s="121"/>
      <c r="H1222" s="121"/>
    </row>
    <row r="1223" hidden="1">
      <c r="A1223" s="121"/>
      <c r="B1223" s="121"/>
      <c r="C1223" s="121"/>
      <c r="D1223" s="121"/>
      <c r="E1223" s="133"/>
      <c r="F1223" s="133"/>
      <c r="G1223" s="121"/>
      <c r="H1223" s="121"/>
    </row>
    <row r="1224" hidden="1">
      <c r="A1224" s="121"/>
      <c r="B1224" s="121"/>
      <c r="C1224" s="121"/>
      <c r="D1224" s="121"/>
      <c r="E1224" s="133"/>
      <c r="F1224" s="133"/>
      <c r="G1224" s="121"/>
      <c r="H1224" s="121"/>
    </row>
    <row r="1225" hidden="1">
      <c r="A1225" s="121"/>
      <c r="B1225" s="121"/>
      <c r="C1225" s="121"/>
      <c r="D1225" s="121"/>
      <c r="E1225" s="133"/>
      <c r="F1225" s="133"/>
      <c r="G1225" s="121"/>
      <c r="H1225" s="121"/>
    </row>
    <row r="1226" hidden="1">
      <c r="A1226" s="121"/>
      <c r="B1226" s="121"/>
      <c r="C1226" s="121"/>
      <c r="D1226" s="121"/>
      <c r="E1226" s="133"/>
      <c r="F1226" s="133"/>
      <c r="G1226" s="121"/>
      <c r="H1226" s="121"/>
    </row>
    <row r="1227" hidden="1">
      <c r="A1227" s="121"/>
      <c r="B1227" s="121"/>
      <c r="C1227" s="121"/>
      <c r="D1227" s="121"/>
      <c r="E1227" s="133"/>
      <c r="F1227" s="133"/>
      <c r="G1227" s="121"/>
      <c r="H1227" s="121"/>
    </row>
    <row r="1228" hidden="1">
      <c r="A1228" s="121"/>
      <c r="B1228" s="121"/>
      <c r="C1228" s="121"/>
      <c r="D1228" s="121"/>
      <c r="E1228" s="133"/>
      <c r="F1228" s="133"/>
      <c r="G1228" s="121"/>
      <c r="H1228" s="121"/>
    </row>
    <row r="1229" hidden="1">
      <c r="A1229" s="121"/>
      <c r="B1229" s="121"/>
      <c r="C1229" s="121"/>
      <c r="D1229" s="121"/>
      <c r="E1229" s="133"/>
      <c r="F1229" s="133"/>
      <c r="G1229" s="121"/>
      <c r="H1229" s="121"/>
    </row>
    <row r="1230" hidden="1">
      <c r="A1230" s="121"/>
      <c r="B1230" s="121"/>
      <c r="C1230" s="121"/>
      <c r="D1230" s="121"/>
      <c r="E1230" s="133"/>
      <c r="F1230" s="133"/>
      <c r="G1230" s="121"/>
      <c r="H1230" s="121"/>
    </row>
    <row r="1231" hidden="1">
      <c r="A1231" s="121"/>
      <c r="B1231" s="121"/>
      <c r="C1231" s="121"/>
      <c r="D1231" s="121"/>
      <c r="E1231" s="133"/>
      <c r="F1231" s="133"/>
      <c r="G1231" s="121"/>
      <c r="H1231" s="121"/>
    </row>
    <row r="1232" hidden="1">
      <c r="A1232" s="121"/>
      <c r="B1232" s="121"/>
      <c r="C1232" s="121"/>
      <c r="D1232" s="121"/>
      <c r="E1232" s="133"/>
      <c r="F1232" s="133"/>
      <c r="G1232" s="121"/>
      <c r="H1232" s="121"/>
    </row>
    <row r="1233" hidden="1">
      <c r="A1233" s="121"/>
      <c r="B1233" s="121"/>
      <c r="C1233" s="121"/>
      <c r="D1233" s="121"/>
      <c r="E1233" s="133"/>
      <c r="F1233" s="133"/>
      <c r="G1233" s="121"/>
      <c r="H1233" s="121"/>
    </row>
    <row r="1234" hidden="1">
      <c r="A1234" s="121"/>
      <c r="B1234" s="121"/>
      <c r="C1234" s="121"/>
      <c r="D1234" s="121"/>
      <c r="E1234" s="133"/>
      <c r="F1234" s="133"/>
      <c r="G1234" s="121"/>
      <c r="H1234" s="121"/>
    </row>
    <row r="1235" hidden="1">
      <c r="A1235" s="121"/>
      <c r="B1235" s="121"/>
      <c r="C1235" s="121"/>
      <c r="D1235" s="121"/>
      <c r="E1235" s="133"/>
      <c r="F1235" s="133"/>
      <c r="G1235" s="121"/>
      <c r="H1235" s="121"/>
    </row>
    <row r="1236" hidden="1">
      <c r="A1236" s="121"/>
      <c r="B1236" s="121"/>
      <c r="C1236" s="121"/>
      <c r="D1236" s="121"/>
      <c r="E1236" s="133"/>
      <c r="F1236" s="133"/>
      <c r="G1236" s="121"/>
      <c r="H1236" s="121"/>
    </row>
    <row r="1237" hidden="1">
      <c r="A1237" s="121"/>
      <c r="B1237" s="121"/>
      <c r="C1237" s="121"/>
      <c r="D1237" s="121"/>
      <c r="E1237" s="133"/>
      <c r="F1237" s="133"/>
      <c r="G1237" s="121"/>
      <c r="H1237" s="121"/>
    </row>
    <row r="1238" hidden="1">
      <c r="A1238" s="121"/>
      <c r="B1238" s="121"/>
      <c r="C1238" s="121"/>
      <c r="D1238" s="121"/>
      <c r="E1238" s="133"/>
      <c r="F1238" s="133"/>
      <c r="G1238" s="121"/>
      <c r="H1238" s="121"/>
    </row>
    <row r="1239" hidden="1">
      <c r="A1239" s="121"/>
      <c r="B1239" s="121"/>
      <c r="C1239" s="121"/>
      <c r="D1239" s="121"/>
      <c r="E1239" s="133"/>
      <c r="F1239" s="133"/>
      <c r="G1239" s="121"/>
      <c r="H1239" s="121"/>
    </row>
    <row r="1240" hidden="1">
      <c r="A1240" s="121"/>
      <c r="B1240" s="121"/>
      <c r="C1240" s="121"/>
      <c r="D1240" s="121"/>
      <c r="E1240" s="133"/>
      <c r="F1240" s="133"/>
      <c r="G1240" s="121"/>
      <c r="H1240" s="121"/>
    </row>
    <row r="1241" hidden="1">
      <c r="A1241" s="121"/>
      <c r="B1241" s="121"/>
      <c r="C1241" s="121"/>
      <c r="D1241" s="121"/>
      <c r="E1241" s="133"/>
      <c r="F1241" s="133"/>
      <c r="G1241" s="121"/>
      <c r="H1241" s="121"/>
    </row>
    <row r="1242" hidden="1">
      <c r="A1242" s="121"/>
      <c r="B1242" s="121"/>
      <c r="C1242" s="121"/>
      <c r="D1242" s="121"/>
      <c r="E1242" s="133"/>
      <c r="F1242" s="133"/>
      <c r="G1242" s="121"/>
      <c r="H1242" s="121"/>
    </row>
    <row r="1243" hidden="1">
      <c r="A1243" s="121"/>
      <c r="B1243" s="121"/>
      <c r="C1243" s="121"/>
      <c r="D1243" s="121"/>
      <c r="E1243" s="133"/>
      <c r="F1243" s="133"/>
      <c r="G1243" s="121"/>
      <c r="H1243" s="121"/>
    </row>
    <row r="1244" hidden="1">
      <c r="A1244" s="121"/>
      <c r="B1244" s="121"/>
      <c r="C1244" s="121"/>
      <c r="D1244" s="121"/>
      <c r="E1244" s="133"/>
      <c r="F1244" s="133"/>
      <c r="G1244" s="121"/>
      <c r="H1244" s="121"/>
    </row>
    <row r="1245" hidden="1">
      <c r="A1245" s="121"/>
      <c r="B1245" s="121"/>
      <c r="C1245" s="121"/>
      <c r="D1245" s="121"/>
      <c r="E1245" s="133"/>
      <c r="F1245" s="133"/>
      <c r="G1245" s="121"/>
      <c r="H1245" s="121"/>
    </row>
    <row r="1246" hidden="1">
      <c r="A1246" s="121"/>
      <c r="B1246" s="121"/>
      <c r="C1246" s="121"/>
      <c r="D1246" s="121"/>
      <c r="E1246" s="133"/>
      <c r="F1246" s="133"/>
      <c r="G1246" s="121"/>
      <c r="H1246" s="121"/>
    </row>
    <row r="1247" hidden="1">
      <c r="A1247" s="121"/>
      <c r="B1247" s="121"/>
      <c r="C1247" s="121"/>
      <c r="D1247" s="121"/>
      <c r="E1247" s="133"/>
      <c r="F1247" s="133"/>
      <c r="G1247" s="121"/>
      <c r="H1247" s="121"/>
    </row>
    <row r="1248" hidden="1">
      <c r="A1248" s="121"/>
      <c r="B1248" s="121"/>
      <c r="C1248" s="121"/>
      <c r="D1248" s="121"/>
      <c r="E1248" s="133"/>
      <c r="F1248" s="133"/>
      <c r="G1248" s="121"/>
      <c r="H1248" s="121"/>
    </row>
    <row r="1249" hidden="1">
      <c r="A1249" s="121"/>
      <c r="B1249" s="121"/>
      <c r="C1249" s="121"/>
      <c r="D1249" s="121"/>
      <c r="E1249" s="133"/>
      <c r="F1249" s="133"/>
      <c r="G1249" s="121"/>
      <c r="H1249" s="121"/>
    </row>
    <row r="1250" hidden="1">
      <c r="A1250" s="121"/>
      <c r="B1250" s="121"/>
      <c r="C1250" s="121"/>
      <c r="D1250" s="121"/>
      <c r="E1250" s="133"/>
      <c r="F1250" s="133"/>
      <c r="G1250" s="121"/>
      <c r="H1250" s="121"/>
    </row>
    <row r="1251" hidden="1">
      <c r="A1251" s="121"/>
      <c r="B1251" s="121"/>
      <c r="C1251" s="121"/>
      <c r="D1251" s="121"/>
      <c r="E1251" s="133"/>
      <c r="F1251" s="133"/>
      <c r="G1251" s="121"/>
      <c r="H1251" s="121"/>
    </row>
    <row r="1252" hidden="1">
      <c r="A1252" s="121"/>
      <c r="B1252" s="121"/>
      <c r="C1252" s="121"/>
      <c r="D1252" s="121"/>
      <c r="E1252" s="133"/>
      <c r="F1252" s="133"/>
      <c r="G1252" s="121"/>
      <c r="H1252" s="121"/>
    </row>
    <row r="1253" hidden="1">
      <c r="A1253" s="121"/>
      <c r="B1253" s="121"/>
      <c r="C1253" s="121"/>
      <c r="D1253" s="121"/>
      <c r="E1253" s="133"/>
      <c r="F1253" s="133"/>
      <c r="G1253" s="121"/>
      <c r="H1253" s="121"/>
    </row>
    <row r="1254" hidden="1">
      <c r="A1254" s="121"/>
      <c r="B1254" s="121"/>
      <c r="C1254" s="121"/>
      <c r="D1254" s="121"/>
      <c r="E1254" s="133"/>
      <c r="F1254" s="133"/>
      <c r="G1254" s="121"/>
      <c r="H1254" s="121"/>
    </row>
    <row r="1255" hidden="1">
      <c r="A1255" s="121"/>
      <c r="B1255" s="121"/>
      <c r="C1255" s="121"/>
      <c r="D1255" s="121"/>
      <c r="E1255" s="133"/>
      <c r="F1255" s="133"/>
      <c r="G1255" s="121"/>
      <c r="H1255" s="121"/>
    </row>
    <row r="1256" hidden="1">
      <c r="A1256" s="121"/>
      <c r="B1256" s="121"/>
      <c r="C1256" s="121"/>
      <c r="D1256" s="121"/>
      <c r="E1256" s="133"/>
      <c r="F1256" s="133"/>
      <c r="G1256" s="121"/>
      <c r="H1256" s="121"/>
    </row>
    <row r="1257" hidden="1">
      <c r="A1257" s="121"/>
      <c r="B1257" s="121"/>
      <c r="C1257" s="121"/>
      <c r="D1257" s="121"/>
      <c r="E1257" s="133"/>
      <c r="F1257" s="133"/>
      <c r="G1257" s="121"/>
      <c r="H1257" s="121"/>
    </row>
    <row r="1258" hidden="1">
      <c r="A1258" s="121"/>
      <c r="B1258" s="121"/>
      <c r="C1258" s="121"/>
      <c r="D1258" s="121"/>
      <c r="E1258" s="133"/>
      <c r="F1258" s="133"/>
      <c r="G1258" s="121"/>
      <c r="H1258" s="121"/>
    </row>
    <row r="1259" hidden="1">
      <c r="A1259" s="121"/>
      <c r="B1259" s="121"/>
      <c r="C1259" s="121"/>
      <c r="D1259" s="121"/>
      <c r="E1259" s="133"/>
      <c r="F1259" s="133"/>
      <c r="G1259" s="121"/>
      <c r="H1259" s="121"/>
    </row>
    <row r="1260" hidden="1">
      <c r="A1260" s="121"/>
      <c r="B1260" s="121"/>
      <c r="C1260" s="121"/>
      <c r="D1260" s="121"/>
      <c r="E1260" s="133"/>
      <c r="F1260" s="133"/>
      <c r="G1260" s="121"/>
      <c r="H1260" s="121"/>
    </row>
    <row r="1261" hidden="1">
      <c r="A1261" s="121"/>
      <c r="B1261" s="121"/>
      <c r="C1261" s="121"/>
      <c r="D1261" s="121"/>
      <c r="E1261" s="133"/>
      <c r="F1261" s="133"/>
      <c r="G1261" s="121"/>
      <c r="H1261" s="121"/>
    </row>
    <row r="1262" hidden="1">
      <c r="A1262" s="121"/>
      <c r="B1262" s="121"/>
      <c r="C1262" s="121"/>
      <c r="D1262" s="121"/>
      <c r="E1262" s="133"/>
      <c r="F1262" s="133"/>
      <c r="G1262" s="121"/>
      <c r="H1262" s="121"/>
    </row>
    <row r="1263" hidden="1">
      <c r="A1263" s="121"/>
      <c r="B1263" s="121"/>
      <c r="C1263" s="121"/>
      <c r="D1263" s="121"/>
      <c r="E1263" s="133"/>
      <c r="F1263" s="133"/>
      <c r="G1263" s="121"/>
      <c r="H1263" s="121"/>
    </row>
    <row r="1264" hidden="1">
      <c r="A1264" s="121"/>
      <c r="B1264" s="121"/>
      <c r="C1264" s="121"/>
      <c r="D1264" s="121"/>
      <c r="E1264" s="133"/>
      <c r="F1264" s="133"/>
      <c r="G1264" s="121"/>
      <c r="H1264" s="121"/>
    </row>
    <row r="1265" hidden="1">
      <c r="A1265" s="121"/>
      <c r="B1265" s="121"/>
      <c r="C1265" s="121"/>
      <c r="D1265" s="121"/>
      <c r="E1265" s="133"/>
      <c r="F1265" s="133"/>
      <c r="G1265" s="121"/>
      <c r="H1265" s="121"/>
    </row>
    <row r="1266" hidden="1">
      <c r="A1266" s="121"/>
      <c r="B1266" s="121"/>
      <c r="C1266" s="121"/>
      <c r="D1266" s="121"/>
      <c r="E1266" s="133"/>
      <c r="F1266" s="133"/>
      <c r="G1266" s="121"/>
      <c r="H1266" s="121"/>
    </row>
    <row r="1267" hidden="1">
      <c r="A1267" s="121"/>
      <c r="B1267" s="121"/>
      <c r="C1267" s="121"/>
      <c r="D1267" s="121"/>
      <c r="E1267" s="133"/>
      <c r="F1267" s="133"/>
      <c r="G1267" s="121"/>
      <c r="H1267" s="121"/>
    </row>
    <row r="1268" hidden="1">
      <c r="A1268" s="121"/>
      <c r="B1268" s="121"/>
      <c r="C1268" s="121"/>
      <c r="D1268" s="121"/>
      <c r="E1268" s="133"/>
      <c r="F1268" s="133"/>
      <c r="G1268" s="121"/>
      <c r="H1268" s="121"/>
    </row>
    <row r="1269" hidden="1">
      <c r="A1269" s="121"/>
      <c r="B1269" s="121"/>
      <c r="C1269" s="121"/>
      <c r="D1269" s="121"/>
      <c r="E1269" s="133"/>
      <c r="F1269" s="133"/>
      <c r="G1269" s="121"/>
      <c r="H1269" s="121"/>
    </row>
    <row r="1270" hidden="1">
      <c r="A1270" s="121"/>
      <c r="B1270" s="121"/>
      <c r="C1270" s="121"/>
      <c r="D1270" s="121"/>
      <c r="E1270" s="133"/>
      <c r="F1270" s="133"/>
      <c r="G1270" s="121"/>
      <c r="H1270" s="121"/>
    </row>
    <row r="1271" hidden="1">
      <c r="A1271" s="121"/>
      <c r="B1271" s="121"/>
      <c r="C1271" s="121"/>
      <c r="D1271" s="121"/>
      <c r="E1271" s="133"/>
      <c r="F1271" s="133"/>
      <c r="G1271" s="121"/>
      <c r="H1271" s="121"/>
    </row>
    <row r="1272" hidden="1">
      <c r="A1272" s="121"/>
      <c r="B1272" s="121"/>
      <c r="C1272" s="121"/>
      <c r="D1272" s="121"/>
      <c r="E1272" s="133"/>
      <c r="F1272" s="133"/>
      <c r="G1272" s="121"/>
      <c r="H1272" s="121"/>
    </row>
    <row r="1273" hidden="1">
      <c r="A1273" s="121"/>
      <c r="B1273" s="121"/>
      <c r="C1273" s="121"/>
      <c r="D1273" s="121"/>
      <c r="E1273" s="133"/>
      <c r="F1273" s="133"/>
      <c r="G1273" s="121"/>
      <c r="H1273" s="121"/>
    </row>
    <row r="1274" hidden="1">
      <c r="A1274" s="121"/>
      <c r="B1274" s="121"/>
      <c r="C1274" s="121"/>
      <c r="D1274" s="121"/>
      <c r="E1274" s="133"/>
      <c r="F1274" s="133"/>
      <c r="G1274" s="121"/>
      <c r="H1274" s="121"/>
    </row>
    <row r="1275" hidden="1">
      <c r="A1275" s="121"/>
      <c r="B1275" s="121"/>
      <c r="C1275" s="121"/>
      <c r="D1275" s="121"/>
      <c r="E1275" s="133"/>
      <c r="F1275" s="133"/>
      <c r="G1275" s="121"/>
      <c r="H1275" s="121"/>
    </row>
    <row r="1276" hidden="1">
      <c r="A1276" s="121"/>
      <c r="B1276" s="121"/>
      <c r="C1276" s="121"/>
      <c r="D1276" s="121"/>
      <c r="E1276" s="133"/>
      <c r="F1276" s="133"/>
      <c r="G1276" s="121"/>
      <c r="H1276" s="121"/>
    </row>
    <row r="1277" hidden="1">
      <c r="A1277" s="121"/>
      <c r="B1277" s="121"/>
      <c r="C1277" s="121"/>
      <c r="D1277" s="121"/>
      <c r="E1277" s="133"/>
      <c r="F1277" s="133"/>
      <c r="G1277" s="121"/>
      <c r="H1277" s="121"/>
    </row>
    <row r="1278" hidden="1">
      <c r="A1278" s="121"/>
      <c r="B1278" s="121"/>
      <c r="C1278" s="121"/>
      <c r="D1278" s="121"/>
      <c r="E1278" s="133"/>
      <c r="F1278" s="133"/>
      <c r="G1278" s="121"/>
      <c r="H1278" s="121"/>
    </row>
    <row r="1279" hidden="1">
      <c r="A1279" s="121"/>
      <c r="B1279" s="121"/>
      <c r="C1279" s="121"/>
      <c r="D1279" s="121"/>
      <c r="E1279" s="133"/>
      <c r="F1279" s="133"/>
      <c r="G1279" s="121"/>
      <c r="H1279" s="121"/>
    </row>
    <row r="1280" hidden="1">
      <c r="A1280" s="121"/>
      <c r="B1280" s="121"/>
      <c r="C1280" s="121"/>
      <c r="D1280" s="121"/>
      <c r="E1280" s="133"/>
      <c r="F1280" s="133"/>
      <c r="G1280" s="121"/>
      <c r="H1280" s="121"/>
    </row>
    <row r="1281" hidden="1">
      <c r="A1281" s="121"/>
      <c r="B1281" s="121"/>
      <c r="C1281" s="121"/>
      <c r="D1281" s="121"/>
      <c r="E1281" s="133"/>
      <c r="F1281" s="133"/>
      <c r="G1281" s="121"/>
      <c r="H1281" s="121"/>
    </row>
    <row r="1282" hidden="1">
      <c r="A1282" s="121"/>
      <c r="B1282" s="121"/>
      <c r="C1282" s="121"/>
      <c r="D1282" s="121"/>
      <c r="E1282" s="133"/>
      <c r="F1282" s="133"/>
      <c r="G1282" s="121"/>
      <c r="H1282" s="121"/>
    </row>
    <row r="1283" hidden="1">
      <c r="A1283" s="121"/>
      <c r="B1283" s="121"/>
      <c r="C1283" s="121"/>
      <c r="D1283" s="121"/>
      <c r="E1283" s="133"/>
      <c r="F1283" s="133"/>
      <c r="G1283" s="121"/>
      <c r="H1283" s="121"/>
    </row>
    <row r="1284" hidden="1">
      <c r="A1284" s="121"/>
      <c r="B1284" s="121"/>
      <c r="C1284" s="121"/>
      <c r="D1284" s="121"/>
      <c r="E1284" s="133"/>
      <c r="F1284" s="133"/>
      <c r="G1284" s="121"/>
      <c r="H1284" s="121"/>
    </row>
    <row r="1285" hidden="1">
      <c r="A1285" s="121"/>
      <c r="B1285" s="121"/>
      <c r="C1285" s="121"/>
      <c r="D1285" s="121"/>
      <c r="E1285" s="133"/>
      <c r="F1285" s="133"/>
      <c r="G1285" s="121"/>
      <c r="H1285" s="121"/>
    </row>
    <row r="1286" hidden="1">
      <c r="A1286" s="121"/>
      <c r="B1286" s="121"/>
      <c r="C1286" s="121"/>
      <c r="D1286" s="121"/>
      <c r="E1286" s="133"/>
      <c r="F1286" s="133"/>
      <c r="G1286" s="121"/>
      <c r="H1286" s="121"/>
    </row>
    <row r="1287" hidden="1">
      <c r="A1287" s="121"/>
      <c r="B1287" s="121"/>
      <c r="C1287" s="121"/>
      <c r="D1287" s="121"/>
      <c r="E1287" s="133"/>
      <c r="F1287" s="133"/>
      <c r="G1287" s="121"/>
      <c r="H1287" s="121"/>
    </row>
    <row r="1288" hidden="1">
      <c r="A1288" s="121"/>
      <c r="B1288" s="121"/>
      <c r="C1288" s="121"/>
      <c r="D1288" s="121"/>
      <c r="E1288" s="133"/>
      <c r="F1288" s="133"/>
      <c r="G1288" s="121"/>
      <c r="H1288" s="121"/>
    </row>
    <row r="1289" hidden="1">
      <c r="A1289" s="121"/>
      <c r="B1289" s="121"/>
      <c r="C1289" s="121"/>
      <c r="D1289" s="121"/>
      <c r="E1289" s="133"/>
      <c r="F1289" s="133"/>
      <c r="G1289" s="121"/>
      <c r="H1289" s="121"/>
    </row>
    <row r="1290" hidden="1">
      <c r="A1290" s="121"/>
      <c r="B1290" s="121"/>
      <c r="C1290" s="121"/>
      <c r="D1290" s="121"/>
      <c r="E1290" s="133"/>
      <c r="F1290" s="133"/>
      <c r="G1290" s="121"/>
      <c r="H1290" s="121"/>
    </row>
    <row r="1291" hidden="1">
      <c r="A1291" s="121"/>
      <c r="B1291" s="121"/>
      <c r="C1291" s="121"/>
      <c r="D1291" s="121"/>
      <c r="E1291" s="133"/>
      <c r="F1291" s="133"/>
      <c r="G1291" s="121"/>
      <c r="H1291" s="121"/>
    </row>
    <row r="1292" hidden="1">
      <c r="A1292" s="121"/>
      <c r="B1292" s="121"/>
      <c r="C1292" s="121"/>
      <c r="D1292" s="121"/>
      <c r="E1292" s="133"/>
      <c r="F1292" s="133"/>
      <c r="G1292" s="121"/>
      <c r="H1292" s="121"/>
    </row>
    <row r="1293" hidden="1">
      <c r="A1293" s="121"/>
      <c r="B1293" s="121"/>
      <c r="C1293" s="121"/>
      <c r="D1293" s="121"/>
      <c r="E1293" s="133"/>
      <c r="F1293" s="133"/>
      <c r="G1293" s="121"/>
      <c r="H1293" s="121"/>
    </row>
    <row r="1294" hidden="1">
      <c r="A1294" s="121"/>
      <c r="B1294" s="121"/>
      <c r="C1294" s="121"/>
      <c r="D1294" s="121"/>
      <c r="E1294" s="133"/>
      <c r="F1294" s="133"/>
      <c r="G1294" s="121"/>
      <c r="H1294" s="121"/>
    </row>
    <row r="1295" hidden="1">
      <c r="A1295" s="121"/>
      <c r="B1295" s="121"/>
      <c r="C1295" s="121"/>
      <c r="D1295" s="121"/>
      <c r="E1295" s="133"/>
      <c r="F1295" s="133"/>
      <c r="G1295" s="121"/>
      <c r="H1295" s="121"/>
    </row>
    <row r="1296" hidden="1">
      <c r="A1296" s="121"/>
      <c r="B1296" s="121"/>
      <c r="C1296" s="121"/>
      <c r="D1296" s="121"/>
      <c r="E1296" s="133"/>
      <c r="F1296" s="133"/>
      <c r="G1296" s="121"/>
      <c r="H1296" s="121"/>
    </row>
    <row r="1297" hidden="1">
      <c r="A1297" s="121"/>
      <c r="B1297" s="121"/>
      <c r="C1297" s="121"/>
      <c r="D1297" s="121"/>
      <c r="E1297" s="133"/>
      <c r="F1297" s="133"/>
      <c r="G1297" s="121"/>
      <c r="H1297" s="121"/>
    </row>
    <row r="1298" hidden="1">
      <c r="A1298" s="121"/>
      <c r="B1298" s="121"/>
      <c r="C1298" s="121"/>
      <c r="D1298" s="121"/>
      <c r="E1298" s="133"/>
      <c r="F1298" s="133"/>
      <c r="G1298" s="121"/>
      <c r="H1298" s="121"/>
    </row>
    <row r="1299" hidden="1">
      <c r="A1299" s="121"/>
      <c r="B1299" s="121"/>
      <c r="C1299" s="121"/>
      <c r="D1299" s="121"/>
      <c r="E1299" s="133"/>
      <c r="F1299" s="133"/>
      <c r="G1299" s="121"/>
      <c r="H1299" s="121"/>
    </row>
    <row r="1300" hidden="1">
      <c r="A1300" s="121"/>
      <c r="B1300" s="121"/>
      <c r="C1300" s="121"/>
      <c r="D1300" s="121"/>
      <c r="E1300" s="133"/>
      <c r="F1300" s="133"/>
      <c r="G1300" s="121"/>
      <c r="H1300" s="121"/>
    </row>
    <row r="1301" hidden="1">
      <c r="A1301" s="121"/>
      <c r="B1301" s="121"/>
      <c r="C1301" s="121"/>
      <c r="D1301" s="121"/>
      <c r="E1301" s="133"/>
      <c r="F1301" s="133"/>
      <c r="G1301" s="121"/>
      <c r="H1301" s="121"/>
    </row>
    <row r="1302" hidden="1">
      <c r="A1302" s="121"/>
      <c r="B1302" s="121"/>
      <c r="C1302" s="121"/>
      <c r="D1302" s="121"/>
      <c r="E1302" s="133"/>
      <c r="F1302" s="133"/>
      <c r="G1302" s="121"/>
      <c r="H1302" s="121"/>
    </row>
    <row r="1303" hidden="1">
      <c r="A1303" s="121"/>
      <c r="B1303" s="121"/>
      <c r="C1303" s="121"/>
      <c r="D1303" s="121"/>
      <c r="E1303" s="133"/>
      <c r="F1303" s="133"/>
      <c r="G1303" s="121"/>
      <c r="H1303" s="121"/>
    </row>
    <row r="1304" hidden="1">
      <c r="A1304" s="121"/>
      <c r="B1304" s="121"/>
      <c r="C1304" s="121"/>
      <c r="D1304" s="121"/>
      <c r="E1304" s="133"/>
      <c r="F1304" s="133"/>
      <c r="G1304" s="121"/>
      <c r="H1304" s="121"/>
    </row>
    <row r="1305" hidden="1">
      <c r="A1305" s="121"/>
      <c r="B1305" s="121"/>
      <c r="C1305" s="121"/>
      <c r="D1305" s="121"/>
      <c r="E1305" s="133"/>
      <c r="F1305" s="133"/>
      <c r="G1305" s="121"/>
      <c r="H1305" s="121"/>
    </row>
    <row r="1306" hidden="1">
      <c r="A1306" s="121"/>
      <c r="B1306" s="121"/>
      <c r="C1306" s="121"/>
      <c r="D1306" s="121"/>
      <c r="E1306" s="133"/>
      <c r="F1306" s="133"/>
      <c r="G1306" s="121"/>
      <c r="H1306" s="121"/>
    </row>
    <row r="1307" hidden="1">
      <c r="A1307" s="121"/>
      <c r="B1307" s="121"/>
      <c r="C1307" s="121"/>
      <c r="D1307" s="121"/>
      <c r="E1307" s="133"/>
      <c r="F1307" s="133"/>
      <c r="G1307" s="121"/>
      <c r="H1307" s="121"/>
    </row>
    <row r="1308" hidden="1">
      <c r="A1308" s="121"/>
      <c r="B1308" s="121"/>
      <c r="C1308" s="121"/>
      <c r="D1308" s="121"/>
      <c r="E1308" s="133"/>
      <c r="F1308" s="133"/>
      <c r="G1308" s="121"/>
      <c r="H1308" s="121"/>
    </row>
    <row r="1309" hidden="1">
      <c r="A1309" s="121"/>
      <c r="B1309" s="121"/>
      <c r="C1309" s="121"/>
      <c r="D1309" s="121"/>
      <c r="E1309" s="133"/>
      <c r="F1309" s="133"/>
      <c r="G1309" s="121"/>
      <c r="H1309" s="121"/>
    </row>
    <row r="1310" hidden="1">
      <c r="A1310" s="121"/>
      <c r="B1310" s="121"/>
      <c r="C1310" s="121"/>
      <c r="D1310" s="121"/>
      <c r="E1310" s="133"/>
      <c r="F1310" s="133"/>
      <c r="G1310" s="121"/>
      <c r="H1310" s="121"/>
    </row>
    <row r="1311" hidden="1">
      <c r="A1311" s="121"/>
      <c r="B1311" s="121"/>
      <c r="C1311" s="121"/>
      <c r="D1311" s="121"/>
      <c r="E1311" s="133"/>
      <c r="F1311" s="133"/>
      <c r="G1311" s="121"/>
      <c r="H1311" s="121"/>
    </row>
    <row r="1312" hidden="1">
      <c r="A1312" s="121"/>
      <c r="B1312" s="121"/>
      <c r="C1312" s="121"/>
      <c r="D1312" s="121"/>
      <c r="E1312" s="133"/>
      <c r="F1312" s="133"/>
      <c r="G1312" s="121"/>
      <c r="H1312" s="121"/>
    </row>
    <row r="1313" hidden="1">
      <c r="A1313" s="121"/>
      <c r="B1313" s="121"/>
      <c r="C1313" s="121"/>
      <c r="D1313" s="121"/>
      <c r="E1313" s="133"/>
      <c r="F1313" s="133"/>
      <c r="G1313" s="121"/>
      <c r="H1313" s="121"/>
    </row>
    <row r="1314" hidden="1">
      <c r="A1314" s="121"/>
      <c r="B1314" s="121"/>
      <c r="C1314" s="121"/>
      <c r="D1314" s="121"/>
      <c r="E1314" s="133"/>
      <c r="F1314" s="133"/>
      <c r="G1314" s="121"/>
      <c r="H1314" s="121"/>
    </row>
    <row r="1315" hidden="1">
      <c r="A1315" s="121"/>
      <c r="B1315" s="121"/>
      <c r="C1315" s="121"/>
      <c r="D1315" s="121"/>
      <c r="E1315" s="133"/>
      <c r="F1315" s="133"/>
      <c r="G1315" s="121"/>
      <c r="H1315" s="121"/>
    </row>
    <row r="1316" hidden="1">
      <c r="A1316" s="121"/>
      <c r="B1316" s="121"/>
      <c r="C1316" s="121"/>
      <c r="D1316" s="121"/>
      <c r="E1316" s="133"/>
      <c r="F1316" s="133"/>
      <c r="G1316" s="121"/>
      <c r="H1316" s="121"/>
    </row>
    <row r="1317" hidden="1">
      <c r="A1317" s="121"/>
      <c r="B1317" s="121"/>
      <c r="C1317" s="121"/>
      <c r="D1317" s="121"/>
      <c r="E1317" s="133"/>
      <c r="F1317" s="133"/>
      <c r="G1317" s="121"/>
      <c r="H1317" s="121"/>
    </row>
    <row r="1318" hidden="1">
      <c r="A1318" s="121"/>
      <c r="B1318" s="121"/>
      <c r="C1318" s="121"/>
      <c r="D1318" s="121"/>
      <c r="E1318" s="133"/>
      <c r="F1318" s="133"/>
      <c r="G1318" s="121"/>
      <c r="H1318" s="121"/>
    </row>
    <row r="1319" hidden="1">
      <c r="A1319" s="121"/>
      <c r="B1319" s="121"/>
      <c r="C1319" s="121"/>
      <c r="D1319" s="121"/>
      <c r="E1319" s="133"/>
      <c r="F1319" s="133"/>
      <c r="G1319" s="121"/>
      <c r="H1319" s="121"/>
    </row>
    <row r="1320" hidden="1">
      <c r="A1320" s="121"/>
      <c r="B1320" s="121"/>
      <c r="C1320" s="121"/>
      <c r="D1320" s="121"/>
      <c r="E1320" s="133"/>
      <c r="F1320" s="133"/>
      <c r="G1320" s="121"/>
      <c r="H1320" s="121"/>
    </row>
    <row r="1321" hidden="1">
      <c r="A1321" s="121"/>
      <c r="B1321" s="121"/>
      <c r="C1321" s="121"/>
      <c r="D1321" s="121"/>
      <c r="E1321" s="133"/>
      <c r="F1321" s="133"/>
      <c r="G1321" s="121"/>
      <c r="H1321" s="121"/>
    </row>
    <row r="1322" hidden="1">
      <c r="A1322" s="121"/>
      <c r="B1322" s="121"/>
      <c r="C1322" s="121"/>
      <c r="D1322" s="121"/>
      <c r="E1322" s="133"/>
      <c r="F1322" s="133"/>
      <c r="G1322" s="121"/>
      <c r="H1322" s="121"/>
    </row>
    <row r="1323" hidden="1">
      <c r="A1323" s="121"/>
      <c r="B1323" s="121"/>
      <c r="C1323" s="121"/>
      <c r="D1323" s="121"/>
      <c r="E1323" s="133"/>
      <c r="F1323" s="133"/>
      <c r="G1323" s="121"/>
      <c r="H1323" s="121"/>
    </row>
    <row r="1324" hidden="1">
      <c r="A1324" s="121"/>
      <c r="B1324" s="121"/>
      <c r="C1324" s="121"/>
      <c r="D1324" s="121"/>
      <c r="E1324" s="133"/>
      <c r="F1324" s="133"/>
      <c r="G1324" s="121"/>
      <c r="H1324" s="121"/>
    </row>
    <row r="1325" hidden="1">
      <c r="A1325" s="121"/>
      <c r="B1325" s="121"/>
      <c r="C1325" s="121"/>
      <c r="D1325" s="121"/>
      <c r="E1325" s="133"/>
      <c r="F1325" s="133"/>
      <c r="G1325" s="121"/>
      <c r="H1325" s="121"/>
    </row>
    <row r="1326" hidden="1">
      <c r="A1326" s="121"/>
      <c r="B1326" s="121"/>
      <c r="C1326" s="121"/>
      <c r="D1326" s="121"/>
      <c r="E1326" s="133"/>
      <c r="F1326" s="133"/>
      <c r="G1326" s="121"/>
      <c r="H1326" s="121"/>
    </row>
    <row r="1327" hidden="1">
      <c r="A1327" s="121"/>
      <c r="B1327" s="121"/>
      <c r="C1327" s="121"/>
      <c r="D1327" s="121"/>
      <c r="E1327" s="133"/>
      <c r="F1327" s="133"/>
      <c r="G1327" s="121"/>
      <c r="H1327" s="121"/>
    </row>
    <row r="1328" hidden="1">
      <c r="A1328" s="121"/>
      <c r="B1328" s="121"/>
      <c r="C1328" s="121"/>
      <c r="D1328" s="121"/>
      <c r="E1328" s="133"/>
      <c r="F1328" s="133"/>
      <c r="G1328" s="121"/>
      <c r="H1328" s="121"/>
    </row>
    <row r="1329" hidden="1">
      <c r="A1329" s="121"/>
      <c r="B1329" s="121"/>
      <c r="C1329" s="121"/>
      <c r="D1329" s="121"/>
      <c r="E1329" s="133"/>
      <c r="F1329" s="133"/>
      <c r="G1329" s="121"/>
      <c r="H1329" s="121"/>
    </row>
    <row r="1330" hidden="1">
      <c r="A1330" s="121"/>
      <c r="B1330" s="121"/>
      <c r="C1330" s="121"/>
      <c r="D1330" s="121"/>
      <c r="E1330" s="133"/>
      <c r="F1330" s="133"/>
      <c r="G1330" s="121"/>
      <c r="H1330" s="121"/>
    </row>
    <row r="1331" hidden="1">
      <c r="A1331" s="121"/>
      <c r="B1331" s="121"/>
      <c r="C1331" s="121"/>
      <c r="D1331" s="121"/>
      <c r="E1331" s="133"/>
      <c r="F1331" s="133"/>
      <c r="G1331" s="121"/>
      <c r="H1331" s="121"/>
    </row>
    <row r="1332" hidden="1">
      <c r="A1332" s="121"/>
      <c r="B1332" s="121"/>
      <c r="C1332" s="121"/>
      <c r="D1332" s="121"/>
      <c r="E1332" s="133"/>
      <c r="F1332" s="133"/>
      <c r="G1332" s="121"/>
      <c r="H1332" s="121"/>
    </row>
    <row r="1333" hidden="1">
      <c r="A1333" s="121"/>
      <c r="B1333" s="121"/>
      <c r="C1333" s="121"/>
      <c r="D1333" s="121"/>
      <c r="E1333" s="133"/>
      <c r="F1333" s="133"/>
      <c r="G1333" s="121"/>
      <c r="H1333" s="121"/>
    </row>
    <row r="1334" hidden="1">
      <c r="A1334" s="121"/>
      <c r="B1334" s="121"/>
      <c r="C1334" s="121"/>
      <c r="D1334" s="121"/>
      <c r="E1334" s="133"/>
      <c r="F1334" s="133"/>
      <c r="G1334" s="121"/>
      <c r="H1334" s="121"/>
    </row>
    <row r="1335" hidden="1">
      <c r="A1335" s="121"/>
      <c r="B1335" s="121"/>
      <c r="C1335" s="121"/>
      <c r="D1335" s="121"/>
      <c r="E1335" s="133"/>
      <c r="F1335" s="133"/>
      <c r="G1335" s="121"/>
      <c r="H1335" s="121"/>
    </row>
    <row r="1336" hidden="1">
      <c r="A1336" s="121"/>
      <c r="B1336" s="121"/>
      <c r="C1336" s="121"/>
      <c r="D1336" s="121"/>
      <c r="E1336" s="133"/>
      <c r="F1336" s="133"/>
      <c r="G1336" s="121"/>
      <c r="H1336" s="121"/>
    </row>
    <row r="1337" hidden="1">
      <c r="A1337" s="121"/>
      <c r="B1337" s="121"/>
      <c r="C1337" s="121"/>
      <c r="D1337" s="121"/>
      <c r="E1337" s="133"/>
      <c r="F1337" s="133"/>
      <c r="G1337" s="121"/>
      <c r="H1337" s="121"/>
    </row>
    <row r="1338" hidden="1">
      <c r="A1338" s="121"/>
      <c r="B1338" s="121"/>
      <c r="C1338" s="121"/>
      <c r="D1338" s="121"/>
      <c r="E1338" s="133"/>
      <c r="F1338" s="133"/>
      <c r="G1338" s="121"/>
      <c r="H1338" s="121"/>
    </row>
    <row r="1339" hidden="1">
      <c r="A1339" s="121"/>
      <c r="B1339" s="121"/>
      <c r="C1339" s="121"/>
      <c r="D1339" s="121"/>
      <c r="E1339" s="133"/>
      <c r="F1339" s="133"/>
      <c r="G1339" s="121"/>
      <c r="H1339" s="121"/>
    </row>
    <row r="1340" hidden="1">
      <c r="A1340" s="121"/>
      <c r="B1340" s="121"/>
      <c r="C1340" s="121"/>
      <c r="D1340" s="121"/>
      <c r="E1340" s="133"/>
      <c r="F1340" s="133"/>
      <c r="G1340" s="121"/>
      <c r="H1340" s="121"/>
    </row>
    <row r="1341" hidden="1">
      <c r="A1341" s="121"/>
      <c r="B1341" s="121"/>
      <c r="C1341" s="121"/>
      <c r="D1341" s="121"/>
      <c r="E1341" s="133"/>
      <c r="F1341" s="133"/>
      <c r="G1341" s="121"/>
      <c r="H1341" s="121"/>
    </row>
    <row r="1342" hidden="1">
      <c r="A1342" s="121"/>
      <c r="B1342" s="121"/>
      <c r="C1342" s="121"/>
      <c r="D1342" s="121"/>
      <c r="E1342" s="133"/>
      <c r="F1342" s="133"/>
      <c r="G1342" s="121"/>
      <c r="H1342" s="121"/>
    </row>
    <row r="1343" hidden="1">
      <c r="A1343" s="121"/>
      <c r="B1343" s="121"/>
      <c r="C1343" s="121"/>
      <c r="D1343" s="121"/>
      <c r="E1343" s="133"/>
      <c r="F1343" s="133"/>
      <c r="G1343" s="121"/>
      <c r="H1343" s="121"/>
    </row>
    <row r="1344" hidden="1">
      <c r="A1344" s="121"/>
      <c r="B1344" s="121"/>
      <c r="C1344" s="121"/>
      <c r="D1344" s="121"/>
      <c r="E1344" s="133"/>
      <c r="F1344" s="133"/>
      <c r="G1344" s="121"/>
      <c r="H1344" s="121"/>
    </row>
    <row r="1345" hidden="1">
      <c r="A1345" s="121"/>
      <c r="B1345" s="121"/>
      <c r="C1345" s="121"/>
      <c r="D1345" s="121"/>
      <c r="E1345" s="133"/>
      <c r="F1345" s="133"/>
      <c r="G1345" s="121"/>
      <c r="H1345" s="121"/>
    </row>
    <row r="1346" hidden="1">
      <c r="A1346" s="121"/>
      <c r="B1346" s="121"/>
      <c r="C1346" s="121"/>
      <c r="D1346" s="121"/>
      <c r="E1346" s="133"/>
      <c r="F1346" s="133"/>
      <c r="G1346" s="121"/>
      <c r="H1346" s="121"/>
    </row>
    <row r="1347" hidden="1">
      <c r="A1347" s="121"/>
      <c r="B1347" s="121"/>
      <c r="C1347" s="121"/>
      <c r="D1347" s="121"/>
      <c r="E1347" s="133"/>
      <c r="F1347" s="133"/>
      <c r="G1347" s="121"/>
      <c r="H1347" s="121"/>
    </row>
    <row r="1348" hidden="1">
      <c r="A1348" s="121"/>
      <c r="B1348" s="121"/>
      <c r="C1348" s="121"/>
      <c r="D1348" s="121"/>
      <c r="E1348" s="133"/>
      <c r="F1348" s="133"/>
      <c r="G1348" s="121"/>
      <c r="H1348" s="121"/>
    </row>
    <row r="1349" hidden="1">
      <c r="A1349" s="121"/>
      <c r="B1349" s="121"/>
      <c r="C1349" s="121"/>
      <c r="D1349" s="121"/>
      <c r="E1349" s="133"/>
      <c r="F1349" s="133"/>
      <c r="G1349" s="121"/>
      <c r="H1349" s="121"/>
    </row>
    <row r="1350" hidden="1">
      <c r="A1350" s="121"/>
      <c r="B1350" s="121"/>
      <c r="C1350" s="121"/>
      <c r="D1350" s="121"/>
      <c r="E1350" s="133"/>
      <c r="F1350" s="133"/>
      <c r="G1350" s="121"/>
      <c r="H1350" s="121"/>
    </row>
    <row r="1351" hidden="1">
      <c r="A1351" s="121"/>
      <c r="B1351" s="121"/>
      <c r="C1351" s="121"/>
      <c r="D1351" s="121"/>
      <c r="E1351" s="133"/>
      <c r="F1351" s="133"/>
      <c r="G1351" s="121"/>
      <c r="H1351" s="121"/>
    </row>
    <row r="1352" hidden="1">
      <c r="A1352" s="121"/>
      <c r="B1352" s="121"/>
      <c r="C1352" s="121"/>
      <c r="D1352" s="121"/>
      <c r="E1352" s="133"/>
      <c r="F1352" s="133"/>
      <c r="G1352" s="121"/>
      <c r="H1352" s="121"/>
    </row>
    <row r="1353" hidden="1">
      <c r="A1353" s="121"/>
      <c r="B1353" s="121"/>
      <c r="C1353" s="121"/>
      <c r="D1353" s="121"/>
      <c r="E1353" s="133"/>
      <c r="F1353" s="133"/>
      <c r="G1353" s="121"/>
      <c r="H1353" s="121"/>
    </row>
    <row r="1354" hidden="1">
      <c r="A1354" s="121"/>
      <c r="B1354" s="121"/>
      <c r="C1354" s="121"/>
      <c r="D1354" s="121"/>
      <c r="E1354" s="133"/>
      <c r="F1354" s="133"/>
      <c r="G1354" s="121"/>
      <c r="H1354" s="121"/>
    </row>
    <row r="1355" hidden="1">
      <c r="A1355" s="121"/>
      <c r="B1355" s="121"/>
      <c r="C1355" s="121"/>
      <c r="D1355" s="121"/>
      <c r="E1355" s="133"/>
      <c r="F1355" s="133"/>
      <c r="G1355" s="121"/>
      <c r="H1355" s="121"/>
    </row>
    <row r="1356" hidden="1">
      <c r="A1356" s="121"/>
      <c r="B1356" s="121"/>
      <c r="C1356" s="121"/>
      <c r="D1356" s="121"/>
      <c r="E1356" s="133"/>
      <c r="F1356" s="133"/>
      <c r="G1356" s="121"/>
      <c r="H1356" s="121"/>
    </row>
    <row r="1357" hidden="1">
      <c r="A1357" s="121"/>
      <c r="B1357" s="121"/>
      <c r="C1357" s="121"/>
      <c r="D1357" s="121"/>
      <c r="E1357" s="133"/>
      <c r="F1357" s="133"/>
      <c r="G1357" s="121"/>
      <c r="H1357" s="121"/>
    </row>
    <row r="1358" hidden="1">
      <c r="A1358" s="121"/>
      <c r="B1358" s="121"/>
      <c r="C1358" s="121"/>
      <c r="D1358" s="121"/>
      <c r="E1358" s="133"/>
      <c r="F1358" s="133"/>
      <c r="G1358" s="121"/>
      <c r="H1358" s="121"/>
    </row>
    <row r="1359" hidden="1">
      <c r="A1359" s="121"/>
      <c r="B1359" s="121"/>
      <c r="C1359" s="121"/>
      <c r="D1359" s="121"/>
      <c r="E1359" s="133"/>
      <c r="F1359" s="133"/>
      <c r="G1359" s="121"/>
      <c r="H1359" s="121"/>
    </row>
    <row r="1360" hidden="1">
      <c r="A1360" s="121"/>
      <c r="B1360" s="121"/>
      <c r="C1360" s="121"/>
      <c r="D1360" s="121"/>
      <c r="E1360" s="133"/>
      <c r="F1360" s="133"/>
      <c r="G1360" s="121"/>
      <c r="H1360" s="121"/>
    </row>
    <row r="1361" hidden="1">
      <c r="A1361" s="121"/>
      <c r="B1361" s="121"/>
      <c r="C1361" s="121"/>
      <c r="D1361" s="121"/>
      <c r="E1361" s="133"/>
      <c r="F1361" s="133"/>
      <c r="G1361" s="121"/>
      <c r="H1361" s="121"/>
    </row>
    <row r="1362" hidden="1">
      <c r="A1362" s="121"/>
      <c r="B1362" s="121"/>
      <c r="C1362" s="121"/>
      <c r="D1362" s="121"/>
      <c r="E1362" s="133"/>
      <c r="F1362" s="133"/>
      <c r="G1362" s="121"/>
      <c r="H1362" s="121"/>
    </row>
    <row r="1363" hidden="1">
      <c r="A1363" s="121"/>
      <c r="B1363" s="121"/>
      <c r="C1363" s="121"/>
      <c r="D1363" s="121"/>
      <c r="E1363" s="133"/>
      <c r="F1363" s="133"/>
      <c r="G1363" s="121"/>
      <c r="H1363" s="121"/>
    </row>
    <row r="1364" hidden="1">
      <c r="A1364" s="121"/>
      <c r="B1364" s="121"/>
      <c r="C1364" s="121"/>
      <c r="D1364" s="121"/>
      <c r="E1364" s="133"/>
      <c r="F1364" s="133"/>
      <c r="G1364" s="121"/>
      <c r="H1364" s="121"/>
    </row>
    <row r="1365" hidden="1">
      <c r="A1365" s="121"/>
      <c r="B1365" s="121"/>
      <c r="C1365" s="121"/>
      <c r="D1365" s="121"/>
      <c r="E1365" s="133"/>
      <c r="F1365" s="133"/>
      <c r="G1365" s="121"/>
      <c r="H1365" s="121"/>
    </row>
    <row r="1366" hidden="1">
      <c r="A1366" s="121"/>
      <c r="B1366" s="121"/>
      <c r="C1366" s="121"/>
      <c r="D1366" s="121"/>
      <c r="E1366" s="133"/>
      <c r="F1366" s="133"/>
      <c r="G1366" s="121"/>
      <c r="H1366" s="121"/>
    </row>
    <row r="1367" hidden="1">
      <c r="A1367" s="121"/>
      <c r="B1367" s="121"/>
      <c r="C1367" s="121"/>
      <c r="D1367" s="121"/>
      <c r="E1367" s="133"/>
      <c r="F1367" s="133"/>
      <c r="G1367" s="121"/>
      <c r="H1367" s="121"/>
    </row>
    <row r="1368" hidden="1">
      <c r="A1368" s="121"/>
      <c r="B1368" s="121"/>
      <c r="C1368" s="121"/>
      <c r="D1368" s="121"/>
      <c r="E1368" s="133"/>
      <c r="F1368" s="133"/>
      <c r="G1368" s="121"/>
      <c r="H1368" s="121"/>
    </row>
    <row r="1369" hidden="1">
      <c r="A1369" s="121"/>
      <c r="B1369" s="121"/>
      <c r="C1369" s="121"/>
      <c r="D1369" s="121"/>
      <c r="E1369" s="133"/>
      <c r="F1369" s="133"/>
      <c r="G1369" s="121"/>
      <c r="H1369" s="121"/>
    </row>
    <row r="1370" hidden="1">
      <c r="A1370" s="121"/>
      <c r="B1370" s="121"/>
      <c r="C1370" s="121"/>
      <c r="D1370" s="121"/>
      <c r="E1370" s="133"/>
      <c r="F1370" s="133"/>
      <c r="G1370" s="121"/>
      <c r="H1370" s="121"/>
    </row>
    <row r="1371" hidden="1">
      <c r="A1371" s="121"/>
      <c r="B1371" s="121"/>
      <c r="C1371" s="121"/>
      <c r="D1371" s="121"/>
      <c r="E1371" s="133"/>
      <c r="F1371" s="133"/>
      <c r="G1371" s="121"/>
      <c r="H1371" s="121"/>
    </row>
    <row r="1372" hidden="1">
      <c r="A1372" s="121"/>
      <c r="B1372" s="121"/>
      <c r="C1372" s="121"/>
      <c r="D1372" s="121"/>
      <c r="E1372" s="133"/>
      <c r="F1372" s="133"/>
      <c r="G1372" s="121"/>
      <c r="H1372" s="121"/>
    </row>
    <row r="1373" hidden="1">
      <c r="A1373" s="121"/>
      <c r="B1373" s="121"/>
      <c r="C1373" s="121"/>
      <c r="D1373" s="121"/>
      <c r="E1373" s="133"/>
      <c r="F1373" s="133"/>
      <c r="G1373" s="121"/>
      <c r="H1373" s="121"/>
    </row>
    <row r="1374" hidden="1">
      <c r="A1374" s="121"/>
      <c r="B1374" s="121"/>
      <c r="C1374" s="121"/>
      <c r="D1374" s="121"/>
      <c r="E1374" s="133"/>
      <c r="F1374" s="133"/>
      <c r="G1374" s="121"/>
      <c r="H1374" s="121"/>
    </row>
    <row r="1375" hidden="1">
      <c r="A1375" s="121"/>
      <c r="B1375" s="121"/>
      <c r="C1375" s="121"/>
      <c r="D1375" s="121"/>
      <c r="E1375" s="133"/>
      <c r="F1375" s="133"/>
      <c r="G1375" s="121"/>
      <c r="H1375" s="121"/>
    </row>
    <row r="1376" hidden="1">
      <c r="A1376" s="121"/>
      <c r="B1376" s="121"/>
      <c r="C1376" s="121"/>
      <c r="D1376" s="121"/>
      <c r="E1376" s="133"/>
      <c r="F1376" s="133"/>
      <c r="G1376" s="121"/>
      <c r="H1376" s="121"/>
    </row>
    <row r="1377" hidden="1">
      <c r="A1377" s="121"/>
      <c r="B1377" s="121"/>
      <c r="C1377" s="121"/>
      <c r="D1377" s="121"/>
      <c r="E1377" s="133"/>
      <c r="F1377" s="133"/>
      <c r="G1377" s="121"/>
      <c r="H1377" s="121"/>
    </row>
    <row r="1378" hidden="1">
      <c r="A1378" s="121"/>
      <c r="B1378" s="121"/>
      <c r="C1378" s="121"/>
      <c r="D1378" s="121"/>
      <c r="E1378" s="133"/>
      <c r="F1378" s="133"/>
      <c r="G1378" s="121"/>
      <c r="H1378" s="121"/>
    </row>
    <row r="1379" hidden="1">
      <c r="A1379" s="121"/>
      <c r="B1379" s="121"/>
      <c r="C1379" s="121"/>
      <c r="D1379" s="121"/>
      <c r="E1379" s="133"/>
      <c r="F1379" s="133"/>
      <c r="G1379" s="121"/>
      <c r="H1379" s="121"/>
    </row>
    <row r="1380" hidden="1">
      <c r="A1380" s="121"/>
      <c r="B1380" s="121"/>
      <c r="C1380" s="121"/>
      <c r="D1380" s="121"/>
      <c r="E1380" s="133"/>
      <c r="F1380" s="133"/>
      <c r="G1380" s="121"/>
      <c r="H1380" s="121"/>
    </row>
    <row r="1381" hidden="1">
      <c r="A1381" s="121"/>
      <c r="B1381" s="121"/>
      <c r="C1381" s="121"/>
      <c r="D1381" s="121"/>
      <c r="E1381" s="133"/>
      <c r="F1381" s="133"/>
      <c r="G1381" s="121"/>
      <c r="H1381" s="121"/>
    </row>
    <row r="1382" hidden="1">
      <c r="A1382" s="121"/>
      <c r="B1382" s="121"/>
      <c r="C1382" s="121"/>
      <c r="D1382" s="121"/>
      <c r="E1382" s="133"/>
      <c r="F1382" s="133"/>
      <c r="G1382" s="121"/>
      <c r="H1382" s="121"/>
    </row>
    <row r="1383" hidden="1">
      <c r="A1383" s="121"/>
      <c r="B1383" s="121"/>
      <c r="C1383" s="121"/>
      <c r="D1383" s="121"/>
      <c r="E1383" s="133"/>
      <c r="F1383" s="133"/>
      <c r="G1383" s="121"/>
      <c r="H1383" s="121"/>
    </row>
    <row r="1384" hidden="1">
      <c r="A1384" s="121"/>
      <c r="B1384" s="121"/>
      <c r="C1384" s="121"/>
      <c r="D1384" s="121"/>
      <c r="E1384" s="133"/>
      <c r="F1384" s="133"/>
      <c r="G1384" s="121"/>
      <c r="H1384" s="121"/>
    </row>
    <row r="1385" hidden="1">
      <c r="A1385" s="121"/>
      <c r="B1385" s="121"/>
      <c r="C1385" s="121"/>
      <c r="D1385" s="121"/>
      <c r="E1385" s="133"/>
      <c r="F1385" s="133"/>
      <c r="G1385" s="121"/>
      <c r="H1385" s="121"/>
    </row>
    <row r="1386" hidden="1">
      <c r="A1386" s="121"/>
      <c r="B1386" s="121"/>
      <c r="C1386" s="121"/>
      <c r="D1386" s="121"/>
      <c r="E1386" s="133"/>
      <c r="F1386" s="133"/>
      <c r="G1386" s="121"/>
      <c r="H1386" s="121"/>
    </row>
    <row r="1387" hidden="1">
      <c r="A1387" s="121"/>
      <c r="B1387" s="121"/>
      <c r="C1387" s="121"/>
      <c r="D1387" s="121"/>
      <c r="E1387" s="133"/>
      <c r="F1387" s="133"/>
      <c r="G1387" s="121"/>
      <c r="H1387" s="121"/>
    </row>
    <row r="1388" hidden="1">
      <c r="A1388" s="121"/>
      <c r="B1388" s="121"/>
      <c r="C1388" s="121"/>
      <c r="D1388" s="121"/>
      <c r="E1388" s="133"/>
      <c r="F1388" s="133"/>
      <c r="G1388" s="121"/>
      <c r="H1388" s="121"/>
    </row>
    <row r="1389" hidden="1">
      <c r="A1389" s="121"/>
      <c r="B1389" s="121"/>
      <c r="C1389" s="121"/>
      <c r="D1389" s="121"/>
      <c r="E1389" s="133"/>
      <c r="F1389" s="133"/>
      <c r="G1389" s="121"/>
      <c r="H1389" s="121"/>
    </row>
    <row r="1390" hidden="1">
      <c r="A1390" s="121"/>
      <c r="B1390" s="121"/>
      <c r="C1390" s="121"/>
      <c r="D1390" s="121"/>
      <c r="E1390" s="133"/>
      <c r="F1390" s="133"/>
      <c r="G1390" s="121"/>
      <c r="H1390" s="121"/>
    </row>
    <row r="1391" hidden="1">
      <c r="A1391" s="121"/>
      <c r="B1391" s="121"/>
      <c r="C1391" s="121"/>
      <c r="D1391" s="121"/>
      <c r="E1391" s="133"/>
      <c r="F1391" s="133"/>
      <c r="G1391" s="121"/>
      <c r="H1391" s="121"/>
    </row>
    <row r="1392" hidden="1">
      <c r="A1392" s="121"/>
      <c r="B1392" s="121"/>
      <c r="C1392" s="121"/>
      <c r="D1392" s="121"/>
      <c r="E1392" s="133"/>
      <c r="F1392" s="133"/>
      <c r="G1392" s="121"/>
      <c r="H1392" s="121"/>
    </row>
    <row r="1393" hidden="1">
      <c r="A1393" s="121"/>
      <c r="B1393" s="121"/>
      <c r="C1393" s="121"/>
      <c r="D1393" s="121"/>
      <c r="E1393" s="133"/>
      <c r="F1393" s="133"/>
      <c r="G1393" s="121"/>
      <c r="H1393" s="121"/>
    </row>
    <row r="1394" hidden="1">
      <c r="A1394" s="121"/>
      <c r="B1394" s="121"/>
      <c r="C1394" s="121"/>
      <c r="D1394" s="121"/>
      <c r="E1394" s="133"/>
      <c r="F1394" s="133"/>
      <c r="G1394" s="121"/>
      <c r="H1394" s="121"/>
    </row>
    <row r="1395" hidden="1">
      <c r="A1395" s="121"/>
      <c r="B1395" s="121"/>
      <c r="C1395" s="121"/>
      <c r="D1395" s="121"/>
      <c r="E1395" s="133"/>
      <c r="F1395" s="133"/>
      <c r="G1395" s="121"/>
      <c r="H1395" s="121"/>
    </row>
    <row r="1396" hidden="1">
      <c r="A1396" s="121"/>
      <c r="B1396" s="121"/>
      <c r="C1396" s="121"/>
      <c r="D1396" s="121"/>
      <c r="E1396" s="133"/>
      <c r="F1396" s="133"/>
      <c r="G1396" s="121"/>
      <c r="H1396" s="121"/>
    </row>
    <row r="1397" hidden="1">
      <c r="A1397" s="121"/>
      <c r="B1397" s="121"/>
      <c r="C1397" s="121"/>
      <c r="D1397" s="121"/>
      <c r="E1397" s="133"/>
      <c r="F1397" s="133"/>
      <c r="G1397" s="121"/>
      <c r="H1397" s="121"/>
    </row>
    <row r="1398" hidden="1">
      <c r="A1398" s="121"/>
      <c r="B1398" s="121"/>
      <c r="C1398" s="121"/>
      <c r="D1398" s="121"/>
      <c r="E1398" s="133"/>
      <c r="F1398" s="133"/>
      <c r="G1398" s="121"/>
      <c r="H1398" s="121"/>
    </row>
    <row r="1399" hidden="1">
      <c r="A1399" s="121"/>
      <c r="B1399" s="121"/>
      <c r="C1399" s="121"/>
      <c r="D1399" s="121"/>
      <c r="E1399" s="133"/>
      <c r="F1399" s="133"/>
      <c r="G1399" s="121"/>
      <c r="H1399" s="121"/>
    </row>
    <row r="1400" hidden="1">
      <c r="A1400" s="121"/>
      <c r="B1400" s="121"/>
      <c r="C1400" s="121"/>
      <c r="D1400" s="121"/>
      <c r="E1400" s="133"/>
      <c r="F1400" s="133"/>
      <c r="G1400" s="121"/>
      <c r="H1400" s="121"/>
    </row>
    <row r="1401" hidden="1">
      <c r="A1401" s="121"/>
      <c r="B1401" s="121"/>
      <c r="C1401" s="121"/>
      <c r="D1401" s="121"/>
      <c r="E1401" s="133"/>
      <c r="F1401" s="133"/>
      <c r="G1401" s="121"/>
      <c r="H1401" s="121"/>
    </row>
    <row r="1402" hidden="1">
      <c r="A1402" s="121"/>
      <c r="B1402" s="121"/>
      <c r="C1402" s="121"/>
      <c r="D1402" s="121"/>
      <c r="E1402" s="133"/>
      <c r="F1402" s="133"/>
      <c r="G1402" s="121"/>
      <c r="H1402" s="121"/>
    </row>
    <row r="1403" hidden="1">
      <c r="A1403" s="121"/>
      <c r="B1403" s="121"/>
      <c r="C1403" s="121"/>
      <c r="D1403" s="121"/>
      <c r="E1403" s="133"/>
      <c r="F1403" s="133"/>
      <c r="G1403" s="121"/>
      <c r="H1403" s="121"/>
    </row>
    <row r="1404" hidden="1">
      <c r="A1404" s="121"/>
      <c r="B1404" s="121"/>
      <c r="C1404" s="121"/>
      <c r="D1404" s="121"/>
      <c r="E1404" s="133"/>
      <c r="F1404" s="133"/>
      <c r="G1404" s="121"/>
      <c r="H1404" s="121"/>
    </row>
    <row r="1405" hidden="1">
      <c r="A1405" s="121"/>
      <c r="B1405" s="121"/>
      <c r="C1405" s="121"/>
      <c r="D1405" s="121"/>
      <c r="E1405" s="133"/>
      <c r="F1405" s="133"/>
      <c r="G1405" s="121"/>
      <c r="H1405" s="121"/>
    </row>
    <row r="1406" hidden="1">
      <c r="A1406" s="121"/>
      <c r="B1406" s="121"/>
      <c r="C1406" s="121"/>
      <c r="D1406" s="121"/>
      <c r="E1406" s="133"/>
      <c r="F1406" s="133"/>
      <c r="G1406" s="121"/>
      <c r="H1406" s="121"/>
    </row>
    <row r="1407" hidden="1">
      <c r="A1407" s="121"/>
      <c r="B1407" s="121"/>
      <c r="C1407" s="121"/>
      <c r="D1407" s="121"/>
      <c r="E1407" s="133"/>
      <c r="F1407" s="133"/>
      <c r="G1407" s="121"/>
      <c r="H1407" s="121"/>
    </row>
    <row r="1408" hidden="1">
      <c r="A1408" s="121"/>
      <c r="B1408" s="121"/>
      <c r="C1408" s="121"/>
      <c r="D1408" s="121"/>
      <c r="E1408" s="133"/>
      <c r="F1408" s="133"/>
      <c r="G1408" s="121"/>
      <c r="H1408" s="121"/>
    </row>
    <row r="1409" hidden="1">
      <c r="A1409" s="121"/>
      <c r="B1409" s="121"/>
      <c r="C1409" s="121"/>
      <c r="D1409" s="121"/>
      <c r="E1409" s="133"/>
      <c r="F1409" s="133"/>
      <c r="G1409" s="121"/>
      <c r="H1409" s="121"/>
    </row>
    <row r="1410" hidden="1">
      <c r="A1410" s="121"/>
      <c r="B1410" s="121"/>
      <c r="C1410" s="121"/>
      <c r="D1410" s="121"/>
      <c r="E1410" s="133"/>
      <c r="F1410" s="133"/>
      <c r="G1410" s="121"/>
      <c r="H1410" s="121"/>
    </row>
    <row r="1411" hidden="1">
      <c r="A1411" s="121"/>
      <c r="B1411" s="121"/>
      <c r="C1411" s="121"/>
      <c r="D1411" s="121"/>
      <c r="E1411" s="133"/>
      <c r="F1411" s="133"/>
      <c r="G1411" s="121"/>
      <c r="H1411" s="121"/>
    </row>
    <row r="1412" hidden="1">
      <c r="A1412" s="121"/>
      <c r="B1412" s="121"/>
      <c r="C1412" s="121"/>
      <c r="D1412" s="121"/>
      <c r="E1412" s="133"/>
      <c r="F1412" s="133"/>
      <c r="G1412" s="121"/>
      <c r="H1412" s="121"/>
    </row>
    <row r="1413" hidden="1">
      <c r="A1413" s="121"/>
      <c r="B1413" s="121"/>
      <c r="C1413" s="121"/>
      <c r="D1413" s="121"/>
      <c r="E1413" s="133"/>
      <c r="F1413" s="133"/>
      <c r="G1413" s="121"/>
      <c r="H1413" s="121"/>
    </row>
    <row r="1414" hidden="1">
      <c r="A1414" s="121"/>
      <c r="B1414" s="121"/>
      <c r="C1414" s="121"/>
      <c r="D1414" s="121"/>
      <c r="E1414" s="133"/>
      <c r="F1414" s="133"/>
      <c r="G1414" s="121"/>
      <c r="H1414" s="121"/>
    </row>
    <row r="1415" hidden="1">
      <c r="A1415" s="121"/>
      <c r="B1415" s="121"/>
      <c r="C1415" s="121"/>
      <c r="D1415" s="121"/>
      <c r="E1415" s="133"/>
      <c r="F1415" s="133"/>
      <c r="G1415" s="121"/>
      <c r="H1415" s="121"/>
    </row>
    <row r="1416" hidden="1">
      <c r="A1416" s="121"/>
      <c r="B1416" s="121"/>
      <c r="C1416" s="121"/>
      <c r="D1416" s="121"/>
      <c r="E1416" s="133"/>
      <c r="F1416" s="133"/>
      <c r="G1416" s="121"/>
      <c r="H1416" s="121"/>
    </row>
    <row r="1417" hidden="1">
      <c r="A1417" s="121"/>
      <c r="B1417" s="121"/>
      <c r="C1417" s="121"/>
      <c r="D1417" s="121"/>
      <c r="E1417" s="133"/>
      <c r="F1417" s="133"/>
      <c r="G1417" s="121"/>
      <c r="H1417" s="121"/>
    </row>
    <row r="1418" hidden="1">
      <c r="A1418" s="121"/>
      <c r="B1418" s="121"/>
      <c r="C1418" s="121"/>
      <c r="D1418" s="121"/>
      <c r="E1418" s="133"/>
      <c r="F1418" s="133"/>
      <c r="G1418" s="121"/>
      <c r="H1418" s="121"/>
    </row>
    <row r="1419" hidden="1">
      <c r="A1419" s="121"/>
      <c r="B1419" s="121"/>
      <c r="C1419" s="121"/>
      <c r="D1419" s="121"/>
      <c r="E1419" s="133"/>
      <c r="F1419" s="133"/>
      <c r="G1419" s="121"/>
      <c r="H1419" s="121"/>
    </row>
    <row r="1420" hidden="1">
      <c r="A1420" s="121"/>
      <c r="B1420" s="121"/>
      <c r="C1420" s="121"/>
      <c r="D1420" s="121"/>
      <c r="E1420" s="133"/>
      <c r="F1420" s="133"/>
      <c r="G1420" s="121"/>
      <c r="H1420" s="121"/>
    </row>
    <row r="1421" hidden="1">
      <c r="A1421" s="121"/>
      <c r="B1421" s="121"/>
      <c r="C1421" s="121"/>
      <c r="D1421" s="121"/>
      <c r="E1421" s="133"/>
      <c r="F1421" s="133"/>
      <c r="G1421" s="121"/>
      <c r="H1421" s="121"/>
    </row>
    <row r="1422" hidden="1">
      <c r="A1422" s="121"/>
      <c r="B1422" s="121"/>
      <c r="C1422" s="121"/>
      <c r="D1422" s="121"/>
      <c r="E1422" s="133"/>
      <c r="F1422" s="133"/>
      <c r="G1422" s="121"/>
      <c r="H1422" s="121"/>
    </row>
    <row r="1423" hidden="1">
      <c r="A1423" s="121"/>
      <c r="B1423" s="121"/>
      <c r="C1423" s="121"/>
      <c r="D1423" s="121"/>
      <c r="E1423" s="133"/>
      <c r="F1423" s="133"/>
      <c r="G1423" s="121"/>
      <c r="H1423" s="121"/>
    </row>
    <row r="1424" hidden="1">
      <c r="A1424" s="121"/>
      <c r="B1424" s="121"/>
      <c r="C1424" s="121"/>
      <c r="D1424" s="121"/>
      <c r="E1424" s="133"/>
      <c r="F1424" s="133"/>
      <c r="G1424" s="121"/>
      <c r="H1424" s="121"/>
    </row>
    <row r="1425" hidden="1">
      <c r="A1425" s="121"/>
      <c r="B1425" s="121"/>
      <c r="C1425" s="121"/>
      <c r="D1425" s="121"/>
      <c r="E1425" s="133"/>
      <c r="F1425" s="133"/>
      <c r="G1425" s="121"/>
      <c r="H1425" s="121"/>
    </row>
    <row r="1426" hidden="1">
      <c r="A1426" s="121"/>
      <c r="B1426" s="121"/>
      <c r="C1426" s="121"/>
      <c r="D1426" s="121"/>
      <c r="E1426" s="133"/>
      <c r="F1426" s="133"/>
      <c r="G1426" s="121"/>
      <c r="H1426" s="121"/>
    </row>
    <row r="1427" hidden="1">
      <c r="A1427" s="121"/>
      <c r="B1427" s="121"/>
      <c r="C1427" s="121"/>
      <c r="D1427" s="121"/>
      <c r="E1427" s="133"/>
      <c r="F1427" s="133"/>
      <c r="G1427" s="121"/>
      <c r="H1427" s="121"/>
    </row>
    <row r="1428" hidden="1">
      <c r="A1428" s="121"/>
      <c r="B1428" s="121"/>
      <c r="C1428" s="121"/>
      <c r="D1428" s="121"/>
      <c r="E1428" s="133"/>
      <c r="F1428" s="133"/>
      <c r="G1428" s="121"/>
      <c r="H1428" s="121"/>
    </row>
    <row r="1429" hidden="1">
      <c r="A1429" s="121"/>
      <c r="B1429" s="121"/>
      <c r="C1429" s="121"/>
      <c r="D1429" s="121"/>
      <c r="E1429" s="133"/>
      <c r="F1429" s="133"/>
      <c r="G1429" s="121"/>
      <c r="H1429" s="121"/>
    </row>
    <row r="1430" hidden="1">
      <c r="A1430" s="121"/>
      <c r="B1430" s="121"/>
      <c r="C1430" s="121"/>
      <c r="D1430" s="121"/>
      <c r="E1430" s="133"/>
      <c r="F1430" s="133"/>
      <c r="G1430" s="121"/>
      <c r="H1430" s="121"/>
    </row>
    <row r="1431" hidden="1">
      <c r="A1431" s="121"/>
      <c r="B1431" s="121"/>
      <c r="C1431" s="121"/>
      <c r="D1431" s="121"/>
      <c r="E1431" s="133"/>
      <c r="F1431" s="133"/>
      <c r="G1431" s="121"/>
      <c r="H1431" s="121"/>
    </row>
    <row r="1432" hidden="1">
      <c r="A1432" s="121"/>
      <c r="B1432" s="121"/>
      <c r="C1432" s="121"/>
      <c r="D1432" s="121"/>
      <c r="E1432" s="133"/>
      <c r="F1432" s="133"/>
      <c r="G1432" s="121"/>
      <c r="H1432" s="121"/>
    </row>
    <row r="1433" hidden="1">
      <c r="A1433" s="121"/>
      <c r="B1433" s="121"/>
      <c r="C1433" s="121"/>
      <c r="D1433" s="121"/>
      <c r="E1433" s="133"/>
      <c r="F1433" s="133"/>
      <c r="G1433" s="121"/>
      <c r="H1433" s="121"/>
    </row>
    <row r="1434" hidden="1">
      <c r="A1434" s="121"/>
      <c r="B1434" s="121"/>
      <c r="C1434" s="121"/>
      <c r="D1434" s="121"/>
      <c r="E1434" s="133"/>
      <c r="F1434" s="133"/>
      <c r="G1434" s="121"/>
      <c r="H1434" s="121"/>
    </row>
    <row r="1435" hidden="1">
      <c r="A1435" s="121"/>
      <c r="B1435" s="121"/>
      <c r="C1435" s="121"/>
      <c r="D1435" s="121"/>
      <c r="E1435" s="133"/>
      <c r="F1435" s="133"/>
      <c r="G1435" s="121"/>
      <c r="H1435" s="121"/>
    </row>
    <row r="1436" hidden="1">
      <c r="A1436" s="121"/>
      <c r="B1436" s="121"/>
      <c r="C1436" s="121"/>
      <c r="D1436" s="121"/>
      <c r="E1436" s="133"/>
      <c r="F1436" s="133"/>
      <c r="G1436" s="121"/>
      <c r="H1436" s="121"/>
    </row>
    <row r="1437" hidden="1">
      <c r="A1437" s="121"/>
      <c r="B1437" s="121"/>
      <c r="C1437" s="121"/>
      <c r="D1437" s="121"/>
      <c r="E1437" s="133"/>
      <c r="F1437" s="133"/>
      <c r="G1437" s="121"/>
      <c r="H1437" s="121"/>
    </row>
    <row r="1438" hidden="1">
      <c r="A1438" s="121"/>
      <c r="B1438" s="121"/>
      <c r="C1438" s="121"/>
      <c r="D1438" s="121"/>
      <c r="E1438" s="133"/>
      <c r="F1438" s="133"/>
      <c r="G1438" s="121"/>
      <c r="H1438" s="121"/>
    </row>
    <row r="1439" hidden="1">
      <c r="A1439" s="121"/>
      <c r="B1439" s="121"/>
      <c r="C1439" s="121"/>
      <c r="D1439" s="121"/>
      <c r="E1439" s="133"/>
      <c r="F1439" s="133"/>
      <c r="G1439" s="121"/>
      <c r="H1439" s="121"/>
    </row>
    <row r="1440" hidden="1">
      <c r="A1440" s="121"/>
      <c r="B1440" s="121"/>
      <c r="C1440" s="121"/>
      <c r="D1440" s="121"/>
      <c r="E1440" s="133"/>
      <c r="F1440" s="133"/>
      <c r="G1440" s="121"/>
      <c r="H1440" s="121"/>
    </row>
    <row r="1441" hidden="1">
      <c r="A1441" s="121"/>
      <c r="B1441" s="121"/>
      <c r="C1441" s="121"/>
      <c r="D1441" s="121"/>
      <c r="E1441" s="133"/>
      <c r="F1441" s="133"/>
      <c r="G1441" s="121"/>
      <c r="H1441" s="121"/>
    </row>
    <row r="1442" hidden="1">
      <c r="A1442" s="121"/>
      <c r="B1442" s="121"/>
      <c r="C1442" s="121"/>
      <c r="D1442" s="121"/>
      <c r="E1442" s="133"/>
      <c r="F1442" s="133"/>
      <c r="G1442" s="121"/>
      <c r="H1442" s="121"/>
    </row>
    <row r="1443" hidden="1">
      <c r="A1443" s="121"/>
      <c r="B1443" s="121"/>
      <c r="C1443" s="121"/>
      <c r="D1443" s="121"/>
      <c r="E1443" s="133"/>
      <c r="F1443" s="133"/>
      <c r="G1443" s="121"/>
      <c r="H1443" s="121"/>
    </row>
    <row r="1444" hidden="1">
      <c r="A1444" s="121"/>
      <c r="B1444" s="121"/>
      <c r="C1444" s="121"/>
      <c r="D1444" s="121"/>
      <c r="E1444" s="133"/>
      <c r="F1444" s="133"/>
      <c r="G1444" s="121"/>
      <c r="H1444" s="121"/>
    </row>
    <row r="1445" hidden="1">
      <c r="A1445" s="121"/>
      <c r="B1445" s="121"/>
      <c r="C1445" s="121"/>
      <c r="D1445" s="121"/>
      <c r="E1445" s="133"/>
      <c r="F1445" s="133"/>
      <c r="G1445" s="121"/>
      <c r="H1445" s="121"/>
    </row>
    <row r="1446" hidden="1">
      <c r="A1446" s="121"/>
      <c r="B1446" s="121"/>
      <c r="C1446" s="121"/>
      <c r="D1446" s="121"/>
      <c r="E1446" s="133"/>
      <c r="F1446" s="133"/>
      <c r="G1446" s="121"/>
      <c r="H1446" s="121"/>
    </row>
    <row r="1447" hidden="1">
      <c r="A1447" s="121"/>
      <c r="B1447" s="121"/>
      <c r="C1447" s="121"/>
      <c r="D1447" s="121"/>
      <c r="E1447" s="133"/>
      <c r="F1447" s="133"/>
      <c r="G1447" s="121"/>
      <c r="H1447" s="121"/>
    </row>
    <row r="1448" hidden="1">
      <c r="A1448" s="121"/>
      <c r="B1448" s="121"/>
      <c r="C1448" s="121"/>
      <c r="D1448" s="121"/>
      <c r="E1448" s="133"/>
      <c r="F1448" s="133"/>
      <c r="G1448" s="121"/>
      <c r="H1448" s="121"/>
    </row>
    <row r="1449" hidden="1">
      <c r="A1449" s="121"/>
      <c r="B1449" s="121"/>
      <c r="C1449" s="121"/>
      <c r="D1449" s="121"/>
      <c r="E1449" s="133"/>
      <c r="F1449" s="133"/>
      <c r="G1449" s="121"/>
      <c r="H1449" s="121"/>
    </row>
    <row r="1450" hidden="1">
      <c r="A1450" s="121"/>
      <c r="B1450" s="121"/>
      <c r="C1450" s="121"/>
      <c r="D1450" s="121"/>
      <c r="E1450" s="133"/>
      <c r="F1450" s="133"/>
      <c r="G1450" s="121"/>
      <c r="H1450" s="121"/>
    </row>
    <row r="1451" hidden="1">
      <c r="A1451" s="121"/>
      <c r="B1451" s="121"/>
      <c r="C1451" s="121"/>
      <c r="D1451" s="121"/>
      <c r="E1451" s="133"/>
      <c r="F1451" s="133"/>
      <c r="G1451" s="121"/>
      <c r="H1451" s="121"/>
    </row>
    <row r="1452" hidden="1">
      <c r="A1452" s="121"/>
      <c r="B1452" s="121"/>
      <c r="C1452" s="121"/>
      <c r="D1452" s="121"/>
      <c r="E1452" s="133"/>
      <c r="F1452" s="133"/>
      <c r="G1452" s="121"/>
      <c r="H1452" s="121"/>
    </row>
    <row r="1453" hidden="1">
      <c r="A1453" s="121"/>
      <c r="B1453" s="121"/>
      <c r="C1453" s="121"/>
      <c r="D1453" s="121"/>
      <c r="E1453" s="133"/>
      <c r="F1453" s="133"/>
      <c r="G1453" s="121"/>
      <c r="H1453" s="121"/>
    </row>
    <row r="1454" hidden="1">
      <c r="A1454" s="121"/>
      <c r="B1454" s="121"/>
      <c r="C1454" s="121"/>
      <c r="D1454" s="121"/>
      <c r="E1454" s="133"/>
      <c r="F1454" s="133"/>
      <c r="G1454" s="121"/>
      <c r="H1454" s="121"/>
    </row>
    <row r="1455" hidden="1">
      <c r="A1455" s="121"/>
      <c r="B1455" s="121"/>
      <c r="C1455" s="121"/>
      <c r="D1455" s="121"/>
      <c r="E1455" s="133"/>
      <c r="F1455" s="133"/>
      <c r="G1455" s="121"/>
      <c r="H1455" s="121"/>
    </row>
    <row r="1456" hidden="1">
      <c r="A1456" s="121"/>
      <c r="B1456" s="121"/>
      <c r="C1456" s="121"/>
      <c r="D1456" s="121"/>
      <c r="E1456" s="133"/>
      <c r="F1456" s="133"/>
      <c r="G1456" s="121"/>
      <c r="H1456" s="121"/>
    </row>
    <row r="1457" hidden="1">
      <c r="A1457" s="121"/>
      <c r="B1457" s="121"/>
      <c r="C1457" s="121"/>
      <c r="D1457" s="121"/>
      <c r="E1457" s="133"/>
      <c r="F1457" s="133"/>
      <c r="G1457" s="121"/>
      <c r="H1457" s="121"/>
    </row>
    <row r="1458" hidden="1">
      <c r="A1458" s="121"/>
      <c r="B1458" s="121"/>
      <c r="C1458" s="121"/>
      <c r="D1458" s="121"/>
      <c r="E1458" s="133"/>
      <c r="F1458" s="133"/>
      <c r="G1458" s="121"/>
      <c r="H1458" s="121"/>
    </row>
    <row r="1459" hidden="1">
      <c r="A1459" s="121"/>
      <c r="B1459" s="121"/>
      <c r="C1459" s="121"/>
      <c r="D1459" s="121"/>
      <c r="E1459" s="133"/>
      <c r="F1459" s="133"/>
      <c r="G1459" s="121"/>
      <c r="H1459" s="121"/>
    </row>
    <row r="1460" hidden="1">
      <c r="A1460" s="121"/>
      <c r="B1460" s="121"/>
      <c r="C1460" s="121"/>
      <c r="D1460" s="121"/>
      <c r="E1460" s="133"/>
      <c r="F1460" s="133"/>
      <c r="G1460" s="121"/>
      <c r="H1460" s="121"/>
    </row>
    <row r="1461" hidden="1">
      <c r="A1461" s="121"/>
      <c r="B1461" s="121"/>
      <c r="C1461" s="121"/>
      <c r="D1461" s="121"/>
      <c r="E1461" s="133"/>
      <c r="F1461" s="133"/>
      <c r="G1461" s="121"/>
      <c r="H1461" s="121"/>
    </row>
    <row r="1462" hidden="1">
      <c r="A1462" s="121"/>
      <c r="B1462" s="121"/>
      <c r="C1462" s="121"/>
      <c r="D1462" s="121"/>
      <c r="E1462" s="133"/>
      <c r="F1462" s="133"/>
      <c r="G1462" s="121"/>
      <c r="H1462" s="121"/>
    </row>
    <row r="1463" hidden="1">
      <c r="A1463" s="121"/>
      <c r="B1463" s="121"/>
      <c r="C1463" s="121"/>
      <c r="D1463" s="121"/>
      <c r="E1463" s="133"/>
      <c r="F1463" s="133"/>
      <c r="G1463" s="121"/>
      <c r="H1463" s="121"/>
    </row>
    <row r="1464" hidden="1">
      <c r="A1464" s="121"/>
      <c r="B1464" s="121"/>
      <c r="C1464" s="121"/>
      <c r="D1464" s="121"/>
      <c r="E1464" s="133"/>
      <c r="F1464" s="133"/>
      <c r="G1464" s="121"/>
      <c r="H1464" s="121"/>
    </row>
    <row r="1465" hidden="1">
      <c r="A1465" s="121"/>
      <c r="B1465" s="121"/>
      <c r="C1465" s="121"/>
      <c r="D1465" s="121"/>
      <c r="E1465" s="133"/>
      <c r="F1465" s="133"/>
      <c r="G1465" s="121"/>
      <c r="H1465" s="121"/>
    </row>
    <row r="1466" hidden="1">
      <c r="A1466" s="121"/>
      <c r="B1466" s="121"/>
      <c r="C1466" s="121"/>
      <c r="D1466" s="121"/>
      <c r="E1466" s="133"/>
      <c r="F1466" s="133"/>
      <c r="G1466" s="121"/>
      <c r="H1466" s="121"/>
    </row>
    <row r="1467" hidden="1">
      <c r="A1467" s="121"/>
      <c r="B1467" s="121"/>
      <c r="C1467" s="121"/>
      <c r="D1467" s="121"/>
      <c r="E1467" s="133"/>
      <c r="F1467" s="133"/>
      <c r="G1467" s="121"/>
      <c r="H1467" s="121"/>
    </row>
    <row r="1468" hidden="1">
      <c r="A1468" s="121"/>
      <c r="B1468" s="121"/>
      <c r="C1468" s="121"/>
      <c r="D1468" s="121"/>
      <c r="E1468" s="133"/>
      <c r="F1468" s="133"/>
      <c r="G1468" s="121"/>
      <c r="H1468" s="121"/>
    </row>
    <row r="1469" hidden="1">
      <c r="A1469" s="121"/>
      <c r="B1469" s="121"/>
      <c r="C1469" s="121"/>
      <c r="D1469" s="121"/>
      <c r="E1469" s="133"/>
      <c r="F1469" s="133"/>
      <c r="G1469" s="121"/>
      <c r="H1469" s="121"/>
    </row>
    <row r="1470" hidden="1">
      <c r="A1470" s="121"/>
      <c r="B1470" s="121"/>
      <c r="C1470" s="121"/>
      <c r="D1470" s="121"/>
      <c r="E1470" s="133"/>
      <c r="F1470" s="133"/>
      <c r="G1470" s="121"/>
      <c r="H1470" s="121"/>
    </row>
    <row r="1471" hidden="1">
      <c r="A1471" s="121"/>
      <c r="B1471" s="121"/>
      <c r="C1471" s="121"/>
      <c r="D1471" s="121"/>
      <c r="E1471" s="133"/>
      <c r="F1471" s="133"/>
      <c r="G1471" s="121"/>
      <c r="H1471" s="121"/>
    </row>
    <row r="1472" hidden="1">
      <c r="A1472" s="121"/>
      <c r="B1472" s="121"/>
      <c r="C1472" s="121"/>
      <c r="D1472" s="121"/>
      <c r="E1472" s="133"/>
      <c r="F1472" s="133"/>
      <c r="G1472" s="121"/>
      <c r="H1472" s="121"/>
    </row>
    <row r="1473" hidden="1">
      <c r="A1473" s="121"/>
      <c r="B1473" s="121"/>
      <c r="C1473" s="121"/>
      <c r="D1473" s="121"/>
      <c r="E1473" s="133"/>
      <c r="F1473" s="133"/>
      <c r="G1473" s="121"/>
      <c r="H1473" s="121"/>
    </row>
    <row r="1474" hidden="1">
      <c r="A1474" s="121"/>
      <c r="B1474" s="121"/>
      <c r="C1474" s="121"/>
      <c r="D1474" s="121"/>
      <c r="E1474" s="133"/>
      <c r="F1474" s="133"/>
      <c r="G1474" s="121"/>
      <c r="H1474" s="121"/>
    </row>
    <row r="1475" hidden="1">
      <c r="A1475" s="121"/>
      <c r="B1475" s="121"/>
      <c r="C1475" s="121"/>
      <c r="D1475" s="121"/>
      <c r="E1475" s="133"/>
      <c r="F1475" s="133"/>
      <c r="G1475" s="121"/>
      <c r="H1475" s="121"/>
    </row>
    <row r="1476" hidden="1">
      <c r="A1476" s="121"/>
      <c r="B1476" s="121"/>
      <c r="C1476" s="121"/>
      <c r="D1476" s="121"/>
      <c r="E1476" s="133"/>
      <c r="F1476" s="133"/>
      <c r="G1476" s="121"/>
      <c r="H1476" s="121"/>
    </row>
    <row r="1477" hidden="1">
      <c r="A1477" s="121"/>
      <c r="B1477" s="121"/>
      <c r="C1477" s="121"/>
      <c r="D1477" s="121"/>
      <c r="E1477" s="133"/>
      <c r="F1477" s="133"/>
      <c r="G1477" s="121"/>
      <c r="H1477" s="121"/>
    </row>
    <row r="1478" hidden="1">
      <c r="A1478" s="121"/>
      <c r="B1478" s="121"/>
      <c r="C1478" s="121"/>
      <c r="D1478" s="121"/>
      <c r="E1478" s="133"/>
      <c r="F1478" s="133"/>
      <c r="G1478" s="121"/>
      <c r="H1478" s="121"/>
    </row>
    <row r="1479" hidden="1">
      <c r="A1479" s="121"/>
      <c r="B1479" s="121"/>
      <c r="C1479" s="121"/>
      <c r="D1479" s="121"/>
      <c r="E1479" s="133"/>
      <c r="F1479" s="133"/>
      <c r="G1479" s="121"/>
      <c r="H1479" s="121"/>
    </row>
    <row r="1480" hidden="1">
      <c r="A1480" s="121"/>
      <c r="B1480" s="121"/>
      <c r="C1480" s="121"/>
      <c r="D1480" s="121"/>
      <c r="E1480" s="133"/>
      <c r="F1480" s="133"/>
      <c r="G1480" s="121"/>
      <c r="H1480" s="121"/>
    </row>
    <row r="1481" hidden="1">
      <c r="A1481" s="121"/>
      <c r="B1481" s="121"/>
      <c r="C1481" s="121"/>
      <c r="D1481" s="121"/>
      <c r="E1481" s="133"/>
      <c r="F1481" s="133"/>
      <c r="G1481" s="121"/>
      <c r="H1481" s="121"/>
    </row>
    <row r="1482" hidden="1">
      <c r="A1482" s="121"/>
      <c r="B1482" s="121"/>
      <c r="C1482" s="121"/>
      <c r="D1482" s="121"/>
      <c r="E1482" s="133"/>
      <c r="F1482" s="133"/>
      <c r="G1482" s="121"/>
      <c r="H1482" s="121"/>
    </row>
    <row r="1483" hidden="1">
      <c r="A1483" s="121"/>
      <c r="B1483" s="121"/>
      <c r="C1483" s="121"/>
      <c r="D1483" s="121"/>
      <c r="E1483" s="133"/>
      <c r="F1483" s="133"/>
      <c r="G1483" s="121"/>
      <c r="H1483" s="121"/>
    </row>
    <row r="1484" hidden="1">
      <c r="A1484" s="121"/>
      <c r="B1484" s="121"/>
      <c r="C1484" s="121"/>
      <c r="D1484" s="121"/>
      <c r="E1484" s="133"/>
      <c r="F1484" s="133"/>
      <c r="G1484" s="121"/>
      <c r="H1484" s="121"/>
    </row>
    <row r="1485" hidden="1">
      <c r="A1485" s="121"/>
      <c r="B1485" s="121"/>
      <c r="C1485" s="121"/>
      <c r="D1485" s="121"/>
      <c r="E1485" s="133"/>
      <c r="F1485" s="133"/>
      <c r="G1485" s="121"/>
      <c r="H1485" s="121"/>
    </row>
    <row r="1486" hidden="1">
      <c r="A1486" s="121"/>
      <c r="B1486" s="121"/>
      <c r="C1486" s="121"/>
      <c r="D1486" s="121"/>
      <c r="E1486" s="133"/>
      <c r="F1486" s="133"/>
      <c r="G1486" s="121"/>
      <c r="H1486" s="121"/>
    </row>
    <row r="1487" hidden="1">
      <c r="A1487" s="121"/>
      <c r="B1487" s="121"/>
      <c r="C1487" s="121"/>
      <c r="D1487" s="121"/>
      <c r="E1487" s="133"/>
      <c r="F1487" s="133"/>
      <c r="G1487" s="121"/>
      <c r="H1487" s="121"/>
    </row>
    <row r="1488" hidden="1">
      <c r="A1488" s="121"/>
      <c r="B1488" s="121"/>
      <c r="C1488" s="121"/>
      <c r="D1488" s="121"/>
      <c r="E1488" s="133"/>
      <c r="F1488" s="133"/>
      <c r="G1488" s="121"/>
      <c r="H1488" s="121"/>
    </row>
    <row r="1489" hidden="1">
      <c r="A1489" s="121"/>
      <c r="B1489" s="121"/>
      <c r="C1489" s="121"/>
      <c r="D1489" s="121"/>
      <c r="E1489" s="133"/>
      <c r="F1489" s="133"/>
      <c r="G1489" s="121"/>
      <c r="H1489" s="121"/>
    </row>
    <row r="1490" hidden="1">
      <c r="A1490" s="121"/>
      <c r="B1490" s="121"/>
      <c r="C1490" s="121"/>
      <c r="D1490" s="121"/>
      <c r="E1490" s="133"/>
      <c r="F1490" s="133"/>
      <c r="G1490" s="121"/>
      <c r="H1490" s="121"/>
    </row>
    <row r="1491" hidden="1">
      <c r="A1491" s="121"/>
      <c r="B1491" s="121"/>
      <c r="C1491" s="121"/>
      <c r="D1491" s="121"/>
      <c r="E1491" s="133"/>
      <c r="F1491" s="133"/>
      <c r="G1491" s="121"/>
      <c r="H1491" s="121"/>
    </row>
    <row r="1492" hidden="1">
      <c r="A1492" s="121"/>
      <c r="B1492" s="121"/>
      <c r="C1492" s="121"/>
      <c r="D1492" s="121"/>
      <c r="E1492" s="133"/>
      <c r="F1492" s="133"/>
      <c r="G1492" s="121"/>
      <c r="H1492" s="121"/>
    </row>
    <row r="1493" hidden="1">
      <c r="A1493" s="121"/>
      <c r="B1493" s="121"/>
      <c r="C1493" s="121"/>
      <c r="D1493" s="121"/>
      <c r="E1493" s="133"/>
      <c r="F1493" s="133"/>
      <c r="G1493" s="121"/>
      <c r="H1493" s="121"/>
    </row>
    <row r="1494" hidden="1">
      <c r="A1494" s="121"/>
      <c r="B1494" s="121"/>
      <c r="C1494" s="121"/>
      <c r="D1494" s="121"/>
      <c r="E1494" s="133"/>
      <c r="F1494" s="133"/>
      <c r="G1494" s="121"/>
      <c r="H1494" s="121"/>
    </row>
    <row r="1495" hidden="1">
      <c r="A1495" s="121"/>
      <c r="B1495" s="121"/>
      <c r="C1495" s="121"/>
      <c r="D1495" s="121"/>
      <c r="E1495" s="133"/>
      <c r="F1495" s="133"/>
      <c r="G1495" s="121"/>
      <c r="H1495" s="121"/>
    </row>
    <row r="1496" hidden="1">
      <c r="A1496" s="121"/>
      <c r="B1496" s="121"/>
      <c r="C1496" s="121"/>
      <c r="D1496" s="121"/>
      <c r="E1496" s="133"/>
      <c r="F1496" s="133"/>
      <c r="G1496" s="121"/>
      <c r="H1496" s="121"/>
    </row>
    <row r="1497" hidden="1">
      <c r="A1497" s="121"/>
      <c r="B1497" s="121"/>
      <c r="C1497" s="121"/>
      <c r="D1497" s="121"/>
      <c r="E1497" s="133"/>
      <c r="F1497" s="133"/>
      <c r="G1497" s="121"/>
      <c r="H1497" s="121"/>
    </row>
    <row r="1498" hidden="1">
      <c r="A1498" s="121"/>
      <c r="B1498" s="121"/>
      <c r="C1498" s="121"/>
      <c r="D1498" s="121"/>
      <c r="E1498" s="133"/>
      <c r="F1498" s="133"/>
      <c r="G1498" s="121"/>
      <c r="H1498" s="121"/>
    </row>
    <row r="1499" hidden="1">
      <c r="A1499" s="121"/>
      <c r="B1499" s="121"/>
      <c r="C1499" s="121"/>
      <c r="D1499" s="121"/>
      <c r="E1499" s="133"/>
      <c r="F1499" s="133"/>
      <c r="G1499" s="121"/>
      <c r="H1499" s="121"/>
    </row>
    <row r="1500" hidden="1">
      <c r="A1500" s="121"/>
      <c r="B1500" s="121"/>
      <c r="C1500" s="121"/>
      <c r="D1500" s="121"/>
      <c r="E1500" s="133"/>
      <c r="F1500" s="133"/>
      <c r="G1500" s="121"/>
      <c r="H1500" s="121"/>
    </row>
    <row r="1501" hidden="1">
      <c r="A1501" s="121"/>
      <c r="B1501" s="121"/>
      <c r="C1501" s="121"/>
      <c r="D1501" s="121"/>
      <c r="E1501" s="133"/>
      <c r="F1501" s="133"/>
      <c r="G1501" s="121"/>
      <c r="H1501" s="121"/>
    </row>
    <row r="1502" hidden="1">
      <c r="A1502" s="121"/>
      <c r="B1502" s="121"/>
      <c r="C1502" s="121"/>
      <c r="D1502" s="121"/>
      <c r="E1502" s="133"/>
      <c r="F1502" s="133"/>
      <c r="G1502" s="121"/>
      <c r="H1502" s="121"/>
    </row>
    <row r="1503" hidden="1">
      <c r="A1503" s="121"/>
      <c r="B1503" s="121"/>
      <c r="C1503" s="121"/>
      <c r="D1503" s="121"/>
      <c r="E1503" s="133"/>
      <c r="F1503" s="133"/>
      <c r="G1503" s="121"/>
      <c r="H1503" s="121"/>
    </row>
    <row r="1504" hidden="1">
      <c r="A1504" s="121"/>
      <c r="B1504" s="121"/>
      <c r="C1504" s="121"/>
      <c r="D1504" s="121"/>
      <c r="E1504" s="133"/>
      <c r="F1504" s="133"/>
      <c r="G1504" s="121"/>
      <c r="H1504" s="121"/>
    </row>
    <row r="1505" hidden="1">
      <c r="A1505" s="121"/>
      <c r="B1505" s="121"/>
      <c r="C1505" s="121"/>
      <c r="D1505" s="121"/>
      <c r="E1505" s="133"/>
      <c r="F1505" s="133"/>
      <c r="G1505" s="121"/>
      <c r="H1505" s="121"/>
    </row>
    <row r="1506" hidden="1">
      <c r="A1506" s="121"/>
      <c r="B1506" s="121"/>
      <c r="C1506" s="121"/>
      <c r="D1506" s="121"/>
      <c r="E1506" s="133"/>
      <c r="F1506" s="133"/>
      <c r="G1506" s="121"/>
      <c r="H1506" s="121"/>
    </row>
    <row r="1507" hidden="1">
      <c r="A1507" s="121"/>
      <c r="B1507" s="121"/>
      <c r="C1507" s="121"/>
      <c r="D1507" s="121"/>
      <c r="E1507" s="133"/>
      <c r="F1507" s="133"/>
      <c r="G1507" s="121"/>
      <c r="H1507" s="121"/>
    </row>
    <row r="1508" hidden="1">
      <c r="A1508" s="121"/>
      <c r="B1508" s="121"/>
      <c r="C1508" s="121"/>
      <c r="D1508" s="121"/>
      <c r="E1508" s="133"/>
      <c r="F1508" s="133"/>
      <c r="G1508" s="121"/>
      <c r="H1508" s="121"/>
    </row>
    <row r="1509" hidden="1">
      <c r="A1509" s="121"/>
      <c r="B1509" s="121"/>
      <c r="C1509" s="121"/>
      <c r="D1509" s="121"/>
      <c r="E1509" s="133"/>
      <c r="F1509" s="133"/>
      <c r="G1509" s="121"/>
      <c r="H1509" s="121"/>
    </row>
    <row r="1510" hidden="1">
      <c r="A1510" s="121"/>
      <c r="B1510" s="121"/>
      <c r="C1510" s="121"/>
      <c r="D1510" s="121"/>
      <c r="E1510" s="133"/>
      <c r="F1510" s="133"/>
      <c r="G1510" s="121"/>
      <c r="H1510" s="121"/>
    </row>
    <row r="1511" hidden="1">
      <c r="A1511" s="121"/>
      <c r="B1511" s="121"/>
      <c r="C1511" s="121"/>
      <c r="D1511" s="121"/>
      <c r="E1511" s="133"/>
      <c r="F1511" s="133"/>
      <c r="G1511" s="121"/>
      <c r="H1511" s="121"/>
    </row>
    <row r="1512" hidden="1">
      <c r="A1512" s="121"/>
      <c r="B1512" s="121"/>
      <c r="C1512" s="121"/>
      <c r="D1512" s="121"/>
      <c r="E1512" s="133"/>
      <c r="F1512" s="133"/>
      <c r="G1512" s="121"/>
      <c r="H1512" s="121"/>
    </row>
    <row r="1513" hidden="1">
      <c r="A1513" s="121"/>
      <c r="B1513" s="121"/>
      <c r="C1513" s="121"/>
      <c r="D1513" s="121"/>
      <c r="E1513" s="133"/>
      <c r="F1513" s="133"/>
      <c r="G1513" s="121"/>
      <c r="H1513" s="121"/>
    </row>
    <row r="1514" hidden="1">
      <c r="A1514" s="121"/>
      <c r="B1514" s="121"/>
      <c r="C1514" s="121"/>
      <c r="D1514" s="121"/>
      <c r="E1514" s="133"/>
      <c r="F1514" s="133"/>
      <c r="G1514" s="121"/>
      <c r="H1514" s="121"/>
    </row>
    <row r="1515" hidden="1">
      <c r="A1515" s="121"/>
      <c r="B1515" s="121"/>
      <c r="C1515" s="121"/>
      <c r="D1515" s="121"/>
      <c r="E1515" s="133"/>
      <c r="F1515" s="133"/>
      <c r="G1515" s="121"/>
      <c r="H1515" s="121"/>
    </row>
    <row r="1516" hidden="1">
      <c r="A1516" s="121"/>
      <c r="B1516" s="121"/>
      <c r="C1516" s="121"/>
      <c r="D1516" s="121"/>
      <c r="E1516" s="133"/>
      <c r="F1516" s="133"/>
      <c r="G1516" s="121"/>
      <c r="H1516" s="121"/>
    </row>
    <row r="1517" hidden="1">
      <c r="A1517" s="121"/>
      <c r="B1517" s="121"/>
      <c r="C1517" s="121"/>
      <c r="D1517" s="121"/>
      <c r="E1517" s="133"/>
      <c r="F1517" s="133"/>
      <c r="G1517" s="121"/>
      <c r="H1517" s="121"/>
    </row>
    <row r="1518" hidden="1">
      <c r="A1518" s="121"/>
      <c r="B1518" s="121"/>
      <c r="C1518" s="121"/>
      <c r="D1518" s="121"/>
      <c r="E1518" s="133"/>
      <c r="F1518" s="133"/>
      <c r="G1518" s="121"/>
      <c r="H1518" s="121"/>
    </row>
    <row r="1519" hidden="1">
      <c r="A1519" s="121"/>
      <c r="B1519" s="121"/>
      <c r="C1519" s="121"/>
      <c r="D1519" s="121"/>
      <c r="E1519" s="133"/>
      <c r="F1519" s="133"/>
      <c r="G1519" s="121"/>
      <c r="H1519" s="121"/>
    </row>
    <row r="1520" hidden="1">
      <c r="A1520" s="121"/>
      <c r="B1520" s="121"/>
      <c r="C1520" s="121"/>
      <c r="D1520" s="121"/>
      <c r="E1520" s="133"/>
      <c r="F1520" s="133"/>
      <c r="G1520" s="121"/>
      <c r="H1520" s="121"/>
    </row>
    <row r="1521" hidden="1">
      <c r="A1521" s="121"/>
      <c r="B1521" s="121"/>
      <c r="C1521" s="121"/>
      <c r="D1521" s="121"/>
      <c r="E1521" s="133"/>
      <c r="F1521" s="133"/>
      <c r="G1521" s="121"/>
      <c r="H1521" s="121"/>
    </row>
    <row r="1522" hidden="1">
      <c r="A1522" s="121"/>
      <c r="B1522" s="121"/>
      <c r="C1522" s="121"/>
      <c r="D1522" s="121"/>
      <c r="E1522" s="133"/>
      <c r="F1522" s="133"/>
      <c r="G1522" s="121"/>
      <c r="H1522" s="121"/>
    </row>
    <row r="1523" hidden="1">
      <c r="A1523" s="121"/>
      <c r="B1523" s="121"/>
      <c r="C1523" s="121"/>
      <c r="D1523" s="121"/>
      <c r="E1523" s="133"/>
      <c r="F1523" s="133"/>
      <c r="G1523" s="121"/>
      <c r="H1523" s="121"/>
    </row>
    <row r="1524" hidden="1">
      <c r="A1524" s="121"/>
      <c r="B1524" s="121"/>
      <c r="C1524" s="121"/>
      <c r="D1524" s="121"/>
      <c r="E1524" s="133"/>
      <c r="F1524" s="133"/>
      <c r="G1524" s="121"/>
      <c r="H1524" s="121"/>
    </row>
    <row r="1525" hidden="1">
      <c r="A1525" s="121"/>
      <c r="B1525" s="121"/>
      <c r="C1525" s="121"/>
      <c r="D1525" s="121"/>
      <c r="E1525" s="133"/>
      <c r="F1525" s="133"/>
      <c r="G1525" s="121"/>
      <c r="H1525" s="121"/>
    </row>
    <row r="1526" hidden="1">
      <c r="A1526" s="121"/>
      <c r="B1526" s="121"/>
      <c r="C1526" s="121"/>
      <c r="D1526" s="121"/>
      <c r="E1526" s="133"/>
      <c r="F1526" s="133"/>
      <c r="G1526" s="121"/>
      <c r="H1526" s="121"/>
    </row>
    <row r="1527" hidden="1">
      <c r="A1527" s="121"/>
      <c r="B1527" s="121"/>
      <c r="C1527" s="121"/>
      <c r="D1527" s="121"/>
      <c r="E1527" s="133"/>
      <c r="F1527" s="133"/>
      <c r="G1527" s="121"/>
      <c r="H1527" s="121"/>
    </row>
    <row r="1528" hidden="1">
      <c r="A1528" s="121"/>
      <c r="B1528" s="121"/>
      <c r="C1528" s="121"/>
      <c r="D1528" s="121"/>
      <c r="E1528" s="133"/>
      <c r="F1528" s="133"/>
      <c r="G1528" s="121"/>
      <c r="H1528" s="121"/>
    </row>
    <row r="1529" hidden="1">
      <c r="A1529" s="121"/>
      <c r="B1529" s="121"/>
      <c r="C1529" s="121"/>
      <c r="D1529" s="121"/>
      <c r="E1529" s="133"/>
      <c r="F1529" s="133"/>
      <c r="G1529" s="121"/>
      <c r="H1529" s="121"/>
    </row>
    <row r="1530" hidden="1">
      <c r="A1530" s="121"/>
      <c r="B1530" s="121"/>
      <c r="C1530" s="121"/>
      <c r="D1530" s="121"/>
      <c r="E1530" s="133"/>
      <c r="F1530" s="133"/>
      <c r="G1530" s="121"/>
      <c r="H1530" s="121"/>
    </row>
    <row r="1531" hidden="1">
      <c r="A1531" s="121"/>
      <c r="B1531" s="121"/>
      <c r="C1531" s="121"/>
      <c r="D1531" s="121"/>
      <c r="E1531" s="133"/>
      <c r="F1531" s="133"/>
      <c r="G1531" s="121"/>
      <c r="H1531" s="121"/>
    </row>
    <row r="1532" hidden="1">
      <c r="A1532" s="121"/>
      <c r="B1532" s="121"/>
      <c r="C1532" s="121"/>
      <c r="D1532" s="121"/>
      <c r="E1532" s="133"/>
      <c r="F1532" s="133"/>
      <c r="G1532" s="121"/>
      <c r="H1532" s="121"/>
    </row>
    <row r="1533" hidden="1">
      <c r="A1533" s="121"/>
      <c r="B1533" s="121"/>
      <c r="C1533" s="121"/>
      <c r="D1533" s="121"/>
      <c r="E1533" s="133"/>
      <c r="F1533" s="133"/>
      <c r="G1533" s="121"/>
      <c r="H1533" s="121"/>
    </row>
    <row r="1534" hidden="1">
      <c r="A1534" s="121"/>
      <c r="B1534" s="121"/>
      <c r="C1534" s="121"/>
      <c r="D1534" s="121"/>
      <c r="E1534" s="133"/>
      <c r="F1534" s="133"/>
      <c r="G1534" s="121"/>
      <c r="H1534" s="121"/>
    </row>
    <row r="1535" hidden="1">
      <c r="A1535" s="121"/>
      <c r="B1535" s="121"/>
      <c r="C1535" s="121"/>
      <c r="D1535" s="121"/>
      <c r="E1535" s="133"/>
      <c r="F1535" s="133"/>
      <c r="G1535" s="121"/>
      <c r="H1535" s="121"/>
    </row>
    <row r="1536" hidden="1">
      <c r="A1536" s="121"/>
      <c r="B1536" s="121"/>
      <c r="C1536" s="121"/>
      <c r="D1536" s="121"/>
      <c r="E1536" s="133"/>
      <c r="F1536" s="133"/>
      <c r="G1536" s="121"/>
      <c r="H1536" s="121"/>
    </row>
    <row r="1537" hidden="1">
      <c r="A1537" s="121"/>
      <c r="B1537" s="121"/>
      <c r="C1537" s="121"/>
      <c r="D1537" s="121"/>
      <c r="E1537" s="133"/>
      <c r="F1537" s="133"/>
      <c r="G1537" s="121"/>
      <c r="H1537" s="121"/>
    </row>
    <row r="1538" hidden="1">
      <c r="A1538" s="121"/>
      <c r="B1538" s="121"/>
      <c r="C1538" s="121"/>
      <c r="D1538" s="121"/>
      <c r="E1538" s="133"/>
      <c r="F1538" s="133"/>
      <c r="G1538" s="121"/>
      <c r="H1538" s="121"/>
    </row>
    <row r="1539" hidden="1">
      <c r="A1539" s="121"/>
      <c r="B1539" s="121"/>
      <c r="C1539" s="121"/>
      <c r="D1539" s="121"/>
      <c r="E1539" s="133"/>
      <c r="F1539" s="133"/>
      <c r="G1539" s="121"/>
      <c r="H1539" s="121"/>
    </row>
    <row r="1540" hidden="1">
      <c r="A1540" s="121"/>
      <c r="B1540" s="121"/>
      <c r="C1540" s="121"/>
      <c r="D1540" s="121"/>
      <c r="E1540" s="133"/>
      <c r="F1540" s="133"/>
      <c r="G1540" s="121"/>
      <c r="H1540" s="121"/>
    </row>
    <row r="1541" hidden="1">
      <c r="A1541" s="121"/>
      <c r="B1541" s="121"/>
      <c r="C1541" s="121"/>
      <c r="D1541" s="121"/>
      <c r="E1541" s="133"/>
      <c r="F1541" s="133"/>
      <c r="G1541" s="121"/>
      <c r="H1541" s="121"/>
    </row>
    <row r="1542" hidden="1">
      <c r="A1542" s="121"/>
      <c r="B1542" s="121"/>
      <c r="C1542" s="121"/>
      <c r="D1542" s="121"/>
      <c r="E1542" s="133"/>
      <c r="F1542" s="133"/>
      <c r="G1542" s="121"/>
      <c r="H1542" s="121"/>
    </row>
    <row r="1543" hidden="1">
      <c r="A1543" s="121"/>
      <c r="B1543" s="121"/>
      <c r="C1543" s="121"/>
      <c r="D1543" s="121"/>
      <c r="E1543" s="133"/>
      <c r="F1543" s="133"/>
      <c r="G1543" s="121"/>
      <c r="H1543" s="121"/>
    </row>
    <row r="1544" hidden="1">
      <c r="A1544" s="121"/>
      <c r="B1544" s="121"/>
      <c r="C1544" s="121"/>
      <c r="D1544" s="121"/>
      <c r="E1544" s="133"/>
      <c r="F1544" s="133"/>
      <c r="G1544" s="121"/>
      <c r="H1544" s="121"/>
    </row>
    <row r="1545" hidden="1">
      <c r="A1545" s="121"/>
      <c r="B1545" s="121"/>
      <c r="C1545" s="121"/>
      <c r="D1545" s="121"/>
      <c r="E1545" s="133"/>
      <c r="F1545" s="133"/>
      <c r="G1545" s="121"/>
      <c r="H1545" s="121"/>
    </row>
    <row r="1546" hidden="1">
      <c r="A1546" s="121"/>
      <c r="B1546" s="121"/>
      <c r="C1546" s="121"/>
      <c r="D1546" s="121"/>
      <c r="E1546" s="133"/>
      <c r="F1546" s="133"/>
      <c r="G1546" s="121"/>
      <c r="H1546" s="121"/>
    </row>
    <row r="1547" hidden="1">
      <c r="A1547" s="121"/>
      <c r="B1547" s="121"/>
      <c r="C1547" s="121"/>
      <c r="D1547" s="121"/>
      <c r="E1547" s="133"/>
      <c r="F1547" s="133"/>
      <c r="G1547" s="121"/>
      <c r="H1547" s="121"/>
    </row>
    <row r="1548" hidden="1">
      <c r="A1548" s="121"/>
      <c r="B1548" s="121"/>
      <c r="C1548" s="121"/>
      <c r="D1548" s="121"/>
      <c r="E1548" s="133"/>
      <c r="F1548" s="133"/>
      <c r="G1548" s="121"/>
      <c r="H1548" s="121"/>
    </row>
    <row r="1549" hidden="1">
      <c r="A1549" s="121"/>
      <c r="B1549" s="121"/>
      <c r="C1549" s="121"/>
      <c r="D1549" s="121"/>
      <c r="E1549" s="133"/>
      <c r="F1549" s="133"/>
      <c r="G1549" s="121"/>
      <c r="H1549" s="121"/>
    </row>
    <row r="1550" hidden="1">
      <c r="A1550" s="121"/>
      <c r="B1550" s="121"/>
      <c r="C1550" s="121"/>
      <c r="D1550" s="121"/>
      <c r="E1550" s="133"/>
      <c r="F1550" s="133"/>
      <c r="G1550" s="121"/>
      <c r="H1550" s="121"/>
    </row>
    <row r="1551" hidden="1">
      <c r="A1551" s="121"/>
      <c r="B1551" s="121"/>
      <c r="C1551" s="121"/>
      <c r="D1551" s="121"/>
      <c r="E1551" s="133"/>
      <c r="F1551" s="133"/>
      <c r="G1551" s="121"/>
      <c r="H1551" s="121"/>
    </row>
    <row r="1552" hidden="1">
      <c r="A1552" s="121"/>
      <c r="B1552" s="121"/>
      <c r="C1552" s="121"/>
      <c r="D1552" s="121"/>
      <c r="E1552" s="133"/>
      <c r="F1552" s="133"/>
      <c r="G1552" s="121"/>
      <c r="H1552" s="121"/>
    </row>
    <row r="1553" hidden="1">
      <c r="A1553" s="121"/>
      <c r="B1553" s="121"/>
      <c r="C1553" s="121"/>
      <c r="D1553" s="121"/>
      <c r="E1553" s="133"/>
      <c r="F1553" s="133"/>
      <c r="G1553" s="121"/>
      <c r="H1553" s="121"/>
    </row>
    <row r="1554" hidden="1">
      <c r="A1554" s="121"/>
      <c r="B1554" s="121"/>
      <c r="C1554" s="121"/>
      <c r="D1554" s="121"/>
      <c r="E1554" s="133"/>
      <c r="F1554" s="133"/>
      <c r="G1554" s="121"/>
      <c r="H1554" s="121"/>
    </row>
    <row r="1555" hidden="1">
      <c r="A1555" s="121"/>
      <c r="B1555" s="121"/>
      <c r="C1555" s="121"/>
      <c r="D1555" s="121"/>
      <c r="E1555" s="133"/>
      <c r="F1555" s="133"/>
      <c r="G1555" s="121"/>
      <c r="H1555" s="121"/>
    </row>
    <row r="1556" hidden="1">
      <c r="A1556" s="121"/>
      <c r="B1556" s="121"/>
      <c r="C1556" s="121"/>
      <c r="D1556" s="121"/>
      <c r="E1556" s="133"/>
      <c r="F1556" s="133"/>
      <c r="G1556" s="121"/>
      <c r="H1556" s="121"/>
    </row>
    <row r="1557" hidden="1">
      <c r="A1557" s="121"/>
      <c r="B1557" s="121"/>
      <c r="C1557" s="121"/>
      <c r="D1557" s="121"/>
      <c r="E1557" s="133"/>
      <c r="F1557" s="133"/>
      <c r="G1557" s="121"/>
      <c r="H1557" s="121"/>
    </row>
    <row r="1558" hidden="1">
      <c r="A1558" s="121"/>
      <c r="B1558" s="121"/>
      <c r="C1558" s="121"/>
      <c r="D1558" s="121"/>
      <c r="E1558" s="133"/>
      <c r="F1558" s="133"/>
      <c r="G1558" s="121"/>
      <c r="H1558" s="121"/>
    </row>
    <row r="1559" hidden="1">
      <c r="A1559" s="121"/>
      <c r="B1559" s="121"/>
      <c r="C1559" s="121"/>
      <c r="D1559" s="121"/>
      <c r="E1559" s="133"/>
      <c r="F1559" s="133"/>
      <c r="G1559" s="121"/>
      <c r="H1559" s="121"/>
    </row>
    <row r="1560" hidden="1">
      <c r="A1560" s="121"/>
      <c r="B1560" s="121"/>
      <c r="C1560" s="121"/>
      <c r="D1560" s="121"/>
      <c r="E1560" s="133"/>
      <c r="F1560" s="133"/>
      <c r="G1560" s="121"/>
      <c r="H1560" s="121"/>
    </row>
    <row r="1561" hidden="1">
      <c r="A1561" s="121"/>
      <c r="B1561" s="121"/>
      <c r="C1561" s="121"/>
      <c r="D1561" s="121"/>
      <c r="E1561" s="133"/>
      <c r="F1561" s="133"/>
      <c r="G1561" s="121"/>
      <c r="H1561" s="121"/>
    </row>
    <row r="1562" hidden="1">
      <c r="A1562" s="121"/>
      <c r="B1562" s="121"/>
      <c r="C1562" s="121"/>
      <c r="D1562" s="121"/>
      <c r="E1562" s="133"/>
      <c r="F1562" s="133"/>
      <c r="G1562" s="121"/>
      <c r="H1562" s="121"/>
    </row>
    <row r="1563" hidden="1">
      <c r="A1563" s="121"/>
      <c r="B1563" s="121"/>
      <c r="C1563" s="121"/>
      <c r="D1563" s="121"/>
      <c r="E1563" s="133"/>
      <c r="F1563" s="133"/>
      <c r="G1563" s="121"/>
      <c r="H1563" s="121"/>
    </row>
    <row r="1564" hidden="1">
      <c r="A1564" s="121"/>
      <c r="B1564" s="121"/>
      <c r="C1564" s="121"/>
      <c r="D1564" s="121"/>
      <c r="E1564" s="133"/>
      <c r="F1564" s="133"/>
      <c r="G1564" s="121"/>
      <c r="H1564" s="121"/>
    </row>
    <row r="1565" hidden="1">
      <c r="A1565" s="121"/>
      <c r="B1565" s="121"/>
      <c r="C1565" s="121"/>
      <c r="D1565" s="121"/>
      <c r="E1565" s="133"/>
      <c r="F1565" s="133"/>
      <c r="G1565" s="121"/>
      <c r="H1565" s="121"/>
    </row>
    <row r="1566" hidden="1">
      <c r="A1566" s="121"/>
      <c r="B1566" s="121"/>
      <c r="C1566" s="121"/>
      <c r="D1566" s="121"/>
      <c r="E1566" s="133"/>
      <c r="F1566" s="133"/>
      <c r="G1566" s="121"/>
      <c r="H1566" s="121"/>
    </row>
    <row r="1567" hidden="1">
      <c r="A1567" s="121"/>
      <c r="B1567" s="121"/>
      <c r="C1567" s="121"/>
      <c r="D1567" s="121"/>
      <c r="E1567" s="133"/>
      <c r="F1567" s="133"/>
      <c r="G1567" s="121"/>
      <c r="H1567" s="121"/>
    </row>
    <row r="1568" hidden="1">
      <c r="A1568" s="121"/>
      <c r="B1568" s="121"/>
      <c r="C1568" s="121"/>
      <c r="D1568" s="121"/>
      <c r="E1568" s="133"/>
      <c r="F1568" s="133"/>
      <c r="G1568" s="121"/>
      <c r="H1568" s="121"/>
    </row>
    <row r="1569" hidden="1">
      <c r="A1569" s="121"/>
      <c r="B1569" s="121"/>
      <c r="C1569" s="121"/>
      <c r="D1569" s="121"/>
      <c r="E1569" s="133"/>
      <c r="F1569" s="133"/>
      <c r="G1569" s="121"/>
      <c r="H1569" s="121"/>
    </row>
    <row r="1570" hidden="1">
      <c r="A1570" s="121"/>
      <c r="B1570" s="121"/>
      <c r="C1570" s="121"/>
      <c r="D1570" s="121"/>
      <c r="E1570" s="133"/>
      <c r="F1570" s="133"/>
      <c r="G1570" s="121"/>
      <c r="H1570" s="121"/>
    </row>
    <row r="1571" hidden="1">
      <c r="A1571" s="121"/>
      <c r="B1571" s="121"/>
      <c r="C1571" s="121"/>
      <c r="D1571" s="121"/>
      <c r="E1571" s="133"/>
      <c r="F1571" s="133"/>
      <c r="G1571" s="121"/>
      <c r="H1571" s="121"/>
    </row>
    <row r="1572" hidden="1">
      <c r="A1572" s="121"/>
      <c r="B1572" s="121"/>
      <c r="C1572" s="121"/>
      <c r="D1572" s="121"/>
      <c r="E1572" s="133"/>
      <c r="F1572" s="133"/>
      <c r="G1572" s="121"/>
      <c r="H1572" s="121"/>
    </row>
    <row r="1573" hidden="1">
      <c r="A1573" s="121"/>
      <c r="B1573" s="121"/>
      <c r="C1573" s="121"/>
      <c r="D1573" s="121"/>
      <c r="E1573" s="133"/>
      <c r="F1573" s="133"/>
      <c r="G1573" s="121"/>
      <c r="H1573" s="121"/>
    </row>
    <row r="1574" hidden="1">
      <c r="A1574" s="121"/>
      <c r="B1574" s="121"/>
      <c r="C1574" s="121"/>
      <c r="D1574" s="121"/>
      <c r="E1574" s="133"/>
      <c r="F1574" s="133"/>
      <c r="G1574" s="121"/>
      <c r="H1574" s="121"/>
    </row>
    <row r="1575" hidden="1">
      <c r="A1575" s="121"/>
      <c r="B1575" s="121"/>
      <c r="C1575" s="121"/>
      <c r="D1575" s="121"/>
      <c r="E1575" s="133"/>
      <c r="F1575" s="133"/>
      <c r="G1575" s="121"/>
      <c r="H1575" s="121"/>
    </row>
    <row r="1576" hidden="1">
      <c r="A1576" s="121"/>
      <c r="B1576" s="121"/>
      <c r="C1576" s="121"/>
      <c r="D1576" s="121"/>
      <c r="E1576" s="133"/>
      <c r="F1576" s="133"/>
      <c r="G1576" s="121"/>
      <c r="H1576" s="121"/>
    </row>
    <row r="1577" hidden="1">
      <c r="A1577" s="121"/>
      <c r="B1577" s="121"/>
      <c r="C1577" s="121"/>
      <c r="D1577" s="121"/>
      <c r="E1577" s="133"/>
      <c r="F1577" s="133"/>
      <c r="G1577" s="121"/>
      <c r="H1577" s="121"/>
    </row>
    <row r="1578" hidden="1">
      <c r="A1578" s="121"/>
      <c r="B1578" s="121"/>
      <c r="C1578" s="121"/>
      <c r="D1578" s="121"/>
      <c r="E1578" s="133"/>
      <c r="F1578" s="133"/>
      <c r="G1578" s="121"/>
      <c r="H1578" s="121"/>
    </row>
    <row r="1579" hidden="1">
      <c r="A1579" s="121"/>
      <c r="B1579" s="121"/>
      <c r="C1579" s="121"/>
      <c r="D1579" s="121"/>
      <c r="E1579" s="133"/>
      <c r="F1579" s="133"/>
      <c r="G1579" s="121"/>
      <c r="H1579" s="121"/>
    </row>
    <row r="1580" hidden="1">
      <c r="A1580" s="121"/>
      <c r="B1580" s="121"/>
      <c r="C1580" s="121"/>
      <c r="D1580" s="121"/>
      <c r="E1580" s="133"/>
      <c r="F1580" s="133"/>
      <c r="G1580" s="121"/>
      <c r="H1580" s="121"/>
    </row>
    <row r="1581" hidden="1">
      <c r="A1581" s="121"/>
      <c r="B1581" s="121"/>
      <c r="C1581" s="121"/>
      <c r="D1581" s="121"/>
      <c r="E1581" s="133"/>
      <c r="F1581" s="133"/>
      <c r="G1581" s="121"/>
      <c r="H1581" s="121"/>
    </row>
    <row r="1582" hidden="1">
      <c r="A1582" s="121"/>
      <c r="B1582" s="121"/>
      <c r="C1582" s="121"/>
      <c r="D1582" s="121"/>
      <c r="E1582" s="133"/>
      <c r="F1582" s="133"/>
      <c r="G1582" s="121"/>
      <c r="H1582" s="121"/>
    </row>
    <row r="1583" hidden="1">
      <c r="A1583" s="121"/>
      <c r="B1583" s="121"/>
      <c r="C1583" s="121"/>
      <c r="D1583" s="121"/>
      <c r="E1583" s="133"/>
      <c r="F1583" s="133"/>
      <c r="G1583" s="121"/>
      <c r="H1583" s="121"/>
    </row>
    <row r="1584" hidden="1">
      <c r="A1584" s="121"/>
      <c r="B1584" s="121"/>
      <c r="C1584" s="121"/>
      <c r="D1584" s="121"/>
      <c r="E1584" s="133"/>
      <c r="F1584" s="133"/>
      <c r="G1584" s="121"/>
      <c r="H1584" s="121"/>
    </row>
    <row r="1585" hidden="1">
      <c r="A1585" s="121"/>
      <c r="B1585" s="121"/>
      <c r="C1585" s="121"/>
      <c r="D1585" s="121"/>
      <c r="E1585" s="133"/>
      <c r="F1585" s="133"/>
      <c r="G1585" s="121"/>
      <c r="H1585" s="121"/>
    </row>
    <row r="1586" hidden="1">
      <c r="A1586" s="121"/>
      <c r="B1586" s="121"/>
      <c r="C1586" s="121"/>
      <c r="D1586" s="121"/>
      <c r="E1586" s="133"/>
      <c r="F1586" s="133"/>
      <c r="G1586" s="121"/>
      <c r="H1586" s="121"/>
    </row>
    <row r="1587" hidden="1">
      <c r="A1587" s="121"/>
      <c r="B1587" s="121"/>
      <c r="C1587" s="121"/>
      <c r="D1587" s="121"/>
      <c r="E1587" s="133"/>
      <c r="F1587" s="133"/>
      <c r="G1587" s="121"/>
      <c r="H1587" s="121"/>
    </row>
    <row r="1588" hidden="1">
      <c r="A1588" s="121"/>
      <c r="B1588" s="121"/>
      <c r="C1588" s="121"/>
      <c r="D1588" s="121"/>
      <c r="E1588" s="133"/>
      <c r="F1588" s="133"/>
      <c r="G1588" s="121"/>
      <c r="H1588" s="121"/>
    </row>
    <row r="1589" hidden="1">
      <c r="A1589" s="121"/>
      <c r="B1589" s="121"/>
      <c r="C1589" s="121"/>
      <c r="D1589" s="121"/>
      <c r="E1589" s="133"/>
      <c r="F1589" s="133"/>
      <c r="G1589" s="121"/>
      <c r="H1589" s="121"/>
    </row>
    <row r="1590" hidden="1">
      <c r="A1590" s="121"/>
      <c r="B1590" s="121"/>
      <c r="C1590" s="121"/>
      <c r="D1590" s="121"/>
      <c r="E1590" s="133"/>
      <c r="F1590" s="133"/>
      <c r="G1590" s="121"/>
      <c r="H1590" s="121"/>
    </row>
    <row r="1591" hidden="1">
      <c r="A1591" s="121"/>
      <c r="B1591" s="121"/>
      <c r="C1591" s="121"/>
      <c r="D1591" s="121"/>
      <c r="E1591" s="133"/>
      <c r="F1591" s="133"/>
      <c r="G1591" s="121"/>
      <c r="H1591" s="121"/>
    </row>
    <row r="1592" hidden="1">
      <c r="A1592" s="121"/>
      <c r="B1592" s="121"/>
      <c r="C1592" s="121"/>
      <c r="D1592" s="121"/>
      <c r="E1592" s="133"/>
      <c r="F1592" s="133"/>
      <c r="G1592" s="121"/>
      <c r="H1592" s="121"/>
    </row>
    <row r="1593" hidden="1">
      <c r="A1593" s="121"/>
      <c r="B1593" s="121"/>
      <c r="C1593" s="121"/>
      <c r="D1593" s="121"/>
      <c r="E1593" s="133"/>
      <c r="F1593" s="133"/>
      <c r="G1593" s="121"/>
      <c r="H1593" s="121"/>
    </row>
    <row r="1594" hidden="1">
      <c r="A1594" s="121"/>
      <c r="B1594" s="121"/>
      <c r="C1594" s="121"/>
      <c r="D1594" s="121"/>
      <c r="E1594" s="133"/>
      <c r="F1594" s="133"/>
      <c r="G1594" s="121"/>
      <c r="H1594" s="121"/>
    </row>
    <row r="1595" hidden="1">
      <c r="A1595" s="121"/>
      <c r="B1595" s="121"/>
      <c r="C1595" s="121"/>
      <c r="D1595" s="121"/>
      <c r="E1595" s="133"/>
      <c r="F1595" s="133"/>
      <c r="G1595" s="121"/>
      <c r="H1595" s="121"/>
    </row>
    <row r="1596" hidden="1">
      <c r="A1596" s="121"/>
      <c r="B1596" s="121"/>
      <c r="C1596" s="121"/>
      <c r="D1596" s="121"/>
      <c r="E1596" s="133"/>
      <c r="F1596" s="133"/>
      <c r="G1596" s="121"/>
      <c r="H1596" s="121"/>
    </row>
    <row r="1597" hidden="1">
      <c r="A1597" s="121"/>
      <c r="B1597" s="121"/>
      <c r="C1597" s="121"/>
      <c r="D1597" s="121"/>
      <c r="E1597" s="133"/>
      <c r="F1597" s="133"/>
      <c r="G1597" s="121"/>
      <c r="H1597" s="121"/>
    </row>
    <row r="1598" hidden="1">
      <c r="A1598" s="121"/>
      <c r="B1598" s="121"/>
      <c r="C1598" s="121"/>
      <c r="D1598" s="121"/>
      <c r="E1598" s="133"/>
      <c r="F1598" s="133"/>
      <c r="G1598" s="121"/>
      <c r="H1598" s="121"/>
    </row>
    <row r="1599" hidden="1">
      <c r="A1599" s="121"/>
      <c r="B1599" s="121"/>
      <c r="C1599" s="121"/>
      <c r="D1599" s="121"/>
      <c r="E1599" s="133"/>
      <c r="F1599" s="133"/>
      <c r="G1599" s="121"/>
      <c r="H1599" s="121"/>
    </row>
    <row r="1600" hidden="1">
      <c r="A1600" s="121"/>
      <c r="B1600" s="121"/>
      <c r="C1600" s="121"/>
      <c r="D1600" s="121"/>
      <c r="E1600" s="133"/>
      <c r="F1600" s="133"/>
      <c r="G1600" s="121"/>
      <c r="H1600" s="121"/>
    </row>
    <row r="1601" hidden="1">
      <c r="A1601" s="121"/>
      <c r="B1601" s="121"/>
      <c r="C1601" s="121"/>
      <c r="D1601" s="121"/>
      <c r="E1601" s="133"/>
      <c r="F1601" s="133"/>
      <c r="G1601" s="121"/>
      <c r="H1601" s="121"/>
    </row>
    <row r="1602" hidden="1">
      <c r="A1602" s="121"/>
      <c r="B1602" s="121"/>
      <c r="C1602" s="121"/>
      <c r="D1602" s="121"/>
      <c r="E1602" s="133"/>
      <c r="F1602" s="133"/>
      <c r="G1602" s="121"/>
      <c r="H1602" s="121"/>
    </row>
    <row r="1603" hidden="1">
      <c r="A1603" s="121"/>
      <c r="B1603" s="121"/>
      <c r="C1603" s="121"/>
      <c r="D1603" s="121"/>
      <c r="E1603" s="133"/>
      <c r="F1603" s="133"/>
      <c r="G1603" s="121"/>
      <c r="H1603" s="121"/>
    </row>
    <row r="1604" hidden="1">
      <c r="A1604" s="121"/>
      <c r="B1604" s="121"/>
      <c r="C1604" s="121"/>
      <c r="D1604" s="121"/>
      <c r="E1604" s="133"/>
      <c r="F1604" s="133"/>
      <c r="G1604" s="121"/>
      <c r="H1604" s="121"/>
    </row>
    <row r="1605" hidden="1">
      <c r="A1605" s="121"/>
      <c r="B1605" s="121"/>
      <c r="C1605" s="121"/>
      <c r="D1605" s="121"/>
      <c r="E1605" s="133"/>
      <c r="F1605" s="133"/>
      <c r="G1605" s="121"/>
      <c r="H1605" s="121"/>
    </row>
    <row r="1606" hidden="1">
      <c r="A1606" s="121"/>
      <c r="B1606" s="121"/>
      <c r="C1606" s="121"/>
      <c r="D1606" s="121"/>
      <c r="E1606" s="133"/>
      <c r="F1606" s="133"/>
      <c r="G1606" s="121"/>
      <c r="H1606" s="121"/>
    </row>
    <row r="1607" hidden="1">
      <c r="A1607" s="121"/>
      <c r="B1607" s="121"/>
      <c r="C1607" s="121"/>
      <c r="D1607" s="121"/>
      <c r="E1607" s="133"/>
      <c r="F1607" s="133"/>
      <c r="G1607" s="121"/>
      <c r="H1607" s="121"/>
    </row>
    <row r="1608" hidden="1">
      <c r="A1608" s="121"/>
      <c r="B1608" s="121"/>
      <c r="C1608" s="121"/>
      <c r="D1608" s="121"/>
      <c r="E1608" s="133"/>
      <c r="F1608" s="133"/>
      <c r="G1608" s="121"/>
      <c r="H1608" s="121"/>
    </row>
    <row r="1609" hidden="1">
      <c r="A1609" s="121"/>
      <c r="B1609" s="121"/>
      <c r="C1609" s="121"/>
      <c r="D1609" s="121"/>
      <c r="E1609" s="133"/>
      <c r="F1609" s="133"/>
      <c r="G1609" s="121"/>
      <c r="H1609" s="121"/>
    </row>
    <row r="1610" hidden="1">
      <c r="A1610" s="121"/>
      <c r="B1610" s="121"/>
      <c r="C1610" s="121"/>
      <c r="D1610" s="121"/>
      <c r="E1610" s="133"/>
      <c r="F1610" s="133"/>
      <c r="G1610" s="121"/>
      <c r="H1610" s="121"/>
    </row>
    <row r="1611" hidden="1">
      <c r="A1611" s="121"/>
      <c r="B1611" s="121"/>
      <c r="C1611" s="121"/>
      <c r="D1611" s="121"/>
      <c r="E1611" s="133"/>
      <c r="F1611" s="133"/>
      <c r="G1611" s="121"/>
      <c r="H1611" s="121"/>
    </row>
    <row r="1612" hidden="1">
      <c r="A1612" s="121"/>
      <c r="B1612" s="121"/>
      <c r="C1612" s="121"/>
      <c r="D1612" s="121"/>
      <c r="E1612" s="133"/>
      <c r="F1612" s="133"/>
      <c r="G1612" s="121"/>
      <c r="H1612" s="121"/>
    </row>
    <row r="1613" hidden="1">
      <c r="A1613" s="121"/>
      <c r="B1613" s="121"/>
      <c r="C1613" s="121"/>
      <c r="D1613" s="121"/>
      <c r="E1613" s="133"/>
      <c r="F1613" s="133"/>
      <c r="G1613" s="121"/>
      <c r="H1613" s="121"/>
    </row>
    <row r="1614" hidden="1">
      <c r="A1614" s="121"/>
      <c r="B1614" s="121"/>
      <c r="C1614" s="121"/>
      <c r="D1614" s="121"/>
      <c r="E1614" s="133"/>
      <c r="F1614" s="133"/>
      <c r="G1614" s="121"/>
      <c r="H1614" s="121"/>
    </row>
    <row r="1615" hidden="1">
      <c r="A1615" s="121"/>
      <c r="B1615" s="121"/>
      <c r="C1615" s="121"/>
      <c r="D1615" s="121"/>
      <c r="E1615" s="133"/>
      <c r="F1615" s="133"/>
      <c r="G1615" s="121"/>
      <c r="H1615" s="121"/>
    </row>
    <row r="1616" hidden="1">
      <c r="A1616" s="121"/>
      <c r="B1616" s="121"/>
      <c r="C1616" s="121"/>
      <c r="D1616" s="121"/>
      <c r="E1616" s="133"/>
      <c r="F1616" s="133"/>
      <c r="G1616" s="121"/>
      <c r="H1616" s="121"/>
    </row>
    <row r="1617" hidden="1">
      <c r="A1617" s="121"/>
      <c r="B1617" s="121"/>
      <c r="C1617" s="121"/>
      <c r="D1617" s="121"/>
      <c r="E1617" s="133"/>
      <c r="F1617" s="133"/>
      <c r="G1617" s="121"/>
      <c r="H1617" s="121"/>
    </row>
    <row r="1618" hidden="1">
      <c r="A1618" s="121"/>
      <c r="B1618" s="121"/>
      <c r="C1618" s="121"/>
      <c r="D1618" s="121"/>
      <c r="E1618" s="133"/>
      <c r="F1618" s="133"/>
      <c r="G1618" s="121"/>
      <c r="H1618" s="121"/>
    </row>
    <row r="1619" hidden="1">
      <c r="A1619" s="121"/>
      <c r="B1619" s="121"/>
      <c r="C1619" s="121"/>
      <c r="D1619" s="121"/>
      <c r="E1619" s="133"/>
      <c r="F1619" s="133"/>
      <c r="G1619" s="121"/>
      <c r="H1619" s="121"/>
    </row>
    <row r="1620" hidden="1">
      <c r="A1620" s="121"/>
      <c r="B1620" s="121"/>
      <c r="C1620" s="121"/>
      <c r="D1620" s="121"/>
      <c r="E1620" s="133"/>
      <c r="F1620" s="133"/>
      <c r="G1620" s="121"/>
      <c r="H1620" s="121"/>
    </row>
    <row r="1621" hidden="1">
      <c r="A1621" s="121"/>
      <c r="B1621" s="121"/>
      <c r="C1621" s="121"/>
      <c r="D1621" s="121"/>
      <c r="E1621" s="133"/>
      <c r="F1621" s="133"/>
      <c r="G1621" s="121"/>
      <c r="H1621" s="121"/>
    </row>
    <row r="1622" hidden="1">
      <c r="A1622" s="121"/>
      <c r="B1622" s="121"/>
      <c r="C1622" s="121"/>
      <c r="D1622" s="121"/>
      <c r="E1622" s="133"/>
      <c r="F1622" s="133"/>
      <c r="G1622" s="121"/>
      <c r="H1622" s="121"/>
    </row>
    <row r="1623" hidden="1">
      <c r="A1623" s="121"/>
      <c r="B1623" s="121"/>
      <c r="C1623" s="121"/>
      <c r="D1623" s="121"/>
      <c r="E1623" s="133"/>
      <c r="F1623" s="133"/>
      <c r="G1623" s="121"/>
      <c r="H1623" s="121"/>
    </row>
    <row r="1624" hidden="1">
      <c r="A1624" s="121"/>
      <c r="B1624" s="121"/>
      <c r="C1624" s="121"/>
      <c r="D1624" s="121"/>
      <c r="E1624" s="133"/>
      <c r="F1624" s="133"/>
      <c r="G1624" s="121"/>
      <c r="H1624" s="121"/>
    </row>
    <row r="1625" hidden="1">
      <c r="A1625" s="121"/>
      <c r="B1625" s="121"/>
      <c r="C1625" s="121"/>
      <c r="D1625" s="121"/>
      <c r="E1625" s="133"/>
      <c r="F1625" s="133"/>
      <c r="G1625" s="121"/>
      <c r="H1625" s="121"/>
    </row>
    <row r="1626" hidden="1">
      <c r="A1626" s="121"/>
      <c r="B1626" s="121"/>
      <c r="C1626" s="121"/>
      <c r="D1626" s="121"/>
      <c r="E1626" s="133"/>
      <c r="F1626" s="133"/>
      <c r="G1626" s="121"/>
      <c r="H1626" s="121"/>
    </row>
    <row r="1627" hidden="1">
      <c r="A1627" s="121"/>
      <c r="B1627" s="121"/>
      <c r="C1627" s="121"/>
      <c r="D1627" s="121"/>
      <c r="E1627" s="133"/>
      <c r="F1627" s="133"/>
      <c r="G1627" s="121"/>
      <c r="H1627" s="121"/>
    </row>
    <row r="1628" hidden="1">
      <c r="A1628" s="121"/>
      <c r="B1628" s="121"/>
      <c r="C1628" s="121"/>
      <c r="D1628" s="121"/>
      <c r="E1628" s="133"/>
      <c r="F1628" s="133"/>
      <c r="G1628" s="121"/>
      <c r="H1628" s="121"/>
    </row>
    <row r="1629" hidden="1">
      <c r="A1629" s="121"/>
      <c r="B1629" s="121"/>
      <c r="C1629" s="121"/>
      <c r="D1629" s="121"/>
      <c r="E1629" s="133"/>
      <c r="F1629" s="133"/>
      <c r="G1629" s="121"/>
      <c r="H1629" s="121"/>
    </row>
    <row r="1630" hidden="1">
      <c r="A1630" s="121"/>
      <c r="B1630" s="121"/>
      <c r="C1630" s="121"/>
      <c r="D1630" s="121"/>
      <c r="E1630" s="133"/>
      <c r="F1630" s="133"/>
      <c r="G1630" s="121"/>
      <c r="H1630" s="121"/>
    </row>
    <row r="1631" hidden="1">
      <c r="A1631" s="121"/>
      <c r="B1631" s="121"/>
      <c r="C1631" s="121"/>
      <c r="D1631" s="121"/>
      <c r="E1631" s="133"/>
      <c r="F1631" s="133"/>
      <c r="G1631" s="121"/>
      <c r="H1631" s="121"/>
    </row>
    <row r="1632" hidden="1">
      <c r="A1632" s="121"/>
      <c r="B1632" s="121"/>
      <c r="C1632" s="121"/>
      <c r="D1632" s="121"/>
      <c r="E1632" s="133"/>
      <c r="F1632" s="133"/>
      <c r="G1632" s="121"/>
      <c r="H1632" s="121"/>
    </row>
    <row r="1633" hidden="1">
      <c r="A1633" s="121"/>
      <c r="B1633" s="121"/>
      <c r="C1633" s="121"/>
      <c r="D1633" s="121"/>
      <c r="E1633" s="133"/>
      <c r="F1633" s="133"/>
      <c r="G1633" s="121"/>
      <c r="H1633" s="121"/>
    </row>
    <row r="1634" hidden="1">
      <c r="A1634" s="121"/>
      <c r="B1634" s="121"/>
      <c r="C1634" s="121"/>
      <c r="D1634" s="121"/>
      <c r="E1634" s="133"/>
      <c r="F1634" s="133"/>
      <c r="G1634" s="121"/>
      <c r="H1634" s="121"/>
    </row>
    <row r="1635" hidden="1">
      <c r="A1635" s="121"/>
      <c r="B1635" s="121"/>
      <c r="C1635" s="121"/>
      <c r="D1635" s="121"/>
      <c r="E1635" s="133"/>
      <c r="F1635" s="133"/>
      <c r="G1635" s="121"/>
      <c r="H1635" s="121"/>
    </row>
    <row r="1636" hidden="1">
      <c r="A1636" s="121"/>
      <c r="B1636" s="121"/>
      <c r="C1636" s="121"/>
      <c r="D1636" s="121"/>
      <c r="E1636" s="133"/>
      <c r="F1636" s="133"/>
      <c r="G1636" s="121"/>
      <c r="H1636" s="121"/>
    </row>
    <row r="1637" hidden="1">
      <c r="A1637" s="121"/>
      <c r="B1637" s="121"/>
      <c r="C1637" s="121"/>
      <c r="D1637" s="121"/>
      <c r="E1637" s="133"/>
      <c r="F1637" s="133"/>
      <c r="G1637" s="121"/>
      <c r="H1637" s="121"/>
    </row>
    <row r="1638" hidden="1">
      <c r="A1638" s="121"/>
      <c r="B1638" s="121"/>
      <c r="C1638" s="121"/>
      <c r="D1638" s="121"/>
      <c r="E1638" s="133"/>
      <c r="F1638" s="133"/>
      <c r="G1638" s="121"/>
      <c r="H1638" s="121"/>
    </row>
    <row r="1639" hidden="1">
      <c r="A1639" s="121"/>
      <c r="B1639" s="121"/>
      <c r="C1639" s="121"/>
      <c r="D1639" s="121"/>
      <c r="E1639" s="133"/>
      <c r="F1639" s="133"/>
      <c r="G1639" s="121"/>
      <c r="H1639" s="121"/>
    </row>
    <row r="1640" hidden="1">
      <c r="A1640" s="121"/>
      <c r="B1640" s="121"/>
      <c r="C1640" s="121"/>
      <c r="D1640" s="121"/>
      <c r="E1640" s="133"/>
      <c r="F1640" s="133"/>
      <c r="G1640" s="121"/>
      <c r="H1640" s="121"/>
    </row>
    <row r="1641" hidden="1">
      <c r="A1641" s="121"/>
      <c r="B1641" s="121"/>
      <c r="C1641" s="121"/>
      <c r="D1641" s="121"/>
      <c r="E1641" s="133"/>
      <c r="F1641" s="133"/>
      <c r="G1641" s="121"/>
      <c r="H1641" s="121"/>
    </row>
    <row r="1642" hidden="1">
      <c r="A1642" s="121"/>
      <c r="B1642" s="121"/>
      <c r="C1642" s="121"/>
      <c r="D1642" s="121"/>
      <c r="E1642" s="133"/>
      <c r="F1642" s="133"/>
      <c r="G1642" s="121"/>
      <c r="H1642" s="121"/>
    </row>
    <row r="1643" hidden="1">
      <c r="A1643" s="121"/>
      <c r="B1643" s="121"/>
      <c r="C1643" s="121"/>
      <c r="D1643" s="121"/>
      <c r="E1643" s="133"/>
      <c r="F1643" s="133"/>
      <c r="G1643" s="121"/>
      <c r="H1643" s="121"/>
    </row>
    <row r="1644" hidden="1">
      <c r="A1644" s="121"/>
      <c r="B1644" s="121"/>
      <c r="C1644" s="121"/>
      <c r="D1644" s="121"/>
      <c r="E1644" s="133"/>
      <c r="F1644" s="133"/>
      <c r="G1644" s="121"/>
      <c r="H1644" s="121"/>
    </row>
    <row r="1645" hidden="1">
      <c r="A1645" s="121"/>
      <c r="B1645" s="121"/>
      <c r="C1645" s="121"/>
      <c r="D1645" s="121"/>
      <c r="E1645" s="133"/>
      <c r="F1645" s="133"/>
      <c r="G1645" s="121"/>
      <c r="H1645" s="121"/>
    </row>
    <row r="1646" hidden="1">
      <c r="A1646" s="121"/>
      <c r="B1646" s="121"/>
      <c r="C1646" s="121"/>
      <c r="D1646" s="121"/>
      <c r="E1646" s="133"/>
      <c r="F1646" s="133"/>
      <c r="G1646" s="121"/>
      <c r="H1646" s="121"/>
    </row>
    <row r="1647" hidden="1">
      <c r="A1647" s="121"/>
      <c r="B1647" s="121"/>
      <c r="C1647" s="121"/>
      <c r="D1647" s="121"/>
      <c r="E1647" s="133"/>
      <c r="F1647" s="133"/>
      <c r="G1647" s="121"/>
      <c r="H1647" s="121"/>
    </row>
    <row r="1648" hidden="1">
      <c r="A1648" s="121"/>
      <c r="B1648" s="121"/>
      <c r="C1648" s="121"/>
      <c r="D1648" s="121"/>
      <c r="E1648" s="133"/>
      <c r="F1648" s="133"/>
      <c r="G1648" s="121"/>
      <c r="H1648" s="121"/>
    </row>
    <row r="1649" hidden="1">
      <c r="A1649" s="121"/>
      <c r="B1649" s="121"/>
      <c r="C1649" s="121"/>
      <c r="D1649" s="121"/>
      <c r="E1649" s="133"/>
      <c r="F1649" s="133"/>
      <c r="G1649" s="121"/>
      <c r="H1649" s="121"/>
    </row>
    <row r="1650" hidden="1">
      <c r="A1650" s="121"/>
      <c r="B1650" s="121"/>
      <c r="C1650" s="121"/>
      <c r="D1650" s="121"/>
      <c r="E1650" s="133"/>
      <c r="F1650" s="133"/>
      <c r="G1650" s="121"/>
      <c r="H1650" s="121"/>
    </row>
    <row r="1651" hidden="1">
      <c r="A1651" s="121"/>
      <c r="B1651" s="121"/>
      <c r="C1651" s="121"/>
      <c r="D1651" s="121"/>
      <c r="E1651" s="133"/>
      <c r="F1651" s="133"/>
      <c r="G1651" s="121"/>
      <c r="H1651" s="121"/>
    </row>
    <row r="1652" hidden="1">
      <c r="A1652" s="121"/>
      <c r="B1652" s="121"/>
      <c r="C1652" s="121"/>
      <c r="D1652" s="121"/>
      <c r="E1652" s="133"/>
      <c r="F1652" s="133"/>
      <c r="G1652" s="121"/>
      <c r="H1652" s="121"/>
    </row>
    <row r="1653" hidden="1">
      <c r="A1653" s="121"/>
      <c r="B1653" s="121"/>
      <c r="C1653" s="121"/>
      <c r="D1653" s="121"/>
      <c r="E1653" s="133"/>
      <c r="F1653" s="133"/>
      <c r="G1653" s="121"/>
      <c r="H1653" s="121"/>
    </row>
    <row r="1654" hidden="1">
      <c r="A1654" s="121"/>
      <c r="B1654" s="121"/>
      <c r="C1654" s="121"/>
      <c r="D1654" s="121"/>
      <c r="E1654" s="133"/>
      <c r="F1654" s="133"/>
      <c r="G1654" s="121"/>
      <c r="H1654" s="121"/>
    </row>
    <row r="1655" hidden="1">
      <c r="A1655" s="121"/>
      <c r="B1655" s="121"/>
      <c r="C1655" s="121"/>
      <c r="D1655" s="121"/>
      <c r="E1655" s="133"/>
      <c r="F1655" s="133"/>
      <c r="G1655" s="121"/>
      <c r="H1655" s="121"/>
    </row>
    <row r="1656" hidden="1">
      <c r="A1656" s="121"/>
      <c r="B1656" s="121"/>
      <c r="C1656" s="121"/>
      <c r="D1656" s="121"/>
      <c r="E1656" s="133"/>
      <c r="F1656" s="133"/>
      <c r="G1656" s="121"/>
      <c r="H1656" s="121"/>
    </row>
    <row r="1657" hidden="1">
      <c r="A1657" s="121"/>
      <c r="B1657" s="121"/>
      <c r="C1657" s="121"/>
      <c r="D1657" s="121"/>
      <c r="E1657" s="133"/>
      <c r="F1657" s="133"/>
      <c r="G1657" s="121"/>
      <c r="H1657" s="121"/>
    </row>
    <row r="1658" hidden="1">
      <c r="A1658" s="121"/>
      <c r="B1658" s="121"/>
      <c r="C1658" s="121"/>
      <c r="D1658" s="121"/>
      <c r="E1658" s="133"/>
      <c r="F1658" s="133"/>
      <c r="G1658" s="121"/>
      <c r="H1658" s="121"/>
    </row>
    <row r="1659" hidden="1">
      <c r="A1659" s="121"/>
      <c r="B1659" s="121"/>
      <c r="C1659" s="121"/>
      <c r="D1659" s="121"/>
      <c r="E1659" s="133"/>
      <c r="F1659" s="133"/>
      <c r="G1659" s="121"/>
      <c r="H1659" s="121"/>
    </row>
    <row r="1660" hidden="1">
      <c r="A1660" s="121"/>
      <c r="B1660" s="121"/>
      <c r="C1660" s="121"/>
      <c r="D1660" s="121"/>
      <c r="E1660" s="133"/>
      <c r="F1660" s="133"/>
      <c r="G1660" s="121"/>
      <c r="H1660" s="121"/>
    </row>
    <row r="1661" hidden="1">
      <c r="A1661" s="121"/>
      <c r="B1661" s="121"/>
      <c r="C1661" s="121"/>
      <c r="D1661" s="121"/>
      <c r="E1661" s="133"/>
      <c r="F1661" s="133"/>
      <c r="G1661" s="121"/>
      <c r="H1661" s="121"/>
    </row>
    <row r="1662" hidden="1">
      <c r="A1662" s="121"/>
      <c r="B1662" s="121"/>
      <c r="C1662" s="121"/>
      <c r="D1662" s="121"/>
      <c r="E1662" s="133"/>
      <c r="F1662" s="133"/>
      <c r="G1662" s="121"/>
      <c r="H1662" s="121"/>
    </row>
    <row r="1663" hidden="1">
      <c r="A1663" s="121"/>
      <c r="B1663" s="121"/>
      <c r="C1663" s="121"/>
      <c r="D1663" s="121"/>
      <c r="E1663" s="133"/>
      <c r="F1663" s="133"/>
      <c r="G1663" s="121"/>
      <c r="H1663" s="121"/>
    </row>
    <row r="1664" hidden="1">
      <c r="A1664" s="121"/>
      <c r="B1664" s="121"/>
      <c r="C1664" s="121"/>
      <c r="D1664" s="121"/>
      <c r="E1664" s="133"/>
      <c r="F1664" s="133"/>
      <c r="G1664" s="121"/>
      <c r="H1664" s="121"/>
    </row>
    <row r="1665" hidden="1">
      <c r="A1665" s="121"/>
      <c r="B1665" s="121"/>
      <c r="C1665" s="121"/>
      <c r="D1665" s="121"/>
      <c r="E1665" s="133"/>
      <c r="F1665" s="133"/>
      <c r="G1665" s="121"/>
      <c r="H1665" s="121"/>
    </row>
    <row r="1666" hidden="1">
      <c r="A1666" s="121"/>
      <c r="B1666" s="121"/>
      <c r="C1666" s="121"/>
      <c r="D1666" s="121"/>
      <c r="E1666" s="133"/>
      <c r="F1666" s="133"/>
      <c r="G1666" s="121"/>
      <c r="H1666" s="121"/>
    </row>
    <row r="1667" hidden="1">
      <c r="A1667" s="121"/>
      <c r="B1667" s="121"/>
      <c r="C1667" s="121"/>
      <c r="D1667" s="121"/>
      <c r="E1667" s="133"/>
      <c r="F1667" s="133"/>
      <c r="G1667" s="121"/>
      <c r="H1667" s="121"/>
    </row>
    <row r="1668" hidden="1">
      <c r="A1668" s="121"/>
      <c r="B1668" s="121"/>
      <c r="C1668" s="121"/>
      <c r="D1668" s="121"/>
      <c r="E1668" s="133"/>
      <c r="F1668" s="133"/>
      <c r="G1668" s="121"/>
      <c r="H1668" s="121"/>
    </row>
    <row r="1669" hidden="1">
      <c r="A1669" s="121"/>
      <c r="B1669" s="121"/>
      <c r="C1669" s="121"/>
      <c r="D1669" s="121"/>
      <c r="E1669" s="133"/>
      <c r="F1669" s="133"/>
      <c r="G1669" s="121"/>
      <c r="H1669" s="121"/>
    </row>
    <row r="1670" hidden="1">
      <c r="A1670" s="121"/>
      <c r="B1670" s="121"/>
      <c r="C1670" s="121"/>
      <c r="D1670" s="121"/>
      <c r="E1670" s="133"/>
      <c r="F1670" s="133"/>
      <c r="G1670" s="121"/>
      <c r="H1670" s="121"/>
    </row>
    <row r="1671" hidden="1">
      <c r="A1671" s="121"/>
      <c r="B1671" s="121"/>
      <c r="C1671" s="121"/>
      <c r="D1671" s="121"/>
      <c r="E1671" s="133"/>
      <c r="F1671" s="133"/>
      <c r="G1671" s="121"/>
      <c r="H1671" s="121"/>
    </row>
    <row r="1672" hidden="1">
      <c r="A1672" s="121"/>
      <c r="B1672" s="121"/>
      <c r="C1672" s="121"/>
      <c r="D1672" s="121"/>
      <c r="E1672" s="133"/>
      <c r="F1672" s="133"/>
      <c r="G1672" s="121"/>
      <c r="H1672" s="121"/>
    </row>
    <row r="1673" hidden="1">
      <c r="A1673" s="121"/>
      <c r="B1673" s="121"/>
      <c r="C1673" s="121"/>
      <c r="D1673" s="121"/>
      <c r="E1673" s="133"/>
      <c r="F1673" s="133"/>
      <c r="G1673" s="121"/>
      <c r="H1673" s="121"/>
    </row>
    <row r="1674" hidden="1">
      <c r="A1674" s="121"/>
      <c r="B1674" s="121"/>
      <c r="C1674" s="121"/>
      <c r="D1674" s="121"/>
      <c r="E1674" s="133"/>
      <c r="F1674" s="133"/>
      <c r="G1674" s="121"/>
      <c r="H1674" s="121"/>
    </row>
    <row r="1675" hidden="1">
      <c r="A1675" s="121"/>
      <c r="B1675" s="121"/>
      <c r="C1675" s="121"/>
      <c r="D1675" s="121"/>
      <c r="E1675" s="133"/>
      <c r="F1675" s="133"/>
      <c r="G1675" s="121"/>
      <c r="H1675" s="121"/>
    </row>
    <row r="1676" hidden="1">
      <c r="A1676" s="121"/>
      <c r="B1676" s="121"/>
      <c r="C1676" s="121"/>
      <c r="D1676" s="121"/>
      <c r="E1676" s="133"/>
      <c r="F1676" s="133"/>
      <c r="G1676" s="121"/>
      <c r="H1676" s="121"/>
    </row>
    <row r="1677" hidden="1">
      <c r="A1677" s="121"/>
      <c r="B1677" s="121"/>
      <c r="C1677" s="121"/>
      <c r="D1677" s="121"/>
      <c r="E1677" s="133"/>
      <c r="F1677" s="133"/>
      <c r="G1677" s="121"/>
      <c r="H1677" s="121"/>
    </row>
    <row r="1678" hidden="1">
      <c r="A1678" s="121"/>
      <c r="B1678" s="121"/>
      <c r="C1678" s="121"/>
      <c r="D1678" s="121"/>
      <c r="E1678" s="133"/>
      <c r="F1678" s="133"/>
      <c r="G1678" s="121"/>
      <c r="H1678" s="121"/>
    </row>
    <row r="1679" hidden="1">
      <c r="A1679" s="121"/>
      <c r="B1679" s="121"/>
      <c r="C1679" s="121"/>
      <c r="D1679" s="121"/>
      <c r="E1679" s="133"/>
      <c r="F1679" s="133"/>
      <c r="G1679" s="121"/>
      <c r="H1679" s="121"/>
    </row>
    <row r="1680" hidden="1">
      <c r="A1680" s="121"/>
      <c r="B1680" s="121"/>
      <c r="C1680" s="121"/>
      <c r="D1680" s="121"/>
      <c r="E1680" s="133"/>
      <c r="F1680" s="133"/>
      <c r="G1680" s="121"/>
      <c r="H1680" s="121"/>
    </row>
    <row r="1681" hidden="1">
      <c r="A1681" s="121"/>
      <c r="B1681" s="121"/>
      <c r="C1681" s="121"/>
      <c r="D1681" s="121"/>
      <c r="E1681" s="133"/>
      <c r="F1681" s="133"/>
      <c r="G1681" s="121"/>
      <c r="H1681" s="121"/>
    </row>
    <row r="1682" hidden="1">
      <c r="A1682" s="121"/>
      <c r="B1682" s="121"/>
      <c r="C1682" s="121"/>
      <c r="D1682" s="121"/>
      <c r="E1682" s="133"/>
      <c r="F1682" s="133"/>
      <c r="G1682" s="121"/>
      <c r="H1682" s="121"/>
    </row>
    <row r="1683" hidden="1">
      <c r="A1683" s="121"/>
      <c r="B1683" s="121"/>
      <c r="C1683" s="121"/>
      <c r="D1683" s="121"/>
      <c r="E1683" s="133"/>
      <c r="F1683" s="133"/>
      <c r="G1683" s="121"/>
      <c r="H1683" s="121"/>
    </row>
    <row r="1684" hidden="1">
      <c r="A1684" s="121"/>
      <c r="B1684" s="121"/>
      <c r="C1684" s="121"/>
      <c r="D1684" s="121"/>
      <c r="E1684" s="133"/>
      <c r="F1684" s="133"/>
      <c r="G1684" s="121"/>
      <c r="H1684" s="121"/>
    </row>
    <row r="1685" hidden="1">
      <c r="A1685" s="121"/>
      <c r="B1685" s="121"/>
      <c r="C1685" s="121"/>
      <c r="D1685" s="121"/>
      <c r="E1685" s="133"/>
      <c r="F1685" s="133"/>
      <c r="G1685" s="121"/>
      <c r="H1685" s="121"/>
    </row>
    <row r="1686" hidden="1">
      <c r="A1686" s="121"/>
      <c r="B1686" s="121"/>
      <c r="C1686" s="121"/>
      <c r="D1686" s="121"/>
      <c r="E1686" s="133"/>
      <c r="F1686" s="133"/>
      <c r="G1686" s="121"/>
      <c r="H1686" s="121"/>
    </row>
    <row r="1687" hidden="1">
      <c r="A1687" s="121"/>
      <c r="B1687" s="121"/>
      <c r="C1687" s="121"/>
      <c r="D1687" s="121"/>
      <c r="E1687" s="133"/>
      <c r="F1687" s="133"/>
      <c r="G1687" s="121"/>
      <c r="H1687" s="121"/>
    </row>
    <row r="1688" hidden="1">
      <c r="A1688" s="121"/>
      <c r="B1688" s="121"/>
      <c r="C1688" s="121"/>
      <c r="D1688" s="121"/>
      <c r="E1688" s="133"/>
      <c r="F1688" s="133"/>
      <c r="G1688" s="121"/>
      <c r="H1688" s="121"/>
    </row>
    <row r="1689" hidden="1">
      <c r="A1689" s="121"/>
      <c r="B1689" s="121"/>
      <c r="C1689" s="121"/>
      <c r="D1689" s="121"/>
      <c r="E1689" s="133"/>
      <c r="F1689" s="133"/>
      <c r="G1689" s="121"/>
      <c r="H1689" s="121"/>
    </row>
    <row r="1690" hidden="1">
      <c r="A1690" s="121"/>
      <c r="B1690" s="121"/>
      <c r="C1690" s="121"/>
      <c r="D1690" s="121"/>
      <c r="E1690" s="133"/>
      <c r="F1690" s="133"/>
      <c r="G1690" s="121"/>
      <c r="H1690" s="121"/>
    </row>
    <row r="1691" hidden="1">
      <c r="A1691" s="121"/>
      <c r="B1691" s="121"/>
      <c r="C1691" s="121"/>
      <c r="D1691" s="121"/>
      <c r="E1691" s="133"/>
      <c r="F1691" s="133"/>
      <c r="G1691" s="121"/>
      <c r="H1691" s="121"/>
    </row>
    <row r="1692" hidden="1">
      <c r="A1692" s="121"/>
      <c r="B1692" s="121"/>
      <c r="C1692" s="121"/>
      <c r="D1692" s="121"/>
      <c r="E1692" s="133"/>
      <c r="F1692" s="133"/>
      <c r="G1692" s="121"/>
      <c r="H1692" s="121"/>
    </row>
    <row r="1693" hidden="1">
      <c r="A1693" s="121"/>
      <c r="B1693" s="121"/>
      <c r="C1693" s="121"/>
      <c r="D1693" s="121"/>
      <c r="E1693" s="133"/>
      <c r="F1693" s="133"/>
      <c r="G1693" s="121"/>
      <c r="H1693" s="121"/>
    </row>
    <row r="1694" hidden="1">
      <c r="A1694" s="121"/>
      <c r="B1694" s="121"/>
      <c r="C1694" s="121"/>
      <c r="D1694" s="121"/>
      <c r="E1694" s="133"/>
      <c r="F1694" s="133"/>
      <c r="G1694" s="121"/>
      <c r="H1694" s="121"/>
    </row>
    <row r="1695" hidden="1">
      <c r="A1695" s="121"/>
      <c r="B1695" s="121"/>
      <c r="C1695" s="121"/>
      <c r="D1695" s="121"/>
      <c r="E1695" s="133"/>
      <c r="F1695" s="133"/>
      <c r="G1695" s="121"/>
      <c r="H1695" s="121"/>
    </row>
    <row r="1696" hidden="1">
      <c r="A1696" s="121"/>
      <c r="B1696" s="121"/>
      <c r="C1696" s="121"/>
      <c r="D1696" s="121"/>
      <c r="E1696" s="133"/>
      <c r="F1696" s="133"/>
      <c r="G1696" s="121"/>
      <c r="H1696" s="121"/>
    </row>
    <row r="1697" hidden="1">
      <c r="A1697" s="121"/>
      <c r="B1697" s="121"/>
      <c r="C1697" s="121"/>
      <c r="D1697" s="121"/>
      <c r="E1697" s="133"/>
      <c r="F1697" s="133"/>
      <c r="G1697" s="121"/>
      <c r="H1697" s="121"/>
    </row>
    <row r="1698" hidden="1">
      <c r="A1698" s="121"/>
      <c r="B1698" s="121"/>
      <c r="C1698" s="121"/>
      <c r="D1698" s="121"/>
      <c r="E1698" s="133"/>
      <c r="F1698" s="133"/>
      <c r="G1698" s="121"/>
      <c r="H1698" s="121"/>
    </row>
    <row r="1699" hidden="1">
      <c r="A1699" s="121"/>
      <c r="B1699" s="121"/>
      <c r="C1699" s="121"/>
      <c r="D1699" s="121"/>
      <c r="E1699" s="133"/>
      <c r="F1699" s="133"/>
      <c r="G1699" s="121"/>
      <c r="H1699" s="121"/>
    </row>
    <row r="1700" hidden="1">
      <c r="A1700" s="121"/>
      <c r="B1700" s="121"/>
      <c r="C1700" s="121"/>
      <c r="D1700" s="121"/>
      <c r="E1700" s="133"/>
      <c r="F1700" s="133"/>
      <c r="G1700" s="121"/>
      <c r="H1700" s="121"/>
    </row>
    <row r="1701" hidden="1">
      <c r="A1701" s="121"/>
      <c r="B1701" s="121"/>
      <c r="C1701" s="121"/>
      <c r="D1701" s="121"/>
      <c r="E1701" s="133"/>
      <c r="F1701" s="133"/>
      <c r="G1701" s="121"/>
      <c r="H1701" s="121"/>
    </row>
    <row r="1702" hidden="1">
      <c r="A1702" s="121"/>
      <c r="B1702" s="121"/>
      <c r="C1702" s="121"/>
      <c r="D1702" s="121"/>
      <c r="E1702" s="133"/>
      <c r="F1702" s="133"/>
      <c r="G1702" s="121"/>
      <c r="H1702" s="121"/>
    </row>
    <row r="1703" hidden="1">
      <c r="A1703" s="121"/>
      <c r="B1703" s="121"/>
      <c r="C1703" s="121"/>
      <c r="D1703" s="121"/>
      <c r="E1703" s="133"/>
      <c r="F1703" s="133"/>
      <c r="G1703" s="121"/>
      <c r="H1703" s="121"/>
    </row>
    <row r="1704" hidden="1">
      <c r="A1704" s="121"/>
      <c r="B1704" s="121"/>
      <c r="C1704" s="121"/>
      <c r="D1704" s="121"/>
      <c r="E1704" s="133"/>
      <c r="F1704" s="133"/>
      <c r="G1704" s="121"/>
      <c r="H1704" s="121"/>
    </row>
    <row r="1705" hidden="1">
      <c r="A1705" s="121"/>
      <c r="B1705" s="121"/>
      <c r="C1705" s="121"/>
      <c r="D1705" s="121"/>
      <c r="E1705" s="133"/>
      <c r="F1705" s="133"/>
      <c r="G1705" s="121"/>
      <c r="H1705" s="121"/>
    </row>
    <row r="1706" hidden="1">
      <c r="A1706" s="121"/>
      <c r="B1706" s="121"/>
      <c r="C1706" s="121"/>
      <c r="D1706" s="121"/>
      <c r="E1706" s="133"/>
      <c r="F1706" s="133"/>
      <c r="G1706" s="121"/>
      <c r="H1706" s="121"/>
    </row>
    <row r="1707" hidden="1">
      <c r="A1707" s="121"/>
      <c r="B1707" s="121"/>
      <c r="C1707" s="121"/>
      <c r="D1707" s="121"/>
      <c r="E1707" s="133"/>
      <c r="F1707" s="133"/>
      <c r="G1707" s="121"/>
      <c r="H1707" s="121"/>
    </row>
    <row r="1708" hidden="1">
      <c r="A1708" s="121"/>
      <c r="B1708" s="121"/>
      <c r="C1708" s="121"/>
      <c r="D1708" s="121"/>
      <c r="E1708" s="133"/>
      <c r="F1708" s="133"/>
      <c r="G1708" s="121"/>
      <c r="H1708" s="121"/>
    </row>
    <row r="1709" hidden="1">
      <c r="A1709" s="121"/>
      <c r="B1709" s="121"/>
      <c r="C1709" s="121"/>
      <c r="D1709" s="121"/>
      <c r="E1709" s="133"/>
      <c r="F1709" s="133"/>
      <c r="G1709" s="121"/>
      <c r="H1709" s="121"/>
    </row>
    <row r="1710" hidden="1">
      <c r="A1710" s="121"/>
      <c r="B1710" s="121"/>
      <c r="C1710" s="121"/>
      <c r="D1710" s="121"/>
      <c r="E1710" s="133"/>
      <c r="F1710" s="133"/>
      <c r="G1710" s="121"/>
      <c r="H1710" s="121"/>
    </row>
    <row r="1711" hidden="1">
      <c r="A1711" s="121"/>
      <c r="B1711" s="121"/>
      <c r="C1711" s="121"/>
      <c r="D1711" s="121"/>
      <c r="E1711" s="133"/>
      <c r="F1711" s="133"/>
      <c r="G1711" s="121"/>
      <c r="H1711" s="121"/>
    </row>
    <row r="1712" hidden="1">
      <c r="A1712" s="121"/>
      <c r="B1712" s="121"/>
      <c r="C1712" s="121"/>
      <c r="D1712" s="121"/>
      <c r="E1712" s="133"/>
      <c r="F1712" s="133"/>
      <c r="G1712" s="121"/>
      <c r="H1712" s="121"/>
    </row>
    <row r="1713" hidden="1">
      <c r="A1713" s="121"/>
      <c r="B1713" s="121"/>
      <c r="C1713" s="121"/>
      <c r="D1713" s="121"/>
      <c r="E1713" s="133"/>
      <c r="F1713" s="133"/>
      <c r="G1713" s="121"/>
      <c r="H1713" s="121"/>
    </row>
    <row r="1714" hidden="1">
      <c r="A1714" s="121"/>
      <c r="B1714" s="121"/>
      <c r="C1714" s="121"/>
      <c r="D1714" s="121"/>
      <c r="E1714" s="133"/>
      <c r="F1714" s="133"/>
      <c r="G1714" s="121"/>
      <c r="H1714" s="121"/>
    </row>
    <row r="1715" hidden="1">
      <c r="A1715" s="121"/>
      <c r="B1715" s="121"/>
      <c r="C1715" s="121"/>
      <c r="D1715" s="121"/>
      <c r="E1715" s="133"/>
      <c r="F1715" s="133"/>
      <c r="G1715" s="121"/>
      <c r="H1715" s="121"/>
    </row>
    <row r="1716" hidden="1">
      <c r="A1716" s="121"/>
      <c r="B1716" s="121"/>
      <c r="C1716" s="121"/>
      <c r="D1716" s="121"/>
      <c r="E1716" s="133"/>
      <c r="F1716" s="133"/>
      <c r="G1716" s="121"/>
      <c r="H1716" s="121"/>
    </row>
    <row r="1717" hidden="1">
      <c r="A1717" s="121"/>
      <c r="B1717" s="121"/>
      <c r="C1717" s="121"/>
      <c r="D1717" s="121"/>
      <c r="E1717" s="133"/>
      <c r="F1717" s="133"/>
      <c r="G1717" s="121"/>
      <c r="H1717" s="121"/>
    </row>
    <row r="1718" hidden="1">
      <c r="A1718" s="121"/>
      <c r="B1718" s="121"/>
      <c r="C1718" s="121"/>
      <c r="D1718" s="121"/>
      <c r="E1718" s="133"/>
      <c r="F1718" s="133"/>
      <c r="G1718" s="121"/>
      <c r="H1718" s="121"/>
    </row>
    <row r="1719" hidden="1">
      <c r="A1719" s="121"/>
      <c r="B1719" s="121"/>
      <c r="C1719" s="121"/>
      <c r="D1719" s="121"/>
      <c r="E1719" s="133"/>
      <c r="F1719" s="133"/>
      <c r="G1719" s="121"/>
      <c r="H1719" s="121"/>
    </row>
    <row r="1720" hidden="1">
      <c r="A1720" s="121"/>
      <c r="B1720" s="121"/>
      <c r="C1720" s="121"/>
      <c r="D1720" s="121"/>
      <c r="E1720" s="133"/>
      <c r="F1720" s="133"/>
      <c r="G1720" s="121"/>
      <c r="H1720" s="121"/>
    </row>
    <row r="1721" hidden="1">
      <c r="A1721" s="121"/>
      <c r="B1721" s="121"/>
      <c r="C1721" s="121"/>
      <c r="D1721" s="121"/>
      <c r="E1721" s="133"/>
      <c r="F1721" s="133"/>
      <c r="G1721" s="121"/>
      <c r="H1721" s="121"/>
    </row>
    <row r="1722" hidden="1">
      <c r="A1722" s="121"/>
      <c r="B1722" s="121"/>
      <c r="C1722" s="121"/>
      <c r="D1722" s="121"/>
      <c r="E1722" s="133"/>
      <c r="F1722" s="133"/>
      <c r="G1722" s="121"/>
      <c r="H1722" s="121"/>
    </row>
    <row r="1723" hidden="1">
      <c r="A1723" s="121"/>
      <c r="B1723" s="121"/>
      <c r="C1723" s="121"/>
      <c r="D1723" s="121"/>
      <c r="E1723" s="133"/>
      <c r="F1723" s="133"/>
      <c r="G1723" s="121"/>
      <c r="H1723" s="121"/>
    </row>
    <row r="1724" hidden="1">
      <c r="A1724" s="121"/>
      <c r="B1724" s="121"/>
      <c r="C1724" s="121"/>
      <c r="D1724" s="121"/>
      <c r="E1724" s="133"/>
      <c r="F1724" s="133"/>
      <c r="G1724" s="121"/>
      <c r="H1724" s="121"/>
    </row>
    <row r="1725" hidden="1">
      <c r="A1725" s="121"/>
      <c r="B1725" s="121"/>
      <c r="C1725" s="121"/>
      <c r="D1725" s="121"/>
      <c r="E1725" s="133"/>
      <c r="F1725" s="133"/>
      <c r="G1725" s="121"/>
      <c r="H1725" s="121"/>
    </row>
    <row r="1726" hidden="1">
      <c r="A1726" s="121"/>
      <c r="B1726" s="121"/>
      <c r="C1726" s="121"/>
      <c r="D1726" s="121"/>
      <c r="E1726" s="133"/>
      <c r="F1726" s="133"/>
      <c r="G1726" s="121"/>
      <c r="H1726" s="121"/>
    </row>
    <row r="1727" hidden="1">
      <c r="A1727" s="121"/>
      <c r="B1727" s="121"/>
      <c r="C1727" s="121"/>
      <c r="D1727" s="121"/>
      <c r="E1727" s="133"/>
      <c r="F1727" s="133"/>
      <c r="G1727" s="121"/>
      <c r="H1727" s="121"/>
    </row>
    <row r="1728" hidden="1">
      <c r="A1728" s="121"/>
      <c r="B1728" s="121"/>
      <c r="C1728" s="121"/>
      <c r="D1728" s="121"/>
      <c r="E1728" s="133"/>
      <c r="F1728" s="133"/>
      <c r="G1728" s="121"/>
      <c r="H1728" s="121"/>
    </row>
    <row r="1729" hidden="1">
      <c r="A1729" s="121"/>
      <c r="B1729" s="121"/>
      <c r="C1729" s="121"/>
      <c r="D1729" s="121"/>
      <c r="E1729" s="133"/>
      <c r="F1729" s="133"/>
      <c r="G1729" s="121"/>
      <c r="H1729" s="121"/>
    </row>
    <row r="1730" hidden="1">
      <c r="A1730" s="121"/>
      <c r="B1730" s="121"/>
      <c r="C1730" s="121"/>
      <c r="D1730" s="121"/>
      <c r="E1730" s="133"/>
      <c r="F1730" s="133"/>
      <c r="G1730" s="121"/>
      <c r="H1730" s="121"/>
    </row>
    <row r="1731" hidden="1">
      <c r="A1731" s="121"/>
      <c r="B1731" s="121"/>
      <c r="C1731" s="121"/>
      <c r="D1731" s="121"/>
      <c r="E1731" s="133"/>
      <c r="F1731" s="133"/>
      <c r="G1731" s="121"/>
      <c r="H1731" s="121"/>
    </row>
    <row r="1732" hidden="1">
      <c r="A1732" s="121"/>
      <c r="B1732" s="121"/>
      <c r="C1732" s="121"/>
      <c r="D1732" s="121"/>
      <c r="E1732" s="133"/>
      <c r="F1732" s="133"/>
      <c r="G1732" s="121"/>
      <c r="H1732" s="121"/>
    </row>
    <row r="1733" hidden="1">
      <c r="A1733" s="121"/>
      <c r="B1733" s="121"/>
      <c r="C1733" s="121"/>
      <c r="D1733" s="121"/>
      <c r="E1733" s="133"/>
      <c r="F1733" s="133"/>
      <c r="G1733" s="121"/>
      <c r="H1733" s="121"/>
    </row>
    <row r="1734" hidden="1">
      <c r="A1734" s="121"/>
      <c r="B1734" s="121"/>
      <c r="C1734" s="121"/>
      <c r="D1734" s="121"/>
      <c r="E1734" s="133"/>
      <c r="F1734" s="133"/>
      <c r="G1734" s="121"/>
      <c r="H1734" s="121"/>
    </row>
    <row r="1735" hidden="1">
      <c r="A1735" s="121"/>
      <c r="B1735" s="121"/>
      <c r="C1735" s="121"/>
      <c r="D1735" s="121"/>
      <c r="E1735" s="133"/>
      <c r="F1735" s="133"/>
      <c r="G1735" s="121"/>
      <c r="H1735" s="121"/>
    </row>
    <row r="1736" hidden="1">
      <c r="A1736" s="121"/>
      <c r="B1736" s="121"/>
      <c r="C1736" s="121"/>
      <c r="D1736" s="121"/>
      <c r="E1736" s="133"/>
      <c r="F1736" s="133"/>
      <c r="G1736" s="121"/>
      <c r="H1736" s="121"/>
    </row>
    <row r="1737" hidden="1">
      <c r="A1737" s="121"/>
      <c r="B1737" s="121"/>
      <c r="C1737" s="121"/>
      <c r="D1737" s="121"/>
      <c r="E1737" s="133"/>
      <c r="F1737" s="133"/>
      <c r="G1737" s="121"/>
      <c r="H1737" s="121"/>
    </row>
    <row r="1738" hidden="1">
      <c r="A1738" s="121"/>
      <c r="B1738" s="121"/>
      <c r="C1738" s="121"/>
      <c r="D1738" s="121"/>
      <c r="E1738" s="133"/>
      <c r="F1738" s="133"/>
      <c r="G1738" s="121"/>
      <c r="H1738" s="121"/>
    </row>
    <row r="1739" hidden="1">
      <c r="A1739" s="121"/>
      <c r="B1739" s="121"/>
      <c r="C1739" s="121"/>
      <c r="D1739" s="121"/>
      <c r="E1739" s="133"/>
      <c r="F1739" s="133"/>
      <c r="G1739" s="121"/>
      <c r="H1739" s="121"/>
    </row>
    <row r="1740" hidden="1">
      <c r="A1740" s="121"/>
      <c r="B1740" s="121"/>
      <c r="C1740" s="121"/>
      <c r="D1740" s="121"/>
      <c r="E1740" s="133"/>
      <c r="F1740" s="133"/>
      <c r="G1740" s="121"/>
      <c r="H1740" s="121"/>
    </row>
    <row r="1741" hidden="1">
      <c r="A1741" s="121"/>
      <c r="B1741" s="121"/>
      <c r="C1741" s="121"/>
      <c r="D1741" s="121"/>
      <c r="E1741" s="133"/>
      <c r="F1741" s="133"/>
      <c r="G1741" s="121"/>
      <c r="H1741" s="121"/>
    </row>
    <row r="1742" hidden="1">
      <c r="A1742" s="121"/>
      <c r="B1742" s="121"/>
      <c r="C1742" s="121"/>
      <c r="D1742" s="121"/>
      <c r="E1742" s="133"/>
      <c r="F1742" s="133"/>
      <c r="G1742" s="121"/>
      <c r="H1742" s="121"/>
    </row>
    <row r="1743" hidden="1">
      <c r="A1743" s="121"/>
      <c r="B1743" s="121"/>
      <c r="C1743" s="121"/>
      <c r="D1743" s="121"/>
      <c r="E1743" s="133"/>
      <c r="F1743" s="133"/>
      <c r="G1743" s="121"/>
      <c r="H1743" s="121"/>
    </row>
    <row r="1744" hidden="1">
      <c r="A1744" s="121"/>
      <c r="B1744" s="121"/>
      <c r="C1744" s="121"/>
      <c r="D1744" s="121"/>
      <c r="E1744" s="133"/>
      <c r="F1744" s="133"/>
      <c r="G1744" s="121"/>
      <c r="H1744" s="121"/>
    </row>
    <row r="1745" hidden="1">
      <c r="A1745" s="121"/>
      <c r="B1745" s="121"/>
      <c r="C1745" s="121"/>
      <c r="D1745" s="121"/>
      <c r="E1745" s="133"/>
      <c r="F1745" s="133"/>
      <c r="G1745" s="121"/>
      <c r="H1745" s="121"/>
    </row>
    <row r="1746" hidden="1">
      <c r="A1746" s="121"/>
      <c r="B1746" s="121"/>
      <c r="C1746" s="121"/>
      <c r="D1746" s="121"/>
      <c r="E1746" s="133"/>
      <c r="F1746" s="133"/>
      <c r="G1746" s="121"/>
      <c r="H1746" s="121"/>
    </row>
    <row r="1747" hidden="1">
      <c r="A1747" s="121"/>
      <c r="B1747" s="121"/>
      <c r="C1747" s="121"/>
      <c r="D1747" s="121"/>
      <c r="E1747" s="133"/>
      <c r="F1747" s="133"/>
      <c r="G1747" s="121"/>
      <c r="H1747" s="121"/>
    </row>
    <row r="1748" hidden="1">
      <c r="A1748" s="121"/>
      <c r="B1748" s="121"/>
      <c r="C1748" s="121"/>
      <c r="D1748" s="121"/>
      <c r="E1748" s="133"/>
      <c r="F1748" s="133"/>
      <c r="G1748" s="121"/>
      <c r="H1748" s="121"/>
    </row>
    <row r="1749" hidden="1">
      <c r="A1749" s="121"/>
      <c r="B1749" s="121"/>
      <c r="C1749" s="121"/>
      <c r="D1749" s="121"/>
      <c r="E1749" s="133"/>
      <c r="F1749" s="133"/>
      <c r="G1749" s="121"/>
      <c r="H1749" s="121"/>
    </row>
    <row r="1750" hidden="1">
      <c r="A1750" s="121"/>
      <c r="B1750" s="121"/>
      <c r="C1750" s="121"/>
      <c r="D1750" s="121"/>
      <c r="E1750" s="133"/>
      <c r="F1750" s="133"/>
      <c r="G1750" s="121"/>
      <c r="H1750" s="121"/>
    </row>
    <row r="1751" hidden="1">
      <c r="A1751" s="121"/>
      <c r="B1751" s="121"/>
      <c r="C1751" s="121"/>
      <c r="D1751" s="121"/>
      <c r="E1751" s="133"/>
      <c r="F1751" s="133"/>
      <c r="G1751" s="121"/>
      <c r="H1751" s="121"/>
    </row>
    <row r="1752" hidden="1">
      <c r="A1752" s="121"/>
      <c r="B1752" s="121"/>
      <c r="C1752" s="121"/>
      <c r="D1752" s="121"/>
      <c r="E1752" s="133"/>
      <c r="F1752" s="133"/>
      <c r="G1752" s="121"/>
      <c r="H1752" s="121"/>
    </row>
    <row r="1753" hidden="1">
      <c r="A1753" s="121"/>
      <c r="B1753" s="121"/>
      <c r="C1753" s="121"/>
      <c r="D1753" s="121"/>
      <c r="E1753" s="133"/>
      <c r="F1753" s="133"/>
      <c r="G1753" s="121"/>
      <c r="H1753" s="121"/>
    </row>
    <row r="1754" hidden="1">
      <c r="A1754" s="121"/>
      <c r="B1754" s="121"/>
      <c r="C1754" s="121"/>
      <c r="D1754" s="121"/>
      <c r="E1754" s="133"/>
      <c r="F1754" s="133"/>
      <c r="G1754" s="121"/>
      <c r="H1754" s="121"/>
    </row>
    <row r="1755" hidden="1">
      <c r="A1755" s="121"/>
      <c r="B1755" s="121"/>
      <c r="C1755" s="121"/>
      <c r="D1755" s="121"/>
      <c r="E1755" s="133"/>
      <c r="F1755" s="133"/>
      <c r="G1755" s="121"/>
      <c r="H1755" s="121"/>
    </row>
    <row r="1756" hidden="1">
      <c r="A1756" s="121"/>
      <c r="B1756" s="121"/>
      <c r="C1756" s="121"/>
      <c r="D1756" s="121"/>
      <c r="E1756" s="133"/>
      <c r="F1756" s="133"/>
      <c r="G1756" s="121"/>
      <c r="H1756" s="121"/>
    </row>
    <row r="1757" hidden="1">
      <c r="A1757" s="121"/>
      <c r="B1757" s="121"/>
      <c r="C1757" s="121"/>
      <c r="D1757" s="121"/>
      <c r="E1757" s="133"/>
      <c r="F1757" s="133"/>
      <c r="G1757" s="121"/>
      <c r="H1757" s="121"/>
    </row>
    <row r="1758" hidden="1">
      <c r="A1758" s="121"/>
      <c r="B1758" s="121"/>
      <c r="C1758" s="121"/>
      <c r="D1758" s="121"/>
      <c r="E1758" s="133"/>
      <c r="F1758" s="133"/>
      <c r="G1758" s="121"/>
      <c r="H1758" s="121"/>
    </row>
    <row r="1759" hidden="1">
      <c r="A1759" s="121"/>
      <c r="B1759" s="121"/>
      <c r="C1759" s="121"/>
      <c r="D1759" s="121"/>
      <c r="E1759" s="133"/>
      <c r="F1759" s="133"/>
      <c r="G1759" s="121"/>
      <c r="H1759" s="121"/>
    </row>
    <row r="1760" hidden="1">
      <c r="A1760" s="121"/>
      <c r="B1760" s="121"/>
      <c r="C1760" s="121"/>
      <c r="D1760" s="121"/>
      <c r="E1760" s="133"/>
      <c r="F1760" s="133"/>
      <c r="G1760" s="121"/>
      <c r="H1760" s="121"/>
    </row>
    <row r="1761" hidden="1">
      <c r="A1761" s="121"/>
      <c r="B1761" s="121"/>
      <c r="C1761" s="121"/>
      <c r="D1761" s="121"/>
      <c r="E1761" s="133"/>
      <c r="F1761" s="133"/>
      <c r="G1761" s="121"/>
      <c r="H1761" s="121"/>
    </row>
    <row r="1762" hidden="1">
      <c r="A1762" s="121"/>
      <c r="B1762" s="121"/>
      <c r="C1762" s="121"/>
      <c r="D1762" s="121"/>
      <c r="E1762" s="133"/>
      <c r="F1762" s="133"/>
      <c r="G1762" s="121"/>
      <c r="H1762" s="121"/>
    </row>
    <row r="1763" hidden="1">
      <c r="A1763" s="121"/>
      <c r="B1763" s="121"/>
      <c r="C1763" s="121"/>
      <c r="D1763" s="121"/>
      <c r="E1763" s="133"/>
      <c r="F1763" s="133"/>
      <c r="G1763" s="121"/>
      <c r="H1763" s="121"/>
    </row>
    <row r="1764" hidden="1">
      <c r="A1764" s="121"/>
      <c r="B1764" s="121"/>
      <c r="C1764" s="121"/>
      <c r="D1764" s="121"/>
      <c r="E1764" s="133"/>
      <c r="F1764" s="133"/>
      <c r="G1764" s="121"/>
      <c r="H1764" s="121"/>
    </row>
    <row r="1765" hidden="1">
      <c r="A1765" s="121"/>
      <c r="B1765" s="121"/>
      <c r="C1765" s="121"/>
      <c r="D1765" s="121"/>
      <c r="E1765" s="133"/>
      <c r="F1765" s="133"/>
      <c r="G1765" s="121"/>
      <c r="H1765" s="121"/>
    </row>
    <row r="1766" hidden="1">
      <c r="A1766" s="121"/>
      <c r="B1766" s="121"/>
      <c r="C1766" s="121"/>
      <c r="D1766" s="121"/>
      <c r="E1766" s="133"/>
      <c r="F1766" s="133"/>
      <c r="G1766" s="121"/>
      <c r="H1766" s="121"/>
    </row>
    <row r="1767" hidden="1">
      <c r="A1767" s="121"/>
      <c r="B1767" s="121"/>
      <c r="C1767" s="121"/>
      <c r="D1767" s="121"/>
      <c r="E1767" s="133"/>
      <c r="F1767" s="133"/>
      <c r="G1767" s="121"/>
      <c r="H1767" s="121"/>
    </row>
    <row r="1768" hidden="1">
      <c r="A1768" s="121"/>
      <c r="B1768" s="121"/>
      <c r="C1768" s="121"/>
      <c r="D1768" s="121"/>
      <c r="E1768" s="133"/>
      <c r="F1768" s="133"/>
      <c r="G1768" s="121"/>
      <c r="H1768" s="121"/>
    </row>
    <row r="1769" hidden="1">
      <c r="A1769" s="121"/>
      <c r="B1769" s="121"/>
      <c r="C1769" s="121"/>
      <c r="D1769" s="121"/>
      <c r="E1769" s="133"/>
      <c r="F1769" s="133"/>
      <c r="G1769" s="121"/>
      <c r="H1769" s="121"/>
    </row>
    <row r="1770" hidden="1">
      <c r="A1770" s="121"/>
      <c r="B1770" s="121"/>
      <c r="C1770" s="121"/>
      <c r="D1770" s="121"/>
      <c r="E1770" s="133"/>
      <c r="F1770" s="133"/>
      <c r="G1770" s="121"/>
      <c r="H1770" s="121"/>
    </row>
    <row r="1771" hidden="1">
      <c r="A1771" s="121"/>
      <c r="B1771" s="121"/>
      <c r="C1771" s="121"/>
      <c r="D1771" s="121"/>
      <c r="E1771" s="133"/>
      <c r="F1771" s="133"/>
      <c r="G1771" s="121"/>
      <c r="H1771" s="121"/>
    </row>
    <row r="1772" hidden="1">
      <c r="A1772" s="121"/>
      <c r="B1772" s="121"/>
      <c r="C1772" s="121"/>
      <c r="D1772" s="121"/>
      <c r="E1772" s="133"/>
      <c r="F1772" s="133"/>
      <c r="G1772" s="121"/>
      <c r="H1772" s="121"/>
    </row>
    <row r="1773" hidden="1">
      <c r="A1773" s="121"/>
      <c r="B1773" s="121"/>
      <c r="C1773" s="121"/>
      <c r="D1773" s="121"/>
      <c r="E1773" s="133"/>
      <c r="F1773" s="133"/>
      <c r="G1773" s="121"/>
      <c r="H1773" s="121"/>
    </row>
    <row r="1774" hidden="1">
      <c r="A1774" s="121"/>
      <c r="B1774" s="121"/>
      <c r="C1774" s="121"/>
      <c r="D1774" s="121"/>
      <c r="E1774" s="133"/>
      <c r="F1774" s="133"/>
      <c r="G1774" s="121"/>
      <c r="H1774" s="121"/>
    </row>
    <row r="1775" hidden="1">
      <c r="A1775" s="121"/>
      <c r="B1775" s="121"/>
      <c r="C1775" s="121"/>
      <c r="D1775" s="121"/>
      <c r="E1775" s="133"/>
      <c r="F1775" s="133"/>
      <c r="G1775" s="121"/>
      <c r="H1775" s="121"/>
    </row>
    <row r="1776" hidden="1">
      <c r="A1776" s="121"/>
      <c r="B1776" s="121"/>
      <c r="C1776" s="121"/>
      <c r="D1776" s="121"/>
      <c r="E1776" s="133"/>
      <c r="F1776" s="133"/>
      <c r="G1776" s="121"/>
      <c r="H1776" s="121"/>
    </row>
    <row r="1777" hidden="1">
      <c r="A1777" s="121"/>
      <c r="B1777" s="121"/>
      <c r="C1777" s="121"/>
      <c r="D1777" s="121"/>
      <c r="E1777" s="133"/>
      <c r="F1777" s="133"/>
      <c r="G1777" s="121"/>
      <c r="H1777" s="121"/>
    </row>
    <row r="1778" hidden="1">
      <c r="A1778" s="121"/>
      <c r="B1778" s="121"/>
      <c r="C1778" s="121"/>
      <c r="D1778" s="121"/>
      <c r="E1778" s="133"/>
      <c r="F1778" s="133"/>
      <c r="G1778" s="121"/>
      <c r="H1778" s="121"/>
    </row>
    <row r="1779" hidden="1">
      <c r="A1779" s="121"/>
      <c r="B1779" s="121"/>
      <c r="C1779" s="121"/>
      <c r="D1779" s="121"/>
      <c r="E1779" s="133"/>
      <c r="F1779" s="133"/>
      <c r="G1779" s="121"/>
      <c r="H1779" s="121"/>
    </row>
    <row r="1780" hidden="1">
      <c r="A1780" s="121"/>
      <c r="B1780" s="121"/>
      <c r="C1780" s="121"/>
      <c r="D1780" s="121"/>
      <c r="E1780" s="133"/>
      <c r="F1780" s="133"/>
      <c r="G1780" s="121"/>
      <c r="H1780" s="121"/>
    </row>
    <row r="1781" hidden="1">
      <c r="A1781" s="121"/>
      <c r="B1781" s="121"/>
      <c r="C1781" s="121"/>
      <c r="D1781" s="121"/>
      <c r="E1781" s="133"/>
      <c r="F1781" s="133"/>
      <c r="G1781" s="121"/>
      <c r="H1781" s="121"/>
    </row>
    <row r="1782" hidden="1">
      <c r="A1782" s="121"/>
      <c r="B1782" s="121"/>
      <c r="C1782" s="121"/>
      <c r="D1782" s="121"/>
      <c r="E1782" s="133"/>
      <c r="F1782" s="133"/>
      <c r="G1782" s="121"/>
      <c r="H1782" s="121"/>
    </row>
    <row r="1783" hidden="1">
      <c r="A1783" s="121"/>
      <c r="B1783" s="121"/>
      <c r="C1783" s="121"/>
      <c r="D1783" s="121"/>
      <c r="E1783" s="133"/>
      <c r="F1783" s="133"/>
      <c r="G1783" s="121"/>
      <c r="H1783" s="121"/>
    </row>
    <row r="1784" hidden="1">
      <c r="A1784" s="121"/>
      <c r="B1784" s="121"/>
      <c r="C1784" s="121"/>
      <c r="D1784" s="121"/>
      <c r="E1784" s="133"/>
      <c r="F1784" s="133"/>
      <c r="G1784" s="121"/>
      <c r="H1784" s="121"/>
    </row>
    <row r="1785" hidden="1">
      <c r="A1785" s="121"/>
      <c r="B1785" s="121"/>
      <c r="C1785" s="121"/>
      <c r="D1785" s="121"/>
      <c r="E1785" s="133"/>
      <c r="F1785" s="133"/>
      <c r="G1785" s="121"/>
      <c r="H1785" s="121"/>
    </row>
    <row r="1786" hidden="1">
      <c r="A1786" s="121"/>
      <c r="B1786" s="121"/>
      <c r="C1786" s="121"/>
      <c r="D1786" s="121"/>
      <c r="E1786" s="133"/>
      <c r="F1786" s="133"/>
      <c r="G1786" s="121"/>
      <c r="H1786" s="121"/>
    </row>
    <row r="1787" hidden="1">
      <c r="A1787" s="121"/>
      <c r="B1787" s="121"/>
      <c r="C1787" s="121"/>
      <c r="D1787" s="121"/>
      <c r="E1787" s="133"/>
      <c r="F1787" s="133"/>
      <c r="G1787" s="121"/>
      <c r="H1787" s="121"/>
    </row>
    <row r="1788" hidden="1">
      <c r="A1788" s="121"/>
      <c r="B1788" s="121"/>
      <c r="C1788" s="121"/>
      <c r="D1788" s="121"/>
      <c r="E1788" s="133"/>
      <c r="F1788" s="133"/>
      <c r="G1788" s="121"/>
      <c r="H1788" s="121"/>
    </row>
    <row r="1789" hidden="1">
      <c r="A1789" s="121"/>
      <c r="B1789" s="121"/>
      <c r="C1789" s="121"/>
      <c r="D1789" s="121"/>
      <c r="E1789" s="133"/>
      <c r="F1789" s="133"/>
      <c r="G1789" s="121"/>
      <c r="H1789" s="121"/>
    </row>
    <row r="1790" hidden="1">
      <c r="A1790" s="121"/>
      <c r="B1790" s="121"/>
      <c r="C1790" s="121"/>
      <c r="D1790" s="121"/>
      <c r="E1790" s="133"/>
      <c r="F1790" s="133"/>
      <c r="G1790" s="121"/>
      <c r="H1790" s="121"/>
    </row>
    <row r="1791" hidden="1">
      <c r="A1791" s="121"/>
      <c r="B1791" s="121"/>
      <c r="C1791" s="121"/>
      <c r="D1791" s="121"/>
      <c r="E1791" s="133"/>
      <c r="F1791" s="133"/>
      <c r="G1791" s="121"/>
      <c r="H1791" s="121"/>
    </row>
    <row r="1792" hidden="1">
      <c r="A1792" s="121"/>
      <c r="B1792" s="121"/>
      <c r="C1792" s="121"/>
      <c r="D1792" s="121"/>
      <c r="E1792" s="133"/>
      <c r="F1792" s="133"/>
      <c r="G1792" s="121"/>
      <c r="H1792" s="121"/>
    </row>
    <row r="1793" hidden="1">
      <c r="A1793" s="121"/>
      <c r="B1793" s="121"/>
      <c r="C1793" s="121"/>
      <c r="D1793" s="121"/>
      <c r="E1793" s="133"/>
      <c r="F1793" s="133"/>
      <c r="G1793" s="121"/>
      <c r="H1793" s="121"/>
    </row>
    <row r="1794" hidden="1">
      <c r="A1794" s="121"/>
      <c r="B1794" s="121"/>
      <c r="C1794" s="121"/>
      <c r="D1794" s="121"/>
      <c r="E1794" s="133"/>
      <c r="F1794" s="133"/>
      <c r="G1794" s="121"/>
      <c r="H1794" s="121"/>
    </row>
    <row r="1795" hidden="1">
      <c r="A1795" s="121"/>
      <c r="B1795" s="121"/>
      <c r="C1795" s="121"/>
      <c r="D1795" s="121"/>
      <c r="E1795" s="133"/>
      <c r="F1795" s="133"/>
      <c r="G1795" s="121"/>
      <c r="H1795" s="121"/>
    </row>
    <row r="1796" hidden="1">
      <c r="A1796" s="121"/>
      <c r="B1796" s="121"/>
      <c r="C1796" s="121"/>
      <c r="D1796" s="121"/>
      <c r="E1796" s="133"/>
      <c r="F1796" s="133"/>
      <c r="G1796" s="121"/>
      <c r="H1796" s="121"/>
    </row>
    <row r="1797" hidden="1">
      <c r="A1797" s="121"/>
      <c r="B1797" s="121"/>
      <c r="C1797" s="121"/>
      <c r="D1797" s="121"/>
      <c r="E1797" s="133"/>
      <c r="F1797" s="133"/>
      <c r="G1797" s="121"/>
      <c r="H1797" s="121"/>
    </row>
    <row r="1798" hidden="1">
      <c r="A1798" s="121"/>
      <c r="B1798" s="121"/>
      <c r="C1798" s="121"/>
      <c r="D1798" s="121"/>
      <c r="E1798" s="133"/>
      <c r="F1798" s="133"/>
      <c r="G1798" s="121"/>
      <c r="H1798" s="121"/>
    </row>
    <row r="1799" hidden="1">
      <c r="A1799" s="121"/>
      <c r="B1799" s="121"/>
      <c r="C1799" s="121"/>
      <c r="D1799" s="121"/>
      <c r="E1799" s="133"/>
      <c r="F1799" s="133"/>
      <c r="G1799" s="121"/>
      <c r="H1799" s="121"/>
    </row>
    <row r="1800" hidden="1">
      <c r="A1800" s="121"/>
      <c r="B1800" s="121"/>
      <c r="C1800" s="121"/>
      <c r="D1800" s="121"/>
      <c r="E1800" s="133"/>
      <c r="F1800" s="133"/>
      <c r="G1800" s="121"/>
      <c r="H1800" s="121"/>
    </row>
    <row r="1801" hidden="1">
      <c r="A1801" s="121"/>
      <c r="B1801" s="121"/>
      <c r="C1801" s="121"/>
      <c r="D1801" s="121"/>
      <c r="E1801" s="133"/>
      <c r="F1801" s="133"/>
      <c r="G1801" s="121"/>
      <c r="H1801" s="121"/>
    </row>
    <row r="1802" hidden="1">
      <c r="A1802" s="121"/>
      <c r="B1802" s="121"/>
      <c r="C1802" s="121"/>
      <c r="D1802" s="121"/>
      <c r="E1802" s="133"/>
      <c r="F1802" s="133"/>
      <c r="G1802" s="121"/>
      <c r="H1802" s="121"/>
    </row>
    <row r="1803" hidden="1">
      <c r="A1803" s="121"/>
      <c r="B1803" s="121"/>
      <c r="C1803" s="121"/>
      <c r="D1803" s="121"/>
      <c r="E1803" s="133"/>
      <c r="F1803" s="133"/>
      <c r="G1803" s="121"/>
      <c r="H1803" s="121"/>
    </row>
    <row r="1804" hidden="1">
      <c r="A1804" s="121"/>
      <c r="B1804" s="121"/>
      <c r="C1804" s="121"/>
      <c r="D1804" s="121"/>
      <c r="E1804" s="133"/>
      <c r="F1804" s="133"/>
      <c r="G1804" s="121"/>
      <c r="H1804" s="121"/>
    </row>
    <row r="1805" hidden="1">
      <c r="A1805" s="121"/>
      <c r="B1805" s="121"/>
      <c r="C1805" s="121"/>
      <c r="D1805" s="121"/>
      <c r="E1805" s="133"/>
      <c r="F1805" s="133"/>
      <c r="G1805" s="121"/>
      <c r="H1805" s="121"/>
    </row>
    <row r="1806" hidden="1">
      <c r="A1806" s="121"/>
      <c r="B1806" s="121"/>
      <c r="C1806" s="121"/>
      <c r="D1806" s="121"/>
      <c r="E1806" s="133"/>
      <c r="F1806" s="133"/>
      <c r="G1806" s="121"/>
      <c r="H1806" s="121"/>
    </row>
    <row r="1807" hidden="1">
      <c r="A1807" s="121"/>
      <c r="B1807" s="121"/>
      <c r="C1807" s="121"/>
      <c r="D1807" s="121"/>
      <c r="E1807" s="133"/>
      <c r="F1807" s="133"/>
      <c r="G1807" s="121"/>
      <c r="H1807" s="121"/>
    </row>
    <row r="1808" hidden="1">
      <c r="A1808" s="121"/>
      <c r="B1808" s="121"/>
      <c r="C1808" s="121"/>
      <c r="D1808" s="121"/>
      <c r="E1808" s="133"/>
      <c r="F1808" s="133"/>
      <c r="G1808" s="121"/>
      <c r="H1808" s="121"/>
    </row>
    <row r="1809" hidden="1">
      <c r="A1809" s="121"/>
      <c r="B1809" s="121"/>
      <c r="C1809" s="121"/>
      <c r="D1809" s="121"/>
      <c r="E1809" s="133"/>
      <c r="F1809" s="133"/>
      <c r="G1809" s="121"/>
      <c r="H1809" s="121"/>
    </row>
    <row r="1810" hidden="1">
      <c r="A1810" s="121"/>
      <c r="B1810" s="121"/>
      <c r="C1810" s="121"/>
      <c r="D1810" s="121"/>
      <c r="E1810" s="133"/>
      <c r="F1810" s="133"/>
      <c r="G1810" s="121"/>
      <c r="H1810" s="121"/>
    </row>
    <row r="1811" hidden="1">
      <c r="A1811" s="121"/>
      <c r="B1811" s="121"/>
      <c r="C1811" s="121"/>
      <c r="D1811" s="121"/>
      <c r="E1811" s="133"/>
      <c r="F1811" s="133"/>
      <c r="G1811" s="121"/>
      <c r="H1811" s="121"/>
    </row>
    <row r="1812" hidden="1">
      <c r="A1812" s="121"/>
      <c r="B1812" s="121"/>
      <c r="C1812" s="121"/>
      <c r="D1812" s="121"/>
      <c r="E1812" s="133"/>
      <c r="F1812" s="133"/>
      <c r="G1812" s="121"/>
      <c r="H1812" s="121"/>
    </row>
    <row r="1813" hidden="1">
      <c r="A1813" s="121"/>
      <c r="B1813" s="121"/>
      <c r="C1813" s="121"/>
      <c r="D1813" s="121"/>
      <c r="E1813" s="133"/>
      <c r="F1813" s="133"/>
      <c r="G1813" s="121"/>
      <c r="H1813" s="121"/>
    </row>
    <row r="1814" hidden="1">
      <c r="A1814" s="121"/>
      <c r="B1814" s="121"/>
      <c r="C1814" s="121"/>
      <c r="D1814" s="121"/>
      <c r="E1814" s="133"/>
      <c r="F1814" s="133"/>
      <c r="G1814" s="121"/>
      <c r="H1814" s="121"/>
    </row>
    <row r="1815" hidden="1">
      <c r="A1815" s="121"/>
      <c r="B1815" s="121"/>
      <c r="C1815" s="121"/>
      <c r="D1815" s="121"/>
      <c r="E1815" s="133"/>
      <c r="F1815" s="133"/>
      <c r="G1815" s="121"/>
      <c r="H1815" s="121"/>
    </row>
    <row r="1816" hidden="1">
      <c r="A1816" s="121"/>
      <c r="B1816" s="121"/>
      <c r="C1816" s="121"/>
      <c r="D1816" s="121"/>
      <c r="E1816" s="133"/>
      <c r="F1816" s="133"/>
      <c r="G1816" s="121"/>
      <c r="H1816" s="121"/>
    </row>
    <row r="1817" hidden="1">
      <c r="A1817" s="121"/>
      <c r="B1817" s="121"/>
      <c r="C1817" s="121"/>
      <c r="D1817" s="121"/>
      <c r="E1817" s="133"/>
      <c r="F1817" s="133"/>
      <c r="G1817" s="121"/>
      <c r="H1817" s="121"/>
    </row>
    <row r="1818" hidden="1">
      <c r="A1818" s="121"/>
      <c r="B1818" s="121"/>
      <c r="C1818" s="121"/>
      <c r="D1818" s="121"/>
      <c r="E1818" s="133"/>
      <c r="F1818" s="133"/>
      <c r="G1818" s="121"/>
      <c r="H1818" s="121"/>
    </row>
    <row r="1819" hidden="1">
      <c r="A1819" s="121"/>
      <c r="B1819" s="121"/>
      <c r="C1819" s="121"/>
      <c r="D1819" s="121"/>
      <c r="E1819" s="133"/>
      <c r="F1819" s="133"/>
      <c r="G1819" s="121"/>
      <c r="H1819" s="121"/>
    </row>
    <row r="1820" hidden="1">
      <c r="A1820" s="121"/>
      <c r="B1820" s="121"/>
      <c r="C1820" s="121"/>
      <c r="D1820" s="121"/>
      <c r="E1820" s="133"/>
      <c r="F1820" s="133"/>
      <c r="G1820" s="121"/>
      <c r="H1820" s="121"/>
    </row>
    <row r="1821" hidden="1">
      <c r="A1821" s="121"/>
      <c r="B1821" s="121"/>
      <c r="C1821" s="121"/>
      <c r="D1821" s="121"/>
      <c r="E1821" s="133"/>
      <c r="F1821" s="133"/>
      <c r="G1821" s="121"/>
      <c r="H1821" s="121"/>
    </row>
    <row r="1822" hidden="1">
      <c r="A1822" s="121"/>
      <c r="B1822" s="121"/>
      <c r="C1822" s="121"/>
      <c r="D1822" s="121"/>
      <c r="E1822" s="133"/>
      <c r="F1822" s="133"/>
      <c r="G1822" s="121"/>
      <c r="H1822" s="121"/>
    </row>
    <row r="1823" hidden="1">
      <c r="A1823" s="121"/>
      <c r="B1823" s="121"/>
      <c r="C1823" s="121"/>
      <c r="D1823" s="121"/>
      <c r="E1823" s="133"/>
      <c r="F1823" s="133"/>
      <c r="G1823" s="121"/>
      <c r="H1823" s="121"/>
    </row>
    <row r="1824" hidden="1">
      <c r="A1824" s="121"/>
      <c r="B1824" s="121"/>
      <c r="C1824" s="121"/>
      <c r="D1824" s="121"/>
      <c r="E1824" s="133"/>
      <c r="F1824" s="133"/>
      <c r="G1824" s="121"/>
      <c r="H1824" s="121"/>
    </row>
    <row r="1825" hidden="1">
      <c r="A1825" s="121"/>
      <c r="B1825" s="121"/>
      <c r="C1825" s="121"/>
      <c r="D1825" s="121"/>
      <c r="E1825" s="133"/>
      <c r="F1825" s="133"/>
      <c r="G1825" s="121"/>
      <c r="H1825" s="121"/>
    </row>
    <row r="1826" hidden="1">
      <c r="A1826" s="121"/>
      <c r="B1826" s="121"/>
      <c r="C1826" s="121"/>
      <c r="D1826" s="121"/>
      <c r="E1826" s="133"/>
      <c r="F1826" s="133"/>
      <c r="G1826" s="121"/>
      <c r="H1826" s="121"/>
    </row>
    <row r="1827" hidden="1">
      <c r="A1827" s="121"/>
      <c r="B1827" s="121"/>
      <c r="C1827" s="121"/>
      <c r="D1827" s="121"/>
      <c r="E1827" s="133"/>
      <c r="F1827" s="133"/>
      <c r="G1827" s="121"/>
      <c r="H1827" s="121"/>
    </row>
    <row r="1828" hidden="1">
      <c r="A1828" s="121"/>
      <c r="B1828" s="121"/>
      <c r="C1828" s="121"/>
      <c r="D1828" s="121"/>
      <c r="E1828" s="133"/>
      <c r="F1828" s="133"/>
      <c r="G1828" s="121"/>
      <c r="H1828" s="121"/>
    </row>
    <row r="1829" hidden="1">
      <c r="A1829" s="121"/>
      <c r="B1829" s="121"/>
      <c r="C1829" s="121"/>
      <c r="D1829" s="121"/>
      <c r="E1829" s="133"/>
      <c r="F1829" s="133"/>
      <c r="G1829" s="121"/>
      <c r="H1829" s="121"/>
    </row>
    <row r="1830" hidden="1">
      <c r="A1830" s="121"/>
      <c r="B1830" s="121"/>
      <c r="C1830" s="121"/>
      <c r="D1830" s="121"/>
      <c r="E1830" s="133"/>
      <c r="F1830" s="133"/>
      <c r="G1830" s="121"/>
      <c r="H1830" s="121"/>
    </row>
    <row r="1831" hidden="1">
      <c r="A1831" s="121"/>
      <c r="B1831" s="121"/>
      <c r="C1831" s="121"/>
      <c r="D1831" s="121"/>
      <c r="E1831" s="133"/>
      <c r="F1831" s="133"/>
      <c r="G1831" s="121"/>
      <c r="H1831" s="121"/>
    </row>
    <row r="1832" hidden="1">
      <c r="A1832" s="121"/>
      <c r="B1832" s="121"/>
      <c r="C1832" s="121"/>
      <c r="D1832" s="121"/>
      <c r="E1832" s="133"/>
      <c r="F1832" s="133"/>
      <c r="G1832" s="121"/>
      <c r="H1832" s="121"/>
    </row>
    <row r="1833" hidden="1">
      <c r="A1833" s="121"/>
      <c r="B1833" s="121"/>
      <c r="C1833" s="121"/>
      <c r="D1833" s="121"/>
      <c r="E1833" s="133"/>
      <c r="F1833" s="133"/>
      <c r="G1833" s="121"/>
      <c r="H1833" s="121"/>
    </row>
    <row r="1834" hidden="1">
      <c r="A1834" s="121"/>
      <c r="B1834" s="121"/>
      <c r="C1834" s="121"/>
      <c r="D1834" s="121"/>
      <c r="E1834" s="133"/>
      <c r="F1834" s="133"/>
      <c r="G1834" s="121"/>
      <c r="H1834" s="121"/>
    </row>
    <row r="1835" hidden="1">
      <c r="A1835" s="121"/>
      <c r="B1835" s="121"/>
      <c r="C1835" s="121"/>
      <c r="D1835" s="121"/>
      <c r="E1835" s="133"/>
      <c r="F1835" s="133"/>
      <c r="G1835" s="121"/>
      <c r="H1835" s="121"/>
    </row>
    <row r="1836" hidden="1">
      <c r="A1836" s="121"/>
      <c r="B1836" s="121"/>
      <c r="C1836" s="121"/>
      <c r="D1836" s="121"/>
      <c r="E1836" s="133"/>
      <c r="F1836" s="133"/>
      <c r="G1836" s="121"/>
      <c r="H1836" s="121"/>
    </row>
    <row r="1837" hidden="1">
      <c r="A1837" s="121"/>
      <c r="B1837" s="121"/>
      <c r="C1837" s="121"/>
      <c r="D1837" s="121"/>
      <c r="E1837" s="133"/>
      <c r="F1837" s="133"/>
      <c r="G1837" s="121"/>
      <c r="H1837" s="121"/>
    </row>
    <row r="1838" hidden="1">
      <c r="A1838" s="121"/>
      <c r="B1838" s="121"/>
      <c r="C1838" s="121"/>
      <c r="D1838" s="121"/>
      <c r="E1838" s="133"/>
      <c r="F1838" s="133"/>
      <c r="G1838" s="121"/>
      <c r="H1838" s="121"/>
    </row>
    <row r="1839" hidden="1">
      <c r="A1839" s="121"/>
      <c r="B1839" s="121"/>
      <c r="C1839" s="121"/>
      <c r="D1839" s="121"/>
      <c r="E1839" s="133"/>
      <c r="F1839" s="133"/>
      <c r="G1839" s="121"/>
      <c r="H1839" s="121"/>
    </row>
    <row r="1840" hidden="1">
      <c r="A1840" s="121"/>
      <c r="B1840" s="121"/>
      <c r="C1840" s="121"/>
      <c r="D1840" s="121"/>
      <c r="E1840" s="133"/>
      <c r="F1840" s="133"/>
      <c r="G1840" s="121"/>
      <c r="H1840" s="121"/>
    </row>
    <row r="1841" hidden="1">
      <c r="A1841" s="121"/>
      <c r="B1841" s="121"/>
      <c r="C1841" s="121"/>
      <c r="D1841" s="121"/>
      <c r="E1841" s="133"/>
      <c r="F1841" s="133"/>
      <c r="G1841" s="121"/>
      <c r="H1841" s="121"/>
    </row>
    <row r="1842" hidden="1">
      <c r="A1842" s="121"/>
      <c r="B1842" s="121"/>
      <c r="C1842" s="121"/>
      <c r="D1842" s="121"/>
      <c r="E1842" s="133"/>
      <c r="F1842" s="133"/>
      <c r="G1842" s="121"/>
      <c r="H1842" s="121"/>
    </row>
    <row r="1843" hidden="1">
      <c r="A1843" s="121"/>
      <c r="B1843" s="121"/>
      <c r="C1843" s="121"/>
      <c r="D1843" s="121"/>
      <c r="E1843" s="133"/>
      <c r="F1843" s="133"/>
      <c r="G1843" s="121"/>
      <c r="H1843" s="121"/>
    </row>
    <row r="1844" hidden="1">
      <c r="A1844" s="121"/>
      <c r="B1844" s="121"/>
      <c r="C1844" s="121"/>
      <c r="D1844" s="121"/>
      <c r="E1844" s="133"/>
      <c r="F1844" s="133"/>
      <c r="G1844" s="121"/>
      <c r="H1844" s="121"/>
    </row>
    <row r="1845" hidden="1">
      <c r="A1845" s="121"/>
      <c r="B1845" s="121"/>
      <c r="C1845" s="121"/>
      <c r="D1845" s="121"/>
      <c r="E1845" s="133"/>
      <c r="F1845" s="133"/>
      <c r="G1845" s="121"/>
      <c r="H1845" s="121"/>
    </row>
    <row r="1846" hidden="1">
      <c r="A1846" s="121"/>
      <c r="B1846" s="121"/>
      <c r="C1846" s="121"/>
      <c r="D1846" s="121"/>
      <c r="E1846" s="133"/>
      <c r="F1846" s="133"/>
      <c r="G1846" s="121"/>
      <c r="H1846" s="121"/>
    </row>
    <row r="1847" hidden="1">
      <c r="A1847" s="121"/>
      <c r="B1847" s="121"/>
      <c r="C1847" s="121"/>
      <c r="D1847" s="121"/>
      <c r="E1847" s="133"/>
      <c r="F1847" s="133"/>
      <c r="G1847" s="121"/>
      <c r="H1847" s="121"/>
    </row>
    <row r="1848" hidden="1">
      <c r="A1848" s="121"/>
      <c r="B1848" s="121"/>
      <c r="C1848" s="121"/>
      <c r="D1848" s="121"/>
      <c r="E1848" s="133"/>
      <c r="F1848" s="133"/>
      <c r="G1848" s="121"/>
      <c r="H1848" s="121"/>
    </row>
    <row r="1849" hidden="1">
      <c r="A1849" s="121"/>
      <c r="B1849" s="121"/>
      <c r="C1849" s="121"/>
      <c r="D1849" s="121"/>
      <c r="E1849" s="133"/>
      <c r="F1849" s="133"/>
      <c r="G1849" s="121"/>
      <c r="H1849" s="121"/>
    </row>
    <row r="1850" hidden="1">
      <c r="A1850" s="121"/>
      <c r="B1850" s="121"/>
      <c r="C1850" s="121"/>
      <c r="D1850" s="121"/>
      <c r="E1850" s="133"/>
      <c r="F1850" s="133"/>
      <c r="G1850" s="121"/>
      <c r="H1850" s="121"/>
    </row>
    <row r="1851" hidden="1">
      <c r="A1851" s="121"/>
      <c r="B1851" s="121"/>
      <c r="C1851" s="121"/>
      <c r="D1851" s="121"/>
      <c r="E1851" s="133"/>
      <c r="F1851" s="133"/>
      <c r="G1851" s="121"/>
      <c r="H1851" s="121"/>
    </row>
    <row r="1852" hidden="1">
      <c r="A1852" s="121"/>
      <c r="B1852" s="121"/>
      <c r="C1852" s="121"/>
      <c r="D1852" s="121"/>
      <c r="E1852" s="133"/>
      <c r="F1852" s="133"/>
      <c r="G1852" s="121"/>
      <c r="H1852" s="121"/>
    </row>
    <row r="1853" hidden="1">
      <c r="A1853" s="121"/>
      <c r="B1853" s="121"/>
      <c r="C1853" s="121"/>
      <c r="D1853" s="121"/>
      <c r="E1853" s="133"/>
      <c r="F1853" s="133"/>
      <c r="G1853" s="121"/>
      <c r="H1853" s="121"/>
    </row>
    <row r="1854" hidden="1">
      <c r="A1854" s="121"/>
      <c r="B1854" s="121"/>
      <c r="C1854" s="121"/>
      <c r="D1854" s="121"/>
      <c r="E1854" s="133"/>
      <c r="F1854" s="133"/>
      <c r="G1854" s="121"/>
      <c r="H1854" s="121"/>
    </row>
    <row r="1855" hidden="1">
      <c r="A1855" s="121"/>
      <c r="B1855" s="121"/>
      <c r="C1855" s="121"/>
      <c r="D1855" s="121"/>
      <c r="E1855" s="133"/>
      <c r="F1855" s="133"/>
      <c r="G1855" s="121"/>
      <c r="H1855" s="121"/>
    </row>
    <row r="1856" hidden="1">
      <c r="A1856" s="121"/>
      <c r="B1856" s="121"/>
      <c r="C1856" s="121"/>
      <c r="D1856" s="121"/>
      <c r="E1856" s="133"/>
      <c r="F1856" s="133"/>
      <c r="G1856" s="121"/>
      <c r="H1856" s="121"/>
    </row>
    <row r="1857" hidden="1">
      <c r="A1857" s="121"/>
      <c r="B1857" s="121"/>
      <c r="C1857" s="121"/>
      <c r="D1857" s="121"/>
      <c r="E1857" s="133"/>
      <c r="F1857" s="133"/>
      <c r="G1857" s="121"/>
      <c r="H1857" s="121"/>
    </row>
    <row r="1858" hidden="1">
      <c r="A1858" s="121"/>
      <c r="B1858" s="121"/>
      <c r="C1858" s="121"/>
      <c r="D1858" s="121"/>
      <c r="E1858" s="133"/>
      <c r="F1858" s="133"/>
      <c r="G1858" s="121"/>
      <c r="H1858" s="121"/>
    </row>
    <row r="1859" hidden="1">
      <c r="A1859" s="121"/>
      <c r="B1859" s="121"/>
      <c r="C1859" s="121"/>
      <c r="D1859" s="121"/>
      <c r="E1859" s="133"/>
      <c r="F1859" s="133"/>
      <c r="G1859" s="121"/>
      <c r="H1859" s="121"/>
    </row>
    <row r="1860" hidden="1">
      <c r="A1860" s="121"/>
      <c r="B1860" s="121"/>
      <c r="C1860" s="121"/>
      <c r="D1860" s="121"/>
      <c r="E1860" s="133"/>
      <c r="F1860" s="133"/>
      <c r="G1860" s="121"/>
      <c r="H1860" s="121"/>
    </row>
    <row r="1861" hidden="1">
      <c r="A1861" s="121"/>
      <c r="B1861" s="121"/>
      <c r="C1861" s="121"/>
      <c r="D1861" s="121"/>
      <c r="E1861" s="133"/>
      <c r="F1861" s="133"/>
      <c r="G1861" s="121"/>
      <c r="H1861" s="121"/>
    </row>
    <row r="1862" hidden="1">
      <c r="A1862" s="121"/>
      <c r="B1862" s="121"/>
      <c r="C1862" s="121"/>
      <c r="D1862" s="121"/>
      <c r="E1862" s="133"/>
      <c r="F1862" s="133"/>
      <c r="G1862" s="121"/>
      <c r="H1862" s="121"/>
    </row>
    <row r="1863" hidden="1">
      <c r="A1863" s="121"/>
      <c r="B1863" s="121"/>
      <c r="C1863" s="121"/>
      <c r="D1863" s="121"/>
      <c r="E1863" s="133"/>
      <c r="F1863" s="133"/>
      <c r="G1863" s="121"/>
      <c r="H1863" s="121"/>
    </row>
    <row r="1864" hidden="1">
      <c r="A1864" s="121"/>
      <c r="B1864" s="121"/>
      <c r="C1864" s="121"/>
      <c r="D1864" s="121"/>
      <c r="E1864" s="133"/>
      <c r="F1864" s="133"/>
      <c r="G1864" s="121"/>
      <c r="H1864" s="121"/>
    </row>
    <row r="1865" hidden="1">
      <c r="A1865" s="121"/>
      <c r="B1865" s="121"/>
      <c r="C1865" s="121"/>
      <c r="D1865" s="121"/>
      <c r="E1865" s="133"/>
      <c r="F1865" s="133"/>
      <c r="G1865" s="121"/>
      <c r="H1865" s="121"/>
    </row>
    <row r="1866" hidden="1">
      <c r="A1866" s="121"/>
      <c r="B1866" s="121"/>
      <c r="C1866" s="121"/>
      <c r="D1866" s="121"/>
      <c r="E1866" s="133"/>
      <c r="F1866" s="133"/>
      <c r="G1866" s="121"/>
      <c r="H1866" s="121"/>
    </row>
    <row r="1867" hidden="1">
      <c r="A1867" s="121"/>
      <c r="B1867" s="121"/>
      <c r="C1867" s="121"/>
      <c r="D1867" s="121"/>
      <c r="E1867" s="133"/>
      <c r="F1867" s="133"/>
      <c r="G1867" s="121"/>
      <c r="H1867" s="121"/>
    </row>
    <row r="1868" hidden="1">
      <c r="A1868" s="121"/>
      <c r="B1868" s="121"/>
      <c r="C1868" s="121"/>
      <c r="D1868" s="121"/>
      <c r="E1868" s="133"/>
      <c r="F1868" s="133"/>
      <c r="G1868" s="121"/>
      <c r="H1868" s="121"/>
    </row>
    <row r="1869" hidden="1">
      <c r="A1869" s="121"/>
      <c r="B1869" s="121"/>
      <c r="C1869" s="121"/>
      <c r="D1869" s="121"/>
      <c r="E1869" s="133"/>
      <c r="F1869" s="133"/>
      <c r="G1869" s="121"/>
      <c r="H1869" s="121"/>
    </row>
    <row r="1870" hidden="1">
      <c r="A1870" s="121"/>
      <c r="B1870" s="121"/>
      <c r="C1870" s="121"/>
      <c r="D1870" s="121"/>
      <c r="E1870" s="133"/>
      <c r="F1870" s="133"/>
      <c r="G1870" s="121"/>
      <c r="H1870" s="121"/>
    </row>
    <row r="1871" hidden="1">
      <c r="A1871" s="121"/>
      <c r="B1871" s="121"/>
      <c r="C1871" s="121"/>
      <c r="D1871" s="121"/>
      <c r="E1871" s="133"/>
      <c r="F1871" s="133"/>
      <c r="G1871" s="121"/>
      <c r="H1871" s="121"/>
    </row>
    <row r="1872" hidden="1">
      <c r="A1872" s="121"/>
      <c r="B1872" s="121"/>
      <c r="C1872" s="121"/>
      <c r="D1872" s="121"/>
      <c r="E1872" s="133"/>
      <c r="F1872" s="133"/>
      <c r="G1872" s="121"/>
      <c r="H1872" s="121"/>
    </row>
    <row r="1873" hidden="1">
      <c r="A1873" s="121"/>
      <c r="B1873" s="121"/>
      <c r="C1873" s="121"/>
      <c r="D1873" s="121"/>
      <c r="E1873" s="133"/>
      <c r="F1873" s="133"/>
      <c r="G1873" s="121"/>
      <c r="H1873" s="121"/>
    </row>
    <row r="1874" hidden="1">
      <c r="A1874" s="121"/>
      <c r="B1874" s="121"/>
      <c r="C1874" s="121"/>
      <c r="D1874" s="121"/>
      <c r="E1874" s="133"/>
      <c r="F1874" s="133"/>
      <c r="G1874" s="121"/>
      <c r="H1874" s="121"/>
    </row>
    <row r="1875" hidden="1">
      <c r="A1875" s="121"/>
      <c r="B1875" s="121"/>
      <c r="C1875" s="121"/>
      <c r="D1875" s="121"/>
      <c r="E1875" s="133"/>
      <c r="F1875" s="133"/>
      <c r="G1875" s="121"/>
      <c r="H1875" s="121"/>
    </row>
    <row r="1876" hidden="1">
      <c r="A1876" s="121"/>
      <c r="B1876" s="121"/>
      <c r="C1876" s="121"/>
      <c r="D1876" s="121"/>
      <c r="E1876" s="133"/>
      <c r="F1876" s="133"/>
      <c r="G1876" s="121"/>
      <c r="H1876" s="121"/>
    </row>
    <row r="1877" hidden="1">
      <c r="A1877" s="121"/>
      <c r="B1877" s="121"/>
      <c r="C1877" s="121"/>
      <c r="D1877" s="121"/>
      <c r="E1877" s="133"/>
      <c r="F1877" s="133"/>
      <c r="G1877" s="121"/>
      <c r="H1877" s="121"/>
    </row>
    <row r="1878" hidden="1">
      <c r="A1878" s="121"/>
      <c r="B1878" s="121"/>
      <c r="C1878" s="121"/>
      <c r="D1878" s="121"/>
      <c r="E1878" s="133"/>
      <c r="F1878" s="133"/>
      <c r="G1878" s="121"/>
      <c r="H1878" s="121"/>
    </row>
    <row r="1879" hidden="1">
      <c r="A1879" s="121"/>
      <c r="B1879" s="121"/>
      <c r="C1879" s="121"/>
      <c r="D1879" s="121"/>
      <c r="E1879" s="133"/>
      <c r="F1879" s="133"/>
      <c r="G1879" s="121"/>
      <c r="H1879" s="121"/>
    </row>
    <row r="1880" hidden="1">
      <c r="A1880" s="121"/>
      <c r="B1880" s="121"/>
      <c r="C1880" s="121"/>
      <c r="D1880" s="121"/>
      <c r="E1880" s="133"/>
      <c r="F1880" s="133"/>
      <c r="G1880" s="121"/>
      <c r="H1880" s="121"/>
    </row>
    <row r="1881" hidden="1">
      <c r="A1881" s="121"/>
      <c r="B1881" s="121"/>
      <c r="C1881" s="121"/>
      <c r="D1881" s="121"/>
      <c r="E1881" s="133"/>
      <c r="F1881" s="133"/>
      <c r="G1881" s="121"/>
      <c r="H1881" s="121"/>
    </row>
    <row r="1882" hidden="1">
      <c r="A1882" s="121"/>
      <c r="B1882" s="121"/>
      <c r="C1882" s="121"/>
      <c r="D1882" s="121"/>
      <c r="E1882" s="133"/>
      <c r="F1882" s="133"/>
      <c r="G1882" s="121"/>
      <c r="H1882" s="121"/>
    </row>
    <row r="1883" hidden="1">
      <c r="A1883" s="121"/>
      <c r="B1883" s="121"/>
      <c r="C1883" s="121"/>
      <c r="D1883" s="121"/>
      <c r="E1883" s="133"/>
      <c r="F1883" s="133"/>
      <c r="G1883" s="121"/>
      <c r="H1883" s="121"/>
    </row>
    <row r="1884" hidden="1">
      <c r="A1884" s="121"/>
      <c r="B1884" s="121"/>
      <c r="C1884" s="121"/>
      <c r="D1884" s="121"/>
      <c r="E1884" s="133"/>
      <c r="F1884" s="133"/>
      <c r="G1884" s="121"/>
      <c r="H1884" s="121"/>
    </row>
    <row r="1885" hidden="1">
      <c r="A1885" s="121"/>
      <c r="B1885" s="121"/>
      <c r="C1885" s="121"/>
      <c r="D1885" s="121"/>
      <c r="E1885" s="133"/>
      <c r="F1885" s="133"/>
      <c r="G1885" s="121"/>
      <c r="H1885" s="121"/>
    </row>
    <row r="1886" hidden="1">
      <c r="A1886" s="121"/>
      <c r="B1886" s="121"/>
      <c r="C1886" s="121"/>
      <c r="D1886" s="121"/>
      <c r="E1886" s="133"/>
      <c r="F1886" s="133"/>
      <c r="G1886" s="121"/>
      <c r="H1886" s="121"/>
    </row>
    <row r="1887" hidden="1">
      <c r="A1887" s="121"/>
      <c r="B1887" s="121"/>
      <c r="C1887" s="121"/>
      <c r="D1887" s="121"/>
      <c r="E1887" s="133"/>
      <c r="F1887" s="133"/>
      <c r="G1887" s="121"/>
      <c r="H1887" s="121"/>
    </row>
    <row r="1888" hidden="1">
      <c r="A1888" s="121"/>
      <c r="B1888" s="121"/>
      <c r="C1888" s="121"/>
      <c r="D1888" s="121"/>
      <c r="E1888" s="133"/>
      <c r="F1888" s="133"/>
      <c r="G1888" s="121"/>
      <c r="H1888" s="121"/>
    </row>
    <row r="1889" hidden="1">
      <c r="A1889" s="121"/>
      <c r="B1889" s="121"/>
      <c r="C1889" s="121"/>
      <c r="D1889" s="121"/>
      <c r="E1889" s="133"/>
      <c r="F1889" s="133"/>
      <c r="G1889" s="121"/>
      <c r="H1889" s="121"/>
    </row>
    <row r="1890" hidden="1">
      <c r="A1890" s="121"/>
      <c r="B1890" s="121"/>
      <c r="C1890" s="121"/>
      <c r="D1890" s="121"/>
      <c r="E1890" s="133"/>
      <c r="F1890" s="133"/>
      <c r="G1890" s="121"/>
      <c r="H1890" s="121"/>
    </row>
    <row r="1891" hidden="1">
      <c r="A1891" s="121"/>
      <c r="B1891" s="121"/>
      <c r="C1891" s="121"/>
      <c r="D1891" s="121"/>
      <c r="E1891" s="133"/>
      <c r="F1891" s="133"/>
      <c r="G1891" s="121"/>
      <c r="H1891" s="121"/>
    </row>
    <row r="1892" hidden="1">
      <c r="A1892" s="121"/>
      <c r="B1892" s="121"/>
      <c r="C1892" s="121"/>
      <c r="D1892" s="121"/>
      <c r="E1892" s="133"/>
      <c r="F1892" s="133"/>
      <c r="G1892" s="121"/>
      <c r="H1892" s="121"/>
    </row>
    <row r="1893" hidden="1">
      <c r="A1893" s="121"/>
      <c r="B1893" s="121"/>
      <c r="C1893" s="121"/>
      <c r="D1893" s="121"/>
      <c r="E1893" s="133"/>
      <c r="F1893" s="133"/>
      <c r="G1893" s="121"/>
      <c r="H1893" s="121"/>
    </row>
    <row r="1894" hidden="1">
      <c r="A1894" s="121"/>
      <c r="B1894" s="121"/>
      <c r="C1894" s="121"/>
      <c r="D1894" s="121"/>
      <c r="E1894" s="133"/>
      <c r="F1894" s="133"/>
      <c r="G1894" s="121"/>
      <c r="H1894" s="121"/>
    </row>
    <row r="1895" hidden="1">
      <c r="A1895" s="121"/>
      <c r="B1895" s="121"/>
      <c r="C1895" s="121"/>
      <c r="D1895" s="121"/>
      <c r="E1895" s="133"/>
      <c r="F1895" s="133"/>
      <c r="G1895" s="121"/>
      <c r="H1895" s="121"/>
    </row>
    <row r="1896" hidden="1">
      <c r="A1896" s="121"/>
      <c r="B1896" s="121"/>
      <c r="C1896" s="121"/>
      <c r="D1896" s="121"/>
      <c r="E1896" s="133"/>
      <c r="F1896" s="133"/>
      <c r="G1896" s="121"/>
      <c r="H1896" s="121"/>
    </row>
    <row r="1897" hidden="1">
      <c r="A1897" s="121"/>
      <c r="B1897" s="121"/>
      <c r="C1897" s="121"/>
      <c r="D1897" s="121"/>
      <c r="E1897" s="133"/>
      <c r="F1897" s="133"/>
      <c r="G1897" s="121"/>
      <c r="H1897" s="121"/>
    </row>
    <row r="1898" hidden="1">
      <c r="A1898" s="121"/>
      <c r="B1898" s="121"/>
      <c r="C1898" s="121"/>
      <c r="D1898" s="121"/>
      <c r="E1898" s="133"/>
      <c r="F1898" s="133"/>
      <c r="G1898" s="121"/>
      <c r="H1898" s="121"/>
    </row>
    <row r="1899" hidden="1">
      <c r="A1899" s="121"/>
      <c r="B1899" s="121"/>
      <c r="C1899" s="121"/>
      <c r="D1899" s="121"/>
      <c r="E1899" s="133"/>
      <c r="F1899" s="133"/>
      <c r="G1899" s="121"/>
      <c r="H1899" s="121"/>
    </row>
    <row r="1900" hidden="1">
      <c r="A1900" s="121"/>
      <c r="B1900" s="121"/>
      <c r="C1900" s="121"/>
      <c r="D1900" s="121"/>
      <c r="E1900" s="133"/>
      <c r="F1900" s="133"/>
      <c r="G1900" s="121"/>
      <c r="H1900" s="121"/>
    </row>
    <row r="1901" hidden="1">
      <c r="A1901" s="121"/>
      <c r="B1901" s="121"/>
      <c r="C1901" s="121"/>
      <c r="D1901" s="121"/>
      <c r="E1901" s="133"/>
      <c r="F1901" s="133"/>
      <c r="G1901" s="121"/>
      <c r="H1901" s="121"/>
    </row>
    <row r="1902" hidden="1">
      <c r="A1902" s="121"/>
      <c r="B1902" s="121"/>
      <c r="C1902" s="121"/>
      <c r="D1902" s="121"/>
      <c r="E1902" s="133"/>
      <c r="F1902" s="133"/>
      <c r="G1902" s="121"/>
      <c r="H1902" s="121"/>
    </row>
    <row r="1903" hidden="1">
      <c r="A1903" s="121"/>
      <c r="B1903" s="121"/>
      <c r="C1903" s="121"/>
      <c r="D1903" s="121"/>
      <c r="E1903" s="133"/>
      <c r="F1903" s="133"/>
      <c r="G1903" s="121"/>
      <c r="H1903" s="121"/>
    </row>
    <row r="1904" hidden="1">
      <c r="A1904" s="121"/>
      <c r="B1904" s="121"/>
      <c r="C1904" s="121"/>
      <c r="D1904" s="121"/>
      <c r="E1904" s="133"/>
      <c r="F1904" s="133"/>
      <c r="G1904" s="121"/>
      <c r="H1904" s="121"/>
    </row>
    <row r="1905" hidden="1">
      <c r="A1905" s="121"/>
      <c r="B1905" s="121"/>
      <c r="C1905" s="121"/>
      <c r="D1905" s="121"/>
      <c r="E1905" s="133"/>
      <c r="F1905" s="133"/>
      <c r="G1905" s="121"/>
      <c r="H1905" s="121"/>
    </row>
    <row r="1906" hidden="1">
      <c r="A1906" s="121"/>
      <c r="B1906" s="121"/>
      <c r="C1906" s="121"/>
      <c r="D1906" s="121"/>
      <c r="E1906" s="133"/>
      <c r="F1906" s="133"/>
      <c r="G1906" s="121"/>
      <c r="H1906" s="121"/>
    </row>
    <row r="1907" hidden="1">
      <c r="A1907" s="121"/>
      <c r="B1907" s="121"/>
      <c r="C1907" s="121"/>
      <c r="D1907" s="121"/>
      <c r="E1907" s="133"/>
      <c r="F1907" s="133"/>
      <c r="G1907" s="121"/>
      <c r="H1907" s="121"/>
    </row>
    <row r="1908" hidden="1">
      <c r="A1908" s="121"/>
      <c r="B1908" s="121"/>
      <c r="C1908" s="121"/>
      <c r="D1908" s="121"/>
      <c r="E1908" s="133"/>
      <c r="F1908" s="133"/>
      <c r="G1908" s="121"/>
      <c r="H1908" s="121"/>
    </row>
    <row r="1909" hidden="1">
      <c r="A1909" s="121"/>
      <c r="B1909" s="121"/>
      <c r="C1909" s="121"/>
      <c r="D1909" s="121"/>
      <c r="E1909" s="133"/>
      <c r="F1909" s="133"/>
      <c r="G1909" s="121"/>
      <c r="H1909" s="121"/>
    </row>
    <row r="1910" hidden="1">
      <c r="A1910" s="121"/>
      <c r="B1910" s="121"/>
      <c r="C1910" s="121"/>
      <c r="D1910" s="121"/>
      <c r="E1910" s="133"/>
      <c r="F1910" s="133"/>
      <c r="G1910" s="121"/>
      <c r="H1910" s="121"/>
    </row>
    <row r="1911" hidden="1">
      <c r="A1911" s="121"/>
      <c r="B1911" s="121"/>
      <c r="C1911" s="121"/>
      <c r="D1911" s="121"/>
      <c r="E1911" s="133"/>
      <c r="F1911" s="133"/>
      <c r="G1911" s="121"/>
      <c r="H1911" s="121"/>
    </row>
    <row r="1912" hidden="1">
      <c r="A1912" s="121"/>
      <c r="B1912" s="121"/>
      <c r="C1912" s="121"/>
      <c r="D1912" s="121"/>
      <c r="E1912" s="133"/>
      <c r="F1912" s="133"/>
      <c r="G1912" s="121"/>
      <c r="H1912" s="121"/>
    </row>
    <row r="1913" hidden="1">
      <c r="A1913" s="121"/>
      <c r="B1913" s="121"/>
      <c r="C1913" s="121"/>
      <c r="D1913" s="121"/>
      <c r="E1913" s="133"/>
      <c r="F1913" s="133"/>
      <c r="G1913" s="121"/>
      <c r="H1913" s="121"/>
    </row>
    <row r="1914" hidden="1">
      <c r="A1914" s="121"/>
      <c r="B1914" s="121"/>
      <c r="C1914" s="121"/>
      <c r="D1914" s="121"/>
      <c r="E1914" s="133"/>
      <c r="F1914" s="133"/>
      <c r="G1914" s="121"/>
      <c r="H1914" s="121"/>
    </row>
    <row r="1915" hidden="1">
      <c r="A1915" s="121"/>
      <c r="B1915" s="121"/>
      <c r="C1915" s="121"/>
      <c r="D1915" s="121"/>
      <c r="E1915" s="133"/>
      <c r="F1915" s="133"/>
      <c r="G1915" s="121"/>
      <c r="H1915" s="121"/>
    </row>
    <row r="1916" hidden="1">
      <c r="A1916" s="121"/>
      <c r="B1916" s="121"/>
      <c r="C1916" s="121"/>
      <c r="D1916" s="121"/>
      <c r="E1916" s="133"/>
      <c r="F1916" s="133"/>
      <c r="G1916" s="121"/>
      <c r="H1916" s="121"/>
    </row>
    <row r="1917" hidden="1">
      <c r="A1917" s="121"/>
      <c r="B1917" s="121"/>
      <c r="C1917" s="121"/>
      <c r="D1917" s="121"/>
      <c r="E1917" s="133"/>
      <c r="F1917" s="133"/>
      <c r="G1917" s="121"/>
      <c r="H1917" s="121"/>
    </row>
    <row r="1918" hidden="1">
      <c r="A1918" s="121"/>
      <c r="B1918" s="121"/>
      <c r="C1918" s="121"/>
      <c r="D1918" s="121"/>
      <c r="E1918" s="133"/>
      <c r="F1918" s="133"/>
      <c r="G1918" s="121"/>
      <c r="H1918" s="121"/>
    </row>
    <row r="1919" hidden="1">
      <c r="A1919" s="121"/>
      <c r="B1919" s="121"/>
      <c r="C1919" s="121"/>
      <c r="D1919" s="121"/>
      <c r="E1919" s="133"/>
      <c r="F1919" s="133"/>
      <c r="G1919" s="121"/>
      <c r="H1919" s="121"/>
    </row>
    <row r="1920" hidden="1">
      <c r="A1920" s="121"/>
      <c r="B1920" s="121"/>
      <c r="C1920" s="121"/>
      <c r="D1920" s="121"/>
      <c r="E1920" s="133"/>
      <c r="F1920" s="133"/>
      <c r="G1920" s="121"/>
      <c r="H1920" s="121"/>
    </row>
    <row r="1921" hidden="1">
      <c r="A1921" s="121"/>
      <c r="B1921" s="121"/>
      <c r="C1921" s="121"/>
      <c r="D1921" s="121"/>
      <c r="E1921" s="133"/>
      <c r="F1921" s="133"/>
      <c r="G1921" s="121"/>
      <c r="H1921" s="121"/>
    </row>
    <row r="1922" hidden="1">
      <c r="A1922" s="121"/>
      <c r="B1922" s="121"/>
      <c r="C1922" s="121"/>
      <c r="D1922" s="121"/>
      <c r="E1922" s="133"/>
      <c r="F1922" s="133"/>
      <c r="G1922" s="121"/>
      <c r="H1922" s="121"/>
    </row>
    <row r="1923" hidden="1">
      <c r="A1923" s="121"/>
      <c r="B1923" s="121"/>
      <c r="C1923" s="121"/>
      <c r="D1923" s="121"/>
      <c r="E1923" s="133"/>
      <c r="F1923" s="133"/>
      <c r="G1923" s="121"/>
      <c r="H1923" s="121"/>
    </row>
    <row r="1924" hidden="1">
      <c r="A1924" s="121"/>
      <c r="B1924" s="121"/>
      <c r="C1924" s="121"/>
      <c r="D1924" s="121"/>
      <c r="E1924" s="133"/>
      <c r="F1924" s="133"/>
      <c r="G1924" s="121"/>
      <c r="H1924" s="121"/>
    </row>
    <row r="1925" hidden="1">
      <c r="A1925" s="121"/>
      <c r="B1925" s="121"/>
      <c r="C1925" s="121"/>
      <c r="D1925" s="121"/>
      <c r="E1925" s="133"/>
      <c r="F1925" s="133"/>
      <c r="G1925" s="121"/>
      <c r="H1925" s="121"/>
    </row>
    <row r="1926" hidden="1">
      <c r="A1926" s="121"/>
      <c r="B1926" s="121"/>
      <c r="C1926" s="121"/>
      <c r="D1926" s="121"/>
      <c r="E1926" s="133"/>
      <c r="F1926" s="133"/>
      <c r="G1926" s="121"/>
      <c r="H1926" s="121"/>
    </row>
    <row r="1927" hidden="1">
      <c r="A1927" s="121"/>
      <c r="B1927" s="121"/>
      <c r="C1927" s="121"/>
      <c r="D1927" s="121"/>
      <c r="E1927" s="133"/>
      <c r="F1927" s="133"/>
      <c r="G1927" s="121"/>
      <c r="H1927" s="121"/>
    </row>
    <row r="1928" hidden="1">
      <c r="A1928" s="121"/>
      <c r="B1928" s="121"/>
      <c r="C1928" s="121"/>
      <c r="D1928" s="121"/>
      <c r="E1928" s="133"/>
      <c r="F1928" s="133"/>
      <c r="G1928" s="121"/>
      <c r="H1928" s="121"/>
    </row>
    <row r="1929" hidden="1">
      <c r="A1929" s="121"/>
      <c r="B1929" s="121"/>
      <c r="C1929" s="121"/>
      <c r="D1929" s="121"/>
      <c r="E1929" s="133"/>
      <c r="F1929" s="133"/>
      <c r="G1929" s="121"/>
      <c r="H1929" s="121"/>
    </row>
    <row r="1930" hidden="1">
      <c r="A1930" s="121"/>
      <c r="B1930" s="121"/>
      <c r="C1930" s="121"/>
      <c r="D1930" s="121"/>
      <c r="E1930" s="133"/>
      <c r="F1930" s="133"/>
      <c r="G1930" s="121"/>
      <c r="H1930" s="121"/>
    </row>
    <row r="1931" hidden="1">
      <c r="A1931" s="121"/>
      <c r="B1931" s="121"/>
      <c r="C1931" s="121"/>
      <c r="D1931" s="121"/>
      <c r="E1931" s="133"/>
      <c r="F1931" s="133"/>
      <c r="G1931" s="121"/>
      <c r="H1931" s="121"/>
    </row>
    <row r="1932" hidden="1">
      <c r="A1932" s="121"/>
      <c r="B1932" s="121"/>
      <c r="C1932" s="121"/>
      <c r="D1932" s="121"/>
      <c r="E1932" s="133"/>
      <c r="F1932" s="133"/>
      <c r="G1932" s="121"/>
      <c r="H1932" s="121"/>
    </row>
    <row r="1933" hidden="1">
      <c r="A1933" s="121"/>
      <c r="B1933" s="121"/>
      <c r="C1933" s="121"/>
      <c r="D1933" s="121"/>
      <c r="E1933" s="133"/>
      <c r="F1933" s="133"/>
      <c r="G1933" s="121"/>
      <c r="H1933" s="121"/>
    </row>
    <row r="1934" hidden="1">
      <c r="A1934" s="121"/>
      <c r="B1934" s="121"/>
      <c r="C1934" s="121"/>
      <c r="D1934" s="121"/>
      <c r="E1934" s="133"/>
      <c r="F1934" s="133"/>
      <c r="G1934" s="121"/>
      <c r="H1934" s="121"/>
    </row>
    <row r="1935" hidden="1">
      <c r="A1935" s="121"/>
      <c r="B1935" s="121"/>
      <c r="C1935" s="121"/>
      <c r="D1935" s="121"/>
      <c r="E1935" s="133"/>
      <c r="F1935" s="133"/>
      <c r="G1935" s="121"/>
      <c r="H1935" s="121"/>
    </row>
    <row r="1936" hidden="1">
      <c r="A1936" s="121"/>
      <c r="B1936" s="121"/>
      <c r="C1936" s="121"/>
      <c r="D1936" s="121"/>
      <c r="E1936" s="133"/>
      <c r="F1936" s="133"/>
      <c r="G1936" s="121"/>
      <c r="H1936" s="121"/>
    </row>
    <row r="1937" hidden="1">
      <c r="A1937" s="121"/>
      <c r="B1937" s="121"/>
      <c r="C1937" s="121"/>
      <c r="D1937" s="121"/>
      <c r="E1937" s="133"/>
      <c r="F1937" s="133"/>
      <c r="G1937" s="121"/>
      <c r="H1937" s="121"/>
    </row>
    <row r="1938" hidden="1">
      <c r="A1938" s="121"/>
      <c r="B1938" s="121"/>
      <c r="C1938" s="121"/>
      <c r="D1938" s="121"/>
      <c r="E1938" s="133"/>
      <c r="F1938" s="133"/>
      <c r="G1938" s="121"/>
      <c r="H1938" s="121"/>
    </row>
    <row r="1939" hidden="1">
      <c r="A1939" s="121"/>
      <c r="B1939" s="121"/>
      <c r="C1939" s="121"/>
      <c r="D1939" s="121"/>
      <c r="E1939" s="133"/>
      <c r="F1939" s="133"/>
      <c r="G1939" s="121"/>
      <c r="H1939" s="121"/>
    </row>
    <row r="1940" hidden="1">
      <c r="A1940" s="121"/>
      <c r="B1940" s="121"/>
      <c r="C1940" s="121"/>
      <c r="D1940" s="121"/>
      <c r="E1940" s="133"/>
      <c r="F1940" s="133"/>
      <c r="G1940" s="121"/>
      <c r="H1940" s="121"/>
    </row>
    <row r="1941" hidden="1">
      <c r="A1941" s="121"/>
      <c r="B1941" s="121"/>
      <c r="C1941" s="121"/>
      <c r="D1941" s="121"/>
      <c r="E1941" s="133"/>
      <c r="F1941" s="133"/>
      <c r="G1941" s="121"/>
      <c r="H1941" s="121"/>
    </row>
    <row r="1942" hidden="1">
      <c r="A1942" s="121"/>
      <c r="B1942" s="121"/>
      <c r="C1942" s="121"/>
      <c r="D1942" s="121"/>
      <c r="E1942" s="133"/>
      <c r="F1942" s="133"/>
      <c r="G1942" s="121"/>
      <c r="H1942" s="121"/>
    </row>
    <row r="1943" hidden="1">
      <c r="A1943" s="121"/>
      <c r="B1943" s="121"/>
      <c r="C1943" s="121"/>
      <c r="D1943" s="121"/>
      <c r="E1943" s="133"/>
      <c r="F1943" s="133"/>
      <c r="G1943" s="121"/>
      <c r="H1943" s="121"/>
    </row>
    <row r="1944" hidden="1">
      <c r="A1944" s="121"/>
      <c r="B1944" s="121"/>
      <c r="C1944" s="121"/>
      <c r="D1944" s="121"/>
      <c r="E1944" s="133"/>
      <c r="F1944" s="133"/>
      <c r="G1944" s="121"/>
      <c r="H1944" s="121"/>
    </row>
    <row r="1945" hidden="1">
      <c r="A1945" s="121"/>
      <c r="B1945" s="121"/>
      <c r="C1945" s="121"/>
      <c r="D1945" s="121"/>
      <c r="E1945" s="133"/>
      <c r="F1945" s="133"/>
      <c r="G1945" s="121"/>
      <c r="H1945" s="121"/>
    </row>
    <row r="1946" hidden="1">
      <c r="A1946" s="121"/>
      <c r="B1946" s="121"/>
      <c r="C1946" s="121"/>
      <c r="D1946" s="121"/>
      <c r="E1946" s="133"/>
      <c r="F1946" s="133"/>
      <c r="G1946" s="121"/>
      <c r="H1946" s="121"/>
    </row>
    <row r="1947" hidden="1">
      <c r="A1947" s="121"/>
      <c r="B1947" s="121"/>
      <c r="C1947" s="121"/>
      <c r="D1947" s="121"/>
      <c r="E1947" s="133"/>
      <c r="F1947" s="133"/>
      <c r="G1947" s="121"/>
      <c r="H1947" s="121"/>
    </row>
    <row r="1948" hidden="1">
      <c r="A1948" s="121"/>
      <c r="B1948" s="121"/>
      <c r="C1948" s="121"/>
      <c r="D1948" s="121"/>
      <c r="E1948" s="133"/>
      <c r="F1948" s="133"/>
      <c r="G1948" s="121"/>
      <c r="H1948" s="121"/>
    </row>
    <row r="1949" hidden="1">
      <c r="A1949" s="121"/>
      <c r="B1949" s="121"/>
      <c r="C1949" s="121"/>
      <c r="D1949" s="121"/>
      <c r="E1949" s="133"/>
      <c r="F1949" s="133"/>
      <c r="G1949" s="121"/>
      <c r="H1949" s="121"/>
    </row>
    <row r="1950" hidden="1">
      <c r="A1950" s="121"/>
      <c r="B1950" s="121"/>
      <c r="C1950" s="121"/>
      <c r="D1950" s="121"/>
      <c r="E1950" s="133"/>
      <c r="F1950" s="133"/>
      <c r="G1950" s="121"/>
      <c r="H1950" s="121"/>
    </row>
    <row r="1951" hidden="1">
      <c r="A1951" s="121"/>
      <c r="B1951" s="121"/>
      <c r="C1951" s="121"/>
      <c r="D1951" s="121"/>
      <c r="E1951" s="133"/>
      <c r="F1951" s="133"/>
      <c r="G1951" s="121"/>
      <c r="H1951" s="121"/>
    </row>
    <row r="1952" hidden="1">
      <c r="A1952" s="121"/>
      <c r="B1952" s="121"/>
      <c r="C1952" s="121"/>
      <c r="D1952" s="121"/>
      <c r="E1952" s="133"/>
      <c r="F1952" s="133"/>
      <c r="G1952" s="121"/>
      <c r="H1952" s="121"/>
    </row>
    <row r="1953" hidden="1">
      <c r="A1953" s="121"/>
      <c r="B1953" s="121"/>
      <c r="C1953" s="121"/>
      <c r="D1953" s="121"/>
      <c r="E1953" s="133"/>
      <c r="F1953" s="133"/>
      <c r="G1953" s="121"/>
      <c r="H1953" s="121"/>
    </row>
    <row r="1954" hidden="1">
      <c r="A1954" s="121"/>
      <c r="B1954" s="121"/>
      <c r="C1954" s="121"/>
      <c r="D1954" s="121"/>
      <c r="E1954" s="133"/>
      <c r="F1954" s="133"/>
      <c r="G1954" s="121"/>
      <c r="H1954" s="121"/>
    </row>
    <row r="1955" hidden="1">
      <c r="A1955" s="121"/>
      <c r="B1955" s="121"/>
      <c r="C1955" s="121"/>
      <c r="D1955" s="121"/>
      <c r="E1955" s="133"/>
      <c r="F1955" s="133"/>
      <c r="G1955" s="121"/>
      <c r="H1955" s="121"/>
    </row>
    <row r="1956" hidden="1">
      <c r="A1956" s="121"/>
      <c r="B1956" s="121"/>
      <c r="C1956" s="121"/>
      <c r="D1956" s="121"/>
      <c r="E1956" s="133"/>
      <c r="F1956" s="133"/>
      <c r="G1956" s="121"/>
      <c r="H1956" s="121"/>
    </row>
    <row r="1957" hidden="1">
      <c r="A1957" s="121"/>
      <c r="B1957" s="121"/>
      <c r="C1957" s="121"/>
      <c r="D1957" s="121"/>
      <c r="E1957" s="133"/>
      <c r="F1957" s="133"/>
      <c r="G1957" s="121"/>
      <c r="H1957" s="121"/>
    </row>
    <row r="1958" hidden="1">
      <c r="A1958" s="121"/>
      <c r="B1958" s="121"/>
      <c r="C1958" s="121"/>
      <c r="D1958" s="121"/>
      <c r="E1958" s="133"/>
      <c r="F1958" s="133"/>
      <c r="G1958" s="121"/>
      <c r="H1958" s="121"/>
    </row>
    <row r="1959" hidden="1">
      <c r="A1959" s="121"/>
      <c r="B1959" s="121"/>
      <c r="C1959" s="121"/>
      <c r="D1959" s="121"/>
      <c r="E1959" s="133"/>
      <c r="F1959" s="133"/>
      <c r="G1959" s="121"/>
      <c r="H1959" s="121"/>
    </row>
    <row r="1960" hidden="1">
      <c r="A1960" s="121"/>
      <c r="B1960" s="121"/>
      <c r="C1960" s="121"/>
      <c r="D1960" s="121"/>
      <c r="E1960" s="133"/>
      <c r="F1960" s="133"/>
      <c r="G1960" s="121"/>
      <c r="H1960" s="121"/>
    </row>
    <row r="1961" hidden="1">
      <c r="A1961" s="121"/>
      <c r="B1961" s="121"/>
      <c r="C1961" s="121"/>
      <c r="D1961" s="121"/>
      <c r="E1961" s="133"/>
      <c r="F1961" s="133"/>
      <c r="G1961" s="121"/>
      <c r="H1961" s="121"/>
    </row>
    <row r="1962" hidden="1">
      <c r="A1962" s="121"/>
      <c r="B1962" s="121"/>
      <c r="C1962" s="121"/>
      <c r="D1962" s="121"/>
      <c r="E1962" s="133"/>
      <c r="F1962" s="133"/>
      <c r="G1962" s="121"/>
      <c r="H1962" s="121"/>
    </row>
    <row r="1963" hidden="1">
      <c r="A1963" s="121"/>
      <c r="B1963" s="121"/>
      <c r="C1963" s="121"/>
      <c r="D1963" s="121"/>
      <c r="E1963" s="133"/>
      <c r="F1963" s="133"/>
      <c r="G1963" s="121"/>
      <c r="H1963" s="121"/>
    </row>
    <row r="1964" hidden="1">
      <c r="A1964" s="121"/>
      <c r="B1964" s="121"/>
      <c r="C1964" s="121"/>
      <c r="D1964" s="121"/>
      <c r="E1964" s="133"/>
      <c r="F1964" s="133"/>
      <c r="G1964" s="121"/>
      <c r="H1964" s="121"/>
    </row>
    <row r="1965" hidden="1">
      <c r="A1965" s="121"/>
      <c r="B1965" s="121"/>
      <c r="C1965" s="121"/>
      <c r="D1965" s="121"/>
      <c r="E1965" s="133"/>
      <c r="F1965" s="133"/>
      <c r="G1965" s="121"/>
      <c r="H1965" s="121"/>
    </row>
    <row r="1966" hidden="1">
      <c r="A1966" s="121"/>
      <c r="B1966" s="121"/>
      <c r="C1966" s="121"/>
      <c r="D1966" s="121"/>
      <c r="E1966" s="133"/>
      <c r="F1966" s="133"/>
      <c r="G1966" s="121"/>
      <c r="H1966" s="121"/>
    </row>
    <row r="1967" hidden="1">
      <c r="A1967" s="121"/>
      <c r="B1967" s="121"/>
      <c r="C1967" s="121"/>
      <c r="D1967" s="121"/>
      <c r="E1967" s="133"/>
      <c r="F1967" s="133"/>
      <c r="G1967" s="121"/>
      <c r="H1967" s="121"/>
    </row>
    <row r="1968" hidden="1">
      <c r="A1968" s="121"/>
      <c r="B1968" s="121"/>
      <c r="C1968" s="121"/>
      <c r="D1968" s="121"/>
      <c r="E1968" s="133"/>
      <c r="F1968" s="133"/>
      <c r="G1968" s="121"/>
      <c r="H1968" s="121"/>
    </row>
    <row r="1969" hidden="1">
      <c r="A1969" s="121"/>
      <c r="B1969" s="121"/>
      <c r="C1969" s="121"/>
      <c r="D1969" s="121"/>
      <c r="E1969" s="133"/>
      <c r="F1969" s="133"/>
      <c r="G1969" s="121"/>
      <c r="H1969" s="121"/>
    </row>
    <row r="1970" hidden="1">
      <c r="A1970" s="121"/>
      <c r="B1970" s="121"/>
      <c r="C1970" s="121"/>
      <c r="D1970" s="121"/>
      <c r="E1970" s="133"/>
      <c r="F1970" s="133"/>
      <c r="G1970" s="121"/>
      <c r="H1970" s="121"/>
    </row>
    <row r="1971" hidden="1">
      <c r="A1971" s="121"/>
      <c r="B1971" s="121"/>
      <c r="C1971" s="121"/>
      <c r="D1971" s="121"/>
      <c r="E1971" s="133"/>
      <c r="F1971" s="133"/>
      <c r="G1971" s="121"/>
      <c r="H1971" s="121"/>
    </row>
    <row r="1972" hidden="1">
      <c r="A1972" s="121"/>
      <c r="B1972" s="121"/>
      <c r="C1972" s="121"/>
      <c r="D1972" s="121"/>
      <c r="E1972" s="133"/>
      <c r="F1972" s="133"/>
      <c r="G1972" s="121"/>
      <c r="H1972" s="121"/>
    </row>
    <row r="1973" hidden="1">
      <c r="A1973" s="121"/>
      <c r="B1973" s="121"/>
      <c r="C1973" s="121"/>
      <c r="D1973" s="121"/>
      <c r="E1973" s="133"/>
      <c r="F1973" s="133"/>
      <c r="G1973" s="121"/>
      <c r="H1973" s="121"/>
    </row>
    <row r="1974" hidden="1">
      <c r="A1974" s="121"/>
      <c r="B1974" s="121"/>
      <c r="C1974" s="121"/>
      <c r="D1974" s="121"/>
      <c r="E1974" s="133"/>
      <c r="F1974" s="133"/>
      <c r="G1974" s="121"/>
      <c r="H1974" s="121"/>
    </row>
    <row r="1975" hidden="1">
      <c r="A1975" s="121"/>
      <c r="B1975" s="121"/>
      <c r="C1975" s="121"/>
      <c r="D1975" s="121"/>
      <c r="E1975" s="133"/>
      <c r="F1975" s="133"/>
      <c r="G1975" s="121"/>
      <c r="H1975" s="121"/>
    </row>
    <row r="1976" hidden="1">
      <c r="A1976" s="121"/>
      <c r="B1976" s="121"/>
      <c r="C1976" s="121"/>
      <c r="D1976" s="121"/>
      <c r="E1976" s="133"/>
      <c r="F1976" s="133"/>
      <c r="G1976" s="121"/>
      <c r="H1976" s="121"/>
    </row>
    <row r="1977" hidden="1">
      <c r="A1977" s="121"/>
      <c r="B1977" s="121"/>
      <c r="C1977" s="121"/>
      <c r="D1977" s="121"/>
      <c r="E1977" s="133"/>
      <c r="F1977" s="133"/>
      <c r="G1977" s="121"/>
      <c r="H1977" s="121"/>
    </row>
    <row r="1978" hidden="1">
      <c r="A1978" s="121"/>
      <c r="B1978" s="121"/>
      <c r="C1978" s="121"/>
      <c r="D1978" s="121"/>
      <c r="E1978" s="133"/>
      <c r="F1978" s="133"/>
      <c r="G1978" s="121"/>
      <c r="H1978" s="121"/>
    </row>
    <row r="1979" hidden="1">
      <c r="A1979" s="121"/>
      <c r="B1979" s="121"/>
      <c r="C1979" s="121"/>
      <c r="D1979" s="121"/>
      <c r="E1979" s="133"/>
      <c r="F1979" s="133"/>
      <c r="G1979" s="121"/>
      <c r="H1979" s="121"/>
    </row>
    <row r="1980" hidden="1">
      <c r="A1980" s="121"/>
      <c r="B1980" s="121"/>
      <c r="C1980" s="121"/>
      <c r="D1980" s="121"/>
      <c r="E1980" s="133"/>
      <c r="F1980" s="133"/>
      <c r="G1980" s="121"/>
      <c r="H1980" s="121"/>
    </row>
    <row r="1981" hidden="1">
      <c r="A1981" s="121"/>
      <c r="B1981" s="121"/>
      <c r="C1981" s="121"/>
      <c r="D1981" s="121"/>
      <c r="E1981" s="133"/>
      <c r="F1981" s="133"/>
      <c r="G1981" s="121"/>
      <c r="H1981" s="121"/>
    </row>
    <row r="1982" hidden="1">
      <c r="A1982" s="121"/>
      <c r="B1982" s="121"/>
      <c r="C1982" s="121"/>
      <c r="D1982" s="121"/>
      <c r="E1982" s="133"/>
      <c r="F1982" s="133"/>
      <c r="G1982" s="121"/>
      <c r="H1982" s="121"/>
    </row>
    <row r="1983" hidden="1">
      <c r="A1983" s="121"/>
      <c r="B1983" s="121"/>
      <c r="C1983" s="121"/>
      <c r="D1983" s="121"/>
      <c r="E1983" s="133"/>
      <c r="F1983" s="133"/>
      <c r="G1983" s="121"/>
      <c r="H1983" s="121"/>
    </row>
    <row r="1984" hidden="1">
      <c r="A1984" s="121"/>
      <c r="B1984" s="121"/>
      <c r="C1984" s="121"/>
      <c r="D1984" s="121"/>
      <c r="E1984" s="133"/>
      <c r="F1984" s="133"/>
      <c r="G1984" s="121"/>
      <c r="H1984" s="121"/>
    </row>
    <row r="1985" hidden="1">
      <c r="A1985" s="121"/>
      <c r="B1985" s="121"/>
      <c r="C1985" s="121"/>
      <c r="D1985" s="121"/>
      <c r="E1985" s="133"/>
      <c r="F1985" s="133"/>
      <c r="G1985" s="121"/>
      <c r="H1985" s="121"/>
    </row>
    <row r="1986" hidden="1">
      <c r="A1986" s="121"/>
      <c r="B1986" s="121"/>
      <c r="C1986" s="121"/>
      <c r="D1986" s="121"/>
      <c r="E1986" s="133"/>
      <c r="F1986" s="133"/>
      <c r="G1986" s="121"/>
      <c r="H1986" s="121"/>
    </row>
    <row r="1987" hidden="1">
      <c r="A1987" s="121"/>
      <c r="B1987" s="121"/>
      <c r="C1987" s="121"/>
      <c r="D1987" s="121"/>
      <c r="E1987" s="133"/>
      <c r="F1987" s="133"/>
      <c r="G1987" s="121"/>
      <c r="H1987" s="121"/>
    </row>
    <row r="1988" hidden="1">
      <c r="A1988" s="121"/>
      <c r="B1988" s="121"/>
      <c r="C1988" s="121"/>
      <c r="D1988" s="121"/>
      <c r="E1988" s="133"/>
      <c r="F1988" s="133"/>
      <c r="G1988" s="121"/>
      <c r="H1988" s="121"/>
    </row>
    <row r="1989" hidden="1">
      <c r="A1989" s="121"/>
      <c r="B1989" s="121"/>
      <c r="C1989" s="121"/>
      <c r="D1989" s="121"/>
      <c r="E1989" s="133"/>
      <c r="F1989" s="133"/>
      <c r="G1989" s="121"/>
      <c r="H1989" s="121"/>
    </row>
    <row r="1990" hidden="1">
      <c r="A1990" s="121"/>
      <c r="B1990" s="121"/>
      <c r="C1990" s="121"/>
      <c r="D1990" s="121"/>
      <c r="E1990" s="133"/>
      <c r="F1990" s="133"/>
      <c r="G1990" s="121"/>
      <c r="H1990" s="121"/>
    </row>
    <row r="1991" hidden="1">
      <c r="A1991" s="121"/>
      <c r="B1991" s="121"/>
      <c r="C1991" s="121"/>
      <c r="D1991" s="121"/>
      <c r="E1991" s="133"/>
      <c r="F1991" s="133"/>
      <c r="G1991" s="121"/>
      <c r="H1991" s="121"/>
    </row>
    <row r="1992" hidden="1">
      <c r="A1992" s="121"/>
      <c r="B1992" s="121"/>
      <c r="C1992" s="121"/>
      <c r="D1992" s="121"/>
      <c r="E1992" s="133"/>
      <c r="F1992" s="133"/>
      <c r="G1992" s="121"/>
      <c r="H1992" s="121"/>
    </row>
    <row r="1993" hidden="1">
      <c r="A1993" s="121"/>
      <c r="B1993" s="121"/>
      <c r="C1993" s="121"/>
      <c r="D1993" s="121"/>
      <c r="E1993" s="133"/>
      <c r="F1993" s="133"/>
      <c r="G1993" s="121"/>
      <c r="H1993" s="121"/>
    </row>
    <row r="1994" hidden="1">
      <c r="A1994" s="121"/>
      <c r="B1994" s="121"/>
      <c r="C1994" s="121"/>
      <c r="D1994" s="121"/>
      <c r="E1994" s="133"/>
      <c r="F1994" s="133"/>
      <c r="G1994" s="121"/>
      <c r="H1994" s="121"/>
    </row>
    <row r="1995" hidden="1">
      <c r="A1995" s="121"/>
      <c r="B1995" s="121"/>
      <c r="C1995" s="121"/>
      <c r="D1995" s="121"/>
      <c r="E1995" s="133"/>
      <c r="F1995" s="133"/>
      <c r="G1995" s="121"/>
      <c r="H1995" s="121"/>
    </row>
    <row r="1996" hidden="1">
      <c r="A1996" s="121"/>
      <c r="B1996" s="121"/>
      <c r="C1996" s="121"/>
      <c r="D1996" s="121"/>
      <c r="E1996" s="133"/>
      <c r="F1996" s="133"/>
      <c r="G1996" s="121"/>
      <c r="H1996" s="121"/>
    </row>
    <row r="1997" hidden="1">
      <c r="A1997" s="121"/>
      <c r="B1997" s="121"/>
      <c r="C1997" s="121"/>
      <c r="D1997" s="121"/>
      <c r="E1997" s="133"/>
      <c r="F1997" s="133"/>
      <c r="G1997" s="121"/>
      <c r="H1997" s="121"/>
    </row>
    <row r="1998" hidden="1">
      <c r="A1998" s="121"/>
      <c r="B1998" s="121"/>
      <c r="C1998" s="121"/>
      <c r="D1998" s="121"/>
      <c r="E1998" s="133"/>
      <c r="F1998" s="133"/>
      <c r="G1998" s="121"/>
      <c r="H1998" s="121"/>
    </row>
    <row r="1999" hidden="1">
      <c r="A1999" s="121"/>
      <c r="B1999" s="121"/>
      <c r="C1999" s="121"/>
      <c r="D1999" s="121"/>
      <c r="E1999" s="133"/>
      <c r="F1999" s="133"/>
      <c r="G1999" s="121"/>
      <c r="H1999" s="121"/>
    </row>
    <row r="2000" hidden="1">
      <c r="A2000" s="121"/>
      <c r="B2000" s="121"/>
      <c r="C2000" s="121"/>
      <c r="D2000" s="121"/>
      <c r="E2000" s="133"/>
      <c r="F2000" s="133"/>
      <c r="G2000" s="121"/>
      <c r="H2000" s="121"/>
    </row>
    <row r="2001" hidden="1">
      <c r="A2001" s="121"/>
      <c r="B2001" s="121"/>
      <c r="C2001" s="121"/>
      <c r="D2001" s="121"/>
      <c r="E2001" s="133"/>
      <c r="F2001" s="133"/>
      <c r="G2001" s="121"/>
      <c r="H2001" s="121"/>
    </row>
    <row r="2002" hidden="1">
      <c r="A2002" s="121"/>
      <c r="B2002" s="121"/>
      <c r="C2002" s="121"/>
      <c r="D2002" s="121"/>
      <c r="E2002" s="133"/>
      <c r="F2002" s="133"/>
      <c r="G2002" s="121"/>
      <c r="H2002" s="121"/>
    </row>
    <row r="2003" hidden="1">
      <c r="A2003" s="121"/>
      <c r="B2003" s="121"/>
      <c r="C2003" s="121"/>
      <c r="D2003" s="121"/>
      <c r="E2003" s="133"/>
      <c r="F2003" s="133"/>
      <c r="G2003" s="121"/>
      <c r="H2003" s="121"/>
    </row>
    <row r="2004" hidden="1">
      <c r="A2004" s="121"/>
      <c r="B2004" s="121"/>
      <c r="C2004" s="121"/>
      <c r="D2004" s="121"/>
      <c r="E2004" s="133"/>
      <c r="F2004" s="133"/>
      <c r="G2004" s="121"/>
      <c r="H2004" s="121"/>
    </row>
    <row r="2005" hidden="1">
      <c r="A2005" s="121"/>
      <c r="B2005" s="121"/>
      <c r="C2005" s="121"/>
      <c r="D2005" s="121"/>
      <c r="E2005" s="133"/>
      <c r="F2005" s="133"/>
      <c r="G2005" s="121"/>
      <c r="H2005" s="121"/>
    </row>
    <row r="2006" hidden="1">
      <c r="A2006" s="121"/>
      <c r="B2006" s="121"/>
      <c r="C2006" s="121"/>
      <c r="D2006" s="121"/>
      <c r="E2006" s="133"/>
      <c r="F2006" s="133"/>
      <c r="G2006" s="121"/>
      <c r="H2006" s="121"/>
    </row>
    <row r="2007" hidden="1">
      <c r="A2007" s="121"/>
      <c r="B2007" s="121"/>
      <c r="C2007" s="121"/>
      <c r="D2007" s="121"/>
      <c r="E2007" s="133"/>
      <c r="F2007" s="133"/>
      <c r="G2007" s="121"/>
      <c r="H2007" s="121"/>
    </row>
    <row r="2008" hidden="1">
      <c r="A2008" s="121"/>
      <c r="B2008" s="121"/>
      <c r="C2008" s="121"/>
      <c r="D2008" s="121"/>
      <c r="E2008" s="133"/>
      <c r="F2008" s="133"/>
      <c r="G2008" s="121"/>
      <c r="H2008" s="121"/>
    </row>
    <row r="2009" hidden="1">
      <c r="A2009" s="121"/>
      <c r="B2009" s="121"/>
      <c r="C2009" s="121"/>
      <c r="D2009" s="121"/>
      <c r="E2009" s="133"/>
      <c r="F2009" s="133"/>
      <c r="G2009" s="121"/>
      <c r="H2009" s="121"/>
    </row>
    <row r="2010" hidden="1">
      <c r="A2010" s="121"/>
      <c r="B2010" s="121"/>
      <c r="C2010" s="121"/>
      <c r="D2010" s="121"/>
      <c r="E2010" s="133"/>
      <c r="F2010" s="133"/>
      <c r="G2010" s="121"/>
      <c r="H2010" s="121"/>
    </row>
    <row r="2011" hidden="1">
      <c r="A2011" s="121"/>
      <c r="B2011" s="121"/>
      <c r="C2011" s="121"/>
      <c r="D2011" s="121"/>
      <c r="E2011" s="133"/>
      <c r="F2011" s="133"/>
      <c r="G2011" s="121"/>
      <c r="H2011" s="121"/>
    </row>
    <row r="2012" hidden="1">
      <c r="A2012" s="121"/>
      <c r="B2012" s="121"/>
      <c r="C2012" s="121"/>
      <c r="D2012" s="121"/>
      <c r="E2012" s="133"/>
      <c r="F2012" s="133"/>
      <c r="G2012" s="121"/>
      <c r="H2012" s="121"/>
    </row>
    <row r="2013" hidden="1">
      <c r="A2013" s="121"/>
      <c r="B2013" s="121"/>
      <c r="C2013" s="121"/>
      <c r="D2013" s="121"/>
      <c r="E2013" s="133"/>
      <c r="F2013" s="133"/>
      <c r="G2013" s="121"/>
      <c r="H2013" s="121"/>
    </row>
    <row r="2014" hidden="1">
      <c r="A2014" s="121"/>
      <c r="B2014" s="121"/>
      <c r="C2014" s="121"/>
      <c r="D2014" s="121"/>
      <c r="E2014" s="133"/>
      <c r="F2014" s="133"/>
      <c r="G2014" s="121"/>
      <c r="H2014" s="121"/>
    </row>
    <row r="2015" hidden="1">
      <c r="A2015" s="121"/>
      <c r="B2015" s="121"/>
      <c r="C2015" s="121"/>
      <c r="D2015" s="121"/>
      <c r="E2015" s="133"/>
      <c r="F2015" s="133"/>
      <c r="G2015" s="121"/>
      <c r="H2015" s="121"/>
    </row>
    <row r="2016" hidden="1">
      <c r="A2016" s="121"/>
      <c r="B2016" s="121"/>
      <c r="C2016" s="121"/>
      <c r="D2016" s="121"/>
      <c r="E2016" s="133"/>
      <c r="F2016" s="133"/>
      <c r="G2016" s="121"/>
      <c r="H2016" s="121"/>
    </row>
    <row r="2017" hidden="1">
      <c r="A2017" s="121"/>
      <c r="B2017" s="121"/>
      <c r="C2017" s="121"/>
      <c r="D2017" s="121"/>
      <c r="E2017" s="133"/>
      <c r="F2017" s="133"/>
      <c r="G2017" s="121"/>
      <c r="H2017" s="121"/>
    </row>
    <row r="2018" hidden="1">
      <c r="A2018" s="121"/>
      <c r="B2018" s="121"/>
      <c r="C2018" s="121"/>
      <c r="D2018" s="121"/>
      <c r="E2018" s="133"/>
      <c r="F2018" s="133"/>
      <c r="G2018" s="121"/>
      <c r="H2018" s="121"/>
    </row>
    <row r="2019" hidden="1">
      <c r="A2019" s="121"/>
      <c r="B2019" s="121"/>
      <c r="C2019" s="121"/>
      <c r="D2019" s="121"/>
      <c r="E2019" s="133"/>
      <c r="F2019" s="133"/>
      <c r="G2019" s="121"/>
      <c r="H2019" s="121"/>
    </row>
    <row r="2020" hidden="1">
      <c r="A2020" s="121"/>
      <c r="B2020" s="121"/>
      <c r="C2020" s="121"/>
      <c r="D2020" s="121"/>
      <c r="E2020" s="133"/>
      <c r="F2020" s="133"/>
      <c r="G2020" s="121"/>
      <c r="H2020" s="121"/>
    </row>
    <row r="2021" hidden="1">
      <c r="A2021" s="121"/>
      <c r="B2021" s="121"/>
      <c r="C2021" s="121"/>
      <c r="D2021" s="121"/>
      <c r="E2021" s="133"/>
      <c r="F2021" s="133"/>
      <c r="G2021" s="121"/>
      <c r="H2021" s="121"/>
    </row>
    <row r="2022" hidden="1">
      <c r="A2022" s="121"/>
      <c r="B2022" s="121"/>
      <c r="C2022" s="121"/>
      <c r="D2022" s="121"/>
      <c r="E2022" s="133"/>
      <c r="F2022" s="133"/>
      <c r="G2022" s="121"/>
      <c r="H2022" s="121"/>
    </row>
    <row r="2023" hidden="1">
      <c r="A2023" s="121"/>
      <c r="B2023" s="121"/>
      <c r="C2023" s="121"/>
      <c r="D2023" s="121"/>
      <c r="E2023" s="133"/>
      <c r="F2023" s="133"/>
      <c r="G2023" s="121"/>
      <c r="H2023" s="121"/>
    </row>
    <row r="2024" hidden="1">
      <c r="A2024" s="121"/>
      <c r="B2024" s="121"/>
      <c r="C2024" s="121"/>
      <c r="D2024" s="121"/>
      <c r="E2024" s="133"/>
      <c r="F2024" s="133"/>
      <c r="G2024" s="121"/>
      <c r="H2024" s="121"/>
    </row>
    <row r="2025" hidden="1">
      <c r="A2025" s="121"/>
      <c r="B2025" s="121"/>
      <c r="C2025" s="121"/>
      <c r="D2025" s="121"/>
      <c r="E2025" s="133"/>
      <c r="F2025" s="133"/>
      <c r="G2025" s="121"/>
      <c r="H2025" s="121"/>
    </row>
    <row r="2026" hidden="1">
      <c r="A2026" s="121"/>
      <c r="B2026" s="121"/>
      <c r="C2026" s="121"/>
      <c r="D2026" s="121"/>
      <c r="E2026" s="133"/>
      <c r="F2026" s="133"/>
      <c r="G2026" s="121"/>
      <c r="H2026" s="121"/>
    </row>
    <row r="2027" hidden="1">
      <c r="A2027" s="121"/>
      <c r="B2027" s="121"/>
      <c r="C2027" s="121"/>
      <c r="D2027" s="121"/>
      <c r="E2027" s="133"/>
      <c r="F2027" s="133"/>
      <c r="G2027" s="121"/>
      <c r="H2027" s="121"/>
    </row>
    <row r="2028" hidden="1">
      <c r="A2028" s="121"/>
      <c r="B2028" s="121"/>
      <c r="C2028" s="121"/>
      <c r="D2028" s="121"/>
      <c r="E2028" s="133"/>
      <c r="F2028" s="133"/>
      <c r="G2028" s="121"/>
      <c r="H2028" s="121"/>
    </row>
    <row r="2029" hidden="1">
      <c r="A2029" s="121"/>
      <c r="B2029" s="121"/>
      <c r="C2029" s="121"/>
      <c r="D2029" s="121"/>
      <c r="E2029" s="133"/>
      <c r="F2029" s="133"/>
      <c r="G2029" s="121"/>
      <c r="H2029" s="121"/>
    </row>
    <row r="2030" hidden="1">
      <c r="A2030" s="121"/>
      <c r="B2030" s="121"/>
      <c r="C2030" s="121"/>
      <c r="D2030" s="121"/>
      <c r="E2030" s="133"/>
      <c r="F2030" s="133"/>
      <c r="G2030" s="121"/>
      <c r="H2030" s="121"/>
    </row>
    <row r="2031" hidden="1">
      <c r="A2031" s="121"/>
      <c r="B2031" s="121"/>
      <c r="C2031" s="121"/>
      <c r="D2031" s="121"/>
      <c r="E2031" s="133"/>
      <c r="F2031" s="133"/>
      <c r="G2031" s="121"/>
      <c r="H2031" s="121"/>
    </row>
    <row r="2032" hidden="1">
      <c r="A2032" s="121"/>
      <c r="B2032" s="121"/>
      <c r="C2032" s="121"/>
      <c r="D2032" s="121"/>
      <c r="E2032" s="133"/>
      <c r="F2032" s="133"/>
      <c r="G2032" s="121"/>
      <c r="H2032" s="121"/>
    </row>
    <row r="2033" hidden="1">
      <c r="A2033" s="121"/>
      <c r="B2033" s="121"/>
      <c r="C2033" s="121"/>
      <c r="D2033" s="121"/>
      <c r="E2033" s="133"/>
      <c r="F2033" s="133"/>
      <c r="G2033" s="121"/>
      <c r="H2033" s="121"/>
    </row>
    <row r="2034" hidden="1">
      <c r="A2034" s="121"/>
      <c r="B2034" s="121"/>
      <c r="C2034" s="121"/>
      <c r="D2034" s="121"/>
      <c r="E2034" s="133"/>
      <c r="F2034" s="133"/>
      <c r="G2034" s="121"/>
      <c r="H2034" s="121"/>
    </row>
    <row r="2035" hidden="1">
      <c r="A2035" s="121"/>
      <c r="B2035" s="121"/>
      <c r="C2035" s="121"/>
      <c r="D2035" s="121"/>
      <c r="E2035" s="133"/>
      <c r="F2035" s="133"/>
      <c r="G2035" s="121"/>
      <c r="H2035" s="121"/>
    </row>
    <row r="2036" hidden="1">
      <c r="A2036" s="121"/>
      <c r="B2036" s="121"/>
      <c r="C2036" s="121"/>
      <c r="D2036" s="121"/>
      <c r="E2036" s="133"/>
      <c r="F2036" s="133"/>
      <c r="G2036" s="121"/>
      <c r="H2036" s="121"/>
    </row>
    <row r="2037" hidden="1">
      <c r="A2037" s="121"/>
      <c r="B2037" s="121"/>
      <c r="C2037" s="121"/>
      <c r="D2037" s="121"/>
      <c r="E2037" s="133"/>
      <c r="F2037" s="133"/>
      <c r="G2037" s="121"/>
      <c r="H2037" s="121"/>
    </row>
    <row r="2038" hidden="1">
      <c r="A2038" s="121"/>
      <c r="B2038" s="121"/>
      <c r="C2038" s="121"/>
      <c r="D2038" s="121"/>
      <c r="E2038" s="133"/>
      <c r="F2038" s="133"/>
      <c r="G2038" s="121"/>
      <c r="H2038" s="121"/>
    </row>
    <row r="2039" hidden="1">
      <c r="A2039" s="121"/>
      <c r="B2039" s="121"/>
      <c r="C2039" s="121"/>
      <c r="D2039" s="121"/>
      <c r="E2039" s="133"/>
      <c r="F2039" s="133"/>
      <c r="G2039" s="121"/>
      <c r="H2039" s="121"/>
    </row>
    <row r="2040" hidden="1">
      <c r="A2040" s="121"/>
      <c r="B2040" s="121"/>
      <c r="C2040" s="121"/>
      <c r="D2040" s="121"/>
      <c r="E2040" s="133"/>
      <c r="F2040" s="133"/>
      <c r="G2040" s="121"/>
      <c r="H2040" s="121"/>
    </row>
    <row r="2041" hidden="1">
      <c r="A2041" s="121"/>
      <c r="B2041" s="121"/>
      <c r="C2041" s="121"/>
      <c r="D2041" s="121"/>
      <c r="E2041" s="133"/>
      <c r="F2041" s="133"/>
      <c r="G2041" s="121"/>
      <c r="H2041" s="121"/>
    </row>
    <row r="2042" hidden="1">
      <c r="A2042" s="121"/>
      <c r="B2042" s="121"/>
      <c r="C2042" s="121"/>
      <c r="D2042" s="121"/>
      <c r="E2042" s="133"/>
      <c r="F2042" s="133"/>
      <c r="G2042" s="121"/>
      <c r="H2042" s="121"/>
    </row>
    <row r="2043" hidden="1">
      <c r="A2043" s="121"/>
      <c r="B2043" s="121"/>
      <c r="C2043" s="121"/>
      <c r="D2043" s="121"/>
      <c r="E2043" s="133"/>
      <c r="F2043" s="133"/>
      <c r="G2043" s="121"/>
      <c r="H2043" s="121"/>
    </row>
    <row r="2044" hidden="1">
      <c r="A2044" s="121"/>
      <c r="B2044" s="121"/>
      <c r="C2044" s="121"/>
      <c r="D2044" s="121"/>
      <c r="E2044" s="133"/>
      <c r="F2044" s="133"/>
      <c r="G2044" s="121"/>
      <c r="H2044" s="121"/>
    </row>
    <row r="2045" hidden="1">
      <c r="A2045" s="121"/>
      <c r="B2045" s="121"/>
      <c r="C2045" s="121"/>
      <c r="D2045" s="121"/>
      <c r="E2045" s="133"/>
      <c r="F2045" s="133"/>
      <c r="G2045" s="121"/>
      <c r="H2045" s="121"/>
    </row>
    <row r="2046" hidden="1">
      <c r="A2046" s="121"/>
      <c r="B2046" s="121"/>
      <c r="C2046" s="121"/>
      <c r="D2046" s="121"/>
      <c r="E2046" s="133"/>
      <c r="F2046" s="133"/>
      <c r="G2046" s="121"/>
      <c r="H2046" s="121"/>
    </row>
    <row r="2047" hidden="1">
      <c r="A2047" s="121"/>
      <c r="B2047" s="121"/>
      <c r="C2047" s="121"/>
      <c r="D2047" s="121"/>
      <c r="E2047" s="133"/>
      <c r="F2047" s="133"/>
      <c r="G2047" s="121"/>
      <c r="H2047" s="121"/>
    </row>
    <row r="2048" hidden="1">
      <c r="A2048" s="121"/>
      <c r="B2048" s="121"/>
      <c r="C2048" s="121"/>
      <c r="D2048" s="121"/>
      <c r="E2048" s="133"/>
      <c r="F2048" s="133"/>
      <c r="G2048" s="121"/>
      <c r="H2048" s="121"/>
    </row>
    <row r="2049" hidden="1">
      <c r="A2049" s="121"/>
      <c r="B2049" s="121"/>
      <c r="C2049" s="121"/>
      <c r="D2049" s="121"/>
      <c r="E2049" s="133"/>
      <c r="F2049" s="133"/>
      <c r="G2049" s="121"/>
      <c r="H2049" s="121"/>
    </row>
    <row r="2050" hidden="1">
      <c r="A2050" s="121"/>
      <c r="B2050" s="121"/>
      <c r="C2050" s="121"/>
      <c r="D2050" s="121"/>
      <c r="E2050" s="133"/>
      <c r="F2050" s="133"/>
      <c r="G2050" s="121"/>
      <c r="H2050" s="121"/>
    </row>
    <row r="2051" hidden="1">
      <c r="A2051" s="121"/>
      <c r="B2051" s="121"/>
      <c r="C2051" s="121"/>
      <c r="D2051" s="121"/>
      <c r="E2051" s="133"/>
      <c r="F2051" s="133"/>
      <c r="G2051" s="121"/>
      <c r="H2051" s="121"/>
    </row>
    <row r="2052" hidden="1">
      <c r="A2052" s="121"/>
      <c r="B2052" s="121"/>
      <c r="C2052" s="121"/>
      <c r="D2052" s="121"/>
      <c r="E2052" s="133"/>
      <c r="F2052" s="133"/>
      <c r="G2052" s="121"/>
      <c r="H2052" s="121"/>
    </row>
    <row r="2053" hidden="1">
      <c r="A2053" s="121"/>
      <c r="B2053" s="121"/>
      <c r="C2053" s="121"/>
      <c r="D2053" s="121"/>
      <c r="E2053" s="133"/>
      <c r="F2053" s="133"/>
      <c r="G2053" s="121"/>
      <c r="H2053" s="121"/>
    </row>
    <row r="2054" hidden="1">
      <c r="A2054" s="121"/>
      <c r="B2054" s="121"/>
      <c r="C2054" s="121"/>
      <c r="D2054" s="121"/>
      <c r="E2054" s="133"/>
      <c r="F2054" s="133"/>
      <c r="G2054" s="121"/>
      <c r="H2054" s="121"/>
    </row>
    <row r="2055" hidden="1">
      <c r="A2055" s="121"/>
      <c r="B2055" s="121"/>
      <c r="C2055" s="121"/>
      <c r="D2055" s="121"/>
      <c r="E2055" s="133"/>
      <c r="F2055" s="133"/>
      <c r="G2055" s="121"/>
      <c r="H2055" s="121"/>
    </row>
    <row r="2056" hidden="1">
      <c r="A2056" s="121"/>
      <c r="B2056" s="121"/>
      <c r="C2056" s="121"/>
      <c r="D2056" s="121"/>
      <c r="E2056" s="133"/>
      <c r="F2056" s="133"/>
      <c r="G2056" s="121"/>
      <c r="H2056" s="121"/>
    </row>
    <row r="2057" hidden="1">
      <c r="A2057" s="121"/>
      <c r="B2057" s="121"/>
      <c r="C2057" s="121"/>
      <c r="D2057" s="121"/>
      <c r="E2057" s="133"/>
      <c r="F2057" s="133"/>
      <c r="G2057" s="121"/>
      <c r="H2057" s="121"/>
    </row>
    <row r="2058" hidden="1">
      <c r="A2058" s="121"/>
      <c r="B2058" s="121"/>
      <c r="C2058" s="121"/>
      <c r="D2058" s="121"/>
      <c r="E2058" s="133"/>
      <c r="F2058" s="133"/>
      <c r="G2058" s="121"/>
      <c r="H2058" s="121"/>
    </row>
    <row r="2059" hidden="1">
      <c r="A2059" s="121"/>
      <c r="B2059" s="121"/>
      <c r="C2059" s="121"/>
      <c r="D2059" s="121"/>
      <c r="E2059" s="133"/>
      <c r="F2059" s="133"/>
      <c r="G2059" s="121"/>
      <c r="H2059" s="121"/>
    </row>
    <row r="2060" hidden="1">
      <c r="A2060" s="121"/>
      <c r="B2060" s="121"/>
      <c r="C2060" s="121"/>
      <c r="D2060" s="121"/>
      <c r="E2060" s="133"/>
      <c r="F2060" s="133"/>
      <c r="G2060" s="121"/>
      <c r="H2060" s="121"/>
    </row>
    <row r="2061" hidden="1">
      <c r="A2061" s="121"/>
      <c r="B2061" s="121"/>
      <c r="C2061" s="121"/>
      <c r="D2061" s="121"/>
      <c r="E2061" s="133"/>
      <c r="F2061" s="133"/>
      <c r="G2061" s="121"/>
      <c r="H2061" s="121"/>
    </row>
    <row r="2062" hidden="1">
      <c r="A2062" s="121"/>
      <c r="B2062" s="121"/>
      <c r="C2062" s="121"/>
      <c r="D2062" s="121"/>
      <c r="E2062" s="133"/>
      <c r="F2062" s="133"/>
      <c r="G2062" s="121"/>
      <c r="H2062" s="121"/>
    </row>
    <row r="2063" hidden="1">
      <c r="A2063" s="121"/>
      <c r="B2063" s="121"/>
      <c r="C2063" s="121"/>
      <c r="D2063" s="121"/>
      <c r="E2063" s="133"/>
      <c r="F2063" s="133"/>
      <c r="G2063" s="121"/>
      <c r="H2063" s="121"/>
    </row>
    <row r="2064" hidden="1">
      <c r="A2064" s="121"/>
      <c r="B2064" s="121"/>
      <c r="C2064" s="121"/>
      <c r="D2064" s="121"/>
      <c r="E2064" s="133"/>
      <c r="F2064" s="133"/>
      <c r="G2064" s="121"/>
      <c r="H2064" s="121"/>
    </row>
    <row r="2065" hidden="1">
      <c r="A2065" s="121"/>
      <c r="B2065" s="121"/>
      <c r="C2065" s="121"/>
      <c r="D2065" s="121"/>
      <c r="E2065" s="133"/>
      <c r="F2065" s="133"/>
      <c r="G2065" s="121"/>
      <c r="H2065" s="121"/>
    </row>
    <row r="2066" hidden="1">
      <c r="A2066" s="121"/>
      <c r="B2066" s="121"/>
      <c r="C2066" s="121"/>
      <c r="D2066" s="121"/>
      <c r="E2066" s="133"/>
      <c r="F2066" s="133"/>
      <c r="G2066" s="121"/>
      <c r="H2066" s="121"/>
    </row>
    <row r="2067" hidden="1">
      <c r="A2067" s="121"/>
      <c r="B2067" s="121"/>
      <c r="C2067" s="121"/>
      <c r="D2067" s="121"/>
      <c r="E2067" s="133"/>
      <c r="F2067" s="133"/>
      <c r="G2067" s="121"/>
      <c r="H2067" s="121"/>
    </row>
    <row r="2068" hidden="1">
      <c r="A2068" s="121"/>
      <c r="B2068" s="121"/>
      <c r="C2068" s="121"/>
      <c r="D2068" s="121"/>
      <c r="E2068" s="133"/>
      <c r="F2068" s="133"/>
      <c r="G2068" s="121"/>
      <c r="H2068" s="121"/>
    </row>
    <row r="2069" hidden="1">
      <c r="A2069" s="121"/>
      <c r="B2069" s="121"/>
      <c r="C2069" s="121"/>
      <c r="D2069" s="121"/>
      <c r="E2069" s="133"/>
      <c r="F2069" s="133"/>
      <c r="G2069" s="121"/>
      <c r="H2069" s="121"/>
    </row>
    <row r="2070" hidden="1">
      <c r="A2070" s="121"/>
      <c r="B2070" s="121"/>
      <c r="C2070" s="121"/>
      <c r="D2070" s="121"/>
      <c r="E2070" s="133"/>
      <c r="F2070" s="133"/>
      <c r="G2070" s="121"/>
      <c r="H2070" s="121"/>
    </row>
    <row r="2071" hidden="1">
      <c r="A2071" s="121"/>
      <c r="B2071" s="121"/>
      <c r="C2071" s="121"/>
      <c r="D2071" s="121"/>
      <c r="E2071" s="133"/>
      <c r="F2071" s="133"/>
      <c r="G2071" s="121"/>
      <c r="H2071" s="121"/>
    </row>
    <row r="2072" hidden="1">
      <c r="A2072" s="121"/>
      <c r="B2072" s="121"/>
      <c r="C2072" s="121"/>
      <c r="D2072" s="121"/>
      <c r="E2072" s="133"/>
      <c r="F2072" s="133"/>
      <c r="G2072" s="121"/>
      <c r="H2072" s="121"/>
    </row>
    <row r="2073" hidden="1">
      <c r="A2073" s="121"/>
      <c r="B2073" s="121"/>
      <c r="C2073" s="121"/>
      <c r="D2073" s="121"/>
      <c r="E2073" s="133"/>
      <c r="F2073" s="133"/>
      <c r="G2073" s="121"/>
      <c r="H2073" s="121"/>
    </row>
    <row r="2074" hidden="1">
      <c r="A2074" s="121"/>
      <c r="B2074" s="121"/>
      <c r="C2074" s="121"/>
      <c r="D2074" s="121"/>
      <c r="E2074" s="133"/>
      <c r="F2074" s="133"/>
      <c r="G2074" s="121"/>
      <c r="H2074" s="121"/>
    </row>
    <row r="2075" hidden="1">
      <c r="A2075" s="121"/>
      <c r="B2075" s="121"/>
      <c r="C2075" s="121"/>
      <c r="D2075" s="121"/>
      <c r="E2075" s="133"/>
      <c r="F2075" s="133"/>
      <c r="G2075" s="121"/>
      <c r="H2075" s="121"/>
    </row>
    <row r="2076" hidden="1">
      <c r="A2076" s="121"/>
      <c r="B2076" s="121"/>
      <c r="C2076" s="121"/>
      <c r="D2076" s="121"/>
      <c r="E2076" s="133"/>
      <c r="F2076" s="133"/>
      <c r="G2076" s="121"/>
      <c r="H2076" s="121"/>
    </row>
    <row r="2077" hidden="1">
      <c r="A2077" s="121"/>
      <c r="B2077" s="121"/>
      <c r="C2077" s="121"/>
      <c r="D2077" s="121"/>
      <c r="E2077" s="133"/>
      <c r="F2077" s="133"/>
      <c r="G2077" s="121"/>
      <c r="H2077" s="121"/>
    </row>
    <row r="2078" hidden="1">
      <c r="A2078" s="121"/>
      <c r="B2078" s="121"/>
      <c r="C2078" s="121"/>
      <c r="D2078" s="121"/>
      <c r="E2078" s="133"/>
      <c r="F2078" s="133"/>
      <c r="G2078" s="121"/>
      <c r="H2078" s="121"/>
    </row>
    <row r="2079" hidden="1">
      <c r="A2079" s="121"/>
      <c r="B2079" s="121"/>
      <c r="C2079" s="121"/>
      <c r="D2079" s="121"/>
      <c r="E2079" s="133"/>
      <c r="F2079" s="133"/>
      <c r="G2079" s="121"/>
      <c r="H2079" s="121"/>
    </row>
    <row r="2080" hidden="1">
      <c r="A2080" s="121"/>
      <c r="B2080" s="121"/>
      <c r="C2080" s="121"/>
      <c r="D2080" s="121"/>
      <c r="E2080" s="133"/>
      <c r="F2080" s="133"/>
      <c r="G2080" s="121"/>
      <c r="H2080" s="121"/>
    </row>
    <row r="2081" hidden="1">
      <c r="A2081" s="121"/>
      <c r="B2081" s="121"/>
      <c r="C2081" s="121"/>
      <c r="D2081" s="121"/>
      <c r="E2081" s="133"/>
      <c r="F2081" s="133"/>
      <c r="G2081" s="121"/>
      <c r="H2081" s="121"/>
    </row>
    <row r="2082" hidden="1">
      <c r="A2082" s="121"/>
      <c r="B2082" s="121"/>
      <c r="C2082" s="121"/>
      <c r="D2082" s="121"/>
      <c r="E2082" s="133"/>
      <c r="F2082" s="133"/>
      <c r="G2082" s="121"/>
      <c r="H2082" s="121"/>
    </row>
    <row r="2083" hidden="1">
      <c r="A2083" s="121"/>
      <c r="B2083" s="121"/>
      <c r="C2083" s="121"/>
      <c r="D2083" s="121"/>
      <c r="E2083" s="133"/>
      <c r="F2083" s="133"/>
      <c r="G2083" s="121"/>
      <c r="H2083" s="121"/>
    </row>
    <row r="2084" hidden="1">
      <c r="A2084" s="121"/>
      <c r="B2084" s="121"/>
      <c r="C2084" s="121"/>
      <c r="D2084" s="121"/>
      <c r="E2084" s="133"/>
      <c r="F2084" s="133"/>
      <c r="G2084" s="121"/>
      <c r="H2084" s="121"/>
    </row>
    <row r="2085" hidden="1">
      <c r="A2085" s="121"/>
      <c r="B2085" s="121"/>
      <c r="C2085" s="121"/>
      <c r="D2085" s="121"/>
      <c r="E2085" s="133"/>
      <c r="F2085" s="133"/>
      <c r="G2085" s="121"/>
      <c r="H2085" s="121"/>
    </row>
    <row r="2086" hidden="1">
      <c r="A2086" s="121"/>
      <c r="B2086" s="121"/>
      <c r="C2086" s="121"/>
      <c r="D2086" s="121"/>
      <c r="E2086" s="133"/>
      <c r="F2086" s="133"/>
      <c r="G2086" s="121"/>
      <c r="H2086" s="121"/>
    </row>
    <row r="2087" hidden="1">
      <c r="A2087" s="121"/>
      <c r="B2087" s="121"/>
      <c r="C2087" s="121"/>
      <c r="D2087" s="121"/>
      <c r="E2087" s="133"/>
      <c r="F2087" s="133"/>
      <c r="G2087" s="121"/>
      <c r="H2087" s="121"/>
    </row>
    <row r="2088" hidden="1">
      <c r="A2088" s="121"/>
      <c r="B2088" s="121"/>
      <c r="C2088" s="121"/>
      <c r="D2088" s="121"/>
      <c r="E2088" s="133"/>
      <c r="F2088" s="133"/>
      <c r="G2088" s="121"/>
      <c r="H2088" s="121"/>
    </row>
    <row r="2089" hidden="1">
      <c r="A2089" s="121"/>
      <c r="B2089" s="121"/>
      <c r="C2089" s="121"/>
      <c r="D2089" s="121"/>
      <c r="E2089" s="133"/>
      <c r="F2089" s="133"/>
      <c r="G2089" s="121"/>
      <c r="H2089" s="121"/>
    </row>
    <row r="2090" hidden="1">
      <c r="A2090" s="121"/>
      <c r="B2090" s="121"/>
      <c r="C2090" s="121"/>
      <c r="D2090" s="121"/>
      <c r="E2090" s="133"/>
      <c r="F2090" s="133"/>
      <c r="G2090" s="121"/>
      <c r="H2090" s="121"/>
    </row>
    <row r="2091" hidden="1">
      <c r="A2091" s="121"/>
      <c r="B2091" s="121"/>
      <c r="C2091" s="121"/>
      <c r="D2091" s="121"/>
      <c r="E2091" s="133"/>
      <c r="F2091" s="133"/>
      <c r="G2091" s="121"/>
      <c r="H2091" s="121"/>
    </row>
    <row r="2092" hidden="1">
      <c r="A2092" s="121"/>
      <c r="B2092" s="121"/>
      <c r="C2092" s="121"/>
      <c r="D2092" s="121"/>
      <c r="E2092" s="133"/>
      <c r="F2092" s="133"/>
      <c r="G2092" s="121"/>
      <c r="H2092" s="121"/>
    </row>
    <row r="2093" hidden="1">
      <c r="A2093" s="121"/>
      <c r="B2093" s="121"/>
      <c r="C2093" s="121"/>
      <c r="D2093" s="121"/>
      <c r="E2093" s="133"/>
      <c r="F2093" s="133"/>
      <c r="G2093" s="121"/>
      <c r="H2093" s="121"/>
    </row>
    <row r="2094" hidden="1">
      <c r="A2094" s="121"/>
      <c r="B2094" s="121"/>
      <c r="C2094" s="121"/>
      <c r="D2094" s="121"/>
      <c r="E2094" s="133"/>
      <c r="F2094" s="133"/>
      <c r="G2094" s="121"/>
      <c r="H2094" s="121"/>
    </row>
    <row r="2095" hidden="1">
      <c r="A2095" s="121"/>
      <c r="B2095" s="121"/>
      <c r="C2095" s="121"/>
      <c r="D2095" s="121"/>
      <c r="E2095" s="133"/>
      <c r="F2095" s="133"/>
      <c r="G2095" s="121"/>
      <c r="H2095" s="121"/>
    </row>
    <row r="2096" hidden="1">
      <c r="A2096" s="121"/>
      <c r="B2096" s="121"/>
      <c r="C2096" s="121"/>
      <c r="D2096" s="121"/>
      <c r="E2096" s="133"/>
      <c r="F2096" s="133"/>
      <c r="G2096" s="121"/>
      <c r="H2096" s="121"/>
    </row>
    <row r="2097" hidden="1">
      <c r="A2097" s="121"/>
      <c r="B2097" s="121"/>
      <c r="C2097" s="121"/>
      <c r="D2097" s="121"/>
      <c r="E2097" s="133"/>
      <c r="F2097" s="133"/>
      <c r="G2097" s="121"/>
      <c r="H2097" s="121"/>
    </row>
    <row r="2098" hidden="1">
      <c r="A2098" s="121"/>
      <c r="B2098" s="121"/>
      <c r="C2098" s="121"/>
      <c r="D2098" s="121"/>
      <c r="E2098" s="133"/>
      <c r="F2098" s="133"/>
      <c r="G2098" s="121"/>
      <c r="H2098" s="121"/>
    </row>
    <row r="2099" hidden="1">
      <c r="A2099" s="121"/>
      <c r="B2099" s="121"/>
      <c r="C2099" s="121"/>
      <c r="D2099" s="121"/>
      <c r="E2099" s="133"/>
      <c r="F2099" s="133"/>
      <c r="G2099" s="121"/>
      <c r="H2099" s="121"/>
    </row>
    <row r="2100" hidden="1">
      <c r="A2100" s="121"/>
      <c r="B2100" s="121"/>
      <c r="C2100" s="121"/>
      <c r="D2100" s="121"/>
      <c r="E2100" s="133"/>
      <c r="F2100" s="133"/>
      <c r="G2100" s="121"/>
      <c r="H2100" s="121"/>
    </row>
    <row r="2101" hidden="1">
      <c r="A2101" s="121"/>
      <c r="B2101" s="121"/>
      <c r="C2101" s="121"/>
      <c r="D2101" s="121"/>
      <c r="E2101" s="133"/>
      <c r="F2101" s="133"/>
      <c r="G2101" s="121"/>
      <c r="H2101" s="121"/>
    </row>
    <row r="2102" hidden="1">
      <c r="A2102" s="121"/>
      <c r="B2102" s="121"/>
      <c r="C2102" s="121"/>
      <c r="D2102" s="121"/>
      <c r="E2102" s="133"/>
      <c r="F2102" s="133"/>
      <c r="G2102" s="121"/>
      <c r="H2102" s="121"/>
    </row>
    <row r="2103" hidden="1">
      <c r="A2103" s="121"/>
      <c r="B2103" s="121"/>
      <c r="C2103" s="121"/>
      <c r="D2103" s="121"/>
      <c r="E2103" s="133"/>
      <c r="F2103" s="133"/>
      <c r="G2103" s="121"/>
      <c r="H2103" s="121"/>
    </row>
    <row r="2104" hidden="1">
      <c r="A2104" s="121"/>
      <c r="B2104" s="121"/>
      <c r="C2104" s="121"/>
      <c r="D2104" s="121"/>
      <c r="E2104" s="133"/>
      <c r="F2104" s="133"/>
      <c r="G2104" s="121"/>
      <c r="H2104" s="121"/>
    </row>
    <row r="2105" hidden="1">
      <c r="A2105" s="121"/>
      <c r="B2105" s="121"/>
      <c r="C2105" s="121"/>
      <c r="D2105" s="121"/>
      <c r="E2105" s="133"/>
      <c r="F2105" s="133"/>
      <c r="G2105" s="121"/>
      <c r="H2105" s="121"/>
    </row>
    <row r="2106" hidden="1">
      <c r="A2106" s="121"/>
      <c r="B2106" s="121"/>
      <c r="C2106" s="121"/>
      <c r="D2106" s="121"/>
      <c r="E2106" s="133"/>
      <c r="F2106" s="133"/>
      <c r="G2106" s="121"/>
      <c r="H2106" s="121"/>
    </row>
    <row r="2107" hidden="1">
      <c r="A2107" s="121"/>
      <c r="B2107" s="121"/>
      <c r="C2107" s="121"/>
      <c r="D2107" s="121"/>
      <c r="E2107" s="133"/>
      <c r="F2107" s="133"/>
      <c r="G2107" s="121"/>
      <c r="H2107" s="121"/>
    </row>
    <row r="2108" hidden="1">
      <c r="A2108" s="121"/>
      <c r="B2108" s="121"/>
      <c r="C2108" s="121"/>
      <c r="D2108" s="121"/>
      <c r="E2108" s="133"/>
      <c r="F2108" s="133"/>
      <c r="G2108" s="121"/>
      <c r="H2108" s="121"/>
    </row>
    <row r="2109" hidden="1">
      <c r="A2109" s="121"/>
      <c r="B2109" s="121"/>
      <c r="C2109" s="121"/>
      <c r="D2109" s="121"/>
      <c r="E2109" s="133"/>
      <c r="F2109" s="133"/>
      <c r="G2109" s="121"/>
      <c r="H2109" s="121"/>
    </row>
    <row r="2110" hidden="1">
      <c r="A2110" s="121"/>
      <c r="B2110" s="121"/>
      <c r="C2110" s="121"/>
      <c r="D2110" s="121"/>
      <c r="E2110" s="133"/>
      <c r="F2110" s="133"/>
      <c r="G2110" s="121"/>
      <c r="H2110" s="121"/>
    </row>
    <row r="2111" hidden="1">
      <c r="A2111" s="121"/>
      <c r="B2111" s="121"/>
      <c r="C2111" s="121"/>
      <c r="D2111" s="121"/>
      <c r="E2111" s="133"/>
      <c r="F2111" s="133"/>
      <c r="G2111" s="121"/>
      <c r="H2111" s="121"/>
    </row>
    <row r="2112" hidden="1">
      <c r="A2112" s="121"/>
      <c r="B2112" s="121"/>
      <c r="C2112" s="121"/>
      <c r="D2112" s="121"/>
      <c r="E2112" s="133"/>
      <c r="F2112" s="133"/>
      <c r="G2112" s="121"/>
      <c r="H2112" s="121"/>
    </row>
    <row r="2113" hidden="1">
      <c r="A2113" s="121"/>
      <c r="B2113" s="121"/>
      <c r="C2113" s="121"/>
      <c r="D2113" s="121"/>
      <c r="E2113" s="133"/>
      <c r="F2113" s="133"/>
      <c r="G2113" s="121"/>
      <c r="H2113" s="121"/>
    </row>
    <row r="2114" hidden="1">
      <c r="A2114" s="121"/>
      <c r="B2114" s="121"/>
      <c r="C2114" s="121"/>
      <c r="D2114" s="121"/>
      <c r="E2114" s="133"/>
      <c r="F2114" s="133"/>
      <c r="G2114" s="121"/>
      <c r="H2114" s="121"/>
    </row>
    <row r="2115" hidden="1">
      <c r="A2115" s="121"/>
      <c r="B2115" s="121"/>
      <c r="C2115" s="121"/>
      <c r="D2115" s="121"/>
      <c r="E2115" s="133"/>
      <c r="F2115" s="133"/>
      <c r="G2115" s="121"/>
      <c r="H2115" s="121"/>
    </row>
    <row r="2116" hidden="1">
      <c r="A2116" s="121"/>
      <c r="B2116" s="121"/>
      <c r="C2116" s="121"/>
      <c r="D2116" s="121"/>
      <c r="E2116" s="133"/>
      <c r="F2116" s="133"/>
      <c r="G2116" s="121"/>
      <c r="H2116" s="121"/>
    </row>
    <row r="2117" hidden="1">
      <c r="A2117" s="121"/>
      <c r="B2117" s="121"/>
      <c r="C2117" s="121"/>
      <c r="D2117" s="121"/>
      <c r="E2117" s="133"/>
      <c r="F2117" s="133"/>
      <c r="G2117" s="121"/>
      <c r="H2117" s="121"/>
    </row>
    <row r="2118" hidden="1">
      <c r="A2118" s="121"/>
      <c r="B2118" s="121"/>
      <c r="C2118" s="121"/>
      <c r="D2118" s="121"/>
      <c r="E2118" s="133"/>
      <c r="F2118" s="133"/>
      <c r="G2118" s="121"/>
      <c r="H2118" s="121"/>
    </row>
    <row r="2119" hidden="1">
      <c r="A2119" s="121"/>
      <c r="B2119" s="121"/>
      <c r="C2119" s="121"/>
      <c r="D2119" s="121"/>
      <c r="E2119" s="133"/>
      <c r="F2119" s="133"/>
      <c r="G2119" s="121"/>
      <c r="H2119" s="121"/>
    </row>
    <row r="2120" hidden="1">
      <c r="A2120" s="121"/>
      <c r="B2120" s="121"/>
      <c r="C2120" s="121"/>
      <c r="D2120" s="121"/>
      <c r="E2120" s="133"/>
      <c r="F2120" s="133"/>
      <c r="G2120" s="121"/>
      <c r="H2120" s="121"/>
    </row>
    <row r="2121" hidden="1">
      <c r="A2121" s="121"/>
      <c r="B2121" s="121"/>
      <c r="C2121" s="121"/>
      <c r="D2121" s="121"/>
      <c r="E2121" s="133"/>
      <c r="F2121" s="133"/>
      <c r="G2121" s="121"/>
      <c r="H2121" s="121"/>
    </row>
    <row r="2122" hidden="1">
      <c r="A2122" s="121"/>
      <c r="B2122" s="121"/>
      <c r="C2122" s="121"/>
      <c r="D2122" s="121"/>
      <c r="E2122" s="133"/>
      <c r="F2122" s="133"/>
      <c r="G2122" s="121"/>
      <c r="H2122" s="121"/>
    </row>
    <row r="2123" hidden="1">
      <c r="A2123" s="121"/>
      <c r="B2123" s="121"/>
      <c r="C2123" s="121"/>
      <c r="D2123" s="121"/>
      <c r="E2123" s="133"/>
      <c r="F2123" s="133"/>
      <c r="G2123" s="121"/>
      <c r="H2123" s="121"/>
    </row>
    <row r="2124" hidden="1">
      <c r="A2124" s="121"/>
      <c r="B2124" s="121"/>
      <c r="C2124" s="121"/>
      <c r="D2124" s="121"/>
      <c r="E2124" s="133"/>
      <c r="F2124" s="133"/>
      <c r="G2124" s="121"/>
      <c r="H2124" s="121"/>
    </row>
    <row r="2125" hidden="1">
      <c r="A2125" s="121"/>
      <c r="B2125" s="121"/>
      <c r="C2125" s="121"/>
      <c r="D2125" s="121"/>
      <c r="E2125" s="133"/>
      <c r="F2125" s="133"/>
      <c r="G2125" s="121"/>
      <c r="H2125" s="121"/>
    </row>
    <row r="2126" hidden="1">
      <c r="A2126" s="121"/>
      <c r="B2126" s="121"/>
      <c r="C2126" s="121"/>
      <c r="D2126" s="121"/>
      <c r="E2126" s="133"/>
      <c r="F2126" s="133"/>
      <c r="G2126" s="121"/>
      <c r="H2126" s="121"/>
    </row>
    <row r="2127" hidden="1">
      <c r="A2127" s="121"/>
      <c r="B2127" s="121"/>
      <c r="C2127" s="121"/>
      <c r="D2127" s="121"/>
      <c r="E2127" s="133"/>
      <c r="F2127" s="133"/>
      <c r="G2127" s="121"/>
      <c r="H2127" s="121"/>
    </row>
    <row r="2128" hidden="1">
      <c r="A2128" s="121"/>
      <c r="B2128" s="121"/>
      <c r="C2128" s="121"/>
      <c r="D2128" s="121"/>
      <c r="E2128" s="133"/>
      <c r="F2128" s="133"/>
      <c r="G2128" s="121"/>
      <c r="H2128" s="121"/>
    </row>
    <row r="2129" hidden="1">
      <c r="A2129" s="121"/>
      <c r="B2129" s="121"/>
      <c r="C2129" s="121"/>
      <c r="D2129" s="121"/>
      <c r="E2129" s="133"/>
      <c r="F2129" s="133"/>
      <c r="G2129" s="121"/>
      <c r="H2129" s="121"/>
    </row>
    <row r="2130" hidden="1">
      <c r="A2130" s="121"/>
      <c r="B2130" s="121"/>
      <c r="C2130" s="121"/>
      <c r="D2130" s="121"/>
      <c r="E2130" s="133"/>
      <c r="F2130" s="133"/>
      <c r="G2130" s="121"/>
      <c r="H2130" s="121"/>
    </row>
    <row r="2131" hidden="1">
      <c r="A2131" s="121"/>
      <c r="B2131" s="121"/>
      <c r="C2131" s="121"/>
      <c r="D2131" s="121"/>
      <c r="E2131" s="133"/>
      <c r="F2131" s="133"/>
      <c r="G2131" s="121"/>
      <c r="H2131" s="121"/>
    </row>
    <row r="2132" hidden="1">
      <c r="A2132" s="121"/>
      <c r="B2132" s="121"/>
      <c r="C2132" s="121"/>
      <c r="D2132" s="121"/>
      <c r="E2132" s="133"/>
      <c r="F2132" s="133"/>
      <c r="G2132" s="121"/>
      <c r="H2132" s="121"/>
    </row>
    <row r="2133" hidden="1">
      <c r="A2133" s="121"/>
      <c r="B2133" s="121"/>
      <c r="C2133" s="121"/>
      <c r="D2133" s="121"/>
      <c r="E2133" s="133"/>
      <c r="F2133" s="133"/>
      <c r="G2133" s="121"/>
      <c r="H2133" s="121"/>
    </row>
    <row r="2134" hidden="1">
      <c r="A2134" s="121"/>
      <c r="B2134" s="121"/>
      <c r="C2134" s="121"/>
      <c r="D2134" s="121"/>
      <c r="E2134" s="133"/>
      <c r="F2134" s="133"/>
      <c r="G2134" s="121"/>
      <c r="H2134" s="121"/>
    </row>
    <row r="2135" hidden="1">
      <c r="A2135" s="121"/>
      <c r="B2135" s="121"/>
      <c r="C2135" s="121"/>
      <c r="D2135" s="121"/>
      <c r="E2135" s="133"/>
      <c r="F2135" s="133"/>
      <c r="G2135" s="121"/>
      <c r="H2135" s="121"/>
    </row>
    <row r="2136" hidden="1">
      <c r="A2136" s="121"/>
      <c r="B2136" s="121"/>
      <c r="C2136" s="121"/>
      <c r="D2136" s="121"/>
      <c r="E2136" s="133"/>
      <c r="F2136" s="133"/>
      <c r="G2136" s="121"/>
      <c r="H2136" s="121"/>
    </row>
    <row r="2137" hidden="1">
      <c r="A2137" s="121"/>
      <c r="B2137" s="121"/>
      <c r="C2137" s="121"/>
      <c r="D2137" s="121"/>
      <c r="E2137" s="133"/>
      <c r="F2137" s="133"/>
      <c r="G2137" s="121"/>
      <c r="H2137" s="121"/>
    </row>
    <row r="2138" hidden="1">
      <c r="A2138" s="121"/>
      <c r="B2138" s="121"/>
      <c r="C2138" s="121"/>
      <c r="D2138" s="121"/>
      <c r="E2138" s="133"/>
      <c r="F2138" s="133"/>
      <c r="G2138" s="121"/>
      <c r="H2138" s="121"/>
    </row>
    <row r="2139" hidden="1">
      <c r="A2139" s="121"/>
      <c r="B2139" s="121"/>
      <c r="C2139" s="121"/>
      <c r="D2139" s="121"/>
      <c r="E2139" s="133"/>
      <c r="F2139" s="133"/>
      <c r="G2139" s="121"/>
      <c r="H2139" s="121"/>
    </row>
    <row r="2140" hidden="1">
      <c r="A2140" s="121"/>
      <c r="B2140" s="121"/>
      <c r="C2140" s="121"/>
      <c r="D2140" s="121"/>
      <c r="E2140" s="133"/>
      <c r="F2140" s="133"/>
      <c r="G2140" s="121"/>
      <c r="H2140" s="121"/>
    </row>
    <row r="2141" hidden="1">
      <c r="A2141" s="121"/>
      <c r="B2141" s="121"/>
      <c r="C2141" s="121"/>
      <c r="D2141" s="121"/>
      <c r="E2141" s="133"/>
      <c r="F2141" s="133"/>
      <c r="G2141" s="121"/>
      <c r="H2141" s="121"/>
    </row>
    <row r="2142" hidden="1">
      <c r="A2142" s="121"/>
      <c r="B2142" s="121"/>
      <c r="C2142" s="121"/>
      <c r="D2142" s="121"/>
      <c r="E2142" s="133"/>
      <c r="F2142" s="133"/>
      <c r="G2142" s="121"/>
      <c r="H2142" s="121"/>
    </row>
    <row r="2143" hidden="1">
      <c r="A2143" s="121"/>
      <c r="B2143" s="121"/>
      <c r="C2143" s="121"/>
      <c r="D2143" s="121"/>
      <c r="E2143" s="133"/>
      <c r="F2143" s="133"/>
      <c r="G2143" s="121"/>
      <c r="H2143" s="121"/>
    </row>
    <row r="2144" hidden="1">
      <c r="A2144" s="121"/>
      <c r="B2144" s="121"/>
      <c r="C2144" s="121"/>
      <c r="D2144" s="121"/>
      <c r="E2144" s="133"/>
      <c r="F2144" s="133"/>
      <c r="G2144" s="121"/>
      <c r="H2144" s="121"/>
    </row>
    <row r="2145" hidden="1">
      <c r="A2145" s="121"/>
      <c r="B2145" s="121"/>
      <c r="C2145" s="121"/>
      <c r="D2145" s="121"/>
      <c r="E2145" s="133"/>
      <c r="F2145" s="133"/>
      <c r="G2145" s="121"/>
      <c r="H2145" s="121"/>
    </row>
    <row r="2146" hidden="1">
      <c r="A2146" s="121"/>
      <c r="B2146" s="121"/>
      <c r="C2146" s="121"/>
      <c r="D2146" s="121"/>
      <c r="E2146" s="133"/>
      <c r="F2146" s="133"/>
      <c r="G2146" s="121"/>
      <c r="H2146" s="121"/>
    </row>
    <row r="2147" hidden="1">
      <c r="A2147" s="121"/>
      <c r="B2147" s="121"/>
      <c r="C2147" s="121"/>
      <c r="D2147" s="121"/>
      <c r="E2147" s="133"/>
      <c r="F2147" s="133"/>
      <c r="G2147" s="121"/>
      <c r="H2147" s="121"/>
    </row>
    <row r="2148" hidden="1">
      <c r="A2148" s="121"/>
      <c r="B2148" s="121"/>
      <c r="C2148" s="121"/>
      <c r="D2148" s="121"/>
      <c r="E2148" s="133"/>
      <c r="F2148" s="133"/>
      <c r="G2148" s="121"/>
      <c r="H2148" s="121"/>
    </row>
    <row r="2149" hidden="1">
      <c r="A2149" s="121"/>
      <c r="B2149" s="121"/>
      <c r="C2149" s="121"/>
      <c r="D2149" s="121"/>
      <c r="E2149" s="133"/>
      <c r="F2149" s="133"/>
      <c r="G2149" s="121"/>
      <c r="H2149" s="121"/>
    </row>
    <row r="2150" hidden="1">
      <c r="A2150" s="121"/>
      <c r="B2150" s="121"/>
      <c r="C2150" s="121"/>
      <c r="D2150" s="121"/>
      <c r="E2150" s="133"/>
      <c r="F2150" s="133"/>
      <c r="G2150" s="121"/>
      <c r="H2150" s="121"/>
    </row>
    <row r="2151" hidden="1">
      <c r="A2151" s="121"/>
      <c r="B2151" s="121"/>
      <c r="C2151" s="121"/>
      <c r="D2151" s="121"/>
      <c r="E2151" s="133"/>
      <c r="F2151" s="133"/>
      <c r="G2151" s="121"/>
      <c r="H2151" s="121"/>
    </row>
    <row r="2152" hidden="1">
      <c r="A2152" s="121"/>
      <c r="B2152" s="121"/>
      <c r="C2152" s="121"/>
      <c r="D2152" s="121"/>
      <c r="E2152" s="133"/>
      <c r="F2152" s="133"/>
      <c r="G2152" s="121"/>
      <c r="H2152" s="121"/>
    </row>
    <row r="2153" hidden="1">
      <c r="A2153" s="121"/>
      <c r="B2153" s="121"/>
      <c r="C2153" s="121"/>
      <c r="D2153" s="121"/>
      <c r="E2153" s="133"/>
      <c r="F2153" s="133"/>
      <c r="G2153" s="121"/>
      <c r="H2153" s="121"/>
    </row>
    <row r="2154" hidden="1">
      <c r="A2154" s="121"/>
      <c r="B2154" s="121"/>
      <c r="C2154" s="121"/>
      <c r="D2154" s="121"/>
      <c r="E2154" s="133"/>
      <c r="F2154" s="133"/>
      <c r="G2154" s="121"/>
      <c r="H2154" s="121"/>
    </row>
    <row r="2155" hidden="1">
      <c r="A2155" s="121"/>
      <c r="B2155" s="121"/>
      <c r="C2155" s="121"/>
      <c r="D2155" s="121"/>
      <c r="E2155" s="133"/>
      <c r="F2155" s="133"/>
      <c r="G2155" s="121"/>
      <c r="H2155" s="121"/>
    </row>
    <row r="2156" hidden="1">
      <c r="A2156" s="121"/>
      <c r="B2156" s="121"/>
      <c r="C2156" s="121"/>
      <c r="D2156" s="121"/>
      <c r="E2156" s="133"/>
      <c r="F2156" s="133"/>
      <c r="G2156" s="121"/>
      <c r="H2156" s="121"/>
    </row>
    <row r="2157" hidden="1">
      <c r="A2157" s="121"/>
      <c r="B2157" s="121"/>
      <c r="C2157" s="121"/>
      <c r="D2157" s="121"/>
      <c r="E2157" s="133"/>
      <c r="F2157" s="133"/>
      <c r="G2157" s="121"/>
      <c r="H2157" s="121"/>
    </row>
    <row r="2158" hidden="1">
      <c r="A2158" s="121"/>
      <c r="B2158" s="121"/>
      <c r="C2158" s="121"/>
      <c r="D2158" s="121"/>
      <c r="E2158" s="133"/>
      <c r="F2158" s="133"/>
      <c r="G2158" s="121"/>
      <c r="H2158" s="121"/>
    </row>
    <row r="2159" hidden="1">
      <c r="A2159" s="121"/>
      <c r="B2159" s="121"/>
      <c r="C2159" s="121"/>
      <c r="D2159" s="121"/>
      <c r="E2159" s="133"/>
      <c r="F2159" s="133"/>
      <c r="G2159" s="121"/>
      <c r="H2159" s="121"/>
    </row>
    <row r="2160" hidden="1">
      <c r="A2160" s="121"/>
      <c r="B2160" s="121"/>
      <c r="C2160" s="121"/>
      <c r="D2160" s="121"/>
      <c r="E2160" s="133"/>
      <c r="F2160" s="133"/>
      <c r="G2160" s="121"/>
      <c r="H2160" s="121"/>
    </row>
    <row r="2161" hidden="1">
      <c r="A2161" s="121"/>
      <c r="B2161" s="121"/>
      <c r="C2161" s="121"/>
      <c r="D2161" s="121"/>
      <c r="E2161" s="133"/>
      <c r="F2161" s="133"/>
      <c r="G2161" s="121"/>
      <c r="H2161" s="121"/>
    </row>
    <row r="2162" hidden="1">
      <c r="A2162" s="121"/>
      <c r="B2162" s="121"/>
      <c r="C2162" s="121"/>
      <c r="D2162" s="121"/>
      <c r="E2162" s="133"/>
      <c r="F2162" s="133"/>
      <c r="G2162" s="121"/>
      <c r="H2162" s="121"/>
    </row>
    <row r="2163" hidden="1">
      <c r="A2163" s="121"/>
      <c r="B2163" s="121"/>
      <c r="C2163" s="121"/>
      <c r="D2163" s="121"/>
      <c r="E2163" s="133"/>
      <c r="F2163" s="133"/>
      <c r="G2163" s="121"/>
      <c r="H2163" s="121"/>
    </row>
    <row r="2164" hidden="1">
      <c r="A2164" s="121"/>
      <c r="B2164" s="121"/>
      <c r="C2164" s="121"/>
      <c r="D2164" s="121"/>
      <c r="E2164" s="133"/>
      <c r="F2164" s="133"/>
      <c r="G2164" s="121"/>
      <c r="H2164" s="121"/>
    </row>
    <row r="2165" hidden="1">
      <c r="A2165" s="121"/>
      <c r="B2165" s="121"/>
      <c r="C2165" s="121"/>
      <c r="D2165" s="121"/>
      <c r="E2165" s="133"/>
      <c r="F2165" s="133"/>
      <c r="G2165" s="121"/>
      <c r="H2165" s="121"/>
    </row>
    <row r="2166" hidden="1">
      <c r="A2166" s="121"/>
      <c r="B2166" s="121"/>
      <c r="C2166" s="121"/>
      <c r="D2166" s="121"/>
      <c r="E2166" s="133"/>
      <c r="F2166" s="133"/>
      <c r="G2166" s="121"/>
      <c r="H2166" s="121"/>
    </row>
    <row r="2167" hidden="1">
      <c r="A2167" s="121"/>
      <c r="B2167" s="121"/>
      <c r="C2167" s="121"/>
      <c r="D2167" s="121"/>
      <c r="E2167" s="133"/>
      <c r="F2167" s="133"/>
      <c r="G2167" s="121"/>
      <c r="H2167" s="121"/>
    </row>
    <row r="2168" hidden="1">
      <c r="A2168" s="121"/>
      <c r="B2168" s="121"/>
      <c r="C2168" s="121"/>
      <c r="D2168" s="121"/>
      <c r="E2168" s="133"/>
      <c r="F2168" s="133"/>
      <c r="G2168" s="121"/>
      <c r="H2168" s="121"/>
    </row>
    <row r="2169" hidden="1">
      <c r="A2169" s="121"/>
      <c r="B2169" s="121"/>
      <c r="C2169" s="121"/>
      <c r="D2169" s="121"/>
      <c r="E2169" s="133"/>
      <c r="F2169" s="133"/>
      <c r="G2169" s="121"/>
      <c r="H2169" s="121"/>
    </row>
    <row r="2170" hidden="1">
      <c r="A2170" s="121"/>
      <c r="B2170" s="121"/>
      <c r="C2170" s="121"/>
      <c r="D2170" s="121"/>
      <c r="E2170" s="133"/>
      <c r="F2170" s="133"/>
      <c r="G2170" s="121"/>
      <c r="H2170" s="121"/>
    </row>
    <row r="2171" hidden="1">
      <c r="A2171" s="121"/>
      <c r="B2171" s="121"/>
      <c r="C2171" s="121"/>
      <c r="D2171" s="121"/>
      <c r="E2171" s="133"/>
      <c r="F2171" s="133"/>
      <c r="G2171" s="121"/>
      <c r="H2171" s="121"/>
    </row>
    <row r="2172" hidden="1">
      <c r="A2172" s="121"/>
      <c r="B2172" s="121"/>
      <c r="C2172" s="121"/>
      <c r="D2172" s="121"/>
      <c r="E2172" s="133"/>
      <c r="F2172" s="133"/>
      <c r="G2172" s="121"/>
      <c r="H2172" s="121"/>
    </row>
    <row r="2173" hidden="1">
      <c r="A2173" s="121"/>
      <c r="B2173" s="121"/>
      <c r="C2173" s="121"/>
      <c r="D2173" s="121"/>
      <c r="E2173" s="133"/>
      <c r="F2173" s="133"/>
      <c r="G2173" s="121"/>
      <c r="H2173" s="121"/>
    </row>
    <row r="2174" hidden="1">
      <c r="A2174" s="121"/>
      <c r="B2174" s="121"/>
      <c r="C2174" s="121"/>
      <c r="D2174" s="121"/>
      <c r="E2174" s="133"/>
      <c r="F2174" s="133"/>
      <c r="G2174" s="121"/>
      <c r="H2174" s="121"/>
    </row>
    <row r="2175" hidden="1">
      <c r="A2175" s="121"/>
      <c r="B2175" s="121"/>
      <c r="C2175" s="121"/>
      <c r="D2175" s="121"/>
      <c r="E2175" s="133"/>
      <c r="F2175" s="133"/>
      <c r="G2175" s="121"/>
      <c r="H2175" s="121"/>
    </row>
    <row r="2176" hidden="1">
      <c r="A2176" s="121"/>
      <c r="B2176" s="121"/>
      <c r="C2176" s="121"/>
      <c r="D2176" s="121"/>
      <c r="E2176" s="133"/>
      <c r="F2176" s="133"/>
      <c r="G2176" s="121"/>
      <c r="H2176" s="121"/>
    </row>
    <row r="2177" hidden="1">
      <c r="A2177" s="121"/>
      <c r="B2177" s="121"/>
      <c r="C2177" s="121"/>
      <c r="D2177" s="121"/>
      <c r="E2177" s="133"/>
      <c r="F2177" s="133"/>
      <c r="G2177" s="121"/>
      <c r="H2177" s="121"/>
    </row>
    <row r="2178" hidden="1">
      <c r="A2178" s="121"/>
      <c r="B2178" s="121"/>
      <c r="C2178" s="121"/>
      <c r="D2178" s="121"/>
      <c r="E2178" s="133"/>
      <c r="F2178" s="133"/>
      <c r="G2178" s="121"/>
      <c r="H2178" s="121"/>
    </row>
    <row r="2179" hidden="1">
      <c r="A2179" s="121"/>
      <c r="B2179" s="121"/>
      <c r="C2179" s="121"/>
      <c r="D2179" s="121"/>
      <c r="E2179" s="133"/>
      <c r="F2179" s="133"/>
      <c r="G2179" s="121"/>
      <c r="H2179" s="121"/>
    </row>
    <row r="2180" hidden="1">
      <c r="A2180" s="121"/>
      <c r="B2180" s="121"/>
      <c r="C2180" s="121"/>
      <c r="D2180" s="121"/>
      <c r="E2180" s="133"/>
      <c r="F2180" s="133"/>
      <c r="G2180" s="121"/>
      <c r="H2180" s="121"/>
    </row>
    <row r="2181" hidden="1">
      <c r="A2181" s="121"/>
      <c r="B2181" s="121"/>
      <c r="C2181" s="121"/>
      <c r="D2181" s="121"/>
      <c r="E2181" s="133"/>
      <c r="F2181" s="133"/>
      <c r="G2181" s="121"/>
      <c r="H2181" s="121"/>
    </row>
    <row r="2182" hidden="1">
      <c r="A2182" s="121"/>
      <c r="B2182" s="121"/>
      <c r="C2182" s="121"/>
      <c r="D2182" s="121"/>
      <c r="E2182" s="133"/>
      <c r="F2182" s="133"/>
      <c r="G2182" s="121"/>
      <c r="H2182" s="121"/>
    </row>
    <row r="2183" hidden="1">
      <c r="A2183" s="121"/>
      <c r="B2183" s="121"/>
      <c r="C2183" s="121"/>
      <c r="D2183" s="121"/>
      <c r="E2183" s="133"/>
      <c r="F2183" s="133"/>
      <c r="G2183" s="121"/>
      <c r="H2183" s="121"/>
    </row>
    <row r="2184" hidden="1">
      <c r="A2184" s="121"/>
      <c r="B2184" s="121"/>
      <c r="C2184" s="121"/>
      <c r="D2184" s="121"/>
      <c r="E2184" s="133"/>
      <c r="F2184" s="133"/>
      <c r="G2184" s="121"/>
      <c r="H2184" s="121"/>
    </row>
    <row r="2185" hidden="1">
      <c r="A2185" s="121"/>
      <c r="B2185" s="121"/>
      <c r="C2185" s="121"/>
      <c r="D2185" s="121"/>
      <c r="E2185" s="133"/>
      <c r="F2185" s="133"/>
      <c r="G2185" s="121"/>
      <c r="H2185" s="121"/>
    </row>
    <row r="2186" hidden="1">
      <c r="A2186" s="121"/>
      <c r="B2186" s="121"/>
      <c r="C2186" s="121"/>
      <c r="D2186" s="121"/>
      <c r="E2186" s="133"/>
      <c r="F2186" s="133"/>
      <c r="G2186" s="121"/>
      <c r="H2186" s="121"/>
    </row>
    <row r="2187" hidden="1">
      <c r="A2187" s="121"/>
      <c r="B2187" s="121"/>
      <c r="C2187" s="121"/>
      <c r="D2187" s="121"/>
      <c r="E2187" s="133"/>
      <c r="F2187" s="133"/>
      <c r="G2187" s="121"/>
      <c r="H2187" s="121"/>
    </row>
    <row r="2188" hidden="1">
      <c r="A2188" s="121"/>
      <c r="B2188" s="121"/>
      <c r="C2188" s="121"/>
      <c r="D2188" s="121"/>
      <c r="E2188" s="133"/>
      <c r="F2188" s="133"/>
      <c r="G2188" s="121"/>
      <c r="H2188" s="121"/>
    </row>
    <row r="2189" hidden="1">
      <c r="A2189" s="121"/>
      <c r="B2189" s="121"/>
      <c r="C2189" s="121"/>
      <c r="D2189" s="121"/>
      <c r="E2189" s="133"/>
      <c r="F2189" s="133"/>
      <c r="G2189" s="121"/>
      <c r="H2189" s="121"/>
    </row>
    <row r="2190" hidden="1">
      <c r="A2190" s="121"/>
      <c r="B2190" s="121"/>
      <c r="C2190" s="121"/>
      <c r="D2190" s="121"/>
      <c r="E2190" s="133"/>
      <c r="F2190" s="133"/>
      <c r="G2190" s="121"/>
      <c r="H2190" s="121"/>
    </row>
    <row r="2191" hidden="1">
      <c r="A2191" s="121"/>
      <c r="B2191" s="121"/>
      <c r="C2191" s="121"/>
      <c r="D2191" s="121"/>
      <c r="E2191" s="133"/>
      <c r="F2191" s="133"/>
      <c r="G2191" s="121"/>
      <c r="H2191" s="121"/>
    </row>
    <row r="2192" hidden="1">
      <c r="A2192" s="121"/>
      <c r="B2192" s="121"/>
      <c r="C2192" s="121"/>
      <c r="D2192" s="121"/>
      <c r="E2192" s="133"/>
      <c r="F2192" s="133"/>
      <c r="G2192" s="121"/>
      <c r="H2192" s="121"/>
    </row>
    <row r="2193" hidden="1">
      <c r="A2193" s="121"/>
      <c r="B2193" s="121"/>
      <c r="C2193" s="121"/>
      <c r="D2193" s="121"/>
      <c r="E2193" s="133"/>
      <c r="F2193" s="133"/>
      <c r="G2193" s="121"/>
      <c r="H2193" s="121"/>
    </row>
    <row r="2194" hidden="1">
      <c r="A2194" s="121"/>
      <c r="B2194" s="121"/>
      <c r="C2194" s="121"/>
      <c r="D2194" s="121"/>
      <c r="E2194" s="133"/>
      <c r="F2194" s="133"/>
      <c r="G2194" s="121"/>
      <c r="H2194" s="121"/>
    </row>
    <row r="2195" hidden="1">
      <c r="A2195" s="121"/>
      <c r="B2195" s="121"/>
      <c r="C2195" s="121"/>
      <c r="D2195" s="121"/>
      <c r="E2195" s="133"/>
      <c r="F2195" s="133"/>
      <c r="G2195" s="121"/>
      <c r="H2195" s="121"/>
    </row>
    <row r="2196" hidden="1">
      <c r="A2196" s="121"/>
      <c r="B2196" s="121"/>
      <c r="C2196" s="121"/>
      <c r="D2196" s="121"/>
      <c r="E2196" s="133"/>
      <c r="F2196" s="133"/>
      <c r="G2196" s="121"/>
      <c r="H2196" s="121"/>
    </row>
    <row r="2197" hidden="1">
      <c r="A2197" s="121"/>
      <c r="B2197" s="121"/>
      <c r="C2197" s="121"/>
      <c r="D2197" s="121"/>
      <c r="E2197" s="133"/>
      <c r="F2197" s="133"/>
      <c r="G2197" s="121"/>
      <c r="H2197" s="121"/>
    </row>
    <row r="2198" hidden="1">
      <c r="A2198" s="121"/>
      <c r="B2198" s="121"/>
      <c r="C2198" s="121"/>
      <c r="D2198" s="121"/>
      <c r="E2198" s="133"/>
      <c r="F2198" s="133"/>
      <c r="G2198" s="121"/>
      <c r="H2198" s="121"/>
    </row>
    <row r="2199" hidden="1">
      <c r="A2199" s="121"/>
      <c r="B2199" s="121"/>
      <c r="C2199" s="121"/>
      <c r="D2199" s="121"/>
      <c r="E2199" s="133"/>
      <c r="F2199" s="133"/>
      <c r="G2199" s="121"/>
      <c r="H2199" s="121"/>
    </row>
    <row r="2200" hidden="1">
      <c r="A2200" s="121"/>
      <c r="B2200" s="121"/>
      <c r="C2200" s="121"/>
      <c r="D2200" s="121"/>
      <c r="E2200" s="133"/>
      <c r="F2200" s="133"/>
      <c r="G2200" s="121"/>
      <c r="H2200" s="121"/>
    </row>
    <row r="2201" hidden="1">
      <c r="A2201" s="121"/>
      <c r="B2201" s="121"/>
      <c r="C2201" s="121"/>
      <c r="D2201" s="121"/>
      <c r="E2201" s="133"/>
      <c r="F2201" s="133"/>
      <c r="G2201" s="121"/>
      <c r="H2201" s="121"/>
    </row>
    <row r="2202" hidden="1">
      <c r="A2202" s="121"/>
      <c r="B2202" s="121"/>
      <c r="C2202" s="121"/>
      <c r="D2202" s="121"/>
      <c r="E2202" s="133"/>
      <c r="F2202" s="133"/>
      <c r="G2202" s="121"/>
      <c r="H2202" s="121"/>
    </row>
    <row r="2203" hidden="1">
      <c r="A2203" s="121"/>
      <c r="B2203" s="121"/>
      <c r="C2203" s="121"/>
      <c r="D2203" s="121"/>
      <c r="E2203" s="133"/>
      <c r="F2203" s="133"/>
      <c r="G2203" s="121"/>
      <c r="H2203" s="121"/>
    </row>
    <row r="2204" hidden="1">
      <c r="A2204" s="121"/>
      <c r="B2204" s="121"/>
      <c r="C2204" s="121"/>
      <c r="D2204" s="121"/>
      <c r="E2204" s="133"/>
      <c r="F2204" s="133"/>
      <c r="G2204" s="121"/>
      <c r="H2204" s="121"/>
    </row>
    <row r="2205" hidden="1">
      <c r="A2205" s="121"/>
      <c r="B2205" s="121"/>
      <c r="C2205" s="121"/>
      <c r="D2205" s="121"/>
      <c r="E2205" s="133"/>
      <c r="F2205" s="133"/>
      <c r="G2205" s="121"/>
      <c r="H2205" s="121"/>
    </row>
    <row r="2206" hidden="1">
      <c r="A2206" s="121"/>
      <c r="B2206" s="121"/>
      <c r="C2206" s="121"/>
      <c r="D2206" s="121"/>
      <c r="E2206" s="133"/>
      <c r="F2206" s="133"/>
      <c r="G2206" s="121"/>
      <c r="H2206" s="121"/>
    </row>
    <row r="2207" hidden="1">
      <c r="A2207" s="121"/>
      <c r="B2207" s="121"/>
      <c r="C2207" s="121"/>
      <c r="D2207" s="121"/>
      <c r="E2207" s="133"/>
      <c r="F2207" s="133"/>
      <c r="G2207" s="121"/>
      <c r="H2207" s="121"/>
    </row>
    <row r="2208" hidden="1">
      <c r="A2208" s="121"/>
      <c r="B2208" s="121"/>
      <c r="C2208" s="121"/>
      <c r="D2208" s="121"/>
      <c r="E2208" s="133"/>
      <c r="F2208" s="133"/>
      <c r="G2208" s="121"/>
      <c r="H2208" s="121"/>
    </row>
    <row r="2209" hidden="1">
      <c r="A2209" s="121"/>
      <c r="B2209" s="121"/>
      <c r="C2209" s="121"/>
      <c r="D2209" s="121"/>
      <c r="E2209" s="133"/>
      <c r="F2209" s="133"/>
      <c r="G2209" s="121"/>
      <c r="H2209" s="121"/>
    </row>
    <row r="2210" hidden="1">
      <c r="A2210" s="121"/>
      <c r="B2210" s="121"/>
      <c r="C2210" s="121"/>
      <c r="D2210" s="121"/>
      <c r="E2210" s="133"/>
      <c r="F2210" s="133"/>
      <c r="G2210" s="121"/>
      <c r="H2210" s="121"/>
    </row>
    <row r="2211" hidden="1">
      <c r="A2211" s="121"/>
      <c r="B2211" s="121"/>
      <c r="C2211" s="121"/>
      <c r="D2211" s="121"/>
      <c r="E2211" s="133"/>
      <c r="F2211" s="133"/>
      <c r="G2211" s="121"/>
      <c r="H2211" s="121"/>
    </row>
    <row r="2212" hidden="1">
      <c r="A2212" s="121"/>
      <c r="B2212" s="121"/>
      <c r="C2212" s="121"/>
      <c r="D2212" s="121"/>
      <c r="E2212" s="133"/>
      <c r="F2212" s="133"/>
      <c r="G2212" s="121"/>
      <c r="H2212" s="121"/>
    </row>
    <row r="2213" hidden="1">
      <c r="A2213" s="121"/>
      <c r="B2213" s="121"/>
      <c r="C2213" s="121"/>
      <c r="D2213" s="121"/>
      <c r="E2213" s="133"/>
      <c r="F2213" s="133"/>
      <c r="G2213" s="121"/>
      <c r="H2213" s="121"/>
    </row>
    <row r="2214" hidden="1">
      <c r="A2214" s="121"/>
      <c r="B2214" s="121"/>
      <c r="C2214" s="121"/>
      <c r="D2214" s="121"/>
      <c r="E2214" s="133"/>
      <c r="F2214" s="133"/>
      <c r="G2214" s="121"/>
      <c r="H2214" s="121"/>
    </row>
    <row r="2215" hidden="1">
      <c r="A2215" s="121"/>
      <c r="B2215" s="121"/>
      <c r="C2215" s="121"/>
      <c r="D2215" s="121"/>
      <c r="E2215" s="133"/>
      <c r="F2215" s="133"/>
      <c r="G2215" s="121"/>
      <c r="H2215" s="121"/>
    </row>
    <row r="2216" hidden="1">
      <c r="A2216" s="121"/>
      <c r="B2216" s="121"/>
      <c r="C2216" s="121"/>
      <c r="D2216" s="121"/>
      <c r="E2216" s="133"/>
      <c r="F2216" s="133"/>
      <c r="G2216" s="121"/>
      <c r="H2216" s="121"/>
    </row>
    <row r="2217" hidden="1">
      <c r="A2217" s="121"/>
      <c r="B2217" s="121"/>
      <c r="C2217" s="121"/>
      <c r="D2217" s="121"/>
      <c r="E2217" s="133"/>
      <c r="F2217" s="133"/>
      <c r="G2217" s="121"/>
      <c r="H2217" s="121"/>
    </row>
    <row r="2218" hidden="1">
      <c r="A2218" s="121"/>
      <c r="B2218" s="121"/>
      <c r="C2218" s="121"/>
      <c r="D2218" s="121"/>
      <c r="E2218" s="133"/>
      <c r="F2218" s="133"/>
      <c r="G2218" s="121"/>
      <c r="H2218" s="121"/>
    </row>
    <row r="2219" hidden="1">
      <c r="A2219" s="121"/>
      <c r="B2219" s="121"/>
      <c r="C2219" s="121"/>
      <c r="D2219" s="121"/>
      <c r="E2219" s="133"/>
      <c r="F2219" s="133"/>
      <c r="G2219" s="121"/>
      <c r="H2219" s="121"/>
    </row>
    <row r="2220" hidden="1">
      <c r="A2220" s="121"/>
      <c r="B2220" s="121"/>
      <c r="C2220" s="121"/>
      <c r="D2220" s="121"/>
      <c r="E2220" s="133"/>
      <c r="F2220" s="133"/>
      <c r="G2220" s="121"/>
      <c r="H2220" s="121"/>
    </row>
    <row r="2221" hidden="1">
      <c r="A2221" s="121"/>
      <c r="B2221" s="121"/>
      <c r="C2221" s="121"/>
      <c r="D2221" s="121"/>
      <c r="E2221" s="133"/>
      <c r="F2221" s="133"/>
      <c r="G2221" s="121"/>
      <c r="H2221" s="121"/>
    </row>
    <row r="2222" hidden="1">
      <c r="A2222" s="121"/>
      <c r="B2222" s="121"/>
      <c r="C2222" s="121"/>
      <c r="D2222" s="121"/>
      <c r="E2222" s="133"/>
      <c r="F2222" s="133"/>
      <c r="G2222" s="121"/>
      <c r="H2222" s="121"/>
    </row>
    <row r="2223" hidden="1">
      <c r="A2223" s="121"/>
      <c r="B2223" s="121"/>
      <c r="C2223" s="121"/>
      <c r="D2223" s="121"/>
      <c r="E2223" s="133"/>
      <c r="F2223" s="133"/>
      <c r="G2223" s="121"/>
      <c r="H2223" s="121"/>
    </row>
    <row r="2224" hidden="1">
      <c r="A2224" s="121"/>
      <c r="B2224" s="121"/>
      <c r="C2224" s="121"/>
      <c r="D2224" s="121"/>
      <c r="E2224" s="133"/>
      <c r="F2224" s="133"/>
      <c r="G2224" s="121"/>
      <c r="H2224" s="121"/>
    </row>
    <row r="2225" hidden="1">
      <c r="A2225" s="121"/>
      <c r="B2225" s="121"/>
      <c r="C2225" s="121"/>
      <c r="D2225" s="121"/>
      <c r="E2225" s="133"/>
      <c r="F2225" s="133"/>
      <c r="G2225" s="121"/>
      <c r="H2225" s="121"/>
    </row>
    <row r="2226" hidden="1">
      <c r="A2226" s="121"/>
      <c r="B2226" s="121"/>
      <c r="C2226" s="121"/>
      <c r="D2226" s="121"/>
      <c r="E2226" s="133"/>
      <c r="F2226" s="133"/>
      <c r="G2226" s="121"/>
      <c r="H2226" s="121"/>
    </row>
    <row r="2227" hidden="1">
      <c r="A2227" s="121"/>
      <c r="B2227" s="121"/>
      <c r="C2227" s="121"/>
      <c r="D2227" s="121"/>
      <c r="E2227" s="133"/>
      <c r="F2227" s="133"/>
      <c r="G2227" s="121"/>
      <c r="H2227" s="121"/>
    </row>
    <row r="2228" hidden="1">
      <c r="A2228" s="121"/>
      <c r="B2228" s="121"/>
      <c r="C2228" s="121"/>
      <c r="D2228" s="121"/>
      <c r="E2228" s="133"/>
      <c r="F2228" s="133"/>
      <c r="G2228" s="121"/>
      <c r="H2228" s="121"/>
    </row>
    <row r="2229" hidden="1">
      <c r="A2229" s="121"/>
      <c r="B2229" s="121"/>
      <c r="C2229" s="121"/>
      <c r="D2229" s="121"/>
      <c r="E2229" s="133"/>
      <c r="F2229" s="133"/>
      <c r="G2229" s="121"/>
      <c r="H2229" s="121"/>
    </row>
    <row r="2230" hidden="1">
      <c r="A2230" s="121"/>
      <c r="B2230" s="121"/>
      <c r="C2230" s="121"/>
      <c r="D2230" s="121"/>
      <c r="E2230" s="133"/>
      <c r="F2230" s="133"/>
      <c r="G2230" s="121"/>
      <c r="H2230" s="121"/>
    </row>
    <row r="2231" hidden="1">
      <c r="A2231" s="121"/>
      <c r="B2231" s="121"/>
      <c r="C2231" s="121"/>
      <c r="D2231" s="121"/>
      <c r="E2231" s="133"/>
      <c r="F2231" s="133"/>
      <c r="G2231" s="121"/>
      <c r="H2231" s="121"/>
    </row>
    <row r="2232" hidden="1">
      <c r="A2232" s="121"/>
      <c r="B2232" s="121"/>
      <c r="C2232" s="121"/>
      <c r="D2232" s="121"/>
      <c r="E2232" s="133"/>
      <c r="F2232" s="133"/>
      <c r="G2232" s="121"/>
      <c r="H2232" s="121"/>
    </row>
    <row r="2233" hidden="1">
      <c r="A2233" s="121"/>
      <c r="B2233" s="121"/>
      <c r="C2233" s="121"/>
      <c r="D2233" s="121"/>
      <c r="E2233" s="133"/>
      <c r="F2233" s="133"/>
      <c r="G2233" s="121"/>
      <c r="H2233" s="121"/>
    </row>
    <row r="2234" hidden="1">
      <c r="A2234" s="121"/>
      <c r="B2234" s="121"/>
      <c r="C2234" s="121"/>
      <c r="D2234" s="121"/>
      <c r="E2234" s="133"/>
      <c r="F2234" s="133"/>
      <c r="G2234" s="121"/>
      <c r="H2234" s="121"/>
    </row>
    <row r="2235" hidden="1">
      <c r="A2235" s="121"/>
      <c r="B2235" s="121"/>
      <c r="C2235" s="121"/>
      <c r="D2235" s="121"/>
      <c r="E2235" s="133"/>
      <c r="F2235" s="133"/>
      <c r="G2235" s="121"/>
      <c r="H2235" s="121"/>
    </row>
    <row r="2236" hidden="1">
      <c r="A2236" s="121"/>
      <c r="B2236" s="121"/>
      <c r="C2236" s="121"/>
      <c r="D2236" s="121"/>
      <c r="E2236" s="133"/>
      <c r="F2236" s="133"/>
      <c r="G2236" s="121"/>
      <c r="H2236" s="121"/>
    </row>
    <row r="2237" hidden="1">
      <c r="A2237" s="121"/>
      <c r="B2237" s="121"/>
      <c r="C2237" s="121"/>
      <c r="D2237" s="121"/>
      <c r="E2237" s="133"/>
      <c r="F2237" s="133"/>
      <c r="G2237" s="121"/>
      <c r="H2237" s="121"/>
    </row>
    <row r="2238" hidden="1">
      <c r="A2238" s="121"/>
      <c r="B2238" s="121"/>
      <c r="C2238" s="121"/>
      <c r="D2238" s="121"/>
      <c r="E2238" s="133"/>
      <c r="F2238" s="133"/>
      <c r="G2238" s="121"/>
      <c r="H2238" s="121"/>
    </row>
    <row r="2239" hidden="1">
      <c r="A2239" s="121"/>
      <c r="B2239" s="121"/>
      <c r="C2239" s="121"/>
      <c r="D2239" s="121"/>
      <c r="E2239" s="133"/>
      <c r="F2239" s="133"/>
      <c r="G2239" s="121"/>
      <c r="H2239" s="121"/>
    </row>
    <row r="2240" hidden="1">
      <c r="A2240" s="121"/>
      <c r="B2240" s="121"/>
      <c r="C2240" s="121"/>
      <c r="D2240" s="121"/>
      <c r="E2240" s="133"/>
      <c r="F2240" s="133"/>
      <c r="G2240" s="121"/>
      <c r="H2240" s="121"/>
    </row>
    <row r="2241" hidden="1">
      <c r="A2241" s="121"/>
      <c r="B2241" s="121"/>
      <c r="C2241" s="121"/>
      <c r="D2241" s="121"/>
      <c r="E2241" s="133"/>
      <c r="F2241" s="133"/>
      <c r="G2241" s="121"/>
      <c r="H2241" s="121"/>
    </row>
    <row r="2242" hidden="1">
      <c r="A2242" s="121"/>
      <c r="B2242" s="121"/>
      <c r="C2242" s="121"/>
      <c r="D2242" s="121"/>
      <c r="E2242" s="133"/>
      <c r="F2242" s="133"/>
      <c r="G2242" s="121"/>
      <c r="H2242" s="121"/>
    </row>
    <row r="2243" hidden="1">
      <c r="A2243" s="121"/>
      <c r="B2243" s="121"/>
      <c r="C2243" s="121"/>
      <c r="D2243" s="121"/>
      <c r="E2243" s="133"/>
      <c r="F2243" s="133"/>
      <c r="G2243" s="121"/>
      <c r="H2243" s="121"/>
    </row>
    <row r="2244" hidden="1">
      <c r="A2244" s="121"/>
      <c r="B2244" s="121"/>
      <c r="C2244" s="121"/>
      <c r="D2244" s="121"/>
      <c r="E2244" s="133"/>
      <c r="F2244" s="133"/>
      <c r="G2244" s="121"/>
      <c r="H2244" s="121"/>
    </row>
    <row r="2245" hidden="1">
      <c r="A2245" s="121"/>
      <c r="B2245" s="121"/>
      <c r="C2245" s="121"/>
      <c r="D2245" s="121"/>
      <c r="E2245" s="133"/>
      <c r="F2245" s="133"/>
      <c r="G2245" s="121"/>
      <c r="H2245" s="121"/>
    </row>
    <row r="2246" hidden="1">
      <c r="A2246" s="121"/>
      <c r="B2246" s="121"/>
      <c r="C2246" s="121"/>
      <c r="D2246" s="121"/>
      <c r="E2246" s="133"/>
      <c r="F2246" s="133"/>
      <c r="G2246" s="121"/>
      <c r="H2246" s="121"/>
    </row>
    <row r="2247" hidden="1">
      <c r="A2247" s="121"/>
      <c r="B2247" s="121"/>
      <c r="C2247" s="121"/>
      <c r="D2247" s="121"/>
      <c r="E2247" s="133"/>
      <c r="F2247" s="133"/>
      <c r="G2247" s="121"/>
      <c r="H2247" s="121"/>
    </row>
    <row r="2248" hidden="1">
      <c r="A2248" s="121"/>
      <c r="B2248" s="121"/>
      <c r="C2248" s="121"/>
      <c r="D2248" s="121"/>
      <c r="E2248" s="133"/>
      <c r="F2248" s="133"/>
      <c r="G2248" s="121"/>
      <c r="H2248" s="121"/>
    </row>
    <row r="2249" hidden="1">
      <c r="A2249" s="121"/>
      <c r="B2249" s="121"/>
      <c r="C2249" s="121"/>
      <c r="D2249" s="121"/>
      <c r="E2249" s="133"/>
      <c r="F2249" s="133"/>
      <c r="G2249" s="121"/>
      <c r="H2249" s="121"/>
    </row>
    <row r="2250" hidden="1">
      <c r="A2250" s="121"/>
      <c r="B2250" s="121"/>
      <c r="C2250" s="121"/>
      <c r="D2250" s="121"/>
      <c r="E2250" s="133"/>
      <c r="F2250" s="133"/>
      <c r="G2250" s="121"/>
      <c r="H2250" s="121"/>
    </row>
    <row r="2251" hidden="1">
      <c r="A2251" s="121"/>
      <c r="B2251" s="121"/>
      <c r="C2251" s="121"/>
      <c r="D2251" s="121"/>
      <c r="E2251" s="133"/>
      <c r="F2251" s="133"/>
      <c r="G2251" s="121"/>
      <c r="H2251" s="121"/>
    </row>
    <row r="2252" hidden="1">
      <c r="A2252" s="121"/>
      <c r="B2252" s="121"/>
      <c r="C2252" s="121"/>
      <c r="D2252" s="121"/>
      <c r="E2252" s="133"/>
      <c r="F2252" s="133"/>
      <c r="G2252" s="121"/>
      <c r="H2252" s="121"/>
    </row>
    <row r="2253" hidden="1">
      <c r="A2253" s="121"/>
      <c r="B2253" s="121"/>
      <c r="C2253" s="121"/>
      <c r="D2253" s="121"/>
      <c r="E2253" s="133"/>
      <c r="F2253" s="133"/>
      <c r="G2253" s="121"/>
      <c r="H2253" s="121"/>
    </row>
    <row r="2254" hidden="1">
      <c r="A2254" s="121"/>
      <c r="B2254" s="121"/>
      <c r="C2254" s="121"/>
      <c r="D2254" s="121"/>
      <c r="E2254" s="133"/>
      <c r="F2254" s="133"/>
      <c r="G2254" s="121"/>
      <c r="H2254" s="121"/>
    </row>
    <row r="2255" hidden="1">
      <c r="A2255" s="121"/>
      <c r="B2255" s="121"/>
      <c r="C2255" s="121"/>
      <c r="D2255" s="121"/>
      <c r="E2255" s="133"/>
      <c r="F2255" s="133"/>
      <c r="G2255" s="121"/>
      <c r="H2255" s="121"/>
    </row>
    <row r="2256" hidden="1">
      <c r="A2256" s="121"/>
      <c r="B2256" s="121"/>
      <c r="C2256" s="121"/>
      <c r="D2256" s="121"/>
      <c r="E2256" s="133"/>
      <c r="F2256" s="133"/>
      <c r="G2256" s="121"/>
      <c r="H2256" s="121"/>
    </row>
    <row r="2257" hidden="1">
      <c r="A2257" s="121"/>
      <c r="B2257" s="121"/>
      <c r="C2257" s="121"/>
      <c r="D2257" s="121"/>
      <c r="E2257" s="133"/>
      <c r="F2257" s="133"/>
      <c r="G2257" s="121"/>
      <c r="H2257" s="121"/>
    </row>
    <row r="2258" hidden="1">
      <c r="A2258" s="121"/>
      <c r="B2258" s="121"/>
      <c r="C2258" s="121"/>
      <c r="D2258" s="121"/>
      <c r="E2258" s="133"/>
      <c r="F2258" s="133"/>
      <c r="G2258" s="121"/>
      <c r="H2258" s="121"/>
    </row>
    <row r="2259" hidden="1">
      <c r="A2259" s="121"/>
      <c r="B2259" s="121"/>
      <c r="C2259" s="121"/>
      <c r="D2259" s="121"/>
      <c r="E2259" s="133"/>
      <c r="F2259" s="133"/>
      <c r="G2259" s="121"/>
      <c r="H2259" s="121"/>
    </row>
    <row r="2260" hidden="1">
      <c r="A2260" s="121"/>
      <c r="B2260" s="121"/>
      <c r="C2260" s="121"/>
      <c r="D2260" s="121"/>
      <c r="E2260" s="133"/>
      <c r="F2260" s="133"/>
      <c r="G2260" s="121"/>
      <c r="H2260" s="121"/>
    </row>
    <row r="2261" hidden="1">
      <c r="A2261" s="121"/>
      <c r="B2261" s="121"/>
      <c r="C2261" s="121"/>
      <c r="D2261" s="121"/>
      <c r="E2261" s="133"/>
      <c r="F2261" s="133"/>
      <c r="G2261" s="121"/>
      <c r="H2261" s="121"/>
    </row>
    <row r="2262" hidden="1">
      <c r="A2262" s="121"/>
      <c r="B2262" s="121"/>
      <c r="C2262" s="121"/>
      <c r="D2262" s="121"/>
      <c r="E2262" s="133"/>
      <c r="F2262" s="133"/>
      <c r="G2262" s="121"/>
      <c r="H2262" s="121"/>
    </row>
    <row r="2263" hidden="1">
      <c r="A2263" s="121"/>
      <c r="B2263" s="121"/>
      <c r="C2263" s="121"/>
      <c r="D2263" s="121"/>
      <c r="E2263" s="133"/>
      <c r="F2263" s="133"/>
      <c r="G2263" s="121"/>
      <c r="H2263" s="121"/>
    </row>
    <row r="2264" hidden="1">
      <c r="A2264" s="121"/>
      <c r="B2264" s="121"/>
      <c r="C2264" s="121"/>
      <c r="D2264" s="121"/>
      <c r="E2264" s="133"/>
      <c r="F2264" s="133"/>
      <c r="G2264" s="121"/>
      <c r="H2264" s="121"/>
    </row>
    <row r="2265" hidden="1">
      <c r="A2265" s="121"/>
      <c r="B2265" s="121"/>
      <c r="C2265" s="121"/>
      <c r="D2265" s="121"/>
      <c r="E2265" s="133"/>
      <c r="F2265" s="133"/>
      <c r="G2265" s="121"/>
      <c r="H2265" s="121"/>
    </row>
    <row r="2266" hidden="1">
      <c r="A2266" s="121"/>
      <c r="B2266" s="121"/>
      <c r="C2266" s="121"/>
      <c r="D2266" s="121"/>
      <c r="E2266" s="133"/>
      <c r="F2266" s="133"/>
      <c r="G2266" s="121"/>
      <c r="H2266" s="121"/>
    </row>
    <row r="2267" hidden="1">
      <c r="A2267" s="121"/>
      <c r="B2267" s="121"/>
      <c r="C2267" s="121"/>
      <c r="D2267" s="121"/>
      <c r="E2267" s="133"/>
      <c r="F2267" s="133"/>
      <c r="G2267" s="121"/>
      <c r="H2267" s="121"/>
    </row>
    <row r="2268" hidden="1">
      <c r="A2268" s="121"/>
      <c r="B2268" s="121"/>
      <c r="C2268" s="121"/>
      <c r="D2268" s="121"/>
      <c r="E2268" s="133"/>
      <c r="F2268" s="133"/>
      <c r="G2268" s="121"/>
      <c r="H2268" s="121"/>
    </row>
    <row r="2269" hidden="1">
      <c r="A2269" s="121"/>
      <c r="B2269" s="121"/>
      <c r="C2269" s="121"/>
      <c r="D2269" s="121"/>
      <c r="E2269" s="133"/>
      <c r="F2269" s="133"/>
      <c r="G2269" s="121"/>
      <c r="H2269" s="121"/>
    </row>
    <row r="2270" hidden="1">
      <c r="A2270" s="121"/>
      <c r="B2270" s="121"/>
      <c r="C2270" s="121"/>
      <c r="D2270" s="121"/>
      <c r="E2270" s="133"/>
      <c r="F2270" s="133"/>
      <c r="G2270" s="121"/>
      <c r="H2270" s="121"/>
    </row>
    <row r="2271" hidden="1">
      <c r="A2271" s="121"/>
      <c r="B2271" s="121"/>
      <c r="C2271" s="121"/>
      <c r="D2271" s="121"/>
      <c r="E2271" s="133"/>
      <c r="F2271" s="133"/>
      <c r="G2271" s="121"/>
      <c r="H2271" s="121"/>
    </row>
    <row r="2272" hidden="1">
      <c r="A2272" s="121"/>
      <c r="B2272" s="121"/>
      <c r="C2272" s="121"/>
      <c r="D2272" s="121"/>
      <c r="E2272" s="133"/>
      <c r="F2272" s="133"/>
      <c r="G2272" s="121"/>
      <c r="H2272" s="121"/>
    </row>
    <row r="2273" hidden="1">
      <c r="A2273" s="121"/>
      <c r="B2273" s="121"/>
      <c r="C2273" s="121"/>
      <c r="D2273" s="121"/>
      <c r="E2273" s="133"/>
      <c r="F2273" s="133"/>
      <c r="G2273" s="121"/>
      <c r="H2273" s="121"/>
    </row>
    <row r="2274" hidden="1">
      <c r="A2274" s="121"/>
      <c r="B2274" s="121"/>
      <c r="C2274" s="121"/>
      <c r="D2274" s="121"/>
      <c r="E2274" s="133"/>
      <c r="F2274" s="133"/>
      <c r="G2274" s="121"/>
      <c r="H2274" s="121"/>
    </row>
    <row r="2275" hidden="1">
      <c r="A2275" s="121"/>
      <c r="B2275" s="121"/>
      <c r="C2275" s="121"/>
      <c r="D2275" s="121"/>
      <c r="E2275" s="133"/>
      <c r="F2275" s="133"/>
      <c r="G2275" s="121"/>
      <c r="H2275" s="121"/>
    </row>
    <row r="2276" hidden="1">
      <c r="A2276" s="121"/>
      <c r="B2276" s="121"/>
      <c r="C2276" s="121"/>
      <c r="D2276" s="121"/>
      <c r="E2276" s="133"/>
      <c r="F2276" s="133"/>
      <c r="G2276" s="121"/>
      <c r="H2276" s="121"/>
    </row>
    <row r="2277" hidden="1">
      <c r="A2277" s="121"/>
      <c r="B2277" s="121"/>
      <c r="C2277" s="121"/>
      <c r="D2277" s="121"/>
      <c r="E2277" s="133"/>
      <c r="F2277" s="133"/>
      <c r="G2277" s="121"/>
      <c r="H2277" s="121"/>
    </row>
    <row r="2278" hidden="1">
      <c r="A2278" s="121"/>
      <c r="B2278" s="121"/>
      <c r="C2278" s="121"/>
      <c r="D2278" s="121"/>
      <c r="E2278" s="133"/>
      <c r="F2278" s="133"/>
      <c r="G2278" s="121"/>
      <c r="H2278" s="121"/>
    </row>
    <row r="2279" hidden="1">
      <c r="A2279" s="121"/>
      <c r="B2279" s="121"/>
      <c r="C2279" s="121"/>
      <c r="D2279" s="121"/>
      <c r="E2279" s="133"/>
      <c r="F2279" s="133"/>
      <c r="G2279" s="121"/>
      <c r="H2279" s="121"/>
    </row>
    <row r="2280" hidden="1">
      <c r="A2280" s="121"/>
      <c r="B2280" s="121"/>
      <c r="C2280" s="121"/>
      <c r="D2280" s="121"/>
      <c r="E2280" s="133"/>
      <c r="F2280" s="133"/>
      <c r="G2280" s="121"/>
      <c r="H2280" s="121"/>
    </row>
    <row r="2281" hidden="1">
      <c r="A2281" s="121"/>
      <c r="B2281" s="121"/>
      <c r="C2281" s="121"/>
      <c r="D2281" s="121"/>
      <c r="E2281" s="133"/>
      <c r="F2281" s="133"/>
      <c r="G2281" s="121"/>
      <c r="H2281" s="121"/>
    </row>
    <row r="2282" hidden="1">
      <c r="A2282" s="121"/>
      <c r="B2282" s="121"/>
      <c r="C2282" s="121"/>
      <c r="D2282" s="121"/>
      <c r="E2282" s="133"/>
      <c r="F2282" s="133"/>
      <c r="G2282" s="121"/>
      <c r="H2282" s="121"/>
    </row>
    <row r="2283" hidden="1">
      <c r="A2283" s="121"/>
      <c r="B2283" s="121"/>
      <c r="C2283" s="121"/>
      <c r="D2283" s="121"/>
      <c r="E2283" s="133"/>
      <c r="F2283" s="133"/>
      <c r="G2283" s="121"/>
      <c r="H2283" s="121"/>
    </row>
    <row r="2284" hidden="1">
      <c r="A2284" s="121"/>
      <c r="B2284" s="121"/>
      <c r="C2284" s="121"/>
      <c r="D2284" s="121"/>
      <c r="E2284" s="133"/>
      <c r="F2284" s="133"/>
      <c r="G2284" s="121"/>
      <c r="H2284" s="121"/>
    </row>
    <row r="2285" hidden="1">
      <c r="A2285" s="121"/>
      <c r="B2285" s="121"/>
      <c r="C2285" s="121"/>
      <c r="D2285" s="121"/>
      <c r="E2285" s="133"/>
      <c r="F2285" s="133"/>
      <c r="G2285" s="121"/>
      <c r="H2285" s="121"/>
    </row>
    <row r="2286" hidden="1">
      <c r="A2286" s="121"/>
      <c r="B2286" s="121"/>
      <c r="C2286" s="121"/>
      <c r="D2286" s="121"/>
      <c r="E2286" s="133"/>
      <c r="F2286" s="133"/>
      <c r="G2286" s="121"/>
      <c r="H2286" s="121"/>
    </row>
    <row r="2287" hidden="1">
      <c r="A2287" s="121"/>
      <c r="B2287" s="121"/>
      <c r="C2287" s="121"/>
      <c r="D2287" s="121"/>
      <c r="E2287" s="133"/>
      <c r="F2287" s="133"/>
      <c r="G2287" s="121"/>
      <c r="H2287" s="121"/>
    </row>
    <row r="2288" hidden="1">
      <c r="A2288" s="121"/>
      <c r="B2288" s="121"/>
      <c r="C2288" s="121"/>
      <c r="D2288" s="121"/>
      <c r="E2288" s="133"/>
      <c r="F2288" s="133"/>
      <c r="G2288" s="121"/>
      <c r="H2288" s="121"/>
    </row>
    <row r="2289" hidden="1">
      <c r="A2289" s="121"/>
      <c r="B2289" s="121"/>
      <c r="C2289" s="121"/>
      <c r="D2289" s="121"/>
      <c r="E2289" s="133"/>
      <c r="F2289" s="133"/>
      <c r="G2289" s="121"/>
      <c r="H2289" s="121"/>
    </row>
    <row r="2290" hidden="1">
      <c r="A2290" s="121"/>
      <c r="B2290" s="121"/>
      <c r="C2290" s="121"/>
      <c r="D2290" s="121"/>
      <c r="E2290" s="133"/>
      <c r="F2290" s="133"/>
      <c r="G2290" s="121"/>
      <c r="H2290" s="121"/>
    </row>
    <row r="2291" hidden="1">
      <c r="A2291" s="121"/>
      <c r="B2291" s="121"/>
      <c r="C2291" s="121"/>
      <c r="D2291" s="121"/>
      <c r="E2291" s="133"/>
      <c r="F2291" s="133"/>
      <c r="G2291" s="121"/>
      <c r="H2291" s="121"/>
    </row>
    <row r="2292" hidden="1">
      <c r="A2292" s="121"/>
      <c r="B2292" s="121"/>
      <c r="C2292" s="121"/>
      <c r="D2292" s="121"/>
      <c r="E2292" s="133"/>
      <c r="F2292" s="133"/>
      <c r="G2292" s="121"/>
      <c r="H2292" s="121"/>
    </row>
    <row r="2293" hidden="1">
      <c r="A2293" s="121"/>
      <c r="B2293" s="121"/>
      <c r="C2293" s="121"/>
      <c r="D2293" s="121"/>
      <c r="E2293" s="133"/>
      <c r="F2293" s="133"/>
      <c r="G2293" s="121"/>
      <c r="H2293" s="121"/>
    </row>
    <row r="2294" hidden="1">
      <c r="A2294" s="121"/>
      <c r="B2294" s="121"/>
      <c r="C2294" s="121"/>
      <c r="D2294" s="121"/>
      <c r="E2294" s="133"/>
      <c r="F2294" s="133"/>
      <c r="G2294" s="121"/>
      <c r="H2294" s="121"/>
    </row>
    <row r="2295" hidden="1">
      <c r="A2295" s="121"/>
      <c r="B2295" s="121"/>
      <c r="C2295" s="121"/>
      <c r="D2295" s="121"/>
      <c r="E2295" s="133"/>
      <c r="F2295" s="133"/>
      <c r="G2295" s="121"/>
      <c r="H2295" s="121"/>
    </row>
    <row r="2296" hidden="1">
      <c r="A2296" s="121"/>
      <c r="B2296" s="121"/>
      <c r="C2296" s="121"/>
      <c r="D2296" s="121"/>
      <c r="E2296" s="133"/>
      <c r="F2296" s="133"/>
      <c r="G2296" s="121"/>
      <c r="H2296" s="121"/>
    </row>
    <row r="2297" hidden="1">
      <c r="A2297" s="121"/>
      <c r="B2297" s="121"/>
      <c r="C2297" s="121"/>
      <c r="D2297" s="121"/>
      <c r="E2297" s="133"/>
      <c r="F2297" s="133"/>
      <c r="G2297" s="121"/>
      <c r="H2297" s="121"/>
    </row>
    <row r="2298" hidden="1">
      <c r="A2298" s="121"/>
      <c r="B2298" s="121"/>
      <c r="C2298" s="121"/>
      <c r="D2298" s="121"/>
      <c r="E2298" s="133"/>
      <c r="F2298" s="133"/>
      <c r="G2298" s="121"/>
      <c r="H2298" s="121"/>
    </row>
    <row r="2299" hidden="1">
      <c r="A2299" s="121"/>
      <c r="B2299" s="121"/>
      <c r="C2299" s="121"/>
      <c r="D2299" s="121"/>
      <c r="E2299" s="133"/>
      <c r="F2299" s="133"/>
      <c r="G2299" s="121"/>
      <c r="H2299" s="121"/>
    </row>
    <row r="2300" hidden="1">
      <c r="A2300" s="121"/>
      <c r="B2300" s="121"/>
      <c r="C2300" s="121"/>
      <c r="D2300" s="121"/>
      <c r="E2300" s="133"/>
      <c r="F2300" s="133"/>
      <c r="G2300" s="121"/>
      <c r="H2300" s="121"/>
    </row>
    <row r="2301" hidden="1">
      <c r="A2301" s="121"/>
      <c r="B2301" s="121"/>
      <c r="C2301" s="121"/>
      <c r="D2301" s="121"/>
      <c r="E2301" s="133"/>
      <c r="F2301" s="133"/>
      <c r="G2301" s="121"/>
      <c r="H2301" s="121"/>
    </row>
    <row r="2302" hidden="1">
      <c r="A2302" s="121"/>
      <c r="B2302" s="121"/>
      <c r="C2302" s="121"/>
      <c r="D2302" s="121"/>
      <c r="E2302" s="133"/>
      <c r="F2302" s="133"/>
      <c r="G2302" s="121"/>
      <c r="H2302" s="121"/>
    </row>
    <row r="2303" hidden="1">
      <c r="A2303" s="121"/>
      <c r="B2303" s="121"/>
      <c r="C2303" s="121"/>
      <c r="D2303" s="121"/>
      <c r="E2303" s="133"/>
      <c r="F2303" s="133"/>
      <c r="G2303" s="121"/>
      <c r="H2303" s="121"/>
    </row>
    <row r="2304" hidden="1">
      <c r="A2304" s="121"/>
      <c r="B2304" s="121"/>
      <c r="C2304" s="121"/>
      <c r="D2304" s="121"/>
      <c r="E2304" s="133"/>
      <c r="F2304" s="133"/>
      <c r="G2304" s="121"/>
      <c r="H2304" s="121"/>
    </row>
    <row r="2305" hidden="1">
      <c r="A2305" s="121"/>
      <c r="B2305" s="121"/>
      <c r="C2305" s="121"/>
      <c r="D2305" s="121"/>
      <c r="E2305" s="133"/>
      <c r="F2305" s="133"/>
      <c r="G2305" s="121"/>
      <c r="H2305" s="121"/>
    </row>
    <row r="2306" hidden="1">
      <c r="A2306" s="121"/>
      <c r="B2306" s="121"/>
      <c r="C2306" s="121"/>
      <c r="D2306" s="121"/>
      <c r="E2306" s="133"/>
      <c r="F2306" s="133"/>
      <c r="G2306" s="121"/>
      <c r="H2306" s="121"/>
    </row>
    <row r="2307" hidden="1">
      <c r="A2307" s="121"/>
      <c r="B2307" s="121"/>
      <c r="C2307" s="121"/>
      <c r="D2307" s="121"/>
      <c r="E2307" s="133"/>
      <c r="F2307" s="133"/>
      <c r="G2307" s="121"/>
      <c r="H2307" s="121"/>
    </row>
    <row r="2308" hidden="1">
      <c r="A2308" s="121"/>
      <c r="B2308" s="121"/>
      <c r="C2308" s="121"/>
      <c r="D2308" s="121"/>
      <c r="E2308" s="133"/>
      <c r="F2308" s="133"/>
      <c r="G2308" s="121"/>
      <c r="H2308" s="121"/>
    </row>
    <row r="2309" hidden="1">
      <c r="A2309" s="121"/>
      <c r="B2309" s="121"/>
      <c r="C2309" s="121"/>
      <c r="D2309" s="121"/>
      <c r="E2309" s="133"/>
      <c r="F2309" s="133"/>
      <c r="G2309" s="121"/>
      <c r="H2309" s="121"/>
    </row>
    <row r="2310" hidden="1">
      <c r="A2310" s="121"/>
      <c r="B2310" s="121"/>
      <c r="C2310" s="121"/>
      <c r="D2310" s="121"/>
      <c r="E2310" s="133"/>
      <c r="F2310" s="133"/>
      <c r="G2310" s="121"/>
      <c r="H2310" s="121"/>
    </row>
    <row r="2311" hidden="1">
      <c r="A2311" s="121"/>
      <c r="B2311" s="121"/>
      <c r="C2311" s="121"/>
      <c r="D2311" s="121"/>
      <c r="E2311" s="133"/>
      <c r="F2311" s="133"/>
      <c r="G2311" s="121"/>
      <c r="H2311" s="121"/>
    </row>
    <row r="2312" hidden="1">
      <c r="A2312" s="121"/>
      <c r="B2312" s="121"/>
      <c r="C2312" s="121"/>
      <c r="D2312" s="121"/>
      <c r="E2312" s="133"/>
      <c r="F2312" s="133"/>
      <c r="G2312" s="121"/>
      <c r="H2312" s="121"/>
    </row>
    <row r="2313" hidden="1">
      <c r="A2313" s="121"/>
      <c r="B2313" s="121"/>
      <c r="C2313" s="121"/>
      <c r="D2313" s="121"/>
      <c r="E2313" s="133"/>
      <c r="F2313" s="133"/>
      <c r="G2313" s="121"/>
      <c r="H2313" s="121"/>
    </row>
    <row r="2314" hidden="1">
      <c r="A2314" s="121"/>
      <c r="B2314" s="121"/>
      <c r="C2314" s="121"/>
      <c r="D2314" s="121"/>
      <c r="E2314" s="133"/>
      <c r="F2314" s="133"/>
      <c r="G2314" s="121"/>
      <c r="H2314" s="121"/>
    </row>
    <row r="2315" hidden="1">
      <c r="A2315" s="121"/>
      <c r="B2315" s="121"/>
      <c r="C2315" s="121"/>
      <c r="D2315" s="121"/>
      <c r="E2315" s="133"/>
      <c r="F2315" s="133"/>
      <c r="G2315" s="121"/>
      <c r="H2315" s="121"/>
    </row>
    <row r="2316" hidden="1">
      <c r="A2316" s="121"/>
      <c r="B2316" s="121"/>
      <c r="C2316" s="121"/>
      <c r="D2316" s="121"/>
      <c r="E2316" s="133"/>
      <c r="F2316" s="133"/>
      <c r="G2316" s="121"/>
      <c r="H2316" s="121"/>
    </row>
    <row r="2317" hidden="1">
      <c r="A2317" s="121"/>
      <c r="B2317" s="121"/>
      <c r="C2317" s="121"/>
      <c r="D2317" s="121"/>
      <c r="E2317" s="133"/>
      <c r="F2317" s="133"/>
      <c r="G2317" s="121"/>
      <c r="H2317" s="121"/>
    </row>
    <row r="2318" hidden="1">
      <c r="A2318" s="121"/>
      <c r="B2318" s="121"/>
      <c r="C2318" s="121"/>
      <c r="D2318" s="121"/>
      <c r="E2318" s="133"/>
      <c r="F2318" s="133"/>
      <c r="G2318" s="121"/>
      <c r="H2318" s="121"/>
    </row>
    <row r="2319" hidden="1">
      <c r="A2319" s="121"/>
      <c r="B2319" s="121"/>
      <c r="C2319" s="121"/>
      <c r="D2319" s="121"/>
      <c r="E2319" s="133"/>
      <c r="F2319" s="133"/>
      <c r="G2319" s="121"/>
      <c r="H2319" s="121"/>
    </row>
    <row r="2320" hidden="1">
      <c r="A2320" s="121"/>
      <c r="B2320" s="121"/>
      <c r="C2320" s="121"/>
      <c r="D2320" s="121"/>
      <c r="E2320" s="133"/>
      <c r="F2320" s="133"/>
      <c r="G2320" s="121"/>
      <c r="H2320" s="121"/>
    </row>
    <row r="2321" hidden="1">
      <c r="A2321" s="121"/>
      <c r="B2321" s="121"/>
      <c r="C2321" s="121"/>
      <c r="D2321" s="121"/>
      <c r="E2321" s="133"/>
      <c r="F2321" s="133"/>
      <c r="G2321" s="121"/>
      <c r="H2321" s="121"/>
    </row>
    <row r="2322" hidden="1">
      <c r="A2322" s="121"/>
      <c r="B2322" s="121"/>
      <c r="C2322" s="121"/>
      <c r="D2322" s="121"/>
      <c r="E2322" s="133"/>
      <c r="F2322" s="133"/>
      <c r="G2322" s="121"/>
      <c r="H2322" s="121"/>
    </row>
    <row r="2323" hidden="1">
      <c r="A2323" s="121"/>
      <c r="B2323" s="121"/>
      <c r="C2323" s="121"/>
      <c r="D2323" s="121"/>
      <c r="E2323" s="133"/>
      <c r="F2323" s="133"/>
      <c r="G2323" s="121"/>
      <c r="H2323" s="121"/>
    </row>
    <row r="2324" hidden="1">
      <c r="A2324" s="121"/>
      <c r="B2324" s="121"/>
      <c r="C2324" s="121"/>
      <c r="D2324" s="121"/>
      <c r="E2324" s="133"/>
      <c r="F2324" s="133"/>
      <c r="G2324" s="121"/>
      <c r="H2324" s="121"/>
    </row>
    <row r="2325" hidden="1">
      <c r="A2325" s="121"/>
      <c r="B2325" s="121"/>
      <c r="C2325" s="121"/>
      <c r="D2325" s="121"/>
      <c r="E2325" s="133"/>
      <c r="F2325" s="133"/>
      <c r="G2325" s="121"/>
      <c r="H2325" s="121"/>
    </row>
    <row r="2326" hidden="1">
      <c r="A2326" s="121"/>
      <c r="B2326" s="121"/>
      <c r="C2326" s="121"/>
      <c r="D2326" s="121"/>
      <c r="E2326" s="133"/>
      <c r="F2326" s="133"/>
      <c r="G2326" s="121"/>
      <c r="H2326" s="121"/>
    </row>
    <row r="2327" hidden="1">
      <c r="A2327" s="121"/>
      <c r="B2327" s="121"/>
      <c r="C2327" s="121"/>
      <c r="D2327" s="121"/>
      <c r="E2327" s="133"/>
      <c r="F2327" s="133"/>
      <c r="G2327" s="121"/>
      <c r="H2327" s="121"/>
    </row>
    <row r="2328" hidden="1">
      <c r="A2328" s="121"/>
      <c r="B2328" s="121"/>
      <c r="C2328" s="121"/>
      <c r="D2328" s="121"/>
      <c r="E2328" s="133"/>
      <c r="F2328" s="133"/>
      <c r="G2328" s="121"/>
      <c r="H2328" s="121"/>
    </row>
    <row r="2329" hidden="1">
      <c r="A2329" s="121"/>
      <c r="B2329" s="121"/>
      <c r="C2329" s="121"/>
      <c r="D2329" s="121"/>
      <c r="E2329" s="133"/>
      <c r="F2329" s="133"/>
      <c r="G2329" s="121"/>
      <c r="H2329" s="121"/>
    </row>
    <row r="2330" hidden="1">
      <c r="A2330" s="121"/>
      <c r="B2330" s="121"/>
      <c r="C2330" s="121"/>
      <c r="D2330" s="121"/>
      <c r="E2330" s="133"/>
      <c r="F2330" s="133"/>
      <c r="G2330" s="121"/>
      <c r="H2330" s="121"/>
    </row>
    <row r="2331" hidden="1">
      <c r="A2331" s="121"/>
      <c r="B2331" s="121"/>
      <c r="C2331" s="121"/>
      <c r="D2331" s="121"/>
      <c r="E2331" s="133"/>
      <c r="F2331" s="133"/>
      <c r="G2331" s="121"/>
      <c r="H2331" s="121"/>
    </row>
    <row r="2332" hidden="1">
      <c r="A2332" s="121"/>
      <c r="B2332" s="121"/>
      <c r="C2332" s="121"/>
      <c r="D2332" s="121"/>
      <c r="E2332" s="133"/>
      <c r="F2332" s="133"/>
      <c r="G2332" s="121"/>
      <c r="H2332" s="121"/>
    </row>
    <row r="2333" hidden="1">
      <c r="A2333" s="121"/>
      <c r="B2333" s="121"/>
      <c r="C2333" s="121"/>
      <c r="D2333" s="121"/>
      <c r="E2333" s="133"/>
      <c r="F2333" s="133"/>
      <c r="G2333" s="121"/>
      <c r="H2333" s="121"/>
    </row>
    <row r="2334" hidden="1">
      <c r="A2334" s="121"/>
      <c r="B2334" s="121"/>
      <c r="C2334" s="121"/>
      <c r="D2334" s="121"/>
      <c r="E2334" s="133"/>
      <c r="F2334" s="133"/>
      <c r="G2334" s="121"/>
      <c r="H2334" s="121"/>
    </row>
    <row r="2335" hidden="1">
      <c r="A2335" s="121"/>
      <c r="B2335" s="121"/>
      <c r="C2335" s="121"/>
      <c r="D2335" s="121"/>
      <c r="E2335" s="133"/>
      <c r="F2335" s="133"/>
      <c r="G2335" s="121"/>
      <c r="H2335" s="121"/>
    </row>
    <row r="2336" hidden="1">
      <c r="A2336" s="121"/>
      <c r="B2336" s="121"/>
      <c r="C2336" s="121"/>
      <c r="D2336" s="121"/>
      <c r="E2336" s="133"/>
      <c r="F2336" s="133"/>
      <c r="G2336" s="121"/>
      <c r="H2336" s="121"/>
    </row>
    <row r="2337" hidden="1">
      <c r="A2337" s="121"/>
      <c r="B2337" s="121"/>
      <c r="C2337" s="121"/>
      <c r="D2337" s="121"/>
      <c r="E2337" s="133"/>
      <c r="F2337" s="133"/>
      <c r="G2337" s="121"/>
      <c r="H2337" s="121"/>
    </row>
    <row r="2338" hidden="1">
      <c r="A2338" s="121"/>
      <c r="B2338" s="121"/>
      <c r="C2338" s="121"/>
      <c r="D2338" s="121"/>
      <c r="E2338" s="133"/>
      <c r="F2338" s="133"/>
      <c r="G2338" s="121"/>
      <c r="H2338" s="121"/>
    </row>
    <row r="2339" hidden="1">
      <c r="A2339" s="121"/>
      <c r="B2339" s="121"/>
      <c r="C2339" s="121"/>
      <c r="D2339" s="121"/>
      <c r="E2339" s="133"/>
      <c r="F2339" s="133"/>
      <c r="G2339" s="121"/>
      <c r="H2339" s="121"/>
    </row>
    <row r="2340" hidden="1">
      <c r="A2340" s="121"/>
      <c r="B2340" s="121"/>
      <c r="C2340" s="121"/>
      <c r="D2340" s="121"/>
      <c r="E2340" s="133"/>
      <c r="F2340" s="133"/>
      <c r="G2340" s="121"/>
      <c r="H2340" s="121"/>
    </row>
    <row r="2341" hidden="1">
      <c r="A2341" s="121"/>
      <c r="B2341" s="121"/>
      <c r="C2341" s="121"/>
      <c r="D2341" s="121"/>
      <c r="E2341" s="133"/>
      <c r="F2341" s="133"/>
      <c r="G2341" s="121"/>
      <c r="H2341" s="121"/>
    </row>
    <row r="2342" hidden="1">
      <c r="A2342" s="121"/>
      <c r="B2342" s="121"/>
      <c r="C2342" s="121"/>
      <c r="D2342" s="121"/>
      <c r="E2342" s="133"/>
      <c r="F2342" s="133"/>
      <c r="G2342" s="121"/>
      <c r="H2342" s="121"/>
    </row>
    <row r="2343" hidden="1">
      <c r="A2343" s="121"/>
      <c r="B2343" s="121"/>
      <c r="C2343" s="121"/>
      <c r="D2343" s="121"/>
      <c r="E2343" s="133"/>
      <c r="F2343" s="133"/>
      <c r="G2343" s="121"/>
      <c r="H2343" s="121"/>
    </row>
    <row r="2344" hidden="1">
      <c r="A2344" s="121"/>
      <c r="B2344" s="121"/>
      <c r="C2344" s="121"/>
      <c r="D2344" s="121"/>
      <c r="E2344" s="133"/>
      <c r="F2344" s="133"/>
      <c r="G2344" s="121"/>
      <c r="H2344" s="121"/>
    </row>
    <row r="2345" hidden="1">
      <c r="A2345" s="121"/>
      <c r="B2345" s="121"/>
      <c r="C2345" s="121"/>
      <c r="D2345" s="121"/>
      <c r="E2345" s="133"/>
      <c r="F2345" s="133"/>
      <c r="G2345" s="121"/>
      <c r="H2345" s="121"/>
    </row>
    <row r="2346" hidden="1">
      <c r="A2346" s="121"/>
      <c r="B2346" s="121"/>
      <c r="C2346" s="121"/>
      <c r="D2346" s="121"/>
      <c r="E2346" s="133"/>
      <c r="F2346" s="133"/>
      <c r="G2346" s="121"/>
      <c r="H2346" s="121"/>
    </row>
    <row r="2347" hidden="1">
      <c r="A2347" s="121"/>
      <c r="B2347" s="121"/>
      <c r="C2347" s="121"/>
      <c r="D2347" s="121"/>
      <c r="E2347" s="133"/>
      <c r="F2347" s="133"/>
      <c r="G2347" s="121"/>
      <c r="H2347" s="121"/>
    </row>
    <row r="2348" hidden="1">
      <c r="A2348" s="121"/>
      <c r="B2348" s="121"/>
      <c r="C2348" s="121"/>
      <c r="D2348" s="121"/>
      <c r="E2348" s="133"/>
      <c r="F2348" s="133"/>
      <c r="G2348" s="121"/>
      <c r="H2348" s="121"/>
    </row>
    <row r="2349" hidden="1">
      <c r="A2349" s="121"/>
      <c r="B2349" s="121"/>
      <c r="C2349" s="121"/>
      <c r="D2349" s="121"/>
      <c r="E2349" s="133"/>
      <c r="F2349" s="133"/>
      <c r="G2349" s="121"/>
      <c r="H2349" s="121"/>
    </row>
    <row r="2350" hidden="1">
      <c r="A2350" s="121"/>
      <c r="B2350" s="121"/>
      <c r="C2350" s="121"/>
      <c r="D2350" s="121"/>
      <c r="E2350" s="133"/>
      <c r="F2350" s="133"/>
      <c r="G2350" s="121"/>
      <c r="H2350" s="121"/>
    </row>
    <row r="2351" hidden="1">
      <c r="A2351" s="121"/>
      <c r="B2351" s="121"/>
      <c r="C2351" s="121"/>
      <c r="D2351" s="121"/>
      <c r="E2351" s="133"/>
      <c r="F2351" s="133"/>
      <c r="G2351" s="121"/>
      <c r="H2351" s="121"/>
    </row>
    <row r="2352" hidden="1">
      <c r="A2352" s="121"/>
      <c r="B2352" s="121"/>
      <c r="C2352" s="121"/>
      <c r="D2352" s="121"/>
      <c r="E2352" s="133"/>
      <c r="F2352" s="133"/>
      <c r="G2352" s="121"/>
      <c r="H2352" s="121"/>
    </row>
    <row r="2353" hidden="1">
      <c r="A2353" s="121"/>
      <c r="B2353" s="121"/>
      <c r="C2353" s="121"/>
      <c r="D2353" s="121"/>
      <c r="E2353" s="133"/>
      <c r="F2353" s="133"/>
      <c r="G2353" s="121"/>
      <c r="H2353" s="121"/>
    </row>
    <row r="2354" hidden="1">
      <c r="A2354" s="121"/>
      <c r="B2354" s="121"/>
      <c r="C2354" s="121"/>
      <c r="D2354" s="121"/>
      <c r="E2354" s="133"/>
      <c r="F2354" s="133"/>
      <c r="G2354" s="121"/>
      <c r="H2354" s="121"/>
    </row>
    <row r="2355" hidden="1">
      <c r="A2355" s="121"/>
      <c r="B2355" s="121"/>
      <c r="C2355" s="121"/>
      <c r="D2355" s="121"/>
      <c r="E2355" s="133"/>
      <c r="F2355" s="133"/>
      <c r="G2355" s="121"/>
      <c r="H2355" s="121"/>
    </row>
    <row r="2356" hidden="1">
      <c r="A2356" s="121"/>
      <c r="B2356" s="121"/>
      <c r="C2356" s="121"/>
      <c r="D2356" s="121"/>
      <c r="E2356" s="133"/>
      <c r="F2356" s="133"/>
      <c r="G2356" s="121"/>
      <c r="H2356" s="121"/>
    </row>
    <row r="2357" hidden="1">
      <c r="A2357" s="121"/>
      <c r="B2357" s="121"/>
      <c r="C2357" s="121"/>
      <c r="D2357" s="121"/>
      <c r="E2357" s="133"/>
      <c r="F2357" s="133"/>
      <c r="G2357" s="121"/>
      <c r="H2357" s="121"/>
    </row>
    <row r="2358" hidden="1">
      <c r="A2358" s="121"/>
      <c r="B2358" s="121"/>
      <c r="C2358" s="121"/>
      <c r="D2358" s="121"/>
      <c r="E2358" s="133"/>
      <c r="F2358" s="133"/>
      <c r="G2358" s="121"/>
      <c r="H2358" s="121"/>
    </row>
    <row r="2359" hidden="1">
      <c r="A2359" s="121"/>
      <c r="B2359" s="121"/>
      <c r="C2359" s="121"/>
      <c r="D2359" s="121"/>
      <c r="E2359" s="133"/>
      <c r="F2359" s="133"/>
      <c r="G2359" s="121"/>
      <c r="H2359" s="121"/>
    </row>
    <row r="2360" hidden="1">
      <c r="A2360" s="121"/>
      <c r="B2360" s="121"/>
      <c r="C2360" s="121"/>
      <c r="D2360" s="121"/>
      <c r="E2360" s="133"/>
      <c r="F2360" s="133"/>
      <c r="G2360" s="121"/>
      <c r="H2360" s="121"/>
    </row>
    <row r="2361" hidden="1">
      <c r="A2361" s="121"/>
      <c r="B2361" s="121"/>
      <c r="C2361" s="121"/>
      <c r="D2361" s="121"/>
      <c r="E2361" s="133"/>
      <c r="F2361" s="133"/>
      <c r="G2361" s="121"/>
      <c r="H2361" s="121"/>
    </row>
    <row r="2362" hidden="1">
      <c r="A2362" s="121"/>
      <c r="B2362" s="121"/>
      <c r="C2362" s="121"/>
      <c r="D2362" s="121"/>
      <c r="E2362" s="133"/>
      <c r="F2362" s="133"/>
      <c r="G2362" s="121"/>
      <c r="H2362" s="121"/>
    </row>
    <row r="2363" hidden="1">
      <c r="A2363" s="121"/>
      <c r="B2363" s="121"/>
      <c r="C2363" s="121"/>
      <c r="D2363" s="121"/>
      <c r="E2363" s="133"/>
      <c r="F2363" s="133"/>
      <c r="G2363" s="121"/>
      <c r="H2363" s="121"/>
    </row>
    <row r="2364" hidden="1">
      <c r="A2364" s="121"/>
      <c r="B2364" s="121"/>
      <c r="C2364" s="121"/>
      <c r="D2364" s="121"/>
      <c r="E2364" s="133"/>
      <c r="F2364" s="133"/>
      <c r="G2364" s="121"/>
      <c r="H2364" s="121"/>
    </row>
    <row r="2365" hidden="1">
      <c r="A2365" s="121"/>
      <c r="B2365" s="121"/>
      <c r="C2365" s="121"/>
      <c r="D2365" s="121"/>
      <c r="E2365" s="133"/>
      <c r="F2365" s="133"/>
      <c r="G2365" s="121"/>
      <c r="H2365" s="121"/>
    </row>
    <row r="2366" hidden="1">
      <c r="A2366" s="121"/>
      <c r="B2366" s="121"/>
      <c r="C2366" s="121"/>
      <c r="D2366" s="121"/>
      <c r="E2366" s="133"/>
      <c r="F2366" s="133"/>
      <c r="G2366" s="121"/>
      <c r="H2366" s="121"/>
    </row>
    <row r="2367" hidden="1">
      <c r="A2367" s="121"/>
      <c r="B2367" s="121"/>
      <c r="C2367" s="121"/>
      <c r="D2367" s="121"/>
      <c r="E2367" s="133"/>
      <c r="F2367" s="133"/>
      <c r="G2367" s="121"/>
      <c r="H2367" s="121"/>
    </row>
    <row r="2368" hidden="1">
      <c r="A2368" s="121"/>
      <c r="B2368" s="121"/>
      <c r="C2368" s="121"/>
      <c r="D2368" s="121"/>
      <c r="E2368" s="133"/>
      <c r="F2368" s="133"/>
      <c r="G2368" s="121"/>
      <c r="H2368" s="121"/>
    </row>
    <row r="2369" hidden="1">
      <c r="A2369" s="121"/>
      <c r="B2369" s="121"/>
      <c r="C2369" s="121"/>
      <c r="D2369" s="121"/>
      <c r="E2369" s="133"/>
      <c r="F2369" s="133"/>
      <c r="G2369" s="121"/>
      <c r="H2369" s="121"/>
    </row>
    <row r="2370" hidden="1">
      <c r="A2370" s="121"/>
      <c r="B2370" s="121"/>
      <c r="C2370" s="121"/>
      <c r="D2370" s="121"/>
      <c r="E2370" s="133"/>
      <c r="F2370" s="133"/>
      <c r="G2370" s="121"/>
      <c r="H2370" s="121"/>
    </row>
    <row r="2371" hidden="1">
      <c r="A2371" s="121"/>
      <c r="B2371" s="121"/>
      <c r="C2371" s="121"/>
      <c r="D2371" s="121"/>
      <c r="E2371" s="133"/>
      <c r="F2371" s="133"/>
      <c r="G2371" s="121"/>
      <c r="H2371" s="121"/>
    </row>
    <row r="2372" hidden="1">
      <c r="A2372" s="121"/>
      <c r="B2372" s="121"/>
      <c r="C2372" s="121"/>
      <c r="D2372" s="121"/>
      <c r="E2372" s="133"/>
      <c r="F2372" s="133"/>
      <c r="G2372" s="121"/>
      <c r="H2372" s="121"/>
    </row>
    <row r="2373" hidden="1">
      <c r="A2373" s="121"/>
      <c r="B2373" s="121"/>
      <c r="C2373" s="121"/>
      <c r="D2373" s="121"/>
      <c r="E2373" s="133"/>
      <c r="F2373" s="133"/>
      <c r="G2373" s="121"/>
      <c r="H2373" s="121"/>
    </row>
    <row r="2374" hidden="1">
      <c r="A2374" s="121"/>
      <c r="B2374" s="121"/>
      <c r="C2374" s="121"/>
      <c r="D2374" s="121"/>
      <c r="E2374" s="133"/>
      <c r="F2374" s="133"/>
      <c r="G2374" s="121"/>
      <c r="H2374" s="121"/>
    </row>
    <row r="2375" hidden="1">
      <c r="A2375" s="121"/>
      <c r="B2375" s="121"/>
      <c r="C2375" s="121"/>
      <c r="D2375" s="121"/>
      <c r="E2375" s="133"/>
      <c r="F2375" s="133"/>
      <c r="G2375" s="121"/>
      <c r="H2375" s="121"/>
    </row>
    <row r="2376" hidden="1">
      <c r="A2376" s="121"/>
      <c r="B2376" s="121"/>
      <c r="C2376" s="121"/>
      <c r="D2376" s="121"/>
      <c r="E2376" s="133"/>
      <c r="F2376" s="133"/>
      <c r="G2376" s="121"/>
      <c r="H2376" s="121"/>
    </row>
    <row r="2377" hidden="1">
      <c r="A2377" s="121"/>
      <c r="B2377" s="121"/>
      <c r="C2377" s="121"/>
      <c r="D2377" s="121"/>
      <c r="E2377" s="133"/>
      <c r="F2377" s="133"/>
      <c r="G2377" s="121"/>
      <c r="H2377" s="121"/>
    </row>
    <row r="2378" hidden="1">
      <c r="A2378" s="121"/>
      <c r="B2378" s="121"/>
      <c r="C2378" s="121"/>
      <c r="D2378" s="121"/>
      <c r="E2378" s="133"/>
      <c r="F2378" s="133"/>
      <c r="G2378" s="121"/>
      <c r="H2378" s="121"/>
    </row>
    <row r="2379" hidden="1">
      <c r="A2379" s="121"/>
      <c r="B2379" s="121"/>
      <c r="C2379" s="121"/>
      <c r="D2379" s="121"/>
      <c r="E2379" s="133"/>
      <c r="F2379" s="133"/>
      <c r="G2379" s="121"/>
      <c r="H2379" s="121"/>
    </row>
    <row r="2380" hidden="1">
      <c r="A2380" s="121"/>
      <c r="B2380" s="121"/>
      <c r="C2380" s="121"/>
      <c r="D2380" s="121"/>
      <c r="E2380" s="133"/>
      <c r="F2380" s="133"/>
      <c r="G2380" s="121"/>
      <c r="H2380" s="121"/>
    </row>
    <row r="2381" hidden="1">
      <c r="A2381" s="121"/>
      <c r="B2381" s="121"/>
      <c r="C2381" s="121"/>
      <c r="D2381" s="121"/>
      <c r="E2381" s="133"/>
      <c r="F2381" s="133"/>
      <c r="G2381" s="121"/>
      <c r="H2381" s="121"/>
    </row>
    <row r="2382" hidden="1">
      <c r="A2382" s="121"/>
      <c r="B2382" s="121"/>
      <c r="C2382" s="121"/>
      <c r="D2382" s="121"/>
      <c r="E2382" s="133"/>
      <c r="F2382" s="133"/>
      <c r="G2382" s="121"/>
      <c r="H2382" s="121"/>
    </row>
    <row r="2383" hidden="1">
      <c r="A2383" s="121"/>
      <c r="B2383" s="121"/>
      <c r="C2383" s="121"/>
      <c r="D2383" s="121"/>
      <c r="E2383" s="133"/>
      <c r="F2383" s="133"/>
      <c r="G2383" s="121"/>
      <c r="H2383" s="121"/>
    </row>
    <row r="2384" hidden="1">
      <c r="A2384" s="121"/>
      <c r="B2384" s="121"/>
      <c r="C2384" s="121"/>
      <c r="D2384" s="121"/>
      <c r="E2384" s="133"/>
      <c r="F2384" s="133"/>
      <c r="G2384" s="121"/>
      <c r="H2384" s="121"/>
    </row>
    <row r="2385" hidden="1">
      <c r="A2385" s="121"/>
      <c r="B2385" s="121"/>
      <c r="C2385" s="121"/>
      <c r="D2385" s="121"/>
      <c r="E2385" s="133"/>
      <c r="F2385" s="133"/>
      <c r="G2385" s="121"/>
      <c r="H2385" s="121"/>
    </row>
    <row r="2386" hidden="1">
      <c r="A2386" s="121"/>
      <c r="B2386" s="121"/>
      <c r="C2386" s="121"/>
      <c r="D2386" s="121"/>
      <c r="E2386" s="133"/>
      <c r="F2386" s="133"/>
      <c r="G2386" s="121"/>
      <c r="H2386" s="121"/>
    </row>
    <row r="2387" hidden="1">
      <c r="A2387" s="121"/>
      <c r="B2387" s="121"/>
      <c r="C2387" s="121"/>
      <c r="D2387" s="121"/>
      <c r="E2387" s="133"/>
      <c r="F2387" s="133"/>
      <c r="G2387" s="121"/>
      <c r="H2387" s="121"/>
    </row>
    <row r="2388" hidden="1">
      <c r="A2388" s="121"/>
      <c r="B2388" s="121"/>
      <c r="C2388" s="121"/>
      <c r="D2388" s="121"/>
      <c r="E2388" s="133"/>
      <c r="F2388" s="133"/>
      <c r="G2388" s="121"/>
      <c r="H2388" s="121"/>
    </row>
    <row r="2389" hidden="1">
      <c r="A2389" s="121"/>
      <c r="B2389" s="121"/>
      <c r="C2389" s="121"/>
      <c r="D2389" s="121"/>
      <c r="E2389" s="133"/>
      <c r="F2389" s="133"/>
      <c r="G2389" s="121"/>
      <c r="H2389" s="121"/>
    </row>
    <row r="2390" hidden="1">
      <c r="A2390" s="121"/>
      <c r="B2390" s="121"/>
      <c r="C2390" s="121"/>
      <c r="D2390" s="121"/>
      <c r="E2390" s="133"/>
      <c r="F2390" s="133"/>
      <c r="G2390" s="121"/>
      <c r="H2390" s="121"/>
    </row>
    <row r="2391" hidden="1">
      <c r="A2391" s="121"/>
      <c r="B2391" s="121"/>
      <c r="C2391" s="121"/>
      <c r="D2391" s="121"/>
      <c r="E2391" s="133"/>
      <c r="F2391" s="133"/>
      <c r="G2391" s="121"/>
      <c r="H2391" s="121"/>
    </row>
    <row r="2392" hidden="1">
      <c r="A2392" s="121"/>
      <c r="B2392" s="121"/>
      <c r="C2392" s="121"/>
      <c r="D2392" s="121"/>
      <c r="E2392" s="133"/>
      <c r="F2392" s="133"/>
      <c r="G2392" s="121"/>
      <c r="H2392" s="121"/>
    </row>
    <row r="2393" hidden="1">
      <c r="A2393" s="121"/>
      <c r="B2393" s="121"/>
      <c r="C2393" s="121"/>
      <c r="D2393" s="121"/>
      <c r="E2393" s="133"/>
      <c r="F2393" s="133"/>
      <c r="G2393" s="121"/>
      <c r="H2393" s="121"/>
    </row>
    <row r="2394" hidden="1">
      <c r="A2394" s="121"/>
      <c r="B2394" s="121"/>
      <c r="C2394" s="121"/>
      <c r="D2394" s="121"/>
      <c r="E2394" s="133"/>
      <c r="F2394" s="133"/>
      <c r="G2394" s="121"/>
      <c r="H2394" s="121"/>
    </row>
    <row r="2395" hidden="1">
      <c r="A2395" s="121"/>
      <c r="B2395" s="121"/>
      <c r="C2395" s="121"/>
      <c r="D2395" s="121"/>
      <c r="E2395" s="133"/>
      <c r="F2395" s="133"/>
      <c r="G2395" s="121"/>
      <c r="H2395" s="121"/>
    </row>
    <row r="2396" hidden="1">
      <c r="A2396" s="121"/>
      <c r="B2396" s="121"/>
      <c r="C2396" s="121"/>
      <c r="D2396" s="121"/>
      <c r="E2396" s="133"/>
      <c r="F2396" s="133"/>
      <c r="G2396" s="121"/>
      <c r="H2396" s="121"/>
    </row>
    <row r="2397" hidden="1">
      <c r="A2397" s="121"/>
      <c r="B2397" s="121"/>
      <c r="C2397" s="121"/>
      <c r="D2397" s="121"/>
      <c r="E2397" s="133"/>
      <c r="F2397" s="133"/>
      <c r="G2397" s="121"/>
      <c r="H2397" s="121"/>
    </row>
    <row r="2398" hidden="1">
      <c r="A2398" s="121"/>
      <c r="B2398" s="121"/>
      <c r="C2398" s="121"/>
      <c r="D2398" s="121"/>
      <c r="E2398" s="133"/>
      <c r="F2398" s="133"/>
      <c r="G2398" s="121"/>
      <c r="H2398" s="121"/>
    </row>
    <row r="2399" hidden="1">
      <c r="A2399" s="121"/>
      <c r="B2399" s="121"/>
      <c r="C2399" s="121"/>
      <c r="D2399" s="121"/>
      <c r="E2399" s="133"/>
      <c r="F2399" s="133"/>
      <c r="G2399" s="121"/>
      <c r="H2399" s="121"/>
    </row>
    <row r="2400" hidden="1">
      <c r="A2400" s="121"/>
      <c r="B2400" s="121"/>
      <c r="C2400" s="121"/>
      <c r="D2400" s="121"/>
      <c r="E2400" s="133"/>
      <c r="F2400" s="133"/>
      <c r="G2400" s="121"/>
      <c r="H2400" s="121"/>
    </row>
    <row r="2401" hidden="1">
      <c r="A2401" s="121"/>
      <c r="B2401" s="121"/>
      <c r="C2401" s="121"/>
      <c r="D2401" s="121"/>
      <c r="E2401" s="133"/>
      <c r="F2401" s="133"/>
      <c r="G2401" s="121"/>
      <c r="H2401" s="121"/>
    </row>
    <row r="2402" hidden="1">
      <c r="A2402" s="121"/>
      <c r="B2402" s="121"/>
      <c r="C2402" s="121"/>
      <c r="D2402" s="121"/>
      <c r="E2402" s="133"/>
      <c r="F2402" s="133"/>
      <c r="G2402" s="121"/>
      <c r="H2402" s="121"/>
    </row>
    <row r="2403" hidden="1">
      <c r="A2403" s="121"/>
      <c r="B2403" s="121"/>
      <c r="C2403" s="121"/>
      <c r="D2403" s="121"/>
      <c r="E2403" s="133"/>
      <c r="F2403" s="133"/>
      <c r="G2403" s="121"/>
      <c r="H2403" s="121"/>
    </row>
    <row r="2404" hidden="1">
      <c r="A2404" s="121"/>
      <c r="B2404" s="121"/>
      <c r="C2404" s="121"/>
      <c r="D2404" s="121"/>
      <c r="E2404" s="133"/>
      <c r="F2404" s="133"/>
      <c r="G2404" s="121"/>
      <c r="H2404" s="121"/>
    </row>
    <row r="2405" hidden="1">
      <c r="A2405" s="121"/>
      <c r="B2405" s="121"/>
      <c r="C2405" s="121"/>
      <c r="D2405" s="121"/>
      <c r="E2405" s="133"/>
      <c r="F2405" s="133"/>
      <c r="G2405" s="121"/>
      <c r="H2405" s="121"/>
    </row>
    <row r="2406" hidden="1">
      <c r="A2406" s="121"/>
      <c r="B2406" s="121"/>
      <c r="C2406" s="121"/>
      <c r="D2406" s="121"/>
      <c r="E2406" s="133"/>
      <c r="F2406" s="133"/>
      <c r="G2406" s="121"/>
      <c r="H2406" s="121"/>
    </row>
    <row r="2407" hidden="1">
      <c r="A2407" s="121"/>
      <c r="B2407" s="121"/>
      <c r="C2407" s="121"/>
      <c r="D2407" s="121"/>
      <c r="E2407" s="133"/>
      <c r="F2407" s="133"/>
      <c r="G2407" s="121"/>
      <c r="H2407" s="121"/>
    </row>
    <row r="2408" hidden="1">
      <c r="A2408" s="121"/>
      <c r="B2408" s="121"/>
      <c r="C2408" s="121"/>
      <c r="D2408" s="121"/>
      <c r="E2408" s="133"/>
      <c r="F2408" s="133"/>
      <c r="G2408" s="121"/>
      <c r="H2408" s="121"/>
    </row>
    <row r="2409" hidden="1">
      <c r="A2409" s="121"/>
      <c r="B2409" s="121"/>
      <c r="C2409" s="121"/>
      <c r="D2409" s="121"/>
      <c r="E2409" s="133"/>
      <c r="F2409" s="133"/>
      <c r="G2409" s="121"/>
      <c r="H2409" s="121"/>
    </row>
    <row r="2410" hidden="1">
      <c r="A2410" s="121"/>
      <c r="B2410" s="121"/>
      <c r="C2410" s="121"/>
      <c r="D2410" s="121"/>
      <c r="E2410" s="133"/>
      <c r="F2410" s="133"/>
      <c r="G2410" s="121"/>
      <c r="H2410" s="121"/>
    </row>
    <row r="2411" hidden="1">
      <c r="A2411" s="121"/>
      <c r="B2411" s="121"/>
      <c r="C2411" s="121"/>
      <c r="D2411" s="121"/>
      <c r="E2411" s="133"/>
      <c r="F2411" s="133"/>
      <c r="G2411" s="121"/>
      <c r="H2411" s="121"/>
    </row>
    <row r="2412" hidden="1">
      <c r="A2412" s="121"/>
      <c r="B2412" s="121"/>
      <c r="C2412" s="121"/>
      <c r="D2412" s="121"/>
      <c r="E2412" s="133"/>
      <c r="F2412" s="133"/>
      <c r="G2412" s="121"/>
      <c r="H2412" s="121"/>
    </row>
    <row r="2413" hidden="1">
      <c r="A2413" s="121"/>
      <c r="B2413" s="121"/>
      <c r="C2413" s="121"/>
      <c r="D2413" s="121"/>
      <c r="E2413" s="133"/>
      <c r="F2413" s="133"/>
      <c r="G2413" s="121"/>
      <c r="H2413" s="121"/>
    </row>
    <row r="2414" hidden="1">
      <c r="A2414" s="121"/>
      <c r="B2414" s="121"/>
      <c r="C2414" s="121"/>
      <c r="D2414" s="121"/>
      <c r="E2414" s="133"/>
      <c r="F2414" s="133"/>
      <c r="G2414" s="121"/>
      <c r="H2414" s="121"/>
    </row>
    <row r="2415" hidden="1">
      <c r="A2415" s="121"/>
      <c r="B2415" s="121"/>
      <c r="C2415" s="121"/>
      <c r="D2415" s="121"/>
      <c r="E2415" s="133"/>
      <c r="F2415" s="133"/>
      <c r="G2415" s="121"/>
      <c r="H2415" s="121"/>
    </row>
    <row r="2416" hidden="1">
      <c r="A2416" s="121"/>
      <c r="B2416" s="121"/>
      <c r="C2416" s="121"/>
      <c r="D2416" s="121"/>
      <c r="E2416" s="133"/>
      <c r="F2416" s="133"/>
      <c r="G2416" s="121"/>
      <c r="H2416" s="121"/>
    </row>
    <row r="2417" hidden="1">
      <c r="A2417" s="121"/>
      <c r="B2417" s="121"/>
      <c r="C2417" s="121"/>
      <c r="D2417" s="121"/>
      <c r="E2417" s="133"/>
      <c r="F2417" s="133"/>
      <c r="G2417" s="121"/>
      <c r="H2417" s="121"/>
    </row>
    <row r="2418" hidden="1">
      <c r="A2418" s="121"/>
      <c r="B2418" s="121"/>
      <c r="C2418" s="121"/>
      <c r="D2418" s="121"/>
      <c r="E2418" s="133"/>
      <c r="F2418" s="133"/>
      <c r="G2418" s="121"/>
      <c r="H2418" s="121"/>
    </row>
    <row r="2419" hidden="1">
      <c r="A2419" s="121"/>
      <c r="B2419" s="121"/>
      <c r="C2419" s="121"/>
      <c r="D2419" s="121"/>
      <c r="E2419" s="133"/>
      <c r="F2419" s="133"/>
      <c r="G2419" s="121"/>
      <c r="H2419" s="121"/>
    </row>
    <row r="2420" hidden="1">
      <c r="A2420" s="121"/>
      <c r="B2420" s="121"/>
      <c r="C2420" s="121"/>
      <c r="D2420" s="121"/>
      <c r="E2420" s="133"/>
      <c r="F2420" s="133"/>
      <c r="G2420" s="121"/>
      <c r="H2420" s="121"/>
    </row>
    <row r="2421" hidden="1">
      <c r="A2421" s="121"/>
      <c r="B2421" s="121"/>
      <c r="C2421" s="121"/>
      <c r="D2421" s="121"/>
      <c r="E2421" s="133"/>
      <c r="F2421" s="133"/>
      <c r="G2421" s="121"/>
      <c r="H2421" s="121"/>
    </row>
    <row r="2422" hidden="1">
      <c r="A2422" s="121"/>
      <c r="B2422" s="121"/>
      <c r="C2422" s="121"/>
      <c r="D2422" s="121"/>
      <c r="E2422" s="133"/>
      <c r="F2422" s="133"/>
      <c r="G2422" s="121"/>
      <c r="H2422" s="121"/>
    </row>
    <row r="2423" hidden="1">
      <c r="A2423" s="121"/>
      <c r="B2423" s="121"/>
      <c r="C2423" s="121"/>
      <c r="D2423" s="121"/>
      <c r="E2423" s="133"/>
      <c r="F2423" s="133"/>
      <c r="G2423" s="121"/>
      <c r="H2423" s="121"/>
    </row>
    <row r="2424" hidden="1">
      <c r="A2424" s="121"/>
      <c r="B2424" s="121"/>
      <c r="C2424" s="121"/>
      <c r="D2424" s="121"/>
      <c r="E2424" s="133"/>
      <c r="F2424" s="133"/>
      <c r="G2424" s="121"/>
      <c r="H2424" s="121"/>
    </row>
    <row r="2425" hidden="1">
      <c r="A2425" s="121"/>
      <c r="B2425" s="121"/>
      <c r="C2425" s="121"/>
      <c r="D2425" s="121"/>
      <c r="E2425" s="133"/>
      <c r="F2425" s="133"/>
      <c r="G2425" s="121"/>
      <c r="H2425" s="121"/>
    </row>
    <row r="2426" hidden="1">
      <c r="A2426" s="121"/>
      <c r="B2426" s="121"/>
      <c r="C2426" s="121"/>
      <c r="D2426" s="121"/>
      <c r="E2426" s="133"/>
      <c r="F2426" s="133"/>
      <c r="G2426" s="121"/>
      <c r="H2426" s="121"/>
    </row>
    <row r="2427" hidden="1">
      <c r="A2427" s="121"/>
      <c r="B2427" s="121"/>
      <c r="C2427" s="121"/>
      <c r="D2427" s="121"/>
      <c r="E2427" s="133"/>
      <c r="F2427" s="133"/>
      <c r="G2427" s="121"/>
      <c r="H2427" s="121"/>
    </row>
    <row r="2428" hidden="1">
      <c r="A2428" s="121"/>
      <c r="B2428" s="121"/>
      <c r="C2428" s="121"/>
      <c r="D2428" s="121"/>
      <c r="E2428" s="133"/>
      <c r="F2428" s="133"/>
      <c r="G2428" s="121"/>
      <c r="H2428" s="121"/>
    </row>
    <row r="2429" hidden="1">
      <c r="A2429" s="121"/>
      <c r="B2429" s="121"/>
      <c r="C2429" s="121"/>
      <c r="D2429" s="121"/>
      <c r="E2429" s="133"/>
      <c r="F2429" s="133"/>
      <c r="G2429" s="121"/>
      <c r="H2429" s="121"/>
    </row>
    <row r="2430" hidden="1">
      <c r="A2430" s="121"/>
      <c r="B2430" s="121"/>
      <c r="C2430" s="121"/>
      <c r="D2430" s="121"/>
      <c r="E2430" s="133"/>
      <c r="F2430" s="133"/>
      <c r="G2430" s="121"/>
      <c r="H2430" s="121"/>
    </row>
    <row r="2431" hidden="1">
      <c r="A2431" s="121"/>
      <c r="B2431" s="121"/>
      <c r="C2431" s="121"/>
      <c r="D2431" s="121"/>
      <c r="E2431" s="133"/>
      <c r="F2431" s="133"/>
      <c r="G2431" s="121"/>
      <c r="H2431" s="121"/>
    </row>
    <row r="2432" hidden="1">
      <c r="A2432" s="121"/>
      <c r="B2432" s="121"/>
      <c r="C2432" s="121"/>
      <c r="D2432" s="121"/>
      <c r="E2432" s="133"/>
      <c r="F2432" s="133"/>
      <c r="G2432" s="121"/>
      <c r="H2432" s="121"/>
    </row>
    <row r="2433" hidden="1">
      <c r="A2433" s="121"/>
      <c r="B2433" s="121"/>
      <c r="C2433" s="121"/>
      <c r="D2433" s="121"/>
      <c r="E2433" s="133"/>
      <c r="F2433" s="133"/>
      <c r="G2433" s="121"/>
      <c r="H2433" s="121"/>
    </row>
    <row r="2434" hidden="1">
      <c r="A2434" s="121"/>
      <c r="B2434" s="121"/>
      <c r="C2434" s="121"/>
      <c r="D2434" s="121"/>
      <c r="E2434" s="133"/>
      <c r="F2434" s="133"/>
      <c r="G2434" s="121"/>
      <c r="H2434" s="121"/>
    </row>
    <row r="2435" hidden="1">
      <c r="A2435" s="121"/>
      <c r="B2435" s="121"/>
      <c r="C2435" s="121"/>
      <c r="D2435" s="121"/>
      <c r="E2435" s="133"/>
      <c r="F2435" s="133"/>
      <c r="G2435" s="121"/>
      <c r="H2435" s="121"/>
    </row>
    <row r="2436" hidden="1">
      <c r="A2436" s="121"/>
      <c r="B2436" s="121"/>
      <c r="C2436" s="121"/>
      <c r="D2436" s="121"/>
      <c r="E2436" s="133"/>
      <c r="F2436" s="133"/>
      <c r="G2436" s="121"/>
      <c r="H2436" s="121"/>
    </row>
    <row r="2437" hidden="1">
      <c r="A2437" s="121"/>
      <c r="B2437" s="121"/>
      <c r="C2437" s="121"/>
      <c r="D2437" s="121"/>
      <c r="E2437" s="133"/>
      <c r="F2437" s="133"/>
      <c r="G2437" s="121"/>
      <c r="H2437" s="121"/>
    </row>
    <row r="2438" hidden="1">
      <c r="A2438" s="121"/>
      <c r="B2438" s="121"/>
      <c r="C2438" s="121"/>
      <c r="D2438" s="121"/>
      <c r="E2438" s="133"/>
      <c r="F2438" s="133"/>
      <c r="G2438" s="121"/>
      <c r="H2438" s="121"/>
    </row>
    <row r="2439" hidden="1">
      <c r="A2439" s="121"/>
      <c r="B2439" s="121"/>
      <c r="C2439" s="121"/>
      <c r="D2439" s="121"/>
      <c r="E2439" s="133"/>
      <c r="F2439" s="133"/>
      <c r="G2439" s="121"/>
      <c r="H2439" s="121"/>
    </row>
    <row r="2440" hidden="1">
      <c r="A2440" s="121"/>
      <c r="B2440" s="121"/>
      <c r="C2440" s="121"/>
      <c r="D2440" s="121"/>
      <c r="E2440" s="133"/>
      <c r="F2440" s="133"/>
      <c r="G2440" s="121"/>
      <c r="H2440" s="121"/>
    </row>
    <row r="2441" hidden="1">
      <c r="A2441" s="121"/>
      <c r="B2441" s="121"/>
      <c r="C2441" s="121"/>
      <c r="D2441" s="121"/>
      <c r="E2441" s="133"/>
      <c r="F2441" s="133"/>
      <c r="G2441" s="121"/>
      <c r="H2441" s="121"/>
    </row>
    <row r="2442" hidden="1">
      <c r="A2442" s="121"/>
      <c r="B2442" s="121"/>
      <c r="C2442" s="121"/>
      <c r="D2442" s="121"/>
      <c r="E2442" s="133"/>
      <c r="F2442" s="133"/>
      <c r="G2442" s="121"/>
      <c r="H2442" s="121"/>
    </row>
    <row r="2443" hidden="1">
      <c r="A2443" s="121"/>
      <c r="B2443" s="121"/>
      <c r="C2443" s="121"/>
      <c r="D2443" s="121"/>
      <c r="E2443" s="133"/>
      <c r="F2443" s="133"/>
      <c r="G2443" s="121"/>
      <c r="H2443" s="121"/>
    </row>
    <row r="2444" hidden="1">
      <c r="A2444" s="121"/>
      <c r="B2444" s="121"/>
      <c r="C2444" s="121"/>
      <c r="D2444" s="121"/>
      <c r="E2444" s="133"/>
      <c r="F2444" s="133"/>
      <c r="G2444" s="121"/>
      <c r="H2444" s="121"/>
    </row>
    <row r="2445" hidden="1">
      <c r="A2445" s="121"/>
      <c r="B2445" s="121"/>
      <c r="C2445" s="121"/>
      <c r="D2445" s="121"/>
      <c r="E2445" s="133"/>
      <c r="F2445" s="133"/>
      <c r="G2445" s="121"/>
      <c r="H2445" s="121"/>
    </row>
    <row r="2446" hidden="1">
      <c r="A2446" s="121"/>
      <c r="B2446" s="121"/>
      <c r="C2446" s="121"/>
      <c r="D2446" s="121"/>
      <c r="E2446" s="133"/>
      <c r="F2446" s="133"/>
      <c r="G2446" s="121"/>
      <c r="H2446" s="121"/>
    </row>
    <row r="2447" hidden="1">
      <c r="A2447" s="121"/>
      <c r="B2447" s="121"/>
      <c r="C2447" s="121"/>
      <c r="D2447" s="121"/>
      <c r="E2447" s="133"/>
      <c r="F2447" s="133"/>
      <c r="G2447" s="121"/>
      <c r="H2447" s="121"/>
    </row>
    <row r="2448" hidden="1">
      <c r="A2448" s="121"/>
      <c r="B2448" s="121"/>
      <c r="C2448" s="121"/>
      <c r="D2448" s="121"/>
      <c r="E2448" s="133"/>
      <c r="F2448" s="133"/>
      <c r="G2448" s="121"/>
      <c r="H2448" s="121"/>
    </row>
    <row r="2449" hidden="1">
      <c r="A2449" s="121"/>
      <c r="B2449" s="121"/>
      <c r="C2449" s="121"/>
      <c r="D2449" s="121"/>
      <c r="E2449" s="133"/>
      <c r="F2449" s="133"/>
      <c r="G2449" s="121"/>
      <c r="H2449" s="121"/>
    </row>
    <row r="2450" hidden="1">
      <c r="A2450" s="121"/>
      <c r="B2450" s="121"/>
      <c r="C2450" s="121"/>
      <c r="D2450" s="121"/>
      <c r="E2450" s="133"/>
      <c r="F2450" s="133"/>
      <c r="G2450" s="121"/>
      <c r="H2450" s="121"/>
    </row>
    <row r="2451" hidden="1">
      <c r="A2451" s="121"/>
      <c r="B2451" s="121"/>
      <c r="C2451" s="121"/>
      <c r="D2451" s="121"/>
      <c r="E2451" s="133"/>
      <c r="F2451" s="133"/>
      <c r="G2451" s="121"/>
      <c r="H2451" s="121"/>
    </row>
    <row r="2452" hidden="1">
      <c r="A2452" s="121"/>
      <c r="B2452" s="121"/>
      <c r="C2452" s="121"/>
      <c r="D2452" s="121"/>
      <c r="E2452" s="133"/>
      <c r="F2452" s="133"/>
      <c r="G2452" s="121"/>
      <c r="H2452" s="121"/>
    </row>
    <row r="2453" hidden="1">
      <c r="A2453" s="121"/>
      <c r="B2453" s="121"/>
      <c r="C2453" s="121"/>
      <c r="D2453" s="121"/>
      <c r="E2453" s="133"/>
      <c r="F2453" s="133"/>
      <c r="G2453" s="121"/>
      <c r="H2453" s="121"/>
    </row>
    <row r="2454" hidden="1">
      <c r="A2454" s="121"/>
      <c r="B2454" s="121"/>
      <c r="C2454" s="121"/>
      <c r="D2454" s="121"/>
      <c r="E2454" s="133"/>
      <c r="F2454" s="133"/>
      <c r="G2454" s="121"/>
      <c r="H2454" s="121"/>
    </row>
    <row r="2455" hidden="1">
      <c r="A2455" s="121"/>
      <c r="B2455" s="121"/>
      <c r="C2455" s="121"/>
      <c r="D2455" s="121"/>
      <c r="E2455" s="133"/>
      <c r="F2455" s="133"/>
      <c r="G2455" s="121"/>
      <c r="H2455" s="121"/>
    </row>
    <row r="2456" hidden="1">
      <c r="A2456" s="121"/>
      <c r="B2456" s="121"/>
      <c r="C2456" s="121"/>
      <c r="D2456" s="121"/>
      <c r="E2456" s="133"/>
      <c r="F2456" s="133"/>
      <c r="G2456" s="121"/>
      <c r="H2456" s="121"/>
    </row>
    <row r="2457" hidden="1">
      <c r="A2457" s="121"/>
      <c r="B2457" s="121"/>
      <c r="C2457" s="121"/>
      <c r="D2457" s="121"/>
      <c r="E2457" s="133"/>
      <c r="F2457" s="133"/>
      <c r="G2457" s="121"/>
      <c r="H2457" s="121"/>
    </row>
    <row r="2458" hidden="1">
      <c r="A2458" s="121"/>
      <c r="B2458" s="121"/>
      <c r="C2458" s="121"/>
      <c r="D2458" s="121"/>
      <c r="E2458" s="133"/>
      <c r="F2458" s="133"/>
      <c r="G2458" s="121"/>
      <c r="H2458" s="121"/>
    </row>
    <row r="2459" hidden="1">
      <c r="A2459" s="121"/>
      <c r="B2459" s="121"/>
      <c r="C2459" s="121"/>
      <c r="D2459" s="121"/>
      <c r="E2459" s="133"/>
      <c r="F2459" s="133"/>
      <c r="G2459" s="121"/>
      <c r="H2459" s="121"/>
    </row>
    <row r="2460" hidden="1">
      <c r="A2460" s="121"/>
      <c r="B2460" s="121"/>
      <c r="C2460" s="121"/>
      <c r="D2460" s="121"/>
      <c r="E2460" s="133"/>
      <c r="F2460" s="133"/>
      <c r="G2460" s="121"/>
      <c r="H2460" s="121"/>
    </row>
    <row r="2461" hidden="1">
      <c r="A2461" s="121"/>
      <c r="B2461" s="121"/>
      <c r="C2461" s="121"/>
      <c r="D2461" s="121"/>
      <c r="E2461" s="133"/>
      <c r="F2461" s="133"/>
      <c r="G2461" s="121"/>
      <c r="H2461" s="121"/>
    </row>
    <row r="2462" hidden="1">
      <c r="A2462" s="121"/>
      <c r="B2462" s="121"/>
      <c r="C2462" s="121"/>
      <c r="D2462" s="121"/>
      <c r="E2462" s="133"/>
      <c r="F2462" s="133"/>
      <c r="G2462" s="121"/>
      <c r="H2462" s="121"/>
    </row>
    <row r="2463" hidden="1">
      <c r="A2463" s="121"/>
      <c r="B2463" s="121"/>
      <c r="C2463" s="121"/>
      <c r="D2463" s="121"/>
      <c r="E2463" s="133"/>
      <c r="F2463" s="133"/>
      <c r="G2463" s="121"/>
      <c r="H2463" s="121"/>
    </row>
    <row r="2464" hidden="1">
      <c r="A2464" s="121"/>
      <c r="B2464" s="121"/>
      <c r="C2464" s="121"/>
      <c r="D2464" s="121"/>
      <c r="E2464" s="133"/>
      <c r="F2464" s="133"/>
      <c r="G2464" s="121"/>
      <c r="H2464" s="121"/>
    </row>
    <row r="2465" hidden="1">
      <c r="A2465" s="121"/>
      <c r="B2465" s="121"/>
      <c r="C2465" s="121"/>
      <c r="D2465" s="121"/>
      <c r="E2465" s="133"/>
      <c r="F2465" s="133"/>
      <c r="G2465" s="121"/>
      <c r="H2465" s="121"/>
    </row>
    <row r="2466" hidden="1">
      <c r="A2466" s="121"/>
      <c r="B2466" s="121"/>
      <c r="C2466" s="121"/>
      <c r="D2466" s="121"/>
      <c r="E2466" s="133"/>
      <c r="F2466" s="133"/>
      <c r="G2466" s="121"/>
      <c r="H2466" s="121"/>
    </row>
    <row r="2467" hidden="1">
      <c r="A2467" s="121"/>
      <c r="B2467" s="121"/>
      <c r="C2467" s="121"/>
      <c r="D2467" s="121"/>
      <c r="E2467" s="133"/>
      <c r="F2467" s="133"/>
      <c r="G2467" s="121"/>
      <c r="H2467" s="121"/>
    </row>
    <row r="2468" hidden="1">
      <c r="A2468" s="121"/>
      <c r="B2468" s="121"/>
      <c r="C2468" s="121"/>
      <c r="D2468" s="121"/>
      <c r="E2468" s="133"/>
      <c r="F2468" s="133"/>
      <c r="G2468" s="121"/>
      <c r="H2468" s="121"/>
    </row>
    <row r="2469" hidden="1">
      <c r="A2469" s="121"/>
      <c r="B2469" s="121"/>
      <c r="C2469" s="121"/>
      <c r="D2469" s="121"/>
      <c r="E2469" s="133"/>
      <c r="F2469" s="133"/>
      <c r="G2469" s="121"/>
      <c r="H2469" s="121"/>
    </row>
    <row r="2470" hidden="1">
      <c r="A2470" s="121"/>
      <c r="B2470" s="121"/>
      <c r="C2470" s="121"/>
      <c r="D2470" s="121"/>
      <c r="E2470" s="133"/>
      <c r="F2470" s="133"/>
      <c r="G2470" s="121"/>
      <c r="H2470" s="121"/>
    </row>
    <row r="2471" hidden="1">
      <c r="A2471" s="121"/>
      <c r="B2471" s="121"/>
      <c r="C2471" s="121"/>
      <c r="D2471" s="121"/>
      <c r="E2471" s="133"/>
      <c r="F2471" s="133"/>
      <c r="G2471" s="121"/>
      <c r="H2471" s="121"/>
    </row>
    <row r="2472" hidden="1">
      <c r="A2472" s="121"/>
      <c r="B2472" s="121"/>
      <c r="C2472" s="121"/>
      <c r="D2472" s="121"/>
      <c r="E2472" s="133"/>
      <c r="F2472" s="133"/>
      <c r="G2472" s="121"/>
      <c r="H2472" s="121"/>
    </row>
    <row r="2473" hidden="1">
      <c r="A2473" s="121"/>
      <c r="B2473" s="121"/>
      <c r="C2473" s="121"/>
      <c r="D2473" s="121"/>
      <c r="E2473" s="133"/>
      <c r="F2473" s="133"/>
      <c r="G2473" s="121"/>
      <c r="H2473" s="121"/>
    </row>
    <row r="2474" hidden="1">
      <c r="A2474" s="121"/>
      <c r="B2474" s="121"/>
      <c r="C2474" s="121"/>
      <c r="D2474" s="121"/>
      <c r="E2474" s="133"/>
      <c r="F2474" s="133"/>
      <c r="G2474" s="121"/>
      <c r="H2474" s="121"/>
    </row>
    <row r="2475" hidden="1">
      <c r="A2475" s="121"/>
      <c r="B2475" s="121"/>
      <c r="C2475" s="121"/>
      <c r="D2475" s="121"/>
      <c r="E2475" s="133"/>
      <c r="F2475" s="133"/>
      <c r="G2475" s="121"/>
      <c r="H2475" s="121"/>
    </row>
    <row r="2476" hidden="1">
      <c r="A2476" s="121"/>
      <c r="B2476" s="121"/>
      <c r="C2476" s="121"/>
      <c r="D2476" s="121"/>
      <c r="E2476" s="133"/>
      <c r="F2476" s="133"/>
      <c r="G2476" s="121"/>
      <c r="H2476" s="121"/>
    </row>
    <row r="2477" hidden="1">
      <c r="A2477" s="121"/>
      <c r="B2477" s="121"/>
      <c r="C2477" s="121"/>
      <c r="D2477" s="121"/>
      <c r="E2477" s="133"/>
      <c r="F2477" s="133"/>
      <c r="G2477" s="121"/>
      <c r="H2477" s="121"/>
    </row>
    <row r="2478" hidden="1">
      <c r="A2478" s="121"/>
      <c r="B2478" s="121"/>
      <c r="C2478" s="121"/>
      <c r="D2478" s="121"/>
      <c r="E2478" s="133"/>
      <c r="F2478" s="133"/>
      <c r="G2478" s="121"/>
      <c r="H2478" s="121"/>
    </row>
    <row r="2479" hidden="1">
      <c r="A2479" s="121"/>
      <c r="B2479" s="121"/>
      <c r="C2479" s="121"/>
      <c r="D2479" s="121"/>
      <c r="E2479" s="133"/>
      <c r="F2479" s="133"/>
      <c r="G2479" s="121"/>
      <c r="H2479" s="121"/>
    </row>
    <row r="2480" hidden="1">
      <c r="A2480" s="121"/>
      <c r="B2480" s="121"/>
      <c r="C2480" s="121"/>
      <c r="D2480" s="121"/>
      <c r="E2480" s="133"/>
      <c r="F2480" s="133"/>
      <c r="G2480" s="121"/>
      <c r="H2480" s="121"/>
    </row>
    <row r="2481" hidden="1">
      <c r="A2481" s="121"/>
      <c r="B2481" s="121"/>
      <c r="C2481" s="121"/>
      <c r="D2481" s="121"/>
      <c r="E2481" s="133"/>
      <c r="F2481" s="133"/>
      <c r="G2481" s="121"/>
      <c r="H2481" s="121"/>
    </row>
    <row r="2482" hidden="1">
      <c r="A2482" s="121"/>
      <c r="B2482" s="121"/>
      <c r="C2482" s="121"/>
      <c r="D2482" s="121"/>
      <c r="E2482" s="133"/>
      <c r="F2482" s="133"/>
      <c r="G2482" s="121"/>
      <c r="H2482" s="121"/>
    </row>
    <row r="2483" hidden="1">
      <c r="A2483" s="121"/>
      <c r="B2483" s="121"/>
      <c r="C2483" s="121"/>
      <c r="D2483" s="121"/>
      <c r="E2483" s="133"/>
      <c r="F2483" s="133"/>
      <c r="G2483" s="121"/>
      <c r="H2483" s="121"/>
    </row>
    <row r="2484" hidden="1">
      <c r="A2484" s="121"/>
      <c r="B2484" s="121"/>
      <c r="C2484" s="121"/>
      <c r="D2484" s="121"/>
      <c r="E2484" s="133"/>
      <c r="F2484" s="133"/>
      <c r="G2484" s="121"/>
      <c r="H2484" s="121"/>
    </row>
    <row r="2485" hidden="1">
      <c r="A2485" s="121"/>
      <c r="B2485" s="121"/>
      <c r="C2485" s="121"/>
      <c r="D2485" s="121"/>
      <c r="E2485" s="133"/>
      <c r="F2485" s="133"/>
      <c r="G2485" s="121"/>
      <c r="H2485" s="121"/>
    </row>
    <row r="2486" hidden="1">
      <c r="A2486" s="121"/>
      <c r="B2486" s="121"/>
      <c r="C2486" s="121"/>
      <c r="D2486" s="121"/>
      <c r="E2486" s="133"/>
      <c r="F2486" s="133"/>
      <c r="G2486" s="121"/>
      <c r="H2486" s="121"/>
    </row>
    <row r="2487" hidden="1">
      <c r="A2487" s="121"/>
      <c r="B2487" s="121"/>
      <c r="C2487" s="121"/>
      <c r="D2487" s="121"/>
      <c r="E2487" s="133"/>
      <c r="F2487" s="133"/>
      <c r="G2487" s="121"/>
      <c r="H2487" s="121"/>
    </row>
    <row r="2488" hidden="1">
      <c r="A2488" s="121"/>
      <c r="B2488" s="121"/>
      <c r="C2488" s="121"/>
      <c r="D2488" s="121"/>
      <c r="E2488" s="133"/>
      <c r="F2488" s="133"/>
      <c r="G2488" s="121"/>
      <c r="H2488" s="121"/>
    </row>
    <row r="2489" hidden="1">
      <c r="A2489" s="121"/>
      <c r="B2489" s="121"/>
      <c r="C2489" s="121"/>
      <c r="D2489" s="121"/>
      <c r="E2489" s="133"/>
      <c r="F2489" s="133"/>
      <c r="G2489" s="121"/>
      <c r="H2489" s="121"/>
    </row>
    <row r="2490" hidden="1">
      <c r="A2490" s="121"/>
      <c r="B2490" s="121"/>
      <c r="C2490" s="121"/>
      <c r="D2490" s="121"/>
      <c r="E2490" s="133"/>
      <c r="F2490" s="133"/>
      <c r="G2490" s="121"/>
      <c r="H2490" s="121"/>
    </row>
    <row r="2491" hidden="1">
      <c r="A2491" s="121"/>
      <c r="B2491" s="121"/>
      <c r="C2491" s="121"/>
      <c r="D2491" s="121"/>
      <c r="E2491" s="133"/>
      <c r="F2491" s="133"/>
      <c r="G2491" s="121"/>
      <c r="H2491" s="121"/>
    </row>
    <row r="2492" hidden="1">
      <c r="A2492" s="121"/>
      <c r="B2492" s="121"/>
      <c r="C2492" s="121"/>
      <c r="D2492" s="121"/>
      <c r="E2492" s="133"/>
      <c r="F2492" s="133"/>
      <c r="G2492" s="121"/>
      <c r="H2492" s="121"/>
    </row>
    <row r="2493" hidden="1">
      <c r="A2493" s="121"/>
      <c r="B2493" s="121"/>
      <c r="C2493" s="121"/>
      <c r="D2493" s="121"/>
      <c r="E2493" s="133"/>
      <c r="F2493" s="133"/>
      <c r="G2493" s="121"/>
      <c r="H2493" s="121"/>
    </row>
    <row r="2494" hidden="1">
      <c r="A2494" s="121"/>
      <c r="B2494" s="121"/>
      <c r="C2494" s="121"/>
      <c r="D2494" s="121"/>
      <c r="E2494" s="133"/>
      <c r="F2494" s="133"/>
      <c r="G2494" s="121"/>
      <c r="H2494" s="121"/>
    </row>
    <row r="2495" hidden="1">
      <c r="A2495" s="121"/>
      <c r="B2495" s="121"/>
      <c r="C2495" s="121"/>
      <c r="D2495" s="121"/>
      <c r="E2495" s="133"/>
      <c r="F2495" s="133"/>
      <c r="G2495" s="121"/>
      <c r="H2495" s="121"/>
    </row>
    <row r="2496" hidden="1">
      <c r="A2496" s="121"/>
      <c r="B2496" s="121"/>
      <c r="C2496" s="121"/>
      <c r="D2496" s="121"/>
      <c r="E2496" s="133"/>
      <c r="F2496" s="133"/>
      <c r="G2496" s="121"/>
      <c r="H2496" s="121"/>
    </row>
    <row r="2497" hidden="1">
      <c r="A2497" s="121"/>
      <c r="B2497" s="121"/>
      <c r="C2497" s="121"/>
      <c r="D2497" s="121"/>
      <c r="E2497" s="133"/>
      <c r="F2497" s="133"/>
      <c r="G2497" s="121"/>
      <c r="H2497" s="121"/>
    </row>
    <row r="2498" hidden="1">
      <c r="A2498" s="121"/>
      <c r="B2498" s="121"/>
      <c r="C2498" s="121"/>
      <c r="D2498" s="121"/>
      <c r="E2498" s="133"/>
      <c r="F2498" s="133"/>
      <c r="G2498" s="121"/>
      <c r="H2498" s="121"/>
    </row>
    <row r="2499" hidden="1">
      <c r="A2499" s="121"/>
      <c r="B2499" s="121"/>
      <c r="C2499" s="121"/>
      <c r="D2499" s="121"/>
      <c r="E2499" s="133"/>
      <c r="F2499" s="133"/>
      <c r="G2499" s="121"/>
      <c r="H2499" s="121"/>
    </row>
    <row r="2500" hidden="1">
      <c r="A2500" s="121"/>
      <c r="B2500" s="121"/>
      <c r="C2500" s="121"/>
      <c r="D2500" s="121"/>
      <c r="E2500" s="133"/>
      <c r="F2500" s="133"/>
      <c r="G2500" s="121"/>
      <c r="H2500" s="121"/>
    </row>
    <row r="2501" hidden="1">
      <c r="A2501" s="121"/>
      <c r="B2501" s="121"/>
      <c r="C2501" s="121"/>
      <c r="D2501" s="121"/>
      <c r="E2501" s="133"/>
      <c r="F2501" s="133"/>
      <c r="G2501" s="121"/>
      <c r="H2501" s="121"/>
    </row>
    <row r="2502" hidden="1">
      <c r="A2502" s="121"/>
      <c r="B2502" s="121"/>
      <c r="C2502" s="121"/>
      <c r="D2502" s="121"/>
      <c r="E2502" s="133"/>
      <c r="F2502" s="133"/>
      <c r="G2502" s="121"/>
      <c r="H2502" s="121"/>
    </row>
    <row r="2503" hidden="1">
      <c r="A2503" s="121"/>
      <c r="B2503" s="121"/>
      <c r="C2503" s="121"/>
      <c r="D2503" s="121"/>
      <c r="E2503" s="133"/>
      <c r="F2503" s="133"/>
      <c r="G2503" s="121"/>
      <c r="H2503" s="121"/>
    </row>
    <row r="2504" hidden="1">
      <c r="A2504" s="121"/>
      <c r="B2504" s="121"/>
      <c r="C2504" s="121"/>
      <c r="D2504" s="121"/>
      <c r="E2504" s="133"/>
      <c r="F2504" s="133"/>
      <c r="G2504" s="121"/>
      <c r="H2504" s="121"/>
    </row>
    <row r="2505" hidden="1">
      <c r="A2505" s="121"/>
      <c r="B2505" s="121"/>
      <c r="C2505" s="121"/>
      <c r="D2505" s="121"/>
      <c r="E2505" s="133"/>
      <c r="F2505" s="133"/>
      <c r="G2505" s="121"/>
      <c r="H2505" s="121"/>
    </row>
    <row r="2506" hidden="1">
      <c r="A2506" s="121"/>
      <c r="B2506" s="121"/>
      <c r="C2506" s="121"/>
      <c r="D2506" s="121"/>
      <c r="E2506" s="133"/>
      <c r="F2506" s="133"/>
      <c r="G2506" s="121"/>
      <c r="H2506" s="121"/>
    </row>
    <row r="2507" hidden="1">
      <c r="A2507" s="121"/>
      <c r="B2507" s="121"/>
      <c r="C2507" s="121"/>
      <c r="D2507" s="121"/>
      <c r="E2507" s="133"/>
      <c r="F2507" s="133"/>
      <c r="G2507" s="121"/>
      <c r="H2507" s="121"/>
    </row>
    <row r="2508" hidden="1">
      <c r="A2508" s="121"/>
      <c r="B2508" s="121"/>
      <c r="C2508" s="121"/>
      <c r="D2508" s="121"/>
      <c r="E2508" s="133"/>
      <c r="F2508" s="133"/>
      <c r="G2508" s="121"/>
      <c r="H2508" s="121"/>
    </row>
    <row r="2509" hidden="1">
      <c r="A2509" s="121"/>
      <c r="B2509" s="121"/>
      <c r="C2509" s="121"/>
      <c r="D2509" s="121"/>
      <c r="E2509" s="133"/>
      <c r="F2509" s="133"/>
      <c r="G2509" s="121"/>
      <c r="H2509" s="121"/>
    </row>
    <row r="2510" hidden="1">
      <c r="A2510" s="121"/>
      <c r="B2510" s="121"/>
      <c r="C2510" s="121"/>
      <c r="D2510" s="121"/>
      <c r="E2510" s="133"/>
      <c r="F2510" s="133"/>
      <c r="G2510" s="121"/>
      <c r="H2510" s="121"/>
    </row>
    <row r="2511" hidden="1">
      <c r="A2511" s="121"/>
      <c r="B2511" s="121"/>
      <c r="C2511" s="121"/>
      <c r="D2511" s="121"/>
      <c r="E2511" s="133"/>
      <c r="F2511" s="133"/>
      <c r="G2511" s="121"/>
      <c r="H2511" s="121"/>
    </row>
    <row r="2512" hidden="1">
      <c r="A2512" s="121"/>
      <c r="B2512" s="121"/>
      <c r="C2512" s="121"/>
      <c r="D2512" s="121"/>
      <c r="E2512" s="133"/>
      <c r="F2512" s="133"/>
      <c r="G2512" s="121"/>
      <c r="H2512" s="121"/>
    </row>
    <row r="2513" hidden="1">
      <c r="A2513" s="121"/>
      <c r="B2513" s="121"/>
      <c r="C2513" s="121"/>
      <c r="D2513" s="121"/>
      <c r="E2513" s="133"/>
      <c r="F2513" s="133"/>
      <c r="G2513" s="121"/>
      <c r="H2513" s="121"/>
    </row>
    <row r="2514" hidden="1">
      <c r="A2514" s="121"/>
      <c r="B2514" s="121"/>
      <c r="C2514" s="121"/>
      <c r="D2514" s="121"/>
      <c r="E2514" s="133"/>
      <c r="F2514" s="133"/>
      <c r="G2514" s="121"/>
      <c r="H2514" s="121"/>
    </row>
    <row r="2515" hidden="1">
      <c r="A2515" s="121"/>
      <c r="B2515" s="121"/>
      <c r="C2515" s="121"/>
      <c r="D2515" s="121"/>
      <c r="E2515" s="133"/>
      <c r="F2515" s="133"/>
      <c r="G2515" s="121"/>
      <c r="H2515" s="121"/>
    </row>
    <row r="2516" hidden="1">
      <c r="A2516" s="121"/>
      <c r="B2516" s="121"/>
      <c r="C2516" s="121"/>
      <c r="D2516" s="121"/>
      <c r="E2516" s="133"/>
      <c r="F2516" s="133"/>
      <c r="G2516" s="121"/>
      <c r="H2516" s="121"/>
    </row>
    <row r="2517" hidden="1">
      <c r="A2517" s="121"/>
      <c r="B2517" s="121"/>
      <c r="C2517" s="121"/>
      <c r="D2517" s="121"/>
      <c r="E2517" s="133"/>
      <c r="F2517" s="133"/>
      <c r="G2517" s="121"/>
      <c r="H2517" s="121"/>
    </row>
    <row r="2518" hidden="1">
      <c r="A2518" s="121"/>
      <c r="B2518" s="121"/>
      <c r="C2518" s="121"/>
      <c r="D2518" s="121"/>
      <c r="E2518" s="133"/>
      <c r="F2518" s="133"/>
      <c r="G2518" s="121"/>
      <c r="H2518" s="121"/>
    </row>
    <row r="2519" hidden="1">
      <c r="A2519" s="121"/>
      <c r="B2519" s="121"/>
      <c r="C2519" s="121"/>
      <c r="D2519" s="121"/>
      <c r="E2519" s="133"/>
      <c r="F2519" s="133"/>
      <c r="G2519" s="121"/>
      <c r="H2519" s="121"/>
    </row>
    <row r="2520" hidden="1">
      <c r="A2520" s="121"/>
      <c r="B2520" s="121"/>
      <c r="C2520" s="121"/>
      <c r="D2520" s="121"/>
      <c r="E2520" s="133"/>
      <c r="F2520" s="133"/>
      <c r="G2520" s="121"/>
      <c r="H2520" s="121"/>
    </row>
    <row r="2521" hidden="1">
      <c r="A2521" s="121"/>
      <c r="B2521" s="121"/>
      <c r="C2521" s="121"/>
      <c r="D2521" s="121"/>
      <c r="E2521" s="133"/>
      <c r="F2521" s="133"/>
      <c r="G2521" s="121"/>
      <c r="H2521" s="121"/>
    </row>
    <row r="2522" hidden="1">
      <c r="A2522" s="121"/>
      <c r="B2522" s="121"/>
      <c r="C2522" s="121"/>
      <c r="D2522" s="121"/>
      <c r="E2522" s="133"/>
      <c r="F2522" s="133"/>
      <c r="G2522" s="121"/>
      <c r="H2522" s="121"/>
    </row>
    <row r="2523" hidden="1">
      <c r="A2523" s="121"/>
      <c r="B2523" s="121"/>
      <c r="C2523" s="121"/>
      <c r="D2523" s="121"/>
      <c r="E2523" s="133"/>
      <c r="F2523" s="133"/>
      <c r="G2523" s="121"/>
      <c r="H2523" s="121"/>
    </row>
    <row r="2524" hidden="1">
      <c r="A2524" s="121"/>
      <c r="B2524" s="121"/>
      <c r="C2524" s="121"/>
      <c r="D2524" s="121"/>
      <c r="E2524" s="133"/>
      <c r="F2524" s="133"/>
      <c r="G2524" s="121"/>
      <c r="H2524" s="121"/>
    </row>
    <row r="2525" hidden="1">
      <c r="A2525" s="121"/>
      <c r="B2525" s="121"/>
      <c r="C2525" s="121"/>
      <c r="D2525" s="121"/>
      <c r="E2525" s="133"/>
      <c r="F2525" s="133"/>
      <c r="G2525" s="121"/>
      <c r="H2525" s="121"/>
    </row>
    <row r="2526" hidden="1">
      <c r="A2526" s="121"/>
      <c r="B2526" s="121"/>
      <c r="C2526" s="121"/>
      <c r="D2526" s="121"/>
      <c r="E2526" s="133"/>
      <c r="F2526" s="133"/>
      <c r="G2526" s="121"/>
      <c r="H2526" s="121"/>
    </row>
    <row r="2527" hidden="1">
      <c r="A2527" s="121"/>
      <c r="B2527" s="121"/>
      <c r="C2527" s="121"/>
      <c r="D2527" s="121"/>
      <c r="E2527" s="133"/>
      <c r="F2527" s="133"/>
      <c r="G2527" s="121"/>
      <c r="H2527" s="121"/>
    </row>
    <row r="2528" hidden="1">
      <c r="A2528" s="121"/>
      <c r="B2528" s="121"/>
      <c r="C2528" s="121"/>
      <c r="D2528" s="121"/>
      <c r="E2528" s="133"/>
      <c r="F2528" s="133"/>
      <c r="G2528" s="121"/>
      <c r="H2528" s="121"/>
    </row>
    <row r="2529" hidden="1">
      <c r="A2529" s="121"/>
      <c r="B2529" s="121"/>
      <c r="C2529" s="121"/>
      <c r="D2529" s="121"/>
      <c r="E2529" s="133"/>
      <c r="F2529" s="133"/>
      <c r="G2529" s="121"/>
      <c r="H2529" s="121"/>
    </row>
    <row r="2530" hidden="1">
      <c r="A2530" s="121"/>
      <c r="B2530" s="121"/>
      <c r="C2530" s="121"/>
      <c r="D2530" s="121"/>
      <c r="E2530" s="133"/>
      <c r="F2530" s="133"/>
      <c r="G2530" s="121"/>
      <c r="H2530" s="121"/>
    </row>
    <row r="2531" hidden="1">
      <c r="A2531" s="121"/>
      <c r="B2531" s="121"/>
      <c r="C2531" s="121"/>
      <c r="D2531" s="121"/>
      <c r="E2531" s="133"/>
      <c r="F2531" s="133"/>
      <c r="G2531" s="121"/>
      <c r="H2531" s="121"/>
    </row>
    <row r="2532" hidden="1">
      <c r="A2532" s="121"/>
      <c r="B2532" s="121"/>
      <c r="C2532" s="121"/>
      <c r="D2532" s="121"/>
      <c r="E2532" s="133"/>
      <c r="F2532" s="133"/>
      <c r="G2532" s="121"/>
      <c r="H2532" s="121"/>
    </row>
    <row r="2533" hidden="1">
      <c r="A2533" s="121"/>
      <c r="B2533" s="121"/>
      <c r="C2533" s="121"/>
      <c r="D2533" s="121"/>
      <c r="E2533" s="133"/>
      <c r="F2533" s="133"/>
      <c r="G2533" s="121"/>
      <c r="H2533" s="121"/>
    </row>
    <row r="2534" hidden="1">
      <c r="A2534" s="121"/>
      <c r="B2534" s="121"/>
      <c r="C2534" s="121"/>
      <c r="D2534" s="121"/>
      <c r="E2534" s="133"/>
      <c r="F2534" s="133"/>
      <c r="G2534" s="121"/>
      <c r="H2534" s="121"/>
    </row>
    <row r="2535" hidden="1">
      <c r="A2535" s="121"/>
      <c r="B2535" s="121"/>
      <c r="C2535" s="121"/>
      <c r="D2535" s="121"/>
      <c r="E2535" s="133"/>
      <c r="F2535" s="133"/>
      <c r="G2535" s="121"/>
      <c r="H2535" s="121"/>
    </row>
    <row r="2536" hidden="1">
      <c r="A2536" s="121"/>
      <c r="B2536" s="121"/>
      <c r="C2536" s="121"/>
      <c r="D2536" s="121"/>
      <c r="E2536" s="133"/>
      <c r="F2536" s="133"/>
      <c r="G2536" s="121"/>
      <c r="H2536" s="121"/>
    </row>
    <row r="2537" hidden="1">
      <c r="A2537" s="121"/>
      <c r="B2537" s="121"/>
      <c r="C2537" s="121"/>
      <c r="D2537" s="121"/>
      <c r="E2537" s="133"/>
      <c r="F2537" s="133"/>
      <c r="G2537" s="121"/>
      <c r="H2537" s="121"/>
    </row>
    <row r="2538" hidden="1">
      <c r="A2538" s="121"/>
      <c r="B2538" s="121"/>
      <c r="C2538" s="121"/>
      <c r="D2538" s="121"/>
      <c r="E2538" s="133"/>
      <c r="F2538" s="133"/>
      <c r="G2538" s="121"/>
      <c r="H2538" s="121"/>
    </row>
    <row r="2539" hidden="1">
      <c r="A2539" s="121"/>
      <c r="B2539" s="121"/>
      <c r="C2539" s="121"/>
      <c r="D2539" s="121"/>
      <c r="E2539" s="133"/>
      <c r="F2539" s="133"/>
      <c r="G2539" s="121"/>
      <c r="H2539" s="121"/>
    </row>
    <row r="2540" hidden="1">
      <c r="A2540" s="121"/>
      <c r="B2540" s="121"/>
      <c r="C2540" s="121"/>
      <c r="D2540" s="121"/>
      <c r="E2540" s="133"/>
      <c r="F2540" s="133"/>
      <c r="G2540" s="121"/>
      <c r="H2540" s="121"/>
    </row>
    <row r="2541" hidden="1">
      <c r="A2541" s="121"/>
      <c r="B2541" s="121"/>
      <c r="C2541" s="121"/>
      <c r="D2541" s="121"/>
      <c r="E2541" s="133"/>
      <c r="F2541" s="133"/>
      <c r="G2541" s="121"/>
      <c r="H2541" s="121"/>
    </row>
    <row r="2542" hidden="1">
      <c r="A2542" s="121"/>
      <c r="B2542" s="121"/>
      <c r="C2542" s="121"/>
      <c r="D2542" s="121"/>
      <c r="E2542" s="133"/>
      <c r="F2542" s="133"/>
      <c r="G2542" s="121"/>
      <c r="H2542" s="121"/>
    </row>
    <row r="2543" hidden="1">
      <c r="A2543" s="121"/>
      <c r="B2543" s="121"/>
      <c r="C2543" s="121"/>
      <c r="D2543" s="121"/>
      <c r="E2543" s="133"/>
      <c r="F2543" s="133"/>
      <c r="G2543" s="121"/>
      <c r="H2543" s="121"/>
    </row>
    <row r="2544" hidden="1">
      <c r="A2544" s="121"/>
      <c r="B2544" s="121"/>
      <c r="C2544" s="121"/>
      <c r="D2544" s="121"/>
      <c r="E2544" s="133"/>
      <c r="F2544" s="133"/>
      <c r="G2544" s="121"/>
      <c r="H2544" s="121"/>
    </row>
    <row r="2545" hidden="1">
      <c r="A2545" s="121"/>
      <c r="B2545" s="121"/>
      <c r="C2545" s="121"/>
      <c r="D2545" s="121"/>
      <c r="E2545" s="133"/>
      <c r="F2545" s="133"/>
      <c r="G2545" s="121"/>
      <c r="H2545" s="121"/>
    </row>
    <row r="2546" hidden="1">
      <c r="A2546" s="121"/>
      <c r="B2546" s="121"/>
      <c r="C2546" s="121"/>
      <c r="D2546" s="121"/>
      <c r="E2546" s="133"/>
      <c r="F2546" s="133"/>
      <c r="G2546" s="121"/>
      <c r="H2546" s="121"/>
    </row>
    <row r="2547" hidden="1">
      <c r="A2547" s="121"/>
      <c r="B2547" s="121"/>
      <c r="C2547" s="121"/>
      <c r="D2547" s="121"/>
      <c r="E2547" s="133"/>
      <c r="F2547" s="133"/>
      <c r="G2547" s="121"/>
      <c r="H2547" s="121"/>
    </row>
    <row r="2548" hidden="1">
      <c r="A2548" s="121"/>
      <c r="B2548" s="121"/>
      <c r="C2548" s="121"/>
      <c r="D2548" s="121"/>
      <c r="E2548" s="133"/>
      <c r="F2548" s="133"/>
      <c r="G2548" s="121"/>
      <c r="H2548" s="121"/>
    </row>
    <row r="2549" hidden="1">
      <c r="A2549" s="121"/>
      <c r="B2549" s="121"/>
      <c r="C2549" s="121"/>
      <c r="D2549" s="121"/>
      <c r="E2549" s="133"/>
      <c r="F2549" s="133"/>
      <c r="G2549" s="121"/>
      <c r="H2549" s="121"/>
    </row>
    <row r="2550" hidden="1">
      <c r="A2550" s="121"/>
      <c r="B2550" s="121"/>
      <c r="C2550" s="121"/>
      <c r="D2550" s="121"/>
      <c r="E2550" s="133"/>
      <c r="F2550" s="133"/>
      <c r="G2550" s="121"/>
      <c r="H2550" s="121"/>
    </row>
    <row r="2551" hidden="1">
      <c r="A2551" s="121"/>
      <c r="B2551" s="121"/>
      <c r="C2551" s="121"/>
      <c r="D2551" s="121"/>
      <c r="E2551" s="133"/>
      <c r="F2551" s="133"/>
      <c r="G2551" s="121"/>
      <c r="H2551" s="121"/>
    </row>
    <row r="2552" hidden="1">
      <c r="A2552" s="121"/>
      <c r="B2552" s="121"/>
      <c r="C2552" s="121"/>
      <c r="D2552" s="121"/>
      <c r="E2552" s="133"/>
      <c r="F2552" s="133"/>
      <c r="G2552" s="121"/>
      <c r="H2552" s="121"/>
    </row>
    <row r="2553" hidden="1">
      <c r="A2553" s="121"/>
      <c r="B2553" s="121"/>
      <c r="C2553" s="121"/>
      <c r="D2553" s="121"/>
      <c r="E2553" s="133"/>
      <c r="F2553" s="133"/>
      <c r="G2553" s="121"/>
      <c r="H2553" s="121"/>
    </row>
    <row r="2554" hidden="1">
      <c r="A2554" s="121"/>
      <c r="B2554" s="121"/>
      <c r="C2554" s="121"/>
      <c r="D2554" s="121"/>
      <c r="E2554" s="133"/>
      <c r="F2554" s="133"/>
      <c r="G2554" s="121"/>
      <c r="H2554" s="121"/>
    </row>
    <row r="2555" hidden="1">
      <c r="A2555" s="121"/>
      <c r="B2555" s="121"/>
      <c r="C2555" s="121"/>
      <c r="D2555" s="121"/>
      <c r="E2555" s="133"/>
      <c r="F2555" s="133"/>
      <c r="G2555" s="121"/>
      <c r="H2555" s="121"/>
    </row>
    <row r="2556" hidden="1">
      <c r="A2556" s="121"/>
      <c r="B2556" s="121"/>
      <c r="C2556" s="121"/>
      <c r="D2556" s="121"/>
      <c r="E2556" s="133"/>
      <c r="F2556" s="133"/>
      <c r="G2556" s="121"/>
      <c r="H2556" s="121"/>
    </row>
    <row r="2557" hidden="1">
      <c r="A2557" s="121"/>
      <c r="B2557" s="121"/>
      <c r="C2557" s="121"/>
      <c r="D2557" s="121"/>
      <c r="E2557" s="133"/>
      <c r="F2557" s="133"/>
      <c r="G2557" s="121"/>
      <c r="H2557" s="121"/>
    </row>
    <row r="2558" hidden="1">
      <c r="A2558" s="121"/>
      <c r="B2558" s="121"/>
      <c r="C2558" s="121"/>
      <c r="D2558" s="121"/>
      <c r="E2558" s="133"/>
      <c r="F2558" s="133"/>
      <c r="G2558" s="121"/>
      <c r="H2558" s="121"/>
    </row>
    <row r="2559" hidden="1">
      <c r="A2559" s="121"/>
      <c r="B2559" s="121"/>
      <c r="C2559" s="121"/>
      <c r="D2559" s="121"/>
      <c r="E2559" s="133"/>
      <c r="F2559" s="133"/>
      <c r="G2559" s="121"/>
      <c r="H2559" s="121"/>
    </row>
    <row r="2560" hidden="1">
      <c r="A2560" s="121"/>
      <c r="B2560" s="121"/>
      <c r="C2560" s="121"/>
      <c r="D2560" s="121"/>
      <c r="E2560" s="133"/>
      <c r="F2560" s="133"/>
      <c r="G2560" s="121"/>
      <c r="H2560" s="121"/>
    </row>
    <row r="2561" hidden="1">
      <c r="A2561" s="121"/>
      <c r="B2561" s="121"/>
      <c r="C2561" s="121"/>
      <c r="D2561" s="121"/>
      <c r="E2561" s="133"/>
      <c r="F2561" s="133"/>
      <c r="G2561" s="121"/>
      <c r="H2561" s="121"/>
    </row>
    <row r="2562" hidden="1">
      <c r="A2562" s="121"/>
      <c r="B2562" s="121"/>
      <c r="C2562" s="121"/>
      <c r="D2562" s="121"/>
      <c r="E2562" s="133"/>
      <c r="F2562" s="133"/>
      <c r="G2562" s="121"/>
      <c r="H2562" s="121"/>
    </row>
    <row r="2563" hidden="1">
      <c r="A2563" s="121"/>
      <c r="B2563" s="121"/>
      <c r="C2563" s="121"/>
      <c r="D2563" s="121"/>
      <c r="E2563" s="133"/>
      <c r="F2563" s="133"/>
      <c r="G2563" s="121"/>
      <c r="H2563" s="121"/>
    </row>
    <row r="2564" hidden="1">
      <c r="A2564" s="121"/>
      <c r="B2564" s="121"/>
      <c r="C2564" s="121"/>
      <c r="D2564" s="121"/>
      <c r="E2564" s="133"/>
      <c r="F2564" s="133"/>
      <c r="G2564" s="121"/>
      <c r="H2564" s="121"/>
    </row>
    <row r="2565" hidden="1">
      <c r="A2565" s="121"/>
      <c r="B2565" s="121"/>
      <c r="C2565" s="121"/>
      <c r="D2565" s="121"/>
      <c r="E2565" s="133"/>
      <c r="F2565" s="133"/>
      <c r="G2565" s="121"/>
      <c r="H2565" s="121"/>
    </row>
    <row r="2566" hidden="1">
      <c r="A2566" s="121"/>
      <c r="B2566" s="121"/>
      <c r="C2566" s="121"/>
      <c r="D2566" s="121"/>
      <c r="E2566" s="133"/>
      <c r="F2566" s="133"/>
      <c r="G2566" s="121"/>
      <c r="H2566" s="121"/>
    </row>
    <row r="2567" hidden="1">
      <c r="A2567" s="121"/>
      <c r="B2567" s="121"/>
      <c r="C2567" s="121"/>
      <c r="D2567" s="121"/>
      <c r="E2567" s="133"/>
      <c r="F2567" s="133"/>
      <c r="G2567" s="121"/>
      <c r="H2567" s="121"/>
    </row>
    <row r="2568" hidden="1">
      <c r="A2568" s="121"/>
      <c r="B2568" s="121"/>
      <c r="C2568" s="121"/>
      <c r="D2568" s="121"/>
      <c r="E2568" s="133"/>
      <c r="F2568" s="133"/>
      <c r="G2568" s="121"/>
      <c r="H2568" s="121"/>
    </row>
    <row r="2569" hidden="1">
      <c r="A2569" s="121"/>
      <c r="B2569" s="121"/>
      <c r="C2569" s="121"/>
      <c r="D2569" s="121"/>
      <c r="E2569" s="133"/>
      <c r="F2569" s="133"/>
      <c r="G2569" s="121"/>
      <c r="H2569" s="121"/>
    </row>
    <row r="2570" hidden="1">
      <c r="A2570" s="121"/>
      <c r="B2570" s="121"/>
      <c r="C2570" s="121"/>
      <c r="D2570" s="121"/>
      <c r="E2570" s="133"/>
      <c r="F2570" s="133"/>
      <c r="G2570" s="121"/>
      <c r="H2570" s="121"/>
    </row>
    <row r="2571" hidden="1">
      <c r="A2571" s="121"/>
      <c r="B2571" s="121"/>
      <c r="C2571" s="121"/>
      <c r="D2571" s="121"/>
      <c r="E2571" s="133"/>
      <c r="F2571" s="133"/>
      <c r="G2571" s="121"/>
      <c r="H2571" s="121"/>
    </row>
    <row r="2572" hidden="1">
      <c r="A2572" s="121"/>
      <c r="B2572" s="121"/>
      <c r="C2572" s="121"/>
      <c r="D2572" s="121"/>
      <c r="E2572" s="133"/>
      <c r="F2572" s="133"/>
      <c r="G2572" s="121"/>
      <c r="H2572" s="121"/>
    </row>
    <row r="2573" hidden="1">
      <c r="A2573" s="121"/>
      <c r="B2573" s="121"/>
      <c r="C2573" s="121"/>
      <c r="D2573" s="121"/>
      <c r="E2573" s="133"/>
      <c r="F2573" s="133"/>
      <c r="G2573" s="121"/>
      <c r="H2573" s="121"/>
    </row>
    <row r="2574" hidden="1">
      <c r="A2574" s="121"/>
      <c r="B2574" s="121"/>
      <c r="C2574" s="121"/>
      <c r="D2574" s="121"/>
      <c r="E2574" s="133"/>
      <c r="F2574" s="133"/>
      <c r="G2574" s="121"/>
      <c r="H2574" s="121"/>
    </row>
    <row r="2575" hidden="1">
      <c r="A2575" s="121"/>
      <c r="B2575" s="121"/>
      <c r="C2575" s="121"/>
      <c r="D2575" s="121"/>
      <c r="E2575" s="133"/>
      <c r="F2575" s="133"/>
      <c r="G2575" s="121"/>
      <c r="H2575" s="121"/>
    </row>
    <row r="2576" hidden="1">
      <c r="A2576" s="121"/>
      <c r="B2576" s="121"/>
      <c r="C2576" s="121"/>
      <c r="D2576" s="121"/>
      <c r="E2576" s="133"/>
      <c r="F2576" s="133"/>
      <c r="G2576" s="121"/>
      <c r="H2576" s="121"/>
    </row>
    <row r="2577" hidden="1">
      <c r="A2577" s="121"/>
      <c r="B2577" s="121"/>
      <c r="C2577" s="121"/>
      <c r="D2577" s="121"/>
      <c r="E2577" s="133"/>
      <c r="F2577" s="133"/>
      <c r="G2577" s="121"/>
      <c r="H2577" s="121"/>
    </row>
    <row r="2578" hidden="1">
      <c r="A2578" s="121"/>
      <c r="B2578" s="121"/>
      <c r="C2578" s="121"/>
      <c r="D2578" s="121"/>
      <c r="E2578" s="133"/>
      <c r="F2578" s="133"/>
      <c r="G2578" s="121"/>
      <c r="H2578" s="121"/>
    </row>
    <row r="2579" hidden="1">
      <c r="A2579" s="121"/>
      <c r="B2579" s="121"/>
      <c r="C2579" s="121"/>
      <c r="D2579" s="121"/>
      <c r="E2579" s="133"/>
      <c r="F2579" s="133"/>
      <c r="G2579" s="121"/>
      <c r="H2579" s="121"/>
    </row>
    <row r="2580" hidden="1">
      <c r="A2580" s="121"/>
      <c r="B2580" s="121"/>
      <c r="C2580" s="121"/>
      <c r="D2580" s="121"/>
      <c r="E2580" s="133"/>
      <c r="F2580" s="133"/>
      <c r="G2580" s="121"/>
      <c r="H2580" s="121"/>
    </row>
    <row r="2581" hidden="1">
      <c r="A2581" s="121"/>
      <c r="B2581" s="121"/>
      <c r="C2581" s="121"/>
      <c r="D2581" s="121"/>
      <c r="E2581" s="133"/>
      <c r="F2581" s="133"/>
      <c r="G2581" s="121"/>
      <c r="H2581" s="121"/>
    </row>
    <row r="2582" hidden="1">
      <c r="A2582" s="121"/>
      <c r="B2582" s="121"/>
      <c r="C2582" s="121"/>
      <c r="D2582" s="121"/>
      <c r="E2582" s="133"/>
      <c r="F2582" s="133"/>
      <c r="G2582" s="121"/>
      <c r="H2582" s="121"/>
    </row>
    <row r="2583" hidden="1">
      <c r="A2583" s="121"/>
      <c r="B2583" s="121"/>
      <c r="C2583" s="121"/>
      <c r="D2583" s="121"/>
      <c r="E2583" s="133"/>
      <c r="F2583" s="133"/>
      <c r="G2583" s="121"/>
      <c r="H2583" s="121"/>
    </row>
    <row r="2584" hidden="1">
      <c r="A2584" s="121"/>
      <c r="B2584" s="121"/>
      <c r="C2584" s="121"/>
      <c r="D2584" s="121"/>
      <c r="E2584" s="133"/>
      <c r="F2584" s="133"/>
      <c r="G2584" s="121"/>
      <c r="H2584" s="121"/>
    </row>
    <row r="2585" hidden="1">
      <c r="A2585" s="121"/>
      <c r="B2585" s="121"/>
      <c r="C2585" s="121"/>
      <c r="D2585" s="121"/>
      <c r="E2585" s="133"/>
      <c r="F2585" s="133"/>
      <c r="G2585" s="121"/>
      <c r="H2585" s="121"/>
    </row>
    <row r="2586" hidden="1">
      <c r="A2586" s="121"/>
      <c r="B2586" s="121"/>
      <c r="C2586" s="121"/>
      <c r="D2586" s="121"/>
      <c r="E2586" s="133"/>
      <c r="F2586" s="133"/>
      <c r="G2586" s="121"/>
      <c r="H2586" s="121"/>
    </row>
    <row r="2587" hidden="1">
      <c r="A2587" s="121"/>
      <c r="B2587" s="121"/>
      <c r="C2587" s="121"/>
      <c r="D2587" s="121"/>
      <c r="E2587" s="133"/>
      <c r="F2587" s="133"/>
      <c r="G2587" s="121"/>
      <c r="H2587" s="121"/>
    </row>
    <row r="2588" hidden="1">
      <c r="A2588" s="121"/>
      <c r="B2588" s="121"/>
      <c r="C2588" s="121"/>
      <c r="D2588" s="121"/>
      <c r="E2588" s="133"/>
      <c r="F2588" s="133"/>
      <c r="G2588" s="121"/>
      <c r="H2588" s="121"/>
    </row>
    <row r="2589" hidden="1">
      <c r="A2589" s="121"/>
      <c r="B2589" s="121"/>
      <c r="C2589" s="121"/>
      <c r="D2589" s="121"/>
      <c r="E2589" s="133"/>
      <c r="F2589" s="133"/>
      <c r="G2589" s="121"/>
      <c r="H2589" s="121"/>
    </row>
    <row r="2590" hidden="1">
      <c r="A2590" s="121"/>
      <c r="B2590" s="121"/>
      <c r="C2590" s="121"/>
      <c r="D2590" s="121"/>
      <c r="E2590" s="133"/>
      <c r="F2590" s="133"/>
      <c r="G2590" s="121"/>
      <c r="H2590" s="121"/>
    </row>
    <row r="2591" hidden="1">
      <c r="A2591" s="121"/>
      <c r="B2591" s="121"/>
      <c r="C2591" s="121"/>
      <c r="D2591" s="121"/>
      <c r="E2591" s="133"/>
      <c r="F2591" s="133"/>
      <c r="G2591" s="121"/>
      <c r="H2591" s="121"/>
    </row>
    <row r="2592" hidden="1">
      <c r="A2592" s="121"/>
      <c r="B2592" s="121"/>
      <c r="C2592" s="121"/>
      <c r="D2592" s="121"/>
      <c r="E2592" s="133"/>
      <c r="F2592" s="133"/>
      <c r="G2592" s="121"/>
      <c r="H2592" s="121"/>
    </row>
    <row r="2593" hidden="1">
      <c r="A2593" s="121"/>
      <c r="B2593" s="121"/>
      <c r="C2593" s="121"/>
      <c r="D2593" s="121"/>
      <c r="E2593" s="133"/>
      <c r="F2593" s="133"/>
      <c r="G2593" s="121"/>
      <c r="H2593" s="121"/>
    </row>
    <row r="2594" hidden="1">
      <c r="A2594" s="121"/>
      <c r="B2594" s="121"/>
      <c r="C2594" s="121"/>
      <c r="D2594" s="121"/>
      <c r="E2594" s="133"/>
      <c r="F2594" s="133"/>
      <c r="G2594" s="121"/>
      <c r="H2594" s="121"/>
    </row>
    <row r="2595" hidden="1">
      <c r="A2595" s="121"/>
      <c r="B2595" s="121"/>
      <c r="C2595" s="121"/>
      <c r="D2595" s="121"/>
      <c r="E2595" s="133"/>
      <c r="F2595" s="133"/>
      <c r="G2595" s="121"/>
      <c r="H2595" s="121"/>
    </row>
    <row r="2596" hidden="1">
      <c r="A2596" s="121"/>
      <c r="B2596" s="121"/>
      <c r="C2596" s="121"/>
      <c r="D2596" s="121"/>
      <c r="E2596" s="133"/>
      <c r="F2596" s="133"/>
      <c r="G2596" s="121"/>
      <c r="H2596" s="121"/>
    </row>
    <row r="2597" hidden="1">
      <c r="A2597" s="121"/>
      <c r="B2597" s="121"/>
      <c r="C2597" s="121"/>
      <c r="D2597" s="121"/>
      <c r="E2597" s="133"/>
      <c r="F2597" s="133"/>
      <c r="G2597" s="121"/>
      <c r="H2597" s="121"/>
    </row>
    <row r="2598" hidden="1">
      <c r="A2598" s="121"/>
      <c r="B2598" s="121"/>
      <c r="C2598" s="121"/>
      <c r="D2598" s="121"/>
      <c r="E2598" s="133"/>
      <c r="F2598" s="133"/>
      <c r="G2598" s="121"/>
      <c r="H2598" s="121"/>
    </row>
    <row r="2599" hidden="1">
      <c r="A2599" s="121"/>
      <c r="B2599" s="121"/>
      <c r="C2599" s="121"/>
      <c r="D2599" s="121"/>
      <c r="E2599" s="133"/>
      <c r="F2599" s="133"/>
      <c r="G2599" s="121"/>
      <c r="H2599" s="121"/>
    </row>
    <row r="2600" hidden="1">
      <c r="A2600" s="121"/>
      <c r="B2600" s="121"/>
      <c r="C2600" s="121"/>
      <c r="D2600" s="121"/>
      <c r="E2600" s="133"/>
      <c r="F2600" s="133"/>
      <c r="G2600" s="121"/>
      <c r="H2600" s="121"/>
    </row>
    <row r="2601" hidden="1">
      <c r="A2601" s="121"/>
      <c r="B2601" s="121"/>
      <c r="C2601" s="121"/>
      <c r="D2601" s="121"/>
      <c r="E2601" s="133"/>
      <c r="F2601" s="133"/>
      <c r="G2601" s="121"/>
      <c r="H2601" s="121"/>
    </row>
    <row r="2602" hidden="1">
      <c r="A2602" s="121"/>
      <c r="B2602" s="121"/>
      <c r="C2602" s="121"/>
      <c r="D2602" s="121"/>
      <c r="E2602" s="133"/>
      <c r="F2602" s="133"/>
      <c r="G2602" s="121"/>
      <c r="H2602" s="121"/>
    </row>
    <row r="2603" hidden="1">
      <c r="A2603" s="121"/>
      <c r="B2603" s="121"/>
      <c r="C2603" s="121"/>
      <c r="D2603" s="121"/>
      <c r="E2603" s="133"/>
      <c r="F2603" s="133"/>
      <c r="G2603" s="121"/>
      <c r="H2603" s="121"/>
    </row>
    <row r="2604" hidden="1">
      <c r="A2604" s="121"/>
      <c r="B2604" s="121"/>
      <c r="C2604" s="121"/>
      <c r="D2604" s="121"/>
      <c r="E2604" s="133"/>
      <c r="F2604" s="133"/>
      <c r="G2604" s="121"/>
      <c r="H2604" s="121"/>
    </row>
    <row r="2605" hidden="1">
      <c r="A2605" s="121"/>
      <c r="B2605" s="121"/>
      <c r="C2605" s="121"/>
      <c r="D2605" s="121"/>
      <c r="E2605" s="133"/>
      <c r="F2605" s="133"/>
      <c r="G2605" s="121"/>
      <c r="H2605" s="121"/>
    </row>
    <row r="2606" hidden="1">
      <c r="A2606" s="121"/>
      <c r="B2606" s="121"/>
      <c r="C2606" s="121"/>
      <c r="D2606" s="121"/>
      <c r="E2606" s="133"/>
      <c r="F2606" s="133"/>
      <c r="G2606" s="121"/>
      <c r="H2606" s="121"/>
    </row>
    <row r="2607" hidden="1">
      <c r="A2607" s="121"/>
      <c r="B2607" s="121"/>
      <c r="C2607" s="121"/>
      <c r="D2607" s="121"/>
      <c r="E2607" s="133"/>
      <c r="F2607" s="133"/>
      <c r="G2607" s="121"/>
      <c r="H2607" s="121"/>
    </row>
    <row r="2608" hidden="1">
      <c r="A2608" s="121"/>
      <c r="B2608" s="121"/>
      <c r="C2608" s="121"/>
      <c r="D2608" s="121"/>
      <c r="E2608" s="133"/>
      <c r="F2608" s="133"/>
      <c r="G2608" s="121"/>
      <c r="H2608" s="121"/>
    </row>
    <row r="2609" hidden="1">
      <c r="A2609" s="121"/>
      <c r="B2609" s="121"/>
      <c r="C2609" s="121"/>
      <c r="D2609" s="121"/>
      <c r="E2609" s="133"/>
      <c r="F2609" s="133"/>
      <c r="G2609" s="121"/>
      <c r="H2609" s="121"/>
    </row>
    <row r="2610" hidden="1">
      <c r="A2610" s="121"/>
      <c r="B2610" s="121"/>
      <c r="C2610" s="121"/>
      <c r="D2610" s="121"/>
      <c r="E2610" s="133"/>
      <c r="F2610" s="133"/>
      <c r="G2610" s="121"/>
      <c r="H2610" s="121"/>
    </row>
    <row r="2611" hidden="1">
      <c r="A2611" s="121"/>
      <c r="B2611" s="121"/>
      <c r="C2611" s="121"/>
      <c r="D2611" s="121"/>
      <c r="E2611" s="133"/>
      <c r="F2611" s="133"/>
      <c r="G2611" s="121"/>
      <c r="H2611" s="121"/>
    </row>
    <row r="2612" hidden="1">
      <c r="A2612" s="121"/>
      <c r="B2612" s="121"/>
      <c r="C2612" s="121"/>
      <c r="D2612" s="121"/>
      <c r="E2612" s="133"/>
      <c r="F2612" s="133"/>
      <c r="G2612" s="121"/>
      <c r="H2612" s="121"/>
    </row>
    <row r="2613" hidden="1">
      <c r="A2613" s="121"/>
      <c r="B2613" s="121"/>
      <c r="C2613" s="121"/>
      <c r="D2613" s="121"/>
      <c r="E2613" s="133"/>
      <c r="F2613" s="133"/>
      <c r="G2613" s="121"/>
      <c r="H2613" s="121"/>
    </row>
    <row r="2614" hidden="1">
      <c r="A2614" s="121"/>
      <c r="B2614" s="121"/>
      <c r="C2614" s="121"/>
      <c r="D2614" s="121"/>
      <c r="E2614" s="133"/>
      <c r="F2614" s="133"/>
      <c r="G2614" s="121"/>
      <c r="H2614" s="121"/>
    </row>
    <row r="2615" hidden="1">
      <c r="A2615" s="121"/>
      <c r="B2615" s="121"/>
      <c r="C2615" s="121"/>
      <c r="D2615" s="121"/>
      <c r="E2615" s="133"/>
      <c r="F2615" s="133"/>
      <c r="G2615" s="121"/>
      <c r="H2615" s="121"/>
    </row>
    <row r="2616" hidden="1">
      <c r="A2616" s="121"/>
      <c r="B2616" s="121"/>
      <c r="C2616" s="121"/>
      <c r="D2616" s="121"/>
      <c r="E2616" s="133"/>
      <c r="F2616" s="133"/>
      <c r="G2616" s="121"/>
      <c r="H2616" s="121"/>
    </row>
    <row r="2617" hidden="1">
      <c r="A2617" s="121"/>
      <c r="B2617" s="121"/>
      <c r="C2617" s="121"/>
      <c r="D2617" s="121"/>
      <c r="E2617" s="133"/>
      <c r="F2617" s="133"/>
      <c r="G2617" s="121"/>
      <c r="H2617" s="121"/>
    </row>
    <row r="2618" hidden="1">
      <c r="A2618" s="121"/>
      <c r="B2618" s="121"/>
      <c r="C2618" s="121"/>
      <c r="D2618" s="121"/>
      <c r="E2618" s="133"/>
      <c r="F2618" s="133"/>
      <c r="G2618" s="121"/>
      <c r="H2618" s="121"/>
    </row>
    <row r="2619" hidden="1">
      <c r="A2619" s="121"/>
      <c r="B2619" s="121"/>
      <c r="C2619" s="121"/>
      <c r="D2619" s="121"/>
      <c r="E2619" s="133"/>
      <c r="F2619" s="133"/>
      <c r="G2619" s="121"/>
      <c r="H2619" s="121"/>
    </row>
    <row r="2620" hidden="1">
      <c r="A2620" s="121"/>
      <c r="B2620" s="121"/>
      <c r="C2620" s="121"/>
      <c r="D2620" s="121"/>
      <c r="E2620" s="133"/>
      <c r="F2620" s="133"/>
      <c r="G2620" s="121"/>
      <c r="H2620" s="121"/>
    </row>
    <row r="2621" hidden="1">
      <c r="A2621" s="121"/>
      <c r="B2621" s="121"/>
      <c r="C2621" s="121"/>
      <c r="D2621" s="121"/>
      <c r="E2621" s="133"/>
      <c r="F2621" s="133"/>
      <c r="G2621" s="121"/>
      <c r="H2621" s="121"/>
    </row>
    <row r="2622" hidden="1">
      <c r="A2622" s="121"/>
      <c r="B2622" s="121"/>
      <c r="C2622" s="121"/>
      <c r="D2622" s="121"/>
      <c r="E2622" s="133"/>
      <c r="F2622" s="133"/>
      <c r="G2622" s="121"/>
      <c r="H2622" s="121"/>
    </row>
    <row r="2623" hidden="1">
      <c r="A2623" s="121"/>
      <c r="B2623" s="121"/>
      <c r="C2623" s="121"/>
      <c r="D2623" s="121"/>
      <c r="E2623" s="133"/>
      <c r="F2623" s="133"/>
      <c r="G2623" s="121"/>
      <c r="H2623" s="121"/>
    </row>
    <row r="2624" hidden="1">
      <c r="A2624" s="121"/>
      <c r="B2624" s="121"/>
      <c r="C2624" s="121"/>
      <c r="D2624" s="121"/>
      <c r="E2624" s="133"/>
      <c r="F2624" s="133"/>
      <c r="G2624" s="121"/>
      <c r="H2624" s="121"/>
    </row>
    <row r="2625" hidden="1">
      <c r="A2625" s="121"/>
      <c r="B2625" s="121"/>
      <c r="C2625" s="121"/>
      <c r="D2625" s="121"/>
      <c r="E2625" s="133"/>
      <c r="F2625" s="133"/>
      <c r="G2625" s="121"/>
      <c r="H2625" s="121"/>
    </row>
    <row r="2626" hidden="1">
      <c r="A2626" s="121"/>
      <c r="B2626" s="121"/>
      <c r="C2626" s="121"/>
      <c r="D2626" s="121"/>
      <c r="E2626" s="133"/>
      <c r="F2626" s="133"/>
      <c r="G2626" s="121"/>
      <c r="H2626" s="121"/>
    </row>
    <row r="2627" hidden="1">
      <c r="A2627" s="121"/>
      <c r="B2627" s="121"/>
      <c r="C2627" s="121"/>
      <c r="D2627" s="121"/>
      <c r="E2627" s="133"/>
      <c r="F2627" s="133"/>
      <c r="G2627" s="121"/>
      <c r="H2627" s="121"/>
    </row>
    <row r="2628" hidden="1">
      <c r="A2628" s="121"/>
      <c r="B2628" s="121"/>
      <c r="C2628" s="121"/>
      <c r="D2628" s="121"/>
      <c r="E2628" s="133"/>
      <c r="F2628" s="133"/>
      <c r="G2628" s="121"/>
      <c r="H2628" s="121"/>
    </row>
    <row r="2629" hidden="1">
      <c r="A2629" s="121"/>
      <c r="B2629" s="121"/>
      <c r="C2629" s="121"/>
      <c r="D2629" s="121"/>
      <c r="E2629" s="133"/>
      <c r="F2629" s="133"/>
      <c r="G2629" s="121"/>
      <c r="H2629" s="121"/>
    </row>
    <row r="2630" hidden="1">
      <c r="A2630" s="121"/>
      <c r="B2630" s="121"/>
      <c r="C2630" s="121"/>
      <c r="D2630" s="121"/>
      <c r="E2630" s="133"/>
      <c r="F2630" s="133"/>
      <c r="G2630" s="121"/>
      <c r="H2630" s="121"/>
    </row>
    <row r="2631" hidden="1">
      <c r="A2631" s="121"/>
      <c r="B2631" s="121"/>
      <c r="C2631" s="121"/>
      <c r="D2631" s="121"/>
      <c r="E2631" s="133"/>
      <c r="F2631" s="133"/>
      <c r="G2631" s="121"/>
      <c r="H2631" s="121"/>
    </row>
    <row r="2632" hidden="1">
      <c r="A2632" s="121"/>
      <c r="B2632" s="121"/>
      <c r="C2632" s="121"/>
      <c r="D2632" s="121"/>
      <c r="E2632" s="133"/>
      <c r="F2632" s="133"/>
      <c r="G2632" s="121"/>
      <c r="H2632" s="121"/>
    </row>
    <row r="2633" hidden="1">
      <c r="A2633" s="121"/>
      <c r="B2633" s="121"/>
      <c r="C2633" s="121"/>
      <c r="D2633" s="121"/>
      <c r="E2633" s="133"/>
      <c r="F2633" s="133"/>
      <c r="G2633" s="121"/>
      <c r="H2633" s="121"/>
    </row>
    <row r="2634" hidden="1">
      <c r="A2634" s="121"/>
      <c r="B2634" s="121"/>
      <c r="C2634" s="121"/>
      <c r="D2634" s="121"/>
      <c r="E2634" s="133"/>
      <c r="F2634" s="133"/>
      <c r="G2634" s="121"/>
      <c r="H2634" s="121"/>
    </row>
    <row r="2635" hidden="1">
      <c r="A2635" s="121"/>
      <c r="B2635" s="121"/>
      <c r="C2635" s="121"/>
      <c r="D2635" s="121"/>
      <c r="E2635" s="133"/>
      <c r="F2635" s="133"/>
      <c r="G2635" s="121"/>
      <c r="H2635" s="121"/>
    </row>
    <row r="2636" hidden="1">
      <c r="A2636" s="121"/>
      <c r="B2636" s="121"/>
      <c r="C2636" s="121"/>
      <c r="D2636" s="121"/>
      <c r="E2636" s="133"/>
      <c r="F2636" s="133"/>
      <c r="G2636" s="121"/>
      <c r="H2636" s="121"/>
    </row>
    <row r="2637" hidden="1">
      <c r="A2637" s="121"/>
      <c r="B2637" s="121"/>
      <c r="C2637" s="121"/>
      <c r="D2637" s="121"/>
      <c r="E2637" s="133"/>
      <c r="F2637" s="133"/>
      <c r="G2637" s="121"/>
      <c r="H2637" s="121"/>
    </row>
    <row r="2638" hidden="1">
      <c r="A2638" s="121"/>
      <c r="B2638" s="121"/>
      <c r="C2638" s="121"/>
      <c r="D2638" s="121"/>
      <c r="E2638" s="133"/>
      <c r="F2638" s="133"/>
      <c r="G2638" s="121"/>
      <c r="H2638" s="121"/>
    </row>
    <row r="2639" hidden="1">
      <c r="A2639" s="121"/>
      <c r="B2639" s="121"/>
      <c r="C2639" s="121"/>
      <c r="D2639" s="121"/>
      <c r="E2639" s="133"/>
      <c r="F2639" s="133"/>
      <c r="G2639" s="121"/>
      <c r="H2639" s="121"/>
    </row>
    <row r="2640" hidden="1">
      <c r="A2640" s="121"/>
      <c r="B2640" s="121"/>
      <c r="C2640" s="121"/>
      <c r="D2640" s="121"/>
      <c r="E2640" s="133"/>
      <c r="F2640" s="133"/>
      <c r="G2640" s="121"/>
      <c r="H2640" s="121"/>
    </row>
    <row r="2641" hidden="1">
      <c r="A2641" s="121"/>
      <c r="B2641" s="121"/>
      <c r="C2641" s="121"/>
      <c r="D2641" s="121"/>
      <c r="E2641" s="133"/>
      <c r="F2641" s="133"/>
      <c r="G2641" s="121"/>
      <c r="H2641" s="121"/>
    </row>
    <row r="2642" hidden="1">
      <c r="A2642" s="121"/>
      <c r="B2642" s="121"/>
      <c r="C2642" s="121"/>
      <c r="D2642" s="121"/>
      <c r="E2642" s="133"/>
      <c r="F2642" s="133"/>
      <c r="G2642" s="121"/>
      <c r="H2642" s="121"/>
    </row>
    <row r="2643" hidden="1">
      <c r="A2643" s="121"/>
      <c r="B2643" s="121"/>
      <c r="C2643" s="121"/>
      <c r="D2643" s="121"/>
      <c r="E2643" s="133"/>
      <c r="F2643" s="133"/>
      <c r="G2643" s="121"/>
      <c r="H2643" s="121"/>
    </row>
    <row r="2644" hidden="1">
      <c r="A2644" s="121"/>
      <c r="B2644" s="121"/>
      <c r="C2644" s="121"/>
      <c r="D2644" s="121"/>
      <c r="E2644" s="133"/>
      <c r="F2644" s="133"/>
      <c r="G2644" s="121"/>
      <c r="H2644" s="121"/>
    </row>
    <row r="2645" hidden="1">
      <c r="A2645" s="121"/>
      <c r="B2645" s="121"/>
      <c r="C2645" s="121"/>
      <c r="D2645" s="121"/>
      <c r="E2645" s="133"/>
      <c r="F2645" s="133"/>
      <c r="G2645" s="121"/>
      <c r="H2645" s="121"/>
    </row>
    <row r="2646" hidden="1">
      <c r="A2646" s="121"/>
      <c r="B2646" s="121"/>
      <c r="C2646" s="121"/>
      <c r="D2646" s="121"/>
      <c r="E2646" s="133"/>
      <c r="F2646" s="133"/>
      <c r="G2646" s="121"/>
      <c r="H2646" s="121"/>
    </row>
    <row r="2647" hidden="1">
      <c r="A2647" s="121"/>
      <c r="B2647" s="121"/>
      <c r="C2647" s="121"/>
      <c r="D2647" s="121"/>
      <c r="E2647" s="133"/>
      <c r="F2647" s="133"/>
      <c r="G2647" s="121"/>
      <c r="H2647" s="121"/>
    </row>
    <row r="2648" hidden="1">
      <c r="A2648" s="121"/>
      <c r="B2648" s="121"/>
      <c r="C2648" s="121"/>
      <c r="D2648" s="121"/>
      <c r="E2648" s="133"/>
      <c r="F2648" s="133"/>
      <c r="G2648" s="121"/>
      <c r="H2648" s="121"/>
    </row>
    <row r="2649" hidden="1">
      <c r="A2649" s="121"/>
      <c r="B2649" s="121"/>
      <c r="C2649" s="121"/>
      <c r="D2649" s="121"/>
      <c r="E2649" s="133"/>
      <c r="F2649" s="133"/>
      <c r="G2649" s="121"/>
      <c r="H2649" s="121"/>
    </row>
    <row r="2650" hidden="1">
      <c r="A2650" s="121"/>
      <c r="B2650" s="121"/>
      <c r="C2650" s="121"/>
      <c r="D2650" s="121"/>
      <c r="E2650" s="133"/>
      <c r="F2650" s="133"/>
      <c r="G2650" s="121"/>
      <c r="H2650" s="121"/>
    </row>
    <row r="2651" hidden="1">
      <c r="A2651" s="121"/>
      <c r="B2651" s="121"/>
      <c r="C2651" s="121"/>
      <c r="D2651" s="121"/>
      <c r="E2651" s="133"/>
      <c r="F2651" s="133"/>
      <c r="G2651" s="121"/>
      <c r="H2651" s="121"/>
    </row>
    <row r="2652" hidden="1">
      <c r="A2652" s="121"/>
      <c r="B2652" s="121"/>
      <c r="C2652" s="121"/>
      <c r="D2652" s="121"/>
      <c r="E2652" s="133"/>
      <c r="F2652" s="133"/>
      <c r="G2652" s="121"/>
      <c r="H2652" s="121"/>
    </row>
    <row r="2653" hidden="1">
      <c r="A2653" s="121"/>
      <c r="B2653" s="121"/>
      <c r="C2653" s="121"/>
      <c r="D2653" s="121"/>
      <c r="E2653" s="133"/>
      <c r="F2653" s="133"/>
      <c r="G2653" s="121"/>
      <c r="H2653" s="121"/>
    </row>
    <row r="2654" hidden="1">
      <c r="A2654" s="121"/>
      <c r="B2654" s="121"/>
      <c r="C2654" s="121"/>
      <c r="D2654" s="121"/>
      <c r="E2654" s="133"/>
      <c r="F2654" s="133"/>
      <c r="G2654" s="121"/>
      <c r="H2654" s="121"/>
    </row>
    <row r="2655" hidden="1">
      <c r="A2655" s="121"/>
      <c r="B2655" s="121"/>
      <c r="C2655" s="121"/>
      <c r="D2655" s="121"/>
      <c r="E2655" s="133"/>
      <c r="F2655" s="133"/>
      <c r="G2655" s="121"/>
      <c r="H2655" s="121"/>
    </row>
    <row r="2656" hidden="1">
      <c r="A2656" s="121"/>
      <c r="B2656" s="121"/>
      <c r="C2656" s="121"/>
      <c r="D2656" s="121"/>
      <c r="E2656" s="133"/>
      <c r="F2656" s="133"/>
      <c r="G2656" s="121"/>
      <c r="H2656" s="121"/>
    </row>
    <row r="2657" hidden="1">
      <c r="A2657" s="121"/>
      <c r="B2657" s="121"/>
      <c r="C2657" s="121"/>
      <c r="D2657" s="121"/>
      <c r="E2657" s="133"/>
      <c r="F2657" s="133"/>
      <c r="G2657" s="121"/>
      <c r="H2657" s="121"/>
    </row>
    <row r="2658" hidden="1">
      <c r="A2658" s="121"/>
      <c r="B2658" s="121"/>
      <c r="C2658" s="121"/>
      <c r="D2658" s="121"/>
      <c r="E2658" s="133"/>
      <c r="F2658" s="133"/>
      <c r="G2658" s="121"/>
      <c r="H2658" s="121"/>
    </row>
    <row r="2659" hidden="1">
      <c r="A2659" s="121"/>
      <c r="B2659" s="121"/>
      <c r="C2659" s="121"/>
      <c r="D2659" s="121"/>
      <c r="E2659" s="133"/>
      <c r="F2659" s="133"/>
      <c r="G2659" s="121"/>
      <c r="H2659" s="121"/>
    </row>
    <row r="2660" hidden="1">
      <c r="A2660" s="121"/>
      <c r="B2660" s="121"/>
      <c r="C2660" s="121"/>
      <c r="D2660" s="121"/>
      <c r="E2660" s="133"/>
      <c r="F2660" s="133"/>
      <c r="G2660" s="121"/>
      <c r="H2660" s="121"/>
    </row>
    <row r="2661" hidden="1">
      <c r="A2661" s="121"/>
      <c r="B2661" s="121"/>
      <c r="C2661" s="121"/>
      <c r="D2661" s="121"/>
      <c r="E2661" s="133"/>
      <c r="F2661" s="133"/>
      <c r="G2661" s="121"/>
      <c r="H2661" s="121"/>
    </row>
    <row r="2662" hidden="1">
      <c r="A2662" s="121"/>
      <c r="B2662" s="121"/>
      <c r="C2662" s="121"/>
      <c r="D2662" s="121"/>
      <c r="E2662" s="133"/>
      <c r="F2662" s="133"/>
      <c r="G2662" s="121"/>
      <c r="H2662" s="121"/>
    </row>
    <row r="2663" hidden="1">
      <c r="A2663" s="121"/>
      <c r="B2663" s="121"/>
      <c r="C2663" s="121"/>
      <c r="D2663" s="121"/>
      <c r="E2663" s="133"/>
      <c r="F2663" s="133"/>
      <c r="G2663" s="121"/>
      <c r="H2663" s="121"/>
    </row>
    <row r="2664" hidden="1">
      <c r="A2664" s="121"/>
      <c r="B2664" s="121"/>
      <c r="C2664" s="121"/>
      <c r="D2664" s="121"/>
      <c r="E2664" s="133"/>
      <c r="F2664" s="133"/>
      <c r="G2664" s="121"/>
      <c r="H2664" s="121"/>
    </row>
    <row r="2665" hidden="1">
      <c r="A2665" s="121"/>
      <c r="B2665" s="121"/>
      <c r="C2665" s="121"/>
      <c r="D2665" s="121"/>
      <c r="E2665" s="133"/>
      <c r="F2665" s="133"/>
      <c r="G2665" s="121"/>
      <c r="H2665" s="121"/>
    </row>
    <row r="2666" hidden="1">
      <c r="A2666" s="121"/>
      <c r="B2666" s="121"/>
      <c r="C2666" s="121"/>
      <c r="D2666" s="121"/>
      <c r="E2666" s="133"/>
      <c r="F2666" s="133"/>
      <c r="G2666" s="121"/>
      <c r="H2666" s="121"/>
    </row>
    <row r="2667" hidden="1">
      <c r="A2667" s="121"/>
      <c r="B2667" s="121"/>
      <c r="C2667" s="121"/>
      <c r="D2667" s="121"/>
      <c r="E2667" s="133"/>
      <c r="F2667" s="133"/>
      <c r="G2667" s="121"/>
      <c r="H2667" s="121"/>
    </row>
    <row r="2668" hidden="1">
      <c r="A2668" s="121"/>
      <c r="B2668" s="121"/>
      <c r="C2668" s="121"/>
      <c r="D2668" s="121"/>
      <c r="E2668" s="133"/>
      <c r="F2668" s="133"/>
      <c r="G2668" s="121"/>
      <c r="H2668" s="121"/>
    </row>
    <row r="2669" hidden="1">
      <c r="A2669" s="121"/>
      <c r="B2669" s="121"/>
      <c r="C2669" s="121"/>
      <c r="D2669" s="121"/>
      <c r="E2669" s="133"/>
      <c r="F2669" s="133"/>
      <c r="G2669" s="121"/>
      <c r="H2669" s="121"/>
    </row>
    <row r="2670" hidden="1">
      <c r="A2670" s="121"/>
      <c r="B2670" s="121"/>
      <c r="C2670" s="121"/>
      <c r="D2670" s="121"/>
      <c r="E2670" s="133"/>
      <c r="F2670" s="133"/>
      <c r="G2670" s="121"/>
      <c r="H2670" s="121"/>
    </row>
    <row r="2671" hidden="1">
      <c r="A2671" s="121"/>
      <c r="B2671" s="121"/>
      <c r="C2671" s="121"/>
      <c r="D2671" s="121"/>
      <c r="E2671" s="133"/>
      <c r="F2671" s="133"/>
      <c r="G2671" s="121"/>
      <c r="H2671" s="121"/>
    </row>
    <row r="2672" hidden="1">
      <c r="A2672" s="121"/>
      <c r="B2672" s="121"/>
      <c r="C2672" s="121"/>
      <c r="D2672" s="121"/>
      <c r="E2672" s="133"/>
      <c r="F2672" s="133"/>
      <c r="G2672" s="121"/>
      <c r="H2672" s="121"/>
    </row>
    <row r="2673" hidden="1">
      <c r="A2673" s="121"/>
      <c r="B2673" s="121"/>
      <c r="C2673" s="121"/>
      <c r="D2673" s="121"/>
      <c r="E2673" s="133"/>
      <c r="F2673" s="133"/>
      <c r="G2673" s="121"/>
      <c r="H2673" s="121"/>
    </row>
    <row r="2674" hidden="1">
      <c r="A2674" s="121"/>
      <c r="B2674" s="121"/>
      <c r="C2674" s="121"/>
      <c r="D2674" s="121"/>
      <c r="E2674" s="133"/>
      <c r="F2674" s="133"/>
      <c r="G2674" s="121"/>
      <c r="H2674" s="121"/>
    </row>
    <row r="2675" hidden="1">
      <c r="A2675" s="121"/>
      <c r="B2675" s="121"/>
      <c r="C2675" s="121"/>
      <c r="D2675" s="121"/>
      <c r="E2675" s="133"/>
      <c r="F2675" s="133"/>
      <c r="G2675" s="121"/>
      <c r="H2675" s="121"/>
    </row>
    <row r="2676" hidden="1">
      <c r="A2676" s="121"/>
      <c r="B2676" s="121"/>
      <c r="C2676" s="121"/>
      <c r="D2676" s="121"/>
      <c r="E2676" s="133"/>
      <c r="F2676" s="133"/>
      <c r="G2676" s="121"/>
      <c r="H2676" s="121"/>
    </row>
    <row r="2677" hidden="1">
      <c r="A2677" s="121"/>
      <c r="B2677" s="121"/>
      <c r="C2677" s="121"/>
      <c r="D2677" s="121"/>
      <c r="E2677" s="133"/>
      <c r="F2677" s="133"/>
      <c r="G2677" s="121"/>
      <c r="H2677" s="121"/>
    </row>
    <row r="2678" hidden="1">
      <c r="A2678" s="121"/>
      <c r="B2678" s="121"/>
      <c r="C2678" s="121"/>
      <c r="D2678" s="121"/>
      <c r="E2678" s="133"/>
      <c r="F2678" s="133"/>
      <c r="G2678" s="121"/>
      <c r="H2678" s="121"/>
    </row>
    <row r="2679" hidden="1">
      <c r="A2679" s="121"/>
      <c r="B2679" s="121"/>
      <c r="C2679" s="121"/>
      <c r="D2679" s="121"/>
      <c r="E2679" s="133"/>
      <c r="F2679" s="133"/>
      <c r="G2679" s="121"/>
      <c r="H2679" s="121"/>
    </row>
    <row r="2680" hidden="1">
      <c r="A2680" s="121"/>
      <c r="B2680" s="121"/>
      <c r="C2680" s="121"/>
      <c r="D2680" s="121"/>
      <c r="E2680" s="133"/>
      <c r="F2680" s="133"/>
      <c r="G2680" s="121"/>
      <c r="H2680" s="121"/>
    </row>
    <row r="2681" hidden="1">
      <c r="A2681" s="121"/>
      <c r="B2681" s="121"/>
      <c r="C2681" s="121"/>
      <c r="D2681" s="121"/>
      <c r="E2681" s="133"/>
      <c r="F2681" s="133"/>
      <c r="G2681" s="121"/>
      <c r="H2681" s="121"/>
    </row>
    <row r="2682" hidden="1">
      <c r="A2682" s="121"/>
      <c r="B2682" s="121"/>
      <c r="C2682" s="121"/>
      <c r="D2682" s="121"/>
      <c r="E2682" s="133"/>
      <c r="F2682" s="133"/>
      <c r="G2682" s="121"/>
      <c r="H2682" s="121"/>
    </row>
    <row r="2683" hidden="1">
      <c r="A2683" s="121"/>
      <c r="B2683" s="121"/>
      <c r="C2683" s="121"/>
      <c r="D2683" s="121"/>
      <c r="E2683" s="133"/>
      <c r="F2683" s="133"/>
      <c r="G2683" s="121"/>
      <c r="H2683" s="121"/>
    </row>
    <row r="2684" hidden="1">
      <c r="A2684" s="121"/>
      <c r="B2684" s="121"/>
      <c r="C2684" s="121"/>
      <c r="D2684" s="121"/>
      <c r="E2684" s="133"/>
      <c r="F2684" s="133"/>
      <c r="G2684" s="121"/>
      <c r="H2684" s="121"/>
    </row>
    <row r="2685" hidden="1">
      <c r="A2685" s="121"/>
      <c r="B2685" s="121"/>
      <c r="C2685" s="121"/>
      <c r="D2685" s="121"/>
      <c r="E2685" s="133"/>
      <c r="F2685" s="133"/>
      <c r="G2685" s="121"/>
      <c r="H2685" s="121"/>
    </row>
    <row r="2686" hidden="1">
      <c r="A2686" s="121"/>
      <c r="B2686" s="121"/>
      <c r="C2686" s="121"/>
      <c r="D2686" s="121"/>
      <c r="E2686" s="133"/>
      <c r="F2686" s="133"/>
      <c r="G2686" s="121"/>
      <c r="H2686" s="121"/>
    </row>
    <row r="2687" hidden="1">
      <c r="A2687" s="121"/>
      <c r="B2687" s="121"/>
      <c r="C2687" s="121"/>
      <c r="D2687" s="121"/>
      <c r="E2687" s="133"/>
      <c r="F2687" s="133"/>
      <c r="G2687" s="121"/>
      <c r="H2687" s="121"/>
    </row>
    <row r="2688" hidden="1">
      <c r="A2688" s="121"/>
      <c r="B2688" s="121"/>
      <c r="C2688" s="121"/>
      <c r="D2688" s="121"/>
      <c r="E2688" s="133"/>
      <c r="F2688" s="133"/>
      <c r="G2688" s="121"/>
      <c r="H2688" s="121"/>
    </row>
    <row r="2689" hidden="1">
      <c r="A2689" s="121"/>
      <c r="B2689" s="121"/>
      <c r="C2689" s="121"/>
      <c r="D2689" s="121"/>
      <c r="E2689" s="133"/>
      <c r="F2689" s="133"/>
      <c r="G2689" s="121"/>
      <c r="H2689" s="121"/>
    </row>
    <row r="2690" hidden="1">
      <c r="A2690" s="121"/>
      <c r="B2690" s="121"/>
      <c r="C2690" s="121"/>
      <c r="D2690" s="121"/>
      <c r="E2690" s="133"/>
      <c r="F2690" s="133"/>
      <c r="G2690" s="121"/>
      <c r="H2690" s="121"/>
    </row>
    <row r="2691" hidden="1">
      <c r="A2691" s="121"/>
      <c r="B2691" s="121"/>
      <c r="C2691" s="121"/>
      <c r="D2691" s="121"/>
      <c r="E2691" s="133"/>
      <c r="F2691" s="133"/>
      <c r="G2691" s="121"/>
      <c r="H2691" s="121"/>
    </row>
    <row r="2692" hidden="1">
      <c r="A2692" s="121"/>
      <c r="B2692" s="121"/>
      <c r="C2692" s="121"/>
      <c r="D2692" s="121"/>
      <c r="E2692" s="133"/>
      <c r="F2692" s="133"/>
      <c r="G2692" s="121"/>
      <c r="H2692" s="121"/>
    </row>
    <row r="2693" hidden="1">
      <c r="A2693" s="121"/>
      <c r="B2693" s="121"/>
      <c r="C2693" s="121"/>
      <c r="D2693" s="121"/>
      <c r="E2693" s="133"/>
      <c r="F2693" s="133"/>
      <c r="G2693" s="121"/>
      <c r="H2693" s="121"/>
    </row>
    <row r="2694" hidden="1">
      <c r="A2694" s="121"/>
      <c r="B2694" s="121"/>
      <c r="C2694" s="121"/>
      <c r="D2694" s="121"/>
      <c r="E2694" s="133"/>
      <c r="F2694" s="133"/>
      <c r="G2694" s="121"/>
      <c r="H2694" s="121"/>
    </row>
    <row r="2695" hidden="1">
      <c r="A2695" s="121"/>
      <c r="B2695" s="121"/>
      <c r="C2695" s="121"/>
      <c r="D2695" s="121"/>
      <c r="E2695" s="133"/>
      <c r="F2695" s="133"/>
      <c r="G2695" s="121"/>
      <c r="H2695" s="121"/>
    </row>
    <row r="2696" hidden="1">
      <c r="A2696" s="121"/>
      <c r="B2696" s="121"/>
      <c r="C2696" s="121"/>
      <c r="D2696" s="121"/>
      <c r="E2696" s="133"/>
      <c r="F2696" s="133"/>
      <c r="G2696" s="121"/>
      <c r="H2696" s="121"/>
    </row>
    <row r="2697" hidden="1">
      <c r="A2697" s="121"/>
      <c r="B2697" s="121"/>
      <c r="C2697" s="121"/>
      <c r="D2697" s="121"/>
      <c r="E2697" s="133"/>
      <c r="F2697" s="133"/>
      <c r="G2697" s="121"/>
      <c r="H2697" s="121"/>
    </row>
    <row r="2698" hidden="1">
      <c r="A2698" s="121"/>
      <c r="B2698" s="121"/>
      <c r="C2698" s="121"/>
      <c r="D2698" s="121"/>
      <c r="E2698" s="133"/>
      <c r="F2698" s="133"/>
      <c r="G2698" s="121"/>
      <c r="H2698" s="121"/>
    </row>
    <row r="2699" hidden="1">
      <c r="A2699" s="121"/>
      <c r="B2699" s="121"/>
      <c r="C2699" s="121"/>
      <c r="D2699" s="121"/>
      <c r="E2699" s="133"/>
      <c r="F2699" s="133"/>
      <c r="G2699" s="121"/>
      <c r="H2699" s="121"/>
    </row>
    <row r="2700" hidden="1">
      <c r="A2700" s="121"/>
      <c r="B2700" s="121"/>
      <c r="C2700" s="121"/>
      <c r="D2700" s="121"/>
      <c r="E2700" s="133"/>
      <c r="F2700" s="133"/>
      <c r="G2700" s="121"/>
      <c r="H2700" s="121"/>
    </row>
    <row r="2701" hidden="1">
      <c r="A2701" s="121"/>
      <c r="B2701" s="121"/>
      <c r="C2701" s="121"/>
      <c r="D2701" s="121"/>
      <c r="E2701" s="133"/>
      <c r="F2701" s="133"/>
      <c r="G2701" s="121"/>
      <c r="H2701" s="121"/>
    </row>
    <row r="2702" hidden="1">
      <c r="A2702" s="121"/>
      <c r="B2702" s="121"/>
      <c r="C2702" s="121"/>
      <c r="D2702" s="121"/>
      <c r="E2702" s="133"/>
      <c r="F2702" s="133"/>
      <c r="G2702" s="121"/>
      <c r="H2702" s="121"/>
    </row>
    <row r="2703" hidden="1">
      <c r="A2703" s="121"/>
      <c r="B2703" s="121"/>
      <c r="C2703" s="121"/>
      <c r="D2703" s="121"/>
      <c r="E2703" s="133"/>
      <c r="F2703" s="133"/>
      <c r="G2703" s="121"/>
      <c r="H2703" s="121"/>
    </row>
    <row r="2704" hidden="1">
      <c r="A2704" s="121"/>
      <c r="B2704" s="121"/>
      <c r="C2704" s="121"/>
      <c r="D2704" s="121"/>
      <c r="E2704" s="133"/>
      <c r="F2704" s="133"/>
      <c r="G2704" s="121"/>
      <c r="H2704" s="121"/>
    </row>
    <row r="2705" hidden="1">
      <c r="A2705" s="121"/>
      <c r="B2705" s="121"/>
      <c r="C2705" s="121"/>
      <c r="D2705" s="121"/>
      <c r="E2705" s="133"/>
      <c r="F2705" s="133"/>
      <c r="G2705" s="121"/>
      <c r="H2705" s="121"/>
    </row>
    <row r="2706" hidden="1">
      <c r="A2706" s="121"/>
      <c r="B2706" s="121"/>
      <c r="C2706" s="121"/>
      <c r="D2706" s="121"/>
      <c r="E2706" s="133"/>
      <c r="F2706" s="133"/>
      <c r="G2706" s="121"/>
      <c r="H2706" s="121"/>
    </row>
    <row r="2707" hidden="1">
      <c r="A2707" s="121"/>
      <c r="B2707" s="121"/>
      <c r="C2707" s="121"/>
      <c r="D2707" s="121"/>
      <c r="E2707" s="133"/>
      <c r="F2707" s="133"/>
      <c r="G2707" s="121"/>
      <c r="H2707" s="121"/>
    </row>
    <row r="2708" hidden="1">
      <c r="A2708" s="121"/>
      <c r="B2708" s="121"/>
      <c r="C2708" s="121"/>
      <c r="D2708" s="121"/>
      <c r="E2708" s="133"/>
      <c r="F2708" s="133"/>
      <c r="G2708" s="121"/>
      <c r="H2708" s="121"/>
    </row>
    <row r="2709" hidden="1">
      <c r="A2709" s="121"/>
      <c r="B2709" s="121"/>
      <c r="C2709" s="121"/>
      <c r="D2709" s="121"/>
      <c r="E2709" s="133"/>
      <c r="F2709" s="133"/>
      <c r="G2709" s="121"/>
      <c r="H2709" s="121"/>
    </row>
    <row r="2710" hidden="1">
      <c r="A2710" s="121"/>
      <c r="B2710" s="121"/>
      <c r="C2710" s="121"/>
      <c r="D2710" s="121"/>
      <c r="E2710" s="133"/>
      <c r="F2710" s="133"/>
      <c r="G2710" s="121"/>
      <c r="H2710" s="121"/>
    </row>
    <row r="2711" hidden="1">
      <c r="A2711" s="121"/>
      <c r="B2711" s="121"/>
      <c r="C2711" s="121"/>
      <c r="D2711" s="121"/>
      <c r="E2711" s="133"/>
      <c r="F2711" s="133"/>
      <c r="G2711" s="121"/>
      <c r="H2711" s="121"/>
    </row>
    <row r="2712" hidden="1">
      <c r="A2712" s="121"/>
      <c r="B2712" s="121"/>
      <c r="C2712" s="121"/>
      <c r="D2712" s="121"/>
      <c r="E2712" s="133"/>
      <c r="F2712" s="133"/>
      <c r="G2712" s="121"/>
      <c r="H2712" s="121"/>
    </row>
    <row r="2713" hidden="1">
      <c r="A2713" s="121"/>
      <c r="B2713" s="121"/>
      <c r="C2713" s="121"/>
      <c r="D2713" s="121"/>
      <c r="E2713" s="133"/>
      <c r="F2713" s="133"/>
      <c r="G2713" s="121"/>
      <c r="H2713" s="121"/>
    </row>
    <row r="2714" hidden="1">
      <c r="A2714" s="121"/>
      <c r="B2714" s="121"/>
      <c r="C2714" s="121"/>
      <c r="D2714" s="121"/>
      <c r="E2714" s="133"/>
      <c r="F2714" s="133"/>
      <c r="G2714" s="121"/>
      <c r="H2714" s="121"/>
    </row>
    <row r="2715" hidden="1">
      <c r="A2715" s="121"/>
      <c r="B2715" s="121"/>
      <c r="C2715" s="121"/>
      <c r="D2715" s="121"/>
      <c r="E2715" s="133"/>
      <c r="F2715" s="133"/>
      <c r="G2715" s="121"/>
      <c r="H2715" s="121"/>
    </row>
    <row r="2716" hidden="1">
      <c r="A2716" s="121"/>
      <c r="B2716" s="121"/>
      <c r="C2716" s="121"/>
      <c r="D2716" s="121"/>
      <c r="E2716" s="133"/>
      <c r="F2716" s="133"/>
      <c r="G2716" s="121"/>
      <c r="H2716" s="121"/>
    </row>
    <row r="2717" hidden="1">
      <c r="A2717" s="121"/>
      <c r="B2717" s="121"/>
      <c r="C2717" s="121"/>
      <c r="D2717" s="121"/>
      <c r="E2717" s="133"/>
      <c r="F2717" s="133"/>
      <c r="G2717" s="121"/>
      <c r="H2717" s="121"/>
    </row>
    <row r="2718" hidden="1">
      <c r="A2718" s="121"/>
      <c r="B2718" s="121"/>
      <c r="C2718" s="121"/>
      <c r="D2718" s="121"/>
      <c r="E2718" s="133"/>
      <c r="F2718" s="133"/>
      <c r="G2718" s="121"/>
      <c r="H2718" s="121"/>
    </row>
    <row r="2719" hidden="1">
      <c r="A2719" s="121"/>
      <c r="B2719" s="121"/>
      <c r="C2719" s="121"/>
      <c r="D2719" s="121"/>
      <c r="E2719" s="133"/>
      <c r="F2719" s="133"/>
      <c r="G2719" s="121"/>
      <c r="H2719" s="121"/>
    </row>
    <row r="2720" hidden="1">
      <c r="A2720" s="121"/>
      <c r="B2720" s="121"/>
      <c r="C2720" s="121"/>
      <c r="D2720" s="121"/>
      <c r="E2720" s="133"/>
      <c r="F2720" s="133"/>
      <c r="G2720" s="121"/>
      <c r="H2720" s="121"/>
    </row>
    <row r="2721" hidden="1">
      <c r="A2721" s="121"/>
      <c r="B2721" s="121"/>
      <c r="C2721" s="121"/>
      <c r="D2721" s="121"/>
      <c r="E2721" s="133"/>
      <c r="F2721" s="133"/>
      <c r="G2721" s="121"/>
      <c r="H2721" s="121"/>
    </row>
    <row r="2722" hidden="1">
      <c r="A2722" s="121"/>
      <c r="B2722" s="121"/>
      <c r="C2722" s="121"/>
      <c r="D2722" s="121"/>
      <c r="E2722" s="133"/>
      <c r="F2722" s="133"/>
      <c r="G2722" s="121"/>
      <c r="H2722" s="121"/>
    </row>
    <row r="2723" hidden="1">
      <c r="A2723" s="121"/>
      <c r="B2723" s="121"/>
      <c r="C2723" s="121"/>
      <c r="D2723" s="121"/>
      <c r="E2723" s="133"/>
      <c r="F2723" s="133"/>
      <c r="G2723" s="121"/>
      <c r="H2723" s="121"/>
    </row>
    <row r="2724" hidden="1">
      <c r="A2724" s="121"/>
      <c r="B2724" s="121"/>
      <c r="C2724" s="121"/>
      <c r="D2724" s="121"/>
      <c r="E2724" s="133"/>
      <c r="F2724" s="133"/>
      <c r="G2724" s="121"/>
      <c r="H2724" s="121"/>
    </row>
    <row r="2725" hidden="1">
      <c r="A2725" s="121"/>
      <c r="B2725" s="121"/>
      <c r="C2725" s="121"/>
      <c r="D2725" s="121"/>
      <c r="E2725" s="133"/>
      <c r="F2725" s="133"/>
      <c r="G2725" s="121"/>
      <c r="H2725" s="121"/>
    </row>
    <row r="2726" hidden="1">
      <c r="A2726" s="121"/>
      <c r="B2726" s="121"/>
      <c r="C2726" s="121"/>
      <c r="D2726" s="121"/>
      <c r="E2726" s="133"/>
      <c r="F2726" s="133"/>
      <c r="G2726" s="121"/>
      <c r="H2726" s="121"/>
    </row>
    <row r="2727" hidden="1">
      <c r="A2727" s="121"/>
      <c r="B2727" s="121"/>
      <c r="C2727" s="121"/>
      <c r="D2727" s="121"/>
      <c r="E2727" s="133"/>
      <c r="F2727" s="133"/>
      <c r="G2727" s="121"/>
      <c r="H2727" s="121"/>
    </row>
    <row r="2728" hidden="1">
      <c r="A2728" s="121"/>
      <c r="B2728" s="121"/>
      <c r="C2728" s="121"/>
      <c r="D2728" s="121"/>
      <c r="E2728" s="133"/>
      <c r="F2728" s="133"/>
      <c r="G2728" s="121"/>
      <c r="H2728" s="121"/>
    </row>
    <row r="2729" hidden="1">
      <c r="A2729" s="121"/>
      <c r="B2729" s="121"/>
      <c r="C2729" s="121"/>
      <c r="D2729" s="121"/>
      <c r="E2729" s="133"/>
      <c r="F2729" s="133"/>
      <c r="G2729" s="121"/>
      <c r="H2729" s="121"/>
    </row>
    <row r="2730" hidden="1">
      <c r="A2730" s="121"/>
      <c r="B2730" s="121"/>
      <c r="C2730" s="121"/>
      <c r="D2730" s="121"/>
      <c r="E2730" s="133"/>
      <c r="F2730" s="133"/>
      <c r="G2730" s="121"/>
      <c r="H2730" s="121"/>
    </row>
    <row r="2731" hidden="1">
      <c r="A2731" s="121"/>
      <c r="B2731" s="121"/>
      <c r="C2731" s="121"/>
      <c r="D2731" s="121"/>
      <c r="E2731" s="133"/>
      <c r="F2731" s="133"/>
      <c r="G2731" s="121"/>
      <c r="H2731" s="121"/>
    </row>
    <row r="2732" hidden="1">
      <c r="A2732" s="121"/>
      <c r="B2732" s="121"/>
      <c r="C2732" s="121"/>
      <c r="D2732" s="121"/>
      <c r="E2732" s="133"/>
      <c r="F2732" s="133"/>
      <c r="G2732" s="121"/>
      <c r="H2732" s="121"/>
    </row>
    <row r="2733" hidden="1">
      <c r="A2733" s="121"/>
      <c r="B2733" s="121"/>
      <c r="C2733" s="121"/>
      <c r="D2733" s="121"/>
      <c r="E2733" s="133"/>
      <c r="F2733" s="133"/>
      <c r="G2733" s="121"/>
      <c r="H2733" s="121"/>
    </row>
    <row r="2734" hidden="1">
      <c r="A2734" s="121"/>
      <c r="B2734" s="121"/>
      <c r="C2734" s="121"/>
      <c r="D2734" s="121"/>
      <c r="E2734" s="133"/>
      <c r="F2734" s="133"/>
      <c r="G2734" s="121"/>
      <c r="H2734" s="121"/>
    </row>
    <row r="2735" hidden="1">
      <c r="A2735" s="121"/>
      <c r="B2735" s="121"/>
      <c r="C2735" s="121"/>
      <c r="D2735" s="121"/>
      <c r="E2735" s="133"/>
      <c r="F2735" s="133"/>
      <c r="G2735" s="121"/>
      <c r="H2735" s="121"/>
    </row>
    <row r="2736" hidden="1">
      <c r="A2736" s="121"/>
      <c r="B2736" s="121"/>
      <c r="C2736" s="121"/>
      <c r="D2736" s="121"/>
      <c r="E2736" s="133"/>
      <c r="F2736" s="133"/>
      <c r="G2736" s="121"/>
      <c r="H2736" s="121"/>
    </row>
    <row r="2737" hidden="1">
      <c r="A2737" s="121"/>
      <c r="B2737" s="121"/>
      <c r="C2737" s="121"/>
      <c r="D2737" s="121"/>
      <c r="E2737" s="133"/>
      <c r="F2737" s="133"/>
      <c r="G2737" s="121"/>
      <c r="H2737" s="121"/>
    </row>
    <row r="2738" hidden="1">
      <c r="A2738" s="121"/>
      <c r="B2738" s="121"/>
      <c r="C2738" s="121"/>
      <c r="D2738" s="121"/>
      <c r="E2738" s="133"/>
      <c r="F2738" s="133"/>
      <c r="G2738" s="121"/>
      <c r="H2738" s="121"/>
    </row>
    <row r="2739" hidden="1">
      <c r="A2739" s="121"/>
      <c r="B2739" s="121"/>
      <c r="C2739" s="121"/>
      <c r="D2739" s="121"/>
      <c r="E2739" s="133"/>
      <c r="F2739" s="133"/>
      <c r="G2739" s="121"/>
      <c r="H2739" s="121"/>
    </row>
    <row r="2740" hidden="1">
      <c r="A2740" s="121"/>
      <c r="B2740" s="121"/>
      <c r="C2740" s="121"/>
      <c r="D2740" s="121"/>
      <c r="E2740" s="133"/>
      <c r="F2740" s="133"/>
      <c r="G2740" s="121"/>
      <c r="H2740" s="121"/>
    </row>
    <row r="2741" hidden="1">
      <c r="A2741" s="121"/>
      <c r="B2741" s="121"/>
      <c r="C2741" s="121"/>
      <c r="D2741" s="121"/>
      <c r="E2741" s="133"/>
      <c r="F2741" s="133"/>
      <c r="G2741" s="121"/>
      <c r="H2741" s="121"/>
    </row>
    <row r="2742" hidden="1">
      <c r="A2742" s="121"/>
      <c r="B2742" s="121"/>
      <c r="C2742" s="121"/>
      <c r="D2742" s="121"/>
      <c r="E2742" s="133"/>
      <c r="F2742" s="133"/>
      <c r="G2742" s="121"/>
      <c r="H2742" s="121"/>
    </row>
    <row r="2743" hidden="1">
      <c r="A2743" s="121"/>
      <c r="B2743" s="121"/>
      <c r="C2743" s="121"/>
      <c r="D2743" s="121"/>
      <c r="E2743" s="133"/>
      <c r="F2743" s="133"/>
      <c r="G2743" s="121"/>
      <c r="H2743" s="121"/>
    </row>
    <row r="2744" hidden="1">
      <c r="A2744" s="121"/>
      <c r="B2744" s="121"/>
      <c r="C2744" s="121"/>
      <c r="D2744" s="121"/>
      <c r="E2744" s="133"/>
      <c r="F2744" s="133"/>
      <c r="G2744" s="121"/>
      <c r="H2744" s="121"/>
    </row>
    <row r="2745" hidden="1">
      <c r="A2745" s="121"/>
      <c r="B2745" s="121"/>
      <c r="C2745" s="121"/>
      <c r="D2745" s="121"/>
      <c r="E2745" s="133"/>
      <c r="F2745" s="133"/>
      <c r="G2745" s="121"/>
      <c r="H2745" s="121"/>
    </row>
    <row r="2746" hidden="1">
      <c r="A2746" s="121"/>
      <c r="B2746" s="121"/>
      <c r="C2746" s="121"/>
      <c r="D2746" s="121"/>
      <c r="E2746" s="133"/>
      <c r="F2746" s="133"/>
      <c r="G2746" s="121"/>
      <c r="H2746" s="121"/>
    </row>
    <row r="2747" hidden="1">
      <c r="A2747" s="121"/>
      <c r="B2747" s="121"/>
      <c r="C2747" s="121"/>
      <c r="D2747" s="121"/>
      <c r="E2747" s="133"/>
      <c r="F2747" s="133"/>
      <c r="G2747" s="121"/>
      <c r="H2747" s="121"/>
    </row>
    <row r="2748" hidden="1">
      <c r="A2748" s="121"/>
      <c r="B2748" s="121"/>
      <c r="C2748" s="121"/>
      <c r="D2748" s="121"/>
      <c r="E2748" s="133"/>
      <c r="F2748" s="133"/>
      <c r="G2748" s="121"/>
      <c r="H2748" s="121"/>
    </row>
    <row r="2749" hidden="1">
      <c r="A2749" s="121"/>
      <c r="B2749" s="121"/>
      <c r="C2749" s="121"/>
      <c r="D2749" s="121"/>
      <c r="E2749" s="133"/>
      <c r="F2749" s="133"/>
      <c r="G2749" s="121"/>
      <c r="H2749" s="121"/>
    </row>
    <row r="2750" hidden="1">
      <c r="A2750" s="121"/>
      <c r="B2750" s="121"/>
      <c r="C2750" s="121"/>
      <c r="D2750" s="121"/>
      <c r="E2750" s="133"/>
      <c r="F2750" s="133"/>
      <c r="G2750" s="121"/>
      <c r="H2750" s="121"/>
    </row>
    <row r="2751" hidden="1">
      <c r="A2751" s="121"/>
      <c r="B2751" s="121"/>
      <c r="C2751" s="121"/>
      <c r="D2751" s="121"/>
      <c r="E2751" s="133"/>
      <c r="F2751" s="133"/>
      <c r="G2751" s="121"/>
      <c r="H2751" s="121"/>
    </row>
    <row r="2752" hidden="1">
      <c r="A2752" s="121"/>
      <c r="B2752" s="121"/>
      <c r="C2752" s="121"/>
      <c r="D2752" s="121"/>
      <c r="E2752" s="133"/>
      <c r="F2752" s="133"/>
      <c r="G2752" s="121"/>
      <c r="H2752" s="121"/>
    </row>
    <row r="2753" hidden="1">
      <c r="A2753" s="121"/>
      <c r="B2753" s="121"/>
      <c r="C2753" s="121"/>
      <c r="D2753" s="121"/>
      <c r="E2753" s="133"/>
      <c r="F2753" s="133"/>
      <c r="G2753" s="121"/>
      <c r="H2753" s="121"/>
    </row>
    <row r="2754" hidden="1">
      <c r="A2754" s="121"/>
      <c r="B2754" s="121"/>
      <c r="C2754" s="121"/>
      <c r="D2754" s="121"/>
      <c r="E2754" s="133"/>
      <c r="F2754" s="133"/>
      <c r="G2754" s="121"/>
      <c r="H2754" s="121"/>
    </row>
    <row r="2755" hidden="1">
      <c r="A2755" s="121"/>
      <c r="B2755" s="121"/>
      <c r="C2755" s="121"/>
      <c r="D2755" s="121"/>
      <c r="E2755" s="133"/>
      <c r="F2755" s="133"/>
      <c r="G2755" s="121"/>
      <c r="H2755" s="121"/>
    </row>
    <row r="2756" hidden="1">
      <c r="A2756" s="121"/>
      <c r="B2756" s="121"/>
      <c r="C2756" s="121"/>
      <c r="D2756" s="121"/>
      <c r="E2756" s="133"/>
      <c r="F2756" s="133"/>
      <c r="G2756" s="121"/>
      <c r="H2756" s="121"/>
    </row>
    <row r="2757" hidden="1">
      <c r="A2757" s="121"/>
      <c r="B2757" s="121"/>
      <c r="C2757" s="121"/>
      <c r="D2757" s="121"/>
      <c r="E2757" s="133"/>
      <c r="F2757" s="133"/>
      <c r="G2757" s="121"/>
      <c r="H2757" s="121"/>
    </row>
    <row r="2758" hidden="1">
      <c r="A2758" s="121"/>
      <c r="B2758" s="121"/>
      <c r="C2758" s="121"/>
      <c r="D2758" s="121"/>
      <c r="E2758" s="133"/>
      <c r="F2758" s="133"/>
      <c r="G2758" s="121"/>
      <c r="H2758" s="121"/>
    </row>
  </sheetData>
  <autoFilter ref="$A$1:$H$2758">
    <filterColumn colId="1">
      <filters>
        <filter val="S4"/>
      </filters>
    </filterColumn>
  </autoFilter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4" width="16.25"/>
    <col customWidth="1" min="6" max="6" width="18.38"/>
    <col customWidth="1" min="9" max="9" width="13.88"/>
    <col customWidth="1" min="10" max="10" width="28.75"/>
  </cols>
  <sheetData>
    <row r="1">
      <c r="A1" s="121" t="s">
        <v>2</v>
      </c>
      <c r="B1" s="133" t="s">
        <v>3</v>
      </c>
      <c r="C1" s="133" t="s">
        <v>2803</v>
      </c>
      <c r="D1" s="144" t="str">
        <f t="shared" ref="D1:D35" si="1">VLOOKUP(B1,F:F,1,0)</f>
        <v>TECHNOLOGY OF SEED PROCESSING</v>
      </c>
      <c r="E1" s="121" t="s">
        <v>2804</v>
      </c>
      <c r="F1" s="168" t="s">
        <v>2805</v>
      </c>
      <c r="G1" s="133" t="str">
        <f t="shared" ref="G1:G37" si="2">VLOOKUP(F1,B:C,2,0)</f>
        <v>#N/A</v>
      </c>
      <c r="I1" s="121" t="s">
        <v>11</v>
      </c>
      <c r="J1" s="133" t="s">
        <v>12</v>
      </c>
    </row>
    <row r="2">
      <c r="A2" s="121" t="s">
        <v>7</v>
      </c>
      <c r="B2" s="133" t="s">
        <v>8</v>
      </c>
      <c r="C2" s="133" t="s">
        <v>2803</v>
      </c>
      <c r="D2" s="144" t="str">
        <f t="shared" si="1"/>
        <v>UI AND UX DESIGN</v>
      </c>
      <c r="E2" s="121" t="s">
        <v>2</v>
      </c>
      <c r="F2" s="133" t="s">
        <v>3</v>
      </c>
      <c r="G2" s="133" t="str">
        <f t="shared" si="2"/>
        <v>2024-25 EVEN</v>
      </c>
      <c r="I2" s="121" t="s">
        <v>2656</v>
      </c>
      <c r="J2" s="133" t="s">
        <v>2657</v>
      </c>
      <c r="K2" s="143" t="s">
        <v>2806</v>
      </c>
    </row>
    <row r="3">
      <c r="A3" s="121" t="s">
        <v>7</v>
      </c>
      <c r="B3" s="133" t="s">
        <v>8</v>
      </c>
      <c r="C3" s="133" t="s">
        <v>2803</v>
      </c>
      <c r="D3" s="144" t="str">
        <f t="shared" si="1"/>
        <v>UI AND UX DESIGN</v>
      </c>
      <c r="E3" s="121" t="s">
        <v>2807</v>
      </c>
      <c r="F3" s="133" t="s">
        <v>21</v>
      </c>
      <c r="G3" s="133" t="str">
        <f t="shared" si="2"/>
        <v>#N/A</v>
      </c>
      <c r="I3" s="121" t="s">
        <v>2658</v>
      </c>
      <c r="J3" s="133" t="s">
        <v>2659</v>
      </c>
    </row>
    <row r="4">
      <c r="A4" s="121" t="s">
        <v>7</v>
      </c>
      <c r="B4" s="133" t="s">
        <v>8</v>
      </c>
      <c r="C4" s="133" t="s">
        <v>2803</v>
      </c>
      <c r="D4" s="144" t="str">
        <f t="shared" si="1"/>
        <v>UI AND UX DESIGN</v>
      </c>
      <c r="E4" s="121" t="s">
        <v>7</v>
      </c>
      <c r="F4" s="133" t="s">
        <v>8</v>
      </c>
      <c r="G4" s="133" t="str">
        <f t="shared" si="2"/>
        <v>2024-25 EVEN</v>
      </c>
      <c r="I4" s="121" t="s">
        <v>33</v>
      </c>
      <c r="J4" s="133" t="s">
        <v>34</v>
      </c>
      <c r="K4" s="143" t="s">
        <v>2806</v>
      </c>
    </row>
    <row r="5">
      <c r="A5" s="121" t="s">
        <v>11</v>
      </c>
      <c r="B5" s="133" t="s">
        <v>12</v>
      </c>
      <c r="C5" s="133" t="s">
        <v>2803</v>
      </c>
      <c r="D5" s="144" t="str">
        <f t="shared" si="1"/>
        <v>#N/A</v>
      </c>
      <c r="E5" s="121" t="s">
        <v>7</v>
      </c>
      <c r="F5" s="133" t="s">
        <v>8</v>
      </c>
      <c r="G5" s="133" t="str">
        <f t="shared" si="2"/>
        <v>2024-25 EVEN</v>
      </c>
      <c r="I5" s="121" t="s">
        <v>35</v>
      </c>
      <c r="J5" s="133" t="s">
        <v>36</v>
      </c>
      <c r="K5" s="143" t="s">
        <v>2808</v>
      </c>
    </row>
    <row r="6">
      <c r="A6" s="121"/>
      <c r="B6" s="133"/>
      <c r="C6" s="133"/>
      <c r="D6" s="144" t="str">
        <f t="shared" si="1"/>
        <v>#N/A</v>
      </c>
      <c r="E6" s="121" t="s">
        <v>2635</v>
      </c>
      <c r="F6" s="133" t="s">
        <v>2809</v>
      </c>
      <c r="G6" s="133" t="str">
        <f t="shared" si="2"/>
        <v>#N/A</v>
      </c>
      <c r="I6" s="121" t="s">
        <v>38</v>
      </c>
      <c r="J6" s="133" t="s">
        <v>39</v>
      </c>
      <c r="K6" s="143" t="s">
        <v>2806</v>
      </c>
    </row>
    <row r="7">
      <c r="A7" s="121" t="s">
        <v>2647</v>
      </c>
      <c r="B7" s="133" t="s">
        <v>2648</v>
      </c>
      <c r="C7" s="133" t="s">
        <v>2803</v>
      </c>
      <c r="D7" s="144" t="str">
        <f t="shared" si="1"/>
        <v>CARDIOVASCULAR ENGINEERING</v>
      </c>
      <c r="E7" s="121" t="s">
        <v>2635</v>
      </c>
      <c r="F7" s="133" t="s">
        <v>2809</v>
      </c>
      <c r="G7" s="133" t="str">
        <f t="shared" si="2"/>
        <v>#N/A</v>
      </c>
      <c r="I7" s="121" t="s">
        <v>1878</v>
      </c>
      <c r="J7" s="133" t="s">
        <v>1879</v>
      </c>
      <c r="K7" s="143" t="s">
        <v>2810</v>
      </c>
    </row>
    <row r="8">
      <c r="A8" s="121" t="s">
        <v>2656</v>
      </c>
      <c r="B8" s="133" t="s">
        <v>2657</v>
      </c>
      <c r="C8" s="133" t="s">
        <v>2803</v>
      </c>
      <c r="D8" s="144" t="str">
        <f t="shared" si="1"/>
        <v>#N/A</v>
      </c>
      <c r="E8" s="121" t="s">
        <v>2811</v>
      </c>
      <c r="F8" s="133" t="s">
        <v>2812</v>
      </c>
      <c r="G8" s="133" t="str">
        <f t="shared" si="2"/>
        <v>#N/A</v>
      </c>
    </row>
    <row r="9">
      <c r="A9" s="121"/>
      <c r="B9" s="133"/>
      <c r="C9" s="133"/>
      <c r="D9" s="144" t="str">
        <f t="shared" si="1"/>
        <v>#N/A</v>
      </c>
      <c r="E9" s="121" t="s">
        <v>2647</v>
      </c>
      <c r="F9" s="133" t="s">
        <v>2648</v>
      </c>
      <c r="G9" s="133" t="str">
        <f t="shared" si="2"/>
        <v>2024-25 EVEN</v>
      </c>
    </row>
    <row r="10">
      <c r="A10" s="121" t="s">
        <v>2658</v>
      </c>
      <c r="B10" s="133" t="s">
        <v>2659</v>
      </c>
      <c r="C10" s="133" t="s">
        <v>2803</v>
      </c>
      <c r="D10" s="144" t="str">
        <f t="shared" si="1"/>
        <v>#N/A</v>
      </c>
      <c r="E10" s="121" t="s">
        <v>2813</v>
      </c>
      <c r="F10" s="133" t="s">
        <v>2814</v>
      </c>
      <c r="G10" s="133" t="str">
        <f t="shared" si="2"/>
        <v>#N/A</v>
      </c>
    </row>
    <row r="11">
      <c r="A11" s="121" t="s">
        <v>2673</v>
      </c>
      <c r="B11" s="133" t="s">
        <v>2674</v>
      </c>
      <c r="C11" s="133" t="s">
        <v>2803</v>
      </c>
      <c r="D11" s="144" t="str">
        <f t="shared" si="1"/>
        <v>BUILDING SERVICES</v>
      </c>
      <c r="E11" s="121" t="s">
        <v>16</v>
      </c>
      <c r="F11" s="133" t="s">
        <v>17</v>
      </c>
      <c r="G11" s="133" t="str">
        <f t="shared" si="2"/>
        <v>#N/A</v>
      </c>
    </row>
    <row r="12">
      <c r="A12" s="121" t="s">
        <v>19</v>
      </c>
      <c r="B12" s="133" t="s">
        <v>8</v>
      </c>
      <c r="C12" s="133" t="s">
        <v>2803</v>
      </c>
      <c r="D12" s="144" t="str">
        <f t="shared" si="1"/>
        <v>UI AND UX DESIGN</v>
      </c>
      <c r="E12" s="121" t="s">
        <v>16</v>
      </c>
      <c r="F12" s="133" t="s">
        <v>17</v>
      </c>
      <c r="G12" s="133" t="str">
        <f t="shared" si="2"/>
        <v>#N/A</v>
      </c>
    </row>
    <row r="13">
      <c r="A13" s="121" t="s">
        <v>19</v>
      </c>
      <c r="B13" s="133" t="s">
        <v>8</v>
      </c>
      <c r="C13" s="133" t="s">
        <v>2803</v>
      </c>
      <c r="D13" s="144" t="str">
        <f t="shared" si="1"/>
        <v>UI AND UX DESIGN</v>
      </c>
      <c r="E13" s="121" t="s">
        <v>2815</v>
      </c>
      <c r="F13" s="133" t="s">
        <v>2674</v>
      </c>
      <c r="G13" s="133" t="str">
        <f t="shared" si="2"/>
        <v>2024-25 EVEN</v>
      </c>
    </row>
    <row r="14">
      <c r="A14" s="121" t="s">
        <v>19</v>
      </c>
      <c r="B14" s="133" t="s">
        <v>8</v>
      </c>
      <c r="C14" s="133" t="s">
        <v>2803</v>
      </c>
      <c r="D14" s="144" t="str">
        <f t="shared" si="1"/>
        <v>UI AND UX DESIGN</v>
      </c>
      <c r="E14" s="121" t="s">
        <v>19</v>
      </c>
      <c r="F14" s="133" t="s">
        <v>8</v>
      </c>
      <c r="G14" s="133" t="str">
        <f t="shared" si="2"/>
        <v>2024-25 EVEN</v>
      </c>
    </row>
    <row r="15">
      <c r="A15" s="121" t="s">
        <v>19</v>
      </c>
      <c r="B15" s="133" t="s">
        <v>8</v>
      </c>
      <c r="C15" s="133" t="s">
        <v>2803</v>
      </c>
      <c r="D15" s="144" t="str">
        <f t="shared" si="1"/>
        <v>UI AND UX DESIGN</v>
      </c>
      <c r="E15" s="121" t="s">
        <v>19</v>
      </c>
      <c r="F15" s="133" t="s">
        <v>8</v>
      </c>
      <c r="G15" s="133" t="str">
        <f t="shared" si="2"/>
        <v>2024-25 EVEN</v>
      </c>
    </row>
    <row r="16">
      <c r="A16" s="121" t="s">
        <v>22</v>
      </c>
      <c r="B16" s="133" t="s">
        <v>23</v>
      </c>
      <c r="C16" s="133" t="s">
        <v>2803</v>
      </c>
      <c r="D16" s="144" t="str">
        <f t="shared" si="1"/>
        <v>INTERNET OF THINGS</v>
      </c>
      <c r="E16" s="121" t="s">
        <v>19</v>
      </c>
      <c r="F16" s="133" t="s">
        <v>8</v>
      </c>
      <c r="G16" s="133" t="str">
        <f t="shared" si="2"/>
        <v>2024-25 EVEN</v>
      </c>
    </row>
    <row r="17">
      <c r="A17" s="121" t="s">
        <v>25</v>
      </c>
      <c r="B17" s="133" t="s">
        <v>26</v>
      </c>
      <c r="C17" s="133" t="s">
        <v>2803</v>
      </c>
      <c r="D17" s="144" t="str">
        <f t="shared" si="1"/>
        <v>INTRODUCTION TO INNOVATION IP MANAGEMENT AND ENTREPRENEURSHIP</v>
      </c>
      <c r="E17" s="121" t="s">
        <v>2816</v>
      </c>
      <c r="F17" s="133" t="s">
        <v>23</v>
      </c>
      <c r="G17" s="133" t="str">
        <f t="shared" si="2"/>
        <v>2024-25 EVEN</v>
      </c>
    </row>
    <row r="18">
      <c r="A18" s="121" t="s">
        <v>2713</v>
      </c>
      <c r="B18" s="133" t="s">
        <v>8</v>
      </c>
      <c r="C18" s="133" t="s">
        <v>2803</v>
      </c>
      <c r="D18" s="144" t="str">
        <f t="shared" si="1"/>
        <v>UI AND UX DESIGN</v>
      </c>
      <c r="E18" s="121" t="s">
        <v>25</v>
      </c>
      <c r="F18" s="133" t="s">
        <v>26</v>
      </c>
      <c r="G18" s="133" t="str">
        <f t="shared" si="2"/>
        <v>2024-25 EVEN</v>
      </c>
    </row>
    <row r="19">
      <c r="A19" s="121" t="s">
        <v>2716</v>
      </c>
      <c r="B19" s="133" t="s">
        <v>8</v>
      </c>
      <c r="C19" s="133" t="s">
        <v>2803</v>
      </c>
      <c r="D19" s="144" t="str">
        <f t="shared" si="1"/>
        <v>UI AND UX DESIGN</v>
      </c>
      <c r="E19" s="121" t="s">
        <v>2817</v>
      </c>
      <c r="F19" s="133" t="s">
        <v>2818</v>
      </c>
      <c r="G19" s="133" t="str">
        <f t="shared" si="2"/>
        <v>#N/A</v>
      </c>
    </row>
    <row r="20">
      <c r="A20" s="121" t="s">
        <v>28</v>
      </c>
      <c r="B20" s="133" t="s">
        <v>29</v>
      </c>
      <c r="C20" s="133" t="s">
        <v>2803</v>
      </c>
      <c r="D20" s="144" t="str">
        <f t="shared" si="1"/>
        <v>ADVANCED POWER SEMICONDUCTOR DEVICES</v>
      </c>
      <c r="E20" s="121" t="s">
        <v>2819</v>
      </c>
      <c r="F20" s="133" t="s">
        <v>21</v>
      </c>
      <c r="G20" s="133" t="str">
        <f t="shared" si="2"/>
        <v>#N/A</v>
      </c>
    </row>
    <row r="21">
      <c r="A21" s="121" t="s">
        <v>33</v>
      </c>
      <c r="B21" s="133" t="s">
        <v>34</v>
      </c>
      <c r="C21" s="133" t="s">
        <v>2803</v>
      </c>
      <c r="D21" s="144" t="str">
        <f t="shared" si="1"/>
        <v>#N/A</v>
      </c>
      <c r="E21" s="121" t="s">
        <v>2716</v>
      </c>
      <c r="F21" s="133" t="s">
        <v>2820</v>
      </c>
      <c r="G21" s="133" t="str">
        <f t="shared" si="2"/>
        <v>#N/A</v>
      </c>
    </row>
    <row r="22">
      <c r="A22" s="121" t="s">
        <v>33</v>
      </c>
      <c r="B22" s="133" t="s">
        <v>34</v>
      </c>
      <c r="C22" s="133" t="s">
        <v>2803</v>
      </c>
      <c r="D22" s="144" t="str">
        <f t="shared" si="1"/>
        <v>#N/A</v>
      </c>
      <c r="E22" s="121" t="s">
        <v>28</v>
      </c>
      <c r="F22" s="133" t="s">
        <v>29</v>
      </c>
      <c r="G22" s="133" t="str">
        <f t="shared" si="2"/>
        <v>2024-25 EVEN</v>
      </c>
    </row>
    <row r="23">
      <c r="A23" s="121" t="s">
        <v>35</v>
      </c>
      <c r="B23" s="133" t="s">
        <v>36</v>
      </c>
      <c r="C23" s="133" t="s">
        <v>2803</v>
      </c>
      <c r="D23" s="144" t="str">
        <f t="shared" si="1"/>
        <v>#N/A</v>
      </c>
      <c r="E23" s="121" t="s">
        <v>2821</v>
      </c>
      <c r="F23" s="133" t="s">
        <v>31</v>
      </c>
      <c r="G23" s="133" t="str">
        <f t="shared" si="2"/>
        <v>#N/A</v>
      </c>
    </row>
    <row r="24">
      <c r="A24" s="121" t="s">
        <v>35</v>
      </c>
      <c r="B24" s="133" t="s">
        <v>36</v>
      </c>
      <c r="C24" s="133" t="s">
        <v>2803</v>
      </c>
      <c r="D24" s="144" t="str">
        <f t="shared" si="1"/>
        <v>#N/A</v>
      </c>
      <c r="E24" s="121" t="s">
        <v>2822</v>
      </c>
      <c r="F24" s="133" t="s">
        <v>2823</v>
      </c>
      <c r="G24" s="133" t="str">
        <f t="shared" si="2"/>
        <v>#N/A</v>
      </c>
    </row>
    <row r="25">
      <c r="A25" s="121" t="s">
        <v>35</v>
      </c>
      <c r="B25" s="133" t="s">
        <v>36</v>
      </c>
      <c r="C25" s="133" t="s">
        <v>2803</v>
      </c>
      <c r="D25" s="144" t="str">
        <f t="shared" si="1"/>
        <v>#N/A</v>
      </c>
      <c r="E25" s="121" t="s">
        <v>2822</v>
      </c>
      <c r="F25" s="133" t="s">
        <v>2823</v>
      </c>
      <c r="G25" s="133" t="str">
        <f t="shared" si="2"/>
        <v>#N/A</v>
      </c>
    </row>
    <row r="26">
      <c r="A26" s="121" t="s">
        <v>38</v>
      </c>
      <c r="B26" s="133" t="s">
        <v>39</v>
      </c>
      <c r="C26" s="133" t="s">
        <v>2803</v>
      </c>
      <c r="D26" s="144" t="str">
        <f t="shared" si="1"/>
        <v>#N/A</v>
      </c>
      <c r="E26" s="121" t="s">
        <v>2824</v>
      </c>
      <c r="F26" s="133" t="s">
        <v>2825</v>
      </c>
      <c r="G26" s="133" t="str">
        <f t="shared" si="2"/>
        <v>#N/A</v>
      </c>
    </row>
    <row r="27">
      <c r="A27" s="121" t="s">
        <v>2746</v>
      </c>
      <c r="B27" s="133" t="s">
        <v>2747</v>
      </c>
      <c r="C27" s="133" t="s">
        <v>2803</v>
      </c>
      <c r="D27" s="144" t="str">
        <f t="shared" si="1"/>
        <v>FASHION STYLING AND MODELLING</v>
      </c>
      <c r="E27" s="121" t="s">
        <v>189</v>
      </c>
      <c r="F27" s="133" t="s">
        <v>2826</v>
      </c>
      <c r="G27" s="133" t="str">
        <f t="shared" si="2"/>
        <v>#N/A</v>
      </c>
    </row>
    <row r="28">
      <c r="A28" s="121" t="s">
        <v>2757</v>
      </c>
      <c r="B28" s="133" t="s">
        <v>2758</v>
      </c>
      <c r="C28" s="133" t="s">
        <v>2803</v>
      </c>
      <c r="D28" s="144" t="str">
        <f t="shared" si="1"/>
        <v>FRUIT AND VEGETABLE PROCESSING</v>
      </c>
      <c r="E28" s="121" t="s">
        <v>2746</v>
      </c>
      <c r="F28" s="133" t="s">
        <v>2747</v>
      </c>
      <c r="G28" s="133" t="str">
        <f t="shared" si="2"/>
        <v>2024-25 EVEN</v>
      </c>
    </row>
    <row r="29">
      <c r="A29" s="121" t="s">
        <v>2764</v>
      </c>
      <c r="B29" s="133" t="s">
        <v>8</v>
      </c>
      <c r="C29" s="133" t="s">
        <v>2803</v>
      </c>
      <c r="D29" s="144" t="str">
        <f t="shared" si="1"/>
        <v>UI AND UX DESIGN</v>
      </c>
      <c r="E29" s="121" t="s">
        <v>2757</v>
      </c>
      <c r="F29" s="133" t="s">
        <v>2758</v>
      </c>
      <c r="G29" s="133" t="str">
        <f t="shared" si="2"/>
        <v>2024-25 EVEN</v>
      </c>
    </row>
    <row r="30">
      <c r="A30" s="121" t="s">
        <v>42</v>
      </c>
      <c r="B30" s="133" t="s">
        <v>8</v>
      </c>
      <c r="C30" s="133" t="s">
        <v>2803</v>
      </c>
      <c r="D30" s="144" t="str">
        <f t="shared" si="1"/>
        <v>UI AND UX DESIGN</v>
      </c>
      <c r="E30" s="121" t="s">
        <v>2827</v>
      </c>
      <c r="F30" s="133" t="s">
        <v>2828</v>
      </c>
      <c r="G30" s="133" t="str">
        <f t="shared" si="2"/>
        <v>#N/A</v>
      </c>
    </row>
    <row r="31">
      <c r="A31" s="121" t="s">
        <v>42</v>
      </c>
      <c r="B31" s="133" t="s">
        <v>8</v>
      </c>
      <c r="C31" s="133" t="s">
        <v>2803</v>
      </c>
      <c r="D31" s="144" t="str">
        <f t="shared" si="1"/>
        <v>UI AND UX DESIGN</v>
      </c>
      <c r="E31" s="121" t="s">
        <v>2829</v>
      </c>
      <c r="F31" s="133" t="s">
        <v>21</v>
      </c>
      <c r="G31" s="133" t="str">
        <f t="shared" si="2"/>
        <v>#N/A</v>
      </c>
    </row>
    <row r="32">
      <c r="A32" s="121" t="s">
        <v>42</v>
      </c>
      <c r="B32" s="133" t="s">
        <v>8</v>
      </c>
      <c r="C32" s="133" t="s">
        <v>2803</v>
      </c>
      <c r="D32" s="144" t="str">
        <f t="shared" si="1"/>
        <v>UI AND UX DESIGN</v>
      </c>
      <c r="E32" s="121" t="s">
        <v>2830</v>
      </c>
      <c r="F32" s="133" t="s">
        <v>2831</v>
      </c>
      <c r="G32" s="133" t="str">
        <f t="shared" si="2"/>
        <v>#N/A</v>
      </c>
    </row>
    <row r="33">
      <c r="A33" s="121" t="s">
        <v>44</v>
      </c>
      <c r="B33" s="133" t="s">
        <v>45</v>
      </c>
      <c r="C33" s="133" t="s">
        <v>2803</v>
      </c>
      <c r="D33" s="144" t="str">
        <f t="shared" si="1"/>
        <v>CONCEPTS OF ENGINEERING DESIGN</v>
      </c>
      <c r="E33" s="121" t="s">
        <v>2832</v>
      </c>
      <c r="F33" s="133" t="s">
        <v>8</v>
      </c>
      <c r="G33" s="133" t="str">
        <f t="shared" si="2"/>
        <v>2024-25 EVEN</v>
      </c>
    </row>
    <row r="34">
      <c r="A34" s="121" t="s">
        <v>2771</v>
      </c>
      <c r="B34" s="133" t="s">
        <v>2772</v>
      </c>
      <c r="C34" s="133" t="s">
        <v>2803</v>
      </c>
      <c r="D34" s="144" t="str">
        <f t="shared" si="1"/>
        <v>NON-TRADITIONAL MACHINING PROCESSES</v>
      </c>
      <c r="E34" s="121" t="s">
        <v>2832</v>
      </c>
      <c r="F34" s="133" t="s">
        <v>8</v>
      </c>
      <c r="G34" s="133" t="str">
        <f t="shared" si="2"/>
        <v>2024-25 EVEN</v>
      </c>
    </row>
    <row r="35">
      <c r="A35" s="121" t="s">
        <v>1878</v>
      </c>
      <c r="B35" s="133" t="s">
        <v>1879</v>
      </c>
      <c r="C35" s="133" t="s">
        <v>2803</v>
      </c>
      <c r="D35" s="144" t="str">
        <f t="shared" si="1"/>
        <v>#N/A</v>
      </c>
      <c r="E35" s="121" t="s">
        <v>2771</v>
      </c>
      <c r="F35" s="133" t="s">
        <v>2772</v>
      </c>
      <c r="G35" s="133" t="str">
        <f t="shared" si="2"/>
        <v>2024-25 EVEN</v>
      </c>
    </row>
    <row r="36">
      <c r="E36" s="121" t="s">
        <v>44</v>
      </c>
      <c r="F36" s="133" t="s">
        <v>45</v>
      </c>
      <c r="G36" s="133" t="str">
        <f t="shared" si="2"/>
        <v>2024-25 EVEN</v>
      </c>
    </row>
    <row r="37">
      <c r="E37" s="121" t="s">
        <v>2833</v>
      </c>
      <c r="F37" s="133" t="s">
        <v>2834</v>
      </c>
      <c r="G37" s="133" t="str">
        <f t="shared" si="2"/>
        <v>#N/A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.25"/>
    <col customWidth="1" min="5" max="5" width="24.88"/>
    <col customWidth="1" min="6" max="6" width="20.0"/>
    <col customWidth="1" min="7" max="10" width="7.88"/>
    <col customWidth="1" min="13" max="13" width="24.63"/>
    <col customWidth="1" min="14" max="14" width="30.88"/>
  </cols>
  <sheetData>
    <row r="1">
      <c r="A1" s="163" t="s">
        <v>1560</v>
      </c>
      <c r="B1" s="163" t="s">
        <v>1561</v>
      </c>
      <c r="C1" s="163" t="s">
        <v>1562</v>
      </c>
      <c r="D1" s="163" t="s">
        <v>1563</v>
      </c>
      <c r="E1" s="164" t="s">
        <v>1564</v>
      </c>
      <c r="F1" s="163" t="s">
        <v>1565</v>
      </c>
      <c r="G1" s="163" t="s">
        <v>1566</v>
      </c>
      <c r="H1" s="163" t="s">
        <v>1567</v>
      </c>
      <c r="I1" s="163" t="s">
        <v>1568</v>
      </c>
      <c r="J1" s="163" t="s">
        <v>1569</v>
      </c>
      <c r="K1" s="163" t="s">
        <v>2835</v>
      </c>
      <c r="L1" s="163" t="s">
        <v>1570</v>
      </c>
      <c r="M1" s="62" t="s">
        <v>257</v>
      </c>
      <c r="N1" s="163" t="s">
        <v>1571</v>
      </c>
      <c r="O1" s="163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>
      <c r="A2" s="165" t="s">
        <v>0</v>
      </c>
      <c r="B2" s="165" t="s">
        <v>1596</v>
      </c>
      <c r="C2" s="165" t="s">
        <v>1573</v>
      </c>
      <c r="D2" s="165" t="s">
        <v>1597</v>
      </c>
      <c r="E2" s="166" t="s">
        <v>1598</v>
      </c>
      <c r="F2" s="165" t="s">
        <v>1579</v>
      </c>
      <c r="G2" s="165">
        <v>3.0</v>
      </c>
      <c r="H2" s="165">
        <v>0.0</v>
      </c>
      <c r="I2" s="165">
        <v>2.0</v>
      </c>
      <c r="J2" s="165">
        <v>4.0</v>
      </c>
      <c r="K2" s="170">
        <v>20.0</v>
      </c>
      <c r="L2" s="165" t="s">
        <v>395</v>
      </c>
      <c r="M2" s="166" t="s">
        <v>2126</v>
      </c>
      <c r="N2" s="165" t="s">
        <v>397</v>
      </c>
      <c r="O2" s="165"/>
    </row>
    <row r="3">
      <c r="A3" s="165" t="s">
        <v>0</v>
      </c>
      <c r="B3" s="165" t="s">
        <v>1596</v>
      </c>
      <c r="C3" s="165" t="s">
        <v>1573</v>
      </c>
      <c r="D3" s="165" t="s">
        <v>1599</v>
      </c>
      <c r="E3" s="166" t="s">
        <v>1600</v>
      </c>
      <c r="F3" s="165" t="s">
        <v>1579</v>
      </c>
      <c r="G3" s="165">
        <v>3.0</v>
      </c>
      <c r="H3" s="165">
        <v>0.0</v>
      </c>
      <c r="I3" s="165">
        <v>2.0</v>
      </c>
      <c r="J3" s="165">
        <v>4.0</v>
      </c>
      <c r="K3" s="170">
        <v>20.0</v>
      </c>
      <c r="L3" s="165" t="s">
        <v>2128</v>
      </c>
      <c r="M3" s="166" t="s">
        <v>2129</v>
      </c>
      <c r="N3" s="165" t="s">
        <v>2130</v>
      </c>
      <c r="O3" s="165"/>
    </row>
    <row r="4">
      <c r="A4" s="165" t="s">
        <v>0</v>
      </c>
      <c r="B4" s="165" t="s">
        <v>1596</v>
      </c>
      <c r="C4" s="165" t="s">
        <v>1573</v>
      </c>
      <c r="D4" s="165" t="s">
        <v>1601</v>
      </c>
      <c r="E4" s="166" t="s">
        <v>1602</v>
      </c>
      <c r="F4" s="165" t="s">
        <v>1579</v>
      </c>
      <c r="G4" s="165">
        <v>2.0</v>
      </c>
      <c r="H4" s="165">
        <v>1.0</v>
      </c>
      <c r="I4" s="165">
        <v>2.0</v>
      </c>
      <c r="J4" s="165">
        <v>4.0</v>
      </c>
      <c r="K4" s="170">
        <v>15.0</v>
      </c>
      <c r="L4" s="165" t="s">
        <v>401</v>
      </c>
      <c r="M4" s="166" t="s">
        <v>2131</v>
      </c>
      <c r="N4" s="165" t="s">
        <v>403</v>
      </c>
      <c r="O4" s="165"/>
    </row>
    <row r="5">
      <c r="A5" s="165" t="s">
        <v>0</v>
      </c>
      <c r="B5" s="165" t="s">
        <v>1596</v>
      </c>
      <c r="C5" s="165" t="s">
        <v>1573</v>
      </c>
      <c r="D5" s="165" t="s">
        <v>1603</v>
      </c>
      <c r="E5" s="166" t="s">
        <v>1604</v>
      </c>
      <c r="F5" s="165" t="s">
        <v>1579</v>
      </c>
      <c r="G5" s="165">
        <v>3.0</v>
      </c>
      <c r="H5" s="165">
        <v>0.0</v>
      </c>
      <c r="I5" s="165">
        <v>2.0</v>
      </c>
      <c r="J5" s="165">
        <v>4.0</v>
      </c>
      <c r="K5" s="170">
        <v>20.0</v>
      </c>
      <c r="L5" s="165" t="s">
        <v>1413</v>
      </c>
      <c r="M5" s="166" t="s">
        <v>2132</v>
      </c>
      <c r="N5" s="165" t="s">
        <v>1415</v>
      </c>
      <c r="O5" s="165"/>
    </row>
    <row r="6">
      <c r="A6" s="165" t="s">
        <v>4</v>
      </c>
      <c r="B6" s="165" t="s">
        <v>1596</v>
      </c>
      <c r="C6" s="165" t="s">
        <v>1573</v>
      </c>
      <c r="D6" s="165" t="s">
        <v>1648</v>
      </c>
      <c r="E6" s="166" t="s">
        <v>1649</v>
      </c>
      <c r="F6" s="165" t="s">
        <v>1579</v>
      </c>
      <c r="G6" s="165">
        <v>3.0</v>
      </c>
      <c r="H6" s="165">
        <v>0.0</v>
      </c>
      <c r="I6" s="165">
        <v>2.0</v>
      </c>
      <c r="J6" s="165">
        <v>4.0</v>
      </c>
      <c r="K6" s="170">
        <v>20.0</v>
      </c>
      <c r="L6" s="165" t="s">
        <v>319</v>
      </c>
      <c r="M6" s="166" t="s">
        <v>2185</v>
      </c>
      <c r="N6" s="165" t="s">
        <v>321</v>
      </c>
      <c r="O6" s="165"/>
    </row>
    <row r="7">
      <c r="A7" s="165" t="s">
        <v>4</v>
      </c>
      <c r="B7" s="165" t="s">
        <v>1596</v>
      </c>
      <c r="C7" s="165" t="s">
        <v>1573</v>
      </c>
      <c r="D7" s="165" t="s">
        <v>1648</v>
      </c>
      <c r="E7" s="166" t="s">
        <v>1649</v>
      </c>
      <c r="F7" s="165" t="s">
        <v>1579</v>
      </c>
      <c r="G7" s="165">
        <v>3.0</v>
      </c>
      <c r="H7" s="165">
        <v>0.0</v>
      </c>
      <c r="I7" s="165">
        <v>2.0</v>
      </c>
      <c r="J7" s="165">
        <v>4.0</v>
      </c>
      <c r="K7" s="170">
        <v>20.0</v>
      </c>
      <c r="L7" s="165" t="s">
        <v>293</v>
      </c>
      <c r="M7" s="166" t="s">
        <v>2073</v>
      </c>
      <c r="N7" s="165" t="s">
        <v>295</v>
      </c>
      <c r="O7" s="165"/>
    </row>
    <row r="8">
      <c r="A8" s="165" t="s">
        <v>4</v>
      </c>
      <c r="B8" s="165" t="s">
        <v>1596</v>
      </c>
      <c r="C8" s="165" t="s">
        <v>1573</v>
      </c>
      <c r="D8" s="165" t="s">
        <v>1648</v>
      </c>
      <c r="E8" s="166" t="s">
        <v>1649</v>
      </c>
      <c r="F8" s="165" t="s">
        <v>1579</v>
      </c>
      <c r="G8" s="165">
        <v>3.0</v>
      </c>
      <c r="H8" s="165">
        <v>0.0</v>
      </c>
      <c r="I8" s="165">
        <v>2.0</v>
      </c>
      <c r="J8" s="165">
        <v>4.0</v>
      </c>
      <c r="K8" s="170">
        <v>20.0</v>
      </c>
      <c r="L8" s="165" t="s">
        <v>289</v>
      </c>
      <c r="M8" s="166" t="s">
        <v>2186</v>
      </c>
      <c r="N8" s="165" t="s">
        <v>292</v>
      </c>
      <c r="O8" s="165"/>
    </row>
    <row r="9">
      <c r="A9" s="165" t="s">
        <v>4</v>
      </c>
      <c r="B9" s="165" t="s">
        <v>1596</v>
      </c>
      <c r="C9" s="165" t="s">
        <v>1573</v>
      </c>
      <c r="D9" s="165" t="s">
        <v>1652</v>
      </c>
      <c r="E9" s="166" t="s">
        <v>1653</v>
      </c>
      <c r="F9" s="165" t="s">
        <v>1588</v>
      </c>
      <c r="G9" s="165">
        <v>3.0</v>
      </c>
      <c r="H9" s="165">
        <v>0.0</v>
      </c>
      <c r="I9" s="165">
        <v>2.0</v>
      </c>
      <c r="J9" s="165">
        <v>4.0</v>
      </c>
      <c r="K9" s="170">
        <v>0.0</v>
      </c>
      <c r="L9" s="165" t="s">
        <v>310</v>
      </c>
      <c r="M9" s="166" t="s">
        <v>2191</v>
      </c>
      <c r="N9" s="165" t="s">
        <v>312</v>
      </c>
      <c r="O9" s="165"/>
    </row>
    <row r="10">
      <c r="A10" s="165" t="s">
        <v>4</v>
      </c>
      <c r="B10" s="165" t="s">
        <v>1596</v>
      </c>
      <c r="C10" s="165" t="s">
        <v>1573</v>
      </c>
      <c r="D10" s="165" t="s">
        <v>1652</v>
      </c>
      <c r="E10" s="166" t="s">
        <v>1653</v>
      </c>
      <c r="F10" s="165" t="s">
        <v>1579</v>
      </c>
      <c r="G10" s="165">
        <v>3.0</v>
      </c>
      <c r="H10" s="165">
        <v>0.0</v>
      </c>
      <c r="I10" s="165">
        <v>2.0</v>
      </c>
      <c r="J10" s="165">
        <v>4.0</v>
      </c>
      <c r="K10" s="170">
        <v>20.0</v>
      </c>
      <c r="L10" s="165" t="s">
        <v>346</v>
      </c>
      <c r="M10" s="166" t="s">
        <v>2072</v>
      </c>
      <c r="N10" s="165" t="s">
        <v>348</v>
      </c>
      <c r="O10" s="165"/>
    </row>
    <row r="11">
      <c r="A11" s="165" t="s">
        <v>4</v>
      </c>
      <c r="B11" s="165" t="s">
        <v>1596</v>
      </c>
      <c r="C11" s="165" t="s">
        <v>1573</v>
      </c>
      <c r="D11" s="165" t="s">
        <v>1652</v>
      </c>
      <c r="E11" s="166" t="s">
        <v>1653</v>
      </c>
      <c r="F11" s="165" t="s">
        <v>1579</v>
      </c>
      <c r="G11" s="165">
        <v>3.0</v>
      </c>
      <c r="H11" s="165">
        <v>0.0</v>
      </c>
      <c r="I11" s="165">
        <v>2.0</v>
      </c>
      <c r="J11" s="165">
        <v>4.0</v>
      </c>
      <c r="K11" s="170">
        <v>20.0</v>
      </c>
      <c r="L11" s="165" t="s">
        <v>340</v>
      </c>
      <c r="M11" s="166" t="s">
        <v>2192</v>
      </c>
      <c r="N11" s="165" t="s">
        <v>342</v>
      </c>
      <c r="O11" s="165"/>
    </row>
    <row r="12">
      <c r="A12" s="165" t="s">
        <v>4</v>
      </c>
      <c r="B12" s="165" t="s">
        <v>1596</v>
      </c>
      <c r="C12" s="165" t="s">
        <v>1573</v>
      </c>
      <c r="D12" s="165" t="s">
        <v>1654</v>
      </c>
      <c r="E12" s="166" t="s">
        <v>1655</v>
      </c>
      <c r="F12" s="165" t="s">
        <v>1579</v>
      </c>
      <c r="G12" s="165">
        <v>3.0</v>
      </c>
      <c r="H12" s="165">
        <v>0.0</v>
      </c>
      <c r="I12" s="165">
        <v>2.0</v>
      </c>
      <c r="J12" s="165">
        <v>4.0</v>
      </c>
      <c r="K12" s="170">
        <v>20.0</v>
      </c>
      <c r="L12" s="165" t="s">
        <v>313</v>
      </c>
      <c r="M12" s="166" t="s">
        <v>2193</v>
      </c>
      <c r="N12" s="165" t="s">
        <v>315</v>
      </c>
      <c r="O12" s="165"/>
    </row>
    <row r="13">
      <c r="A13" s="165" t="s">
        <v>4</v>
      </c>
      <c r="B13" s="165" t="s">
        <v>1596</v>
      </c>
      <c r="C13" s="165" t="s">
        <v>1573</v>
      </c>
      <c r="D13" s="165" t="s">
        <v>1654</v>
      </c>
      <c r="E13" s="166" t="s">
        <v>1655</v>
      </c>
      <c r="F13" s="165" t="s">
        <v>1579</v>
      </c>
      <c r="G13" s="165">
        <v>3.0</v>
      </c>
      <c r="H13" s="165">
        <v>0.0</v>
      </c>
      <c r="I13" s="165">
        <v>2.0</v>
      </c>
      <c r="J13" s="165">
        <v>4.0</v>
      </c>
      <c r="K13" s="170">
        <v>20.0</v>
      </c>
      <c r="L13" s="165" t="s">
        <v>2210</v>
      </c>
      <c r="M13" s="166" t="s">
        <v>2211</v>
      </c>
      <c r="N13" s="165" t="s">
        <v>767</v>
      </c>
      <c r="O13" s="165"/>
    </row>
    <row r="14">
      <c r="A14" s="165" t="s">
        <v>4</v>
      </c>
      <c r="B14" s="165" t="s">
        <v>1596</v>
      </c>
      <c r="C14" s="165" t="s">
        <v>1573</v>
      </c>
      <c r="D14" s="165" t="s">
        <v>1654</v>
      </c>
      <c r="E14" s="166" t="s">
        <v>1655</v>
      </c>
      <c r="F14" s="165" t="s">
        <v>1579</v>
      </c>
      <c r="G14" s="165">
        <v>3.0</v>
      </c>
      <c r="H14" s="165">
        <v>0.0</v>
      </c>
      <c r="I14" s="165">
        <v>2.0</v>
      </c>
      <c r="J14" s="165">
        <v>4.0</v>
      </c>
      <c r="K14" s="170">
        <v>20.0</v>
      </c>
      <c r="L14" s="165" t="s">
        <v>296</v>
      </c>
      <c r="M14" s="166" t="s">
        <v>2195</v>
      </c>
      <c r="N14" s="165" t="s">
        <v>298</v>
      </c>
      <c r="O14" s="165"/>
    </row>
    <row r="15">
      <c r="A15" s="165" t="s">
        <v>9</v>
      </c>
      <c r="B15" s="165" t="s">
        <v>1596</v>
      </c>
      <c r="C15" s="165" t="s">
        <v>1573</v>
      </c>
      <c r="D15" s="165" t="s">
        <v>1670</v>
      </c>
      <c r="E15" s="166" t="s">
        <v>1649</v>
      </c>
      <c r="F15" s="165" t="s">
        <v>1579</v>
      </c>
      <c r="G15" s="165">
        <v>3.0</v>
      </c>
      <c r="H15" s="165">
        <v>0.0</v>
      </c>
      <c r="I15" s="165">
        <v>2.0</v>
      </c>
      <c r="J15" s="165">
        <v>4.0</v>
      </c>
      <c r="K15" s="170">
        <v>20.0</v>
      </c>
      <c r="L15" s="165" t="s">
        <v>429</v>
      </c>
      <c r="M15" s="166" t="s">
        <v>2229</v>
      </c>
      <c r="N15" s="165" t="s">
        <v>431</v>
      </c>
      <c r="O15" s="165"/>
    </row>
    <row r="16">
      <c r="A16" s="165" t="s">
        <v>9</v>
      </c>
      <c r="B16" s="165" t="s">
        <v>1596</v>
      </c>
      <c r="C16" s="165" t="s">
        <v>1573</v>
      </c>
      <c r="D16" s="165" t="s">
        <v>1670</v>
      </c>
      <c r="E16" s="166" t="s">
        <v>1649</v>
      </c>
      <c r="F16" s="165" t="s">
        <v>1579</v>
      </c>
      <c r="G16" s="165">
        <v>3.0</v>
      </c>
      <c r="H16" s="165">
        <v>0.0</v>
      </c>
      <c r="I16" s="165">
        <v>2.0</v>
      </c>
      <c r="J16" s="165">
        <v>4.0</v>
      </c>
      <c r="K16" s="170">
        <v>20.0</v>
      </c>
      <c r="L16" s="165" t="s">
        <v>2230</v>
      </c>
      <c r="M16" s="166" t="s">
        <v>2231</v>
      </c>
      <c r="N16" s="165" t="s">
        <v>2232</v>
      </c>
      <c r="O16" s="165"/>
    </row>
    <row r="17">
      <c r="A17" s="165" t="s">
        <v>9</v>
      </c>
      <c r="B17" s="165" t="s">
        <v>1596</v>
      </c>
      <c r="C17" s="165" t="s">
        <v>1573</v>
      </c>
      <c r="D17" s="165" t="s">
        <v>1672</v>
      </c>
      <c r="E17" s="166" t="s">
        <v>1653</v>
      </c>
      <c r="F17" s="165" t="s">
        <v>1579</v>
      </c>
      <c r="G17" s="165">
        <v>2.0</v>
      </c>
      <c r="H17" s="165">
        <v>0.0</v>
      </c>
      <c r="I17" s="165">
        <v>2.0</v>
      </c>
      <c r="J17" s="165">
        <v>4.0</v>
      </c>
      <c r="K17" s="170">
        <v>15.0</v>
      </c>
      <c r="L17" s="165" t="s">
        <v>2235</v>
      </c>
      <c r="M17" s="166" t="s">
        <v>2236</v>
      </c>
      <c r="N17" s="165" t="s">
        <v>2237</v>
      </c>
      <c r="O17" s="14">
        <v>26.0</v>
      </c>
    </row>
    <row r="18">
      <c r="A18" s="165" t="s">
        <v>9</v>
      </c>
      <c r="B18" s="165" t="s">
        <v>1596</v>
      </c>
      <c r="C18" s="165" t="s">
        <v>1573</v>
      </c>
      <c r="D18" s="165" t="s">
        <v>1672</v>
      </c>
      <c r="E18" s="166" t="s">
        <v>1653</v>
      </c>
      <c r="F18" s="165" t="s">
        <v>1579</v>
      </c>
      <c r="G18" s="165">
        <v>2.0</v>
      </c>
      <c r="H18" s="165">
        <v>0.0</v>
      </c>
      <c r="I18" s="165">
        <v>2.0</v>
      </c>
      <c r="J18" s="165">
        <v>4.0</v>
      </c>
      <c r="K18" s="170">
        <v>15.0</v>
      </c>
      <c r="L18" s="165" t="s">
        <v>438</v>
      </c>
      <c r="M18" s="166" t="s">
        <v>2238</v>
      </c>
      <c r="N18" s="165" t="s">
        <v>440</v>
      </c>
      <c r="O18" s="165"/>
    </row>
    <row r="19">
      <c r="A19" s="165" t="s">
        <v>9</v>
      </c>
      <c r="B19" s="165" t="s">
        <v>1596</v>
      </c>
      <c r="C19" s="165" t="s">
        <v>1573</v>
      </c>
      <c r="D19" s="165" t="s">
        <v>1673</v>
      </c>
      <c r="E19" s="166" t="s">
        <v>1655</v>
      </c>
      <c r="F19" s="165" t="s">
        <v>1579</v>
      </c>
      <c r="G19" s="165">
        <v>3.0</v>
      </c>
      <c r="H19" s="165">
        <v>0.0</v>
      </c>
      <c r="I19" s="165">
        <v>2.0</v>
      </c>
      <c r="J19" s="165">
        <v>4.0</v>
      </c>
      <c r="K19" s="170">
        <v>20.0</v>
      </c>
      <c r="L19" s="165" t="s">
        <v>423</v>
      </c>
      <c r="M19" s="166" t="s">
        <v>2196</v>
      </c>
      <c r="N19" s="165" t="s">
        <v>425</v>
      </c>
      <c r="O19" s="165"/>
    </row>
    <row r="20">
      <c r="A20" s="165" t="s">
        <v>9</v>
      </c>
      <c r="B20" s="165" t="s">
        <v>1596</v>
      </c>
      <c r="C20" s="165" t="s">
        <v>1573</v>
      </c>
      <c r="D20" s="165" t="s">
        <v>1673</v>
      </c>
      <c r="E20" s="166" t="s">
        <v>1655</v>
      </c>
      <c r="F20" s="165" t="s">
        <v>1579</v>
      </c>
      <c r="G20" s="165">
        <v>3.0</v>
      </c>
      <c r="H20" s="165">
        <v>0.0</v>
      </c>
      <c r="I20" s="165">
        <v>2.0</v>
      </c>
      <c r="J20" s="165">
        <v>4.0</v>
      </c>
      <c r="K20" s="170">
        <v>20.0</v>
      </c>
      <c r="L20" s="165" t="s">
        <v>2239</v>
      </c>
      <c r="M20" s="166" t="s">
        <v>2240</v>
      </c>
      <c r="N20" s="165" t="s">
        <v>2241</v>
      </c>
      <c r="O20" s="165"/>
    </row>
    <row r="21">
      <c r="A21" s="165" t="s">
        <v>83</v>
      </c>
      <c r="B21" s="165" t="s">
        <v>1596</v>
      </c>
      <c r="C21" s="165" t="s">
        <v>1573</v>
      </c>
      <c r="D21" s="165" t="s">
        <v>2087</v>
      </c>
      <c r="E21" s="166" t="s">
        <v>2088</v>
      </c>
      <c r="F21" s="165" t="s">
        <v>1579</v>
      </c>
      <c r="G21" s="165">
        <v>3.0</v>
      </c>
      <c r="H21" s="165">
        <v>0.0</v>
      </c>
      <c r="I21" s="165">
        <v>2.0</v>
      </c>
      <c r="J21" s="165">
        <v>4.0</v>
      </c>
      <c r="K21" s="170">
        <v>20.0</v>
      </c>
      <c r="L21" s="165" t="s">
        <v>479</v>
      </c>
      <c r="M21" s="166" t="s">
        <v>2254</v>
      </c>
      <c r="N21" s="165" t="s">
        <v>481</v>
      </c>
      <c r="O21" s="165"/>
    </row>
    <row r="22">
      <c r="A22" s="165" t="s">
        <v>83</v>
      </c>
      <c r="B22" s="165" t="s">
        <v>1596</v>
      </c>
      <c r="C22" s="165" t="s">
        <v>1573</v>
      </c>
      <c r="D22" s="165" t="s">
        <v>2089</v>
      </c>
      <c r="E22" s="166" t="s">
        <v>1807</v>
      </c>
      <c r="F22" s="165" t="s">
        <v>1588</v>
      </c>
      <c r="G22" s="165">
        <v>3.0</v>
      </c>
      <c r="H22" s="165">
        <v>0.0</v>
      </c>
      <c r="I22" s="165">
        <v>2.0</v>
      </c>
      <c r="J22" s="165">
        <v>4.0</v>
      </c>
      <c r="K22" s="170">
        <v>0.0</v>
      </c>
      <c r="L22" s="165" t="s">
        <v>1333</v>
      </c>
      <c r="M22" s="166" t="s">
        <v>2260</v>
      </c>
      <c r="N22" s="165" t="s">
        <v>1335</v>
      </c>
      <c r="O22" s="165"/>
    </row>
    <row r="23">
      <c r="A23" s="165" t="s">
        <v>13</v>
      </c>
      <c r="B23" s="165" t="s">
        <v>1596</v>
      </c>
      <c r="C23" s="165" t="s">
        <v>1573</v>
      </c>
      <c r="D23" s="165" t="s">
        <v>1765</v>
      </c>
      <c r="E23" s="166" t="s">
        <v>1766</v>
      </c>
      <c r="F23" s="165" t="s">
        <v>1588</v>
      </c>
      <c r="G23" s="165">
        <v>3.0</v>
      </c>
      <c r="H23" s="165">
        <v>0.0</v>
      </c>
      <c r="I23" s="165">
        <v>2.0</v>
      </c>
      <c r="J23" s="165">
        <v>4.0</v>
      </c>
      <c r="K23" s="170">
        <v>0.0</v>
      </c>
      <c r="L23" s="165" t="s">
        <v>494</v>
      </c>
      <c r="M23" s="166" t="s">
        <v>2282</v>
      </c>
      <c r="N23" s="165" t="s">
        <v>497</v>
      </c>
      <c r="O23" s="165"/>
    </row>
    <row r="24">
      <c r="A24" s="165" t="s">
        <v>13</v>
      </c>
      <c r="B24" s="165" t="s">
        <v>1596</v>
      </c>
      <c r="C24" s="165" t="s">
        <v>1573</v>
      </c>
      <c r="D24" s="165" t="s">
        <v>1765</v>
      </c>
      <c r="E24" s="166" t="s">
        <v>1766</v>
      </c>
      <c r="F24" s="165" t="s">
        <v>1579</v>
      </c>
      <c r="G24" s="165">
        <v>3.0</v>
      </c>
      <c r="H24" s="165">
        <v>0.0</v>
      </c>
      <c r="I24" s="165">
        <v>2.0</v>
      </c>
      <c r="J24" s="165">
        <v>4.0</v>
      </c>
      <c r="K24" s="170">
        <v>20.0</v>
      </c>
      <c r="L24" s="165" t="s">
        <v>507</v>
      </c>
      <c r="M24" s="166" t="s">
        <v>2283</v>
      </c>
      <c r="N24" s="165" t="s">
        <v>509</v>
      </c>
      <c r="O24" s="165"/>
    </row>
    <row r="25">
      <c r="A25" s="165" t="s">
        <v>13</v>
      </c>
      <c r="B25" s="165" t="s">
        <v>1596</v>
      </c>
      <c r="C25" s="165" t="s">
        <v>1573</v>
      </c>
      <c r="D25" s="165" t="s">
        <v>1767</v>
      </c>
      <c r="E25" s="166" t="s">
        <v>1600</v>
      </c>
      <c r="F25" s="165" t="s">
        <v>1588</v>
      </c>
      <c r="G25" s="165">
        <v>3.0</v>
      </c>
      <c r="H25" s="165">
        <v>0.0</v>
      </c>
      <c r="I25" s="165">
        <v>2.0</v>
      </c>
      <c r="J25" s="165">
        <v>4.0</v>
      </c>
      <c r="K25" s="170">
        <v>0.0</v>
      </c>
      <c r="L25" s="165" t="s">
        <v>1404</v>
      </c>
      <c r="M25" s="166" t="s">
        <v>2285</v>
      </c>
      <c r="N25" s="165" t="s">
        <v>1406</v>
      </c>
      <c r="O25" s="165"/>
    </row>
    <row r="26">
      <c r="A26" s="165" t="s">
        <v>13</v>
      </c>
      <c r="B26" s="165" t="s">
        <v>1596</v>
      </c>
      <c r="C26" s="165" t="s">
        <v>1573</v>
      </c>
      <c r="D26" s="165" t="s">
        <v>1767</v>
      </c>
      <c r="E26" s="166" t="s">
        <v>1600</v>
      </c>
      <c r="F26" s="165" t="s">
        <v>1588</v>
      </c>
      <c r="G26" s="165">
        <v>3.0</v>
      </c>
      <c r="H26" s="165">
        <v>0.0</v>
      </c>
      <c r="I26" s="165">
        <v>2.0</v>
      </c>
      <c r="J26" s="165">
        <v>4.0</v>
      </c>
      <c r="K26" s="170">
        <v>0.0</v>
      </c>
      <c r="L26" s="165" t="s">
        <v>1366</v>
      </c>
      <c r="M26" s="166" t="s">
        <v>2287</v>
      </c>
      <c r="N26" s="165" t="s">
        <v>1368</v>
      </c>
      <c r="O26" s="165"/>
    </row>
    <row r="27">
      <c r="A27" s="165" t="s">
        <v>13</v>
      </c>
      <c r="B27" s="165" t="s">
        <v>1596</v>
      </c>
      <c r="C27" s="165" t="s">
        <v>1573</v>
      </c>
      <c r="D27" s="165" t="s">
        <v>1768</v>
      </c>
      <c r="E27" s="166" t="s">
        <v>1769</v>
      </c>
      <c r="F27" s="165" t="s">
        <v>1579</v>
      </c>
      <c r="G27" s="165">
        <v>3.0</v>
      </c>
      <c r="H27" s="165">
        <v>0.0</v>
      </c>
      <c r="I27" s="165">
        <v>2.0</v>
      </c>
      <c r="J27" s="165">
        <v>4.0</v>
      </c>
      <c r="K27" s="170">
        <v>20.0</v>
      </c>
      <c r="L27" s="165" t="s">
        <v>537</v>
      </c>
      <c r="M27" s="166" t="s">
        <v>2288</v>
      </c>
      <c r="N27" s="165" t="s">
        <v>539</v>
      </c>
      <c r="O27" s="165"/>
    </row>
    <row r="28">
      <c r="A28" s="165" t="s">
        <v>13</v>
      </c>
      <c r="B28" s="165" t="s">
        <v>1596</v>
      </c>
      <c r="C28" s="165" t="s">
        <v>1573</v>
      </c>
      <c r="D28" s="165" t="s">
        <v>1768</v>
      </c>
      <c r="E28" s="166" t="s">
        <v>1769</v>
      </c>
      <c r="F28" s="165" t="s">
        <v>1579</v>
      </c>
      <c r="G28" s="165">
        <v>3.0</v>
      </c>
      <c r="H28" s="165">
        <v>0.0</v>
      </c>
      <c r="I28" s="165">
        <v>2.0</v>
      </c>
      <c r="J28" s="165">
        <v>4.0</v>
      </c>
      <c r="K28" s="170">
        <v>20.0</v>
      </c>
      <c r="L28" s="165" t="s">
        <v>513</v>
      </c>
      <c r="M28" s="166" t="s">
        <v>2289</v>
      </c>
      <c r="N28" s="165" t="s">
        <v>515</v>
      </c>
      <c r="O28" s="165"/>
    </row>
    <row r="29">
      <c r="A29" s="165" t="s">
        <v>13</v>
      </c>
      <c r="B29" s="165" t="s">
        <v>1596</v>
      </c>
      <c r="C29" s="165" t="s">
        <v>1573</v>
      </c>
      <c r="D29" s="165" t="s">
        <v>1770</v>
      </c>
      <c r="E29" s="166" t="s">
        <v>1771</v>
      </c>
      <c r="F29" s="165" t="s">
        <v>1579</v>
      </c>
      <c r="G29" s="165">
        <v>3.0</v>
      </c>
      <c r="H29" s="165">
        <v>0.0</v>
      </c>
      <c r="I29" s="165">
        <v>2.0</v>
      </c>
      <c r="J29" s="165">
        <v>4.0</v>
      </c>
      <c r="K29" s="170">
        <v>20.0</v>
      </c>
      <c r="L29" s="165" t="s">
        <v>498</v>
      </c>
      <c r="M29" s="166" t="s">
        <v>2290</v>
      </c>
      <c r="N29" s="165" t="s">
        <v>500</v>
      </c>
      <c r="O29" s="165"/>
    </row>
    <row r="30">
      <c r="A30" s="165" t="s">
        <v>13</v>
      </c>
      <c r="B30" s="165" t="s">
        <v>1596</v>
      </c>
      <c r="C30" s="165" t="s">
        <v>1573</v>
      </c>
      <c r="D30" s="165" t="s">
        <v>1770</v>
      </c>
      <c r="E30" s="166" t="s">
        <v>1771</v>
      </c>
      <c r="F30" s="165" t="s">
        <v>1579</v>
      </c>
      <c r="G30" s="165">
        <v>3.0</v>
      </c>
      <c r="H30" s="165">
        <v>0.0</v>
      </c>
      <c r="I30" s="165">
        <v>2.0</v>
      </c>
      <c r="J30" s="165">
        <v>4.0</v>
      </c>
      <c r="K30" s="170">
        <v>20.0</v>
      </c>
      <c r="L30" s="165" t="s">
        <v>516</v>
      </c>
      <c r="M30" s="166" t="s">
        <v>2291</v>
      </c>
      <c r="N30" s="165" t="s">
        <v>518</v>
      </c>
      <c r="O30" s="165"/>
    </row>
    <row r="31">
      <c r="A31" s="165" t="s">
        <v>13</v>
      </c>
      <c r="B31" s="165" t="s">
        <v>1596</v>
      </c>
      <c r="C31" s="165" t="s">
        <v>1573</v>
      </c>
      <c r="D31" s="165" t="s">
        <v>1772</v>
      </c>
      <c r="E31" s="166" t="s">
        <v>1773</v>
      </c>
      <c r="F31" s="165" t="s">
        <v>1579</v>
      </c>
      <c r="G31" s="165">
        <v>3.0</v>
      </c>
      <c r="H31" s="165">
        <v>0.0</v>
      </c>
      <c r="I31" s="165">
        <v>2.0</v>
      </c>
      <c r="J31" s="165">
        <v>4.0</v>
      </c>
      <c r="K31" s="170">
        <v>20.0</v>
      </c>
      <c r="L31" s="165" t="s">
        <v>549</v>
      </c>
      <c r="M31" s="166" t="s">
        <v>2292</v>
      </c>
      <c r="N31" s="165" t="s">
        <v>551</v>
      </c>
      <c r="O31" s="165"/>
    </row>
    <row r="32">
      <c r="A32" s="165" t="s">
        <v>13</v>
      </c>
      <c r="B32" s="165" t="s">
        <v>1596</v>
      </c>
      <c r="C32" s="165" t="s">
        <v>1573</v>
      </c>
      <c r="D32" s="165" t="s">
        <v>1772</v>
      </c>
      <c r="E32" s="166" t="s">
        <v>1773</v>
      </c>
      <c r="F32" s="165" t="s">
        <v>1579</v>
      </c>
      <c r="G32" s="165">
        <v>3.0</v>
      </c>
      <c r="H32" s="165">
        <v>0.0</v>
      </c>
      <c r="I32" s="165">
        <v>2.0</v>
      </c>
      <c r="J32" s="165">
        <v>4.0</v>
      </c>
      <c r="K32" s="170">
        <v>20.0</v>
      </c>
      <c r="L32" s="165" t="s">
        <v>519</v>
      </c>
      <c r="M32" s="166" t="s">
        <v>2293</v>
      </c>
      <c r="N32" s="165" t="s">
        <v>521</v>
      </c>
      <c r="O32" s="165"/>
    </row>
    <row r="33">
      <c r="A33" s="165" t="s">
        <v>111</v>
      </c>
      <c r="B33" s="165" t="s">
        <v>1596</v>
      </c>
      <c r="C33" s="165" t="s">
        <v>1573</v>
      </c>
      <c r="D33" s="165" t="s">
        <v>2090</v>
      </c>
      <c r="E33" s="166" t="s">
        <v>2091</v>
      </c>
      <c r="F33" s="165" t="s">
        <v>1579</v>
      </c>
      <c r="G33" s="165">
        <v>2.0</v>
      </c>
      <c r="H33" s="165">
        <v>1.0</v>
      </c>
      <c r="I33" s="165">
        <v>2.0</v>
      </c>
      <c r="J33" s="165">
        <v>4.0</v>
      </c>
      <c r="K33" s="170">
        <v>15.0</v>
      </c>
      <c r="L33" s="165" t="s">
        <v>2307</v>
      </c>
      <c r="M33" s="166" t="s">
        <v>2308</v>
      </c>
      <c r="N33" s="165" t="s">
        <v>2309</v>
      </c>
      <c r="O33" s="165"/>
    </row>
    <row r="34">
      <c r="A34" s="165" t="s">
        <v>111</v>
      </c>
      <c r="B34" s="165" t="s">
        <v>1596</v>
      </c>
      <c r="C34" s="165" t="s">
        <v>1573</v>
      </c>
      <c r="D34" s="165" t="s">
        <v>2092</v>
      </c>
      <c r="E34" s="166" t="s">
        <v>2093</v>
      </c>
      <c r="F34" s="165" t="s">
        <v>1579</v>
      </c>
      <c r="G34" s="165">
        <v>3.0</v>
      </c>
      <c r="H34" s="165">
        <v>0.0</v>
      </c>
      <c r="I34" s="165">
        <v>2.0</v>
      </c>
      <c r="J34" s="165">
        <v>4.0</v>
      </c>
      <c r="K34" s="170">
        <v>20.0</v>
      </c>
      <c r="L34" s="165" t="s">
        <v>604</v>
      </c>
      <c r="M34" s="166" t="s">
        <v>2310</v>
      </c>
      <c r="N34" s="165" t="s">
        <v>606</v>
      </c>
      <c r="O34" s="165"/>
    </row>
    <row r="35">
      <c r="A35" s="165" t="s">
        <v>111</v>
      </c>
      <c r="B35" s="165" t="s">
        <v>1596</v>
      </c>
      <c r="C35" s="165" t="s">
        <v>1573</v>
      </c>
      <c r="D35" s="165" t="s">
        <v>2094</v>
      </c>
      <c r="E35" s="166" t="s">
        <v>2095</v>
      </c>
      <c r="F35" s="165" t="s">
        <v>1579</v>
      </c>
      <c r="G35" s="165">
        <v>3.0</v>
      </c>
      <c r="H35" s="165">
        <v>0.0</v>
      </c>
      <c r="I35" s="165">
        <v>2.0</v>
      </c>
      <c r="J35" s="165">
        <v>4.0</v>
      </c>
      <c r="K35" s="170">
        <v>20.0</v>
      </c>
      <c r="L35" s="165" t="s">
        <v>2311</v>
      </c>
      <c r="M35" s="166" t="s">
        <v>2312</v>
      </c>
      <c r="N35" s="165" t="s">
        <v>2313</v>
      </c>
      <c r="O35" s="165"/>
    </row>
    <row r="36">
      <c r="A36" s="165" t="s">
        <v>111</v>
      </c>
      <c r="B36" s="165" t="s">
        <v>1596</v>
      </c>
      <c r="C36" s="165" t="s">
        <v>1573</v>
      </c>
      <c r="D36" s="165" t="s">
        <v>2096</v>
      </c>
      <c r="E36" s="166" t="s">
        <v>2097</v>
      </c>
      <c r="F36" s="165" t="s">
        <v>1579</v>
      </c>
      <c r="G36" s="165">
        <v>3.0</v>
      </c>
      <c r="H36" s="165">
        <v>0.0</v>
      </c>
      <c r="I36" s="165">
        <v>2.0</v>
      </c>
      <c r="J36" s="165">
        <v>4.0</v>
      </c>
      <c r="K36" s="170">
        <v>20.0</v>
      </c>
      <c r="L36" s="165" t="s">
        <v>597</v>
      </c>
      <c r="M36" s="166" t="s">
        <v>2314</v>
      </c>
      <c r="N36" s="165" t="s">
        <v>600</v>
      </c>
      <c r="O36" s="165"/>
    </row>
    <row r="37">
      <c r="A37" s="165" t="s">
        <v>18</v>
      </c>
      <c r="B37" s="165" t="s">
        <v>1596</v>
      </c>
      <c r="C37" s="165" t="s">
        <v>1573</v>
      </c>
      <c r="D37" s="165" t="s">
        <v>1729</v>
      </c>
      <c r="E37" s="166" t="s">
        <v>1649</v>
      </c>
      <c r="F37" s="165" t="s">
        <v>1588</v>
      </c>
      <c r="G37" s="165">
        <v>3.0</v>
      </c>
      <c r="H37" s="165">
        <v>0.0</v>
      </c>
      <c r="I37" s="165">
        <v>2.0</v>
      </c>
      <c r="J37" s="165">
        <v>4.0</v>
      </c>
      <c r="K37" s="170">
        <v>0.0</v>
      </c>
      <c r="L37" s="165" t="s">
        <v>744</v>
      </c>
      <c r="M37" s="166" t="s">
        <v>2363</v>
      </c>
      <c r="N37" s="165" t="s">
        <v>746</v>
      </c>
      <c r="O37" s="165"/>
    </row>
    <row r="38">
      <c r="A38" s="165" t="s">
        <v>18</v>
      </c>
      <c r="B38" s="165" t="s">
        <v>1596</v>
      </c>
      <c r="C38" s="165" t="s">
        <v>1573</v>
      </c>
      <c r="D38" s="165" t="s">
        <v>1729</v>
      </c>
      <c r="E38" s="166" t="s">
        <v>1649</v>
      </c>
      <c r="F38" s="165" t="s">
        <v>1579</v>
      </c>
      <c r="G38" s="165">
        <v>3.0</v>
      </c>
      <c r="H38" s="165">
        <v>0.0</v>
      </c>
      <c r="I38" s="165">
        <v>2.0</v>
      </c>
      <c r="J38" s="165">
        <v>4.0</v>
      </c>
      <c r="K38" s="170">
        <v>20.0</v>
      </c>
      <c r="L38" s="165" t="s">
        <v>669</v>
      </c>
      <c r="M38" s="166" t="s">
        <v>2364</v>
      </c>
      <c r="N38" s="165" t="s">
        <v>671</v>
      </c>
      <c r="O38" s="165"/>
    </row>
    <row r="39">
      <c r="A39" s="165" t="s">
        <v>18</v>
      </c>
      <c r="B39" s="165" t="s">
        <v>1596</v>
      </c>
      <c r="C39" s="165" t="s">
        <v>1573</v>
      </c>
      <c r="D39" s="165" t="s">
        <v>1729</v>
      </c>
      <c r="E39" s="166" t="s">
        <v>1649</v>
      </c>
      <c r="F39" s="165" t="s">
        <v>1579</v>
      </c>
      <c r="G39" s="165">
        <v>3.0</v>
      </c>
      <c r="H39" s="165">
        <v>0.0</v>
      </c>
      <c r="I39" s="165">
        <v>2.0</v>
      </c>
      <c r="J39" s="165">
        <v>4.0</v>
      </c>
      <c r="K39" s="170">
        <v>20.0</v>
      </c>
      <c r="L39" s="165" t="s">
        <v>702</v>
      </c>
      <c r="M39" s="166" t="s">
        <v>2365</v>
      </c>
      <c r="N39" s="165" t="s">
        <v>704</v>
      </c>
      <c r="O39" s="165"/>
    </row>
    <row r="40">
      <c r="A40" s="165" t="s">
        <v>18</v>
      </c>
      <c r="B40" s="165" t="s">
        <v>1596</v>
      </c>
      <c r="C40" s="165" t="s">
        <v>1573</v>
      </c>
      <c r="D40" s="165" t="s">
        <v>1729</v>
      </c>
      <c r="E40" s="166" t="s">
        <v>1649</v>
      </c>
      <c r="F40" s="165" t="s">
        <v>1579</v>
      </c>
      <c r="G40" s="165">
        <v>3.0</v>
      </c>
      <c r="H40" s="165">
        <v>0.0</v>
      </c>
      <c r="I40" s="165">
        <v>2.0</v>
      </c>
      <c r="J40" s="165">
        <v>4.0</v>
      </c>
      <c r="K40" s="170">
        <v>20.0</v>
      </c>
      <c r="L40" s="165" t="s">
        <v>2366</v>
      </c>
      <c r="M40" s="166" t="s">
        <v>2367</v>
      </c>
      <c r="N40" s="165" t="s">
        <v>2368</v>
      </c>
      <c r="O40" s="165"/>
    </row>
    <row r="41">
      <c r="A41" s="165" t="s">
        <v>18</v>
      </c>
      <c r="B41" s="165" t="s">
        <v>1596</v>
      </c>
      <c r="C41" s="165" t="s">
        <v>1573</v>
      </c>
      <c r="D41" s="165" t="s">
        <v>1731</v>
      </c>
      <c r="E41" s="166" t="s">
        <v>1653</v>
      </c>
      <c r="F41" s="165" t="s">
        <v>1579</v>
      </c>
      <c r="G41" s="165">
        <v>2.0</v>
      </c>
      <c r="H41" s="165">
        <v>0.0</v>
      </c>
      <c r="I41" s="165">
        <v>2.0</v>
      </c>
      <c r="J41" s="165">
        <v>3.0</v>
      </c>
      <c r="K41" s="170">
        <v>15.0</v>
      </c>
      <c r="L41" s="165" t="s">
        <v>699</v>
      </c>
      <c r="M41" s="166" t="s">
        <v>2369</v>
      </c>
      <c r="N41" s="165" t="s">
        <v>701</v>
      </c>
      <c r="O41" s="165"/>
    </row>
    <row r="42">
      <c r="A42" s="165" t="s">
        <v>18</v>
      </c>
      <c r="B42" s="165" t="s">
        <v>1596</v>
      </c>
      <c r="C42" s="165" t="s">
        <v>1573</v>
      </c>
      <c r="D42" s="165" t="s">
        <v>1731</v>
      </c>
      <c r="E42" s="166" t="s">
        <v>1653</v>
      </c>
      <c r="F42" s="165" t="s">
        <v>1579</v>
      </c>
      <c r="G42" s="165">
        <v>2.0</v>
      </c>
      <c r="H42" s="165">
        <v>0.0</v>
      </c>
      <c r="I42" s="165">
        <v>2.0</v>
      </c>
      <c r="J42" s="165">
        <v>3.0</v>
      </c>
      <c r="K42" s="170">
        <v>15.0</v>
      </c>
      <c r="L42" s="165" t="s">
        <v>729</v>
      </c>
      <c r="M42" s="166" t="s">
        <v>2370</v>
      </c>
      <c r="N42" s="165" t="s">
        <v>731</v>
      </c>
      <c r="O42" s="165"/>
    </row>
    <row r="43">
      <c r="A43" s="165" t="s">
        <v>18</v>
      </c>
      <c r="B43" s="165" t="s">
        <v>1596</v>
      </c>
      <c r="C43" s="165" t="s">
        <v>1573</v>
      </c>
      <c r="D43" s="165" t="s">
        <v>1731</v>
      </c>
      <c r="E43" s="166" t="s">
        <v>1653</v>
      </c>
      <c r="F43" s="165" t="s">
        <v>1579</v>
      </c>
      <c r="G43" s="165">
        <v>2.0</v>
      </c>
      <c r="H43" s="165">
        <v>0.0</v>
      </c>
      <c r="I43" s="165">
        <v>2.0</v>
      </c>
      <c r="J43" s="165">
        <v>3.0</v>
      </c>
      <c r="K43" s="170">
        <v>15.0</v>
      </c>
      <c r="L43" s="165" t="s">
        <v>696</v>
      </c>
      <c r="M43" s="166" t="s">
        <v>2373</v>
      </c>
      <c r="N43" s="165" t="s">
        <v>698</v>
      </c>
      <c r="O43" s="165"/>
    </row>
    <row r="44">
      <c r="A44" s="165" t="s">
        <v>18</v>
      </c>
      <c r="B44" s="165" t="s">
        <v>1596</v>
      </c>
      <c r="C44" s="165" t="s">
        <v>1573</v>
      </c>
      <c r="D44" s="165" t="s">
        <v>1732</v>
      </c>
      <c r="E44" s="166" t="s">
        <v>1655</v>
      </c>
      <c r="F44" s="165" t="s">
        <v>1579</v>
      </c>
      <c r="G44" s="165">
        <v>3.0</v>
      </c>
      <c r="H44" s="165">
        <v>0.0</v>
      </c>
      <c r="I44" s="165">
        <v>2.0</v>
      </c>
      <c r="J44" s="165">
        <v>4.0</v>
      </c>
      <c r="K44" s="170">
        <v>20.0</v>
      </c>
      <c r="L44" s="165" t="s">
        <v>750</v>
      </c>
      <c r="M44" s="166" t="s">
        <v>2374</v>
      </c>
      <c r="N44" s="165" t="s">
        <v>752</v>
      </c>
      <c r="O44" s="165"/>
    </row>
    <row r="45">
      <c r="A45" s="165" t="s">
        <v>18</v>
      </c>
      <c r="B45" s="165" t="s">
        <v>1596</v>
      </c>
      <c r="C45" s="165" t="s">
        <v>1573</v>
      </c>
      <c r="D45" s="165" t="s">
        <v>1732</v>
      </c>
      <c r="E45" s="166" t="s">
        <v>1655</v>
      </c>
      <c r="F45" s="165" t="s">
        <v>1579</v>
      </c>
      <c r="G45" s="165">
        <v>3.0</v>
      </c>
      <c r="H45" s="165">
        <v>0.0</v>
      </c>
      <c r="I45" s="165">
        <v>2.0</v>
      </c>
      <c r="J45" s="165">
        <v>4.0</v>
      </c>
      <c r="K45" s="170">
        <v>20.0</v>
      </c>
      <c r="L45" s="165" t="s">
        <v>711</v>
      </c>
      <c r="M45" s="166" t="s">
        <v>2375</v>
      </c>
      <c r="N45" s="165" t="s">
        <v>713</v>
      </c>
      <c r="O45" s="165"/>
    </row>
    <row r="46">
      <c r="A46" s="165" t="s">
        <v>18</v>
      </c>
      <c r="B46" s="165" t="s">
        <v>1596</v>
      </c>
      <c r="C46" s="165" t="s">
        <v>1573</v>
      </c>
      <c r="D46" s="165" t="s">
        <v>1732</v>
      </c>
      <c r="E46" s="166" t="s">
        <v>1655</v>
      </c>
      <c r="F46" s="165" t="s">
        <v>1579</v>
      </c>
      <c r="G46" s="165">
        <v>3.0</v>
      </c>
      <c r="H46" s="165">
        <v>0.0</v>
      </c>
      <c r="I46" s="165">
        <v>2.0</v>
      </c>
      <c r="J46" s="165">
        <v>4.0</v>
      </c>
      <c r="K46" s="170">
        <v>20.0</v>
      </c>
      <c r="L46" s="165" t="s">
        <v>723</v>
      </c>
      <c r="M46" s="166" t="s">
        <v>2376</v>
      </c>
      <c r="N46" s="165" t="s">
        <v>725</v>
      </c>
      <c r="O46" s="165"/>
    </row>
    <row r="47">
      <c r="A47" s="165" t="s">
        <v>18</v>
      </c>
      <c r="B47" s="165" t="s">
        <v>1596</v>
      </c>
      <c r="C47" s="165" t="s">
        <v>1573</v>
      </c>
      <c r="D47" s="165" t="s">
        <v>1732</v>
      </c>
      <c r="E47" s="166" t="s">
        <v>1655</v>
      </c>
      <c r="F47" s="165" t="s">
        <v>1579</v>
      </c>
      <c r="G47" s="165">
        <v>3.0</v>
      </c>
      <c r="H47" s="165">
        <v>0.0</v>
      </c>
      <c r="I47" s="165">
        <v>2.0</v>
      </c>
      <c r="J47" s="165">
        <v>4.0</v>
      </c>
      <c r="K47" s="170">
        <v>20.0</v>
      </c>
      <c r="L47" s="165" t="s">
        <v>687</v>
      </c>
      <c r="M47" s="166" t="s">
        <v>2377</v>
      </c>
      <c r="N47" s="165" t="s">
        <v>689</v>
      </c>
      <c r="O47" s="165"/>
    </row>
    <row r="48">
      <c r="A48" s="165" t="s">
        <v>24</v>
      </c>
      <c r="B48" s="165" t="s">
        <v>1596</v>
      </c>
      <c r="C48" s="165" t="s">
        <v>1573</v>
      </c>
      <c r="D48" s="165" t="s">
        <v>1702</v>
      </c>
      <c r="E48" s="166" t="s">
        <v>1651</v>
      </c>
      <c r="F48" s="165" t="s">
        <v>1579</v>
      </c>
      <c r="G48" s="165">
        <v>3.0</v>
      </c>
      <c r="H48" s="165">
        <v>0.0</v>
      </c>
      <c r="I48" s="165">
        <v>2.0</v>
      </c>
      <c r="J48" s="165">
        <v>4.0</v>
      </c>
      <c r="K48" s="170">
        <v>20.0</v>
      </c>
      <c r="L48" s="165" t="s">
        <v>562</v>
      </c>
      <c r="M48" s="166" t="s">
        <v>2215</v>
      </c>
      <c r="N48" s="165" t="s">
        <v>564</v>
      </c>
      <c r="O48" s="165"/>
    </row>
    <row r="49">
      <c r="A49" s="165" t="s">
        <v>24</v>
      </c>
      <c r="B49" s="165" t="s">
        <v>1596</v>
      </c>
      <c r="C49" s="165" t="s">
        <v>1573</v>
      </c>
      <c r="D49" s="165" t="s">
        <v>1703</v>
      </c>
      <c r="E49" s="166" t="s">
        <v>1704</v>
      </c>
      <c r="F49" s="165" t="s">
        <v>1579</v>
      </c>
      <c r="G49" s="165">
        <v>3.0</v>
      </c>
      <c r="H49" s="165">
        <v>0.0</v>
      </c>
      <c r="I49" s="165">
        <v>2.0</v>
      </c>
      <c r="J49" s="165">
        <v>4.0</v>
      </c>
      <c r="K49" s="170">
        <v>20.0</v>
      </c>
      <c r="L49" s="165" t="s">
        <v>2242</v>
      </c>
      <c r="M49" s="166" t="s">
        <v>2243</v>
      </c>
      <c r="N49" s="165" t="s">
        <v>2244</v>
      </c>
      <c r="O49" s="165"/>
    </row>
    <row r="50">
      <c r="A50" s="165" t="s">
        <v>24</v>
      </c>
      <c r="B50" s="165" t="s">
        <v>1596</v>
      </c>
      <c r="C50" s="165" t="s">
        <v>1573</v>
      </c>
      <c r="D50" s="165" t="s">
        <v>1705</v>
      </c>
      <c r="E50" s="166" t="s">
        <v>1706</v>
      </c>
      <c r="F50" s="165" t="s">
        <v>1579</v>
      </c>
      <c r="G50" s="165">
        <v>3.0</v>
      </c>
      <c r="H50" s="165">
        <v>0.0</v>
      </c>
      <c r="I50" s="165">
        <v>2.0</v>
      </c>
      <c r="J50" s="165">
        <v>4.0</v>
      </c>
      <c r="K50" s="170">
        <v>20.0</v>
      </c>
      <c r="L50" s="165" t="s">
        <v>552</v>
      </c>
      <c r="M50" s="166" t="s">
        <v>2401</v>
      </c>
      <c r="N50" s="165" t="s">
        <v>555</v>
      </c>
      <c r="O50" s="165"/>
    </row>
    <row r="51">
      <c r="A51" s="165" t="s">
        <v>24</v>
      </c>
      <c r="B51" s="165" t="s">
        <v>1596</v>
      </c>
      <c r="C51" s="165" t="s">
        <v>1573</v>
      </c>
      <c r="D51" s="165" t="s">
        <v>1709</v>
      </c>
      <c r="E51" s="166" t="s">
        <v>1710</v>
      </c>
      <c r="F51" s="165" t="s">
        <v>1579</v>
      </c>
      <c r="G51" s="165">
        <v>2.0</v>
      </c>
      <c r="H51" s="165">
        <v>0.0</v>
      </c>
      <c r="I51" s="165">
        <v>2.0</v>
      </c>
      <c r="J51" s="165">
        <v>3.0</v>
      </c>
      <c r="K51" s="170">
        <v>15.0</v>
      </c>
      <c r="L51" s="165" t="s">
        <v>1311</v>
      </c>
      <c r="M51" s="166" t="s">
        <v>2397</v>
      </c>
      <c r="N51" s="165" t="s">
        <v>1313</v>
      </c>
      <c r="O51" s="165"/>
    </row>
    <row r="52">
      <c r="A52" s="165" t="s">
        <v>143</v>
      </c>
      <c r="B52" s="165" t="s">
        <v>1596</v>
      </c>
      <c r="C52" s="165" t="s">
        <v>1573</v>
      </c>
      <c r="D52" s="165" t="s">
        <v>2100</v>
      </c>
      <c r="E52" s="166" t="s">
        <v>1649</v>
      </c>
      <c r="F52" s="165" t="s">
        <v>1579</v>
      </c>
      <c r="G52" s="165">
        <v>3.0</v>
      </c>
      <c r="H52" s="165">
        <v>0.0</v>
      </c>
      <c r="I52" s="165">
        <v>2.0</v>
      </c>
      <c r="J52" s="165">
        <v>4.0</v>
      </c>
      <c r="K52" s="170">
        <v>20.0</v>
      </c>
      <c r="L52" s="165" t="s">
        <v>577</v>
      </c>
      <c r="M52" s="166" t="s">
        <v>2415</v>
      </c>
      <c r="N52" s="165" t="s">
        <v>580</v>
      </c>
      <c r="O52" s="165"/>
    </row>
    <row r="53">
      <c r="A53" s="165" t="s">
        <v>143</v>
      </c>
      <c r="B53" s="165" t="s">
        <v>1596</v>
      </c>
      <c r="C53" s="165" t="s">
        <v>1573</v>
      </c>
      <c r="D53" s="165" t="s">
        <v>2101</v>
      </c>
      <c r="E53" s="166" t="s">
        <v>1653</v>
      </c>
      <c r="F53" s="165" t="s">
        <v>1579</v>
      </c>
      <c r="G53" s="165">
        <v>2.0</v>
      </c>
      <c r="H53" s="165">
        <v>0.0</v>
      </c>
      <c r="I53" s="165">
        <v>2.0</v>
      </c>
      <c r="J53" s="165">
        <v>3.0</v>
      </c>
      <c r="K53" s="170">
        <v>15.0</v>
      </c>
      <c r="L53" s="165" t="s">
        <v>1169</v>
      </c>
      <c r="M53" s="166" t="s">
        <v>2416</v>
      </c>
      <c r="N53" s="165" t="s">
        <v>1171</v>
      </c>
      <c r="O53" s="165"/>
    </row>
    <row r="54">
      <c r="A54" s="165" t="s">
        <v>143</v>
      </c>
      <c r="B54" s="165" t="s">
        <v>1596</v>
      </c>
      <c r="C54" s="165" t="s">
        <v>1573</v>
      </c>
      <c r="D54" s="165" t="s">
        <v>2102</v>
      </c>
      <c r="E54" s="166" t="s">
        <v>1655</v>
      </c>
      <c r="F54" s="165" t="s">
        <v>1579</v>
      </c>
      <c r="G54" s="165">
        <v>3.0</v>
      </c>
      <c r="H54" s="165">
        <v>0.0</v>
      </c>
      <c r="I54" s="165">
        <v>2.0</v>
      </c>
      <c r="J54" s="165">
        <v>4.0</v>
      </c>
      <c r="K54" s="170">
        <v>20.0</v>
      </c>
      <c r="L54" s="165" t="s">
        <v>1172</v>
      </c>
      <c r="M54" s="166" t="s">
        <v>2417</v>
      </c>
      <c r="N54" s="165" t="s">
        <v>1174</v>
      </c>
      <c r="O54" s="165"/>
    </row>
    <row r="55">
      <c r="A55" s="165" t="s">
        <v>151</v>
      </c>
      <c r="B55" s="165" t="s">
        <v>1596</v>
      </c>
      <c r="C55" s="165" t="s">
        <v>1573</v>
      </c>
      <c r="D55" s="165" t="s">
        <v>2103</v>
      </c>
      <c r="E55" s="166" t="s">
        <v>1649</v>
      </c>
      <c r="F55" s="165" t="s">
        <v>1588</v>
      </c>
      <c r="G55" s="165">
        <v>3.0</v>
      </c>
      <c r="H55" s="165">
        <v>0.0</v>
      </c>
      <c r="I55" s="165">
        <v>2.0</v>
      </c>
      <c r="J55" s="165">
        <v>4.0</v>
      </c>
      <c r="K55" s="170">
        <v>0.0</v>
      </c>
      <c r="L55" s="165" t="s">
        <v>2366</v>
      </c>
      <c r="M55" s="166" t="s">
        <v>2367</v>
      </c>
      <c r="N55" s="165" t="s">
        <v>2368</v>
      </c>
      <c r="O55" s="165"/>
    </row>
    <row r="56">
      <c r="A56" s="165" t="s">
        <v>151</v>
      </c>
      <c r="B56" s="165" t="s">
        <v>1596</v>
      </c>
      <c r="C56" s="165" t="s">
        <v>1573</v>
      </c>
      <c r="D56" s="165" t="s">
        <v>2104</v>
      </c>
      <c r="E56" s="166" t="s">
        <v>1653</v>
      </c>
      <c r="F56" s="165" t="s">
        <v>1579</v>
      </c>
      <c r="G56" s="165">
        <v>2.0</v>
      </c>
      <c r="H56" s="165">
        <v>0.0</v>
      </c>
      <c r="I56" s="165">
        <v>2.0</v>
      </c>
      <c r="J56" s="165">
        <v>3.0</v>
      </c>
      <c r="K56" s="170">
        <v>15.0</v>
      </c>
      <c r="L56" s="165" t="s">
        <v>826</v>
      </c>
      <c r="M56" s="166" t="s">
        <v>2425</v>
      </c>
      <c r="N56" s="165" t="s">
        <v>828</v>
      </c>
      <c r="O56" s="165"/>
    </row>
    <row r="57">
      <c r="A57" s="165" t="s">
        <v>151</v>
      </c>
      <c r="B57" s="165" t="s">
        <v>1596</v>
      </c>
      <c r="C57" s="165" t="s">
        <v>1573</v>
      </c>
      <c r="D57" s="165" t="s">
        <v>2105</v>
      </c>
      <c r="E57" s="166" t="s">
        <v>1655</v>
      </c>
      <c r="F57" s="165" t="s">
        <v>1579</v>
      </c>
      <c r="G57" s="165">
        <v>3.0</v>
      </c>
      <c r="H57" s="165">
        <v>0.0</v>
      </c>
      <c r="I57" s="165">
        <v>2.0</v>
      </c>
      <c r="J57" s="165">
        <v>4.0</v>
      </c>
      <c r="K57" s="170">
        <v>20.0</v>
      </c>
      <c r="L57" s="165" t="s">
        <v>2426</v>
      </c>
      <c r="M57" s="166" t="s">
        <v>2427</v>
      </c>
      <c r="N57" s="165" t="s">
        <v>683</v>
      </c>
      <c r="O57" s="165"/>
    </row>
    <row r="58">
      <c r="A58" s="165" t="s">
        <v>27</v>
      </c>
      <c r="B58" s="165" t="s">
        <v>1596</v>
      </c>
      <c r="C58" s="165" t="s">
        <v>1573</v>
      </c>
      <c r="D58" s="165" t="s">
        <v>1800</v>
      </c>
      <c r="E58" s="166" t="s">
        <v>1801</v>
      </c>
      <c r="F58" s="165" t="s">
        <v>1579</v>
      </c>
      <c r="G58" s="165">
        <v>3.0</v>
      </c>
      <c r="H58" s="165">
        <v>0.0</v>
      </c>
      <c r="I58" s="165">
        <v>2.0</v>
      </c>
      <c r="J58" s="165">
        <v>4.0</v>
      </c>
      <c r="K58" s="170">
        <v>20.0</v>
      </c>
      <c r="L58" s="165" t="s">
        <v>1027</v>
      </c>
      <c r="M58" s="166" t="s">
        <v>2224</v>
      </c>
      <c r="N58" s="165" t="s">
        <v>1029</v>
      </c>
      <c r="O58" s="165"/>
    </row>
    <row r="59">
      <c r="A59" s="165" t="s">
        <v>27</v>
      </c>
      <c r="B59" s="165" t="s">
        <v>1596</v>
      </c>
      <c r="C59" s="165" t="s">
        <v>1573</v>
      </c>
      <c r="D59" s="165" t="s">
        <v>1802</v>
      </c>
      <c r="E59" s="166" t="s">
        <v>1803</v>
      </c>
      <c r="F59" s="165" t="s">
        <v>1579</v>
      </c>
      <c r="G59" s="165">
        <v>3.0</v>
      </c>
      <c r="H59" s="165">
        <v>0.0</v>
      </c>
      <c r="I59" s="165">
        <v>2.0</v>
      </c>
      <c r="J59" s="165">
        <v>4.0</v>
      </c>
      <c r="K59" s="170">
        <v>20.0</v>
      </c>
      <c r="L59" s="165" t="s">
        <v>1033</v>
      </c>
      <c r="M59" s="166" t="s">
        <v>2443</v>
      </c>
      <c r="N59" s="165" t="s">
        <v>1035</v>
      </c>
      <c r="O59" s="165"/>
    </row>
    <row r="60">
      <c r="A60" s="165" t="s">
        <v>27</v>
      </c>
      <c r="B60" s="165" t="s">
        <v>1596</v>
      </c>
      <c r="C60" s="165" t="s">
        <v>1573</v>
      </c>
      <c r="D60" s="165" t="s">
        <v>1804</v>
      </c>
      <c r="E60" s="166" t="s">
        <v>2722</v>
      </c>
      <c r="F60" s="165" t="s">
        <v>1579</v>
      </c>
      <c r="G60" s="165">
        <v>3.0</v>
      </c>
      <c r="H60" s="165">
        <v>0.0</v>
      </c>
      <c r="I60" s="165">
        <v>2.0</v>
      </c>
      <c r="J60" s="165">
        <v>4.0</v>
      </c>
      <c r="K60" s="170">
        <v>20.0</v>
      </c>
      <c r="L60" s="165" t="s">
        <v>994</v>
      </c>
      <c r="M60" s="166" t="s">
        <v>2444</v>
      </c>
      <c r="N60" s="165" t="s">
        <v>996</v>
      </c>
      <c r="O60" s="165"/>
    </row>
    <row r="61">
      <c r="A61" s="165" t="s">
        <v>27</v>
      </c>
      <c r="B61" s="165" t="s">
        <v>1596</v>
      </c>
      <c r="C61" s="165" t="s">
        <v>1573</v>
      </c>
      <c r="D61" s="165" t="s">
        <v>1806</v>
      </c>
      <c r="E61" s="166" t="s">
        <v>1807</v>
      </c>
      <c r="F61" s="165" t="s">
        <v>1579</v>
      </c>
      <c r="G61" s="165">
        <v>3.0</v>
      </c>
      <c r="H61" s="165">
        <v>0.0</v>
      </c>
      <c r="I61" s="165">
        <v>2.0</v>
      </c>
      <c r="J61" s="165">
        <v>4.0</v>
      </c>
      <c r="K61" s="170">
        <v>20.0</v>
      </c>
      <c r="L61" s="165" t="s">
        <v>997</v>
      </c>
      <c r="M61" s="166" t="s">
        <v>2445</v>
      </c>
      <c r="N61" s="165" t="s">
        <v>999</v>
      </c>
      <c r="O61" s="165"/>
    </row>
    <row r="62">
      <c r="A62" s="165" t="s">
        <v>32</v>
      </c>
      <c r="B62" s="165" t="s">
        <v>1596</v>
      </c>
      <c r="C62" s="165" t="s">
        <v>1573</v>
      </c>
      <c r="D62" s="165" t="s">
        <v>1844</v>
      </c>
      <c r="E62" s="166" t="s">
        <v>1845</v>
      </c>
      <c r="F62" s="165" t="s">
        <v>1579</v>
      </c>
      <c r="G62" s="165">
        <v>3.0</v>
      </c>
      <c r="H62" s="165">
        <v>0.0</v>
      </c>
      <c r="I62" s="165">
        <v>2.0</v>
      </c>
      <c r="J62" s="165">
        <v>4.0</v>
      </c>
      <c r="K62" s="170">
        <v>20.0</v>
      </c>
      <c r="L62" s="165" t="s">
        <v>847</v>
      </c>
      <c r="M62" s="166" t="s">
        <v>2466</v>
      </c>
      <c r="N62" s="165" t="s">
        <v>849</v>
      </c>
      <c r="O62" s="165"/>
    </row>
    <row r="63">
      <c r="A63" s="165" t="s">
        <v>32</v>
      </c>
      <c r="B63" s="165" t="s">
        <v>1596</v>
      </c>
      <c r="C63" s="165" t="s">
        <v>1573</v>
      </c>
      <c r="D63" s="165" t="s">
        <v>1844</v>
      </c>
      <c r="E63" s="166" t="s">
        <v>1845</v>
      </c>
      <c r="F63" s="165" t="s">
        <v>1579</v>
      </c>
      <c r="G63" s="165">
        <v>3.0</v>
      </c>
      <c r="H63" s="165">
        <v>0.0</v>
      </c>
      <c r="I63" s="165">
        <v>2.0</v>
      </c>
      <c r="J63" s="165">
        <v>4.0</v>
      </c>
      <c r="K63" s="170">
        <v>20.0</v>
      </c>
      <c r="L63" s="165" t="s">
        <v>939</v>
      </c>
      <c r="M63" s="166" t="s">
        <v>2467</v>
      </c>
      <c r="N63" s="165" t="s">
        <v>941</v>
      </c>
      <c r="O63" s="165"/>
    </row>
    <row r="64">
      <c r="A64" s="165" t="s">
        <v>32</v>
      </c>
      <c r="B64" s="165" t="s">
        <v>1596</v>
      </c>
      <c r="C64" s="165" t="s">
        <v>1573</v>
      </c>
      <c r="D64" s="165" t="s">
        <v>1844</v>
      </c>
      <c r="E64" s="166" t="s">
        <v>1845</v>
      </c>
      <c r="F64" s="165" t="s">
        <v>1579</v>
      </c>
      <c r="G64" s="165">
        <v>3.0</v>
      </c>
      <c r="H64" s="165">
        <v>0.0</v>
      </c>
      <c r="I64" s="165">
        <v>2.0</v>
      </c>
      <c r="J64" s="165">
        <v>4.0</v>
      </c>
      <c r="K64" s="170">
        <v>20.0</v>
      </c>
      <c r="L64" s="165" t="s">
        <v>921</v>
      </c>
      <c r="M64" s="166" t="s">
        <v>2468</v>
      </c>
      <c r="N64" s="165" t="s">
        <v>923</v>
      </c>
      <c r="O64" s="165"/>
    </row>
    <row r="65">
      <c r="A65" s="165" t="s">
        <v>32</v>
      </c>
      <c r="B65" s="165" t="s">
        <v>1596</v>
      </c>
      <c r="C65" s="165" t="s">
        <v>1573</v>
      </c>
      <c r="D65" s="165" t="s">
        <v>1844</v>
      </c>
      <c r="E65" s="166" t="s">
        <v>1845</v>
      </c>
      <c r="F65" s="165" t="s">
        <v>1579</v>
      </c>
      <c r="G65" s="165">
        <v>3.0</v>
      </c>
      <c r="H65" s="165">
        <v>0.0</v>
      </c>
      <c r="I65" s="165">
        <v>2.0</v>
      </c>
      <c r="J65" s="165">
        <v>4.0</v>
      </c>
      <c r="K65" s="170">
        <v>20.0</v>
      </c>
      <c r="L65" s="165" t="s">
        <v>842</v>
      </c>
      <c r="M65" s="166" t="s">
        <v>2469</v>
      </c>
      <c r="N65" s="165" t="s">
        <v>844</v>
      </c>
      <c r="O65" s="165"/>
    </row>
    <row r="66">
      <c r="A66" s="165" t="s">
        <v>32</v>
      </c>
      <c r="B66" s="165" t="s">
        <v>1596</v>
      </c>
      <c r="C66" s="165" t="s">
        <v>1573</v>
      </c>
      <c r="D66" s="165" t="s">
        <v>1848</v>
      </c>
      <c r="E66" s="166" t="s">
        <v>1849</v>
      </c>
      <c r="F66" s="165" t="s">
        <v>1588</v>
      </c>
      <c r="G66" s="165">
        <v>3.0</v>
      </c>
      <c r="H66" s="165">
        <v>0.0</v>
      </c>
      <c r="I66" s="165">
        <v>2.0</v>
      </c>
      <c r="J66" s="165">
        <v>4.0</v>
      </c>
      <c r="K66" s="170">
        <v>0.0</v>
      </c>
      <c r="L66" s="165" t="s">
        <v>927</v>
      </c>
      <c r="M66" s="166" t="s">
        <v>2256</v>
      </c>
      <c r="N66" s="165" t="s">
        <v>929</v>
      </c>
      <c r="O66" s="165"/>
    </row>
    <row r="67">
      <c r="A67" s="165" t="s">
        <v>32</v>
      </c>
      <c r="B67" s="165" t="s">
        <v>1596</v>
      </c>
      <c r="C67" s="165" t="s">
        <v>1573</v>
      </c>
      <c r="D67" s="165" t="s">
        <v>1848</v>
      </c>
      <c r="E67" s="166" t="s">
        <v>1849</v>
      </c>
      <c r="F67" s="165" t="s">
        <v>1579</v>
      </c>
      <c r="G67" s="165">
        <v>3.0</v>
      </c>
      <c r="H67" s="165">
        <v>0.0</v>
      </c>
      <c r="I67" s="165">
        <v>2.0</v>
      </c>
      <c r="J67" s="165">
        <v>4.0</v>
      </c>
      <c r="K67" s="170">
        <v>20.0</v>
      </c>
      <c r="L67" s="165" t="s">
        <v>877</v>
      </c>
      <c r="M67" s="166" t="s">
        <v>2472</v>
      </c>
      <c r="N67" s="165" t="s">
        <v>879</v>
      </c>
      <c r="O67" s="165"/>
    </row>
    <row r="68">
      <c r="A68" s="165" t="s">
        <v>32</v>
      </c>
      <c r="B68" s="165" t="s">
        <v>1596</v>
      </c>
      <c r="C68" s="165" t="s">
        <v>1573</v>
      </c>
      <c r="D68" s="165" t="s">
        <v>1848</v>
      </c>
      <c r="E68" s="166" t="s">
        <v>1849</v>
      </c>
      <c r="F68" s="165" t="s">
        <v>1579</v>
      </c>
      <c r="G68" s="165">
        <v>3.0</v>
      </c>
      <c r="H68" s="165">
        <v>0.0</v>
      </c>
      <c r="I68" s="165">
        <v>2.0</v>
      </c>
      <c r="J68" s="165">
        <v>4.0</v>
      </c>
      <c r="K68" s="170">
        <v>20.0</v>
      </c>
      <c r="L68" s="165" t="s">
        <v>883</v>
      </c>
      <c r="M68" s="166" t="s">
        <v>2473</v>
      </c>
      <c r="N68" s="165" t="s">
        <v>885</v>
      </c>
      <c r="O68" s="165"/>
    </row>
    <row r="69">
      <c r="A69" s="165" t="s">
        <v>32</v>
      </c>
      <c r="B69" s="165" t="s">
        <v>1596</v>
      </c>
      <c r="C69" s="165" t="s">
        <v>1573</v>
      </c>
      <c r="D69" s="165" t="s">
        <v>1848</v>
      </c>
      <c r="E69" s="166" t="s">
        <v>1849</v>
      </c>
      <c r="F69" s="165" t="s">
        <v>1588</v>
      </c>
      <c r="G69" s="165">
        <v>3.0</v>
      </c>
      <c r="H69" s="165">
        <v>0.0</v>
      </c>
      <c r="I69" s="165">
        <v>2.0</v>
      </c>
      <c r="J69" s="165">
        <v>4.0</v>
      </c>
      <c r="K69" s="170">
        <v>0.0</v>
      </c>
      <c r="L69" s="165" t="s">
        <v>927</v>
      </c>
      <c r="M69" s="166" t="s">
        <v>2256</v>
      </c>
      <c r="N69" s="165" t="s">
        <v>929</v>
      </c>
      <c r="O69" s="165"/>
    </row>
    <row r="70">
      <c r="A70" s="165" t="s">
        <v>32</v>
      </c>
      <c r="B70" s="165" t="s">
        <v>1596</v>
      </c>
      <c r="C70" s="165" t="s">
        <v>1573</v>
      </c>
      <c r="D70" s="165" t="s">
        <v>1850</v>
      </c>
      <c r="E70" s="166" t="s">
        <v>1807</v>
      </c>
      <c r="F70" s="165" t="s">
        <v>1579</v>
      </c>
      <c r="G70" s="165">
        <v>3.0</v>
      </c>
      <c r="H70" s="165">
        <v>0.0</v>
      </c>
      <c r="I70" s="165">
        <v>2.0</v>
      </c>
      <c r="J70" s="165">
        <v>4.0</v>
      </c>
      <c r="K70" s="170">
        <v>20.0</v>
      </c>
      <c r="L70" s="165" t="s">
        <v>877</v>
      </c>
      <c r="M70" s="166" t="s">
        <v>2472</v>
      </c>
      <c r="N70" s="165" t="s">
        <v>879</v>
      </c>
      <c r="O70" s="165"/>
    </row>
    <row r="71">
      <c r="A71" s="165" t="s">
        <v>32</v>
      </c>
      <c r="B71" s="165" t="s">
        <v>1596</v>
      </c>
      <c r="C71" s="165" t="s">
        <v>1573</v>
      </c>
      <c r="D71" s="165" t="s">
        <v>1850</v>
      </c>
      <c r="E71" s="166" t="s">
        <v>1807</v>
      </c>
      <c r="F71" s="165" t="s">
        <v>1579</v>
      </c>
      <c r="G71" s="165">
        <v>3.0</v>
      </c>
      <c r="H71" s="165">
        <v>0.0</v>
      </c>
      <c r="I71" s="165">
        <v>2.0</v>
      </c>
      <c r="J71" s="165">
        <v>4.0</v>
      </c>
      <c r="K71" s="170">
        <v>20.0</v>
      </c>
      <c r="L71" s="165" t="s">
        <v>883</v>
      </c>
      <c r="M71" s="166" t="s">
        <v>2473</v>
      </c>
      <c r="N71" s="165" t="s">
        <v>885</v>
      </c>
      <c r="O71" s="165"/>
    </row>
    <row r="72">
      <c r="A72" s="165" t="s">
        <v>32</v>
      </c>
      <c r="B72" s="165" t="s">
        <v>1596</v>
      </c>
      <c r="C72" s="165" t="s">
        <v>1573</v>
      </c>
      <c r="D72" s="165" t="s">
        <v>1850</v>
      </c>
      <c r="E72" s="166" t="s">
        <v>1807</v>
      </c>
      <c r="F72" s="165" t="s">
        <v>1579</v>
      </c>
      <c r="G72" s="165">
        <v>3.0</v>
      </c>
      <c r="H72" s="165">
        <v>0.0</v>
      </c>
      <c r="I72" s="165">
        <v>2.0</v>
      </c>
      <c r="J72" s="165">
        <v>4.0</v>
      </c>
      <c r="K72" s="170">
        <v>20.0</v>
      </c>
      <c r="L72" s="165" t="s">
        <v>2476</v>
      </c>
      <c r="M72" s="166" t="s">
        <v>2477</v>
      </c>
      <c r="N72" s="165" t="s">
        <v>2478</v>
      </c>
      <c r="O72" s="165"/>
    </row>
    <row r="73">
      <c r="A73" s="165" t="s">
        <v>32</v>
      </c>
      <c r="B73" s="165" t="s">
        <v>1596</v>
      </c>
      <c r="C73" s="165" t="s">
        <v>1573</v>
      </c>
      <c r="D73" s="165" t="s">
        <v>1850</v>
      </c>
      <c r="E73" s="166" t="s">
        <v>1807</v>
      </c>
      <c r="F73" s="165" t="s">
        <v>1579</v>
      </c>
      <c r="G73" s="165">
        <v>3.0</v>
      </c>
      <c r="H73" s="165">
        <v>0.0</v>
      </c>
      <c r="I73" s="165">
        <v>2.0</v>
      </c>
      <c r="J73" s="165">
        <v>4.0</v>
      </c>
      <c r="K73" s="170">
        <v>20.0</v>
      </c>
      <c r="L73" s="165" t="s">
        <v>954</v>
      </c>
      <c r="M73" s="166" t="s">
        <v>2479</v>
      </c>
      <c r="N73" s="165" t="s">
        <v>956</v>
      </c>
      <c r="O73" s="165"/>
    </row>
    <row r="74">
      <c r="A74" s="165" t="s">
        <v>37</v>
      </c>
      <c r="B74" s="165" t="s">
        <v>1596</v>
      </c>
      <c r="C74" s="165" t="s">
        <v>1573</v>
      </c>
      <c r="D74" s="165" t="s">
        <v>1915</v>
      </c>
      <c r="E74" s="166" t="s">
        <v>1874</v>
      </c>
      <c r="F74" s="165" t="s">
        <v>1588</v>
      </c>
      <c r="G74" s="165">
        <v>3.0</v>
      </c>
      <c r="H74" s="165">
        <v>0.0</v>
      </c>
      <c r="I74" s="165">
        <v>2.0</v>
      </c>
      <c r="J74" s="165">
        <v>4.0</v>
      </c>
      <c r="K74" s="170">
        <v>0.0</v>
      </c>
      <c r="L74" s="165" t="s">
        <v>1064</v>
      </c>
      <c r="M74" s="166" t="s">
        <v>2498</v>
      </c>
      <c r="N74" s="165" t="s">
        <v>1066</v>
      </c>
      <c r="O74" s="165"/>
    </row>
    <row r="75">
      <c r="A75" s="165" t="s">
        <v>37</v>
      </c>
      <c r="B75" s="165" t="s">
        <v>1596</v>
      </c>
      <c r="C75" s="165" t="s">
        <v>1573</v>
      </c>
      <c r="D75" s="165" t="s">
        <v>1916</v>
      </c>
      <c r="E75" s="166" t="s">
        <v>1917</v>
      </c>
      <c r="F75" s="165" t="s">
        <v>1588</v>
      </c>
      <c r="G75" s="165">
        <v>3.0</v>
      </c>
      <c r="H75" s="165">
        <v>0.0</v>
      </c>
      <c r="I75" s="165">
        <v>2.0</v>
      </c>
      <c r="J75" s="165">
        <v>4.0</v>
      </c>
      <c r="K75" s="170">
        <v>0.0</v>
      </c>
      <c r="L75" s="165" t="s">
        <v>1046</v>
      </c>
      <c r="M75" s="166" t="s">
        <v>2500</v>
      </c>
      <c r="N75" s="165" t="s">
        <v>1048</v>
      </c>
      <c r="O75" s="165"/>
    </row>
    <row r="76">
      <c r="A76" s="165" t="s">
        <v>37</v>
      </c>
      <c r="B76" s="165" t="s">
        <v>1596</v>
      </c>
      <c r="C76" s="165" t="s">
        <v>1573</v>
      </c>
      <c r="D76" s="165" t="s">
        <v>1920</v>
      </c>
      <c r="E76" s="166" t="s">
        <v>1807</v>
      </c>
      <c r="F76" s="165" t="s">
        <v>1579</v>
      </c>
      <c r="G76" s="165">
        <v>3.0</v>
      </c>
      <c r="H76" s="165">
        <v>0.0</v>
      </c>
      <c r="I76" s="165">
        <v>2.0</v>
      </c>
      <c r="J76" s="165">
        <v>4.0</v>
      </c>
      <c r="K76" s="170">
        <v>20.0</v>
      </c>
      <c r="L76" s="165" t="s">
        <v>2502</v>
      </c>
      <c r="M76" s="166" t="s">
        <v>2503</v>
      </c>
      <c r="N76" s="165" t="s">
        <v>2504</v>
      </c>
      <c r="O76" s="165"/>
    </row>
    <row r="77">
      <c r="A77" s="165" t="s">
        <v>193</v>
      </c>
      <c r="B77" s="165" t="s">
        <v>1596</v>
      </c>
      <c r="C77" s="165" t="s">
        <v>1573</v>
      </c>
      <c r="D77" s="165" t="s">
        <v>2106</v>
      </c>
      <c r="E77" s="166" t="s">
        <v>2107</v>
      </c>
      <c r="F77" s="165" t="s">
        <v>1579</v>
      </c>
      <c r="G77" s="165">
        <v>3.0</v>
      </c>
      <c r="H77" s="165">
        <v>0.0</v>
      </c>
      <c r="I77" s="165">
        <v>2.0</v>
      </c>
      <c r="J77" s="165">
        <v>4.0</v>
      </c>
      <c r="K77" s="170">
        <v>20.0</v>
      </c>
      <c r="L77" s="165" t="s">
        <v>2510</v>
      </c>
      <c r="M77" s="166" t="s">
        <v>2511</v>
      </c>
      <c r="N77" s="165" t="s">
        <v>2512</v>
      </c>
      <c r="O77" s="165"/>
    </row>
    <row r="78">
      <c r="A78" s="165" t="s">
        <v>193</v>
      </c>
      <c r="B78" s="165" t="s">
        <v>1596</v>
      </c>
      <c r="C78" s="165" t="s">
        <v>1573</v>
      </c>
      <c r="D78" s="165" t="s">
        <v>2108</v>
      </c>
      <c r="E78" s="166" t="s">
        <v>2109</v>
      </c>
      <c r="F78" s="165" t="s">
        <v>1588</v>
      </c>
      <c r="G78" s="165">
        <v>3.0</v>
      </c>
      <c r="H78" s="165">
        <v>0.0</v>
      </c>
      <c r="I78" s="165">
        <v>2.0</v>
      </c>
      <c r="J78" s="165">
        <v>4.0</v>
      </c>
      <c r="K78" s="170">
        <v>0.0</v>
      </c>
      <c r="L78" s="165" t="s">
        <v>1105</v>
      </c>
      <c r="M78" s="166" t="s">
        <v>2513</v>
      </c>
      <c r="N78" s="165" t="s">
        <v>1107</v>
      </c>
      <c r="O78" s="165"/>
    </row>
    <row r="79">
      <c r="A79" s="165" t="s">
        <v>193</v>
      </c>
      <c r="B79" s="165" t="s">
        <v>1596</v>
      </c>
      <c r="C79" s="165" t="s">
        <v>1573</v>
      </c>
      <c r="D79" s="165" t="s">
        <v>2110</v>
      </c>
      <c r="E79" s="166" t="s">
        <v>2111</v>
      </c>
      <c r="F79" s="165" t="s">
        <v>1579</v>
      </c>
      <c r="G79" s="165">
        <v>3.0</v>
      </c>
      <c r="H79" s="165">
        <v>0.0</v>
      </c>
      <c r="I79" s="165">
        <v>2.0</v>
      </c>
      <c r="J79" s="165">
        <v>4.0</v>
      </c>
      <c r="K79" s="170">
        <v>20.0</v>
      </c>
      <c r="L79" s="165" t="s">
        <v>2514</v>
      </c>
      <c r="M79" s="166" t="s">
        <v>2515</v>
      </c>
      <c r="N79" s="165" t="s">
        <v>2516</v>
      </c>
      <c r="O79" s="165"/>
    </row>
    <row r="80">
      <c r="A80" s="165" t="s">
        <v>193</v>
      </c>
      <c r="B80" s="165" t="s">
        <v>1596</v>
      </c>
      <c r="C80" s="165" t="s">
        <v>1573</v>
      </c>
      <c r="D80" s="165" t="s">
        <v>2112</v>
      </c>
      <c r="E80" s="166" t="s">
        <v>2113</v>
      </c>
      <c r="F80" s="165" t="s">
        <v>1579</v>
      </c>
      <c r="G80" s="165">
        <v>3.0</v>
      </c>
      <c r="H80" s="165">
        <v>0.0</v>
      </c>
      <c r="I80" s="165">
        <v>2.0</v>
      </c>
      <c r="J80" s="165">
        <v>4.0</v>
      </c>
      <c r="K80" s="170">
        <v>20.0</v>
      </c>
      <c r="L80" s="165" t="s">
        <v>1102</v>
      </c>
      <c r="M80" s="166" t="s">
        <v>2517</v>
      </c>
      <c r="N80" s="165" t="s">
        <v>1104</v>
      </c>
      <c r="O80" s="165"/>
    </row>
    <row r="81">
      <c r="A81" s="165" t="s">
        <v>200</v>
      </c>
      <c r="B81" s="165" t="s">
        <v>1596</v>
      </c>
      <c r="C81" s="165" t="s">
        <v>1573</v>
      </c>
      <c r="D81" s="165" t="s">
        <v>2114</v>
      </c>
      <c r="E81" s="166" t="s">
        <v>1600</v>
      </c>
      <c r="F81" s="165" t="s">
        <v>1579</v>
      </c>
      <c r="G81" s="165">
        <v>3.0</v>
      </c>
      <c r="H81" s="165">
        <v>0.0</v>
      </c>
      <c r="I81" s="165">
        <v>2.0</v>
      </c>
      <c r="J81" s="165">
        <v>4.0</v>
      </c>
      <c r="K81" s="170">
        <v>20.0</v>
      </c>
      <c r="L81" s="165" t="s">
        <v>2522</v>
      </c>
      <c r="M81" s="166" t="s">
        <v>2523</v>
      </c>
      <c r="N81" s="165" t="s">
        <v>382</v>
      </c>
      <c r="O81" s="165"/>
    </row>
    <row r="82">
      <c r="A82" s="165" t="s">
        <v>200</v>
      </c>
      <c r="B82" s="165" t="s">
        <v>1596</v>
      </c>
      <c r="C82" s="165" t="s">
        <v>1573</v>
      </c>
      <c r="D82" s="165" t="s">
        <v>2115</v>
      </c>
      <c r="E82" s="166" t="s">
        <v>2116</v>
      </c>
      <c r="F82" s="165" t="s">
        <v>1579</v>
      </c>
      <c r="G82" s="165">
        <v>3.0</v>
      </c>
      <c r="H82" s="165">
        <v>0.0</v>
      </c>
      <c r="I82" s="165">
        <v>2.0</v>
      </c>
      <c r="J82" s="165">
        <v>4.0</v>
      </c>
      <c r="K82" s="170">
        <v>20.0</v>
      </c>
      <c r="L82" s="165" t="s">
        <v>2519</v>
      </c>
      <c r="M82" s="166" t="s">
        <v>2520</v>
      </c>
      <c r="N82" s="165" t="s">
        <v>2521</v>
      </c>
      <c r="O82" s="165"/>
    </row>
    <row r="83">
      <c r="A83" s="165" t="s">
        <v>200</v>
      </c>
      <c r="B83" s="165" t="s">
        <v>1596</v>
      </c>
      <c r="C83" s="165" t="s">
        <v>1573</v>
      </c>
      <c r="D83" s="165" t="s">
        <v>2117</v>
      </c>
      <c r="E83" s="166" t="s">
        <v>2118</v>
      </c>
      <c r="F83" s="165" t="s">
        <v>1579</v>
      </c>
      <c r="G83" s="165">
        <v>3.0</v>
      </c>
      <c r="H83" s="165">
        <v>0.0</v>
      </c>
      <c r="I83" s="165">
        <v>2.0</v>
      </c>
      <c r="J83" s="165">
        <v>4.0</v>
      </c>
      <c r="K83" s="170">
        <v>20.0</v>
      </c>
      <c r="L83" s="165" t="s">
        <v>1083</v>
      </c>
      <c r="M83" s="166" t="s">
        <v>2525</v>
      </c>
      <c r="N83" s="165" t="s">
        <v>1085</v>
      </c>
      <c r="O83" s="165"/>
    </row>
    <row r="84">
      <c r="A84" s="165" t="s">
        <v>209</v>
      </c>
      <c r="B84" s="165" t="s">
        <v>1596</v>
      </c>
      <c r="C84" s="165" t="s">
        <v>1573</v>
      </c>
      <c r="D84" s="165" t="s">
        <v>2119</v>
      </c>
      <c r="E84" s="166" t="s">
        <v>1649</v>
      </c>
      <c r="F84" s="165" t="s">
        <v>1579</v>
      </c>
      <c r="G84" s="165">
        <v>3.0</v>
      </c>
      <c r="H84" s="165">
        <v>0.0</v>
      </c>
      <c r="I84" s="165">
        <v>2.0</v>
      </c>
      <c r="J84" s="165">
        <v>4.0</v>
      </c>
      <c r="K84" s="170">
        <v>20.0</v>
      </c>
      <c r="L84" s="165" t="s">
        <v>756</v>
      </c>
      <c r="M84" s="166" t="s">
        <v>2530</v>
      </c>
      <c r="N84" s="165" t="s">
        <v>758</v>
      </c>
      <c r="O84" s="165"/>
    </row>
    <row r="85">
      <c r="A85" s="165" t="s">
        <v>209</v>
      </c>
      <c r="B85" s="165" t="s">
        <v>1596</v>
      </c>
      <c r="C85" s="165" t="s">
        <v>1573</v>
      </c>
      <c r="D85" s="165" t="s">
        <v>2120</v>
      </c>
      <c r="E85" s="166" t="s">
        <v>1653</v>
      </c>
      <c r="F85" s="165" t="s">
        <v>1579</v>
      </c>
      <c r="G85" s="165">
        <v>2.0</v>
      </c>
      <c r="H85" s="165">
        <v>0.0</v>
      </c>
      <c r="I85" s="165">
        <v>2.0</v>
      </c>
      <c r="J85" s="165">
        <v>3.0</v>
      </c>
      <c r="K85" s="170">
        <v>15.0</v>
      </c>
      <c r="L85" s="165" t="s">
        <v>1223</v>
      </c>
      <c r="M85" s="166" t="s">
        <v>2395</v>
      </c>
      <c r="N85" s="165" t="s">
        <v>1225</v>
      </c>
      <c r="O85" s="165"/>
    </row>
    <row r="86">
      <c r="A86" s="165" t="s">
        <v>209</v>
      </c>
      <c r="B86" s="165" t="s">
        <v>1596</v>
      </c>
      <c r="C86" s="165" t="s">
        <v>1573</v>
      </c>
      <c r="D86" s="165" t="s">
        <v>2121</v>
      </c>
      <c r="E86" s="166" t="s">
        <v>1655</v>
      </c>
      <c r="F86" s="165" t="s">
        <v>1579</v>
      </c>
      <c r="G86" s="165">
        <v>3.0</v>
      </c>
      <c r="H86" s="165">
        <v>0.0</v>
      </c>
      <c r="I86" s="165">
        <v>2.0</v>
      </c>
      <c r="J86" s="165">
        <v>4.0</v>
      </c>
      <c r="K86" s="170">
        <v>20.0</v>
      </c>
      <c r="L86" s="165" t="s">
        <v>1144</v>
      </c>
      <c r="M86" s="166" t="s">
        <v>2531</v>
      </c>
      <c r="N86" s="165" t="s">
        <v>1146</v>
      </c>
      <c r="O86" s="165"/>
    </row>
    <row r="87">
      <c r="A87" s="165" t="s">
        <v>40</v>
      </c>
      <c r="B87" s="165" t="s">
        <v>1596</v>
      </c>
      <c r="C87" s="165" t="s">
        <v>1573</v>
      </c>
      <c r="D87" s="165" t="s">
        <v>1899</v>
      </c>
      <c r="E87" s="166" t="s">
        <v>1649</v>
      </c>
      <c r="F87" s="165" t="s">
        <v>1579</v>
      </c>
      <c r="G87" s="165">
        <v>3.0</v>
      </c>
      <c r="H87" s="165">
        <v>0.0</v>
      </c>
      <c r="I87" s="165">
        <v>2.0</v>
      </c>
      <c r="J87" s="165">
        <v>4.0</v>
      </c>
      <c r="K87" s="170">
        <v>20.0</v>
      </c>
      <c r="L87" s="165" t="s">
        <v>2540</v>
      </c>
      <c r="M87" s="166" t="s">
        <v>2541</v>
      </c>
      <c r="N87" s="165" t="s">
        <v>410</v>
      </c>
      <c r="O87" s="165"/>
    </row>
    <row r="88">
      <c r="A88" s="165" t="s">
        <v>40</v>
      </c>
      <c r="B88" s="165" t="s">
        <v>1596</v>
      </c>
      <c r="C88" s="165" t="s">
        <v>1573</v>
      </c>
      <c r="D88" s="165" t="s">
        <v>1899</v>
      </c>
      <c r="E88" s="166" t="s">
        <v>1649</v>
      </c>
      <c r="F88" s="165" t="s">
        <v>1579</v>
      </c>
      <c r="G88" s="165">
        <v>3.0</v>
      </c>
      <c r="H88" s="165">
        <v>0.0</v>
      </c>
      <c r="I88" s="165">
        <v>2.0</v>
      </c>
      <c r="J88" s="165">
        <v>4.0</v>
      </c>
      <c r="K88" s="170">
        <v>20.0</v>
      </c>
      <c r="L88" s="165" t="s">
        <v>306</v>
      </c>
      <c r="M88" s="166" t="s">
        <v>2062</v>
      </c>
      <c r="N88" s="165" t="s">
        <v>309</v>
      </c>
      <c r="O88" s="165"/>
    </row>
    <row r="89">
      <c r="A89" s="165" t="s">
        <v>40</v>
      </c>
      <c r="B89" s="165" t="s">
        <v>1596</v>
      </c>
      <c r="C89" s="165" t="s">
        <v>1573</v>
      </c>
      <c r="D89" s="165" t="s">
        <v>1899</v>
      </c>
      <c r="E89" s="166" t="s">
        <v>1649</v>
      </c>
      <c r="F89" s="165" t="s">
        <v>1579</v>
      </c>
      <c r="G89" s="165">
        <v>3.0</v>
      </c>
      <c r="H89" s="165">
        <v>0.0</v>
      </c>
      <c r="I89" s="165">
        <v>2.0</v>
      </c>
      <c r="J89" s="165">
        <v>4.0</v>
      </c>
      <c r="K89" s="170">
        <v>20.0</v>
      </c>
      <c r="L89" s="165" t="s">
        <v>1156</v>
      </c>
      <c r="M89" s="166" t="s">
        <v>2546</v>
      </c>
      <c r="N89" s="165" t="s">
        <v>1159</v>
      </c>
      <c r="O89" s="165"/>
    </row>
    <row r="90">
      <c r="A90" s="165" t="s">
        <v>40</v>
      </c>
      <c r="B90" s="165" t="s">
        <v>1596</v>
      </c>
      <c r="C90" s="165" t="s">
        <v>1573</v>
      </c>
      <c r="D90" s="165" t="s">
        <v>1901</v>
      </c>
      <c r="E90" s="166" t="s">
        <v>1653</v>
      </c>
      <c r="F90" s="165" t="s">
        <v>1579</v>
      </c>
      <c r="G90" s="165">
        <v>2.0</v>
      </c>
      <c r="H90" s="165">
        <v>0.0</v>
      </c>
      <c r="I90" s="165">
        <v>2.0</v>
      </c>
      <c r="J90" s="165">
        <v>3.0</v>
      </c>
      <c r="K90" s="170">
        <v>15.0</v>
      </c>
      <c r="L90" s="165" t="s">
        <v>1190</v>
      </c>
      <c r="M90" s="166" t="s">
        <v>2551</v>
      </c>
      <c r="N90" s="165" t="s">
        <v>1192</v>
      </c>
      <c r="O90" s="165"/>
    </row>
    <row r="91">
      <c r="A91" s="165" t="s">
        <v>40</v>
      </c>
      <c r="B91" s="165" t="s">
        <v>1596</v>
      </c>
      <c r="C91" s="165" t="s">
        <v>1573</v>
      </c>
      <c r="D91" s="165" t="s">
        <v>1901</v>
      </c>
      <c r="E91" s="166" t="s">
        <v>1653</v>
      </c>
      <c r="F91" s="165" t="s">
        <v>1579</v>
      </c>
      <c r="G91" s="165">
        <v>2.0</v>
      </c>
      <c r="H91" s="165">
        <v>0.0</v>
      </c>
      <c r="I91" s="165">
        <v>2.0</v>
      </c>
      <c r="J91" s="165">
        <v>3.0</v>
      </c>
      <c r="K91" s="170">
        <v>15.0</v>
      </c>
      <c r="L91" s="165" t="s">
        <v>1181</v>
      </c>
      <c r="M91" s="166" t="s">
        <v>2552</v>
      </c>
      <c r="N91" s="165" t="s">
        <v>1183</v>
      </c>
      <c r="O91" s="165"/>
    </row>
    <row r="92">
      <c r="A92" s="165" t="s">
        <v>40</v>
      </c>
      <c r="B92" s="165" t="s">
        <v>1596</v>
      </c>
      <c r="C92" s="165" t="s">
        <v>1573</v>
      </c>
      <c r="D92" s="165" t="s">
        <v>1902</v>
      </c>
      <c r="E92" s="166" t="s">
        <v>1655</v>
      </c>
      <c r="F92" s="165" t="s">
        <v>1579</v>
      </c>
      <c r="G92" s="165">
        <v>3.0</v>
      </c>
      <c r="H92" s="165">
        <v>0.0</v>
      </c>
      <c r="I92" s="165">
        <v>2.0</v>
      </c>
      <c r="J92" s="165">
        <v>4.0</v>
      </c>
      <c r="K92" s="170">
        <v>20.0</v>
      </c>
      <c r="L92" s="165" t="s">
        <v>1196</v>
      </c>
      <c r="M92" s="166" t="s">
        <v>2347</v>
      </c>
      <c r="N92" s="165" t="s">
        <v>1198</v>
      </c>
      <c r="O92" s="165"/>
    </row>
    <row r="93">
      <c r="A93" s="165" t="s">
        <v>40</v>
      </c>
      <c r="B93" s="165" t="s">
        <v>1596</v>
      </c>
      <c r="C93" s="165" t="s">
        <v>1573</v>
      </c>
      <c r="D93" s="165" t="s">
        <v>1902</v>
      </c>
      <c r="E93" s="166" t="s">
        <v>1655</v>
      </c>
      <c r="F93" s="165" t="s">
        <v>1579</v>
      </c>
      <c r="G93" s="165">
        <v>3.0</v>
      </c>
      <c r="H93" s="165">
        <v>0.0</v>
      </c>
      <c r="I93" s="165">
        <v>2.0</v>
      </c>
      <c r="J93" s="165">
        <v>4.0</v>
      </c>
      <c r="K93" s="170">
        <v>20.0</v>
      </c>
      <c r="L93" s="165" t="s">
        <v>2553</v>
      </c>
      <c r="M93" s="166" t="s">
        <v>2554</v>
      </c>
      <c r="N93" s="165" t="s">
        <v>2555</v>
      </c>
      <c r="O93" s="165"/>
    </row>
    <row r="94">
      <c r="A94" s="165" t="s">
        <v>40</v>
      </c>
      <c r="B94" s="165" t="s">
        <v>1596</v>
      </c>
      <c r="C94" s="165" t="s">
        <v>1573</v>
      </c>
      <c r="D94" s="165" t="s">
        <v>1902</v>
      </c>
      <c r="E94" s="166" t="s">
        <v>1655</v>
      </c>
      <c r="F94" s="165" t="s">
        <v>1579</v>
      </c>
      <c r="G94" s="165">
        <v>3.0</v>
      </c>
      <c r="H94" s="165">
        <v>0.0</v>
      </c>
      <c r="I94" s="165">
        <v>2.0</v>
      </c>
      <c r="J94" s="165">
        <v>4.0</v>
      </c>
      <c r="K94" s="170">
        <v>20.0</v>
      </c>
      <c r="L94" s="165" t="s">
        <v>2562</v>
      </c>
      <c r="M94" s="166" t="s">
        <v>2563</v>
      </c>
      <c r="N94" s="165" t="s">
        <v>2564</v>
      </c>
      <c r="O94" s="165"/>
    </row>
    <row r="95">
      <c r="A95" s="165" t="s">
        <v>43</v>
      </c>
      <c r="B95" s="165" t="s">
        <v>1596</v>
      </c>
      <c r="C95" s="165" t="s">
        <v>1573</v>
      </c>
      <c r="D95" s="165" t="s">
        <v>1941</v>
      </c>
      <c r="E95" s="166" t="s">
        <v>1942</v>
      </c>
      <c r="F95" s="165" t="s">
        <v>1579</v>
      </c>
      <c r="G95" s="165">
        <v>2.0</v>
      </c>
      <c r="H95" s="165">
        <v>1.0</v>
      </c>
      <c r="I95" s="165">
        <v>2.0</v>
      </c>
      <c r="J95" s="165">
        <v>4.0</v>
      </c>
      <c r="K95" s="170">
        <v>15.0</v>
      </c>
      <c r="L95" s="165" t="s">
        <v>1435</v>
      </c>
      <c r="M95" s="166" t="s">
        <v>2566</v>
      </c>
      <c r="N95" s="165" t="s">
        <v>1437</v>
      </c>
      <c r="O95" s="165"/>
    </row>
    <row r="96">
      <c r="A96" s="165" t="s">
        <v>43</v>
      </c>
      <c r="B96" s="165" t="s">
        <v>1596</v>
      </c>
      <c r="C96" s="165" t="s">
        <v>1573</v>
      </c>
      <c r="D96" s="165" t="s">
        <v>1943</v>
      </c>
      <c r="E96" s="166" t="s">
        <v>1874</v>
      </c>
      <c r="F96" s="165" t="s">
        <v>1579</v>
      </c>
      <c r="G96" s="165">
        <v>3.0</v>
      </c>
      <c r="H96" s="165">
        <v>0.0</v>
      </c>
      <c r="I96" s="165">
        <v>2.0</v>
      </c>
      <c r="J96" s="165">
        <v>4.0</v>
      </c>
      <c r="K96" s="170">
        <v>20.0</v>
      </c>
      <c r="L96" s="165" t="s">
        <v>1073</v>
      </c>
      <c r="M96" s="166" t="s">
        <v>2506</v>
      </c>
      <c r="N96" s="165" t="s">
        <v>1075</v>
      </c>
      <c r="O96" s="165"/>
    </row>
    <row r="97">
      <c r="A97" s="165" t="s">
        <v>43</v>
      </c>
      <c r="B97" s="165" t="s">
        <v>1596</v>
      </c>
      <c r="C97" s="165" t="s">
        <v>1573</v>
      </c>
      <c r="D97" s="165" t="s">
        <v>1944</v>
      </c>
      <c r="E97" s="166" t="s">
        <v>1602</v>
      </c>
      <c r="F97" s="165" t="s">
        <v>1588</v>
      </c>
      <c r="G97" s="165">
        <v>2.0</v>
      </c>
      <c r="H97" s="165">
        <v>1.0</v>
      </c>
      <c r="I97" s="165">
        <v>2.0</v>
      </c>
      <c r="J97" s="165">
        <v>4.0</v>
      </c>
      <c r="K97" s="170">
        <v>0.0</v>
      </c>
      <c r="L97" s="165" t="s">
        <v>2568</v>
      </c>
      <c r="M97" s="166" t="s">
        <v>2569</v>
      </c>
      <c r="N97" s="165" t="s">
        <v>2570</v>
      </c>
      <c r="O97" s="165"/>
    </row>
    <row r="98">
      <c r="A98" s="165" t="s">
        <v>43</v>
      </c>
      <c r="B98" s="165" t="s">
        <v>1596</v>
      </c>
      <c r="C98" s="165" t="s">
        <v>1573</v>
      </c>
      <c r="D98" s="165" t="s">
        <v>1945</v>
      </c>
      <c r="E98" s="166" t="s">
        <v>1946</v>
      </c>
      <c r="F98" s="165" t="s">
        <v>1579</v>
      </c>
      <c r="G98" s="165">
        <v>2.0</v>
      </c>
      <c r="H98" s="165">
        <v>1.0</v>
      </c>
      <c r="I98" s="165">
        <v>2.0</v>
      </c>
      <c r="J98" s="165">
        <v>4.0</v>
      </c>
      <c r="K98" s="170">
        <v>15.0</v>
      </c>
      <c r="L98" s="165" t="s">
        <v>1456</v>
      </c>
      <c r="M98" s="166" t="s">
        <v>2571</v>
      </c>
      <c r="N98" s="165" t="s">
        <v>1458</v>
      </c>
      <c r="O98" s="165"/>
    </row>
    <row r="99">
      <c r="A99" s="165" t="s">
        <v>43</v>
      </c>
      <c r="B99" s="165" t="s">
        <v>1596</v>
      </c>
      <c r="C99" s="165" t="s">
        <v>1573</v>
      </c>
      <c r="D99" s="165" t="s">
        <v>1947</v>
      </c>
      <c r="E99" s="166" t="s">
        <v>1948</v>
      </c>
      <c r="F99" s="165" t="s">
        <v>1579</v>
      </c>
      <c r="G99" s="165">
        <v>2.0</v>
      </c>
      <c r="H99" s="165">
        <v>0.0</v>
      </c>
      <c r="I99" s="165">
        <v>2.0</v>
      </c>
      <c r="J99" s="165">
        <v>3.0</v>
      </c>
      <c r="K99" s="170">
        <v>15.0</v>
      </c>
      <c r="L99" s="165" t="s">
        <v>1389</v>
      </c>
      <c r="M99" s="166" t="s">
        <v>2458</v>
      </c>
      <c r="N99" s="165" t="s">
        <v>1391</v>
      </c>
      <c r="O99" s="165"/>
    </row>
    <row r="100">
      <c r="A100" s="165" t="s">
        <v>46</v>
      </c>
      <c r="B100" s="165" t="s">
        <v>1596</v>
      </c>
      <c r="C100" s="165" t="s">
        <v>1573</v>
      </c>
      <c r="D100" s="165" t="s">
        <v>1873</v>
      </c>
      <c r="E100" s="166" t="s">
        <v>1874</v>
      </c>
      <c r="F100" s="165" t="s">
        <v>1579</v>
      </c>
      <c r="G100" s="165">
        <v>3.0</v>
      </c>
      <c r="H100" s="165">
        <v>0.0</v>
      </c>
      <c r="I100" s="165">
        <v>2.0</v>
      </c>
      <c r="J100" s="165">
        <v>4.0</v>
      </c>
      <c r="K100" s="170">
        <v>20.0</v>
      </c>
      <c r="L100" s="165" t="s">
        <v>1342</v>
      </c>
      <c r="M100" s="166" t="s">
        <v>2582</v>
      </c>
      <c r="N100" s="165" t="s">
        <v>1344</v>
      </c>
      <c r="O100" s="165"/>
    </row>
    <row r="101">
      <c r="A101" s="165" t="s">
        <v>46</v>
      </c>
      <c r="B101" s="165" t="s">
        <v>1596</v>
      </c>
      <c r="C101" s="165" t="s">
        <v>1573</v>
      </c>
      <c r="D101" s="165" t="s">
        <v>1875</v>
      </c>
      <c r="E101" s="166" t="s">
        <v>1602</v>
      </c>
      <c r="F101" s="165" t="s">
        <v>1579</v>
      </c>
      <c r="G101" s="165">
        <v>2.0</v>
      </c>
      <c r="H101" s="165">
        <v>1.0</v>
      </c>
      <c r="I101" s="165">
        <v>2.0</v>
      </c>
      <c r="J101" s="165">
        <v>4.0</v>
      </c>
      <c r="K101" s="170">
        <v>15.0</v>
      </c>
      <c r="L101" s="165" t="s">
        <v>1351</v>
      </c>
      <c r="M101" s="166" t="s">
        <v>2581</v>
      </c>
      <c r="N101" s="165" t="s">
        <v>1353</v>
      </c>
      <c r="O101" s="165"/>
    </row>
    <row r="102">
      <c r="A102" s="165" t="s">
        <v>46</v>
      </c>
      <c r="B102" s="165" t="s">
        <v>1596</v>
      </c>
      <c r="C102" s="165" t="s">
        <v>1573</v>
      </c>
      <c r="D102" s="165" t="s">
        <v>1876</v>
      </c>
      <c r="E102" s="166" t="s">
        <v>1604</v>
      </c>
      <c r="F102" s="165" t="s">
        <v>1588</v>
      </c>
      <c r="G102" s="165">
        <v>3.0</v>
      </c>
      <c r="H102" s="165">
        <v>0.0</v>
      </c>
      <c r="I102" s="165">
        <v>2.0</v>
      </c>
      <c r="J102" s="165">
        <v>4.0</v>
      </c>
      <c r="K102" s="170">
        <v>0.0</v>
      </c>
      <c r="L102" s="165" t="s">
        <v>1398</v>
      </c>
      <c r="M102" s="166" t="s">
        <v>2574</v>
      </c>
      <c r="N102" s="165" t="s">
        <v>1400</v>
      </c>
      <c r="O102" s="165"/>
    </row>
    <row r="103">
      <c r="A103" s="165" t="s">
        <v>46</v>
      </c>
      <c r="B103" s="165" t="s">
        <v>1596</v>
      </c>
      <c r="C103" s="165" t="s">
        <v>1573</v>
      </c>
      <c r="D103" s="165" t="s">
        <v>1877</v>
      </c>
      <c r="E103" s="166" t="s">
        <v>1807</v>
      </c>
      <c r="F103" s="165" t="s">
        <v>1579</v>
      </c>
      <c r="G103" s="165">
        <v>3.0</v>
      </c>
      <c r="H103" s="165">
        <v>0.0</v>
      </c>
      <c r="I103" s="165">
        <v>2.0</v>
      </c>
      <c r="J103" s="165">
        <v>4.0</v>
      </c>
      <c r="K103" s="170">
        <v>20.0</v>
      </c>
      <c r="L103" s="165" t="s">
        <v>1333</v>
      </c>
      <c r="M103" s="166" t="s">
        <v>2260</v>
      </c>
      <c r="N103" s="165" t="s">
        <v>1335</v>
      </c>
      <c r="O103" s="165"/>
    </row>
    <row r="104">
      <c r="A104" s="165" t="s">
        <v>0</v>
      </c>
      <c r="B104" s="165" t="s">
        <v>1612</v>
      </c>
      <c r="C104" s="165" t="s">
        <v>1573</v>
      </c>
      <c r="D104" s="165" t="s">
        <v>1613</v>
      </c>
      <c r="E104" s="166" t="s">
        <v>1614</v>
      </c>
      <c r="F104" s="165" t="s">
        <v>1579</v>
      </c>
      <c r="G104" s="165">
        <v>3.0</v>
      </c>
      <c r="H104" s="165">
        <v>0.0</v>
      </c>
      <c r="I104" s="165">
        <v>2.0</v>
      </c>
      <c r="J104" s="165">
        <v>4.0</v>
      </c>
      <c r="K104" s="170">
        <v>20.0</v>
      </c>
      <c r="L104" s="165" t="s">
        <v>2138</v>
      </c>
      <c r="M104" s="166" t="s">
        <v>2139</v>
      </c>
      <c r="N104" s="165" t="s">
        <v>2140</v>
      </c>
      <c r="O104" s="165"/>
    </row>
    <row r="105">
      <c r="A105" s="165" t="s">
        <v>0</v>
      </c>
      <c r="B105" s="165" t="s">
        <v>1612</v>
      </c>
      <c r="C105" s="165" t="s">
        <v>1573</v>
      </c>
      <c r="D105" s="165" t="s">
        <v>1615</v>
      </c>
      <c r="E105" s="166" t="s">
        <v>1616</v>
      </c>
      <c r="F105" s="165" t="s">
        <v>1579</v>
      </c>
      <c r="G105" s="165">
        <v>3.0</v>
      </c>
      <c r="H105" s="165">
        <v>0.0</v>
      </c>
      <c r="I105" s="165">
        <v>2.0</v>
      </c>
      <c r="J105" s="165">
        <v>4.0</v>
      </c>
      <c r="K105" s="170">
        <v>20.0</v>
      </c>
      <c r="L105" s="165" t="s">
        <v>383</v>
      </c>
      <c r="M105" s="166" t="s">
        <v>2141</v>
      </c>
      <c r="N105" s="165" t="s">
        <v>385</v>
      </c>
      <c r="O105" s="165"/>
    </row>
    <row r="106">
      <c r="A106" s="165" t="s">
        <v>0</v>
      </c>
      <c r="B106" s="165" t="s">
        <v>1612</v>
      </c>
      <c r="C106" s="165" t="s">
        <v>1573</v>
      </c>
      <c r="D106" s="165" t="s">
        <v>1617</v>
      </c>
      <c r="E106" s="166" t="s">
        <v>1618</v>
      </c>
      <c r="F106" s="165" t="s">
        <v>1579</v>
      </c>
      <c r="G106" s="165">
        <v>3.0</v>
      </c>
      <c r="H106" s="165">
        <v>0.0</v>
      </c>
      <c r="I106" s="165">
        <v>2.0</v>
      </c>
      <c r="J106" s="165">
        <v>4.0</v>
      </c>
      <c r="K106" s="170">
        <v>20.0</v>
      </c>
      <c r="L106" s="165" t="s">
        <v>376</v>
      </c>
      <c r="M106" s="166" t="s">
        <v>2133</v>
      </c>
      <c r="N106" s="165" t="s">
        <v>379</v>
      </c>
      <c r="O106" s="165"/>
    </row>
    <row r="107">
      <c r="A107" s="165" t="s">
        <v>4</v>
      </c>
      <c r="B107" s="165" t="s">
        <v>1612</v>
      </c>
      <c r="C107" s="165" t="s">
        <v>1573</v>
      </c>
      <c r="D107" s="165" t="s">
        <v>1656</v>
      </c>
      <c r="E107" s="166" t="s">
        <v>1657</v>
      </c>
      <c r="F107" s="165" t="s">
        <v>1579</v>
      </c>
      <c r="G107" s="165">
        <v>3.0</v>
      </c>
      <c r="H107" s="165">
        <v>0.0</v>
      </c>
      <c r="I107" s="165">
        <v>2.0</v>
      </c>
      <c r="J107" s="165">
        <v>4.0</v>
      </c>
      <c r="K107" s="170">
        <v>20.0</v>
      </c>
      <c r="L107" s="165" t="s">
        <v>358</v>
      </c>
      <c r="M107" s="166" t="s">
        <v>2205</v>
      </c>
      <c r="N107" s="165" t="s">
        <v>360</v>
      </c>
      <c r="O107" s="165"/>
    </row>
    <row r="108">
      <c r="A108" s="165" t="s">
        <v>4</v>
      </c>
      <c r="B108" s="165" t="s">
        <v>1612</v>
      </c>
      <c r="C108" s="165" t="s">
        <v>1573</v>
      </c>
      <c r="D108" s="165" t="s">
        <v>1656</v>
      </c>
      <c r="E108" s="166" t="s">
        <v>1657</v>
      </c>
      <c r="F108" s="165" t="s">
        <v>1579</v>
      </c>
      <c r="G108" s="165">
        <v>3.0</v>
      </c>
      <c r="H108" s="165">
        <v>0.0</v>
      </c>
      <c r="I108" s="165">
        <v>2.0</v>
      </c>
      <c r="J108" s="165">
        <v>4.0</v>
      </c>
      <c r="K108" s="170">
        <v>20.0</v>
      </c>
      <c r="L108" s="165" t="s">
        <v>720</v>
      </c>
      <c r="M108" s="166" t="s">
        <v>2206</v>
      </c>
      <c r="N108" s="165" t="s">
        <v>722</v>
      </c>
      <c r="O108" s="165"/>
    </row>
    <row r="109">
      <c r="A109" s="165" t="s">
        <v>4</v>
      </c>
      <c r="B109" s="165" t="s">
        <v>1612</v>
      </c>
      <c r="C109" s="165" t="s">
        <v>1573</v>
      </c>
      <c r="D109" s="165" t="s">
        <v>1658</v>
      </c>
      <c r="E109" s="166" t="s">
        <v>1659</v>
      </c>
      <c r="F109" s="165" t="s">
        <v>1579</v>
      </c>
      <c r="G109" s="165">
        <v>3.0</v>
      </c>
      <c r="H109" s="165">
        <v>0.0</v>
      </c>
      <c r="I109" s="165">
        <v>2.0</v>
      </c>
      <c r="J109" s="165">
        <v>4.0</v>
      </c>
      <c r="K109" s="170">
        <v>20.0</v>
      </c>
      <c r="L109" s="165" t="s">
        <v>310</v>
      </c>
      <c r="M109" s="166" t="s">
        <v>2191</v>
      </c>
      <c r="N109" s="165" t="s">
        <v>312</v>
      </c>
      <c r="O109" s="165"/>
    </row>
    <row r="110">
      <c r="A110" s="165" t="s">
        <v>4</v>
      </c>
      <c r="B110" s="165" t="s">
        <v>1612</v>
      </c>
      <c r="C110" s="165" t="s">
        <v>1573</v>
      </c>
      <c r="D110" s="165" t="s">
        <v>1658</v>
      </c>
      <c r="E110" s="166" t="s">
        <v>1659</v>
      </c>
      <c r="F110" s="165" t="s">
        <v>1579</v>
      </c>
      <c r="G110" s="165">
        <v>3.0</v>
      </c>
      <c r="H110" s="165">
        <v>0.0</v>
      </c>
      <c r="I110" s="165">
        <v>2.0</v>
      </c>
      <c r="J110" s="165">
        <v>4.0</v>
      </c>
      <c r="K110" s="170">
        <v>20.0</v>
      </c>
      <c r="L110" s="165" t="s">
        <v>355</v>
      </c>
      <c r="M110" s="166" t="s">
        <v>2207</v>
      </c>
      <c r="N110" s="165" t="s">
        <v>357</v>
      </c>
      <c r="O110" s="165"/>
    </row>
    <row r="111">
      <c r="A111" s="165" t="s">
        <v>4</v>
      </c>
      <c r="B111" s="165" t="s">
        <v>1612</v>
      </c>
      <c r="C111" s="165" t="s">
        <v>1573</v>
      </c>
      <c r="D111" s="165" t="s">
        <v>1660</v>
      </c>
      <c r="E111" s="166" t="s">
        <v>1661</v>
      </c>
      <c r="F111" s="165" t="s">
        <v>1579</v>
      </c>
      <c r="G111" s="165">
        <v>3.0</v>
      </c>
      <c r="H111" s="165">
        <v>0.0</v>
      </c>
      <c r="I111" s="165">
        <v>2.0</v>
      </c>
      <c r="J111" s="165">
        <v>4.0</v>
      </c>
      <c r="K111" s="170">
        <v>20.0</v>
      </c>
      <c r="L111" s="165" t="s">
        <v>322</v>
      </c>
      <c r="M111" s="166" t="s">
        <v>2208</v>
      </c>
      <c r="N111" s="165" t="s">
        <v>324</v>
      </c>
      <c r="O111" s="165"/>
    </row>
    <row r="112">
      <c r="A112" s="165" t="s">
        <v>4</v>
      </c>
      <c r="B112" s="165" t="s">
        <v>1612</v>
      </c>
      <c r="C112" s="165" t="s">
        <v>1573</v>
      </c>
      <c r="D112" s="165" t="s">
        <v>1660</v>
      </c>
      <c r="E112" s="166" t="s">
        <v>1661</v>
      </c>
      <c r="F112" s="165" t="s">
        <v>1579</v>
      </c>
      <c r="G112" s="165">
        <v>3.0</v>
      </c>
      <c r="H112" s="165">
        <v>0.0</v>
      </c>
      <c r="I112" s="165">
        <v>2.0</v>
      </c>
      <c r="J112" s="165">
        <v>4.0</v>
      </c>
      <c r="K112" s="170">
        <v>20.0</v>
      </c>
      <c r="L112" s="165" t="s">
        <v>714</v>
      </c>
      <c r="M112" s="166" t="s">
        <v>2209</v>
      </c>
      <c r="N112" s="165" t="s">
        <v>716</v>
      </c>
      <c r="O112" s="165"/>
    </row>
    <row r="113">
      <c r="A113" s="165" t="s">
        <v>9</v>
      </c>
      <c r="B113" s="165" t="s">
        <v>1612</v>
      </c>
      <c r="C113" s="165" t="s">
        <v>1573</v>
      </c>
      <c r="D113" s="165" t="s">
        <v>1674</v>
      </c>
      <c r="E113" s="166" t="s">
        <v>1657</v>
      </c>
      <c r="F113" s="165" t="s">
        <v>1579</v>
      </c>
      <c r="G113" s="165">
        <v>2.0</v>
      </c>
      <c r="H113" s="165">
        <v>0.0</v>
      </c>
      <c r="I113" s="165">
        <v>2.0</v>
      </c>
      <c r="J113" s="165">
        <v>3.0</v>
      </c>
      <c r="K113" s="170">
        <v>15.0</v>
      </c>
      <c r="L113" s="165" t="s">
        <v>328</v>
      </c>
      <c r="M113" s="166" t="s">
        <v>2246</v>
      </c>
      <c r="N113" s="165" t="s">
        <v>330</v>
      </c>
      <c r="O113" s="165"/>
    </row>
    <row r="114">
      <c r="A114" s="165" t="s">
        <v>9</v>
      </c>
      <c r="B114" s="165" t="s">
        <v>1612</v>
      </c>
      <c r="C114" s="165" t="s">
        <v>1573</v>
      </c>
      <c r="D114" s="165" t="s">
        <v>1674</v>
      </c>
      <c r="E114" s="166" t="s">
        <v>1657</v>
      </c>
      <c r="F114" s="165" t="s">
        <v>1588</v>
      </c>
      <c r="G114" s="165">
        <v>2.0</v>
      </c>
      <c r="H114" s="165">
        <v>0.0</v>
      </c>
      <c r="I114" s="165">
        <v>2.0</v>
      </c>
      <c r="J114" s="165">
        <v>3.0</v>
      </c>
      <c r="K114" s="170">
        <v>0.0</v>
      </c>
      <c r="L114" s="165" t="s">
        <v>720</v>
      </c>
      <c r="M114" s="166" t="s">
        <v>2206</v>
      </c>
      <c r="N114" s="165" t="s">
        <v>722</v>
      </c>
      <c r="O114" s="165"/>
    </row>
    <row r="115">
      <c r="A115" s="165" t="s">
        <v>9</v>
      </c>
      <c r="B115" s="165" t="s">
        <v>1612</v>
      </c>
      <c r="C115" s="165" t="s">
        <v>1573</v>
      </c>
      <c r="D115" s="165" t="s">
        <v>1675</v>
      </c>
      <c r="E115" s="166" t="s">
        <v>1659</v>
      </c>
      <c r="F115" s="165" t="s">
        <v>1579</v>
      </c>
      <c r="G115" s="165">
        <v>3.0</v>
      </c>
      <c r="H115" s="165">
        <v>0.0</v>
      </c>
      <c r="I115" s="165">
        <v>2.0</v>
      </c>
      <c r="J115" s="165">
        <v>4.0</v>
      </c>
      <c r="K115" s="170">
        <v>20.0</v>
      </c>
      <c r="L115" s="165" t="s">
        <v>420</v>
      </c>
      <c r="M115" s="166" t="s">
        <v>2248</v>
      </c>
      <c r="N115" s="165" t="s">
        <v>422</v>
      </c>
      <c r="O115" s="165"/>
    </row>
    <row r="116">
      <c r="A116" s="165" t="s">
        <v>9</v>
      </c>
      <c r="B116" s="165" t="s">
        <v>1612</v>
      </c>
      <c r="C116" s="165" t="s">
        <v>1573</v>
      </c>
      <c r="D116" s="165" t="s">
        <v>1675</v>
      </c>
      <c r="E116" s="166" t="s">
        <v>1659</v>
      </c>
      <c r="F116" s="165" t="s">
        <v>1579</v>
      </c>
      <c r="G116" s="165">
        <v>3.0</v>
      </c>
      <c r="H116" s="165">
        <v>0.0</v>
      </c>
      <c r="I116" s="165">
        <v>2.0</v>
      </c>
      <c r="J116" s="165">
        <v>4.0</v>
      </c>
      <c r="K116" s="170">
        <v>20.0</v>
      </c>
      <c r="L116" s="165" t="s">
        <v>414</v>
      </c>
      <c r="M116" s="166" t="s">
        <v>2249</v>
      </c>
      <c r="N116" s="165" t="s">
        <v>416</v>
      </c>
      <c r="O116" s="165"/>
    </row>
    <row r="117">
      <c r="A117" s="165" t="s">
        <v>9</v>
      </c>
      <c r="B117" s="165" t="s">
        <v>1612</v>
      </c>
      <c r="C117" s="165" t="s">
        <v>1573</v>
      </c>
      <c r="D117" s="165" t="s">
        <v>1676</v>
      </c>
      <c r="E117" s="166" t="s">
        <v>1661</v>
      </c>
      <c r="F117" s="165" t="s">
        <v>1579</v>
      </c>
      <c r="G117" s="165">
        <v>2.0</v>
      </c>
      <c r="H117" s="165">
        <v>0.0</v>
      </c>
      <c r="I117" s="165">
        <v>2.0</v>
      </c>
      <c r="J117" s="165">
        <v>3.0</v>
      </c>
      <c r="K117" s="170">
        <v>15.0</v>
      </c>
      <c r="L117" s="165" t="s">
        <v>299</v>
      </c>
      <c r="M117" s="166" t="s">
        <v>2063</v>
      </c>
      <c r="N117" s="165" t="s">
        <v>302</v>
      </c>
      <c r="O117" s="165"/>
    </row>
    <row r="118">
      <c r="A118" s="165" t="s">
        <v>9</v>
      </c>
      <c r="B118" s="165" t="s">
        <v>1612</v>
      </c>
      <c r="C118" s="165" t="s">
        <v>1573</v>
      </c>
      <c r="D118" s="165" t="s">
        <v>1676</v>
      </c>
      <c r="E118" s="166" t="s">
        <v>1661</v>
      </c>
      <c r="F118" s="165" t="s">
        <v>1588</v>
      </c>
      <c r="G118" s="165">
        <v>2.0</v>
      </c>
      <c r="H118" s="165">
        <v>0.0</v>
      </c>
      <c r="I118" s="165">
        <v>2.0</v>
      </c>
      <c r="J118" s="165">
        <v>3.0</v>
      </c>
      <c r="K118" s="170">
        <v>0.0</v>
      </c>
      <c r="L118" s="165" t="s">
        <v>2230</v>
      </c>
      <c r="M118" s="166" t="s">
        <v>2231</v>
      </c>
      <c r="N118" s="165" t="s">
        <v>2232</v>
      </c>
      <c r="O118" s="165"/>
    </row>
    <row r="119">
      <c r="A119" s="165" t="s">
        <v>83</v>
      </c>
      <c r="B119" s="165" t="s">
        <v>1612</v>
      </c>
      <c r="C119" s="165" t="s">
        <v>1573</v>
      </c>
      <c r="D119" s="165" t="s">
        <v>1689</v>
      </c>
      <c r="E119" s="166" t="s">
        <v>1690</v>
      </c>
      <c r="F119" s="165" t="s">
        <v>1579</v>
      </c>
      <c r="G119" s="165">
        <v>3.0</v>
      </c>
      <c r="H119" s="165">
        <v>0.0</v>
      </c>
      <c r="I119" s="165">
        <v>2.0</v>
      </c>
      <c r="J119" s="165">
        <v>4.0</v>
      </c>
      <c r="K119" s="170">
        <v>20.0</v>
      </c>
      <c r="L119" s="165" t="s">
        <v>479</v>
      </c>
      <c r="M119" s="166" t="s">
        <v>2254</v>
      </c>
      <c r="N119" s="165" t="s">
        <v>481</v>
      </c>
      <c r="O119" s="165"/>
    </row>
    <row r="120">
      <c r="A120" s="165" t="s">
        <v>83</v>
      </c>
      <c r="B120" s="165" t="s">
        <v>1612</v>
      </c>
      <c r="C120" s="165" t="s">
        <v>1573</v>
      </c>
      <c r="D120" s="165" t="s">
        <v>1691</v>
      </c>
      <c r="E120" s="166" t="s">
        <v>1692</v>
      </c>
      <c r="F120" s="165" t="s">
        <v>1579</v>
      </c>
      <c r="G120" s="165">
        <v>3.0</v>
      </c>
      <c r="H120" s="165">
        <v>0.0</v>
      </c>
      <c r="I120" s="165">
        <v>2.0</v>
      </c>
      <c r="J120" s="165">
        <v>4.0</v>
      </c>
      <c r="K120" s="170">
        <v>20.0</v>
      </c>
      <c r="L120" s="165" t="s">
        <v>482</v>
      </c>
      <c r="M120" s="166" t="s">
        <v>2262</v>
      </c>
      <c r="N120" s="165" t="s">
        <v>484</v>
      </c>
      <c r="O120" s="165"/>
    </row>
    <row r="121">
      <c r="A121" s="165" t="s">
        <v>83</v>
      </c>
      <c r="B121" s="165" t="s">
        <v>1612</v>
      </c>
      <c r="C121" s="165" t="s">
        <v>1573</v>
      </c>
      <c r="D121" s="165" t="s">
        <v>1693</v>
      </c>
      <c r="E121" s="166" t="s">
        <v>1694</v>
      </c>
      <c r="F121" s="165" t="s">
        <v>1579</v>
      </c>
      <c r="G121" s="165">
        <v>3.0</v>
      </c>
      <c r="H121" s="165">
        <v>0.0</v>
      </c>
      <c r="I121" s="165">
        <v>2.0</v>
      </c>
      <c r="J121" s="165">
        <v>4.0</v>
      </c>
      <c r="K121" s="170">
        <v>20.0</v>
      </c>
      <c r="L121" s="165" t="s">
        <v>565</v>
      </c>
      <c r="M121" s="166" t="s">
        <v>2263</v>
      </c>
      <c r="N121" s="165" t="s">
        <v>567</v>
      </c>
      <c r="O121" s="165"/>
    </row>
    <row r="122">
      <c r="A122" s="165" t="s">
        <v>13</v>
      </c>
      <c r="B122" s="165" t="s">
        <v>1612</v>
      </c>
      <c r="C122" s="165" t="s">
        <v>1573</v>
      </c>
      <c r="D122" s="165" t="s">
        <v>1774</v>
      </c>
      <c r="E122" s="166" t="s">
        <v>1775</v>
      </c>
      <c r="F122" s="165" t="s">
        <v>1579</v>
      </c>
      <c r="G122" s="165">
        <v>3.0</v>
      </c>
      <c r="H122" s="165">
        <v>0.0</v>
      </c>
      <c r="I122" s="165">
        <v>2.0</v>
      </c>
      <c r="J122" s="165">
        <v>4.0</v>
      </c>
      <c r="K122" s="170">
        <v>20.0</v>
      </c>
      <c r="L122" s="165" t="s">
        <v>2297</v>
      </c>
      <c r="M122" s="166" t="s">
        <v>2298</v>
      </c>
      <c r="N122" s="165" t="s">
        <v>2299</v>
      </c>
      <c r="O122" s="165"/>
    </row>
    <row r="123">
      <c r="A123" s="165" t="s">
        <v>13</v>
      </c>
      <c r="B123" s="165" t="s">
        <v>1612</v>
      </c>
      <c r="C123" s="165" t="s">
        <v>1573</v>
      </c>
      <c r="D123" s="165" t="s">
        <v>1774</v>
      </c>
      <c r="E123" s="166" t="s">
        <v>1775</v>
      </c>
      <c r="F123" s="165" t="s">
        <v>1579</v>
      </c>
      <c r="G123" s="165">
        <v>3.0</v>
      </c>
      <c r="H123" s="165">
        <v>0.0</v>
      </c>
      <c r="I123" s="165">
        <v>2.0</v>
      </c>
      <c r="J123" s="165">
        <v>4.0</v>
      </c>
      <c r="K123" s="170">
        <v>20.0</v>
      </c>
      <c r="L123" s="165" t="s">
        <v>522</v>
      </c>
      <c r="M123" s="166" t="s">
        <v>2300</v>
      </c>
      <c r="N123" s="165" t="s">
        <v>524</v>
      </c>
      <c r="O123" s="165"/>
    </row>
    <row r="124">
      <c r="A124" s="165" t="s">
        <v>13</v>
      </c>
      <c r="B124" s="165" t="s">
        <v>1612</v>
      </c>
      <c r="C124" s="165" t="s">
        <v>1573</v>
      </c>
      <c r="D124" s="165" t="s">
        <v>1776</v>
      </c>
      <c r="E124" s="166" t="s">
        <v>1777</v>
      </c>
      <c r="F124" s="165" t="s">
        <v>1579</v>
      </c>
      <c r="G124" s="165">
        <v>3.0</v>
      </c>
      <c r="H124" s="165">
        <v>0.0</v>
      </c>
      <c r="I124" s="165">
        <v>2.0</v>
      </c>
      <c r="J124" s="165">
        <v>4.0</v>
      </c>
      <c r="K124" s="170">
        <v>20.0</v>
      </c>
      <c r="L124" s="165" t="s">
        <v>501</v>
      </c>
      <c r="M124" s="166" t="s">
        <v>2301</v>
      </c>
      <c r="N124" s="165" t="s">
        <v>503</v>
      </c>
      <c r="O124" s="165"/>
    </row>
    <row r="125">
      <c r="A125" s="165" t="s">
        <v>13</v>
      </c>
      <c r="B125" s="165" t="s">
        <v>1612</v>
      </c>
      <c r="C125" s="165" t="s">
        <v>1573</v>
      </c>
      <c r="D125" s="165" t="s">
        <v>1776</v>
      </c>
      <c r="E125" s="166" t="s">
        <v>1777</v>
      </c>
      <c r="F125" s="165" t="s">
        <v>1588</v>
      </c>
      <c r="G125" s="165">
        <v>3.0</v>
      </c>
      <c r="H125" s="165">
        <v>0.0</v>
      </c>
      <c r="I125" s="165">
        <v>2.0</v>
      </c>
      <c r="J125" s="165">
        <v>4.0</v>
      </c>
      <c r="K125" s="170">
        <v>0.0</v>
      </c>
      <c r="L125" s="165" t="s">
        <v>504</v>
      </c>
      <c r="M125" s="166" t="s">
        <v>2302</v>
      </c>
      <c r="N125" s="165" t="s">
        <v>506</v>
      </c>
      <c r="O125" s="165"/>
    </row>
    <row r="126">
      <c r="A126" s="165" t="s">
        <v>13</v>
      </c>
      <c r="B126" s="165" t="s">
        <v>1612</v>
      </c>
      <c r="C126" s="165" t="s">
        <v>1573</v>
      </c>
      <c r="D126" s="165" t="s">
        <v>1778</v>
      </c>
      <c r="E126" s="166" t="s">
        <v>1779</v>
      </c>
      <c r="F126" s="165" t="s">
        <v>1588</v>
      </c>
      <c r="G126" s="165">
        <v>3.0</v>
      </c>
      <c r="H126" s="165">
        <v>0.0</v>
      </c>
      <c r="I126" s="165">
        <v>2.0</v>
      </c>
      <c r="J126" s="165">
        <v>4.0</v>
      </c>
      <c r="K126" s="170">
        <v>0.0</v>
      </c>
      <c r="L126" s="165" t="s">
        <v>510</v>
      </c>
      <c r="M126" s="166" t="s">
        <v>2303</v>
      </c>
      <c r="N126" s="165" t="s">
        <v>512</v>
      </c>
      <c r="O126" s="165"/>
    </row>
    <row r="127">
      <c r="A127" s="165" t="s">
        <v>13</v>
      </c>
      <c r="B127" s="165" t="s">
        <v>1612</v>
      </c>
      <c r="C127" s="165" t="s">
        <v>1573</v>
      </c>
      <c r="D127" s="165" t="s">
        <v>1778</v>
      </c>
      <c r="E127" s="166" t="s">
        <v>1779</v>
      </c>
      <c r="F127" s="165" t="s">
        <v>1579</v>
      </c>
      <c r="G127" s="165">
        <v>3.0</v>
      </c>
      <c r="H127" s="165">
        <v>0.0</v>
      </c>
      <c r="I127" s="165">
        <v>2.0</v>
      </c>
      <c r="J127" s="165">
        <v>4.0</v>
      </c>
      <c r="K127" s="170">
        <v>20.0</v>
      </c>
      <c r="L127" s="165" t="s">
        <v>531</v>
      </c>
      <c r="M127" s="166" t="s">
        <v>2304</v>
      </c>
      <c r="N127" s="165" t="s">
        <v>533</v>
      </c>
      <c r="O127" s="165"/>
    </row>
    <row r="128">
      <c r="A128" s="165" t="s">
        <v>111</v>
      </c>
      <c r="B128" s="165" t="s">
        <v>1612</v>
      </c>
      <c r="C128" s="165" t="s">
        <v>1573</v>
      </c>
      <c r="D128" s="165" t="s">
        <v>1824</v>
      </c>
      <c r="E128" s="166" t="s">
        <v>1825</v>
      </c>
      <c r="F128" s="165" t="s">
        <v>1579</v>
      </c>
      <c r="G128" s="165">
        <v>3.0</v>
      </c>
      <c r="H128" s="165">
        <v>0.0</v>
      </c>
      <c r="I128" s="165">
        <v>2.0</v>
      </c>
      <c r="J128" s="165">
        <v>4.0</v>
      </c>
      <c r="K128" s="170">
        <v>20.0</v>
      </c>
      <c r="L128" s="165" t="s">
        <v>2320</v>
      </c>
      <c r="M128" s="166" t="s">
        <v>2321</v>
      </c>
      <c r="N128" s="165" t="s">
        <v>2322</v>
      </c>
      <c r="O128" s="165"/>
    </row>
    <row r="129">
      <c r="A129" s="165" t="s">
        <v>18</v>
      </c>
      <c r="B129" s="165" t="s">
        <v>1612</v>
      </c>
      <c r="C129" s="165" t="s">
        <v>1573</v>
      </c>
      <c r="D129" s="165" t="s">
        <v>1737</v>
      </c>
      <c r="E129" s="166" t="s">
        <v>1738</v>
      </c>
      <c r="F129" s="165" t="s">
        <v>1579</v>
      </c>
      <c r="G129" s="165">
        <v>3.0</v>
      </c>
      <c r="H129" s="165">
        <v>0.0</v>
      </c>
      <c r="I129" s="165">
        <v>2.0</v>
      </c>
      <c r="J129" s="165">
        <v>4.0</v>
      </c>
      <c r="K129" s="170">
        <v>20.0</v>
      </c>
      <c r="L129" s="165" t="s">
        <v>705</v>
      </c>
      <c r="M129" s="166" t="s">
        <v>2380</v>
      </c>
      <c r="N129" s="165" t="s">
        <v>707</v>
      </c>
      <c r="O129" s="165"/>
    </row>
    <row r="130">
      <c r="A130" s="165" t="s">
        <v>18</v>
      </c>
      <c r="B130" s="165" t="s">
        <v>1612</v>
      </c>
      <c r="C130" s="165" t="s">
        <v>1573</v>
      </c>
      <c r="D130" s="165" t="s">
        <v>1737</v>
      </c>
      <c r="E130" s="166" t="s">
        <v>1738</v>
      </c>
      <c r="F130" s="165" t="s">
        <v>1579</v>
      </c>
      <c r="G130" s="165">
        <v>3.0</v>
      </c>
      <c r="H130" s="165">
        <v>0.0</v>
      </c>
      <c r="I130" s="165">
        <v>2.0</v>
      </c>
      <c r="J130" s="165">
        <v>4.0</v>
      </c>
      <c r="K130" s="170">
        <v>20.0</v>
      </c>
      <c r="L130" s="165" t="s">
        <v>810</v>
      </c>
      <c r="M130" s="166" t="s">
        <v>2343</v>
      </c>
      <c r="N130" s="165" t="s">
        <v>812</v>
      </c>
      <c r="O130" s="165"/>
    </row>
    <row r="131">
      <c r="A131" s="165" t="s">
        <v>18</v>
      </c>
      <c r="B131" s="165" t="s">
        <v>1612</v>
      </c>
      <c r="C131" s="165" t="s">
        <v>1573</v>
      </c>
      <c r="D131" s="165" t="s">
        <v>1737</v>
      </c>
      <c r="E131" s="166" t="s">
        <v>1738</v>
      </c>
      <c r="F131" s="165" t="s">
        <v>1579</v>
      </c>
      <c r="G131" s="165">
        <v>3.0</v>
      </c>
      <c r="H131" s="165">
        <v>0.0</v>
      </c>
      <c r="I131" s="165">
        <v>2.0</v>
      </c>
      <c r="J131" s="165">
        <v>4.0</v>
      </c>
      <c r="K131" s="170">
        <v>20.0</v>
      </c>
      <c r="L131" s="165" t="s">
        <v>807</v>
      </c>
      <c r="M131" s="166" t="s">
        <v>2344</v>
      </c>
      <c r="N131" s="165" t="s">
        <v>809</v>
      </c>
      <c r="O131" s="165"/>
    </row>
    <row r="132">
      <c r="A132" s="165" t="s">
        <v>18</v>
      </c>
      <c r="B132" s="165" t="s">
        <v>1612</v>
      </c>
      <c r="C132" s="165" t="s">
        <v>1573</v>
      </c>
      <c r="D132" s="165" t="s">
        <v>1737</v>
      </c>
      <c r="E132" s="166" t="s">
        <v>1738</v>
      </c>
      <c r="F132" s="165" t="s">
        <v>1579</v>
      </c>
      <c r="G132" s="165">
        <v>3.0</v>
      </c>
      <c r="H132" s="165">
        <v>0.0</v>
      </c>
      <c r="I132" s="165">
        <v>2.0</v>
      </c>
      <c r="J132" s="165">
        <v>4.0</v>
      </c>
      <c r="K132" s="170">
        <v>20.0</v>
      </c>
      <c r="L132" s="165" t="s">
        <v>732</v>
      </c>
      <c r="M132" s="166" t="s">
        <v>2387</v>
      </c>
      <c r="N132" s="165" t="s">
        <v>734</v>
      </c>
      <c r="O132" s="165"/>
    </row>
    <row r="133">
      <c r="A133" s="165" t="s">
        <v>18</v>
      </c>
      <c r="B133" s="165" t="s">
        <v>1612</v>
      </c>
      <c r="C133" s="165" t="s">
        <v>1620</v>
      </c>
      <c r="D133" s="165" t="s">
        <v>2098</v>
      </c>
      <c r="E133" s="166" t="s">
        <v>148</v>
      </c>
      <c r="F133" s="165" t="s">
        <v>1579</v>
      </c>
      <c r="G133" s="165">
        <v>2.0</v>
      </c>
      <c r="H133" s="165">
        <v>0.0</v>
      </c>
      <c r="I133" s="165">
        <v>2.0</v>
      </c>
      <c r="J133" s="165">
        <v>3.0</v>
      </c>
      <c r="K133" s="170">
        <v>15.0</v>
      </c>
      <c r="L133" s="165" t="s">
        <v>717</v>
      </c>
      <c r="M133" s="166" t="s">
        <v>2389</v>
      </c>
      <c r="N133" s="165" t="s">
        <v>719</v>
      </c>
      <c r="O133" s="165"/>
    </row>
    <row r="134">
      <c r="A134" s="165" t="s">
        <v>18</v>
      </c>
      <c r="B134" s="165" t="s">
        <v>1612</v>
      </c>
      <c r="C134" s="165" t="s">
        <v>1620</v>
      </c>
      <c r="D134" s="165" t="s">
        <v>2098</v>
      </c>
      <c r="E134" s="166" t="s">
        <v>148</v>
      </c>
      <c r="F134" s="165" t="s">
        <v>1579</v>
      </c>
      <c r="G134" s="165">
        <v>2.0</v>
      </c>
      <c r="H134" s="165">
        <v>0.0</v>
      </c>
      <c r="I134" s="165">
        <v>2.0</v>
      </c>
      <c r="J134" s="165">
        <v>3.0</v>
      </c>
      <c r="K134" s="170">
        <v>15.0</v>
      </c>
      <c r="L134" s="165" t="s">
        <v>829</v>
      </c>
      <c r="M134" s="166" t="s">
        <v>2194</v>
      </c>
      <c r="N134" s="165" t="s">
        <v>831</v>
      </c>
      <c r="O134" s="165"/>
    </row>
    <row r="135">
      <c r="A135" s="165" t="s">
        <v>18</v>
      </c>
      <c r="B135" s="165" t="s">
        <v>1612</v>
      </c>
      <c r="C135" s="165" t="s">
        <v>1620</v>
      </c>
      <c r="D135" s="165" t="s">
        <v>2098</v>
      </c>
      <c r="E135" s="166" t="s">
        <v>148</v>
      </c>
      <c r="F135" s="165" t="s">
        <v>1579</v>
      </c>
      <c r="G135" s="165">
        <v>2.0</v>
      </c>
      <c r="H135" s="165">
        <v>0.0</v>
      </c>
      <c r="I135" s="165">
        <v>2.0</v>
      </c>
      <c r="J135" s="165">
        <v>3.0</v>
      </c>
      <c r="K135" s="170">
        <v>15.0</v>
      </c>
      <c r="L135" s="165" t="s">
        <v>665</v>
      </c>
      <c r="M135" s="166" t="s">
        <v>2390</v>
      </c>
      <c r="N135" s="165" t="s">
        <v>668</v>
      </c>
      <c r="O135" s="165"/>
    </row>
    <row r="136">
      <c r="A136" s="165" t="s">
        <v>18</v>
      </c>
      <c r="B136" s="165" t="s">
        <v>1612</v>
      </c>
      <c r="C136" s="165" t="s">
        <v>1623</v>
      </c>
      <c r="D136" s="165" t="s">
        <v>2099</v>
      </c>
      <c r="E136" s="166" t="s">
        <v>1742</v>
      </c>
      <c r="F136" s="165" t="s">
        <v>1579</v>
      </c>
      <c r="G136" s="165">
        <v>2.0</v>
      </c>
      <c r="H136" s="165">
        <v>0.0</v>
      </c>
      <c r="I136" s="165">
        <v>2.0</v>
      </c>
      <c r="J136" s="165">
        <v>3.0</v>
      </c>
      <c r="K136" s="170">
        <v>15.0</v>
      </c>
      <c r="L136" s="165" t="s">
        <v>678</v>
      </c>
      <c r="M136" s="166" t="s">
        <v>2371</v>
      </c>
      <c r="N136" s="165" t="s">
        <v>680</v>
      </c>
      <c r="O136" s="165"/>
    </row>
    <row r="137">
      <c r="A137" s="165" t="s">
        <v>24</v>
      </c>
      <c r="B137" s="165" t="s">
        <v>1612</v>
      </c>
      <c r="C137" s="165" t="s">
        <v>1573</v>
      </c>
      <c r="D137" s="165" t="s">
        <v>1713</v>
      </c>
      <c r="E137" s="166" t="s">
        <v>1714</v>
      </c>
      <c r="F137" s="165" t="s">
        <v>1579</v>
      </c>
      <c r="G137" s="165">
        <v>3.0</v>
      </c>
      <c r="H137" s="165">
        <v>0.0</v>
      </c>
      <c r="I137" s="165">
        <v>2.0</v>
      </c>
      <c r="J137" s="165">
        <v>4.0</v>
      </c>
      <c r="K137" s="170">
        <v>20.0</v>
      </c>
      <c r="L137" s="165" t="s">
        <v>2403</v>
      </c>
      <c r="M137" s="166" t="s">
        <v>2404</v>
      </c>
      <c r="N137" s="165" t="s">
        <v>2405</v>
      </c>
      <c r="O137" s="165"/>
    </row>
    <row r="138">
      <c r="A138" s="165" t="s">
        <v>24</v>
      </c>
      <c r="B138" s="165" t="s">
        <v>1612</v>
      </c>
      <c r="C138" s="165" t="s">
        <v>1573</v>
      </c>
      <c r="D138" s="165" t="s">
        <v>1717</v>
      </c>
      <c r="E138" s="166" t="s">
        <v>1718</v>
      </c>
      <c r="F138" s="165" t="s">
        <v>1579</v>
      </c>
      <c r="G138" s="165">
        <v>3.0</v>
      </c>
      <c r="H138" s="165">
        <v>0.0</v>
      </c>
      <c r="I138" s="165">
        <v>2.0</v>
      </c>
      <c r="J138" s="165">
        <v>4.0</v>
      </c>
      <c r="K138" s="170">
        <v>20.0</v>
      </c>
      <c r="L138" s="165" t="s">
        <v>2406</v>
      </c>
      <c r="M138" s="166" t="s">
        <v>2407</v>
      </c>
      <c r="N138" s="165" t="s">
        <v>413</v>
      </c>
      <c r="O138" s="165"/>
    </row>
    <row r="139">
      <c r="A139" s="165" t="s">
        <v>24</v>
      </c>
      <c r="B139" s="165" t="s">
        <v>1612</v>
      </c>
      <c r="C139" s="165" t="s">
        <v>1573</v>
      </c>
      <c r="D139" s="165" t="s">
        <v>1719</v>
      </c>
      <c r="E139" s="166" t="s">
        <v>1720</v>
      </c>
      <c r="F139" s="165" t="s">
        <v>1588</v>
      </c>
      <c r="G139" s="165">
        <v>2.0</v>
      </c>
      <c r="H139" s="165">
        <v>0.0</v>
      </c>
      <c r="I139" s="165">
        <v>2.0</v>
      </c>
      <c r="J139" s="165">
        <v>3.0</v>
      </c>
      <c r="K139" s="170">
        <v>0.0</v>
      </c>
      <c r="L139" s="165" t="s">
        <v>559</v>
      </c>
      <c r="M139" s="166" t="s">
        <v>2070</v>
      </c>
      <c r="N139" s="165" t="s">
        <v>561</v>
      </c>
      <c r="O139" s="165"/>
    </row>
    <row r="140">
      <c r="A140" s="165" t="s">
        <v>143</v>
      </c>
      <c r="B140" s="165" t="s">
        <v>1612</v>
      </c>
      <c r="C140" s="165" t="s">
        <v>1573</v>
      </c>
      <c r="D140" s="165" t="s">
        <v>1787</v>
      </c>
      <c r="E140" s="166" t="s">
        <v>1788</v>
      </c>
      <c r="F140" s="165" t="s">
        <v>1579</v>
      </c>
      <c r="G140" s="165">
        <v>3.0</v>
      </c>
      <c r="H140" s="165">
        <v>0.0</v>
      </c>
      <c r="I140" s="165">
        <v>2.0</v>
      </c>
      <c r="J140" s="165">
        <v>4.0</v>
      </c>
      <c r="K140" s="170">
        <v>20.0</v>
      </c>
      <c r="L140" s="165" t="s">
        <v>581</v>
      </c>
      <c r="M140" s="166" t="s">
        <v>2420</v>
      </c>
      <c r="N140" s="165" t="s">
        <v>583</v>
      </c>
      <c r="O140" s="165"/>
    </row>
    <row r="141">
      <c r="A141" s="165" t="s">
        <v>143</v>
      </c>
      <c r="B141" s="165" t="s">
        <v>1612</v>
      </c>
      <c r="C141" s="165" t="s">
        <v>1620</v>
      </c>
      <c r="D141" s="165" t="s">
        <v>147</v>
      </c>
      <c r="E141" s="166" t="s">
        <v>148</v>
      </c>
      <c r="F141" s="165" t="s">
        <v>1588</v>
      </c>
      <c r="G141" s="165">
        <v>2.0</v>
      </c>
      <c r="H141" s="165">
        <v>0.0</v>
      </c>
      <c r="I141" s="165">
        <v>2.0</v>
      </c>
      <c r="J141" s="165">
        <v>3.0</v>
      </c>
      <c r="K141" s="170">
        <v>0.0</v>
      </c>
      <c r="L141" s="165" t="s">
        <v>306</v>
      </c>
      <c r="M141" s="166" t="s">
        <v>2062</v>
      </c>
      <c r="N141" s="165" t="s">
        <v>309</v>
      </c>
      <c r="O141" s="165"/>
    </row>
    <row r="142">
      <c r="A142" s="165" t="s">
        <v>151</v>
      </c>
      <c r="B142" s="165" t="s">
        <v>1612</v>
      </c>
      <c r="C142" s="165" t="s">
        <v>1573</v>
      </c>
      <c r="D142" s="165" t="s">
        <v>1866</v>
      </c>
      <c r="E142" s="166" t="s">
        <v>140</v>
      </c>
      <c r="F142" s="165" t="s">
        <v>1579</v>
      </c>
      <c r="G142" s="165">
        <v>3.0</v>
      </c>
      <c r="H142" s="165">
        <v>0.0</v>
      </c>
      <c r="I142" s="165">
        <v>2.0</v>
      </c>
      <c r="J142" s="165">
        <v>4.0</v>
      </c>
      <c r="K142" s="170">
        <v>20.0</v>
      </c>
      <c r="L142" s="165" t="s">
        <v>2429</v>
      </c>
      <c r="M142" s="166" t="s">
        <v>2430</v>
      </c>
      <c r="N142" s="165" t="s">
        <v>419</v>
      </c>
      <c r="O142" s="165"/>
    </row>
    <row r="143">
      <c r="A143" s="165" t="s">
        <v>151</v>
      </c>
      <c r="B143" s="165" t="s">
        <v>1612</v>
      </c>
      <c r="C143" s="165" t="s">
        <v>1573</v>
      </c>
      <c r="D143" s="165" t="s">
        <v>1868</v>
      </c>
      <c r="E143" s="166" t="s">
        <v>1738</v>
      </c>
      <c r="F143" s="165" t="s">
        <v>1579</v>
      </c>
      <c r="G143" s="165">
        <v>3.0</v>
      </c>
      <c r="H143" s="165">
        <v>0.0</v>
      </c>
      <c r="I143" s="165">
        <v>2.0</v>
      </c>
      <c r="J143" s="165">
        <v>4.0</v>
      </c>
      <c r="K143" s="170">
        <v>20.0</v>
      </c>
      <c r="L143" s="165" t="s">
        <v>823</v>
      </c>
      <c r="M143" s="166" t="s">
        <v>2431</v>
      </c>
      <c r="N143" s="165" t="s">
        <v>825</v>
      </c>
      <c r="O143" s="165"/>
    </row>
    <row r="144">
      <c r="A144" s="165" t="s">
        <v>151</v>
      </c>
      <c r="B144" s="165" t="s">
        <v>1612</v>
      </c>
      <c r="C144" s="165" t="s">
        <v>1620</v>
      </c>
      <c r="D144" s="165" t="s">
        <v>156</v>
      </c>
      <c r="E144" s="166" t="s">
        <v>148</v>
      </c>
      <c r="F144" s="165" t="s">
        <v>1579</v>
      </c>
      <c r="G144" s="165">
        <v>2.0</v>
      </c>
      <c r="H144" s="165">
        <v>0.0</v>
      </c>
      <c r="I144" s="165">
        <v>2.0</v>
      </c>
      <c r="J144" s="165">
        <v>3.0</v>
      </c>
      <c r="K144" s="170">
        <v>15.0</v>
      </c>
      <c r="L144" s="165" t="s">
        <v>2423</v>
      </c>
      <c r="M144" s="166" t="s">
        <v>2075</v>
      </c>
      <c r="N144" s="165" t="s">
        <v>2424</v>
      </c>
      <c r="O144" s="165"/>
    </row>
    <row r="145">
      <c r="A145" s="165" t="s">
        <v>27</v>
      </c>
      <c r="B145" s="165" t="s">
        <v>1612</v>
      </c>
      <c r="C145" s="165" t="s">
        <v>1573</v>
      </c>
      <c r="D145" s="165" t="s">
        <v>1812</v>
      </c>
      <c r="E145" s="166" t="s">
        <v>1813</v>
      </c>
      <c r="F145" s="165" t="s">
        <v>1579</v>
      </c>
      <c r="G145" s="165">
        <v>2.0</v>
      </c>
      <c r="H145" s="165">
        <v>0.0</v>
      </c>
      <c r="I145" s="165">
        <v>2.0</v>
      </c>
      <c r="J145" s="165">
        <v>3.0</v>
      </c>
      <c r="K145" s="170">
        <v>15.0</v>
      </c>
      <c r="L145" s="165" t="s">
        <v>1012</v>
      </c>
      <c r="M145" s="166" t="s">
        <v>2351</v>
      </c>
      <c r="N145" s="165" t="s">
        <v>1014</v>
      </c>
      <c r="O145" s="165"/>
    </row>
    <row r="146">
      <c r="A146" s="165" t="s">
        <v>32</v>
      </c>
      <c r="B146" s="165" t="s">
        <v>1612</v>
      </c>
      <c r="C146" s="165" t="s">
        <v>1573</v>
      </c>
      <c r="D146" s="165" t="s">
        <v>1853</v>
      </c>
      <c r="E146" s="166" t="s">
        <v>1854</v>
      </c>
      <c r="F146" s="165" t="s">
        <v>1579</v>
      </c>
      <c r="G146" s="165">
        <v>3.0</v>
      </c>
      <c r="H146" s="165">
        <v>0.0</v>
      </c>
      <c r="I146" s="165">
        <v>2.0</v>
      </c>
      <c r="J146" s="165">
        <v>4.0</v>
      </c>
      <c r="K146" s="170">
        <v>20.0</v>
      </c>
      <c r="L146" s="165" t="s">
        <v>945</v>
      </c>
      <c r="M146" s="166" t="s">
        <v>2482</v>
      </c>
      <c r="N146" s="165" t="s">
        <v>947</v>
      </c>
      <c r="O146" s="165"/>
    </row>
    <row r="147">
      <c r="A147" s="165" t="s">
        <v>32</v>
      </c>
      <c r="B147" s="165" t="s">
        <v>1612</v>
      </c>
      <c r="C147" s="165" t="s">
        <v>1573</v>
      </c>
      <c r="D147" s="165" t="s">
        <v>1853</v>
      </c>
      <c r="E147" s="166" t="s">
        <v>1854</v>
      </c>
      <c r="F147" s="165" t="s">
        <v>1579</v>
      </c>
      <c r="G147" s="165">
        <v>3.0</v>
      </c>
      <c r="H147" s="165">
        <v>0.0</v>
      </c>
      <c r="I147" s="165">
        <v>2.0</v>
      </c>
      <c r="J147" s="165">
        <v>4.0</v>
      </c>
      <c r="K147" s="170">
        <v>20.0</v>
      </c>
      <c r="L147" s="165" t="s">
        <v>889</v>
      </c>
      <c r="M147" s="166" t="s">
        <v>2483</v>
      </c>
      <c r="N147" s="165" t="s">
        <v>891</v>
      </c>
      <c r="O147" s="165"/>
    </row>
    <row r="148">
      <c r="A148" s="165" t="s">
        <v>32</v>
      </c>
      <c r="B148" s="165" t="s">
        <v>1612</v>
      </c>
      <c r="C148" s="165" t="s">
        <v>1573</v>
      </c>
      <c r="D148" s="165" t="s">
        <v>1853</v>
      </c>
      <c r="E148" s="166" t="s">
        <v>1854</v>
      </c>
      <c r="F148" s="165" t="s">
        <v>1579</v>
      </c>
      <c r="G148" s="165">
        <v>3.0</v>
      </c>
      <c r="H148" s="165">
        <v>0.0</v>
      </c>
      <c r="I148" s="165">
        <v>2.0</v>
      </c>
      <c r="J148" s="165">
        <v>4.0</v>
      </c>
      <c r="K148" s="170">
        <v>20.0</v>
      </c>
      <c r="L148" s="165" t="s">
        <v>903</v>
      </c>
      <c r="M148" s="166" t="s">
        <v>2463</v>
      </c>
      <c r="N148" s="165" t="s">
        <v>905</v>
      </c>
      <c r="O148" s="165"/>
    </row>
    <row r="149">
      <c r="A149" s="165" t="s">
        <v>32</v>
      </c>
      <c r="B149" s="165" t="s">
        <v>1612</v>
      </c>
      <c r="C149" s="165" t="s">
        <v>1573</v>
      </c>
      <c r="D149" s="165" t="s">
        <v>1853</v>
      </c>
      <c r="E149" s="166" t="s">
        <v>1854</v>
      </c>
      <c r="F149" s="165" t="s">
        <v>1588</v>
      </c>
      <c r="G149" s="165">
        <v>3.0</v>
      </c>
      <c r="H149" s="165">
        <v>0.0</v>
      </c>
      <c r="I149" s="165">
        <v>2.0</v>
      </c>
      <c r="J149" s="165">
        <v>4.0</v>
      </c>
      <c r="K149" s="170">
        <v>0.0</v>
      </c>
      <c r="L149" s="165" t="s">
        <v>909</v>
      </c>
      <c r="M149" s="166" t="s">
        <v>2480</v>
      </c>
      <c r="N149" s="165" t="s">
        <v>911</v>
      </c>
      <c r="O149" s="165"/>
    </row>
    <row r="150">
      <c r="A150" s="165" t="s">
        <v>32</v>
      </c>
      <c r="B150" s="165" t="s">
        <v>1612</v>
      </c>
      <c r="C150" s="165" t="s">
        <v>1573</v>
      </c>
      <c r="D150" s="165" t="s">
        <v>1855</v>
      </c>
      <c r="E150" s="166" t="s">
        <v>1694</v>
      </c>
      <c r="F150" s="165" t="s">
        <v>1579</v>
      </c>
      <c r="G150" s="165">
        <v>3.0</v>
      </c>
      <c r="H150" s="165">
        <v>0.0</v>
      </c>
      <c r="I150" s="165">
        <v>2.0</v>
      </c>
      <c r="J150" s="165">
        <v>4.0</v>
      </c>
      <c r="K150" s="170">
        <v>20.0</v>
      </c>
      <c r="L150" s="165" t="s">
        <v>747</v>
      </c>
      <c r="M150" s="166" t="s">
        <v>2385</v>
      </c>
      <c r="N150" s="165" t="s">
        <v>749</v>
      </c>
      <c r="O150" s="165"/>
    </row>
    <row r="151">
      <c r="A151" s="165" t="s">
        <v>32</v>
      </c>
      <c r="B151" s="165" t="s">
        <v>1612</v>
      </c>
      <c r="C151" s="165" t="s">
        <v>1573</v>
      </c>
      <c r="D151" s="165" t="s">
        <v>1855</v>
      </c>
      <c r="E151" s="166" t="s">
        <v>1694</v>
      </c>
      <c r="F151" s="165" t="s">
        <v>1579</v>
      </c>
      <c r="G151" s="165">
        <v>3.0</v>
      </c>
      <c r="H151" s="165">
        <v>0.0</v>
      </c>
      <c r="I151" s="165">
        <v>2.0</v>
      </c>
      <c r="J151" s="165">
        <v>4.0</v>
      </c>
      <c r="K151" s="170">
        <v>20.0</v>
      </c>
      <c r="L151" s="165" t="s">
        <v>334</v>
      </c>
      <c r="M151" s="166" t="s">
        <v>2197</v>
      </c>
      <c r="N151" s="165" t="s">
        <v>336</v>
      </c>
      <c r="O151" s="165"/>
    </row>
    <row r="152">
      <c r="A152" s="165" t="s">
        <v>32</v>
      </c>
      <c r="B152" s="165" t="s">
        <v>1612</v>
      </c>
      <c r="C152" s="165" t="s">
        <v>1573</v>
      </c>
      <c r="D152" s="165" t="s">
        <v>1855</v>
      </c>
      <c r="E152" s="166" t="s">
        <v>1694</v>
      </c>
      <c r="F152" s="165" t="s">
        <v>1579</v>
      </c>
      <c r="G152" s="165">
        <v>3.0</v>
      </c>
      <c r="H152" s="165">
        <v>0.0</v>
      </c>
      <c r="I152" s="165">
        <v>2.0</v>
      </c>
      <c r="J152" s="165">
        <v>4.0</v>
      </c>
      <c r="K152" s="170">
        <v>20.0</v>
      </c>
      <c r="L152" s="165" t="s">
        <v>331</v>
      </c>
      <c r="M152" s="166" t="s">
        <v>2250</v>
      </c>
      <c r="N152" s="165" t="s">
        <v>333</v>
      </c>
      <c r="O152" s="165"/>
    </row>
    <row r="153">
      <c r="A153" s="165" t="s">
        <v>32</v>
      </c>
      <c r="B153" s="165" t="s">
        <v>1612</v>
      </c>
      <c r="C153" s="165" t="s">
        <v>1573</v>
      </c>
      <c r="D153" s="165" t="s">
        <v>1855</v>
      </c>
      <c r="E153" s="166" t="s">
        <v>1694</v>
      </c>
      <c r="F153" s="165" t="s">
        <v>1579</v>
      </c>
      <c r="G153" s="165">
        <v>3.0</v>
      </c>
      <c r="H153" s="165">
        <v>0.0</v>
      </c>
      <c r="I153" s="165">
        <v>2.0</v>
      </c>
      <c r="J153" s="165">
        <v>4.0</v>
      </c>
      <c r="K153" s="170">
        <v>20.0</v>
      </c>
      <c r="L153" s="165" t="s">
        <v>349</v>
      </c>
      <c r="M153" s="166" t="s">
        <v>2214</v>
      </c>
      <c r="N153" s="165" t="s">
        <v>351</v>
      </c>
      <c r="O153" s="165"/>
    </row>
    <row r="154">
      <c r="A154" s="165" t="s">
        <v>37</v>
      </c>
      <c r="B154" s="165" t="s">
        <v>1612</v>
      </c>
      <c r="C154" s="165" t="s">
        <v>1573</v>
      </c>
      <c r="D154" s="165" t="s">
        <v>1921</v>
      </c>
      <c r="E154" s="166" t="s">
        <v>1922</v>
      </c>
      <c r="F154" s="165" t="s">
        <v>1588</v>
      </c>
      <c r="G154" s="165">
        <v>3.0</v>
      </c>
      <c r="H154" s="165">
        <v>0.0</v>
      </c>
      <c r="I154" s="165">
        <v>2.0</v>
      </c>
      <c r="J154" s="165">
        <v>4.0</v>
      </c>
      <c r="K154" s="170">
        <v>0.0</v>
      </c>
      <c r="L154" s="165" t="s">
        <v>1058</v>
      </c>
      <c r="M154" s="166" t="s">
        <v>2507</v>
      </c>
      <c r="N154" s="165" t="s">
        <v>1060</v>
      </c>
      <c r="O154" s="165"/>
    </row>
    <row r="155">
      <c r="A155" s="165" t="s">
        <v>37</v>
      </c>
      <c r="B155" s="165" t="s">
        <v>1612</v>
      </c>
      <c r="C155" s="165" t="s">
        <v>1573</v>
      </c>
      <c r="D155" s="165" t="s">
        <v>1924</v>
      </c>
      <c r="E155" s="166" t="s">
        <v>1694</v>
      </c>
      <c r="F155" s="165" t="s">
        <v>1588</v>
      </c>
      <c r="G155" s="165">
        <v>3.0</v>
      </c>
      <c r="H155" s="165">
        <v>0.0</v>
      </c>
      <c r="I155" s="165">
        <v>2.0</v>
      </c>
      <c r="J155" s="165">
        <v>4.0</v>
      </c>
      <c r="K155" s="170">
        <v>0.0</v>
      </c>
      <c r="L155" s="165" t="s">
        <v>568</v>
      </c>
      <c r="M155" s="166" t="s">
        <v>2069</v>
      </c>
      <c r="N155" s="165" t="s">
        <v>570</v>
      </c>
      <c r="O155" s="165"/>
    </row>
    <row r="156">
      <c r="A156" s="165" t="s">
        <v>200</v>
      </c>
      <c r="B156" s="165" t="s">
        <v>1612</v>
      </c>
      <c r="C156" s="165" t="s">
        <v>1573</v>
      </c>
      <c r="D156" s="165" t="s">
        <v>1927</v>
      </c>
      <c r="E156" s="166" t="s">
        <v>1928</v>
      </c>
      <c r="F156" s="165" t="s">
        <v>1579</v>
      </c>
      <c r="G156" s="165">
        <v>3.0</v>
      </c>
      <c r="H156" s="165">
        <v>0.0</v>
      </c>
      <c r="I156" s="165">
        <v>2.0</v>
      </c>
      <c r="J156" s="165">
        <v>4.0</v>
      </c>
      <c r="K156" s="170">
        <v>20.0</v>
      </c>
      <c r="L156" s="165" t="s">
        <v>1089</v>
      </c>
      <c r="M156" s="166" t="s">
        <v>2527</v>
      </c>
      <c r="N156" s="165" t="s">
        <v>1091</v>
      </c>
      <c r="O156" s="165"/>
    </row>
    <row r="157">
      <c r="A157" s="165" t="s">
        <v>200</v>
      </c>
      <c r="B157" s="165" t="s">
        <v>1612</v>
      </c>
      <c r="C157" s="165" t="s">
        <v>1573</v>
      </c>
      <c r="D157" s="165" t="s">
        <v>1931</v>
      </c>
      <c r="E157" s="166" t="s">
        <v>1932</v>
      </c>
      <c r="F157" s="165" t="s">
        <v>1588</v>
      </c>
      <c r="G157" s="165">
        <v>3.0</v>
      </c>
      <c r="H157" s="165">
        <v>0.0</v>
      </c>
      <c r="I157" s="165">
        <v>2.0</v>
      </c>
      <c r="J157" s="165">
        <v>4.0</v>
      </c>
      <c r="K157" s="170">
        <v>0.0</v>
      </c>
      <c r="L157" s="165" t="s">
        <v>1086</v>
      </c>
      <c r="M157" s="166" t="s">
        <v>2529</v>
      </c>
      <c r="N157" s="165" t="s">
        <v>1088</v>
      </c>
      <c r="O157" s="165"/>
    </row>
    <row r="158">
      <c r="A158" s="165" t="s">
        <v>40</v>
      </c>
      <c r="B158" s="165" t="s">
        <v>1612</v>
      </c>
      <c r="C158" s="165" t="s">
        <v>1573</v>
      </c>
      <c r="D158" s="165" t="s">
        <v>1903</v>
      </c>
      <c r="E158" s="166" t="s">
        <v>1904</v>
      </c>
      <c r="F158" s="165" t="s">
        <v>1579</v>
      </c>
      <c r="G158" s="165">
        <v>3.0</v>
      </c>
      <c r="H158" s="165">
        <v>0.0</v>
      </c>
      <c r="I158" s="165">
        <v>2.0</v>
      </c>
      <c r="J158" s="165">
        <v>4.0</v>
      </c>
      <c r="K158" s="170">
        <v>20.0</v>
      </c>
      <c r="L158" s="165" t="s">
        <v>1160</v>
      </c>
      <c r="M158" s="166" t="s">
        <v>2559</v>
      </c>
      <c r="N158" s="165" t="s">
        <v>1162</v>
      </c>
      <c r="O158" s="165"/>
    </row>
    <row r="159">
      <c r="A159" s="165" t="s">
        <v>40</v>
      </c>
      <c r="B159" s="165" t="s">
        <v>1612</v>
      </c>
      <c r="C159" s="165" t="s">
        <v>1573</v>
      </c>
      <c r="D159" s="165" t="s">
        <v>1903</v>
      </c>
      <c r="E159" s="166" t="s">
        <v>1904</v>
      </c>
      <c r="F159" s="165" t="s">
        <v>1588</v>
      </c>
      <c r="G159" s="165">
        <v>3.0</v>
      </c>
      <c r="H159" s="165">
        <v>0.0</v>
      </c>
      <c r="I159" s="165">
        <v>2.0</v>
      </c>
      <c r="J159" s="165">
        <v>4.0</v>
      </c>
      <c r="K159" s="170">
        <v>0.0</v>
      </c>
      <c r="L159" s="165" t="s">
        <v>820</v>
      </c>
      <c r="M159" s="166" t="s">
        <v>2428</v>
      </c>
      <c r="N159" s="165" t="s">
        <v>822</v>
      </c>
      <c r="O159" s="165"/>
    </row>
    <row r="160">
      <c r="A160" s="165" t="s">
        <v>40</v>
      </c>
      <c r="B160" s="165" t="s">
        <v>1612</v>
      </c>
      <c r="C160" s="165" t="s">
        <v>1573</v>
      </c>
      <c r="D160" s="165" t="s">
        <v>1903</v>
      </c>
      <c r="E160" s="166" t="s">
        <v>1904</v>
      </c>
      <c r="F160" s="165" t="s">
        <v>1579</v>
      </c>
      <c r="G160" s="165">
        <v>3.0</v>
      </c>
      <c r="H160" s="165">
        <v>0.0</v>
      </c>
      <c r="I160" s="165">
        <v>2.0</v>
      </c>
      <c r="J160" s="165">
        <v>4.0</v>
      </c>
      <c r="K160" s="170">
        <v>20.0</v>
      </c>
      <c r="L160" s="165" t="s">
        <v>2533</v>
      </c>
      <c r="M160" s="166" t="s">
        <v>2534</v>
      </c>
      <c r="N160" s="165" t="s">
        <v>2535</v>
      </c>
      <c r="O160" s="165"/>
    </row>
    <row r="161">
      <c r="A161" s="165" t="s">
        <v>40</v>
      </c>
      <c r="B161" s="165" t="s">
        <v>1612</v>
      </c>
      <c r="C161" s="165" t="s">
        <v>1573</v>
      </c>
      <c r="D161" s="165" t="s">
        <v>1906</v>
      </c>
      <c r="E161" s="166" t="s">
        <v>1738</v>
      </c>
      <c r="F161" s="165" t="s">
        <v>1579</v>
      </c>
      <c r="G161" s="165">
        <v>3.0</v>
      </c>
      <c r="H161" s="165">
        <v>0.0</v>
      </c>
      <c r="I161" s="165">
        <v>2.0</v>
      </c>
      <c r="J161" s="165">
        <v>4.0</v>
      </c>
      <c r="K161" s="170">
        <v>20.0</v>
      </c>
      <c r="L161" s="165" t="s">
        <v>1259</v>
      </c>
      <c r="M161" s="166" t="s">
        <v>2560</v>
      </c>
      <c r="N161" s="165" t="s">
        <v>1261</v>
      </c>
      <c r="O161" s="165"/>
    </row>
    <row r="162">
      <c r="A162" s="165" t="s">
        <v>40</v>
      </c>
      <c r="B162" s="165" t="s">
        <v>1612</v>
      </c>
      <c r="C162" s="165" t="s">
        <v>1573</v>
      </c>
      <c r="D162" s="165" t="s">
        <v>1906</v>
      </c>
      <c r="E162" s="166" t="s">
        <v>1738</v>
      </c>
      <c r="F162" s="165" t="s">
        <v>1579</v>
      </c>
      <c r="G162" s="165">
        <v>3.0</v>
      </c>
      <c r="H162" s="165">
        <v>0.0</v>
      </c>
      <c r="I162" s="165">
        <v>2.0</v>
      </c>
      <c r="J162" s="165">
        <v>4.0</v>
      </c>
      <c r="K162" s="170">
        <v>20.0</v>
      </c>
      <c r="L162" s="165" t="s">
        <v>1202</v>
      </c>
      <c r="M162" s="166" t="s">
        <v>2561</v>
      </c>
      <c r="N162" s="165" t="s">
        <v>1204</v>
      </c>
      <c r="O162" s="165"/>
    </row>
    <row r="163">
      <c r="A163" s="165" t="s">
        <v>40</v>
      </c>
      <c r="B163" s="165" t="s">
        <v>1612</v>
      </c>
      <c r="C163" s="165" t="s">
        <v>1573</v>
      </c>
      <c r="D163" s="165" t="s">
        <v>1906</v>
      </c>
      <c r="E163" s="166" t="s">
        <v>1738</v>
      </c>
      <c r="F163" s="165" t="s">
        <v>1579</v>
      </c>
      <c r="G163" s="165">
        <v>3.0</v>
      </c>
      <c r="H163" s="165">
        <v>0.0</v>
      </c>
      <c r="I163" s="165">
        <v>2.0</v>
      </c>
      <c r="J163" s="165">
        <v>4.0</v>
      </c>
      <c r="K163" s="170">
        <v>20.0</v>
      </c>
      <c r="L163" s="165" t="s">
        <v>1220</v>
      </c>
      <c r="M163" s="166" t="s">
        <v>2558</v>
      </c>
      <c r="N163" s="165" t="s">
        <v>1222</v>
      </c>
      <c r="O163" s="165"/>
    </row>
    <row r="164">
      <c r="A164" s="165" t="s">
        <v>40</v>
      </c>
      <c r="B164" s="165" t="s">
        <v>1612</v>
      </c>
      <c r="C164" s="165" t="s">
        <v>1620</v>
      </c>
      <c r="D164" s="165" t="s">
        <v>2122</v>
      </c>
      <c r="E164" s="166" t="s">
        <v>148</v>
      </c>
      <c r="F164" s="165" t="s">
        <v>1579</v>
      </c>
      <c r="G164" s="165">
        <v>2.0</v>
      </c>
      <c r="H164" s="165">
        <v>0.0</v>
      </c>
      <c r="I164" s="165">
        <v>2.0</v>
      </c>
      <c r="J164" s="165">
        <v>3.0</v>
      </c>
      <c r="K164" s="170">
        <v>15.0</v>
      </c>
      <c r="L164" s="165" t="s">
        <v>1199</v>
      </c>
      <c r="M164" s="166" t="s">
        <v>2537</v>
      </c>
      <c r="N164" s="165" t="s">
        <v>1201</v>
      </c>
      <c r="O164" s="165"/>
    </row>
    <row r="165">
      <c r="A165" s="165" t="s">
        <v>40</v>
      </c>
      <c r="B165" s="165" t="s">
        <v>1612</v>
      </c>
      <c r="C165" s="165" t="s">
        <v>1620</v>
      </c>
      <c r="D165" s="165" t="s">
        <v>2122</v>
      </c>
      <c r="E165" s="166" t="s">
        <v>148</v>
      </c>
      <c r="F165" s="165" t="s">
        <v>1579</v>
      </c>
      <c r="G165" s="165">
        <v>2.0</v>
      </c>
      <c r="H165" s="165">
        <v>0.0</v>
      </c>
      <c r="I165" s="165">
        <v>2.0</v>
      </c>
      <c r="J165" s="165">
        <v>3.0</v>
      </c>
      <c r="K165" s="170">
        <v>15.0</v>
      </c>
      <c r="L165" s="165" t="s">
        <v>1205</v>
      </c>
      <c r="M165" s="166" t="s">
        <v>2082</v>
      </c>
      <c r="N165" s="165" t="s">
        <v>1207</v>
      </c>
      <c r="O165" s="165"/>
    </row>
    <row r="166">
      <c r="A166" s="165" t="s">
        <v>43</v>
      </c>
      <c r="B166" s="165" t="s">
        <v>1612</v>
      </c>
      <c r="C166" s="165" t="s">
        <v>1573</v>
      </c>
      <c r="D166" s="165" t="s">
        <v>1971</v>
      </c>
      <c r="E166" s="166" t="s">
        <v>1600</v>
      </c>
      <c r="F166" s="165" t="s">
        <v>1579</v>
      </c>
      <c r="G166" s="165">
        <v>2.0</v>
      </c>
      <c r="H166" s="165">
        <v>1.0</v>
      </c>
      <c r="I166" s="165">
        <v>2.0</v>
      </c>
      <c r="J166" s="165">
        <v>4.0</v>
      </c>
      <c r="K166" s="170">
        <v>15.0</v>
      </c>
      <c r="L166" s="165" t="s">
        <v>1382</v>
      </c>
      <c r="M166" s="166" t="s">
        <v>2573</v>
      </c>
      <c r="N166" s="165" t="s">
        <v>1384</v>
      </c>
      <c r="O166" s="165"/>
    </row>
    <row r="167">
      <c r="A167" s="165" t="s">
        <v>43</v>
      </c>
      <c r="B167" s="165" t="s">
        <v>1612</v>
      </c>
      <c r="C167" s="165" t="s">
        <v>1573</v>
      </c>
      <c r="D167" s="165" t="s">
        <v>1972</v>
      </c>
      <c r="E167" s="166" t="s">
        <v>1973</v>
      </c>
      <c r="F167" s="165" t="s">
        <v>1579</v>
      </c>
      <c r="G167" s="165">
        <v>2.0</v>
      </c>
      <c r="H167" s="165">
        <v>1.0</v>
      </c>
      <c r="I167" s="165">
        <v>2.0</v>
      </c>
      <c r="J167" s="165">
        <v>4.0</v>
      </c>
      <c r="K167" s="170">
        <v>15.0</v>
      </c>
      <c r="L167" s="165" t="s">
        <v>2494</v>
      </c>
      <c r="M167" s="166" t="s">
        <v>2495</v>
      </c>
      <c r="N167" s="165" t="s">
        <v>2496</v>
      </c>
      <c r="O167" s="165"/>
    </row>
    <row r="168">
      <c r="A168" s="165" t="s">
        <v>43</v>
      </c>
      <c r="B168" s="165" t="s">
        <v>1612</v>
      </c>
      <c r="C168" s="165" t="s">
        <v>1573</v>
      </c>
      <c r="D168" s="165" t="s">
        <v>1974</v>
      </c>
      <c r="E168" s="166" t="s">
        <v>1975</v>
      </c>
      <c r="F168" s="165" t="s">
        <v>1579</v>
      </c>
      <c r="G168" s="165">
        <v>2.0</v>
      </c>
      <c r="H168" s="165">
        <v>0.0</v>
      </c>
      <c r="I168" s="165">
        <v>2.0</v>
      </c>
      <c r="J168" s="165">
        <v>3.0</v>
      </c>
      <c r="K168" s="170">
        <v>15.0</v>
      </c>
      <c r="L168" s="165" t="s">
        <v>1398</v>
      </c>
      <c r="M168" s="166" t="s">
        <v>2574</v>
      </c>
      <c r="N168" s="165" t="s">
        <v>1400</v>
      </c>
      <c r="O168" s="165"/>
    </row>
    <row r="169">
      <c r="A169" s="165" t="s">
        <v>46</v>
      </c>
      <c r="B169" s="165" t="s">
        <v>1612</v>
      </c>
      <c r="C169" s="165" t="s">
        <v>1573</v>
      </c>
      <c r="D169" s="165" t="s">
        <v>1880</v>
      </c>
      <c r="E169" s="166" t="s">
        <v>2775</v>
      </c>
      <c r="F169" s="165" t="s">
        <v>1579</v>
      </c>
      <c r="G169" s="165">
        <v>3.0</v>
      </c>
      <c r="H169" s="165">
        <v>0.0</v>
      </c>
      <c r="I169" s="165">
        <v>2.0</v>
      </c>
      <c r="J169" s="165">
        <v>4.0</v>
      </c>
      <c r="K169" s="170">
        <v>20.0</v>
      </c>
      <c r="L169" s="165" t="s">
        <v>1360</v>
      </c>
      <c r="M169" s="166" t="s">
        <v>2584</v>
      </c>
      <c r="N169" s="165" t="s">
        <v>1362</v>
      </c>
      <c r="O169" s="165"/>
    </row>
    <row r="170">
      <c r="A170" s="165" t="s">
        <v>46</v>
      </c>
      <c r="B170" s="165" t="s">
        <v>1612</v>
      </c>
      <c r="C170" s="165" t="s">
        <v>1573</v>
      </c>
      <c r="D170" s="165" t="s">
        <v>1882</v>
      </c>
      <c r="E170" s="166" t="s">
        <v>1883</v>
      </c>
      <c r="F170" s="165" t="s">
        <v>1579</v>
      </c>
      <c r="G170" s="165">
        <v>3.0</v>
      </c>
      <c r="H170" s="165">
        <v>0.0</v>
      </c>
      <c r="I170" s="165">
        <v>2.0</v>
      </c>
      <c r="J170" s="165">
        <v>4.0</v>
      </c>
      <c r="K170" s="170">
        <v>20.0</v>
      </c>
      <c r="L170" s="165" t="s">
        <v>2502</v>
      </c>
      <c r="M170" s="166" t="s">
        <v>2503</v>
      </c>
      <c r="N170" s="165" t="s">
        <v>2504</v>
      </c>
      <c r="O170" s="165"/>
    </row>
    <row r="171">
      <c r="A171" s="165" t="s">
        <v>46</v>
      </c>
      <c r="B171" s="165" t="s">
        <v>1612</v>
      </c>
      <c r="C171" s="165" t="s">
        <v>1573</v>
      </c>
      <c r="D171" s="165" t="s">
        <v>1884</v>
      </c>
      <c r="E171" s="166" t="s">
        <v>1885</v>
      </c>
      <c r="F171" s="165" t="s">
        <v>1579</v>
      </c>
      <c r="G171" s="165">
        <v>2.0</v>
      </c>
      <c r="H171" s="165">
        <v>1.0</v>
      </c>
      <c r="I171" s="165">
        <v>2.0</v>
      </c>
      <c r="J171" s="165">
        <v>4.0</v>
      </c>
      <c r="K171" s="170">
        <v>15.0</v>
      </c>
      <c r="L171" s="165" t="s">
        <v>1348</v>
      </c>
      <c r="M171" s="166" t="s">
        <v>2585</v>
      </c>
      <c r="N171" s="165" t="s">
        <v>1350</v>
      </c>
      <c r="O171" s="165"/>
    </row>
    <row r="172">
      <c r="A172" s="165" t="s">
        <v>1993</v>
      </c>
      <c r="B172" s="165" t="s">
        <v>1612</v>
      </c>
      <c r="C172" s="165" t="s">
        <v>1573</v>
      </c>
      <c r="D172" s="165" t="s">
        <v>2123</v>
      </c>
      <c r="E172" s="166" t="s">
        <v>2124</v>
      </c>
      <c r="F172" s="165" t="s">
        <v>1579</v>
      </c>
      <c r="G172" s="165">
        <v>3.0</v>
      </c>
      <c r="H172" s="165">
        <v>0.0</v>
      </c>
      <c r="I172" s="165">
        <v>2.0</v>
      </c>
      <c r="J172" s="165">
        <v>4.0</v>
      </c>
      <c r="K172" s="170">
        <v>20.0</v>
      </c>
      <c r="L172" s="165" t="s">
        <v>1554</v>
      </c>
      <c r="M172" s="166" t="s">
        <v>2592</v>
      </c>
      <c r="N172" s="165" t="s">
        <v>1556</v>
      </c>
      <c r="O172" s="165"/>
    </row>
  </sheetData>
  <autoFilter ref="$A$1:$Z$172">
    <sortState ref="A1:Z172">
      <sortCondition ref="B1:B172"/>
    </sortState>
  </autoFil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63"/>
    <col customWidth="1" min="3" max="3" width="10.38"/>
    <col customWidth="1" min="5" max="5" width="26.0"/>
    <col customWidth="1" min="7" max="10" width="6.25"/>
    <col customWidth="1" min="12" max="12" width="20.5"/>
    <col customWidth="1" min="13" max="13" width="16.0"/>
    <col customWidth="1" min="14" max="14" width="33.38"/>
  </cols>
  <sheetData>
    <row r="1">
      <c r="A1" s="127" t="s">
        <v>1560</v>
      </c>
      <c r="B1" s="127" t="s">
        <v>1561</v>
      </c>
      <c r="C1" s="127" t="s">
        <v>1562</v>
      </c>
      <c r="D1" s="127" t="s">
        <v>1563</v>
      </c>
      <c r="E1" s="171" t="s">
        <v>1564</v>
      </c>
      <c r="F1" s="127" t="s">
        <v>1565</v>
      </c>
      <c r="G1" s="127" t="s">
        <v>1566</v>
      </c>
      <c r="H1" s="127" t="s">
        <v>1567</v>
      </c>
      <c r="I1" s="127" t="s">
        <v>1568</v>
      </c>
      <c r="J1" s="127" t="s">
        <v>1569</v>
      </c>
      <c r="K1" s="127" t="s">
        <v>1570</v>
      </c>
      <c r="L1" s="130" t="s">
        <v>257</v>
      </c>
      <c r="M1" s="127" t="s">
        <v>1571</v>
      </c>
      <c r="N1" s="23" t="s">
        <v>2836</v>
      </c>
    </row>
    <row r="2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4"/>
    </row>
    <row r="3">
      <c r="A3" s="175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76"/>
    </row>
    <row r="4">
      <c r="A4" s="175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76"/>
    </row>
    <row r="5">
      <c r="A5" s="175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76"/>
    </row>
    <row r="6">
      <c r="A6" s="175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76"/>
    </row>
    <row r="7">
      <c r="A7" s="175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76"/>
    </row>
    <row r="8">
      <c r="A8" s="175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76"/>
    </row>
    <row r="9">
      <c r="A9" s="175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76"/>
    </row>
    <row r="10">
      <c r="A10" s="175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76"/>
    </row>
    <row r="11">
      <c r="A11" s="175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76"/>
    </row>
    <row r="12">
      <c r="A12" s="175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76"/>
    </row>
    <row r="13">
      <c r="A13" s="175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76"/>
    </row>
    <row r="14">
      <c r="A14" s="175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76"/>
    </row>
    <row r="15">
      <c r="A15" s="175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76"/>
    </row>
    <row r="16">
      <c r="A16" s="175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76"/>
    </row>
    <row r="17">
      <c r="A17" s="175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76"/>
    </row>
    <row r="18">
      <c r="A18" s="175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76"/>
    </row>
    <row r="19">
      <c r="A19" s="175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76"/>
    </row>
    <row r="20">
      <c r="A20" s="175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76"/>
    </row>
    <row r="21">
      <c r="A21" s="175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76"/>
    </row>
    <row r="22">
      <c r="A22" s="175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76"/>
    </row>
    <row r="23">
      <c r="A23" s="175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76"/>
    </row>
    <row r="24">
      <c r="A24" s="175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76"/>
    </row>
    <row r="25">
      <c r="A25" s="175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76"/>
    </row>
    <row r="26">
      <c r="A26" s="175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76"/>
    </row>
    <row r="27">
      <c r="A27" s="175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76"/>
    </row>
    <row r="28">
      <c r="A28" s="175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76"/>
    </row>
    <row r="29">
      <c r="A29" s="175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76"/>
    </row>
    <row r="30">
      <c r="A30" s="175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76"/>
    </row>
    <row r="31">
      <c r="A31" s="175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76"/>
    </row>
    <row r="32">
      <c r="A32" s="175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76"/>
    </row>
    <row r="33">
      <c r="A33" s="175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76"/>
    </row>
    <row r="34">
      <c r="A34" s="175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76"/>
    </row>
    <row r="35">
      <c r="A35" s="175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76"/>
    </row>
    <row r="36">
      <c r="A36" s="175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76"/>
    </row>
    <row r="37">
      <c r="A37" s="175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76"/>
    </row>
    <row r="38">
      <c r="A38" s="175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76"/>
    </row>
    <row r="39">
      <c r="A39" s="175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76"/>
    </row>
    <row r="40">
      <c r="A40" s="175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76"/>
    </row>
    <row r="41">
      <c r="A41" s="175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76"/>
    </row>
    <row r="42">
      <c r="A42" s="175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76"/>
    </row>
    <row r="43">
      <c r="A43" s="175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76"/>
    </row>
    <row r="44">
      <c r="A44" s="175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76"/>
    </row>
    <row r="45">
      <c r="A45" s="175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76"/>
    </row>
    <row r="46">
      <c r="A46" s="175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76"/>
    </row>
    <row r="47">
      <c r="A47" s="175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76"/>
    </row>
    <row r="48">
      <c r="A48" s="175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76"/>
    </row>
    <row r="49">
      <c r="A49" s="175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76"/>
    </row>
    <row r="50">
      <c r="A50" s="175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76"/>
    </row>
    <row r="51">
      <c r="A51" s="175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76"/>
    </row>
    <row r="52">
      <c r="A52" s="175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76"/>
    </row>
    <row r="53">
      <c r="A53" s="175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76"/>
    </row>
    <row r="54">
      <c r="A54" s="175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76"/>
    </row>
    <row r="55">
      <c r="A55" s="175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76"/>
    </row>
    <row r="56">
      <c r="A56" s="175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76"/>
    </row>
    <row r="57">
      <c r="A57" s="175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76"/>
    </row>
    <row r="58">
      <c r="A58" s="175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76"/>
    </row>
    <row r="59">
      <c r="A59" s="175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76"/>
    </row>
    <row r="60">
      <c r="A60" s="175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76"/>
    </row>
    <row r="61">
      <c r="A61" s="175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76"/>
    </row>
    <row r="62">
      <c r="A62" s="175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76"/>
    </row>
    <row r="63">
      <c r="A63" s="175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76"/>
    </row>
    <row r="64">
      <c r="A64" s="175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76"/>
    </row>
    <row r="65">
      <c r="A65" s="175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76"/>
    </row>
    <row r="66">
      <c r="A66" s="175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76"/>
    </row>
    <row r="67">
      <c r="A67" s="175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76"/>
    </row>
    <row r="68">
      <c r="A68" s="175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76"/>
    </row>
    <row r="69">
      <c r="A69" s="175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76"/>
    </row>
    <row r="70">
      <c r="A70" s="175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76"/>
    </row>
    <row r="71">
      <c r="A71" s="175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76"/>
    </row>
    <row r="72">
      <c r="A72" s="175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76"/>
    </row>
    <row r="73">
      <c r="A73" s="175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76"/>
    </row>
    <row r="74">
      <c r="A74" s="175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76"/>
    </row>
    <row r="75">
      <c r="A75" s="175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76"/>
    </row>
    <row r="76">
      <c r="A76" s="175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76"/>
    </row>
    <row r="77">
      <c r="A77" s="175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76"/>
    </row>
    <row r="78">
      <c r="A78" s="175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76"/>
    </row>
    <row r="79">
      <c r="A79" s="175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76"/>
    </row>
    <row r="80">
      <c r="A80" s="175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76"/>
    </row>
    <row r="81">
      <c r="A81" s="175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76"/>
    </row>
    <row r="82">
      <c r="A82" s="175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76"/>
    </row>
    <row r="83">
      <c r="A83" s="175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76"/>
    </row>
    <row r="84">
      <c r="A84" s="175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76"/>
    </row>
    <row r="85">
      <c r="A85" s="175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76"/>
    </row>
    <row r="86">
      <c r="A86" s="175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76"/>
    </row>
    <row r="87">
      <c r="A87" s="175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76"/>
    </row>
    <row r="88">
      <c r="A88" s="175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76"/>
    </row>
    <row r="89">
      <c r="A89" s="175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76"/>
    </row>
    <row r="90">
      <c r="A90" s="175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76"/>
    </row>
    <row r="91">
      <c r="A91" s="175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76"/>
    </row>
    <row r="92">
      <c r="A92" s="175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76"/>
    </row>
    <row r="93">
      <c r="A93" s="175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76"/>
    </row>
    <row r="94">
      <c r="A94" s="175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76"/>
    </row>
    <row r="95">
      <c r="A95" s="175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76"/>
    </row>
    <row r="96">
      <c r="A96" s="175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76"/>
    </row>
    <row r="97">
      <c r="A97" s="175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76"/>
    </row>
    <row r="98">
      <c r="A98" s="175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76"/>
    </row>
    <row r="99">
      <c r="A99" s="175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76"/>
    </row>
    <row r="100">
      <c r="A100" s="175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76"/>
    </row>
    <row r="101">
      <c r="A101" s="175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76"/>
    </row>
    <row r="102">
      <c r="A102" s="175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76"/>
    </row>
    <row r="103">
      <c r="A103" s="175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76"/>
    </row>
    <row r="104">
      <c r="A104" s="175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76"/>
    </row>
    <row r="105">
      <c r="A105" s="175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76"/>
    </row>
    <row r="106">
      <c r="A106" s="175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76"/>
    </row>
    <row r="107">
      <c r="A107" s="175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76"/>
    </row>
    <row r="108">
      <c r="A108" s="175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76"/>
    </row>
    <row r="109">
      <c r="A109" s="175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76"/>
    </row>
    <row r="110">
      <c r="A110" s="175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76"/>
    </row>
    <row r="111">
      <c r="A111" s="175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76"/>
    </row>
    <row r="112">
      <c r="A112" s="175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76"/>
    </row>
    <row r="113">
      <c r="A113" s="175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76"/>
    </row>
    <row r="114">
      <c r="A114" s="175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76"/>
    </row>
    <row r="115">
      <c r="A115" s="175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76"/>
    </row>
    <row r="116">
      <c r="A116" s="175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76"/>
    </row>
    <row r="117">
      <c r="A117" s="175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76"/>
    </row>
    <row r="118">
      <c r="A118" s="175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76"/>
    </row>
    <row r="119">
      <c r="A119" s="175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76"/>
    </row>
    <row r="120">
      <c r="A120" s="175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76"/>
    </row>
    <row r="121">
      <c r="A121" s="175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76"/>
    </row>
    <row r="122">
      <c r="A122" s="175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76"/>
    </row>
    <row r="123">
      <c r="A123" s="175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76"/>
    </row>
    <row r="124">
      <c r="A124" s="175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76"/>
    </row>
    <row r="125">
      <c r="A125" s="175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76"/>
    </row>
    <row r="126">
      <c r="A126" s="175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76"/>
    </row>
    <row r="127">
      <c r="A127" s="175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76"/>
    </row>
    <row r="128">
      <c r="A128" s="175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76"/>
    </row>
    <row r="129">
      <c r="A129" s="175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76"/>
    </row>
    <row r="130">
      <c r="A130" s="175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76"/>
    </row>
    <row r="131">
      <c r="A131" s="175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76"/>
    </row>
    <row r="132">
      <c r="A132" s="175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76"/>
    </row>
    <row r="133">
      <c r="A133" s="175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76"/>
    </row>
    <row r="134">
      <c r="A134" s="175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76"/>
    </row>
    <row r="135">
      <c r="A135" s="175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76"/>
    </row>
    <row r="136">
      <c r="A136" s="175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76"/>
    </row>
    <row r="137">
      <c r="A137" s="175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76"/>
    </row>
    <row r="138">
      <c r="A138" s="175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76"/>
    </row>
    <row r="139">
      <c r="A139" s="175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76"/>
    </row>
    <row r="140">
      <c r="A140" s="175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76"/>
    </row>
    <row r="141">
      <c r="A141" s="175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76"/>
    </row>
    <row r="142">
      <c r="A142" s="175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76"/>
    </row>
    <row r="143">
      <c r="A143" s="175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76"/>
    </row>
    <row r="144">
      <c r="A144" s="175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76"/>
    </row>
    <row r="145">
      <c r="A145" s="175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76"/>
    </row>
    <row r="146">
      <c r="A146" s="175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76"/>
    </row>
    <row r="147">
      <c r="A147" s="175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76"/>
    </row>
    <row r="148">
      <c r="A148" s="175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76"/>
    </row>
    <row r="149">
      <c r="A149" s="175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76"/>
    </row>
    <row r="150">
      <c r="A150" s="175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76"/>
    </row>
    <row r="151">
      <c r="A151" s="175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76"/>
    </row>
    <row r="152">
      <c r="A152" s="175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76"/>
    </row>
    <row r="153">
      <c r="A153" s="175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76"/>
    </row>
    <row r="154">
      <c r="A154" s="175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76"/>
    </row>
    <row r="155">
      <c r="A155" s="175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76"/>
    </row>
    <row r="156">
      <c r="A156" s="175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76"/>
    </row>
    <row r="157">
      <c r="A157" s="175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76"/>
    </row>
    <row r="158">
      <c r="A158" s="175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76"/>
    </row>
    <row r="159">
      <c r="A159" s="175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76"/>
    </row>
    <row r="160">
      <c r="A160" s="175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76"/>
    </row>
    <row r="161">
      <c r="A161" s="175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76"/>
    </row>
    <row r="162">
      <c r="A162" s="175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76"/>
    </row>
    <row r="163">
      <c r="A163" s="175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76"/>
    </row>
    <row r="164">
      <c r="A164" s="175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76"/>
    </row>
    <row r="165">
      <c r="A165" s="175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76"/>
    </row>
    <row r="166">
      <c r="A166" s="175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76"/>
    </row>
    <row r="167">
      <c r="A167" s="175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76"/>
    </row>
    <row r="168">
      <c r="A168" s="175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76"/>
    </row>
    <row r="169">
      <c r="A169" s="175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76"/>
    </row>
    <row r="170">
      <c r="A170" s="175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76"/>
    </row>
    <row r="171">
      <c r="A171" s="175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76"/>
    </row>
    <row r="172">
      <c r="A172" s="175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76"/>
    </row>
    <row r="173">
      <c r="A173" s="175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76"/>
    </row>
    <row r="174">
      <c r="A174" s="175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76"/>
    </row>
    <row r="175">
      <c r="A175" s="175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76"/>
    </row>
    <row r="176">
      <c r="A176" s="175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76"/>
    </row>
    <row r="177">
      <c r="A177" s="175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76"/>
    </row>
    <row r="178">
      <c r="A178" s="175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76"/>
    </row>
    <row r="179">
      <c r="A179" s="175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76"/>
    </row>
    <row r="180">
      <c r="A180" s="175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76"/>
    </row>
    <row r="181">
      <c r="A181" s="175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76"/>
    </row>
    <row r="182">
      <c r="A182" s="175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76"/>
    </row>
    <row r="183">
      <c r="A183" s="175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76"/>
    </row>
    <row r="184">
      <c r="A184" s="175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76"/>
    </row>
    <row r="185">
      <c r="A185" s="175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76"/>
    </row>
    <row r="186">
      <c r="A186" s="175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76"/>
    </row>
    <row r="187">
      <c r="A187" s="175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76"/>
    </row>
    <row r="188">
      <c r="A188" s="175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76"/>
    </row>
    <row r="189">
      <c r="A189" s="175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76"/>
    </row>
    <row r="190">
      <c r="A190" s="175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76"/>
    </row>
    <row r="191">
      <c r="A191" s="175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76"/>
    </row>
    <row r="192">
      <c r="A192" s="175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76"/>
    </row>
    <row r="193">
      <c r="A193" s="175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76"/>
    </row>
    <row r="194">
      <c r="A194" s="175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76"/>
    </row>
    <row r="195">
      <c r="A195" s="175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76"/>
    </row>
    <row r="196">
      <c r="A196" s="175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76"/>
    </row>
    <row r="197">
      <c r="A197" s="175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76"/>
    </row>
    <row r="198">
      <c r="A198" s="175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76"/>
    </row>
    <row r="199">
      <c r="A199" s="175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76"/>
    </row>
    <row r="200">
      <c r="A200" s="175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76"/>
    </row>
    <row r="201">
      <c r="A201" s="175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76"/>
    </row>
    <row r="202">
      <c r="A202" s="175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76"/>
    </row>
    <row r="203">
      <c r="A203" s="175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76"/>
    </row>
    <row r="204">
      <c r="A204" s="175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76"/>
    </row>
    <row r="205">
      <c r="A205" s="175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76"/>
    </row>
    <row r="206">
      <c r="A206" s="175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76"/>
    </row>
    <row r="207">
      <c r="A207" s="175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76"/>
    </row>
    <row r="208">
      <c r="A208" s="175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76"/>
    </row>
    <row r="209">
      <c r="A209" s="175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76"/>
    </row>
    <row r="210">
      <c r="A210" s="175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76"/>
    </row>
    <row r="211">
      <c r="A211" s="175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76"/>
    </row>
    <row r="212">
      <c r="A212" s="175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76"/>
    </row>
    <row r="213">
      <c r="A213" s="175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76"/>
    </row>
    <row r="214">
      <c r="A214" s="175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76"/>
    </row>
    <row r="215">
      <c r="A215" s="175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76"/>
    </row>
    <row r="216">
      <c r="A216" s="175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76"/>
    </row>
    <row r="217">
      <c r="A217" s="175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76"/>
    </row>
    <row r="218">
      <c r="A218" s="175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76"/>
    </row>
    <row r="219">
      <c r="A219" s="175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76"/>
    </row>
    <row r="220">
      <c r="A220" s="175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76"/>
    </row>
    <row r="221">
      <c r="A221" s="175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76"/>
    </row>
    <row r="222">
      <c r="A222" s="175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76"/>
    </row>
    <row r="223">
      <c r="A223" s="175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76"/>
    </row>
    <row r="224">
      <c r="A224" s="175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76"/>
    </row>
    <row r="225">
      <c r="A225" s="175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76"/>
    </row>
    <row r="226">
      <c r="A226" s="175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76"/>
    </row>
    <row r="227">
      <c r="A227" s="175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76"/>
    </row>
    <row r="228">
      <c r="A228" s="175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76"/>
    </row>
    <row r="229">
      <c r="A229" s="175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76"/>
    </row>
    <row r="230">
      <c r="A230" s="175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76"/>
    </row>
    <row r="231">
      <c r="A231" s="175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76"/>
    </row>
    <row r="232">
      <c r="A232" s="175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76"/>
    </row>
    <row r="233">
      <c r="A233" s="175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76"/>
    </row>
    <row r="234">
      <c r="A234" s="175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76"/>
    </row>
    <row r="235">
      <c r="A235" s="175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76"/>
    </row>
    <row r="236">
      <c r="A236" s="175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76"/>
    </row>
    <row r="237">
      <c r="A237" s="175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76"/>
    </row>
    <row r="238">
      <c r="A238" s="175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76"/>
    </row>
    <row r="239">
      <c r="A239" s="175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76"/>
    </row>
    <row r="240">
      <c r="A240" s="175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76"/>
    </row>
    <row r="241">
      <c r="A241" s="175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76"/>
    </row>
    <row r="242">
      <c r="A242" s="175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76"/>
    </row>
    <row r="243">
      <c r="A243" s="175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76"/>
    </row>
    <row r="244">
      <c r="A244" s="175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76"/>
    </row>
    <row r="245">
      <c r="A245" s="175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76"/>
    </row>
    <row r="246">
      <c r="A246" s="175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76"/>
    </row>
    <row r="247">
      <c r="A247" s="175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76"/>
    </row>
    <row r="248">
      <c r="A248" s="175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76"/>
    </row>
    <row r="249">
      <c r="A249" s="175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76"/>
    </row>
    <row r="250">
      <c r="A250" s="175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76"/>
    </row>
    <row r="251">
      <c r="A251" s="175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76"/>
    </row>
    <row r="252">
      <c r="A252" s="175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76"/>
    </row>
    <row r="253">
      <c r="A253" s="175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76"/>
    </row>
    <row r="254">
      <c r="A254" s="175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76"/>
    </row>
    <row r="255">
      <c r="A255" s="175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76"/>
    </row>
    <row r="256">
      <c r="A256" s="175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76"/>
    </row>
    <row r="257">
      <c r="A257" s="175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76"/>
    </row>
    <row r="258">
      <c r="A258" s="175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76"/>
    </row>
    <row r="259">
      <c r="A259" s="175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76"/>
    </row>
    <row r="260">
      <c r="A260" s="175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76"/>
    </row>
    <row r="261">
      <c r="A261" s="175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76"/>
    </row>
    <row r="262">
      <c r="A262" s="175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76"/>
    </row>
    <row r="263">
      <c r="A263" s="175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76"/>
    </row>
    <row r="264">
      <c r="A264" s="175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76"/>
    </row>
    <row r="265">
      <c r="A265" s="175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76"/>
    </row>
    <row r="266">
      <c r="A266" s="175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76"/>
    </row>
    <row r="267">
      <c r="A267" s="175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76"/>
    </row>
    <row r="268">
      <c r="A268" s="175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76"/>
    </row>
    <row r="269">
      <c r="A269" s="175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76"/>
    </row>
    <row r="270">
      <c r="A270" s="175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76"/>
    </row>
    <row r="271">
      <c r="A271" s="175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76"/>
    </row>
    <row r="272">
      <c r="A272" s="175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76"/>
    </row>
    <row r="273">
      <c r="A273" s="175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76"/>
    </row>
    <row r="274">
      <c r="A274" s="175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76"/>
    </row>
    <row r="275">
      <c r="A275" s="175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76"/>
    </row>
    <row r="276">
      <c r="A276" s="175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76"/>
    </row>
    <row r="277">
      <c r="A277" s="175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76"/>
    </row>
    <row r="278">
      <c r="A278" s="175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76"/>
    </row>
    <row r="279">
      <c r="A279" s="175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76"/>
    </row>
    <row r="280">
      <c r="A280" s="175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76"/>
    </row>
    <row r="281">
      <c r="A281" s="175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76"/>
    </row>
    <row r="282">
      <c r="A282" s="175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76"/>
    </row>
    <row r="283">
      <c r="A283" s="175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76"/>
    </row>
    <row r="284">
      <c r="A284" s="175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76"/>
    </row>
    <row r="285">
      <c r="A285" s="175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76"/>
    </row>
    <row r="286">
      <c r="A286" s="175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76"/>
    </row>
    <row r="287">
      <c r="A287" s="175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76"/>
    </row>
    <row r="288">
      <c r="A288" s="175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76"/>
    </row>
    <row r="289">
      <c r="A289" s="175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76"/>
    </row>
    <row r="290">
      <c r="A290" s="175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76"/>
    </row>
    <row r="291">
      <c r="A291" s="175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76"/>
    </row>
    <row r="292">
      <c r="A292" s="175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76"/>
    </row>
    <row r="293">
      <c r="A293" s="175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76"/>
    </row>
    <row r="294">
      <c r="A294" s="175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76"/>
    </row>
    <row r="295">
      <c r="A295" s="175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76"/>
    </row>
    <row r="296">
      <c r="A296" s="175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76"/>
    </row>
    <row r="297">
      <c r="A297" s="175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76"/>
    </row>
    <row r="298">
      <c r="A298" s="175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76"/>
    </row>
    <row r="299">
      <c r="A299" s="175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76"/>
    </row>
    <row r="300">
      <c r="A300" s="175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76"/>
    </row>
    <row r="301">
      <c r="A301" s="175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76"/>
    </row>
    <row r="302">
      <c r="A302" s="175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76"/>
    </row>
    <row r="303">
      <c r="A303" s="175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76"/>
    </row>
    <row r="304">
      <c r="A304" s="175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76"/>
    </row>
    <row r="305">
      <c r="A305" s="175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76"/>
    </row>
    <row r="306">
      <c r="A306" s="175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76"/>
    </row>
    <row r="307">
      <c r="A307" s="175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76"/>
    </row>
    <row r="308">
      <c r="A308" s="175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76"/>
    </row>
    <row r="309">
      <c r="A309" s="175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76"/>
    </row>
    <row r="310">
      <c r="A310" s="175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76"/>
    </row>
    <row r="311">
      <c r="A311" s="175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76"/>
    </row>
    <row r="312">
      <c r="A312" s="175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76"/>
    </row>
    <row r="313">
      <c r="A313" s="175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76"/>
    </row>
    <row r="314">
      <c r="A314" s="175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76"/>
    </row>
    <row r="315">
      <c r="A315" s="175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76"/>
    </row>
    <row r="316">
      <c r="A316" s="175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76"/>
    </row>
    <row r="317">
      <c r="A317" s="175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76"/>
    </row>
    <row r="318">
      <c r="A318" s="175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76"/>
    </row>
    <row r="319">
      <c r="A319" s="175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76"/>
    </row>
    <row r="320">
      <c r="A320" s="175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76"/>
    </row>
    <row r="321">
      <c r="A321" s="175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76"/>
    </row>
    <row r="322">
      <c r="A322" s="175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76"/>
    </row>
    <row r="323">
      <c r="A323" s="175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76"/>
    </row>
    <row r="324">
      <c r="A324" s="175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76"/>
    </row>
    <row r="325">
      <c r="A325" s="175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76"/>
    </row>
    <row r="326">
      <c r="A326" s="175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76"/>
    </row>
    <row r="327">
      <c r="A327" s="175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76"/>
    </row>
    <row r="328">
      <c r="A328" s="175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76"/>
    </row>
    <row r="329">
      <c r="A329" s="175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76"/>
    </row>
    <row r="330">
      <c r="A330" s="175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76"/>
    </row>
    <row r="331">
      <c r="A331" s="175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76"/>
    </row>
    <row r="332">
      <c r="A332" s="175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76"/>
    </row>
    <row r="333">
      <c r="A333" s="175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76"/>
    </row>
    <row r="334">
      <c r="A334" s="175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76"/>
    </row>
    <row r="335">
      <c r="A335" s="175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76"/>
    </row>
    <row r="336">
      <c r="A336" s="175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76"/>
    </row>
    <row r="337">
      <c r="A337" s="175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76"/>
    </row>
    <row r="338">
      <c r="A338" s="175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76"/>
    </row>
    <row r="339">
      <c r="A339" s="175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76"/>
    </row>
    <row r="340">
      <c r="A340" s="175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76"/>
    </row>
    <row r="341">
      <c r="A341" s="175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76"/>
    </row>
    <row r="342">
      <c r="A342" s="175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76"/>
    </row>
    <row r="343">
      <c r="A343" s="175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76"/>
    </row>
    <row r="344">
      <c r="A344" s="175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76"/>
    </row>
    <row r="345">
      <c r="A345" s="175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76"/>
    </row>
    <row r="346">
      <c r="A346" s="175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76"/>
    </row>
    <row r="347">
      <c r="A347" s="175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76"/>
    </row>
    <row r="348">
      <c r="A348" s="175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76"/>
    </row>
    <row r="349">
      <c r="A349" s="175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76"/>
    </row>
    <row r="350">
      <c r="A350" s="175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76"/>
    </row>
    <row r="351">
      <c r="A351" s="175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76"/>
    </row>
    <row r="352">
      <c r="A352" s="175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76"/>
    </row>
    <row r="353">
      <c r="A353" s="175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76"/>
    </row>
    <row r="354">
      <c r="A354" s="175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76"/>
    </row>
    <row r="355">
      <c r="A355" s="175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76"/>
    </row>
    <row r="356">
      <c r="A356" s="175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76"/>
    </row>
    <row r="357">
      <c r="A357" s="175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76"/>
    </row>
    <row r="358">
      <c r="A358" s="175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76"/>
    </row>
    <row r="359">
      <c r="A359" s="175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76"/>
    </row>
    <row r="360">
      <c r="A360" s="175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76"/>
    </row>
    <row r="361">
      <c r="A361" s="175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76"/>
    </row>
    <row r="362">
      <c r="A362" s="175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76"/>
    </row>
    <row r="363">
      <c r="A363" s="175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76"/>
    </row>
    <row r="364">
      <c r="A364" s="175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76"/>
    </row>
    <row r="365">
      <c r="A365" s="175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76"/>
    </row>
    <row r="366">
      <c r="A366" s="175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76"/>
    </row>
    <row r="367">
      <c r="A367" s="175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76"/>
    </row>
    <row r="368">
      <c r="A368" s="175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76"/>
    </row>
    <row r="369">
      <c r="A369" s="175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76"/>
    </row>
    <row r="370">
      <c r="A370" s="175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76"/>
    </row>
    <row r="371">
      <c r="A371" s="175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76"/>
    </row>
    <row r="372">
      <c r="A372" s="175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76"/>
    </row>
    <row r="373">
      <c r="A373" s="175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76"/>
    </row>
    <row r="374">
      <c r="A374" s="175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76"/>
    </row>
    <row r="375">
      <c r="A375" s="175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76"/>
    </row>
    <row r="376">
      <c r="A376" s="175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76"/>
    </row>
    <row r="377">
      <c r="A377" s="175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76"/>
    </row>
    <row r="378">
      <c r="A378" s="175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76"/>
    </row>
    <row r="379">
      <c r="A379" s="175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76"/>
    </row>
    <row r="380">
      <c r="A380" s="175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76"/>
    </row>
    <row r="381">
      <c r="A381" s="175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76"/>
    </row>
    <row r="382">
      <c r="A382" s="175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76"/>
    </row>
    <row r="383">
      <c r="A383" s="175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76"/>
    </row>
    <row r="384">
      <c r="A384" s="175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76"/>
    </row>
    <row r="385">
      <c r="A385" s="175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76"/>
    </row>
    <row r="386">
      <c r="A386" s="175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76"/>
    </row>
    <row r="387">
      <c r="A387" s="175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76"/>
    </row>
    <row r="388">
      <c r="A388" s="175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76"/>
    </row>
    <row r="389">
      <c r="A389" s="175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76"/>
    </row>
    <row r="390">
      <c r="A390" s="175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76"/>
    </row>
    <row r="391">
      <c r="A391" s="175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76"/>
    </row>
    <row r="392">
      <c r="A392" s="175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76"/>
    </row>
    <row r="393">
      <c r="A393" s="175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76"/>
    </row>
    <row r="394">
      <c r="A394" s="175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76"/>
    </row>
    <row r="395">
      <c r="A395" s="175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76"/>
    </row>
    <row r="396">
      <c r="A396" s="175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76"/>
    </row>
    <row r="397">
      <c r="A397" s="175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76"/>
    </row>
    <row r="398">
      <c r="A398" s="175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76"/>
    </row>
    <row r="399">
      <c r="A399" s="175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76"/>
    </row>
    <row r="400">
      <c r="A400" s="175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76"/>
    </row>
    <row r="401">
      <c r="A401" s="175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76"/>
    </row>
    <row r="402">
      <c r="A402" s="175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76"/>
    </row>
    <row r="403">
      <c r="A403" s="175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76"/>
    </row>
    <row r="404">
      <c r="A404" s="175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76"/>
    </row>
    <row r="405">
      <c r="A405" s="175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76"/>
    </row>
    <row r="406">
      <c r="A406" s="175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76"/>
    </row>
    <row r="407">
      <c r="A407" s="175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76"/>
    </row>
    <row r="408">
      <c r="A408" s="175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76"/>
    </row>
    <row r="409">
      <c r="A409" s="175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76"/>
    </row>
    <row r="410">
      <c r="A410" s="175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76"/>
    </row>
    <row r="411">
      <c r="A411" s="175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76"/>
    </row>
    <row r="412">
      <c r="A412" s="175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76"/>
    </row>
    <row r="413">
      <c r="A413" s="175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76"/>
    </row>
    <row r="414">
      <c r="A414" s="175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76"/>
    </row>
    <row r="415">
      <c r="A415" s="175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76"/>
    </row>
    <row r="416">
      <c r="A416" s="175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76"/>
    </row>
    <row r="417">
      <c r="A417" s="175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76"/>
    </row>
    <row r="418">
      <c r="A418" s="175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76"/>
    </row>
    <row r="419">
      <c r="A419" s="175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76"/>
    </row>
    <row r="420">
      <c r="A420" s="175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76"/>
    </row>
    <row r="421">
      <c r="A421" s="175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76"/>
    </row>
    <row r="422">
      <c r="A422" s="175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76"/>
    </row>
    <row r="423">
      <c r="A423" s="175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76"/>
    </row>
    <row r="424">
      <c r="A424" s="175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76"/>
    </row>
    <row r="425">
      <c r="A425" s="175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76"/>
    </row>
    <row r="426">
      <c r="A426" s="175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76"/>
    </row>
    <row r="427">
      <c r="A427" s="175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76"/>
    </row>
    <row r="428">
      <c r="A428" s="175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76"/>
    </row>
    <row r="429">
      <c r="A429" s="175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76"/>
    </row>
    <row r="430">
      <c r="A430" s="175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76"/>
    </row>
    <row r="431">
      <c r="A431" s="175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76"/>
    </row>
    <row r="432">
      <c r="A432" s="175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76"/>
    </row>
    <row r="433">
      <c r="A433" s="175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76"/>
    </row>
    <row r="434">
      <c r="A434" s="175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76"/>
    </row>
    <row r="435">
      <c r="A435" s="175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76"/>
    </row>
    <row r="436">
      <c r="A436" s="175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76"/>
    </row>
    <row r="437">
      <c r="A437" s="175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76"/>
    </row>
    <row r="438">
      <c r="A438" s="175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76"/>
    </row>
    <row r="439">
      <c r="A439" s="175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76"/>
    </row>
    <row r="440">
      <c r="A440" s="175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76"/>
    </row>
    <row r="441">
      <c r="A441" s="175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76"/>
    </row>
    <row r="442">
      <c r="A442" s="175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76"/>
    </row>
    <row r="443">
      <c r="A443" s="175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76"/>
    </row>
    <row r="444">
      <c r="A444" s="175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76"/>
    </row>
    <row r="445">
      <c r="A445" s="175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76"/>
    </row>
    <row r="446">
      <c r="A446" s="175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76"/>
    </row>
    <row r="447">
      <c r="A447" s="175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76"/>
    </row>
    <row r="448">
      <c r="A448" s="175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76"/>
    </row>
    <row r="449">
      <c r="A449" s="175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76"/>
    </row>
    <row r="450">
      <c r="A450" s="175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76"/>
    </row>
    <row r="451">
      <c r="A451" s="175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76"/>
    </row>
    <row r="452">
      <c r="A452" s="175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76"/>
    </row>
    <row r="453">
      <c r="A453" s="175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76"/>
    </row>
    <row r="454">
      <c r="A454" s="175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76"/>
    </row>
    <row r="455">
      <c r="A455" s="175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76"/>
    </row>
    <row r="456">
      <c r="A456" s="175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76"/>
    </row>
    <row r="457">
      <c r="A457" s="175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76"/>
    </row>
    <row r="458">
      <c r="A458" s="175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76"/>
    </row>
    <row r="459">
      <c r="A459" s="175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76"/>
    </row>
    <row r="460">
      <c r="A460" s="175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76"/>
    </row>
    <row r="461">
      <c r="A461" s="175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76"/>
    </row>
    <row r="462">
      <c r="A462" s="175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76"/>
    </row>
    <row r="463">
      <c r="A463" s="175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76"/>
    </row>
    <row r="464">
      <c r="A464" s="175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76"/>
    </row>
    <row r="465">
      <c r="A465" s="175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76"/>
    </row>
    <row r="466">
      <c r="A466" s="175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76"/>
    </row>
    <row r="467">
      <c r="A467" s="175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76"/>
    </row>
    <row r="468">
      <c r="A468" s="175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76"/>
    </row>
    <row r="469">
      <c r="A469" s="175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76"/>
    </row>
    <row r="470">
      <c r="A470" s="175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76"/>
    </row>
    <row r="471">
      <c r="A471" s="175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76"/>
    </row>
    <row r="472">
      <c r="A472" s="175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76"/>
    </row>
    <row r="473">
      <c r="A473" s="175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76"/>
    </row>
    <row r="474">
      <c r="A474" s="175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76"/>
    </row>
    <row r="475">
      <c r="A475" s="175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76"/>
    </row>
    <row r="476">
      <c r="A476" s="175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76"/>
    </row>
    <row r="477">
      <c r="A477" s="175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76"/>
    </row>
    <row r="478">
      <c r="A478" s="175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76"/>
    </row>
    <row r="479">
      <c r="A479" s="175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76"/>
    </row>
    <row r="480">
      <c r="A480" s="175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76"/>
    </row>
    <row r="481">
      <c r="A481" s="175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76"/>
    </row>
    <row r="482">
      <c r="A482" s="175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76"/>
    </row>
    <row r="483">
      <c r="A483" s="175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76"/>
    </row>
    <row r="484">
      <c r="A484" s="175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76"/>
    </row>
    <row r="485">
      <c r="A485" s="175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76"/>
    </row>
    <row r="486">
      <c r="A486" s="175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76"/>
    </row>
    <row r="487">
      <c r="A487" s="175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76"/>
    </row>
    <row r="488">
      <c r="A488" s="175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76"/>
    </row>
    <row r="489">
      <c r="A489" s="175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76"/>
    </row>
    <row r="490">
      <c r="A490" s="175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76"/>
    </row>
    <row r="491">
      <c r="A491" s="175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76"/>
    </row>
    <row r="492">
      <c r="A492" s="175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76"/>
    </row>
    <row r="493">
      <c r="A493" s="175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76"/>
    </row>
    <row r="494">
      <c r="A494" s="175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76"/>
    </row>
    <row r="495">
      <c r="A495" s="175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76"/>
    </row>
    <row r="496">
      <c r="A496" s="175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76"/>
    </row>
    <row r="497">
      <c r="A497" s="175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76"/>
    </row>
    <row r="498">
      <c r="A498" s="175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76"/>
    </row>
    <row r="499">
      <c r="A499" s="175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76"/>
    </row>
    <row r="500">
      <c r="A500" s="175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76"/>
    </row>
    <row r="501">
      <c r="A501" s="175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76"/>
    </row>
    <row r="502">
      <c r="A502" s="175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76"/>
    </row>
    <row r="503">
      <c r="A503" s="175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76"/>
    </row>
    <row r="504">
      <c r="A504" s="175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76"/>
    </row>
    <row r="505">
      <c r="A505" s="175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76"/>
    </row>
    <row r="506">
      <c r="A506" s="175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76"/>
    </row>
    <row r="507">
      <c r="A507" s="175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76"/>
    </row>
    <row r="508">
      <c r="A508" s="175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76"/>
    </row>
    <row r="509">
      <c r="A509" s="175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76"/>
    </row>
    <row r="510">
      <c r="A510" s="175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76"/>
    </row>
    <row r="511">
      <c r="A511" s="175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76"/>
    </row>
    <row r="512">
      <c r="A512" s="175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76"/>
    </row>
    <row r="513">
      <c r="A513" s="175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76"/>
    </row>
    <row r="514">
      <c r="A514" s="175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76"/>
    </row>
    <row r="515">
      <c r="A515" s="175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76"/>
    </row>
    <row r="516">
      <c r="A516" s="175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76"/>
    </row>
    <row r="517">
      <c r="A517" s="175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76"/>
    </row>
    <row r="518">
      <c r="A518" s="175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76"/>
    </row>
    <row r="519">
      <c r="A519" s="175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76"/>
    </row>
    <row r="520">
      <c r="A520" s="175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76"/>
    </row>
    <row r="521">
      <c r="A521" s="175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76"/>
    </row>
    <row r="522">
      <c r="A522" s="175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76"/>
    </row>
    <row r="523">
      <c r="A523" s="175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76"/>
    </row>
    <row r="524">
      <c r="A524" s="175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76"/>
    </row>
    <row r="525">
      <c r="A525" s="175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76"/>
    </row>
    <row r="526">
      <c r="A526" s="175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76"/>
    </row>
    <row r="527">
      <c r="A527" s="175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76"/>
    </row>
    <row r="528">
      <c r="A528" s="175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76"/>
    </row>
    <row r="529">
      <c r="A529" s="175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76"/>
    </row>
    <row r="530">
      <c r="A530" s="175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76"/>
    </row>
    <row r="531">
      <c r="A531" s="175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76"/>
    </row>
    <row r="532">
      <c r="A532" s="175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76"/>
    </row>
    <row r="533">
      <c r="A533" s="175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76"/>
    </row>
    <row r="534">
      <c r="A534" s="175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76"/>
    </row>
    <row r="535">
      <c r="A535" s="175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76"/>
    </row>
    <row r="536">
      <c r="A536" s="175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76"/>
    </row>
    <row r="537">
      <c r="A537" s="175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76"/>
    </row>
    <row r="538">
      <c r="A538" s="175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76"/>
    </row>
    <row r="539">
      <c r="A539" s="175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76"/>
    </row>
    <row r="540">
      <c r="A540" s="175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76"/>
    </row>
    <row r="541">
      <c r="A541" s="175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76"/>
    </row>
    <row r="542">
      <c r="A542" s="175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76"/>
    </row>
    <row r="543">
      <c r="A543" s="175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76"/>
    </row>
    <row r="544">
      <c r="A544" s="175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76"/>
    </row>
    <row r="545">
      <c r="A545" s="175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76"/>
    </row>
    <row r="546">
      <c r="A546" s="175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76"/>
    </row>
    <row r="547">
      <c r="A547" s="175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76"/>
    </row>
    <row r="548">
      <c r="A548" s="175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76"/>
    </row>
    <row r="549">
      <c r="A549" s="175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76"/>
    </row>
    <row r="550">
      <c r="A550" s="175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76"/>
    </row>
    <row r="551">
      <c r="A551" s="175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76"/>
    </row>
    <row r="552">
      <c r="A552" s="175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76"/>
    </row>
    <row r="553">
      <c r="A553" s="175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76"/>
    </row>
    <row r="554">
      <c r="A554" s="175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76"/>
    </row>
    <row r="555">
      <c r="A555" s="175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76"/>
    </row>
    <row r="556">
      <c r="A556" s="175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76"/>
    </row>
    <row r="557">
      <c r="A557" s="175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76"/>
    </row>
    <row r="558">
      <c r="A558" s="175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76"/>
    </row>
    <row r="559">
      <c r="A559" s="175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76"/>
    </row>
    <row r="560">
      <c r="A560" s="175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76"/>
    </row>
    <row r="561">
      <c r="A561" s="175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76"/>
    </row>
    <row r="562">
      <c r="A562" s="175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76"/>
    </row>
    <row r="563">
      <c r="A563" s="175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76"/>
    </row>
    <row r="564">
      <c r="A564" s="175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76"/>
    </row>
    <row r="565">
      <c r="A565" s="175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76"/>
    </row>
    <row r="566">
      <c r="A566" s="175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76"/>
    </row>
    <row r="567">
      <c r="A567" s="175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76"/>
    </row>
    <row r="568">
      <c r="A568" s="175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76"/>
    </row>
    <row r="569">
      <c r="A569" s="175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76"/>
    </row>
    <row r="570">
      <c r="A570" s="175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76"/>
    </row>
    <row r="571">
      <c r="A571" s="175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76"/>
    </row>
    <row r="572">
      <c r="A572" s="175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76"/>
    </row>
    <row r="573">
      <c r="A573" s="175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76"/>
    </row>
    <row r="574">
      <c r="A574" s="175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76"/>
    </row>
    <row r="575">
      <c r="A575" s="175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76"/>
    </row>
    <row r="576">
      <c r="A576" s="175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76"/>
    </row>
    <row r="577">
      <c r="A577" s="175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76"/>
    </row>
    <row r="578">
      <c r="A578" s="175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76"/>
    </row>
    <row r="579">
      <c r="A579" s="175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76"/>
    </row>
    <row r="580">
      <c r="A580" s="175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76"/>
    </row>
    <row r="581">
      <c r="A581" s="175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76"/>
    </row>
    <row r="582">
      <c r="A582" s="175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76"/>
    </row>
    <row r="583">
      <c r="A583" s="175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76"/>
    </row>
    <row r="584">
      <c r="A584" s="175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76"/>
    </row>
    <row r="585">
      <c r="A585" s="175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76"/>
    </row>
    <row r="586">
      <c r="A586" s="175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76"/>
    </row>
    <row r="587">
      <c r="A587" s="175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76"/>
    </row>
    <row r="588">
      <c r="A588" s="175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76"/>
    </row>
    <row r="589">
      <c r="A589" s="175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76"/>
    </row>
    <row r="590">
      <c r="A590" s="175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76"/>
    </row>
    <row r="591">
      <c r="A591" s="175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76"/>
    </row>
    <row r="592">
      <c r="A592" s="175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76"/>
    </row>
    <row r="593">
      <c r="A593" s="175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76"/>
    </row>
    <row r="594">
      <c r="A594" s="175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76"/>
    </row>
    <row r="595">
      <c r="A595" s="175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76"/>
    </row>
    <row r="596">
      <c r="A596" s="175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76"/>
    </row>
    <row r="597">
      <c r="A597" s="175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76"/>
    </row>
    <row r="598">
      <c r="A598" s="175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76"/>
    </row>
    <row r="599">
      <c r="A599" s="175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76"/>
    </row>
    <row r="600">
      <c r="A600" s="175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76"/>
    </row>
    <row r="601">
      <c r="A601" s="175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76"/>
    </row>
    <row r="602">
      <c r="A602" s="175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76"/>
    </row>
    <row r="603">
      <c r="A603" s="175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76"/>
    </row>
    <row r="604">
      <c r="A604" s="175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76"/>
    </row>
    <row r="605">
      <c r="A605" s="175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76"/>
    </row>
    <row r="606">
      <c r="A606" s="175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76"/>
    </row>
    <row r="607">
      <c r="A607" s="175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76"/>
    </row>
    <row r="608">
      <c r="A608" s="175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76"/>
    </row>
    <row r="609">
      <c r="A609" s="175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76"/>
    </row>
    <row r="610">
      <c r="A610" s="175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76"/>
    </row>
    <row r="611">
      <c r="A611" s="175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76"/>
    </row>
    <row r="612">
      <c r="A612" s="175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76"/>
    </row>
    <row r="613">
      <c r="A613" s="175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76"/>
    </row>
    <row r="614">
      <c r="A614" s="175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76"/>
    </row>
    <row r="615">
      <c r="A615" s="175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76"/>
    </row>
    <row r="616">
      <c r="A616" s="175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76"/>
    </row>
    <row r="617">
      <c r="A617" s="175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76"/>
    </row>
    <row r="618">
      <c r="A618" s="175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76"/>
    </row>
    <row r="619">
      <c r="A619" s="175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76"/>
    </row>
    <row r="620">
      <c r="A620" s="175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76"/>
    </row>
    <row r="621">
      <c r="A621" s="175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76"/>
    </row>
    <row r="622">
      <c r="A622" s="175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76"/>
    </row>
    <row r="623">
      <c r="A623" s="175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76"/>
    </row>
    <row r="624">
      <c r="A624" s="175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76"/>
    </row>
    <row r="625">
      <c r="A625" s="175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76"/>
    </row>
    <row r="626">
      <c r="A626" s="175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76"/>
    </row>
    <row r="627">
      <c r="A627" s="175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76"/>
    </row>
    <row r="628">
      <c r="A628" s="175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76"/>
    </row>
    <row r="629">
      <c r="A629" s="175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76"/>
    </row>
    <row r="630">
      <c r="A630" s="175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76"/>
    </row>
    <row r="631">
      <c r="A631" s="175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76"/>
    </row>
    <row r="632">
      <c r="A632" s="175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76"/>
    </row>
    <row r="633">
      <c r="A633" s="175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76"/>
    </row>
    <row r="634">
      <c r="A634" s="175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76"/>
    </row>
    <row r="635">
      <c r="A635" s="175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76"/>
    </row>
    <row r="636">
      <c r="A636" s="175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76"/>
    </row>
    <row r="637">
      <c r="A637" s="175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76"/>
    </row>
    <row r="638">
      <c r="A638" s="175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76"/>
    </row>
    <row r="639">
      <c r="A639" s="175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76"/>
    </row>
    <row r="640">
      <c r="A640" s="175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76"/>
    </row>
    <row r="641">
      <c r="A641" s="175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76"/>
    </row>
    <row r="642">
      <c r="A642" s="175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76"/>
    </row>
    <row r="643">
      <c r="A643" s="175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76"/>
    </row>
    <row r="644">
      <c r="A644" s="175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76"/>
    </row>
    <row r="645">
      <c r="A645" s="175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76"/>
    </row>
    <row r="646">
      <c r="A646" s="175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76"/>
    </row>
    <row r="647">
      <c r="A647" s="175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76"/>
    </row>
    <row r="648">
      <c r="A648" s="175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76"/>
    </row>
    <row r="649">
      <c r="A649" s="175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76"/>
    </row>
    <row r="650">
      <c r="A650" s="175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76"/>
    </row>
    <row r="651">
      <c r="A651" s="175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76"/>
    </row>
    <row r="652">
      <c r="A652" s="175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76"/>
    </row>
    <row r="653">
      <c r="A653" s="175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76"/>
    </row>
    <row r="654">
      <c r="A654" s="175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76"/>
    </row>
    <row r="655">
      <c r="A655" s="175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76"/>
    </row>
    <row r="656">
      <c r="A656" s="175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76"/>
    </row>
    <row r="657">
      <c r="A657" s="175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76"/>
    </row>
    <row r="658">
      <c r="A658" s="175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76"/>
    </row>
    <row r="659">
      <c r="A659" s="175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76"/>
    </row>
    <row r="660">
      <c r="A660" s="175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76"/>
    </row>
    <row r="661">
      <c r="A661" s="175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76"/>
    </row>
    <row r="662">
      <c r="A662" s="175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76"/>
    </row>
    <row r="663">
      <c r="A663" s="175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76"/>
    </row>
    <row r="664">
      <c r="A664" s="175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76"/>
    </row>
    <row r="665">
      <c r="A665" s="175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76"/>
    </row>
    <row r="666">
      <c r="A666" s="175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76"/>
    </row>
    <row r="667">
      <c r="A667" s="175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76"/>
    </row>
    <row r="668">
      <c r="A668" s="175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76"/>
    </row>
    <row r="669">
      <c r="A669" s="175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76"/>
    </row>
    <row r="670">
      <c r="A670" s="175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76"/>
    </row>
    <row r="671">
      <c r="A671" s="175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76"/>
    </row>
    <row r="672">
      <c r="A672" s="175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76"/>
    </row>
    <row r="673">
      <c r="A673" s="175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76"/>
    </row>
    <row r="674">
      <c r="A674" s="175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76"/>
    </row>
    <row r="675">
      <c r="A675" s="175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76"/>
    </row>
    <row r="676">
      <c r="A676" s="175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76"/>
    </row>
    <row r="677">
      <c r="A677" s="175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76"/>
    </row>
    <row r="678">
      <c r="A678" s="175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76"/>
    </row>
    <row r="679">
      <c r="A679" s="175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76"/>
    </row>
    <row r="680">
      <c r="A680" s="175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76"/>
    </row>
    <row r="681">
      <c r="A681" s="175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76"/>
    </row>
    <row r="682">
      <c r="A682" s="175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76"/>
    </row>
    <row r="683">
      <c r="A683" s="175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76"/>
    </row>
    <row r="684">
      <c r="A684" s="175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76"/>
    </row>
    <row r="685">
      <c r="A685" s="175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76"/>
    </row>
    <row r="686">
      <c r="A686" s="175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76"/>
    </row>
    <row r="687">
      <c r="A687" s="175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76"/>
    </row>
    <row r="688">
      <c r="A688" s="175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76"/>
    </row>
    <row r="689">
      <c r="A689" s="175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76"/>
    </row>
    <row r="690">
      <c r="A690" s="175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76"/>
    </row>
    <row r="691">
      <c r="A691" s="175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76"/>
    </row>
    <row r="692">
      <c r="A692" s="175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76"/>
    </row>
    <row r="693">
      <c r="A693" s="175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76"/>
    </row>
    <row r="694">
      <c r="A694" s="175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76"/>
    </row>
    <row r="695">
      <c r="A695" s="175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76"/>
    </row>
    <row r="696">
      <c r="A696" s="175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76"/>
    </row>
    <row r="697">
      <c r="A697" s="175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76"/>
    </row>
    <row r="698">
      <c r="A698" s="175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76"/>
    </row>
    <row r="699">
      <c r="A699" s="175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76"/>
    </row>
    <row r="700">
      <c r="A700" s="175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76"/>
    </row>
    <row r="701">
      <c r="A701" s="175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76"/>
    </row>
    <row r="702">
      <c r="A702" s="175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76"/>
    </row>
    <row r="703">
      <c r="A703" s="175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76"/>
    </row>
    <row r="704">
      <c r="A704" s="175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76"/>
    </row>
    <row r="705">
      <c r="A705" s="175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76"/>
    </row>
    <row r="706">
      <c r="A706" s="175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76"/>
    </row>
    <row r="707">
      <c r="A707" s="175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76"/>
    </row>
    <row r="708">
      <c r="A708" s="175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76"/>
    </row>
    <row r="709">
      <c r="A709" s="175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76"/>
    </row>
    <row r="710">
      <c r="A710" s="175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76"/>
    </row>
    <row r="711">
      <c r="A711" s="175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76"/>
    </row>
    <row r="712">
      <c r="A712" s="175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76"/>
    </row>
    <row r="713">
      <c r="A713" s="175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76"/>
    </row>
    <row r="714">
      <c r="A714" s="175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76"/>
    </row>
    <row r="715">
      <c r="A715" s="175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76"/>
    </row>
    <row r="716">
      <c r="A716" s="175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76"/>
    </row>
    <row r="717">
      <c r="A717" s="175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76"/>
    </row>
    <row r="718">
      <c r="A718" s="175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76"/>
    </row>
    <row r="719">
      <c r="A719" s="175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76"/>
    </row>
    <row r="720">
      <c r="A720" s="175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76"/>
    </row>
    <row r="721">
      <c r="A721" s="175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76"/>
    </row>
    <row r="722">
      <c r="A722" s="175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76"/>
    </row>
    <row r="723">
      <c r="A723" s="175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76"/>
    </row>
    <row r="724">
      <c r="A724" s="175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76"/>
    </row>
    <row r="725">
      <c r="A725" s="175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76"/>
    </row>
    <row r="726">
      <c r="A726" s="175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76"/>
    </row>
    <row r="727">
      <c r="A727" s="175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76"/>
    </row>
    <row r="728">
      <c r="A728" s="175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76"/>
    </row>
    <row r="729">
      <c r="A729" s="175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76"/>
    </row>
    <row r="730">
      <c r="A730" s="175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76"/>
    </row>
    <row r="731">
      <c r="A731" s="175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76"/>
    </row>
    <row r="732">
      <c r="A732" s="175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76"/>
    </row>
    <row r="733">
      <c r="A733" s="175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76"/>
    </row>
    <row r="734">
      <c r="A734" s="175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76"/>
    </row>
    <row r="735">
      <c r="A735" s="175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76"/>
    </row>
    <row r="736">
      <c r="A736" s="175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76"/>
    </row>
    <row r="737">
      <c r="A737" s="175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76"/>
    </row>
    <row r="738">
      <c r="A738" s="175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76"/>
    </row>
    <row r="739">
      <c r="A739" s="175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76"/>
    </row>
    <row r="740">
      <c r="A740" s="175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76"/>
    </row>
    <row r="741">
      <c r="A741" s="175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76"/>
    </row>
    <row r="742">
      <c r="A742" s="175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76"/>
    </row>
    <row r="743">
      <c r="A743" s="175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76"/>
    </row>
    <row r="744">
      <c r="A744" s="175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76"/>
    </row>
    <row r="745">
      <c r="A745" s="175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76"/>
    </row>
    <row r="746">
      <c r="A746" s="175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76"/>
    </row>
    <row r="747">
      <c r="A747" s="175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76"/>
    </row>
    <row r="748">
      <c r="A748" s="175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76"/>
    </row>
    <row r="749">
      <c r="A749" s="175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76"/>
    </row>
    <row r="750">
      <c r="A750" s="175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76"/>
    </row>
    <row r="751">
      <c r="A751" s="175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76"/>
    </row>
    <row r="752">
      <c r="A752" s="175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76"/>
    </row>
    <row r="753">
      <c r="A753" s="175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76"/>
    </row>
    <row r="754">
      <c r="A754" s="175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76"/>
    </row>
    <row r="755">
      <c r="A755" s="175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76"/>
    </row>
    <row r="756">
      <c r="A756" s="175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76"/>
    </row>
    <row r="757">
      <c r="A757" s="175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76"/>
    </row>
    <row r="758">
      <c r="A758" s="175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76"/>
    </row>
    <row r="759">
      <c r="A759" s="175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76"/>
    </row>
    <row r="760">
      <c r="A760" s="175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76"/>
    </row>
    <row r="761">
      <c r="A761" s="175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76"/>
    </row>
    <row r="762">
      <c r="A762" s="175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76"/>
    </row>
    <row r="763">
      <c r="A763" s="175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76"/>
    </row>
    <row r="764">
      <c r="A764" s="175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76"/>
    </row>
    <row r="765">
      <c r="A765" s="175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76"/>
    </row>
    <row r="766">
      <c r="A766" s="175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76"/>
    </row>
    <row r="767">
      <c r="A767" s="175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76"/>
    </row>
    <row r="768">
      <c r="A768" s="175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76"/>
    </row>
    <row r="769">
      <c r="A769" s="175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76"/>
    </row>
    <row r="770">
      <c r="A770" s="175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76"/>
    </row>
    <row r="771">
      <c r="A771" s="175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76"/>
    </row>
    <row r="772">
      <c r="A772" s="175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76"/>
    </row>
    <row r="773">
      <c r="A773" s="175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76"/>
    </row>
    <row r="774">
      <c r="A774" s="175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76"/>
    </row>
    <row r="775">
      <c r="A775" s="175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76"/>
    </row>
    <row r="776">
      <c r="A776" s="175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76"/>
    </row>
    <row r="777">
      <c r="A777" s="175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76"/>
    </row>
    <row r="778">
      <c r="A778" s="175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76"/>
    </row>
    <row r="779">
      <c r="A779" s="175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76"/>
    </row>
    <row r="780">
      <c r="A780" s="175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76"/>
    </row>
    <row r="781">
      <c r="A781" s="175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76"/>
    </row>
    <row r="782">
      <c r="A782" s="175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76"/>
    </row>
    <row r="783">
      <c r="A783" s="175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76"/>
    </row>
    <row r="784">
      <c r="A784" s="175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76"/>
    </row>
    <row r="785">
      <c r="A785" s="175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76"/>
    </row>
    <row r="786">
      <c r="A786" s="175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76"/>
    </row>
    <row r="787">
      <c r="A787" s="175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76"/>
    </row>
    <row r="788">
      <c r="A788" s="175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76"/>
    </row>
    <row r="789">
      <c r="A789" s="175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76"/>
    </row>
    <row r="790">
      <c r="A790" s="175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76"/>
    </row>
    <row r="791">
      <c r="A791" s="175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76"/>
    </row>
    <row r="792">
      <c r="A792" s="175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76"/>
    </row>
    <row r="793">
      <c r="A793" s="175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76"/>
    </row>
    <row r="794">
      <c r="A794" s="175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76"/>
    </row>
    <row r="795">
      <c r="A795" s="175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76"/>
    </row>
    <row r="796">
      <c r="A796" s="175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76"/>
    </row>
    <row r="797">
      <c r="A797" s="175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76"/>
    </row>
    <row r="798">
      <c r="A798" s="175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76"/>
    </row>
    <row r="799">
      <c r="A799" s="175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76"/>
    </row>
    <row r="800">
      <c r="A800" s="175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76"/>
    </row>
    <row r="801">
      <c r="A801" s="175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76"/>
    </row>
    <row r="802">
      <c r="A802" s="175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76"/>
    </row>
    <row r="803">
      <c r="A803" s="175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76"/>
    </row>
    <row r="804">
      <c r="A804" s="175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76"/>
    </row>
    <row r="805">
      <c r="A805" s="175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76"/>
    </row>
    <row r="806">
      <c r="A806" s="175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76"/>
    </row>
    <row r="807">
      <c r="A807" s="175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76"/>
    </row>
    <row r="808">
      <c r="A808" s="175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76"/>
    </row>
    <row r="809">
      <c r="A809" s="175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76"/>
    </row>
    <row r="810">
      <c r="A810" s="175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76"/>
    </row>
    <row r="811">
      <c r="A811" s="175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76"/>
    </row>
    <row r="812">
      <c r="A812" s="175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76"/>
    </row>
    <row r="813">
      <c r="A813" s="175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76"/>
    </row>
    <row r="814">
      <c r="A814" s="175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76"/>
    </row>
    <row r="815">
      <c r="A815" s="175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76"/>
    </row>
    <row r="816">
      <c r="A816" s="175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76"/>
    </row>
    <row r="817">
      <c r="A817" s="175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76"/>
    </row>
    <row r="818">
      <c r="A818" s="175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76"/>
    </row>
    <row r="819">
      <c r="A819" s="175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76"/>
    </row>
    <row r="820">
      <c r="A820" s="175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76"/>
    </row>
    <row r="821">
      <c r="A821" s="175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76"/>
    </row>
    <row r="822">
      <c r="A822" s="175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76"/>
    </row>
    <row r="823">
      <c r="A823" s="175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76"/>
    </row>
    <row r="824">
      <c r="A824" s="175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76"/>
    </row>
    <row r="825">
      <c r="A825" s="175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76"/>
    </row>
    <row r="826">
      <c r="A826" s="175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76"/>
    </row>
    <row r="827">
      <c r="A827" s="175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76"/>
    </row>
    <row r="828">
      <c r="A828" s="175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76"/>
    </row>
    <row r="829">
      <c r="A829" s="175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76"/>
    </row>
    <row r="830">
      <c r="A830" s="175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76"/>
    </row>
    <row r="831">
      <c r="A831" s="175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76"/>
    </row>
    <row r="832">
      <c r="A832" s="175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76"/>
    </row>
    <row r="833">
      <c r="A833" s="175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76"/>
    </row>
    <row r="834">
      <c r="A834" s="175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76"/>
    </row>
    <row r="835">
      <c r="A835" s="175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76"/>
    </row>
    <row r="836">
      <c r="A836" s="175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76"/>
    </row>
    <row r="837">
      <c r="A837" s="175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76"/>
    </row>
    <row r="838">
      <c r="A838" s="175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76"/>
    </row>
    <row r="839">
      <c r="A839" s="175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76"/>
    </row>
    <row r="840">
      <c r="A840" s="175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76"/>
    </row>
    <row r="841">
      <c r="A841" s="175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76"/>
    </row>
    <row r="842">
      <c r="A842" s="175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76"/>
    </row>
    <row r="843">
      <c r="A843" s="175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76"/>
    </row>
    <row r="844">
      <c r="A844" s="175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76"/>
    </row>
    <row r="845">
      <c r="A845" s="175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76"/>
    </row>
    <row r="846">
      <c r="A846" s="175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76"/>
    </row>
    <row r="847">
      <c r="A847" s="175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76"/>
    </row>
    <row r="848">
      <c r="A848" s="175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76"/>
    </row>
    <row r="849">
      <c r="A849" s="175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76"/>
    </row>
    <row r="850">
      <c r="A850" s="175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76"/>
    </row>
    <row r="851">
      <c r="A851" s="175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76"/>
    </row>
    <row r="852">
      <c r="A852" s="175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76"/>
    </row>
    <row r="853">
      <c r="A853" s="175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76"/>
    </row>
    <row r="854">
      <c r="A854" s="175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76"/>
    </row>
    <row r="855">
      <c r="A855" s="175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76"/>
    </row>
    <row r="856">
      <c r="A856" s="175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76"/>
    </row>
    <row r="857">
      <c r="A857" s="175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76"/>
    </row>
    <row r="858">
      <c r="A858" s="175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76"/>
    </row>
    <row r="859">
      <c r="A859" s="175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76"/>
    </row>
    <row r="860">
      <c r="A860" s="175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76"/>
    </row>
    <row r="861">
      <c r="A861" s="175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76"/>
    </row>
    <row r="862">
      <c r="A862" s="175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76"/>
    </row>
    <row r="863">
      <c r="A863" s="175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76"/>
    </row>
    <row r="864">
      <c r="A864" s="175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76"/>
    </row>
    <row r="865">
      <c r="A865" s="175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76"/>
    </row>
    <row r="866">
      <c r="A866" s="175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76"/>
    </row>
    <row r="867">
      <c r="A867" s="175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76"/>
    </row>
    <row r="868">
      <c r="A868" s="175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76"/>
    </row>
    <row r="869">
      <c r="A869" s="175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76"/>
    </row>
    <row r="870">
      <c r="A870" s="175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76"/>
    </row>
    <row r="871">
      <c r="A871" s="175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76"/>
    </row>
    <row r="872">
      <c r="A872" s="175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76"/>
    </row>
    <row r="873">
      <c r="A873" s="175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76"/>
    </row>
    <row r="874">
      <c r="A874" s="175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76"/>
    </row>
    <row r="875">
      <c r="A875" s="175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76"/>
    </row>
    <row r="876">
      <c r="A876" s="175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76"/>
    </row>
    <row r="877">
      <c r="A877" s="175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76"/>
    </row>
    <row r="878">
      <c r="A878" s="175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76"/>
    </row>
    <row r="879">
      <c r="A879" s="175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76"/>
    </row>
    <row r="880">
      <c r="A880" s="175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76"/>
    </row>
    <row r="881">
      <c r="A881" s="175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76"/>
    </row>
    <row r="882">
      <c r="A882" s="175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76"/>
    </row>
    <row r="883">
      <c r="A883" s="175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76"/>
    </row>
    <row r="884">
      <c r="A884" s="175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76"/>
    </row>
    <row r="885">
      <c r="A885" s="175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76"/>
    </row>
    <row r="886">
      <c r="A886" s="175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76"/>
    </row>
    <row r="887">
      <c r="A887" s="175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76"/>
    </row>
    <row r="888">
      <c r="A888" s="175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76"/>
    </row>
    <row r="889">
      <c r="A889" s="175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76"/>
    </row>
    <row r="890">
      <c r="A890" s="175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76"/>
    </row>
    <row r="891">
      <c r="A891" s="175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76"/>
    </row>
    <row r="892">
      <c r="A892" s="175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76"/>
    </row>
    <row r="893">
      <c r="A893" s="175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76"/>
    </row>
    <row r="894">
      <c r="A894" s="175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76"/>
    </row>
    <row r="895">
      <c r="A895" s="175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76"/>
    </row>
    <row r="896">
      <c r="A896" s="175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76"/>
    </row>
    <row r="897">
      <c r="A897" s="175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76"/>
    </row>
    <row r="898">
      <c r="A898" s="175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76"/>
    </row>
    <row r="899">
      <c r="A899" s="175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76"/>
    </row>
    <row r="900">
      <c r="A900" s="175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76"/>
    </row>
    <row r="901">
      <c r="A901" s="175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76"/>
    </row>
    <row r="902">
      <c r="A902" s="175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76"/>
    </row>
    <row r="903">
      <c r="A903" s="175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76"/>
    </row>
    <row r="904">
      <c r="A904" s="175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76"/>
    </row>
    <row r="905">
      <c r="A905" s="175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76"/>
    </row>
    <row r="906">
      <c r="A906" s="175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76"/>
    </row>
    <row r="907">
      <c r="A907" s="175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76"/>
    </row>
    <row r="908">
      <c r="A908" s="175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76"/>
    </row>
    <row r="909">
      <c r="A909" s="175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76"/>
    </row>
    <row r="910">
      <c r="A910" s="175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76"/>
    </row>
    <row r="911">
      <c r="A911" s="175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76"/>
    </row>
    <row r="912">
      <c r="A912" s="175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76"/>
    </row>
    <row r="913">
      <c r="A913" s="175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76"/>
    </row>
    <row r="914">
      <c r="A914" s="175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76"/>
    </row>
    <row r="915">
      <c r="A915" s="175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76"/>
    </row>
    <row r="916">
      <c r="A916" s="175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76"/>
    </row>
    <row r="917">
      <c r="A917" s="175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76"/>
    </row>
    <row r="918">
      <c r="A918" s="175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76"/>
    </row>
    <row r="919">
      <c r="A919" s="175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76"/>
    </row>
    <row r="920">
      <c r="A920" s="175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76"/>
    </row>
    <row r="921">
      <c r="A921" s="175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76"/>
    </row>
    <row r="922">
      <c r="A922" s="175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76"/>
    </row>
    <row r="923">
      <c r="A923" s="175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76"/>
    </row>
    <row r="924">
      <c r="A924" s="175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76"/>
    </row>
    <row r="925">
      <c r="A925" s="175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76"/>
    </row>
    <row r="926">
      <c r="A926" s="175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76"/>
    </row>
    <row r="927">
      <c r="A927" s="175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76"/>
    </row>
    <row r="928">
      <c r="A928" s="175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76"/>
    </row>
    <row r="929">
      <c r="A929" s="175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76"/>
    </row>
    <row r="930">
      <c r="A930" s="175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76"/>
    </row>
    <row r="931">
      <c r="A931" s="175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76"/>
    </row>
    <row r="932">
      <c r="A932" s="175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76"/>
    </row>
    <row r="933">
      <c r="A933" s="175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76"/>
    </row>
    <row r="934">
      <c r="A934" s="175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76"/>
    </row>
    <row r="935">
      <c r="A935" s="175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76"/>
    </row>
    <row r="936">
      <c r="A936" s="175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76"/>
    </row>
    <row r="937">
      <c r="A937" s="175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76"/>
    </row>
    <row r="938">
      <c r="A938" s="175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76"/>
    </row>
    <row r="939">
      <c r="A939" s="175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76"/>
    </row>
    <row r="940">
      <c r="A940" s="175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76"/>
    </row>
    <row r="941">
      <c r="A941" s="175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76"/>
    </row>
    <row r="942">
      <c r="A942" s="175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76"/>
    </row>
    <row r="943">
      <c r="A943" s="175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76"/>
    </row>
    <row r="944">
      <c r="A944" s="175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76"/>
    </row>
    <row r="945">
      <c r="A945" s="175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76"/>
    </row>
    <row r="946">
      <c r="A946" s="175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76"/>
    </row>
    <row r="947">
      <c r="A947" s="175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76"/>
    </row>
    <row r="948">
      <c r="A948" s="175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76"/>
    </row>
    <row r="949">
      <c r="A949" s="175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76"/>
    </row>
    <row r="950">
      <c r="A950" s="175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76"/>
    </row>
    <row r="951">
      <c r="A951" s="175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76"/>
    </row>
    <row r="952">
      <c r="A952" s="175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76"/>
    </row>
    <row r="953">
      <c r="A953" s="175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76"/>
    </row>
    <row r="954">
      <c r="A954" s="175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76"/>
    </row>
    <row r="955">
      <c r="A955" s="175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76"/>
    </row>
    <row r="956">
      <c r="A956" s="175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76"/>
    </row>
    <row r="957">
      <c r="A957" s="175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76"/>
    </row>
    <row r="958">
      <c r="A958" s="175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76"/>
    </row>
    <row r="959">
      <c r="A959" s="175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76"/>
    </row>
    <row r="960">
      <c r="A960" s="175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76"/>
    </row>
    <row r="961">
      <c r="A961" s="175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76"/>
    </row>
    <row r="962">
      <c r="A962" s="175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76"/>
    </row>
    <row r="963">
      <c r="A963" s="175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76"/>
    </row>
    <row r="964">
      <c r="A964" s="175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76"/>
    </row>
    <row r="965">
      <c r="A965" s="175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76"/>
    </row>
    <row r="966">
      <c r="A966" s="175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76"/>
    </row>
    <row r="967">
      <c r="A967" s="175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76"/>
    </row>
    <row r="968">
      <c r="A968" s="175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76"/>
    </row>
    <row r="969">
      <c r="A969" s="175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76"/>
    </row>
    <row r="970">
      <c r="A970" s="175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76"/>
    </row>
    <row r="971">
      <c r="A971" s="175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76"/>
    </row>
    <row r="972">
      <c r="A972" s="175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76"/>
    </row>
    <row r="973">
      <c r="A973" s="175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76"/>
    </row>
    <row r="974">
      <c r="A974" s="175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76"/>
    </row>
    <row r="975">
      <c r="A975" s="175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76"/>
    </row>
    <row r="976">
      <c r="A976" s="175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76"/>
    </row>
    <row r="977">
      <c r="A977" s="175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76"/>
    </row>
    <row r="978">
      <c r="A978" s="175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76"/>
    </row>
    <row r="979">
      <c r="A979" s="175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76"/>
    </row>
    <row r="980">
      <c r="A980" s="175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76"/>
    </row>
    <row r="981">
      <c r="A981" s="175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76"/>
    </row>
    <row r="982">
      <c r="A982" s="175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76"/>
    </row>
    <row r="983">
      <c r="A983" s="175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76"/>
    </row>
    <row r="984">
      <c r="A984" s="175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76"/>
    </row>
    <row r="985">
      <c r="A985" s="175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76"/>
    </row>
    <row r="986">
      <c r="A986" s="175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76"/>
    </row>
    <row r="987">
      <c r="A987" s="175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76"/>
    </row>
    <row r="988">
      <c r="A988" s="175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76"/>
    </row>
    <row r="989">
      <c r="A989" s="175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76"/>
    </row>
    <row r="990">
      <c r="A990" s="175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76"/>
    </row>
    <row r="991">
      <c r="A991" s="175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76"/>
    </row>
    <row r="992">
      <c r="A992" s="175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76"/>
    </row>
    <row r="993">
      <c r="A993" s="175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76"/>
    </row>
    <row r="994">
      <c r="A994" s="175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76"/>
    </row>
    <row r="995">
      <c r="A995" s="175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76"/>
    </row>
    <row r="996">
      <c r="A996" s="175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76"/>
    </row>
    <row r="997">
      <c r="A997" s="175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76"/>
    </row>
    <row r="998">
      <c r="A998" s="175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76"/>
    </row>
    <row r="999">
      <c r="A999" s="175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76"/>
    </row>
    <row r="1000">
      <c r="A1000" s="175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76"/>
    </row>
    <row r="1001">
      <c r="A1001" s="175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76"/>
    </row>
    <row r="1002">
      <c r="A1002" s="175"/>
      <c r="B1002" s="139"/>
      <c r="C1002" s="139"/>
      <c r="D1002" s="139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76"/>
    </row>
    <row r="1003">
      <c r="A1003" s="175"/>
      <c r="B1003" s="139"/>
      <c r="C1003" s="139"/>
      <c r="D1003" s="139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76"/>
    </row>
    <row r="1004">
      <c r="A1004" s="175"/>
      <c r="B1004" s="139"/>
      <c r="C1004" s="139"/>
      <c r="D1004" s="139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76"/>
    </row>
    <row r="1005">
      <c r="A1005" s="175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76"/>
    </row>
    <row r="1006">
      <c r="A1006" s="175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76"/>
    </row>
    <row r="1007">
      <c r="A1007" s="175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76"/>
    </row>
    <row r="1008">
      <c r="A1008" s="175"/>
      <c r="B1008" s="139"/>
      <c r="C1008" s="139"/>
      <c r="D1008" s="139"/>
      <c r="E1008" s="139"/>
      <c r="F1008" s="139"/>
      <c r="G1008" s="139"/>
      <c r="H1008" s="139"/>
      <c r="I1008" s="139"/>
      <c r="J1008" s="139"/>
      <c r="K1008" s="139"/>
      <c r="L1008" s="139"/>
      <c r="M1008" s="139"/>
      <c r="N1008" s="176"/>
    </row>
    <row r="1009">
      <c r="A1009" s="175"/>
      <c r="B1009" s="139"/>
      <c r="C1009" s="139"/>
      <c r="D1009" s="139"/>
      <c r="E1009" s="139"/>
      <c r="F1009" s="139"/>
      <c r="G1009" s="139"/>
      <c r="H1009" s="139"/>
      <c r="I1009" s="139"/>
      <c r="J1009" s="139"/>
      <c r="K1009" s="139"/>
      <c r="L1009" s="139"/>
      <c r="M1009" s="139"/>
      <c r="N1009" s="176"/>
    </row>
    <row r="1010">
      <c r="A1010" s="175"/>
      <c r="B1010" s="139"/>
      <c r="C1010" s="139"/>
      <c r="D1010" s="139"/>
      <c r="E1010" s="139"/>
      <c r="F1010" s="139"/>
      <c r="G1010" s="139"/>
      <c r="H1010" s="139"/>
      <c r="I1010" s="139"/>
      <c r="J1010" s="139"/>
      <c r="K1010" s="139"/>
      <c r="L1010" s="139"/>
      <c r="M1010" s="139"/>
      <c r="N1010" s="176"/>
    </row>
    <row r="1011">
      <c r="A1011" s="175"/>
      <c r="B1011" s="139"/>
      <c r="C1011" s="139"/>
      <c r="D1011" s="139"/>
      <c r="E1011" s="139"/>
      <c r="F1011" s="139"/>
      <c r="G1011" s="139"/>
      <c r="H1011" s="139"/>
      <c r="I1011" s="139"/>
      <c r="J1011" s="139"/>
      <c r="K1011" s="139"/>
      <c r="L1011" s="139"/>
      <c r="M1011" s="139"/>
      <c r="N1011" s="176"/>
    </row>
    <row r="1012">
      <c r="A1012" s="175"/>
      <c r="B1012" s="139"/>
      <c r="C1012" s="139"/>
      <c r="D1012" s="139"/>
      <c r="E1012" s="139"/>
      <c r="F1012" s="139"/>
      <c r="G1012" s="139"/>
      <c r="H1012" s="139"/>
      <c r="I1012" s="139"/>
      <c r="J1012" s="139"/>
      <c r="K1012" s="139"/>
      <c r="L1012" s="139"/>
      <c r="M1012" s="139"/>
      <c r="N1012" s="176"/>
    </row>
    <row r="1013">
      <c r="A1013" s="175"/>
      <c r="B1013" s="139"/>
      <c r="C1013" s="139"/>
      <c r="D1013" s="139"/>
      <c r="E1013" s="139"/>
      <c r="F1013" s="139"/>
      <c r="G1013" s="139"/>
      <c r="H1013" s="139"/>
      <c r="I1013" s="139"/>
      <c r="J1013" s="139"/>
      <c r="K1013" s="139"/>
      <c r="L1013" s="139"/>
      <c r="M1013" s="139"/>
      <c r="N1013" s="176"/>
    </row>
    <row r="1014">
      <c r="A1014" s="175"/>
      <c r="B1014" s="139"/>
      <c r="C1014" s="139"/>
      <c r="D1014" s="139"/>
      <c r="E1014" s="139"/>
      <c r="F1014" s="139"/>
      <c r="G1014" s="139"/>
      <c r="H1014" s="139"/>
      <c r="I1014" s="139"/>
      <c r="J1014" s="139"/>
      <c r="K1014" s="139"/>
      <c r="L1014" s="139"/>
      <c r="M1014" s="139"/>
      <c r="N1014" s="176"/>
    </row>
    <row r="1015">
      <c r="A1015" s="175"/>
      <c r="B1015" s="139"/>
      <c r="C1015" s="139"/>
      <c r="D1015" s="139"/>
      <c r="E1015" s="139"/>
      <c r="F1015" s="139"/>
      <c r="G1015" s="139"/>
      <c r="H1015" s="139"/>
      <c r="I1015" s="139"/>
      <c r="J1015" s="139"/>
      <c r="K1015" s="139"/>
      <c r="L1015" s="139"/>
      <c r="M1015" s="139"/>
      <c r="N1015" s="176"/>
    </row>
    <row r="1016">
      <c r="A1016" s="175"/>
      <c r="B1016" s="139"/>
      <c r="C1016" s="139"/>
      <c r="D1016" s="139"/>
      <c r="E1016" s="139"/>
      <c r="F1016" s="139"/>
      <c r="G1016" s="139"/>
      <c r="H1016" s="139"/>
      <c r="I1016" s="139"/>
      <c r="J1016" s="139"/>
      <c r="K1016" s="139"/>
      <c r="L1016" s="139"/>
      <c r="M1016" s="139"/>
      <c r="N1016" s="176"/>
    </row>
    <row r="1017">
      <c r="A1017" s="175"/>
      <c r="B1017" s="139"/>
      <c r="C1017" s="139"/>
      <c r="D1017" s="139"/>
      <c r="E1017" s="139"/>
      <c r="F1017" s="139"/>
      <c r="G1017" s="139"/>
      <c r="H1017" s="139"/>
      <c r="I1017" s="139"/>
      <c r="J1017" s="139"/>
      <c r="K1017" s="139"/>
      <c r="L1017" s="139"/>
      <c r="M1017" s="139"/>
      <c r="N1017" s="176"/>
    </row>
    <row r="1018">
      <c r="A1018" s="175"/>
      <c r="B1018" s="139"/>
      <c r="C1018" s="139"/>
      <c r="D1018" s="139"/>
      <c r="E1018" s="139"/>
      <c r="F1018" s="139"/>
      <c r="G1018" s="139"/>
      <c r="H1018" s="139"/>
      <c r="I1018" s="139"/>
      <c r="J1018" s="139"/>
      <c r="K1018" s="139"/>
      <c r="L1018" s="139"/>
      <c r="M1018" s="139"/>
      <c r="N1018" s="176"/>
    </row>
    <row r="1019">
      <c r="A1019" s="175"/>
      <c r="B1019" s="139"/>
      <c r="C1019" s="139"/>
      <c r="D1019" s="139"/>
      <c r="E1019" s="139"/>
      <c r="F1019" s="139"/>
      <c r="G1019" s="139"/>
      <c r="H1019" s="139"/>
      <c r="I1019" s="139"/>
      <c r="J1019" s="139"/>
      <c r="K1019" s="139"/>
      <c r="L1019" s="139"/>
      <c r="M1019" s="139"/>
      <c r="N1019" s="176"/>
    </row>
    <row r="1020">
      <c r="A1020" s="175"/>
      <c r="B1020" s="139"/>
      <c r="C1020" s="139"/>
      <c r="D1020" s="139"/>
      <c r="E1020" s="139"/>
      <c r="F1020" s="139"/>
      <c r="G1020" s="139"/>
      <c r="H1020" s="139"/>
      <c r="I1020" s="139"/>
      <c r="J1020" s="139"/>
      <c r="K1020" s="139"/>
      <c r="L1020" s="139"/>
      <c r="M1020" s="139"/>
      <c r="N1020" s="176"/>
    </row>
    <row r="1021">
      <c r="A1021" s="175"/>
      <c r="B1021" s="139"/>
      <c r="C1021" s="139"/>
      <c r="D1021" s="139"/>
      <c r="E1021" s="139"/>
      <c r="F1021" s="139"/>
      <c r="G1021" s="139"/>
      <c r="H1021" s="139"/>
      <c r="I1021" s="139"/>
      <c r="J1021" s="139"/>
      <c r="K1021" s="139"/>
      <c r="L1021" s="139"/>
      <c r="M1021" s="139"/>
      <c r="N1021" s="176"/>
    </row>
    <row r="1022">
      <c r="A1022" s="175"/>
      <c r="B1022" s="139"/>
      <c r="C1022" s="139"/>
      <c r="D1022" s="139"/>
      <c r="E1022" s="139"/>
      <c r="F1022" s="139"/>
      <c r="G1022" s="139"/>
      <c r="H1022" s="139"/>
      <c r="I1022" s="139"/>
      <c r="J1022" s="139"/>
      <c r="K1022" s="139"/>
      <c r="L1022" s="139"/>
      <c r="M1022" s="139"/>
      <c r="N1022" s="176"/>
    </row>
    <row r="1023">
      <c r="A1023" s="175"/>
      <c r="B1023" s="139"/>
      <c r="C1023" s="139"/>
      <c r="D1023" s="139"/>
      <c r="E1023" s="139"/>
      <c r="F1023" s="139"/>
      <c r="G1023" s="139"/>
      <c r="H1023" s="139"/>
      <c r="I1023" s="139"/>
      <c r="J1023" s="139"/>
      <c r="K1023" s="139"/>
      <c r="L1023" s="139"/>
      <c r="M1023" s="139"/>
      <c r="N1023" s="176"/>
    </row>
    <row r="1024">
      <c r="A1024" s="175"/>
      <c r="B1024" s="139"/>
      <c r="C1024" s="139"/>
      <c r="D1024" s="139"/>
      <c r="E1024" s="139"/>
      <c r="F1024" s="139"/>
      <c r="G1024" s="139"/>
      <c r="H1024" s="139"/>
      <c r="I1024" s="139"/>
      <c r="J1024" s="139"/>
      <c r="K1024" s="139"/>
      <c r="L1024" s="139"/>
      <c r="M1024" s="139"/>
      <c r="N1024" s="176"/>
    </row>
    <row r="1025">
      <c r="A1025" s="175"/>
      <c r="B1025" s="139"/>
      <c r="C1025" s="139"/>
      <c r="D1025" s="139"/>
      <c r="E1025" s="139"/>
      <c r="F1025" s="139"/>
      <c r="G1025" s="139"/>
      <c r="H1025" s="139"/>
      <c r="I1025" s="139"/>
      <c r="J1025" s="139"/>
      <c r="K1025" s="139"/>
      <c r="L1025" s="139"/>
      <c r="M1025" s="139"/>
      <c r="N1025" s="176"/>
    </row>
    <row r="1026">
      <c r="A1026" s="175"/>
      <c r="B1026" s="139"/>
      <c r="C1026" s="139"/>
      <c r="D1026" s="139"/>
      <c r="E1026" s="139"/>
      <c r="F1026" s="139"/>
      <c r="G1026" s="139"/>
      <c r="H1026" s="139"/>
      <c r="I1026" s="139"/>
      <c r="J1026" s="139"/>
      <c r="K1026" s="139"/>
      <c r="L1026" s="139"/>
      <c r="M1026" s="139"/>
      <c r="N1026" s="176"/>
    </row>
    <row r="1027">
      <c r="A1027" s="175"/>
      <c r="B1027" s="139"/>
      <c r="C1027" s="139"/>
      <c r="D1027" s="139"/>
      <c r="E1027" s="139"/>
      <c r="F1027" s="139"/>
      <c r="G1027" s="139"/>
      <c r="H1027" s="139"/>
      <c r="I1027" s="139"/>
      <c r="J1027" s="139"/>
      <c r="K1027" s="139"/>
      <c r="L1027" s="139"/>
      <c r="M1027" s="139"/>
      <c r="N1027" s="176"/>
    </row>
    <row r="1028">
      <c r="A1028" s="175"/>
      <c r="B1028" s="139"/>
      <c r="C1028" s="139"/>
      <c r="D1028" s="139"/>
      <c r="E1028" s="139"/>
      <c r="F1028" s="139"/>
      <c r="G1028" s="139"/>
      <c r="H1028" s="139"/>
      <c r="I1028" s="139"/>
      <c r="J1028" s="139"/>
      <c r="K1028" s="139"/>
      <c r="L1028" s="139"/>
      <c r="M1028" s="139"/>
      <c r="N1028" s="176"/>
    </row>
    <row r="1029">
      <c r="A1029" s="175"/>
      <c r="B1029" s="139"/>
      <c r="C1029" s="139"/>
      <c r="D1029" s="139"/>
      <c r="E1029" s="139"/>
      <c r="F1029" s="139"/>
      <c r="G1029" s="139"/>
      <c r="H1029" s="139"/>
      <c r="I1029" s="139"/>
      <c r="J1029" s="139"/>
      <c r="K1029" s="139"/>
      <c r="L1029" s="139"/>
      <c r="M1029" s="139"/>
      <c r="N1029" s="176"/>
    </row>
    <row r="1030">
      <c r="A1030" s="175"/>
      <c r="B1030" s="139"/>
      <c r="C1030" s="139"/>
      <c r="D1030" s="139"/>
      <c r="E1030" s="139"/>
      <c r="F1030" s="139"/>
      <c r="G1030" s="139"/>
      <c r="H1030" s="139"/>
      <c r="I1030" s="139"/>
      <c r="J1030" s="139"/>
      <c r="K1030" s="139"/>
      <c r="L1030" s="139"/>
      <c r="M1030" s="139"/>
      <c r="N1030" s="176"/>
    </row>
    <row r="1031">
      <c r="A1031" s="175"/>
      <c r="B1031" s="139"/>
      <c r="C1031" s="139"/>
      <c r="D1031" s="139"/>
      <c r="E1031" s="139"/>
      <c r="F1031" s="139"/>
      <c r="G1031" s="139"/>
      <c r="H1031" s="139"/>
      <c r="I1031" s="139"/>
      <c r="J1031" s="139"/>
      <c r="K1031" s="139"/>
      <c r="L1031" s="139"/>
      <c r="M1031" s="139"/>
      <c r="N1031" s="176"/>
    </row>
    <row r="1032">
      <c r="A1032" s="175"/>
      <c r="B1032" s="139"/>
      <c r="C1032" s="139"/>
      <c r="D1032" s="139"/>
      <c r="E1032" s="139"/>
      <c r="F1032" s="139"/>
      <c r="G1032" s="139"/>
      <c r="H1032" s="139"/>
      <c r="I1032" s="139"/>
      <c r="J1032" s="139"/>
      <c r="K1032" s="139"/>
      <c r="L1032" s="139"/>
      <c r="M1032" s="139"/>
      <c r="N1032" s="176"/>
    </row>
    <row r="1033">
      <c r="A1033" s="175"/>
      <c r="B1033" s="139"/>
      <c r="C1033" s="139"/>
      <c r="D1033" s="139"/>
      <c r="E1033" s="139"/>
      <c r="F1033" s="139"/>
      <c r="G1033" s="139"/>
      <c r="H1033" s="139"/>
      <c r="I1033" s="139"/>
      <c r="J1033" s="139"/>
      <c r="K1033" s="139"/>
      <c r="L1033" s="139"/>
      <c r="M1033" s="139"/>
      <c r="N1033" s="176"/>
    </row>
    <row r="1034">
      <c r="A1034" s="175"/>
      <c r="B1034" s="139"/>
      <c r="C1034" s="139"/>
      <c r="D1034" s="139"/>
      <c r="E1034" s="139"/>
      <c r="F1034" s="139"/>
      <c r="G1034" s="139"/>
      <c r="H1034" s="139"/>
      <c r="I1034" s="139"/>
      <c r="J1034" s="139"/>
      <c r="K1034" s="139"/>
      <c r="L1034" s="139"/>
      <c r="M1034" s="139"/>
      <c r="N1034" s="176"/>
    </row>
    <row r="1035">
      <c r="A1035" s="175"/>
      <c r="B1035" s="139"/>
      <c r="C1035" s="139"/>
      <c r="D1035" s="139"/>
      <c r="E1035" s="139"/>
      <c r="F1035" s="139"/>
      <c r="G1035" s="139"/>
      <c r="H1035" s="139"/>
      <c r="I1035" s="139"/>
      <c r="J1035" s="139"/>
      <c r="K1035" s="139"/>
      <c r="L1035" s="139"/>
      <c r="M1035" s="139"/>
      <c r="N1035" s="176"/>
    </row>
    <row r="1036">
      <c r="A1036" s="175"/>
      <c r="B1036" s="139"/>
      <c r="C1036" s="139"/>
      <c r="D1036" s="139"/>
      <c r="E1036" s="139"/>
      <c r="F1036" s="139"/>
      <c r="G1036" s="139"/>
      <c r="H1036" s="139"/>
      <c r="I1036" s="139"/>
      <c r="J1036" s="139"/>
      <c r="K1036" s="139"/>
      <c r="L1036" s="139"/>
      <c r="M1036" s="139"/>
      <c r="N1036" s="176"/>
    </row>
    <row r="1037">
      <c r="A1037" s="175"/>
      <c r="B1037" s="139"/>
      <c r="C1037" s="139"/>
      <c r="D1037" s="139"/>
      <c r="E1037" s="139"/>
      <c r="F1037" s="139"/>
      <c r="G1037" s="139"/>
      <c r="H1037" s="139"/>
      <c r="I1037" s="139"/>
      <c r="J1037" s="139"/>
      <c r="K1037" s="139"/>
      <c r="L1037" s="139"/>
      <c r="M1037" s="139"/>
      <c r="N1037" s="176"/>
    </row>
    <row r="1038">
      <c r="A1038" s="175"/>
      <c r="B1038" s="139"/>
      <c r="C1038" s="139"/>
      <c r="D1038" s="139"/>
      <c r="E1038" s="139"/>
      <c r="F1038" s="139"/>
      <c r="G1038" s="139"/>
      <c r="H1038" s="139"/>
      <c r="I1038" s="139"/>
      <c r="J1038" s="139"/>
      <c r="K1038" s="139"/>
      <c r="L1038" s="139"/>
      <c r="M1038" s="139"/>
      <c r="N1038" s="176"/>
    </row>
    <row r="1039">
      <c r="A1039" s="175"/>
      <c r="B1039" s="139"/>
      <c r="C1039" s="139"/>
      <c r="D1039" s="139"/>
      <c r="E1039" s="139"/>
      <c r="F1039" s="139"/>
      <c r="G1039" s="139"/>
      <c r="H1039" s="139"/>
      <c r="I1039" s="139"/>
      <c r="J1039" s="139"/>
      <c r="K1039" s="139"/>
      <c r="L1039" s="139"/>
      <c r="M1039" s="139"/>
      <c r="N1039" s="176"/>
    </row>
    <row r="1040">
      <c r="A1040" s="175"/>
      <c r="B1040" s="139"/>
      <c r="C1040" s="139"/>
      <c r="D1040" s="139"/>
      <c r="E1040" s="139"/>
      <c r="F1040" s="139"/>
      <c r="G1040" s="139"/>
      <c r="H1040" s="139"/>
      <c r="I1040" s="139"/>
      <c r="J1040" s="139"/>
      <c r="K1040" s="139"/>
      <c r="L1040" s="139"/>
      <c r="M1040" s="139"/>
      <c r="N1040" s="176"/>
    </row>
    <row r="1041">
      <c r="A1041" s="175"/>
      <c r="B1041" s="139"/>
      <c r="C1041" s="139"/>
      <c r="D1041" s="139"/>
      <c r="E1041" s="139"/>
      <c r="F1041" s="139"/>
      <c r="G1041" s="139"/>
      <c r="H1041" s="139"/>
      <c r="I1041" s="139"/>
      <c r="J1041" s="139"/>
      <c r="K1041" s="139"/>
      <c r="L1041" s="139"/>
      <c r="M1041" s="139"/>
      <c r="N1041" s="176"/>
    </row>
    <row r="1042">
      <c r="A1042" s="175"/>
      <c r="B1042" s="139"/>
      <c r="C1042" s="139"/>
      <c r="D1042" s="139"/>
      <c r="E1042" s="139"/>
      <c r="F1042" s="139"/>
      <c r="G1042" s="139"/>
      <c r="H1042" s="139"/>
      <c r="I1042" s="139"/>
      <c r="J1042" s="139"/>
      <c r="K1042" s="139"/>
      <c r="L1042" s="139"/>
      <c r="M1042" s="139"/>
      <c r="N1042" s="176"/>
    </row>
    <row r="1043">
      <c r="A1043" s="175"/>
      <c r="B1043" s="139"/>
      <c r="C1043" s="139"/>
      <c r="D1043" s="139"/>
      <c r="E1043" s="139"/>
      <c r="F1043" s="139"/>
      <c r="G1043" s="139"/>
      <c r="H1043" s="139"/>
      <c r="I1043" s="139"/>
      <c r="J1043" s="139"/>
      <c r="K1043" s="139"/>
      <c r="L1043" s="139"/>
      <c r="M1043" s="139"/>
      <c r="N1043" s="176"/>
    </row>
    <row r="1044">
      <c r="A1044" s="175"/>
      <c r="B1044" s="139"/>
      <c r="C1044" s="139"/>
      <c r="D1044" s="139"/>
      <c r="E1044" s="139"/>
      <c r="F1044" s="139"/>
      <c r="G1044" s="139"/>
      <c r="H1044" s="139"/>
      <c r="I1044" s="139"/>
      <c r="J1044" s="139"/>
      <c r="K1044" s="139"/>
      <c r="L1044" s="139"/>
      <c r="M1044" s="139"/>
      <c r="N1044" s="176"/>
    </row>
    <row r="1045">
      <c r="A1045" s="175"/>
      <c r="B1045" s="139"/>
      <c r="C1045" s="139"/>
      <c r="D1045" s="139"/>
      <c r="E1045" s="139"/>
      <c r="F1045" s="139"/>
      <c r="G1045" s="139"/>
      <c r="H1045" s="139"/>
      <c r="I1045" s="139"/>
      <c r="J1045" s="139"/>
      <c r="K1045" s="139"/>
      <c r="L1045" s="139"/>
      <c r="M1045" s="139"/>
      <c r="N1045" s="176"/>
    </row>
    <row r="1046">
      <c r="A1046" s="175"/>
      <c r="B1046" s="139"/>
      <c r="C1046" s="139"/>
      <c r="D1046" s="139"/>
      <c r="E1046" s="139"/>
      <c r="F1046" s="139"/>
      <c r="G1046" s="139"/>
      <c r="H1046" s="139"/>
      <c r="I1046" s="139"/>
      <c r="J1046" s="139"/>
      <c r="K1046" s="139"/>
      <c r="L1046" s="139"/>
      <c r="M1046" s="139"/>
      <c r="N1046" s="176"/>
    </row>
    <row r="1047">
      <c r="A1047" s="175"/>
      <c r="B1047" s="139"/>
      <c r="C1047" s="139"/>
      <c r="D1047" s="139"/>
      <c r="E1047" s="139"/>
      <c r="F1047" s="139"/>
      <c r="G1047" s="139"/>
      <c r="H1047" s="139"/>
      <c r="I1047" s="139"/>
      <c r="J1047" s="139"/>
      <c r="K1047" s="139"/>
      <c r="L1047" s="139"/>
      <c r="M1047" s="139"/>
      <c r="N1047" s="176"/>
    </row>
    <row r="1048">
      <c r="A1048" s="175"/>
      <c r="B1048" s="139"/>
      <c r="C1048" s="139"/>
      <c r="D1048" s="139"/>
      <c r="E1048" s="139"/>
      <c r="F1048" s="139"/>
      <c r="G1048" s="139"/>
      <c r="H1048" s="139"/>
      <c r="I1048" s="139"/>
      <c r="J1048" s="139"/>
      <c r="K1048" s="139"/>
      <c r="L1048" s="139"/>
      <c r="M1048" s="139"/>
      <c r="N1048" s="176"/>
    </row>
    <row r="1049">
      <c r="A1049" s="175"/>
      <c r="B1049" s="139"/>
      <c r="C1049" s="139"/>
      <c r="D1049" s="139"/>
      <c r="E1049" s="139"/>
      <c r="F1049" s="139"/>
      <c r="G1049" s="139"/>
      <c r="H1049" s="139"/>
      <c r="I1049" s="139"/>
      <c r="J1049" s="139"/>
      <c r="K1049" s="139"/>
      <c r="L1049" s="139"/>
      <c r="M1049" s="139"/>
      <c r="N1049" s="176"/>
    </row>
    <row r="1050">
      <c r="A1050" s="175"/>
      <c r="B1050" s="139"/>
      <c r="C1050" s="139"/>
      <c r="D1050" s="139"/>
      <c r="E1050" s="139"/>
      <c r="F1050" s="139"/>
      <c r="G1050" s="139"/>
      <c r="H1050" s="139"/>
      <c r="I1050" s="139"/>
      <c r="J1050" s="139"/>
      <c r="K1050" s="139"/>
      <c r="L1050" s="139"/>
      <c r="M1050" s="139"/>
      <c r="N1050" s="176"/>
    </row>
    <row r="1051">
      <c r="A1051" s="175"/>
      <c r="B1051" s="139"/>
      <c r="C1051" s="139"/>
      <c r="D1051" s="139"/>
      <c r="E1051" s="139"/>
      <c r="F1051" s="139"/>
      <c r="G1051" s="139"/>
      <c r="H1051" s="139"/>
      <c r="I1051" s="139"/>
      <c r="J1051" s="139"/>
      <c r="K1051" s="139"/>
      <c r="L1051" s="139"/>
      <c r="M1051" s="139"/>
      <c r="N1051" s="176"/>
    </row>
    <row r="1052">
      <c r="A1052" s="175"/>
      <c r="B1052" s="139"/>
      <c r="C1052" s="139"/>
      <c r="D1052" s="139"/>
      <c r="E1052" s="139"/>
      <c r="F1052" s="139"/>
      <c r="G1052" s="139"/>
      <c r="H1052" s="139"/>
      <c r="I1052" s="139"/>
      <c r="J1052" s="139"/>
      <c r="K1052" s="139"/>
      <c r="L1052" s="139"/>
      <c r="M1052" s="139"/>
      <c r="N1052" s="176"/>
    </row>
    <row r="1053">
      <c r="A1053" s="175"/>
      <c r="B1053" s="139"/>
      <c r="C1053" s="139"/>
      <c r="D1053" s="139"/>
      <c r="E1053" s="139"/>
      <c r="F1053" s="139"/>
      <c r="G1053" s="139"/>
      <c r="H1053" s="139"/>
      <c r="I1053" s="139"/>
      <c r="J1053" s="139"/>
      <c r="K1053" s="139"/>
      <c r="L1053" s="139"/>
      <c r="M1053" s="139"/>
      <c r="N1053" s="176"/>
    </row>
    <row r="1054">
      <c r="A1054" s="175"/>
      <c r="B1054" s="139"/>
      <c r="C1054" s="139"/>
      <c r="D1054" s="139"/>
      <c r="E1054" s="139"/>
      <c r="F1054" s="139"/>
      <c r="G1054" s="139"/>
      <c r="H1054" s="139"/>
      <c r="I1054" s="139"/>
      <c r="J1054" s="139"/>
      <c r="K1054" s="139"/>
      <c r="L1054" s="139"/>
      <c r="M1054" s="139"/>
      <c r="N1054" s="176"/>
    </row>
    <row r="1055">
      <c r="A1055" s="175"/>
      <c r="B1055" s="139"/>
      <c r="C1055" s="139"/>
      <c r="D1055" s="139"/>
      <c r="E1055" s="139"/>
      <c r="F1055" s="139"/>
      <c r="G1055" s="139"/>
      <c r="H1055" s="139"/>
      <c r="I1055" s="139"/>
      <c r="J1055" s="139"/>
      <c r="K1055" s="139"/>
      <c r="L1055" s="139"/>
      <c r="M1055" s="139"/>
      <c r="N1055" s="176"/>
    </row>
    <row r="1056">
      <c r="A1056" s="175"/>
      <c r="B1056" s="139"/>
      <c r="C1056" s="139"/>
      <c r="D1056" s="139"/>
      <c r="E1056" s="139"/>
      <c r="F1056" s="139"/>
      <c r="G1056" s="139"/>
      <c r="H1056" s="139"/>
      <c r="I1056" s="139"/>
      <c r="J1056" s="139"/>
      <c r="K1056" s="139"/>
      <c r="L1056" s="139"/>
      <c r="M1056" s="139"/>
      <c r="N1056" s="176"/>
    </row>
    <row r="1057">
      <c r="A1057" s="175"/>
      <c r="B1057" s="139"/>
      <c r="C1057" s="139"/>
      <c r="D1057" s="139"/>
      <c r="E1057" s="139"/>
      <c r="F1057" s="139"/>
      <c r="G1057" s="139"/>
      <c r="H1057" s="139"/>
      <c r="I1057" s="139"/>
      <c r="J1057" s="139"/>
      <c r="K1057" s="139"/>
      <c r="L1057" s="139"/>
      <c r="M1057" s="139"/>
      <c r="N1057" s="176"/>
    </row>
    <row r="1058">
      <c r="A1058" s="175"/>
      <c r="B1058" s="139"/>
      <c r="C1058" s="139"/>
      <c r="D1058" s="139"/>
      <c r="E1058" s="139"/>
      <c r="F1058" s="139"/>
      <c r="G1058" s="139"/>
      <c r="H1058" s="139"/>
      <c r="I1058" s="139"/>
      <c r="J1058" s="139"/>
      <c r="K1058" s="139"/>
      <c r="L1058" s="139"/>
      <c r="M1058" s="139"/>
      <c r="N1058" s="176"/>
    </row>
    <row r="1059">
      <c r="A1059" s="175"/>
      <c r="B1059" s="139"/>
      <c r="C1059" s="139"/>
      <c r="D1059" s="139"/>
      <c r="E1059" s="139"/>
      <c r="F1059" s="139"/>
      <c r="G1059" s="139"/>
      <c r="H1059" s="139"/>
      <c r="I1059" s="139"/>
      <c r="J1059" s="139"/>
      <c r="K1059" s="139"/>
      <c r="L1059" s="139"/>
      <c r="M1059" s="139"/>
      <c r="N1059" s="176"/>
    </row>
    <row r="1060">
      <c r="A1060" s="175"/>
      <c r="B1060" s="139"/>
      <c r="C1060" s="139"/>
      <c r="D1060" s="139"/>
      <c r="E1060" s="139"/>
      <c r="F1060" s="139"/>
      <c r="G1060" s="139"/>
      <c r="H1060" s="139"/>
      <c r="I1060" s="139"/>
      <c r="J1060" s="139"/>
      <c r="K1060" s="139"/>
      <c r="L1060" s="139"/>
      <c r="M1060" s="139"/>
      <c r="N1060" s="176"/>
    </row>
    <row r="1061">
      <c r="A1061" s="175"/>
      <c r="B1061" s="139"/>
      <c r="C1061" s="139"/>
      <c r="D1061" s="139"/>
      <c r="E1061" s="139"/>
      <c r="F1061" s="139"/>
      <c r="G1061" s="139"/>
      <c r="H1061" s="139"/>
      <c r="I1061" s="139"/>
      <c r="J1061" s="139"/>
      <c r="K1061" s="139"/>
      <c r="L1061" s="139"/>
      <c r="M1061" s="139"/>
      <c r="N1061" s="176"/>
    </row>
    <row r="1062">
      <c r="A1062" s="175"/>
      <c r="B1062" s="139"/>
      <c r="C1062" s="139"/>
      <c r="D1062" s="139"/>
      <c r="E1062" s="139"/>
      <c r="F1062" s="139"/>
      <c r="G1062" s="139"/>
      <c r="H1062" s="139"/>
      <c r="I1062" s="139"/>
      <c r="J1062" s="139"/>
      <c r="K1062" s="139"/>
      <c r="L1062" s="139"/>
      <c r="M1062" s="139"/>
      <c r="N1062" s="176"/>
    </row>
    <row r="1063">
      <c r="A1063" s="175"/>
      <c r="B1063" s="139"/>
      <c r="C1063" s="139"/>
      <c r="D1063" s="139"/>
      <c r="E1063" s="139"/>
      <c r="F1063" s="139"/>
      <c r="G1063" s="139"/>
      <c r="H1063" s="139"/>
      <c r="I1063" s="139"/>
      <c r="J1063" s="139"/>
      <c r="K1063" s="139"/>
      <c r="L1063" s="139"/>
      <c r="M1063" s="139"/>
      <c r="N1063" s="176"/>
    </row>
    <row r="1064">
      <c r="A1064" s="175"/>
      <c r="B1064" s="139"/>
      <c r="C1064" s="139"/>
      <c r="D1064" s="139"/>
      <c r="E1064" s="139"/>
      <c r="F1064" s="139"/>
      <c r="G1064" s="139"/>
      <c r="H1064" s="139"/>
      <c r="I1064" s="139"/>
      <c r="J1064" s="139"/>
      <c r="K1064" s="139"/>
      <c r="L1064" s="139"/>
      <c r="M1064" s="139"/>
      <c r="N1064" s="176"/>
    </row>
    <row r="1065">
      <c r="A1065" s="175"/>
      <c r="B1065" s="139"/>
      <c r="C1065" s="139"/>
      <c r="D1065" s="139"/>
      <c r="E1065" s="139"/>
      <c r="F1065" s="139"/>
      <c r="G1065" s="139"/>
      <c r="H1065" s="139"/>
      <c r="I1065" s="139"/>
      <c r="J1065" s="139"/>
      <c r="K1065" s="139"/>
      <c r="L1065" s="139"/>
      <c r="M1065" s="139"/>
      <c r="N1065" s="176"/>
    </row>
    <row r="1066">
      <c r="A1066" s="175"/>
      <c r="B1066" s="139"/>
      <c r="C1066" s="139"/>
      <c r="D1066" s="139"/>
      <c r="E1066" s="139"/>
      <c r="F1066" s="139"/>
      <c r="G1066" s="139"/>
      <c r="H1066" s="139"/>
      <c r="I1066" s="139"/>
      <c r="J1066" s="139"/>
      <c r="K1066" s="139"/>
      <c r="L1066" s="139"/>
      <c r="M1066" s="139"/>
      <c r="N1066" s="176"/>
    </row>
    <row r="1067">
      <c r="A1067" s="175"/>
      <c r="B1067" s="139"/>
      <c r="C1067" s="139"/>
      <c r="D1067" s="139"/>
      <c r="E1067" s="139"/>
      <c r="F1067" s="139"/>
      <c r="G1067" s="139"/>
      <c r="H1067" s="139"/>
      <c r="I1067" s="139"/>
      <c r="J1067" s="139"/>
      <c r="K1067" s="139"/>
      <c r="L1067" s="139"/>
      <c r="M1067" s="139"/>
      <c r="N1067" s="176"/>
    </row>
    <row r="1068">
      <c r="A1068" s="175"/>
      <c r="B1068" s="139"/>
      <c r="C1068" s="139"/>
      <c r="D1068" s="139"/>
      <c r="E1068" s="139"/>
      <c r="F1068" s="139"/>
      <c r="G1068" s="139"/>
      <c r="H1068" s="139"/>
      <c r="I1068" s="139"/>
      <c r="J1068" s="139"/>
      <c r="K1068" s="139"/>
      <c r="L1068" s="139"/>
      <c r="M1068" s="139"/>
      <c r="N1068" s="176"/>
    </row>
    <row r="1069">
      <c r="A1069" s="175"/>
      <c r="B1069" s="139"/>
      <c r="C1069" s="139"/>
      <c r="D1069" s="139"/>
      <c r="E1069" s="139"/>
      <c r="F1069" s="139"/>
      <c r="G1069" s="139"/>
      <c r="H1069" s="139"/>
      <c r="I1069" s="139"/>
      <c r="J1069" s="139"/>
      <c r="K1069" s="139"/>
      <c r="L1069" s="139"/>
      <c r="M1069" s="139"/>
      <c r="N1069" s="176"/>
    </row>
    <row r="1070">
      <c r="A1070" s="175"/>
      <c r="B1070" s="139"/>
      <c r="C1070" s="139"/>
      <c r="D1070" s="139"/>
      <c r="E1070" s="139"/>
      <c r="F1070" s="139"/>
      <c r="G1070" s="139"/>
      <c r="H1070" s="139"/>
      <c r="I1070" s="139"/>
      <c r="J1070" s="139"/>
      <c r="K1070" s="139"/>
      <c r="L1070" s="139"/>
      <c r="M1070" s="139"/>
      <c r="N1070" s="176"/>
    </row>
    <row r="1071">
      <c r="A1071" s="175"/>
      <c r="B1071" s="139"/>
      <c r="C1071" s="139"/>
      <c r="D1071" s="139"/>
      <c r="E1071" s="139"/>
      <c r="F1071" s="139"/>
      <c r="G1071" s="139"/>
      <c r="H1071" s="139"/>
      <c r="I1071" s="139"/>
      <c r="J1071" s="139"/>
      <c r="K1071" s="139"/>
      <c r="L1071" s="139"/>
      <c r="M1071" s="139"/>
      <c r="N1071" s="176"/>
    </row>
    <row r="1072">
      <c r="A1072" s="175"/>
      <c r="B1072" s="139"/>
      <c r="C1072" s="139"/>
      <c r="D1072" s="139"/>
      <c r="E1072" s="139"/>
      <c r="F1072" s="139"/>
      <c r="G1072" s="139"/>
      <c r="H1072" s="139"/>
      <c r="I1072" s="139"/>
      <c r="J1072" s="139"/>
      <c r="K1072" s="139"/>
      <c r="L1072" s="139"/>
      <c r="M1072" s="139"/>
      <c r="N1072" s="176"/>
    </row>
    <row r="1073">
      <c r="A1073" s="175"/>
      <c r="B1073" s="139"/>
      <c r="C1073" s="139"/>
      <c r="D1073" s="139"/>
      <c r="E1073" s="139"/>
      <c r="F1073" s="139"/>
      <c r="G1073" s="139"/>
      <c r="H1073" s="139"/>
      <c r="I1073" s="139"/>
      <c r="J1073" s="139"/>
      <c r="K1073" s="139"/>
      <c r="L1073" s="139"/>
      <c r="M1073" s="139"/>
      <c r="N1073" s="176"/>
    </row>
    <row r="1074">
      <c r="A1074" s="175"/>
      <c r="B1074" s="139"/>
      <c r="C1074" s="139"/>
      <c r="D1074" s="139"/>
      <c r="E1074" s="139"/>
      <c r="F1074" s="139"/>
      <c r="G1074" s="139"/>
      <c r="H1074" s="139"/>
      <c r="I1074" s="139"/>
      <c r="J1074" s="139"/>
      <c r="K1074" s="139"/>
      <c r="L1074" s="139"/>
      <c r="M1074" s="139"/>
      <c r="N1074" s="176"/>
    </row>
    <row r="1075">
      <c r="A1075" s="175"/>
      <c r="B1075" s="139"/>
      <c r="C1075" s="139"/>
      <c r="D1075" s="139"/>
      <c r="E1075" s="139"/>
      <c r="F1075" s="139"/>
      <c r="G1075" s="139"/>
      <c r="H1075" s="139"/>
      <c r="I1075" s="139"/>
      <c r="J1075" s="139"/>
      <c r="K1075" s="139"/>
      <c r="L1075" s="139"/>
      <c r="M1075" s="139"/>
      <c r="N1075" s="176"/>
    </row>
    <row r="1076">
      <c r="A1076" s="175"/>
      <c r="B1076" s="139"/>
      <c r="C1076" s="139"/>
      <c r="D1076" s="139"/>
      <c r="E1076" s="139"/>
      <c r="F1076" s="139"/>
      <c r="G1076" s="139"/>
      <c r="H1076" s="139"/>
      <c r="I1076" s="139"/>
      <c r="J1076" s="139"/>
      <c r="K1076" s="139"/>
      <c r="L1076" s="139"/>
      <c r="M1076" s="139"/>
      <c r="N1076" s="176"/>
    </row>
    <row r="1077">
      <c r="A1077" s="175"/>
      <c r="B1077" s="139"/>
      <c r="C1077" s="139"/>
      <c r="D1077" s="139"/>
      <c r="E1077" s="139"/>
      <c r="F1077" s="139"/>
      <c r="G1077" s="139"/>
      <c r="H1077" s="139"/>
      <c r="I1077" s="139"/>
      <c r="J1077" s="139"/>
      <c r="K1077" s="139"/>
      <c r="L1077" s="139"/>
      <c r="M1077" s="139"/>
      <c r="N1077" s="176"/>
    </row>
    <row r="1078">
      <c r="A1078" s="175"/>
      <c r="B1078" s="139"/>
      <c r="C1078" s="139"/>
      <c r="D1078" s="139"/>
      <c r="E1078" s="139"/>
      <c r="F1078" s="139"/>
      <c r="G1078" s="139"/>
      <c r="H1078" s="139"/>
      <c r="I1078" s="139"/>
      <c r="J1078" s="139"/>
      <c r="K1078" s="139"/>
      <c r="L1078" s="139"/>
      <c r="M1078" s="139"/>
      <c r="N1078" s="176"/>
    </row>
    <row r="1079">
      <c r="A1079" s="175"/>
      <c r="B1079" s="139"/>
      <c r="C1079" s="139"/>
      <c r="D1079" s="139"/>
      <c r="E1079" s="139"/>
      <c r="F1079" s="139"/>
      <c r="G1079" s="139"/>
      <c r="H1079" s="139"/>
      <c r="I1079" s="139"/>
      <c r="J1079" s="139"/>
      <c r="K1079" s="139"/>
      <c r="L1079" s="139"/>
      <c r="M1079" s="139"/>
      <c r="N1079" s="176"/>
    </row>
    <row r="1080">
      <c r="A1080" s="175"/>
      <c r="B1080" s="139"/>
      <c r="C1080" s="139"/>
      <c r="D1080" s="139"/>
      <c r="E1080" s="139"/>
      <c r="F1080" s="139"/>
      <c r="G1080" s="139"/>
      <c r="H1080" s="139"/>
      <c r="I1080" s="139"/>
      <c r="J1080" s="139"/>
      <c r="K1080" s="139"/>
      <c r="L1080" s="139"/>
      <c r="M1080" s="139"/>
      <c r="N1080" s="176"/>
    </row>
    <row r="1081">
      <c r="A1081" s="175"/>
      <c r="B1081" s="139"/>
      <c r="C1081" s="139"/>
      <c r="D1081" s="139"/>
      <c r="E1081" s="139"/>
      <c r="F1081" s="139"/>
      <c r="G1081" s="139"/>
      <c r="H1081" s="139"/>
      <c r="I1081" s="139"/>
      <c r="J1081" s="139"/>
      <c r="K1081" s="139"/>
      <c r="L1081" s="139"/>
      <c r="M1081" s="139"/>
      <c r="N1081" s="176"/>
    </row>
    <row r="1082">
      <c r="A1082" s="175"/>
      <c r="B1082" s="139"/>
      <c r="C1082" s="139"/>
      <c r="D1082" s="139"/>
      <c r="E1082" s="139"/>
      <c r="F1082" s="139"/>
      <c r="G1082" s="139"/>
      <c r="H1082" s="139"/>
      <c r="I1082" s="139"/>
      <c r="J1082" s="139"/>
      <c r="K1082" s="139"/>
      <c r="L1082" s="139"/>
      <c r="M1082" s="139"/>
      <c r="N1082" s="176"/>
    </row>
    <row r="1083">
      <c r="A1083" s="175"/>
      <c r="B1083" s="139"/>
      <c r="C1083" s="139"/>
      <c r="D1083" s="139"/>
      <c r="E1083" s="139"/>
      <c r="F1083" s="139"/>
      <c r="G1083" s="139"/>
      <c r="H1083" s="139"/>
      <c r="I1083" s="139"/>
      <c r="J1083" s="139"/>
      <c r="K1083" s="139"/>
      <c r="L1083" s="139"/>
      <c r="M1083" s="139"/>
      <c r="N1083" s="176"/>
    </row>
    <row r="1084">
      <c r="A1084" s="175"/>
      <c r="B1084" s="139"/>
      <c r="C1084" s="139"/>
      <c r="D1084" s="139"/>
      <c r="E1084" s="139"/>
      <c r="F1084" s="139"/>
      <c r="G1084" s="139"/>
      <c r="H1084" s="139"/>
      <c r="I1084" s="139"/>
      <c r="J1084" s="139"/>
      <c r="K1084" s="139"/>
      <c r="L1084" s="139"/>
      <c r="M1084" s="139"/>
      <c r="N1084" s="176"/>
    </row>
    <row r="1085">
      <c r="A1085" s="175"/>
      <c r="B1085" s="139"/>
      <c r="C1085" s="139"/>
      <c r="D1085" s="139"/>
      <c r="E1085" s="139"/>
      <c r="F1085" s="139"/>
      <c r="G1085" s="139"/>
      <c r="H1085" s="139"/>
      <c r="I1085" s="139"/>
      <c r="J1085" s="139"/>
      <c r="K1085" s="139"/>
      <c r="L1085" s="139"/>
      <c r="M1085" s="139"/>
      <c r="N1085" s="176"/>
    </row>
    <row r="1086">
      <c r="A1086" s="175"/>
      <c r="B1086" s="139"/>
      <c r="C1086" s="139"/>
      <c r="D1086" s="139"/>
      <c r="E1086" s="139"/>
      <c r="F1086" s="139"/>
      <c r="G1086" s="139"/>
      <c r="H1086" s="139"/>
      <c r="I1086" s="139"/>
      <c r="J1086" s="139"/>
      <c r="K1086" s="139"/>
      <c r="L1086" s="139"/>
      <c r="M1086" s="139"/>
      <c r="N1086" s="176"/>
    </row>
    <row r="1087">
      <c r="A1087" s="175"/>
      <c r="B1087" s="139"/>
      <c r="C1087" s="139"/>
      <c r="D1087" s="139"/>
      <c r="E1087" s="139"/>
      <c r="F1087" s="139"/>
      <c r="G1087" s="139"/>
      <c r="H1087" s="139"/>
      <c r="I1087" s="139"/>
      <c r="J1087" s="139"/>
      <c r="K1087" s="139"/>
      <c r="L1087" s="139"/>
      <c r="M1087" s="139"/>
      <c r="N1087" s="176"/>
    </row>
    <row r="1088">
      <c r="A1088" s="175"/>
      <c r="B1088" s="139"/>
      <c r="C1088" s="139"/>
      <c r="D1088" s="139"/>
      <c r="E1088" s="139"/>
      <c r="F1088" s="139"/>
      <c r="G1088" s="139"/>
      <c r="H1088" s="139"/>
      <c r="I1088" s="139"/>
      <c r="J1088" s="139"/>
      <c r="K1088" s="139"/>
      <c r="L1088" s="139"/>
      <c r="M1088" s="139"/>
      <c r="N1088" s="176"/>
    </row>
    <row r="1089">
      <c r="A1089" s="175"/>
      <c r="B1089" s="139"/>
      <c r="C1089" s="139"/>
      <c r="D1089" s="139"/>
      <c r="E1089" s="139"/>
      <c r="F1089" s="139"/>
      <c r="G1089" s="139"/>
      <c r="H1089" s="139"/>
      <c r="I1089" s="139"/>
      <c r="J1089" s="139"/>
      <c r="K1089" s="139"/>
      <c r="L1089" s="139"/>
      <c r="M1089" s="139"/>
      <c r="N1089" s="176"/>
    </row>
    <row r="1090">
      <c r="A1090" s="175"/>
      <c r="B1090" s="139"/>
      <c r="C1090" s="139"/>
      <c r="D1090" s="139"/>
      <c r="E1090" s="139"/>
      <c r="F1090" s="139"/>
      <c r="G1090" s="139"/>
      <c r="H1090" s="139"/>
      <c r="I1090" s="139"/>
      <c r="J1090" s="139"/>
      <c r="K1090" s="139"/>
      <c r="L1090" s="139"/>
      <c r="M1090" s="139"/>
      <c r="N1090" s="176"/>
    </row>
    <row r="1091">
      <c r="A1091" s="175"/>
      <c r="B1091" s="139"/>
      <c r="C1091" s="139"/>
      <c r="D1091" s="139"/>
      <c r="E1091" s="139"/>
      <c r="F1091" s="139"/>
      <c r="G1091" s="139"/>
      <c r="H1091" s="139"/>
      <c r="I1091" s="139"/>
      <c r="J1091" s="139"/>
      <c r="K1091" s="139"/>
      <c r="L1091" s="139"/>
      <c r="M1091" s="139"/>
      <c r="N1091" s="176"/>
    </row>
    <row r="1092">
      <c r="A1092" s="175"/>
      <c r="B1092" s="139"/>
      <c r="C1092" s="139"/>
      <c r="D1092" s="139"/>
      <c r="E1092" s="139"/>
      <c r="F1092" s="139"/>
      <c r="G1092" s="139"/>
      <c r="H1092" s="139"/>
      <c r="I1092" s="139"/>
      <c r="J1092" s="139"/>
      <c r="K1092" s="139"/>
      <c r="L1092" s="139"/>
      <c r="M1092" s="139"/>
      <c r="N1092" s="176"/>
    </row>
    <row r="1093">
      <c r="A1093" s="175"/>
      <c r="B1093" s="139"/>
      <c r="C1093" s="139"/>
      <c r="D1093" s="139"/>
      <c r="E1093" s="139"/>
      <c r="F1093" s="139"/>
      <c r="G1093" s="139"/>
      <c r="H1093" s="139"/>
      <c r="I1093" s="139"/>
      <c r="J1093" s="139"/>
      <c r="K1093" s="139"/>
      <c r="L1093" s="139"/>
      <c r="M1093" s="139"/>
      <c r="N1093" s="176"/>
    </row>
    <row r="1094">
      <c r="A1094" s="175"/>
      <c r="B1094" s="139"/>
      <c r="C1094" s="139"/>
      <c r="D1094" s="139"/>
      <c r="E1094" s="139"/>
      <c r="F1094" s="139"/>
      <c r="G1094" s="139"/>
      <c r="H1094" s="139"/>
      <c r="I1094" s="139"/>
      <c r="J1094" s="139"/>
      <c r="K1094" s="139"/>
      <c r="L1094" s="139"/>
      <c r="M1094" s="139"/>
      <c r="N1094" s="176"/>
    </row>
    <row r="1095">
      <c r="A1095" s="175"/>
      <c r="B1095" s="139"/>
      <c r="C1095" s="139"/>
      <c r="D1095" s="139"/>
      <c r="E1095" s="139"/>
      <c r="F1095" s="139"/>
      <c r="G1095" s="139"/>
      <c r="H1095" s="139"/>
      <c r="I1095" s="139"/>
      <c r="J1095" s="139"/>
      <c r="K1095" s="139"/>
      <c r="L1095" s="139"/>
      <c r="M1095" s="139"/>
      <c r="N1095" s="176"/>
    </row>
    <row r="1096">
      <c r="A1096" s="175"/>
      <c r="B1096" s="139"/>
      <c r="C1096" s="139"/>
      <c r="D1096" s="139"/>
      <c r="E1096" s="139"/>
      <c r="F1096" s="139"/>
      <c r="G1096" s="139"/>
      <c r="H1096" s="139"/>
      <c r="I1096" s="139"/>
      <c r="J1096" s="139"/>
      <c r="K1096" s="139"/>
      <c r="L1096" s="139"/>
      <c r="M1096" s="139"/>
      <c r="N1096" s="176"/>
    </row>
    <row r="1097">
      <c r="A1097" s="175"/>
      <c r="B1097" s="139"/>
      <c r="C1097" s="139"/>
      <c r="D1097" s="139"/>
      <c r="E1097" s="139"/>
      <c r="F1097" s="139"/>
      <c r="G1097" s="139"/>
      <c r="H1097" s="139"/>
      <c r="I1097" s="139"/>
      <c r="J1097" s="139"/>
      <c r="K1097" s="139"/>
      <c r="L1097" s="139"/>
      <c r="M1097" s="139"/>
      <c r="N1097" s="176"/>
    </row>
    <row r="1098">
      <c r="A1098" s="175"/>
      <c r="B1098" s="139"/>
      <c r="C1098" s="139"/>
      <c r="D1098" s="139"/>
      <c r="E1098" s="139"/>
      <c r="F1098" s="139"/>
      <c r="G1098" s="139"/>
      <c r="H1098" s="139"/>
      <c r="I1098" s="139"/>
      <c r="J1098" s="139"/>
      <c r="K1098" s="139"/>
      <c r="L1098" s="139"/>
      <c r="M1098" s="139"/>
      <c r="N1098" s="176"/>
    </row>
    <row r="1099">
      <c r="A1099" s="175"/>
      <c r="B1099" s="139"/>
      <c r="C1099" s="139"/>
      <c r="D1099" s="139"/>
      <c r="E1099" s="139"/>
      <c r="F1099" s="139"/>
      <c r="G1099" s="139"/>
      <c r="H1099" s="139"/>
      <c r="I1099" s="139"/>
      <c r="J1099" s="139"/>
      <c r="K1099" s="139"/>
      <c r="L1099" s="139"/>
      <c r="M1099" s="139"/>
      <c r="N1099" s="176"/>
    </row>
    <row r="1100">
      <c r="A1100" s="175"/>
      <c r="B1100" s="139"/>
      <c r="C1100" s="139"/>
      <c r="D1100" s="139"/>
      <c r="E1100" s="139"/>
      <c r="F1100" s="139"/>
      <c r="G1100" s="139"/>
      <c r="H1100" s="139"/>
      <c r="I1100" s="139"/>
      <c r="J1100" s="139"/>
      <c r="K1100" s="139"/>
      <c r="L1100" s="139"/>
      <c r="M1100" s="139"/>
      <c r="N1100" s="176"/>
    </row>
    <row r="1101">
      <c r="A1101" s="175"/>
      <c r="B1101" s="139"/>
      <c r="C1101" s="139"/>
      <c r="D1101" s="139"/>
      <c r="E1101" s="139"/>
      <c r="F1101" s="139"/>
      <c r="G1101" s="139"/>
      <c r="H1101" s="139"/>
      <c r="I1101" s="139"/>
      <c r="J1101" s="139"/>
      <c r="K1101" s="139"/>
      <c r="L1101" s="139"/>
      <c r="M1101" s="139"/>
      <c r="N1101" s="176"/>
    </row>
    <row r="1102">
      <c r="A1102" s="175"/>
      <c r="B1102" s="139"/>
      <c r="C1102" s="139"/>
      <c r="D1102" s="139"/>
      <c r="E1102" s="139"/>
      <c r="F1102" s="139"/>
      <c r="G1102" s="139"/>
      <c r="H1102" s="139"/>
      <c r="I1102" s="139"/>
      <c r="J1102" s="139"/>
      <c r="K1102" s="139"/>
      <c r="L1102" s="139"/>
      <c r="M1102" s="139"/>
      <c r="N1102" s="176"/>
    </row>
    <row r="1103">
      <c r="A1103" s="175"/>
      <c r="B1103" s="139"/>
      <c r="C1103" s="139"/>
      <c r="D1103" s="139"/>
      <c r="E1103" s="139"/>
      <c r="F1103" s="139"/>
      <c r="G1103" s="139"/>
      <c r="H1103" s="139"/>
      <c r="I1103" s="139"/>
      <c r="J1103" s="139"/>
      <c r="K1103" s="139"/>
      <c r="L1103" s="139"/>
      <c r="M1103" s="139"/>
      <c r="N1103" s="176"/>
    </row>
    <row r="1104">
      <c r="A1104" s="175"/>
      <c r="B1104" s="139"/>
      <c r="C1104" s="139"/>
      <c r="D1104" s="139"/>
      <c r="E1104" s="139"/>
      <c r="F1104" s="139"/>
      <c r="G1104" s="139"/>
      <c r="H1104" s="139"/>
      <c r="I1104" s="139"/>
      <c r="J1104" s="139"/>
      <c r="K1104" s="139"/>
      <c r="L1104" s="139"/>
      <c r="M1104" s="139"/>
      <c r="N1104" s="176"/>
    </row>
    <row r="1105">
      <c r="A1105" s="175"/>
      <c r="B1105" s="139"/>
      <c r="C1105" s="139"/>
      <c r="D1105" s="139"/>
      <c r="E1105" s="139"/>
      <c r="F1105" s="139"/>
      <c r="G1105" s="139"/>
      <c r="H1105" s="139"/>
      <c r="I1105" s="139"/>
      <c r="J1105" s="139"/>
      <c r="K1105" s="139"/>
      <c r="L1105" s="139"/>
      <c r="M1105" s="139"/>
      <c r="N1105" s="176"/>
    </row>
    <row r="1106">
      <c r="A1106" s="175"/>
      <c r="B1106" s="139"/>
      <c r="C1106" s="139"/>
      <c r="D1106" s="139"/>
      <c r="E1106" s="139"/>
      <c r="F1106" s="139"/>
      <c r="G1106" s="139"/>
      <c r="H1106" s="139"/>
      <c r="I1106" s="139"/>
      <c r="J1106" s="139"/>
      <c r="K1106" s="139"/>
      <c r="L1106" s="139"/>
      <c r="M1106" s="139"/>
      <c r="N1106" s="176"/>
    </row>
    <row r="1107">
      <c r="A1107" s="175"/>
      <c r="B1107" s="139"/>
      <c r="C1107" s="139"/>
      <c r="D1107" s="139"/>
      <c r="E1107" s="139"/>
      <c r="F1107" s="139"/>
      <c r="G1107" s="139"/>
      <c r="H1107" s="139"/>
      <c r="I1107" s="139"/>
      <c r="J1107" s="139"/>
      <c r="K1107" s="139"/>
      <c r="L1107" s="139"/>
      <c r="M1107" s="139"/>
      <c r="N1107" s="176"/>
    </row>
    <row r="1108">
      <c r="A1108" s="175"/>
      <c r="B1108" s="139"/>
      <c r="C1108" s="139"/>
      <c r="D1108" s="139"/>
      <c r="E1108" s="139"/>
      <c r="F1108" s="139"/>
      <c r="G1108" s="139"/>
      <c r="H1108" s="139"/>
      <c r="I1108" s="139"/>
      <c r="J1108" s="139"/>
      <c r="K1108" s="139"/>
      <c r="L1108" s="139"/>
      <c r="M1108" s="139"/>
      <c r="N1108" s="176"/>
    </row>
    <row r="1109">
      <c r="A1109" s="175"/>
      <c r="B1109" s="139"/>
      <c r="C1109" s="139"/>
      <c r="D1109" s="139"/>
      <c r="E1109" s="139"/>
      <c r="F1109" s="139"/>
      <c r="G1109" s="139"/>
      <c r="H1109" s="139"/>
      <c r="I1109" s="139"/>
      <c r="J1109" s="139"/>
      <c r="K1109" s="139"/>
      <c r="L1109" s="139"/>
      <c r="M1109" s="139"/>
      <c r="N1109" s="176"/>
    </row>
    <row r="1110">
      <c r="A1110" s="175"/>
      <c r="B1110" s="139"/>
      <c r="C1110" s="139"/>
      <c r="D1110" s="139"/>
      <c r="E1110" s="139"/>
      <c r="F1110" s="139"/>
      <c r="G1110" s="139"/>
      <c r="H1110" s="139"/>
      <c r="I1110" s="139"/>
      <c r="J1110" s="139"/>
      <c r="K1110" s="139"/>
      <c r="L1110" s="139"/>
      <c r="M1110" s="139"/>
      <c r="N1110" s="176"/>
    </row>
    <row r="1111">
      <c r="A1111" s="175"/>
      <c r="B1111" s="139"/>
      <c r="C1111" s="139"/>
      <c r="D1111" s="139"/>
      <c r="E1111" s="139"/>
      <c r="F1111" s="139"/>
      <c r="G1111" s="139"/>
      <c r="H1111" s="139"/>
      <c r="I1111" s="139"/>
      <c r="J1111" s="139"/>
      <c r="K1111" s="139"/>
      <c r="L1111" s="139"/>
      <c r="M1111" s="139"/>
      <c r="N1111" s="176"/>
    </row>
    <row r="1112">
      <c r="A1112" s="175"/>
      <c r="B1112" s="139"/>
      <c r="C1112" s="139"/>
      <c r="D1112" s="139"/>
      <c r="E1112" s="139"/>
      <c r="F1112" s="139"/>
      <c r="G1112" s="139"/>
      <c r="H1112" s="139"/>
      <c r="I1112" s="139"/>
      <c r="J1112" s="139"/>
      <c r="K1112" s="139"/>
      <c r="L1112" s="139"/>
      <c r="M1112" s="139"/>
      <c r="N1112" s="176"/>
    </row>
    <row r="1113">
      <c r="A1113" s="175"/>
      <c r="B1113" s="139"/>
      <c r="C1113" s="139"/>
      <c r="D1113" s="139"/>
      <c r="E1113" s="139"/>
      <c r="F1113" s="139"/>
      <c r="G1113" s="139"/>
      <c r="H1113" s="139"/>
      <c r="I1113" s="139"/>
      <c r="J1113" s="139"/>
      <c r="K1113" s="139"/>
      <c r="L1113" s="139"/>
      <c r="M1113" s="139"/>
      <c r="N1113" s="176"/>
    </row>
    <row r="1114">
      <c r="A1114" s="175"/>
      <c r="B1114" s="139"/>
      <c r="C1114" s="139"/>
      <c r="D1114" s="139"/>
      <c r="E1114" s="139"/>
      <c r="F1114" s="139"/>
      <c r="G1114" s="139"/>
      <c r="H1114" s="139"/>
      <c r="I1114" s="139"/>
      <c r="J1114" s="139"/>
      <c r="K1114" s="139"/>
      <c r="L1114" s="139"/>
      <c r="M1114" s="139"/>
      <c r="N1114" s="176"/>
    </row>
    <row r="1115">
      <c r="A1115" s="175"/>
      <c r="B1115" s="139"/>
      <c r="C1115" s="139"/>
      <c r="D1115" s="139"/>
      <c r="E1115" s="139"/>
      <c r="F1115" s="139"/>
      <c r="G1115" s="139"/>
      <c r="H1115" s="139"/>
      <c r="I1115" s="139"/>
      <c r="J1115" s="139"/>
      <c r="K1115" s="139"/>
      <c r="L1115" s="139"/>
      <c r="M1115" s="139"/>
      <c r="N1115" s="176"/>
    </row>
    <row r="1116">
      <c r="A1116" s="175"/>
      <c r="B1116" s="139"/>
      <c r="C1116" s="139"/>
      <c r="D1116" s="139"/>
      <c r="E1116" s="139"/>
      <c r="F1116" s="139"/>
      <c r="G1116" s="139"/>
      <c r="H1116" s="139"/>
      <c r="I1116" s="139"/>
      <c r="J1116" s="139"/>
      <c r="K1116" s="139"/>
      <c r="L1116" s="139"/>
      <c r="M1116" s="139"/>
      <c r="N1116" s="176"/>
    </row>
    <row r="1117">
      <c r="A1117" s="175"/>
      <c r="B1117" s="139"/>
      <c r="C1117" s="139"/>
      <c r="D1117" s="139"/>
      <c r="E1117" s="139"/>
      <c r="F1117" s="139"/>
      <c r="G1117" s="139"/>
      <c r="H1117" s="139"/>
      <c r="I1117" s="139"/>
      <c r="J1117" s="139"/>
      <c r="K1117" s="139"/>
      <c r="L1117" s="139"/>
      <c r="M1117" s="139"/>
      <c r="N1117" s="176"/>
    </row>
    <row r="1118">
      <c r="A1118" s="175"/>
      <c r="B1118" s="139"/>
      <c r="C1118" s="139"/>
      <c r="D1118" s="139"/>
      <c r="E1118" s="139"/>
      <c r="F1118" s="139"/>
      <c r="G1118" s="139"/>
      <c r="H1118" s="139"/>
      <c r="I1118" s="139"/>
      <c r="J1118" s="139"/>
      <c r="K1118" s="139"/>
      <c r="L1118" s="139"/>
      <c r="M1118" s="139"/>
      <c r="N1118" s="176"/>
    </row>
    <row r="1119">
      <c r="A1119" s="175"/>
      <c r="B1119" s="139"/>
      <c r="C1119" s="139"/>
      <c r="D1119" s="139"/>
      <c r="E1119" s="139"/>
      <c r="F1119" s="139"/>
      <c r="G1119" s="139"/>
      <c r="H1119" s="139"/>
      <c r="I1119" s="139"/>
      <c r="J1119" s="139"/>
      <c r="K1119" s="139"/>
      <c r="L1119" s="139"/>
      <c r="M1119" s="139"/>
      <c r="N1119" s="176"/>
    </row>
    <row r="1120">
      <c r="A1120" s="175"/>
      <c r="B1120" s="139"/>
      <c r="C1120" s="139"/>
      <c r="D1120" s="139"/>
      <c r="E1120" s="139"/>
      <c r="F1120" s="139"/>
      <c r="G1120" s="139"/>
      <c r="H1120" s="139"/>
      <c r="I1120" s="139"/>
      <c r="J1120" s="139"/>
      <c r="K1120" s="139"/>
      <c r="L1120" s="139"/>
      <c r="M1120" s="139"/>
      <c r="N1120" s="176"/>
    </row>
    <row r="1121">
      <c r="A1121" s="175"/>
      <c r="B1121" s="139"/>
      <c r="C1121" s="139"/>
      <c r="D1121" s="139"/>
      <c r="E1121" s="139"/>
      <c r="F1121" s="139"/>
      <c r="G1121" s="139"/>
      <c r="H1121" s="139"/>
      <c r="I1121" s="139"/>
      <c r="J1121" s="139"/>
      <c r="K1121" s="139"/>
      <c r="L1121" s="139"/>
      <c r="M1121" s="139"/>
      <c r="N1121" s="176"/>
    </row>
    <row r="1122">
      <c r="A1122" s="175"/>
      <c r="B1122" s="139"/>
      <c r="C1122" s="139"/>
      <c r="D1122" s="139"/>
      <c r="E1122" s="139"/>
      <c r="F1122" s="139"/>
      <c r="G1122" s="139"/>
      <c r="H1122" s="139"/>
      <c r="I1122" s="139"/>
      <c r="J1122" s="139"/>
      <c r="K1122" s="139"/>
      <c r="L1122" s="139"/>
      <c r="M1122" s="139"/>
      <c r="N1122" s="176"/>
    </row>
    <row r="1123">
      <c r="A1123" s="175"/>
      <c r="B1123" s="139"/>
      <c r="C1123" s="139"/>
      <c r="D1123" s="139"/>
      <c r="E1123" s="139"/>
      <c r="F1123" s="139"/>
      <c r="G1123" s="139"/>
      <c r="H1123" s="139"/>
      <c r="I1123" s="139"/>
      <c r="J1123" s="139"/>
      <c r="K1123" s="139"/>
      <c r="L1123" s="139"/>
      <c r="M1123" s="139"/>
      <c r="N1123" s="176"/>
    </row>
    <row r="1124">
      <c r="A1124" s="175"/>
      <c r="B1124" s="139"/>
      <c r="C1124" s="139"/>
      <c r="D1124" s="139"/>
      <c r="E1124" s="139"/>
      <c r="F1124" s="139"/>
      <c r="G1124" s="139"/>
      <c r="H1124" s="139"/>
      <c r="I1124" s="139"/>
      <c r="J1124" s="139"/>
      <c r="K1124" s="139"/>
      <c r="L1124" s="139"/>
      <c r="M1124" s="139"/>
      <c r="N1124" s="176"/>
    </row>
    <row r="1125">
      <c r="A1125" s="175"/>
      <c r="B1125" s="139"/>
      <c r="C1125" s="139"/>
      <c r="D1125" s="139"/>
      <c r="E1125" s="139"/>
      <c r="F1125" s="139"/>
      <c r="G1125" s="139"/>
      <c r="H1125" s="139"/>
      <c r="I1125" s="139"/>
      <c r="J1125" s="139"/>
      <c r="K1125" s="139"/>
      <c r="L1125" s="139"/>
      <c r="M1125" s="139"/>
      <c r="N1125" s="176"/>
    </row>
    <row r="1126">
      <c r="A1126" s="175"/>
      <c r="B1126" s="139"/>
      <c r="C1126" s="139"/>
      <c r="D1126" s="139"/>
      <c r="E1126" s="139"/>
      <c r="F1126" s="139"/>
      <c r="G1126" s="139"/>
      <c r="H1126" s="139"/>
      <c r="I1126" s="139"/>
      <c r="J1126" s="139"/>
      <c r="K1126" s="139"/>
      <c r="L1126" s="139"/>
      <c r="M1126" s="139"/>
      <c r="N1126" s="176"/>
    </row>
    <row r="1127">
      <c r="A1127" s="175"/>
      <c r="B1127" s="139"/>
      <c r="C1127" s="139"/>
      <c r="D1127" s="139"/>
      <c r="E1127" s="139"/>
      <c r="F1127" s="139"/>
      <c r="G1127" s="139"/>
      <c r="H1127" s="139"/>
      <c r="I1127" s="139"/>
      <c r="J1127" s="139"/>
      <c r="K1127" s="139"/>
      <c r="L1127" s="139"/>
      <c r="M1127" s="139"/>
      <c r="N1127" s="176"/>
    </row>
    <row r="1128">
      <c r="A1128" s="175"/>
      <c r="B1128" s="139"/>
      <c r="C1128" s="139"/>
      <c r="D1128" s="139"/>
      <c r="E1128" s="139"/>
      <c r="F1128" s="139"/>
      <c r="G1128" s="139"/>
      <c r="H1128" s="139"/>
      <c r="I1128" s="139"/>
      <c r="J1128" s="139"/>
      <c r="K1128" s="139"/>
      <c r="L1128" s="139"/>
      <c r="M1128" s="139"/>
      <c r="N1128" s="176"/>
    </row>
    <row r="1129">
      <c r="A1129" s="175"/>
      <c r="B1129" s="139"/>
      <c r="C1129" s="139"/>
      <c r="D1129" s="139"/>
      <c r="E1129" s="139"/>
      <c r="F1129" s="139"/>
      <c r="G1129" s="139"/>
      <c r="H1129" s="139"/>
      <c r="I1129" s="139"/>
      <c r="J1129" s="139"/>
      <c r="K1129" s="139"/>
      <c r="L1129" s="139"/>
      <c r="M1129" s="139"/>
      <c r="N1129" s="176"/>
    </row>
    <row r="1130">
      <c r="A1130" s="175"/>
      <c r="B1130" s="139"/>
      <c r="C1130" s="139"/>
      <c r="D1130" s="139"/>
      <c r="E1130" s="139"/>
      <c r="F1130" s="139"/>
      <c r="G1130" s="139"/>
      <c r="H1130" s="139"/>
      <c r="I1130" s="139"/>
      <c r="J1130" s="139"/>
      <c r="K1130" s="139"/>
      <c r="L1130" s="139"/>
      <c r="M1130" s="139"/>
      <c r="N1130" s="176"/>
    </row>
    <row r="1131">
      <c r="A1131" s="175"/>
      <c r="B1131" s="139"/>
      <c r="C1131" s="139"/>
      <c r="D1131" s="139"/>
      <c r="E1131" s="139"/>
      <c r="F1131" s="139"/>
      <c r="G1131" s="139"/>
      <c r="H1131" s="139"/>
      <c r="I1131" s="139"/>
      <c r="J1131" s="139"/>
      <c r="K1131" s="139"/>
      <c r="L1131" s="139"/>
      <c r="M1131" s="139"/>
      <c r="N1131" s="176"/>
    </row>
    <row r="1132">
      <c r="A1132" s="175"/>
      <c r="B1132" s="139"/>
      <c r="C1132" s="139"/>
      <c r="D1132" s="139"/>
      <c r="E1132" s="139"/>
      <c r="F1132" s="139"/>
      <c r="G1132" s="139"/>
      <c r="H1132" s="139"/>
      <c r="I1132" s="139"/>
      <c r="J1132" s="139"/>
      <c r="K1132" s="139"/>
      <c r="L1132" s="139"/>
      <c r="M1132" s="139"/>
      <c r="N1132" s="176"/>
    </row>
    <row r="1133">
      <c r="A1133" s="175"/>
      <c r="B1133" s="139"/>
      <c r="C1133" s="139"/>
      <c r="D1133" s="139"/>
      <c r="E1133" s="139"/>
      <c r="F1133" s="139"/>
      <c r="G1133" s="139"/>
      <c r="H1133" s="139"/>
      <c r="I1133" s="139"/>
      <c r="J1133" s="139"/>
      <c r="K1133" s="139"/>
      <c r="L1133" s="139"/>
      <c r="M1133" s="139"/>
      <c r="N1133" s="176"/>
    </row>
    <row r="1134">
      <c r="A1134" s="175"/>
      <c r="B1134" s="139"/>
      <c r="C1134" s="139"/>
      <c r="D1134" s="139"/>
      <c r="E1134" s="139"/>
      <c r="F1134" s="139"/>
      <c r="G1134" s="139"/>
      <c r="H1134" s="139"/>
      <c r="I1134" s="139"/>
      <c r="J1134" s="139"/>
      <c r="K1134" s="139"/>
      <c r="L1134" s="139"/>
      <c r="M1134" s="139"/>
      <c r="N1134" s="176"/>
    </row>
    <row r="1135">
      <c r="A1135" s="175"/>
      <c r="B1135" s="139"/>
      <c r="C1135" s="139"/>
      <c r="D1135" s="139"/>
      <c r="E1135" s="139"/>
      <c r="F1135" s="139"/>
      <c r="G1135" s="139"/>
      <c r="H1135" s="139"/>
      <c r="I1135" s="139"/>
      <c r="J1135" s="139"/>
      <c r="K1135" s="139"/>
      <c r="L1135" s="139"/>
      <c r="M1135" s="139"/>
      <c r="N1135" s="176"/>
    </row>
    <row r="1136">
      <c r="A1136" s="175"/>
      <c r="B1136" s="139"/>
      <c r="C1136" s="139"/>
      <c r="D1136" s="139"/>
      <c r="E1136" s="139"/>
      <c r="F1136" s="139"/>
      <c r="G1136" s="139"/>
      <c r="H1136" s="139"/>
      <c r="I1136" s="139"/>
      <c r="J1136" s="139"/>
      <c r="K1136" s="139"/>
      <c r="L1136" s="139"/>
      <c r="M1136" s="139"/>
      <c r="N1136" s="176"/>
    </row>
    <row r="1137">
      <c r="A1137" s="175"/>
      <c r="B1137" s="139"/>
      <c r="C1137" s="139"/>
      <c r="D1137" s="139"/>
      <c r="E1137" s="139"/>
      <c r="F1137" s="139"/>
      <c r="G1137" s="139"/>
      <c r="H1137" s="139"/>
      <c r="I1137" s="139"/>
      <c r="J1137" s="139"/>
      <c r="K1137" s="139"/>
      <c r="L1137" s="139"/>
      <c r="M1137" s="139"/>
      <c r="N1137" s="176"/>
    </row>
    <row r="1138">
      <c r="A1138" s="175"/>
      <c r="B1138" s="139"/>
      <c r="C1138" s="139"/>
      <c r="D1138" s="139"/>
      <c r="E1138" s="139"/>
      <c r="F1138" s="139"/>
      <c r="G1138" s="139"/>
      <c r="H1138" s="139"/>
      <c r="I1138" s="139"/>
      <c r="J1138" s="139"/>
      <c r="K1138" s="139"/>
      <c r="L1138" s="139"/>
      <c r="M1138" s="139"/>
      <c r="N1138" s="176"/>
    </row>
    <row r="1139">
      <c r="A1139" s="175"/>
      <c r="B1139" s="139"/>
      <c r="C1139" s="139"/>
      <c r="D1139" s="139"/>
      <c r="E1139" s="139"/>
      <c r="F1139" s="139"/>
      <c r="G1139" s="139"/>
      <c r="H1139" s="139"/>
      <c r="I1139" s="139"/>
      <c r="J1139" s="139"/>
      <c r="K1139" s="139"/>
      <c r="L1139" s="139"/>
      <c r="M1139" s="139"/>
      <c r="N1139" s="176"/>
    </row>
    <row r="1140">
      <c r="A1140" s="175"/>
      <c r="B1140" s="139"/>
      <c r="C1140" s="139"/>
      <c r="D1140" s="139"/>
      <c r="E1140" s="139"/>
      <c r="F1140" s="139"/>
      <c r="G1140" s="139"/>
      <c r="H1140" s="139"/>
      <c r="I1140" s="139"/>
      <c r="J1140" s="139"/>
      <c r="K1140" s="139"/>
      <c r="L1140" s="139"/>
      <c r="M1140" s="139"/>
      <c r="N1140" s="176"/>
    </row>
    <row r="1141">
      <c r="A1141" s="175"/>
      <c r="B1141" s="139"/>
      <c r="C1141" s="139"/>
      <c r="D1141" s="139"/>
      <c r="E1141" s="139"/>
      <c r="F1141" s="139"/>
      <c r="G1141" s="139"/>
      <c r="H1141" s="139"/>
      <c r="I1141" s="139"/>
      <c r="J1141" s="139"/>
      <c r="K1141" s="139"/>
      <c r="L1141" s="139"/>
      <c r="M1141" s="139"/>
      <c r="N1141" s="176"/>
    </row>
    <row r="1142">
      <c r="A1142" s="175"/>
      <c r="B1142" s="139"/>
      <c r="C1142" s="139"/>
      <c r="D1142" s="139"/>
      <c r="E1142" s="139"/>
      <c r="F1142" s="139"/>
      <c r="G1142" s="139"/>
      <c r="H1142" s="139"/>
      <c r="I1142" s="139"/>
      <c r="J1142" s="139"/>
      <c r="K1142" s="139"/>
      <c r="L1142" s="139"/>
      <c r="M1142" s="139"/>
      <c r="N1142" s="176"/>
    </row>
    <row r="1143">
      <c r="A1143" s="175"/>
      <c r="B1143" s="139"/>
      <c r="C1143" s="139"/>
      <c r="D1143" s="139"/>
      <c r="E1143" s="139"/>
      <c r="F1143" s="139"/>
      <c r="G1143" s="139"/>
      <c r="H1143" s="139"/>
      <c r="I1143" s="139"/>
      <c r="J1143" s="139"/>
      <c r="K1143" s="139"/>
      <c r="L1143" s="139"/>
      <c r="M1143" s="139"/>
      <c r="N1143" s="176"/>
    </row>
    <row r="1144">
      <c r="A1144" s="175"/>
      <c r="B1144" s="139"/>
      <c r="C1144" s="139"/>
      <c r="D1144" s="139"/>
      <c r="E1144" s="139"/>
      <c r="F1144" s="139"/>
      <c r="G1144" s="139"/>
      <c r="H1144" s="139"/>
      <c r="I1144" s="139"/>
      <c r="J1144" s="139"/>
      <c r="K1144" s="139"/>
      <c r="L1144" s="139"/>
      <c r="M1144" s="139"/>
      <c r="N1144" s="176"/>
    </row>
    <row r="1145">
      <c r="A1145" s="175"/>
      <c r="B1145" s="139"/>
      <c r="C1145" s="139"/>
      <c r="D1145" s="139"/>
      <c r="E1145" s="139"/>
      <c r="F1145" s="139"/>
      <c r="G1145" s="139"/>
      <c r="H1145" s="139"/>
      <c r="I1145" s="139"/>
      <c r="J1145" s="139"/>
      <c r="K1145" s="139"/>
      <c r="L1145" s="139"/>
      <c r="M1145" s="139"/>
      <c r="N1145" s="176"/>
    </row>
    <row r="1146">
      <c r="A1146" s="175"/>
      <c r="B1146" s="139"/>
      <c r="C1146" s="139"/>
      <c r="D1146" s="139"/>
      <c r="E1146" s="139"/>
      <c r="F1146" s="139"/>
      <c r="G1146" s="139"/>
      <c r="H1146" s="139"/>
      <c r="I1146" s="139"/>
      <c r="J1146" s="139"/>
      <c r="K1146" s="139"/>
      <c r="L1146" s="139"/>
      <c r="M1146" s="139"/>
      <c r="N1146" s="176"/>
    </row>
    <row r="1147">
      <c r="A1147" s="175"/>
      <c r="B1147" s="139"/>
      <c r="C1147" s="139"/>
      <c r="D1147" s="139"/>
      <c r="E1147" s="139"/>
      <c r="F1147" s="139"/>
      <c r="G1147" s="139"/>
      <c r="H1147" s="139"/>
      <c r="I1147" s="139"/>
      <c r="J1147" s="139"/>
      <c r="K1147" s="139"/>
      <c r="L1147" s="139"/>
      <c r="M1147" s="139"/>
      <c r="N1147" s="176"/>
    </row>
    <row r="1148">
      <c r="A1148" s="175"/>
      <c r="B1148" s="139"/>
      <c r="C1148" s="139"/>
      <c r="D1148" s="139"/>
      <c r="E1148" s="139"/>
      <c r="F1148" s="139"/>
      <c r="G1148" s="139"/>
      <c r="H1148" s="139"/>
      <c r="I1148" s="139"/>
      <c r="J1148" s="139"/>
      <c r="K1148" s="139"/>
      <c r="L1148" s="139"/>
      <c r="M1148" s="139"/>
      <c r="N1148" s="176"/>
    </row>
    <row r="1149">
      <c r="A1149" s="175"/>
      <c r="B1149" s="139"/>
      <c r="C1149" s="139"/>
      <c r="D1149" s="139"/>
      <c r="E1149" s="139"/>
      <c r="F1149" s="139"/>
      <c r="G1149" s="139"/>
      <c r="H1149" s="139"/>
      <c r="I1149" s="139"/>
      <c r="J1149" s="139"/>
      <c r="K1149" s="139"/>
      <c r="L1149" s="139"/>
      <c r="M1149" s="139"/>
      <c r="N1149" s="176"/>
    </row>
    <row r="1150">
      <c r="A1150" s="175"/>
      <c r="B1150" s="139"/>
      <c r="C1150" s="139"/>
      <c r="D1150" s="139"/>
      <c r="E1150" s="139"/>
      <c r="F1150" s="139"/>
      <c r="G1150" s="139"/>
      <c r="H1150" s="139"/>
      <c r="I1150" s="139"/>
      <c r="J1150" s="139"/>
      <c r="K1150" s="139"/>
      <c r="L1150" s="139"/>
      <c r="M1150" s="139"/>
      <c r="N1150" s="176"/>
    </row>
    <row r="1151">
      <c r="A1151" s="175"/>
      <c r="B1151" s="139"/>
      <c r="C1151" s="139"/>
      <c r="D1151" s="139"/>
      <c r="E1151" s="139"/>
      <c r="F1151" s="139"/>
      <c r="G1151" s="139"/>
      <c r="H1151" s="139"/>
      <c r="I1151" s="139"/>
      <c r="J1151" s="139"/>
      <c r="K1151" s="139"/>
      <c r="L1151" s="139"/>
      <c r="M1151" s="139"/>
      <c r="N1151" s="176"/>
    </row>
    <row r="1152">
      <c r="A1152" s="175"/>
      <c r="B1152" s="139"/>
      <c r="C1152" s="139"/>
      <c r="D1152" s="139"/>
      <c r="E1152" s="139"/>
      <c r="F1152" s="139"/>
      <c r="G1152" s="139"/>
      <c r="H1152" s="139"/>
      <c r="I1152" s="139"/>
      <c r="J1152" s="139"/>
      <c r="K1152" s="139"/>
      <c r="L1152" s="139"/>
      <c r="M1152" s="139"/>
      <c r="N1152" s="176"/>
    </row>
    <row r="1153">
      <c r="A1153" s="175"/>
      <c r="B1153" s="139"/>
      <c r="C1153" s="139"/>
      <c r="D1153" s="139"/>
      <c r="E1153" s="139"/>
      <c r="F1153" s="139"/>
      <c r="G1153" s="139"/>
      <c r="H1153" s="139"/>
      <c r="I1153" s="139"/>
      <c r="J1153" s="139"/>
      <c r="K1153" s="139"/>
      <c r="L1153" s="139"/>
      <c r="M1153" s="139"/>
      <c r="N1153" s="176"/>
    </row>
    <row r="1154">
      <c r="A1154" s="175"/>
      <c r="B1154" s="139"/>
      <c r="C1154" s="139"/>
      <c r="D1154" s="139"/>
      <c r="E1154" s="139"/>
      <c r="F1154" s="139"/>
      <c r="G1154" s="139"/>
      <c r="H1154" s="139"/>
      <c r="I1154" s="139"/>
      <c r="J1154" s="139"/>
      <c r="K1154" s="139"/>
      <c r="L1154" s="139"/>
      <c r="M1154" s="139"/>
      <c r="N1154" s="176"/>
    </row>
    <row r="1155">
      <c r="A1155" s="175"/>
      <c r="B1155" s="139"/>
      <c r="C1155" s="139"/>
      <c r="D1155" s="139"/>
      <c r="E1155" s="139"/>
      <c r="F1155" s="139"/>
      <c r="G1155" s="139"/>
      <c r="H1155" s="139"/>
      <c r="I1155" s="139"/>
      <c r="J1155" s="139"/>
      <c r="K1155" s="139"/>
      <c r="L1155" s="139"/>
      <c r="M1155" s="139"/>
      <c r="N1155" s="176"/>
    </row>
    <row r="1156">
      <c r="A1156" s="175"/>
      <c r="B1156" s="139"/>
      <c r="C1156" s="139"/>
      <c r="D1156" s="139"/>
      <c r="E1156" s="139"/>
      <c r="F1156" s="139"/>
      <c r="G1156" s="139"/>
      <c r="H1156" s="139"/>
      <c r="I1156" s="139"/>
      <c r="J1156" s="139"/>
      <c r="K1156" s="139"/>
      <c r="L1156" s="139"/>
      <c r="M1156" s="139"/>
      <c r="N1156" s="176"/>
    </row>
    <row r="1157">
      <c r="A1157" s="175"/>
      <c r="B1157" s="139"/>
      <c r="C1157" s="139"/>
      <c r="D1157" s="139"/>
      <c r="E1157" s="139"/>
      <c r="F1157" s="139"/>
      <c r="G1157" s="139"/>
      <c r="H1157" s="139"/>
      <c r="I1157" s="139"/>
      <c r="J1157" s="139"/>
      <c r="K1157" s="139"/>
      <c r="L1157" s="139"/>
      <c r="M1157" s="139"/>
      <c r="N1157" s="176"/>
    </row>
    <row r="1158">
      <c r="A1158" s="175"/>
      <c r="B1158" s="139"/>
      <c r="C1158" s="139"/>
      <c r="D1158" s="139"/>
      <c r="E1158" s="139"/>
      <c r="F1158" s="139"/>
      <c r="G1158" s="139"/>
      <c r="H1158" s="139"/>
      <c r="I1158" s="139"/>
      <c r="J1158" s="139"/>
      <c r="K1158" s="139"/>
      <c r="L1158" s="139"/>
      <c r="M1158" s="139"/>
      <c r="N1158" s="176"/>
    </row>
    <row r="1159">
      <c r="A1159" s="175"/>
      <c r="B1159" s="139"/>
      <c r="C1159" s="139"/>
      <c r="D1159" s="139"/>
      <c r="E1159" s="139"/>
      <c r="F1159" s="139"/>
      <c r="G1159" s="139"/>
      <c r="H1159" s="139"/>
      <c r="I1159" s="139"/>
      <c r="J1159" s="139"/>
      <c r="K1159" s="139"/>
      <c r="L1159" s="139"/>
      <c r="M1159" s="139"/>
      <c r="N1159" s="176"/>
    </row>
    <row r="1160">
      <c r="A1160" s="175"/>
      <c r="B1160" s="139"/>
      <c r="C1160" s="139"/>
      <c r="D1160" s="139"/>
      <c r="E1160" s="139"/>
      <c r="F1160" s="139"/>
      <c r="G1160" s="139"/>
      <c r="H1160" s="139"/>
      <c r="I1160" s="139"/>
      <c r="J1160" s="139"/>
      <c r="K1160" s="139"/>
      <c r="L1160" s="139"/>
      <c r="M1160" s="139"/>
      <c r="N1160" s="176"/>
    </row>
    <row r="1161">
      <c r="A1161" s="175"/>
      <c r="B1161" s="139"/>
      <c r="C1161" s="139"/>
      <c r="D1161" s="139"/>
      <c r="E1161" s="139"/>
      <c r="F1161" s="139"/>
      <c r="G1161" s="139"/>
      <c r="H1161" s="139"/>
      <c r="I1161" s="139"/>
      <c r="J1161" s="139"/>
      <c r="K1161" s="139"/>
      <c r="L1161" s="139"/>
      <c r="M1161" s="139"/>
      <c r="N1161" s="176"/>
    </row>
    <row r="1162">
      <c r="A1162" s="175"/>
      <c r="B1162" s="139"/>
      <c r="C1162" s="139"/>
      <c r="D1162" s="139"/>
      <c r="E1162" s="139"/>
      <c r="F1162" s="139"/>
      <c r="G1162" s="139"/>
      <c r="H1162" s="139"/>
      <c r="I1162" s="139"/>
      <c r="J1162" s="139"/>
      <c r="K1162" s="139"/>
      <c r="L1162" s="139"/>
      <c r="M1162" s="139"/>
      <c r="N1162" s="176"/>
    </row>
    <row r="1163">
      <c r="A1163" s="175"/>
      <c r="B1163" s="139"/>
      <c r="C1163" s="139"/>
      <c r="D1163" s="139"/>
      <c r="E1163" s="139"/>
      <c r="F1163" s="139"/>
      <c r="G1163" s="139"/>
      <c r="H1163" s="139"/>
      <c r="I1163" s="139"/>
      <c r="J1163" s="139"/>
      <c r="K1163" s="139"/>
      <c r="L1163" s="139"/>
      <c r="M1163" s="139"/>
      <c r="N1163" s="176"/>
    </row>
    <row r="1164">
      <c r="A1164" s="175"/>
      <c r="B1164" s="139"/>
      <c r="C1164" s="139"/>
      <c r="D1164" s="139"/>
      <c r="E1164" s="139"/>
      <c r="F1164" s="139"/>
      <c r="G1164" s="139"/>
      <c r="H1164" s="139"/>
      <c r="I1164" s="139"/>
      <c r="J1164" s="139"/>
      <c r="K1164" s="139"/>
      <c r="L1164" s="139"/>
      <c r="M1164" s="139"/>
      <c r="N1164" s="176"/>
    </row>
    <row r="1165">
      <c r="A1165" s="175"/>
      <c r="B1165" s="139"/>
      <c r="C1165" s="139"/>
      <c r="D1165" s="139"/>
      <c r="E1165" s="139"/>
      <c r="F1165" s="139"/>
      <c r="G1165" s="139"/>
      <c r="H1165" s="139"/>
      <c r="I1165" s="139"/>
      <c r="J1165" s="139"/>
      <c r="K1165" s="139"/>
      <c r="L1165" s="139"/>
      <c r="M1165" s="139"/>
      <c r="N1165" s="176"/>
    </row>
    <row r="1166">
      <c r="A1166" s="175"/>
      <c r="B1166" s="139"/>
      <c r="C1166" s="139"/>
      <c r="D1166" s="139"/>
      <c r="E1166" s="139"/>
      <c r="F1166" s="139"/>
      <c r="G1166" s="139"/>
      <c r="H1166" s="139"/>
      <c r="I1166" s="139"/>
      <c r="J1166" s="139"/>
      <c r="K1166" s="139"/>
      <c r="L1166" s="139"/>
      <c r="M1166" s="139"/>
      <c r="N1166" s="176"/>
    </row>
    <row r="1167">
      <c r="A1167" s="175"/>
      <c r="B1167" s="139"/>
      <c r="C1167" s="139"/>
      <c r="D1167" s="139"/>
      <c r="E1167" s="139"/>
      <c r="F1167" s="139"/>
      <c r="G1167" s="139"/>
      <c r="H1167" s="139"/>
      <c r="I1167" s="139"/>
      <c r="J1167" s="139"/>
      <c r="K1167" s="139"/>
      <c r="L1167" s="139"/>
      <c r="M1167" s="139"/>
      <c r="N1167" s="176"/>
    </row>
    <row r="1168">
      <c r="A1168" s="175"/>
      <c r="B1168" s="139"/>
      <c r="C1168" s="139"/>
      <c r="D1168" s="139"/>
      <c r="E1168" s="139"/>
      <c r="F1168" s="139"/>
      <c r="G1168" s="139"/>
      <c r="H1168" s="139"/>
      <c r="I1168" s="139"/>
      <c r="J1168" s="139"/>
      <c r="K1168" s="139"/>
      <c r="L1168" s="139"/>
      <c r="M1168" s="139"/>
      <c r="N1168" s="176"/>
    </row>
    <row r="1169">
      <c r="A1169" s="175"/>
      <c r="B1169" s="139"/>
      <c r="C1169" s="139"/>
      <c r="D1169" s="139"/>
      <c r="E1169" s="139"/>
      <c r="F1169" s="139"/>
      <c r="G1169" s="139"/>
      <c r="H1169" s="139"/>
      <c r="I1169" s="139"/>
      <c r="J1169" s="139"/>
      <c r="K1169" s="139"/>
      <c r="L1169" s="139"/>
      <c r="M1169" s="139"/>
      <c r="N1169" s="176"/>
    </row>
    <row r="1170">
      <c r="A1170" s="175"/>
      <c r="B1170" s="139"/>
      <c r="C1170" s="139"/>
      <c r="D1170" s="139"/>
      <c r="E1170" s="139"/>
      <c r="F1170" s="139"/>
      <c r="G1170" s="139"/>
      <c r="H1170" s="139"/>
      <c r="I1170" s="139"/>
      <c r="J1170" s="139"/>
      <c r="K1170" s="139"/>
      <c r="L1170" s="139"/>
      <c r="M1170" s="139"/>
      <c r="N1170" s="176"/>
    </row>
    <row r="1171">
      <c r="A1171" s="175"/>
      <c r="B1171" s="139"/>
      <c r="C1171" s="139"/>
      <c r="D1171" s="139"/>
      <c r="E1171" s="139"/>
      <c r="F1171" s="139"/>
      <c r="G1171" s="139"/>
      <c r="H1171" s="139"/>
      <c r="I1171" s="139"/>
      <c r="J1171" s="139"/>
      <c r="K1171" s="139"/>
      <c r="L1171" s="139"/>
      <c r="M1171" s="139"/>
      <c r="N1171" s="176"/>
    </row>
    <row r="1172">
      <c r="A1172" s="175"/>
      <c r="B1172" s="139"/>
      <c r="C1172" s="139"/>
      <c r="D1172" s="139"/>
      <c r="E1172" s="139"/>
      <c r="F1172" s="139"/>
      <c r="G1172" s="139"/>
      <c r="H1172" s="139"/>
      <c r="I1172" s="139"/>
      <c r="J1172" s="139"/>
      <c r="K1172" s="139"/>
      <c r="L1172" s="139"/>
      <c r="M1172" s="139"/>
      <c r="N1172" s="176"/>
    </row>
    <row r="1173">
      <c r="A1173" s="175"/>
      <c r="B1173" s="139"/>
      <c r="C1173" s="139"/>
      <c r="D1173" s="139"/>
      <c r="E1173" s="139"/>
      <c r="F1173" s="139"/>
      <c r="G1173" s="139"/>
      <c r="H1173" s="139"/>
      <c r="I1173" s="139"/>
      <c r="J1173" s="139"/>
      <c r="K1173" s="139"/>
      <c r="L1173" s="139"/>
      <c r="M1173" s="139"/>
      <c r="N1173" s="176"/>
    </row>
    <row r="1174">
      <c r="A1174" s="175"/>
      <c r="B1174" s="139"/>
      <c r="C1174" s="139"/>
      <c r="D1174" s="139"/>
      <c r="E1174" s="139"/>
      <c r="F1174" s="139"/>
      <c r="G1174" s="139"/>
      <c r="H1174" s="139"/>
      <c r="I1174" s="139"/>
      <c r="J1174" s="139"/>
      <c r="K1174" s="139"/>
      <c r="L1174" s="139"/>
      <c r="M1174" s="139"/>
      <c r="N1174" s="176"/>
    </row>
    <row r="1175">
      <c r="A1175" s="175"/>
      <c r="B1175" s="139"/>
      <c r="C1175" s="139"/>
      <c r="D1175" s="139"/>
      <c r="E1175" s="139"/>
      <c r="F1175" s="139"/>
      <c r="G1175" s="139"/>
      <c r="H1175" s="139"/>
      <c r="I1175" s="139"/>
      <c r="J1175" s="139"/>
      <c r="K1175" s="139"/>
      <c r="L1175" s="139"/>
      <c r="M1175" s="139"/>
      <c r="N1175" s="176"/>
    </row>
    <row r="1176">
      <c r="A1176" s="175"/>
      <c r="B1176" s="139"/>
      <c r="C1176" s="139"/>
      <c r="D1176" s="139"/>
      <c r="E1176" s="139"/>
      <c r="F1176" s="139"/>
      <c r="G1176" s="139"/>
      <c r="H1176" s="139"/>
      <c r="I1176" s="139"/>
      <c r="J1176" s="139"/>
      <c r="K1176" s="139"/>
      <c r="L1176" s="139"/>
      <c r="M1176" s="139"/>
      <c r="N1176" s="176"/>
    </row>
    <row r="1177">
      <c r="A1177" s="175"/>
      <c r="B1177" s="139"/>
      <c r="C1177" s="139"/>
      <c r="D1177" s="139"/>
      <c r="E1177" s="139"/>
      <c r="F1177" s="139"/>
      <c r="G1177" s="139"/>
      <c r="H1177" s="139"/>
      <c r="I1177" s="139"/>
      <c r="J1177" s="139"/>
      <c r="K1177" s="139"/>
      <c r="L1177" s="139"/>
      <c r="M1177" s="139"/>
      <c r="N1177" s="176"/>
    </row>
    <row r="1178">
      <c r="A1178" s="175"/>
      <c r="B1178" s="139"/>
      <c r="C1178" s="139"/>
      <c r="D1178" s="139"/>
      <c r="E1178" s="139"/>
      <c r="F1178" s="139"/>
      <c r="G1178" s="139"/>
      <c r="H1178" s="139"/>
      <c r="I1178" s="139"/>
      <c r="J1178" s="139"/>
      <c r="K1178" s="139"/>
      <c r="L1178" s="139"/>
      <c r="M1178" s="139"/>
      <c r="N1178" s="176"/>
    </row>
    <row r="1179">
      <c r="A1179" s="175"/>
      <c r="B1179" s="139"/>
      <c r="C1179" s="139"/>
      <c r="D1179" s="139"/>
      <c r="E1179" s="139"/>
      <c r="F1179" s="139"/>
      <c r="G1179" s="139"/>
      <c r="H1179" s="139"/>
      <c r="I1179" s="139"/>
      <c r="J1179" s="139"/>
      <c r="K1179" s="139"/>
      <c r="L1179" s="139"/>
      <c r="M1179" s="139"/>
      <c r="N1179" s="176"/>
    </row>
    <row r="1180">
      <c r="A1180" s="175"/>
      <c r="B1180" s="139"/>
      <c r="C1180" s="139"/>
      <c r="D1180" s="139"/>
      <c r="E1180" s="139"/>
      <c r="F1180" s="139"/>
      <c r="G1180" s="139"/>
      <c r="H1180" s="139"/>
      <c r="I1180" s="139"/>
      <c r="J1180" s="139"/>
      <c r="K1180" s="139"/>
      <c r="L1180" s="139"/>
      <c r="M1180" s="139"/>
      <c r="N1180" s="176"/>
    </row>
    <row r="1181">
      <c r="A1181" s="175"/>
      <c r="B1181" s="139"/>
      <c r="C1181" s="139"/>
      <c r="D1181" s="139"/>
      <c r="E1181" s="139"/>
      <c r="F1181" s="139"/>
      <c r="G1181" s="139"/>
      <c r="H1181" s="139"/>
      <c r="I1181" s="139"/>
      <c r="J1181" s="139"/>
      <c r="K1181" s="139"/>
      <c r="L1181" s="139"/>
      <c r="M1181" s="139"/>
      <c r="N1181" s="176"/>
    </row>
    <row r="1182">
      <c r="A1182" s="175"/>
      <c r="B1182" s="139"/>
      <c r="C1182" s="139"/>
      <c r="D1182" s="139"/>
      <c r="E1182" s="139"/>
      <c r="F1182" s="139"/>
      <c r="G1182" s="139"/>
      <c r="H1182" s="139"/>
      <c r="I1182" s="139"/>
      <c r="J1182" s="139"/>
      <c r="K1182" s="139"/>
      <c r="L1182" s="139"/>
      <c r="M1182" s="139"/>
      <c r="N1182" s="176"/>
    </row>
    <row r="1183">
      <c r="A1183" s="175"/>
      <c r="B1183" s="139"/>
      <c r="C1183" s="139"/>
      <c r="D1183" s="139"/>
      <c r="E1183" s="139"/>
      <c r="F1183" s="139"/>
      <c r="G1183" s="139"/>
      <c r="H1183" s="139"/>
      <c r="I1183" s="139"/>
      <c r="J1183" s="139"/>
      <c r="K1183" s="139"/>
      <c r="L1183" s="139"/>
      <c r="M1183" s="139"/>
      <c r="N1183" s="176"/>
    </row>
    <row r="1184">
      <c r="A1184" s="175"/>
      <c r="B1184" s="139"/>
      <c r="C1184" s="139"/>
      <c r="D1184" s="139"/>
      <c r="E1184" s="139"/>
      <c r="F1184" s="139"/>
      <c r="G1184" s="139"/>
      <c r="H1184" s="139"/>
      <c r="I1184" s="139"/>
      <c r="J1184" s="139"/>
      <c r="K1184" s="139"/>
      <c r="L1184" s="139"/>
      <c r="M1184" s="139"/>
      <c r="N1184" s="176"/>
    </row>
    <row r="1185">
      <c r="A1185" s="175"/>
      <c r="B1185" s="139"/>
      <c r="C1185" s="139"/>
      <c r="D1185" s="139"/>
      <c r="E1185" s="139"/>
      <c r="F1185" s="139"/>
      <c r="G1185" s="139"/>
      <c r="H1185" s="139"/>
      <c r="I1185" s="139"/>
      <c r="J1185" s="139"/>
      <c r="K1185" s="139"/>
      <c r="L1185" s="139"/>
      <c r="M1185" s="139"/>
      <c r="N1185" s="176"/>
    </row>
    <row r="1186">
      <c r="A1186" s="175"/>
      <c r="B1186" s="139"/>
      <c r="C1186" s="139"/>
      <c r="D1186" s="139"/>
      <c r="E1186" s="139"/>
      <c r="F1186" s="139"/>
      <c r="G1186" s="139"/>
      <c r="H1186" s="139"/>
      <c r="I1186" s="139"/>
      <c r="J1186" s="139"/>
      <c r="K1186" s="139"/>
      <c r="L1186" s="139"/>
      <c r="M1186" s="139"/>
      <c r="N1186" s="176"/>
    </row>
    <row r="1187">
      <c r="A1187" s="175"/>
      <c r="B1187" s="139"/>
      <c r="C1187" s="139"/>
      <c r="D1187" s="139"/>
      <c r="E1187" s="139"/>
      <c r="F1187" s="139"/>
      <c r="G1187" s="139"/>
      <c r="H1187" s="139"/>
      <c r="I1187" s="139"/>
      <c r="J1187" s="139"/>
      <c r="K1187" s="139"/>
      <c r="L1187" s="139"/>
      <c r="M1187" s="139"/>
      <c r="N1187" s="176"/>
    </row>
    <row r="1188">
      <c r="A1188" s="175"/>
      <c r="B1188" s="139"/>
      <c r="C1188" s="139"/>
      <c r="D1188" s="139"/>
      <c r="E1188" s="139"/>
      <c r="F1188" s="139"/>
      <c r="G1188" s="139"/>
      <c r="H1188" s="139"/>
      <c r="I1188" s="139"/>
      <c r="J1188" s="139"/>
      <c r="K1188" s="139"/>
      <c r="L1188" s="139"/>
      <c r="M1188" s="139"/>
      <c r="N1188" s="176"/>
    </row>
    <row r="1189">
      <c r="A1189" s="175"/>
      <c r="B1189" s="139"/>
      <c r="C1189" s="139"/>
      <c r="D1189" s="139"/>
      <c r="E1189" s="139"/>
      <c r="F1189" s="139"/>
      <c r="G1189" s="139"/>
      <c r="H1189" s="139"/>
      <c r="I1189" s="139"/>
      <c r="J1189" s="139"/>
      <c r="K1189" s="139"/>
      <c r="L1189" s="139"/>
      <c r="M1189" s="139"/>
      <c r="N1189" s="176"/>
    </row>
    <row r="1190">
      <c r="A1190" s="175"/>
      <c r="B1190" s="139"/>
      <c r="C1190" s="139"/>
      <c r="D1190" s="139"/>
      <c r="E1190" s="139"/>
      <c r="F1190" s="139"/>
      <c r="G1190" s="139"/>
      <c r="H1190" s="139"/>
      <c r="I1190" s="139"/>
      <c r="J1190" s="139"/>
      <c r="K1190" s="139"/>
      <c r="L1190" s="139"/>
      <c r="M1190" s="139"/>
      <c r="N1190" s="176"/>
    </row>
    <row r="1191">
      <c r="A1191" s="175"/>
      <c r="B1191" s="139"/>
      <c r="C1191" s="139"/>
      <c r="D1191" s="139"/>
      <c r="E1191" s="139"/>
      <c r="F1191" s="139"/>
      <c r="G1191" s="139"/>
      <c r="H1191" s="139"/>
      <c r="I1191" s="139"/>
      <c r="J1191" s="139"/>
      <c r="K1191" s="139"/>
      <c r="L1191" s="139"/>
      <c r="M1191" s="139"/>
      <c r="N1191" s="176"/>
    </row>
    <row r="1192">
      <c r="A1192" s="175"/>
      <c r="B1192" s="139"/>
      <c r="C1192" s="139"/>
      <c r="D1192" s="139"/>
      <c r="E1192" s="139"/>
      <c r="F1192" s="139"/>
      <c r="G1192" s="139"/>
      <c r="H1192" s="139"/>
      <c r="I1192" s="139"/>
      <c r="J1192" s="139"/>
      <c r="K1192" s="139"/>
      <c r="L1192" s="139"/>
      <c r="M1192" s="139"/>
      <c r="N1192" s="176"/>
    </row>
    <row r="1193">
      <c r="A1193" s="175"/>
      <c r="B1193" s="139"/>
      <c r="C1193" s="139"/>
      <c r="D1193" s="139"/>
      <c r="E1193" s="139"/>
      <c r="F1193" s="139"/>
      <c r="G1193" s="139"/>
      <c r="H1193" s="139"/>
      <c r="I1193" s="139"/>
      <c r="J1193" s="139"/>
      <c r="K1193" s="139"/>
      <c r="L1193" s="139"/>
      <c r="M1193" s="139"/>
      <c r="N1193" s="176"/>
    </row>
    <row r="1194">
      <c r="A1194" s="175"/>
      <c r="B1194" s="139"/>
      <c r="C1194" s="139"/>
      <c r="D1194" s="139"/>
      <c r="E1194" s="139"/>
      <c r="F1194" s="139"/>
      <c r="G1194" s="139"/>
      <c r="H1194" s="139"/>
      <c r="I1194" s="139"/>
      <c r="J1194" s="139"/>
      <c r="K1194" s="139"/>
      <c r="L1194" s="139"/>
      <c r="M1194" s="139"/>
      <c r="N1194" s="176"/>
    </row>
    <row r="1195">
      <c r="A1195" s="175"/>
      <c r="B1195" s="139"/>
      <c r="C1195" s="139"/>
      <c r="D1195" s="139"/>
      <c r="E1195" s="139"/>
      <c r="F1195" s="139"/>
      <c r="G1195" s="139"/>
      <c r="H1195" s="139"/>
      <c r="I1195" s="139"/>
      <c r="J1195" s="139"/>
      <c r="K1195" s="139"/>
      <c r="L1195" s="139"/>
      <c r="M1195" s="139"/>
      <c r="N1195" s="176"/>
    </row>
    <row r="1196">
      <c r="A1196" s="175"/>
      <c r="B1196" s="139"/>
      <c r="C1196" s="139"/>
      <c r="D1196" s="139"/>
      <c r="E1196" s="139"/>
      <c r="F1196" s="139"/>
      <c r="G1196" s="139"/>
      <c r="H1196" s="139"/>
      <c r="I1196" s="139"/>
      <c r="J1196" s="139"/>
      <c r="K1196" s="139"/>
      <c r="L1196" s="139"/>
      <c r="M1196" s="139"/>
      <c r="N1196" s="176"/>
    </row>
    <row r="1197">
      <c r="A1197" s="175"/>
      <c r="B1197" s="139"/>
      <c r="C1197" s="139"/>
      <c r="D1197" s="139"/>
      <c r="E1197" s="139"/>
      <c r="F1197" s="139"/>
      <c r="G1197" s="139"/>
      <c r="H1197" s="139"/>
      <c r="I1197" s="139"/>
      <c r="J1197" s="139"/>
      <c r="K1197" s="139"/>
      <c r="L1197" s="139"/>
      <c r="M1197" s="139"/>
      <c r="N1197" s="176"/>
    </row>
    <row r="1198">
      <c r="A1198" s="175"/>
      <c r="B1198" s="139"/>
      <c r="C1198" s="139"/>
      <c r="D1198" s="139"/>
      <c r="E1198" s="139"/>
      <c r="F1198" s="139"/>
      <c r="G1198" s="139"/>
      <c r="H1198" s="139"/>
      <c r="I1198" s="139"/>
      <c r="J1198" s="139"/>
      <c r="K1198" s="139"/>
      <c r="L1198" s="139"/>
      <c r="M1198" s="139"/>
      <c r="N1198" s="176"/>
    </row>
    <row r="1199">
      <c r="A1199" s="175"/>
      <c r="B1199" s="139"/>
      <c r="C1199" s="139"/>
      <c r="D1199" s="139"/>
      <c r="E1199" s="139"/>
      <c r="F1199" s="139"/>
      <c r="G1199" s="139"/>
      <c r="H1199" s="139"/>
      <c r="I1199" s="139"/>
      <c r="J1199" s="139"/>
      <c r="K1199" s="139"/>
      <c r="L1199" s="139"/>
      <c r="M1199" s="139"/>
      <c r="N1199" s="176"/>
    </row>
    <row r="1200">
      <c r="A1200" s="175"/>
      <c r="B1200" s="139"/>
      <c r="C1200" s="139"/>
      <c r="D1200" s="139"/>
      <c r="E1200" s="139"/>
      <c r="F1200" s="139"/>
      <c r="G1200" s="139"/>
      <c r="H1200" s="139"/>
      <c r="I1200" s="139"/>
      <c r="J1200" s="139"/>
      <c r="K1200" s="139"/>
      <c r="L1200" s="139"/>
      <c r="M1200" s="139"/>
      <c r="N1200" s="176"/>
    </row>
    <row r="1201">
      <c r="A1201" s="175"/>
      <c r="B1201" s="139"/>
      <c r="C1201" s="139"/>
      <c r="D1201" s="139"/>
      <c r="E1201" s="139"/>
      <c r="F1201" s="139"/>
      <c r="G1201" s="139"/>
      <c r="H1201" s="139"/>
      <c r="I1201" s="139"/>
      <c r="J1201" s="139"/>
      <c r="K1201" s="139"/>
      <c r="L1201" s="139"/>
      <c r="M1201" s="139"/>
      <c r="N1201" s="176"/>
    </row>
    <row r="1202">
      <c r="A1202" s="175"/>
      <c r="B1202" s="139"/>
      <c r="C1202" s="139"/>
      <c r="D1202" s="139"/>
      <c r="E1202" s="139"/>
      <c r="F1202" s="139"/>
      <c r="G1202" s="139"/>
      <c r="H1202" s="139"/>
      <c r="I1202" s="139"/>
      <c r="J1202" s="139"/>
      <c r="K1202" s="139"/>
      <c r="L1202" s="139"/>
      <c r="M1202" s="139"/>
      <c r="N1202" s="176"/>
    </row>
    <row r="1203">
      <c r="A1203" s="175"/>
      <c r="B1203" s="139"/>
      <c r="C1203" s="139"/>
      <c r="D1203" s="139"/>
      <c r="E1203" s="139"/>
      <c r="F1203" s="139"/>
      <c r="G1203" s="139"/>
      <c r="H1203" s="139"/>
      <c r="I1203" s="139"/>
      <c r="J1203" s="139"/>
      <c r="K1203" s="139"/>
      <c r="L1203" s="139"/>
      <c r="M1203" s="139"/>
      <c r="N1203" s="176"/>
    </row>
    <row r="1204">
      <c r="A1204" s="175"/>
      <c r="B1204" s="139"/>
      <c r="C1204" s="139"/>
      <c r="D1204" s="139"/>
      <c r="E1204" s="139"/>
      <c r="F1204" s="139"/>
      <c r="G1204" s="139"/>
      <c r="H1204" s="139"/>
      <c r="I1204" s="139"/>
      <c r="J1204" s="139"/>
      <c r="K1204" s="139"/>
      <c r="L1204" s="139"/>
      <c r="M1204" s="139"/>
      <c r="N1204" s="176"/>
    </row>
    <row r="1205">
      <c r="A1205" s="175"/>
      <c r="B1205" s="139"/>
      <c r="C1205" s="139"/>
      <c r="D1205" s="139"/>
      <c r="E1205" s="139"/>
      <c r="F1205" s="139"/>
      <c r="G1205" s="139"/>
      <c r="H1205" s="139"/>
      <c r="I1205" s="139"/>
      <c r="J1205" s="139"/>
      <c r="K1205" s="139"/>
      <c r="L1205" s="139"/>
      <c r="M1205" s="139"/>
      <c r="N1205" s="176"/>
    </row>
    <row r="1206">
      <c r="A1206" s="175"/>
      <c r="B1206" s="139"/>
      <c r="C1206" s="139"/>
      <c r="D1206" s="139"/>
      <c r="E1206" s="139"/>
      <c r="F1206" s="139"/>
      <c r="G1206" s="139"/>
      <c r="H1206" s="139"/>
      <c r="I1206" s="139"/>
      <c r="J1206" s="139"/>
      <c r="K1206" s="139"/>
      <c r="L1206" s="139"/>
      <c r="M1206" s="139"/>
      <c r="N1206" s="176"/>
    </row>
    <row r="1207">
      <c r="A1207" s="175"/>
      <c r="B1207" s="139"/>
      <c r="C1207" s="139"/>
      <c r="D1207" s="139"/>
      <c r="E1207" s="139"/>
      <c r="F1207" s="139"/>
      <c r="G1207" s="139"/>
      <c r="H1207" s="139"/>
      <c r="I1207" s="139"/>
      <c r="J1207" s="139"/>
      <c r="K1207" s="139"/>
      <c r="L1207" s="139"/>
      <c r="M1207" s="139"/>
      <c r="N1207" s="176"/>
    </row>
    <row r="1208">
      <c r="A1208" s="175"/>
      <c r="B1208" s="139"/>
      <c r="C1208" s="139"/>
      <c r="D1208" s="139"/>
      <c r="E1208" s="139"/>
      <c r="F1208" s="139"/>
      <c r="G1208" s="139"/>
      <c r="H1208" s="139"/>
      <c r="I1208" s="139"/>
      <c r="J1208" s="139"/>
      <c r="K1208" s="139"/>
      <c r="L1208" s="139"/>
      <c r="M1208" s="139"/>
      <c r="N1208" s="176"/>
    </row>
    <row r="1209">
      <c r="A1209" s="175"/>
      <c r="B1209" s="139"/>
      <c r="C1209" s="139"/>
      <c r="D1209" s="139"/>
      <c r="E1209" s="139"/>
      <c r="F1209" s="139"/>
      <c r="G1209" s="139"/>
      <c r="H1209" s="139"/>
      <c r="I1209" s="139"/>
      <c r="J1209" s="139"/>
      <c r="K1209" s="139"/>
      <c r="L1209" s="139"/>
      <c r="M1209" s="139"/>
      <c r="N1209" s="176"/>
    </row>
    <row r="1210">
      <c r="A1210" s="175"/>
      <c r="B1210" s="139"/>
      <c r="C1210" s="139"/>
      <c r="D1210" s="139"/>
      <c r="E1210" s="139"/>
      <c r="F1210" s="139"/>
      <c r="G1210" s="139"/>
      <c r="H1210" s="139"/>
      <c r="I1210" s="139"/>
      <c r="J1210" s="139"/>
      <c r="K1210" s="139"/>
      <c r="L1210" s="139"/>
      <c r="M1210" s="139"/>
      <c r="N1210" s="176"/>
    </row>
    <row r="1211">
      <c r="A1211" s="175"/>
      <c r="B1211" s="139"/>
      <c r="C1211" s="139"/>
      <c r="D1211" s="139"/>
      <c r="E1211" s="139"/>
      <c r="F1211" s="139"/>
      <c r="G1211" s="139"/>
      <c r="H1211" s="139"/>
      <c r="I1211" s="139"/>
      <c r="J1211" s="139"/>
      <c r="K1211" s="139"/>
      <c r="L1211" s="139"/>
      <c r="M1211" s="139"/>
      <c r="N1211" s="176"/>
    </row>
    <row r="1212">
      <c r="A1212" s="175"/>
      <c r="B1212" s="139"/>
      <c r="C1212" s="139"/>
      <c r="D1212" s="139"/>
      <c r="E1212" s="139"/>
      <c r="F1212" s="139"/>
      <c r="G1212" s="139"/>
      <c r="H1212" s="139"/>
      <c r="I1212" s="139"/>
      <c r="J1212" s="139"/>
      <c r="K1212" s="139"/>
      <c r="L1212" s="139"/>
      <c r="M1212" s="139"/>
      <c r="N1212" s="176"/>
    </row>
    <row r="1213">
      <c r="A1213" s="175"/>
      <c r="B1213" s="139"/>
      <c r="C1213" s="139"/>
      <c r="D1213" s="139"/>
      <c r="E1213" s="139"/>
      <c r="F1213" s="139"/>
      <c r="G1213" s="139"/>
      <c r="H1213" s="139"/>
      <c r="I1213" s="139"/>
      <c r="J1213" s="139"/>
      <c r="K1213" s="139"/>
      <c r="L1213" s="139"/>
      <c r="M1213" s="139"/>
      <c r="N1213" s="176"/>
    </row>
    <row r="1214">
      <c r="A1214" s="175"/>
      <c r="B1214" s="139"/>
      <c r="C1214" s="139"/>
      <c r="D1214" s="139"/>
      <c r="E1214" s="139"/>
      <c r="F1214" s="139"/>
      <c r="G1214" s="139"/>
      <c r="H1214" s="139"/>
      <c r="I1214" s="139"/>
      <c r="J1214" s="139"/>
      <c r="K1214" s="139"/>
      <c r="L1214" s="139"/>
      <c r="M1214" s="139"/>
      <c r="N1214" s="176"/>
    </row>
    <row r="1215">
      <c r="A1215" s="175"/>
      <c r="B1215" s="139"/>
      <c r="C1215" s="139"/>
      <c r="D1215" s="139"/>
      <c r="E1215" s="139"/>
      <c r="F1215" s="139"/>
      <c r="G1215" s="139"/>
      <c r="H1215" s="139"/>
      <c r="I1215" s="139"/>
      <c r="J1215" s="139"/>
      <c r="K1215" s="139"/>
      <c r="L1215" s="139"/>
      <c r="M1215" s="139"/>
      <c r="N1215" s="176"/>
    </row>
    <row r="1216">
      <c r="A1216" s="175"/>
      <c r="B1216" s="139"/>
      <c r="C1216" s="139"/>
      <c r="D1216" s="139"/>
      <c r="E1216" s="139"/>
      <c r="F1216" s="139"/>
      <c r="G1216" s="139"/>
      <c r="H1216" s="139"/>
      <c r="I1216" s="139"/>
      <c r="J1216" s="139"/>
      <c r="K1216" s="139"/>
      <c r="L1216" s="139"/>
      <c r="M1216" s="139"/>
      <c r="N1216" s="176"/>
    </row>
    <row r="1217">
      <c r="A1217" s="175"/>
      <c r="B1217" s="139"/>
      <c r="C1217" s="139"/>
      <c r="D1217" s="139"/>
      <c r="E1217" s="139"/>
      <c r="F1217" s="139"/>
      <c r="G1217" s="139"/>
      <c r="H1217" s="139"/>
      <c r="I1217" s="139"/>
      <c r="J1217" s="139"/>
      <c r="K1217" s="139"/>
      <c r="L1217" s="139"/>
      <c r="M1217" s="139"/>
      <c r="N1217" s="176"/>
    </row>
    <row r="1218">
      <c r="A1218" s="175"/>
      <c r="B1218" s="139"/>
      <c r="C1218" s="139"/>
      <c r="D1218" s="139"/>
      <c r="E1218" s="139"/>
      <c r="F1218" s="139"/>
      <c r="G1218" s="139"/>
      <c r="H1218" s="139"/>
      <c r="I1218" s="139"/>
      <c r="J1218" s="139"/>
      <c r="K1218" s="139"/>
      <c r="L1218" s="139"/>
      <c r="M1218" s="139"/>
      <c r="N1218" s="176"/>
    </row>
    <row r="1219">
      <c r="A1219" s="175"/>
      <c r="B1219" s="139"/>
      <c r="C1219" s="139"/>
      <c r="D1219" s="139"/>
      <c r="E1219" s="139"/>
      <c r="F1219" s="139"/>
      <c r="G1219" s="139"/>
      <c r="H1219" s="139"/>
      <c r="I1219" s="139"/>
      <c r="J1219" s="139"/>
      <c r="K1219" s="139"/>
      <c r="L1219" s="139"/>
      <c r="M1219" s="139"/>
      <c r="N1219" s="176"/>
    </row>
    <row r="1220">
      <c r="A1220" s="175"/>
      <c r="B1220" s="139"/>
      <c r="C1220" s="139"/>
      <c r="D1220" s="139"/>
      <c r="E1220" s="139"/>
      <c r="F1220" s="139"/>
      <c r="G1220" s="139"/>
      <c r="H1220" s="139"/>
      <c r="I1220" s="139"/>
      <c r="J1220" s="139"/>
      <c r="K1220" s="139"/>
      <c r="L1220" s="139"/>
      <c r="M1220" s="139"/>
      <c r="N1220" s="176"/>
    </row>
    <row r="1221">
      <c r="A1221" s="175"/>
      <c r="B1221" s="139"/>
      <c r="C1221" s="139"/>
      <c r="D1221" s="139"/>
      <c r="E1221" s="139"/>
      <c r="F1221" s="139"/>
      <c r="G1221" s="139"/>
      <c r="H1221" s="139"/>
      <c r="I1221" s="139"/>
      <c r="J1221" s="139"/>
      <c r="K1221" s="139"/>
      <c r="L1221" s="139"/>
      <c r="M1221" s="139"/>
      <c r="N1221" s="176"/>
    </row>
    <row r="1222">
      <c r="A1222" s="175"/>
      <c r="B1222" s="139"/>
      <c r="C1222" s="139"/>
      <c r="D1222" s="139"/>
      <c r="E1222" s="139"/>
      <c r="F1222" s="139"/>
      <c r="G1222" s="139"/>
      <c r="H1222" s="139"/>
      <c r="I1222" s="139"/>
      <c r="J1222" s="139"/>
      <c r="K1222" s="139"/>
      <c r="L1222" s="139"/>
      <c r="M1222" s="139"/>
      <c r="N1222" s="176"/>
    </row>
    <row r="1223">
      <c r="A1223" s="175"/>
      <c r="B1223" s="139"/>
      <c r="C1223" s="139"/>
      <c r="D1223" s="139"/>
      <c r="E1223" s="139"/>
      <c r="F1223" s="139"/>
      <c r="G1223" s="139"/>
      <c r="H1223" s="139"/>
      <c r="I1223" s="139"/>
      <c r="J1223" s="139"/>
      <c r="K1223" s="139"/>
      <c r="L1223" s="139"/>
      <c r="M1223" s="139"/>
      <c r="N1223" s="176"/>
    </row>
    <row r="1224">
      <c r="A1224" s="175"/>
      <c r="B1224" s="139"/>
      <c r="C1224" s="139"/>
      <c r="D1224" s="139"/>
      <c r="E1224" s="139"/>
      <c r="F1224" s="139"/>
      <c r="G1224" s="139"/>
      <c r="H1224" s="139"/>
      <c r="I1224" s="139"/>
      <c r="J1224" s="139"/>
      <c r="K1224" s="139"/>
      <c r="L1224" s="139"/>
      <c r="M1224" s="139"/>
      <c r="N1224" s="176"/>
    </row>
    <row r="1225">
      <c r="A1225" s="175"/>
      <c r="B1225" s="139"/>
      <c r="C1225" s="139"/>
      <c r="D1225" s="139"/>
      <c r="E1225" s="139"/>
      <c r="F1225" s="139"/>
      <c r="G1225" s="139"/>
      <c r="H1225" s="139"/>
      <c r="I1225" s="139"/>
      <c r="J1225" s="139"/>
      <c r="K1225" s="139"/>
      <c r="L1225" s="139"/>
      <c r="M1225" s="139"/>
      <c r="N1225" s="176"/>
    </row>
    <row r="1226">
      <c r="A1226" s="175"/>
      <c r="B1226" s="139"/>
      <c r="C1226" s="139"/>
      <c r="D1226" s="139"/>
      <c r="E1226" s="139"/>
      <c r="F1226" s="139"/>
      <c r="G1226" s="139"/>
      <c r="H1226" s="139"/>
      <c r="I1226" s="139"/>
      <c r="J1226" s="139"/>
      <c r="K1226" s="139"/>
      <c r="L1226" s="139"/>
      <c r="M1226" s="139"/>
      <c r="N1226" s="176"/>
    </row>
    <row r="1227">
      <c r="A1227" s="175"/>
      <c r="B1227" s="139"/>
      <c r="C1227" s="139"/>
      <c r="D1227" s="139"/>
      <c r="E1227" s="139"/>
      <c r="F1227" s="139"/>
      <c r="G1227" s="139"/>
      <c r="H1227" s="139"/>
      <c r="I1227" s="139"/>
      <c r="J1227" s="139"/>
      <c r="K1227" s="139"/>
      <c r="L1227" s="139"/>
      <c r="M1227" s="139"/>
      <c r="N1227" s="176"/>
    </row>
    <row r="1228">
      <c r="A1228" s="175"/>
      <c r="B1228" s="139"/>
      <c r="C1228" s="139"/>
      <c r="D1228" s="139"/>
      <c r="E1228" s="139"/>
      <c r="F1228" s="139"/>
      <c r="G1228" s="139"/>
      <c r="H1228" s="139"/>
      <c r="I1228" s="139"/>
      <c r="J1228" s="139"/>
      <c r="K1228" s="139"/>
      <c r="L1228" s="139"/>
      <c r="M1228" s="139"/>
      <c r="N1228" s="176"/>
    </row>
    <row r="1229">
      <c r="A1229" s="175"/>
      <c r="B1229" s="139"/>
      <c r="C1229" s="139"/>
      <c r="D1229" s="139"/>
      <c r="E1229" s="139"/>
      <c r="F1229" s="139"/>
      <c r="G1229" s="139"/>
      <c r="H1229" s="139"/>
      <c r="I1229" s="139"/>
      <c r="J1229" s="139"/>
      <c r="K1229" s="139"/>
      <c r="L1229" s="139"/>
      <c r="M1229" s="139"/>
      <c r="N1229" s="176"/>
    </row>
    <row r="1230">
      <c r="A1230" s="175"/>
      <c r="B1230" s="139"/>
      <c r="C1230" s="139"/>
      <c r="D1230" s="139"/>
      <c r="E1230" s="139"/>
      <c r="F1230" s="139"/>
      <c r="G1230" s="139"/>
      <c r="H1230" s="139"/>
      <c r="I1230" s="139"/>
      <c r="J1230" s="139"/>
      <c r="K1230" s="139"/>
      <c r="L1230" s="139"/>
      <c r="M1230" s="139"/>
      <c r="N1230" s="176"/>
    </row>
    <row r="1231">
      <c r="A1231" s="175"/>
      <c r="B1231" s="139"/>
      <c r="C1231" s="139"/>
      <c r="D1231" s="139"/>
      <c r="E1231" s="139"/>
      <c r="F1231" s="139"/>
      <c r="G1231" s="139"/>
      <c r="H1231" s="139"/>
      <c r="I1231" s="139"/>
      <c r="J1231" s="139"/>
      <c r="K1231" s="139"/>
      <c r="L1231" s="139"/>
      <c r="M1231" s="139"/>
      <c r="N1231" s="176"/>
    </row>
    <row r="1232">
      <c r="A1232" s="175"/>
      <c r="B1232" s="139"/>
      <c r="C1232" s="139"/>
      <c r="D1232" s="139"/>
      <c r="E1232" s="139"/>
      <c r="F1232" s="139"/>
      <c r="G1232" s="139"/>
      <c r="H1232" s="139"/>
      <c r="I1232" s="139"/>
      <c r="J1232" s="139"/>
      <c r="K1232" s="139"/>
      <c r="L1232" s="139"/>
      <c r="M1232" s="139"/>
      <c r="N1232" s="176"/>
    </row>
    <row r="1233">
      <c r="A1233" s="175"/>
      <c r="B1233" s="139"/>
      <c r="C1233" s="139"/>
      <c r="D1233" s="139"/>
      <c r="E1233" s="139"/>
      <c r="F1233" s="139"/>
      <c r="G1233" s="139"/>
      <c r="H1233" s="139"/>
      <c r="I1233" s="139"/>
      <c r="J1233" s="139"/>
      <c r="K1233" s="139"/>
      <c r="L1233" s="139"/>
      <c r="M1233" s="139"/>
      <c r="N1233" s="176"/>
    </row>
    <row r="1234">
      <c r="A1234" s="175"/>
      <c r="B1234" s="139"/>
      <c r="C1234" s="139"/>
      <c r="D1234" s="139"/>
      <c r="E1234" s="139"/>
      <c r="F1234" s="139"/>
      <c r="G1234" s="139"/>
      <c r="H1234" s="139"/>
      <c r="I1234" s="139"/>
      <c r="J1234" s="139"/>
      <c r="K1234" s="139"/>
      <c r="L1234" s="139"/>
      <c r="M1234" s="139"/>
      <c r="N1234" s="176"/>
    </row>
    <row r="1235">
      <c r="A1235" s="175"/>
      <c r="B1235" s="139"/>
      <c r="C1235" s="139"/>
      <c r="D1235" s="139"/>
      <c r="E1235" s="139"/>
      <c r="F1235" s="139"/>
      <c r="G1235" s="139"/>
      <c r="H1235" s="139"/>
      <c r="I1235" s="139"/>
      <c r="J1235" s="139"/>
      <c r="K1235" s="139"/>
      <c r="L1235" s="139"/>
      <c r="M1235" s="139"/>
      <c r="N1235" s="176"/>
    </row>
    <row r="1236">
      <c r="A1236" s="175"/>
      <c r="B1236" s="139"/>
      <c r="C1236" s="139"/>
      <c r="D1236" s="139"/>
      <c r="E1236" s="139"/>
      <c r="F1236" s="139"/>
      <c r="G1236" s="139"/>
      <c r="H1236" s="139"/>
      <c r="I1236" s="139"/>
      <c r="J1236" s="139"/>
      <c r="K1236" s="139"/>
      <c r="L1236" s="139"/>
      <c r="M1236" s="139"/>
      <c r="N1236" s="176"/>
    </row>
    <row r="1237">
      <c r="A1237" s="175"/>
      <c r="B1237" s="139"/>
      <c r="C1237" s="139"/>
      <c r="D1237" s="139"/>
      <c r="E1237" s="139"/>
      <c r="F1237" s="139"/>
      <c r="G1237" s="139"/>
      <c r="H1237" s="139"/>
      <c r="I1237" s="139"/>
      <c r="J1237" s="139"/>
      <c r="K1237" s="139"/>
      <c r="L1237" s="139"/>
      <c r="M1237" s="139"/>
      <c r="N1237" s="176"/>
    </row>
    <row r="1238">
      <c r="A1238" s="175"/>
      <c r="B1238" s="139"/>
      <c r="C1238" s="139"/>
      <c r="D1238" s="139"/>
      <c r="E1238" s="139"/>
      <c r="F1238" s="139"/>
      <c r="G1238" s="139"/>
      <c r="H1238" s="139"/>
      <c r="I1238" s="139"/>
      <c r="J1238" s="139"/>
      <c r="K1238" s="139"/>
      <c r="L1238" s="139"/>
      <c r="M1238" s="139"/>
      <c r="N1238" s="176"/>
    </row>
    <row r="1239">
      <c r="A1239" s="175"/>
      <c r="B1239" s="139"/>
      <c r="C1239" s="139"/>
      <c r="D1239" s="139"/>
      <c r="E1239" s="139"/>
      <c r="F1239" s="139"/>
      <c r="G1239" s="139"/>
      <c r="H1239" s="139"/>
      <c r="I1239" s="139"/>
      <c r="J1239" s="139"/>
      <c r="K1239" s="139"/>
      <c r="L1239" s="139"/>
      <c r="M1239" s="139"/>
      <c r="N1239" s="176"/>
    </row>
    <row r="1240">
      <c r="A1240" s="175"/>
      <c r="B1240" s="139"/>
      <c r="C1240" s="139"/>
      <c r="D1240" s="139"/>
      <c r="E1240" s="139"/>
      <c r="F1240" s="139"/>
      <c r="G1240" s="139"/>
      <c r="H1240" s="139"/>
      <c r="I1240" s="139"/>
      <c r="J1240" s="139"/>
      <c r="K1240" s="139"/>
      <c r="L1240" s="139"/>
      <c r="M1240" s="139"/>
      <c r="N1240" s="176"/>
    </row>
    <row r="1241">
      <c r="A1241" s="175"/>
      <c r="B1241" s="139"/>
      <c r="C1241" s="139"/>
      <c r="D1241" s="139"/>
      <c r="E1241" s="139"/>
      <c r="F1241" s="139"/>
      <c r="G1241" s="139"/>
      <c r="H1241" s="139"/>
      <c r="I1241" s="139"/>
      <c r="J1241" s="139"/>
      <c r="K1241" s="139"/>
      <c r="L1241" s="139"/>
      <c r="M1241" s="139"/>
      <c r="N1241" s="176"/>
    </row>
    <row r="1242">
      <c r="A1242" s="175"/>
      <c r="B1242" s="139"/>
      <c r="C1242" s="139"/>
      <c r="D1242" s="139"/>
      <c r="E1242" s="139"/>
      <c r="F1242" s="139"/>
      <c r="G1242" s="139"/>
      <c r="H1242" s="139"/>
      <c r="I1242" s="139"/>
      <c r="J1242" s="139"/>
      <c r="K1242" s="139"/>
      <c r="L1242" s="139"/>
      <c r="M1242" s="139"/>
      <c r="N1242" s="176"/>
    </row>
    <row r="1243">
      <c r="A1243" s="175"/>
      <c r="B1243" s="139"/>
      <c r="C1243" s="139"/>
      <c r="D1243" s="139"/>
      <c r="E1243" s="139"/>
      <c r="F1243" s="139"/>
      <c r="G1243" s="139"/>
      <c r="H1243" s="139"/>
      <c r="I1243" s="139"/>
      <c r="J1243" s="139"/>
      <c r="K1243" s="139"/>
      <c r="L1243" s="139"/>
      <c r="M1243" s="139"/>
      <c r="N1243" s="176"/>
    </row>
    <row r="1244">
      <c r="A1244" s="175"/>
      <c r="B1244" s="139"/>
      <c r="C1244" s="139"/>
      <c r="D1244" s="139"/>
      <c r="E1244" s="139"/>
      <c r="F1244" s="139"/>
      <c r="G1244" s="139"/>
      <c r="H1244" s="139"/>
      <c r="I1244" s="139"/>
      <c r="J1244" s="139"/>
      <c r="K1244" s="139"/>
      <c r="L1244" s="139"/>
      <c r="M1244" s="139"/>
      <c r="N1244" s="176"/>
    </row>
    <row r="1245">
      <c r="A1245" s="175"/>
      <c r="B1245" s="139"/>
      <c r="C1245" s="139"/>
      <c r="D1245" s="139"/>
      <c r="E1245" s="139"/>
      <c r="F1245" s="139"/>
      <c r="G1245" s="139"/>
      <c r="H1245" s="139"/>
      <c r="I1245" s="139"/>
      <c r="J1245" s="139"/>
      <c r="K1245" s="139"/>
      <c r="L1245" s="139"/>
      <c r="M1245" s="139"/>
      <c r="N1245" s="176"/>
    </row>
    <row r="1246">
      <c r="A1246" s="175"/>
      <c r="B1246" s="139"/>
      <c r="C1246" s="139"/>
      <c r="D1246" s="139"/>
      <c r="E1246" s="139"/>
      <c r="F1246" s="139"/>
      <c r="G1246" s="139"/>
      <c r="H1246" s="139"/>
      <c r="I1246" s="139"/>
      <c r="J1246" s="139"/>
      <c r="K1246" s="139"/>
      <c r="L1246" s="139"/>
      <c r="M1246" s="139"/>
      <c r="N1246" s="176"/>
    </row>
    <row r="1247">
      <c r="A1247" s="175"/>
      <c r="B1247" s="139"/>
      <c r="C1247" s="139"/>
      <c r="D1247" s="139"/>
      <c r="E1247" s="139"/>
      <c r="F1247" s="139"/>
      <c r="G1247" s="139"/>
      <c r="H1247" s="139"/>
      <c r="I1247" s="139"/>
      <c r="J1247" s="139"/>
      <c r="K1247" s="139"/>
      <c r="L1247" s="139"/>
      <c r="M1247" s="139"/>
      <c r="N1247" s="176"/>
    </row>
    <row r="1248">
      <c r="A1248" s="175"/>
      <c r="B1248" s="139"/>
      <c r="C1248" s="139"/>
      <c r="D1248" s="139"/>
      <c r="E1248" s="139"/>
      <c r="F1248" s="139"/>
      <c r="G1248" s="139"/>
      <c r="H1248" s="139"/>
      <c r="I1248" s="139"/>
      <c r="J1248" s="139"/>
      <c r="K1248" s="139"/>
      <c r="L1248" s="139"/>
      <c r="M1248" s="139"/>
      <c r="N1248" s="176"/>
    </row>
    <row r="1249">
      <c r="A1249" s="175"/>
      <c r="B1249" s="139"/>
      <c r="C1249" s="139"/>
      <c r="D1249" s="139"/>
      <c r="E1249" s="139"/>
      <c r="F1249" s="139"/>
      <c r="G1249" s="139"/>
      <c r="H1249" s="139"/>
      <c r="I1249" s="139"/>
      <c r="J1249" s="139"/>
      <c r="K1249" s="139"/>
      <c r="L1249" s="139"/>
      <c r="M1249" s="139"/>
      <c r="N1249" s="176"/>
    </row>
    <row r="1250">
      <c r="A1250" s="175"/>
      <c r="B1250" s="139"/>
      <c r="C1250" s="139"/>
      <c r="D1250" s="139"/>
      <c r="E1250" s="139"/>
      <c r="F1250" s="139"/>
      <c r="G1250" s="139"/>
      <c r="H1250" s="139"/>
      <c r="I1250" s="139"/>
      <c r="J1250" s="139"/>
      <c r="K1250" s="139"/>
      <c r="L1250" s="139"/>
      <c r="M1250" s="139"/>
      <c r="N1250" s="176"/>
    </row>
    <row r="1251">
      <c r="A1251" s="175"/>
      <c r="B1251" s="139"/>
      <c r="C1251" s="139"/>
      <c r="D1251" s="139"/>
      <c r="E1251" s="139"/>
      <c r="F1251" s="139"/>
      <c r="G1251" s="139"/>
      <c r="H1251" s="139"/>
      <c r="I1251" s="139"/>
      <c r="J1251" s="139"/>
      <c r="K1251" s="139"/>
      <c r="L1251" s="139"/>
      <c r="M1251" s="139"/>
      <c r="N1251" s="176"/>
    </row>
    <row r="1252">
      <c r="A1252" s="175"/>
      <c r="B1252" s="139"/>
      <c r="C1252" s="139"/>
      <c r="D1252" s="139"/>
      <c r="E1252" s="139"/>
      <c r="F1252" s="139"/>
      <c r="G1252" s="139"/>
      <c r="H1252" s="139"/>
      <c r="I1252" s="139"/>
      <c r="J1252" s="139"/>
      <c r="K1252" s="139"/>
      <c r="L1252" s="139"/>
      <c r="M1252" s="139"/>
      <c r="N1252" s="176"/>
    </row>
    <row r="1253">
      <c r="A1253" s="175"/>
      <c r="B1253" s="139"/>
      <c r="C1253" s="139"/>
      <c r="D1253" s="139"/>
      <c r="E1253" s="139"/>
      <c r="F1253" s="139"/>
      <c r="G1253" s="139"/>
      <c r="H1253" s="139"/>
      <c r="I1253" s="139"/>
      <c r="J1253" s="139"/>
      <c r="K1253" s="139"/>
      <c r="L1253" s="139"/>
      <c r="M1253" s="139"/>
      <c r="N1253" s="176"/>
    </row>
    <row r="1254">
      <c r="A1254" s="175"/>
      <c r="B1254" s="139"/>
      <c r="C1254" s="139"/>
      <c r="D1254" s="139"/>
      <c r="E1254" s="139"/>
      <c r="F1254" s="139"/>
      <c r="G1254" s="139"/>
      <c r="H1254" s="139"/>
      <c r="I1254" s="139"/>
      <c r="J1254" s="139"/>
      <c r="K1254" s="139"/>
      <c r="L1254" s="139"/>
      <c r="M1254" s="139"/>
      <c r="N1254" s="176"/>
    </row>
    <row r="1255">
      <c r="A1255" s="175"/>
      <c r="B1255" s="139"/>
      <c r="C1255" s="139"/>
      <c r="D1255" s="139"/>
      <c r="E1255" s="139"/>
      <c r="F1255" s="139"/>
      <c r="G1255" s="139"/>
      <c r="H1255" s="139"/>
      <c r="I1255" s="139"/>
      <c r="J1255" s="139"/>
      <c r="K1255" s="139"/>
      <c r="L1255" s="139"/>
      <c r="M1255" s="139"/>
      <c r="N1255" s="176"/>
    </row>
    <row r="1256">
      <c r="A1256" s="175"/>
      <c r="B1256" s="139"/>
      <c r="C1256" s="139"/>
      <c r="D1256" s="139"/>
      <c r="E1256" s="139"/>
      <c r="F1256" s="139"/>
      <c r="G1256" s="139"/>
      <c r="H1256" s="139"/>
      <c r="I1256" s="139"/>
      <c r="J1256" s="139"/>
      <c r="K1256" s="139"/>
      <c r="L1256" s="139"/>
      <c r="M1256" s="139"/>
      <c r="N1256" s="176"/>
    </row>
    <row r="1257">
      <c r="A1257" s="175"/>
      <c r="B1257" s="139"/>
      <c r="C1257" s="139"/>
      <c r="D1257" s="139"/>
      <c r="E1257" s="139"/>
      <c r="F1257" s="139"/>
      <c r="G1257" s="139"/>
      <c r="H1257" s="139"/>
      <c r="I1257" s="139"/>
      <c r="J1257" s="139"/>
      <c r="K1257" s="139"/>
      <c r="L1257" s="139"/>
      <c r="M1257" s="139"/>
      <c r="N1257" s="176"/>
    </row>
    <row r="1258">
      <c r="A1258" s="175"/>
      <c r="B1258" s="139"/>
      <c r="C1258" s="139"/>
      <c r="D1258" s="139"/>
      <c r="E1258" s="139"/>
      <c r="F1258" s="139"/>
      <c r="G1258" s="139"/>
      <c r="H1258" s="139"/>
      <c r="I1258" s="139"/>
      <c r="J1258" s="139"/>
      <c r="K1258" s="139"/>
      <c r="L1258" s="139"/>
      <c r="M1258" s="139"/>
      <c r="N1258" s="176"/>
    </row>
    <row r="1259">
      <c r="A1259" s="175"/>
      <c r="B1259" s="139"/>
      <c r="C1259" s="139"/>
      <c r="D1259" s="139"/>
      <c r="E1259" s="139"/>
      <c r="F1259" s="139"/>
      <c r="G1259" s="139"/>
      <c r="H1259" s="139"/>
      <c r="I1259" s="139"/>
      <c r="J1259" s="139"/>
      <c r="K1259" s="139"/>
      <c r="L1259" s="139"/>
      <c r="M1259" s="139"/>
      <c r="N1259" s="176"/>
    </row>
    <row r="1260">
      <c r="A1260" s="175"/>
      <c r="B1260" s="139"/>
      <c r="C1260" s="139"/>
      <c r="D1260" s="139"/>
      <c r="E1260" s="139"/>
      <c r="F1260" s="139"/>
      <c r="G1260" s="139"/>
      <c r="H1260" s="139"/>
      <c r="I1260" s="139"/>
      <c r="J1260" s="139"/>
      <c r="K1260" s="139"/>
      <c r="L1260" s="139"/>
      <c r="M1260" s="139"/>
      <c r="N1260" s="176"/>
    </row>
    <row r="1261">
      <c r="A1261" s="175"/>
      <c r="B1261" s="139"/>
      <c r="C1261" s="139"/>
      <c r="D1261" s="139"/>
      <c r="E1261" s="139"/>
      <c r="F1261" s="139"/>
      <c r="G1261" s="139"/>
      <c r="H1261" s="139"/>
      <c r="I1261" s="139"/>
      <c r="J1261" s="139"/>
      <c r="K1261" s="139"/>
      <c r="L1261" s="139"/>
      <c r="M1261" s="139"/>
      <c r="N1261" s="176"/>
    </row>
    <row r="1262">
      <c r="A1262" s="175"/>
      <c r="B1262" s="139"/>
      <c r="C1262" s="139"/>
      <c r="D1262" s="139"/>
      <c r="E1262" s="139"/>
      <c r="F1262" s="139"/>
      <c r="G1262" s="139"/>
      <c r="H1262" s="139"/>
      <c r="I1262" s="139"/>
      <c r="J1262" s="139"/>
      <c r="K1262" s="139"/>
      <c r="L1262" s="139"/>
      <c r="M1262" s="139"/>
      <c r="N1262" s="176"/>
    </row>
    <row r="1263">
      <c r="A1263" s="175"/>
      <c r="B1263" s="139"/>
      <c r="C1263" s="139"/>
      <c r="D1263" s="139"/>
      <c r="E1263" s="139"/>
      <c r="F1263" s="139"/>
      <c r="G1263" s="139"/>
      <c r="H1263" s="139"/>
      <c r="I1263" s="139"/>
      <c r="J1263" s="139"/>
      <c r="K1263" s="139"/>
      <c r="L1263" s="139"/>
      <c r="M1263" s="139"/>
      <c r="N1263" s="176"/>
    </row>
    <row r="1264">
      <c r="A1264" s="175"/>
      <c r="B1264" s="139"/>
      <c r="C1264" s="139"/>
      <c r="D1264" s="139"/>
      <c r="E1264" s="139"/>
      <c r="F1264" s="139"/>
      <c r="G1264" s="139"/>
      <c r="H1264" s="139"/>
      <c r="I1264" s="139"/>
      <c r="J1264" s="139"/>
      <c r="K1264" s="139"/>
      <c r="L1264" s="139"/>
      <c r="M1264" s="139"/>
      <c r="N1264" s="176"/>
    </row>
    <row r="1265">
      <c r="A1265" s="175"/>
      <c r="B1265" s="139"/>
      <c r="C1265" s="139"/>
      <c r="D1265" s="139"/>
      <c r="E1265" s="139"/>
      <c r="F1265" s="139"/>
      <c r="G1265" s="139"/>
      <c r="H1265" s="139"/>
      <c r="I1265" s="139"/>
      <c r="J1265" s="139"/>
      <c r="K1265" s="139"/>
      <c r="L1265" s="139"/>
      <c r="M1265" s="139"/>
      <c r="N1265" s="176"/>
    </row>
    <row r="1266">
      <c r="A1266" s="175"/>
      <c r="B1266" s="139"/>
      <c r="C1266" s="139"/>
      <c r="D1266" s="139"/>
      <c r="E1266" s="139"/>
      <c r="F1266" s="139"/>
      <c r="G1266" s="139"/>
      <c r="H1266" s="139"/>
      <c r="I1266" s="139"/>
      <c r="J1266" s="139"/>
      <c r="K1266" s="139"/>
      <c r="L1266" s="139"/>
      <c r="M1266" s="139"/>
      <c r="N1266" s="176"/>
    </row>
    <row r="1267">
      <c r="A1267" s="175"/>
      <c r="B1267" s="139"/>
      <c r="C1267" s="139"/>
      <c r="D1267" s="139"/>
      <c r="E1267" s="139"/>
      <c r="F1267" s="139"/>
      <c r="G1267" s="139"/>
      <c r="H1267" s="139"/>
      <c r="I1267" s="139"/>
      <c r="J1267" s="139"/>
      <c r="K1267" s="139"/>
      <c r="L1267" s="139"/>
      <c r="M1267" s="139"/>
      <c r="N1267" s="176"/>
    </row>
    <row r="1268">
      <c r="A1268" s="175"/>
      <c r="B1268" s="139"/>
      <c r="C1268" s="139"/>
      <c r="D1268" s="139"/>
      <c r="E1268" s="139"/>
      <c r="F1268" s="139"/>
      <c r="G1268" s="139"/>
      <c r="H1268" s="139"/>
      <c r="I1268" s="139"/>
      <c r="J1268" s="139"/>
      <c r="K1268" s="139"/>
      <c r="L1268" s="139"/>
      <c r="M1268" s="139"/>
      <c r="N1268" s="176"/>
    </row>
    <row r="1269">
      <c r="A1269" s="175"/>
      <c r="B1269" s="139"/>
      <c r="C1269" s="139"/>
      <c r="D1269" s="139"/>
      <c r="E1269" s="139"/>
      <c r="F1269" s="139"/>
      <c r="G1269" s="139"/>
      <c r="H1269" s="139"/>
      <c r="I1269" s="139"/>
      <c r="J1269" s="139"/>
      <c r="K1269" s="139"/>
      <c r="L1269" s="139"/>
      <c r="M1269" s="139"/>
      <c r="N1269" s="176"/>
    </row>
    <row r="1270">
      <c r="A1270" s="175"/>
      <c r="B1270" s="139"/>
      <c r="C1270" s="139"/>
      <c r="D1270" s="139"/>
      <c r="E1270" s="139"/>
      <c r="F1270" s="139"/>
      <c r="G1270" s="139"/>
      <c r="H1270" s="139"/>
      <c r="I1270" s="139"/>
      <c r="J1270" s="139"/>
      <c r="K1270" s="139"/>
      <c r="L1270" s="139"/>
      <c r="M1270" s="139"/>
      <c r="N1270" s="176"/>
    </row>
    <row r="1271">
      <c r="A1271" s="175"/>
      <c r="B1271" s="139"/>
      <c r="C1271" s="139"/>
      <c r="D1271" s="139"/>
      <c r="E1271" s="139"/>
      <c r="F1271" s="139"/>
      <c r="G1271" s="139"/>
      <c r="H1271" s="139"/>
      <c r="I1271" s="139"/>
      <c r="J1271" s="139"/>
      <c r="K1271" s="139"/>
      <c r="L1271" s="139"/>
      <c r="M1271" s="139"/>
      <c r="N1271" s="176"/>
    </row>
    <row r="1272">
      <c r="A1272" s="175"/>
      <c r="B1272" s="139"/>
      <c r="C1272" s="139"/>
      <c r="D1272" s="139"/>
      <c r="E1272" s="139"/>
      <c r="F1272" s="139"/>
      <c r="G1272" s="139"/>
      <c r="H1272" s="139"/>
      <c r="I1272" s="139"/>
      <c r="J1272" s="139"/>
      <c r="K1272" s="139"/>
      <c r="L1272" s="139"/>
      <c r="M1272" s="139"/>
      <c r="N1272" s="176"/>
    </row>
    <row r="1273">
      <c r="A1273" s="175"/>
      <c r="B1273" s="139"/>
      <c r="C1273" s="139"/>
      <c r="D1273" s="139"/>
      <c r="E1273" s="139"/>
      <c r="F1273" s="139"/>
      <c r="G1273" s="139"/>
      <c r="H1273" s="139"/>
      <c r="I1273" s="139"/>
      <c r="J1273" s="139"/>
      <c r="K1273" s="139"/>
      <c r="L1273" s="139"/>
      <c r="M1273" s="139"/>
      <c r="N1273" s="176"/>
    </row>
    <row r="1274">
      <c r="A1274" s="175"/>
      <c r="B1274" s="139"/>
      <c r="C1274" s="139"/>
      <c r="D1274" s="139"/>
      <c r="E1274" s="139"/>
      <c r="F1274" s="139"/>
      <c r="G1274" s="139"/>
      <c r="H1274" s="139"/>
      <c r="I1274" s="139"/>
      <c r="J1274" s="139"/>
      <c r="K1274" s="139"/>
      <c r="L1274" s="139"/>
      <c r="M1274" s="139"/>
      <c r="N1274" s="176"/>
    </row>
    <row r="1275">
      <c r="A1275" s="175"/>
      <c r="B1275" s="139"/>
      <c r="C1275" s="139"/>
      <c r="D1275" s="139"/>
      <c r="E1275" s="139"/>
      <c r="F1275" s="139"/>
      <c r="G1275" s="139"/>
      <c r="H1275" s="139"/>
      <c r="I1275" s="139"/>
      <c r="J1275" s="139"/>
      <c r="K1275" s="139"/>
      <c r="L1275" s="139"/>
      <c r="M1275" s="139"/>
      <c r="N1275" s="176"/>
    </row>
    <row r="1276">
      <c r="A1276" s="175"/>
      <c r="B1276" s="139"/>
      <c r="C1276" s="139"/>
      <c r="D1276" s="139"/>
      <c r="E1276" s="139"/>
      <c r="F1276" s="139"/>
      <c r="G1276" s="139"/>
      <c r="H1276" s="139"/>
      <c r="I1276" s="139"/>
      <c r="J1276" s="139"/>
      <c r="K1276" s="139"/>
      <c r="L1276" s="139"/>
      <c r="M1276" s="139"/>
      <c r="N1276" s="176"/>
    </row>
    <row r="1277">
      <c r="A1277" s="175"/>
      <c r="B1277" s="139"/>
      <c r="C1277" s="139"/>
      <c r="D1277" s="139"/>
      <c r="E1277" s="139"/>
      <c r="F1277" s="139"/>
      <c r="G1277" s="139"/>
      <c r="H1277" s="139"/>
      <c r="I1277" s="139"/>
      <c r="J1277" s="139"/>
      <c r="K1277" s="139"/>
      <c r="L1277" s="139"/>
      <c r="M1277" s="139"/>
      <c r="N1277" s="176"/>
    </row>
    <row r="1278">
      <c r="A1278" s="175"/>
      <c r="B1278" s="139"/>
      <c r="C1278" s="139"/>
      <c r="D1278" s="139"/>
      <c r="E1278" s="139"/>
      <c r="F1278" s="139"/>
      <c r="G1278" s="139"/>
      <c r="H1278" s="139"/>
      <c r="I1278" s="139"/>
      <c r="J1278" s="139"/>
      <c r="K1278" s="139"/>
      <c r="L1278" s="139"/>
      <c r="M1278" s="139"/>
      <c r="N1278" s="176"/>
    </row>
    <row r="1279">
      <c r="A1279" s="175"/>
      <c r="B1279" s="139"/>
      <c r="C1279" s="139"/>
      <c r="D1279" s="139"/>
      <c r="E1279" s="139"/>
      <c r="F1279" s="139"/>
      <c r="G1279" s="139"/>
      <c r="H1279" s="139"/>
      <c r="I1279" s="139"/>
      <c r="J1279" s="139"/>
      <c r="K1279" s="139"/>
      <c r="L1279" s="139"/>
      <c r="M1279" s="139"/>
      <c r="N1279" s="176"/>
    </row>
    <row r="1280">
      <c r="A1280" s="175"/>
      <c r="B1280" s="139"/>
      <c r="C1280" s="139"/>
      <c r="D1280" s="139"/>
      <c r="E1280" s="139"/>
      <c r="F1280" s="139"/>
      <c r="G1280" s="139"/>
      <c r="H1280" s="139"/>
      <c r="I1280" s="139"/>
      <c r="J1280" s="139"/>
      <c r="K1280" s="139"/>
      <c r="L1280" s="139"/>
      <c r="M1280" s="139"/>
      <c r="N1280" s="176"/>
    </row>
    <row r="1281">
      <c r="A1281" s="175"/>
      <c r="B1281" s="139"/>
      <c r="C1281" s="139"/>
      <c r="D1281" s="139"/>
      <c r="E1281" s="139"/>
      <c r="F1281" s="139"/>
      <c r="G1281" s="139"/>
      <c r="H1281" s="139"/>
      <c r="I1281" s="139"/>
      <c r="J1281" s="139"/>
      <c r="K1281" s="139"/>
      <c r="L1281" s="139"/>
      <c r="M1281" s="139"/>
      <c r="N1281" s="176"/>
    </row>
    <row r="1282">
      <c r="A1282" s="175"/>
      <c r="B1282" s="139"/>
      <c r="C1282" s="139"/>
      <c r="D1282" s="139"/>
      <c r="E1282" s="139"/>
      <c r="F1282" s="139"/>
      <c r="G1282" s="139"/>
      <c r="H1282" s="139"/>
      <c r="I1282" s="139"/>
      <c r="J1282" s="139"/>
      <c r="K1282" s="139"/>
      <c r="L1282" s="139"/>
      <c r="M1282" s="139"/>
      <c r="N1282" s="176"/>
    </row>
    <row r="1283">
      <c r="A1283" s="175"/>
      <c r="B1283" s="139"/>
      <c r="C1283" s="139"/>
      <c r="D1283" s="139"/>
      <c r="E1283" s="139"/>
      <c r="F1283" s="139"/>
      <c r="G1283" s="139"/>
      <c r="H1283" s="139"/>
      <c r="I1283" s="139"/>
      <c r="J1283" s="139"/>
      <c r="K1283" s="139"/>
      <c r="L1283" s="139"/>
      <c r="M1283" s="139"/>
      <c r="N1283" s="176"/>
    </row>
    <row r="1284">
      <c r="A1284" s="175"/>
      <c r="B1284" s="139"/>
      <c r="C1284" s="139"/>
      <c r="D1284" s="139"/>
      <c r="E1284" s="139"/>
      <c r="F1284" s="139"/>
      <c r="G1284" s="139"/>
      <c r="H1284" s="139"/>
      <c r="I1284" s="139"/>
      <c r="J1284" s="139"/>
      <c r="K1284" s="139"/>
      <c r="L1284" s="139"/>
      <c r="M1284" s="139"/>
      <c r="N1284" s="176"/>
    </row>
    <row r="1285">
      <c r="A1285" s="175"/>
      <c r="B1285" s="139"/>
      <c r="C1285" s="139"/>
      <c r="D1285" s="139"/>
      <c r="E1285" s="139"/>
      <c r="F1285" s="139"/>
      <c r="G1285" s="139"/>
      <c r="H1285" s="139"/>
      <c r="I1285" s="139"/>
      <c r="J1285" s="139"/>
      <c r="K1285" s="139"/>
      <c r="L1285" s="139"/>
      <c r="M1285" s="139"/>
      <c r="N1285" s="176"/>
    </row>
    <row r="1286">
      <c r="A1286" s="175"/>
      <c r="B1286" s="139"/>
      <c r="C1286" s="139"/>
      <c r="D1286" s="139"/>
      <c r="E1286" s="139"/>
      <c r="F1286" s="139"/>
      <c r="G1286" s="139"/>
      <c r="H1286" s="139"/>
      <c r="I1286" s="139"/>
      <c r="J1286" s="139"/>
      <c r="K1286" s="139"/>
      <c r="L1286" s="139"/>
      <c r="M1286" s="139"/>
      <c r="N1286" s="176"/>
    </row>
    <row r="1287">
      <c r="A1287" s="175"/>
      <c r="B1287" s="139"/>
      <c r="C1287" s="139"/>
      <c r="D1287" s="139"/>
      <c r="E1287" s="139"/>
      <c r="F1287" s="139"/>
      <c r="G1287" s="139"/>
      <c r="H1287" s="139"/>
      <c r="I1287" s="139"/>
      <c r="J1287" s="139"/>
      <c r="K1287" s="139"/>
      <c r="L1287" s="139"/>
      <c r="M1287" s="139"/>
      <c r="N1287" s="176"/>
    </row>
    <row r="1288">
      <c r="A1288" s="175"/>
      <c r="B1288" s="139"/>
      <c r="C1288" s="139"/>
      <c r="D1288" s="139"/>
      <c r="E1288" s="139"/>
      <c r="F1288" s="139"/>
      <c r="G1288" s="139"/>
      <c r="H1288" s="139"/>
      <c r="I1288" s="139"/>
      <c r="J1288" s="139"/>
      <c r="K1288" s="139"/>
      <c r="L1288" s="139"/>
      <c r="M1288" s="139"/>
      <c r="N1288" s="176"/>
    </row>
    <row r="1289">
      <c r="A1289" s="175"/>
      <c r="B1289" s="139"/>
      <c r="C1289" s="139"/>
      <c r="D1289" s="139"/>
      <c r="E1289" s="139"/>
      <c r="F1289" s="139"/>
      <c r="G1289" s="139"/>
      <c r="H1289" s="139"/>
      <c r="I1289" s="139"/>
      <c r="J1289" s="139"/>
      <c r="K1289" s="139"/>
      <c r="L1289" s="139"/>
      <c r="M1289" s="139"/>
      <c r="N1289" s="176"/>
    </row>
    <row r="1290">
      <c r="A1290" s="175"/>
      <c r="B1290" s="139"/>
      <c r="C1290" s="139"/>
      <c r="D1290" s="139"/>
      <c r="E1290" s="139"/>
      <c r="F1290" s="139"/>
      <c r="G1290" s="139"/>
      <c r="H1290" s="139"/>
      <c r="I1290" s="139"/>
      <c r="J1290" s="139"/>
      <c r="K1290" s="139"/>
      <c r="L1290" s="139"/>
      <c r="M1290" s="139"/>
      <c r="N1290" s="176"/>
    </row>
    <row r="1291">
      <c r="A1291" s="175"/>
      <c r="B1291" s="139"/>
      <c r="C1291" s="139"/>
      <c r="D1291" s="139"/>
      <c r="E1291" s="139"/>
      <c r="F1291" s="139"/>
      <c r="G1291" s="139"/>
      <c r="H1291" s="139"/>
      <c r="I1291" s="139"/>
      <c r="J1291" s="139"/>
      <c r="K1291" s="139"/>
      <c r="L1291" s="139"/>
      <c r="M1291" s="139"/>
      <c r="N1291" s="176"/>
    </row>
    <row r="1292">
      <c r="A1292" s="175"/>
      <c r="B1292" s="139"/>
      <c r="C1292" s="139"/>
      <c r="D1292" s="139"/>
      <c r="E1292" s="139"/>
      <c r="F1292" s="139"/>
      <c r="G1292" s="139"/>
      <c r="H1292" s="139"/>
      <c r="I1292" s="139"/>
      <c r="J1292" s="139"/>
      <c r="K1292" s="139"/>
      <c r="L1292" s="139"/>
      <c r="M1292" s="139"/>
      <c r="N1292" s="176"/>
    </row>
    <row r="1293">
      <c r="A1293" s="175"/>
      <c r="B1293" s="139"/>
      <c r="C1293" s="139"/>
      <c r="D1293" s="139"/>
      <c r="E1293" s="139"/>
      <c r="F1293" s="139"/>
      <c r="G1293" s="139"/>
      <c r="H1293" s="139"/>
      <c r="I1293" s="139"/>
      <c r="J1293" s="139"/>
      <c r="K1293" s="139"/>
      <c r="L1293" s="139"/>
      <c r="M1293" s="139"/>
      <c r="N1293" s="176"/>
    </row>
    <row r="1294">
      <c r="A1294" s="175"/>
      <c r="B1294" s="139"/>
      <c r="C1294" s="139"/>
      <c r="D1294" s="139"/>
      <c r="E1294" s="139"/>
      <c r="F1294" s="139"/>
      <c r="G1294" s="139"/>
      <c r="H1294" s="139"/>
      <c r="I1294" s="139"/>
      <c r="J1294" s="139"/>
      <c r="K1294" s="139"/>
      <c r="L1294" s="139"/>
      <c r="M1294" s="139"/>
      <c r="N1294" s="176"/>
    </row>
    <row r="1295">
      <c r="A1295" s="175"/>
      <c r="B1295" s="139"/>
      <c r="C1295" s="139"/>
      <c r="D1295" s="139"/>
      <c r="E1295" s="139"/>
      <c r="F1295" s="139"/>
      <c r="G1295" s="139"/>
      <c r="H1295" s="139"/>
      <c r="I1295" s="139"/>
      <c r="J1295" s="139"/>
      <c r="K1295" s="139"/>
      <c r="L1295" s="139"/>
      <c r="M1295" s="139"/>
      <c r="N1295" s="176"/>
    </row>
    <row r="1296">
      <c r="A1296" s="175"/>
      <c r="B1296" s="139"/>
      <c r="C1296" s="139"/>
      <c r="D1296" s="139"/>
      <c r="E1296" s="139"/>
      <c r="F1296" s="139"/>
      <c r="G1296" s="139"/>
      <c r="H1296" s="139"/>
      <c r="I1296" s="139"/>
      <c r="J1296" s="139"/>
      <c r="K1296" s="139"/>
      <c r="L1296" s="139"/>
      <c r="M1296" s="139"/>
      <c r="N1296" s="176"/>
    </row>
    <row r="1297">
      <c r="A1297" s="175"/>
      <c r="B1297" s="139"/>
      <c r="C1297" s="139"/>
      <c r="D1297" s="139"/>
      <c r="E1297" s="139"/>
      <c r="F1297" s="139"/>
      <c r="G1297" s="139"/>
      <c r="H1297" s="139"/>
      <c r="I1297" s="139"/>
      <c r="J1297" s="139"/>
      <c r="K1297" s="139"/>
      <c r="L1297" s="139"/>
      <c r="M1297" s="139"/>
      <c r="N1297" s="176"/>
    </row>
    <row r="1298">
      <c r="A1298" s="175"/>
      <c r="B1298" s="139"/>
      <c r="C1298" s="139"/>
      <c r="D1298" s="139"/>
      <c r="E1298" s="139"/>
      <c r="F1298" s="139"/>
      <c r="G1298" s="139"/>
      <c r="H1298" s="139"/>
      <c r="I1298" s="139"/>
      <c r="J1298" s="139"/>
      <c r="K1298" s="139"/>
      <c r="L1298" s="139"/>
      <c r="M1298" s="139"/>
      <c r="N1298" s="176"/>
    </row>
    <row r="1299">
      <c r="A1299" s="175"/>
      <c r="B1299" s="139"/>
      <c r="C1299" s="139"/>
      <c r="D1299" s="139"/>
      <c r="E1299" s="139"/>
      <c r="F1299" s="139"/>
      <c r="G1299" s="139"/>
      <c r="H1299" s="139"/>
      <c r="I1299" s="139"/>
      <c r="J1299" s="139"/>
      <c r="K1299" s="139"/>
      <c r="L1299" s="139"/>
      <c r="M1299" s="139"/>
      <c r="N1299" s="176"/>
    </row>
    <row r="1300">
      <c r="A1300" s="175"/>
      <c r="B1300" s="139"/>
      <c r="C1300" s="139"/>
      <c r="D1300" s="139"/>
      <c r="E1300" s="139"/>
      <c r="F1300" s="139"/>
      <c r="G1300" s="139"/>
      <c r="H1300" s="139"/>
      <c r="I1300" s="139"/>
      <c r="J1300" s="139"/>
      <c r="K1300" s="139"/>
      <c r="L1300" s="139"/>
      <c r="M1300" s="139"/>
      <c r="N1300" s="176"/>
    </row>
    <row r="1301">
      <c r="A1301" s="175"/>
      <c r="B1301" s="139"/>
      <c r="C1301" s="139"/>
      <c r="D1301" s="139"/>
      <c r="E1301" s="139"/>
      <c r="F1301" s="139"/>
      <c r="G1301" s="139"/>
      <c r="H1301" s="139"/>
      <c r="I1301" s="139"/>
      <c r="J1301" s="139"/>
      <c r="K1301" s="139"/>
      <c r="L1301" s="139"/>
      <c r="M1301" s="139"/>
      <c r="N1301" s="176"/>
    </row>
    <row r="1302">
      <c r="A1302" s="175"/>
      <c r="B1302" s="139"/>
      <c r="C1302" s="139"/>
      <c r="D1302" s="139"/>
      <c r="E1302" s="139"/>
      <c r="F1302" s="139"/>
      <c r="G1302" s="139"/>
      <c r="H1302" s="139"/>
      <c r="I1302" s="139"/>
      <c r="J1302" s="139"/>
      <c r="K1302" s="139"/>
      <c r="L1302" s="139"/>
      <c r="M1302" s="139"/>
      <c r="N1302" s="176"/>
    </row>
    <row r="1303">
      <c r="A1303" s="175"/>
      <c r="B1303" s="139"/>
      <c r="C1303" s="139"/>
      <c r="D1303" s="139"/>
      <c r="E1303" s="139"/>
      <c r="F1303" s="139"/>
      <c r="G1303" s="139"/>
      <c r="H1303" s="139"/>
      <c r="I1303" s="139"/>
      <c r="J1303" s="139"/>
      <c r="K1303" s="139"/>
      <c r="L1303" s="139"/>
      <c r="M1303" s="139"/>
      <c r="N1303" s="176"/>
    </row>
    <row r="1304">
      <c r="A1304" s="175"/>
      <c r="B1304" s="139"/>
      <c r="C1304" s="139"/>
      <c r="D1304" s="139"/>
      <c r="E1304" s="139"/>
      <c r="F1304" s="139"/>
      <c r="G1304" s="139"/>
      <c r="H1304" s="139"/>
      <c r="I1304" s="139"/>
      <c r="J1304" s="139"/>
      <c r="K1304" s="139"/>
      <c r="L1304" s="139"/>
      <c r="M1304" s="139"/>
      <c r="N1304" s="176"/>
    </row>
    <row r="1305">
      <c r="A1305" s="175"/>
      <c r="B1305" s="139"/>
      <c r="C1305" s="139"/>
      <c r="D1305" s="139"/>
      <c r="E1305" s="139"/>
      <c r="F1305" s="139"/>
      <c r="G1305" s="139"/>
      <c r="H1305" s="139"/>
      <c r="I1305" s="139"/>
      <c r="J1305" s="139"/>
      <c r="K1305" s="139"/>
      <c r="L1305" s="139"/>
      <c r="M1305" s="139"/>
      <c r="N1305" s="176"/>
    </row>
    <row r="1306">
      <c r="A1306" s="175"/>
      <c r="B1306" s="139"/>
      <c r="C1306" s="139"/>
      <c r="D1306" s="139"/>
      <c r="E1306" s="139"/>
      <c r="F1306" s="139"/>
      <c r="G1306" s="139"/>
      <c r="H1306" s="139"/>
      <c r="I1306" s="139"/>
      <c r="J1306" s="139"/>
      <c r="K1306" s="139"/>
      <c r="L1306" s="139"/>
      <c r="M1306" s="139"/>
      <c r="N1306" s="176"/>
    </row>
    <row r="1307">
      <c r="A1307" s="175"/>
      <c r="B1307" s="139"/>
      <c r="C1307" s="139"/>
      <c r="D1307" s="139"/>
      <c r="E1307" s="139"/>
      <c r="F1307" s="139"/>
      <c r="G1307" s="139"/>
      <c r="H1307" s="139"/>
      <c r="I1307" s="139"/>
      <c r="J1307" s="139"/>
      <c r="K1307" s="139"/>
      <c r="L1307" s="139"/>
      <c r="M1307" s="139"/>
      <c r="N1307" s="176"/>
    </row>
    <row r="1308">
      <c r="A1308" s="175"/>
      <c r="B1308" s="139"/>
      <c r="C1308" s="139"/>
      <c r="D1308" s="139"/>
      <c r="E1308" s="139"/>
      <c r="F1308" s="139"/>
      <c r="G1308" s="139"/>
      <c r="H1308" s="139"/>
      <c r="I1308" s="139"/>
      <c r="J1308" s="139"/>
      <c r="K1308" s="139"/>
      <c r="L1308" s="139"/>
      <c r="M1308" s="139"/>
      <c r="N1308" s="176"/>
    </row>
    <row r="1309">
      <c r="A1309" s="175"/>
      <c r="B1309" s="139"/>
      <c r="C1309" s="139"/>
      <c r="D1309" s="139"/>
      <c r="E1309" s="139"/>
      <c r="F1309" s="139"/>
      <c r="G1309" s="139"/>
      <c r="H1309" s="139"/>
      <c r="I1309" s="139"/>
      <c r="J1309" s="139"/>
      <c r="K1309" s="139"/>
      <c r="L1309" s="139"/>
      <c r="M1309" s="139"/>
      <c r="N1309" s="176"/>
    </row>
    <row r="1310">
      <c r="A1310" s="175"/>
      <c r="B1310" s="139"/>
      <c r="C1310" s="139"/>
      <c r="D1310" s="139"/>
      <c r="E1310" s="139"/>
      <c r="F1310" s="139"/>
      <c r="G1310" s="139"/>
      <c r="H1310" s="139"/>
      <c r="I1310" s="139"/>
      <c r="J1310" s="139"/>
      <c r="K1310" s="139"/>
      <c r="L1310" s="139"/>
      <c r="M1310" s="139"/>
      <c r="N1310" s="176"/>
    </row>
    <row r="1311">
      <c r="A1311" s="175"/>
      <c r="B1311" s="139"/>
      <c r="C1311" s="139"/>
      <c r="D1311" s="139"/>
      <c r="E1311" s="139"/>
      <c r="F1311" s="139"/>
      <c r="G1311" s="139"/>
      <c r="H1311" s="139"/>
      <c r="I1311" s="139"/>
      <c r="J1311" s="139"/>
      <c r="K1311" s="139"/>
      <c r="L1311" s="139"/>
      <c r="M1311" s="139"/>
      <c r="N1311" s="176"/>
    </row>
    <row r="1312">
      <c r="A1312" s="175"/>
      <c r="B1312" s="139"/>
      <c r="C1312" s="139"/>
      <c r="D1312" s="139"/>
      <c r="E1312" s="139"/>
      <c r="F1312" s="139"/>
      <c r="G1312" s="139"/>
      <c r="H1312" s="139"/>
      <c r="I1312" s="139"/>
      <c r="J1312" s="139"/>
      <c r="K1312" s="139"/>
      <c r="L1312" s="139"/>
      <c r="M1312" s="139"/>
      <c r="N1312" s="176"/>
    </row>
    <row r="1313">
      <c r="A1313" s="175"/>
      <c r="B1313" s="139"/>
      <c r="C1313" s="139"/>
      <c r="D1313" s="139"/>
      <c r="E1313" s="139"/>
      <c r="F1313" s="139"/>
      <c r="G1313" s="139"/>
      <c r="H1313" s="139"/>
      <c r="I1313" s="139"/>
      <c r="J1313" s="139"/>
      <c r="K1313" s="139"/>
      <c r="L1313" s="139"/>
      <c r="M1313" s="139"/>
      <c r="N1313" s="176"/>
    </row>
    <row r="1314">
      <c r="A1314" s="175"/>
      <c r="B1314" s="139"/>
      <c r="C1314" s="139"/>
      <c r="D1314" s="139"/>
      <c r="E1314" s="139"/>
      <c r="F1314" s="139"/>
      <c r="G1314" s="139"/>
      <c r="H1314" s="139"/>
      <c r="I1314" s="139"/>
      <c r="J1314" s="139"/>
      <c r="K1314" s="139"/>
      <c r="L1314" s="139"/>
      <c r="M1314" s="139"/>
      <c r="N1314" s="176"/>
    </row>
    <row r="1315">
      <c r="A1315" s="175"/>
      <c r="B1315" s="139"/>
      <c r="C1315" s="139"/>
      <c r="D1315" s="139"/>
      <c r="E1315" s="139"/>
      <c r="F1315" s="139"/>
      <c r="G1315" s="139"/>
      <c r="H1315" s="139"/>
      <c r="I1315" s="139"/>
      <c r="J1315" s="139"/>
      <c r="K1315" s="139"/>
      <c r="L1315" s="139"/>
      <c r="M1315" s="139"/>
      <c r="N1315" s="176"/>
    </row>
    <row r="1316">
      <c r="A1316" s="175"/>
      <c r="B1316" s="139"/>
      <c r="C1316" s="139"/>
      <c r="D1316" s="139"/>
      <c r="E1316" s="139"/>
      <c r="F1316" s="139"/>
      <c r="G1316" s="139"/>
      <c r="H1316" s="139"/>
      <c r="I1316" s="139"/>
      <c r="J1316" s="139"/>
      <c r="K1316" s="139"/>
      <c r="L1316" s="139"/>
      <c r="M1316" s="139"/>
      <c r="N1316" s="176"/>
    </row>
    <row r="1317">
      <c r="A1317" s="175"/>
      <c r="B1317" s="139"/>
      <c r="C1317" s="139"/>
      <c r="D1317" s="139"/>
      <c r="E1317" s="139"/>
      <c r="F1317" s="139"/>
      <c r="G1317" s="139"/>
      <c r="H1317" s="139"/>
      <c r="I1317" s="139"/>
      <c r="J1317" s="139"/>
      <c r="K1317" s="139"/>
      <c r="L1317" s="139"/>
      <c r="M1317" s="139"/>
      <c r="N1317" s="176"/>
    </row>
    <row r="1318">
      <c r="A1318" s="175"/>
      <c r="B1318" s="139"/>
      <c r="C1318" s="139"/>
      <c r="D1318" s="139"/>
      <c r="E1318" s="139"/>
      <c r="F1318" s="139"/>
      <c r="G1318" s="139"/>
      <c r="H1318" s="139"/>
      <c r="I1318" s="139"/>
      <c r="J1318" s="139"/>
      <c r="K1318" s="139"/>
      <c r="L1318" s="139"/>
      <c r="M1318" s="139"/>
      <c r="N1318" s="176"/>
    </row>
    <row r="1319">
      <c r="A1319" s="175"/>
      <c r="B1319" s="139"/>
      <c r="C1319" s="139"/>
      <c r="D1319" s="139"/>
      <c r="E1319" s="139"/>
      <c r="F1319" s="139"/>
      <c r="G1319" s="139"/>
      <c r="H1319" s="139"/>
      <c r="I1319" s="139"/>
      <c r="J1319" s="139"/>
      <c r="K1319" s="139"/>
      <c r="L1319" s="139"/>
      <c r="M1319" s="139"/>
      <c r="N1319" s="176"/>
    </row>
    <row r="1320">
      <c r="A1320" s="175"/>
      <c r="B1320" s="139"/>
      <c r="C1320" s="139"/>
      <c r="D1320" s="139"/>
      <c r="E1320" s="139"/>
      <c r="F1320" s="139"/>
      <c r="G1320" s="139"/>
      <c r="H1320" s="139"/>
      <c r="I1320" s="139"/>
      <c r="J1320" s="139"/>
      <c r="K1320" s="139"/>
      <c r="L1320" s="139"/>
      <c r="M1320" s="139"/>
      <c r="N1320" s="176"/>
    </row>
    <row r="1321">
      <c r="A1321" s="175"/>
      <c r="B1321" s="139"/>
      <c r="C1321" s="139"/>
      <c r="D1321" s="139"/>
      <c r="E1321" s="139"/>
      <c r="F1321" s="139"/>
      <c r="G1321" s="139"/>
      <c r="H1321" s="139"/>
      <c r="I1321" s="139"/>
      <c r="J1321" s="139"/>
      <c r="K1321" s="139"/>
      <c r="L1321" s="139"/>
      <c r="M1321" s="139"/>
      <c r="N1321" s="176"/>
    </row>
    <row r="1322">
      <c r="A1322" s="175"/>
      <c r="B1322" s="139"/>
      <c r="C1322" s="139"/>
      <c r="D1322" s="139"/>
      <c r="E1322" s="139"/>
      <c r="F1322" s="139"/>
      <c r="G1322" s="139"/>
      <c r="H1322" s="139"/>
      <c r="I1322" s="139"/>
      <c r="J1322" s="139"/>
      <c r="K1322" s="139"/>
      <c r="L1322" s="139"/>
      <c r="M1322" s="139"/>
      <c r="N1322" s="176"/>
    </row>
    <row r="1323">
      <c r="A1323" s="175"/>
      <c r="B1323" s="139"/>
      <c r="C1323" s="139"/>
      <c r="D1323" s="139"/>
      <c r="E1323" s="139"/>
      <c r="F1323" s="139"/>
      <c r="G1323" s="139"/>
      <c r="H1323" s="139"/>
      <c r="I1323" s="139"/>
      <c r="J1323" s="139"/>
      <c r="K1323" s="139"/>
      <c r="L1323" s="139"/>
      <c r="M1323" s="139"/>
      <c r="N1323" s="176"/>
    </row>
    <row r="1324">
      <c r="A1324" s="175"/>
      <c r="B1324" s="139"/>
      <c r="C1324" s="139"/>
      <c r="D1324" s="139"/>
      <c r="E1324" s="139"/>
      <c r="F1324" s="139"/>
      <c r="G1324" s="139"/>
      <c r="H1324" s="139"/>
      <c r="I1324" s="139"/>
      <c r="J1324" s="139"/>
      <c r="K1324" s="139"/>
      <c r="L1324" s="139"/>
      <c r="M1324" s="139"/>
      <c r="N1324" s="176"/>
    </row>
    <row r="1325">
      <c r="A1325" s="175"/>
      <c r="B1325" s="139"/>
      <c r="C1325" s="139"/>
      <c r="D1325" s="139"/>
      <c r="E1325" s="139"/>
      <c r="F1325" s="139"/>
      <c r="G1325" s="139"/>
      <c r="H1325" s="139"/>
      <c r="I1325" s="139"/>
      <c r="J1325" s="139"/>
      <c r="K1325" s="139"/>
      <c r="L1325" s="139"/>
      <c r="M1325" s="139"/>
      <c r="N1325" s="176"/>
    </row>
    <row r="1326">
      <c r="A1326" s="175"/>
      <c r="B1326" s="139"/>
      <c r="C1326" s="139"/>
      <c r="D1326" s="139"/>
      <c r="E1326" s="139"/>
      <c r="F1326" s="139"/>
      <c r="G1326" s="139"/>
      <c r="H1326" s="139"/>
      <c r="I1326" s="139"/>
      <c r="J1326" s="139"/>
      <c r="K1326" s="139"/>
      <c r="L1326" s="139"/>
      <c r="M1326" s="139"/>
      <c r="N1326" s="176"/>
    </row>
    <row r="1327">
      <c r="A1327" s="175"/>
      <c r="B1327" s="139"/>
      <c r="C1327" s="139"/>
      <c r="D1327" s="139"/>
      <c r="E1327" s="139"/>
      <c r="F1327" s="139"/>
      <c r="G1327" s="139"/>
      <c r="H1327" s="139"/>
      <c r="I1327" s="139"/>
      <c r="J1327" s="139"/>
      <c r="K1327" s="139"/>
      <c r="L1327" s="139"/>
      <c r="M1327" s="139"/>
      <c r="N1327" s="176"/>
    </row>
    <row r="1328">
      <c r="A1328" s="175"/>
      <c r="B1328" s="139"/>
      <c r="C1328" s="139"/>
      <c r="D1328" s="139"/>
      <c r="E1328" s="139"/>
      <c r="F1328" s="139"/>
      <c r="G1328" s="139"/>
      <c r="H1328" s="139"/>
      <c r="I1328" s="139"/>
      <c r="J1328" s="139"/>
      <c r="K1328" s="139"/>
      <c r="L1328" s="139"/>
      <c r="M1328" s="139"/>
      <c r="N1328" s="176"/>
    </row>
    <row r="1329">
      <c r="A1329" s="175"/>
      <c r="B1329" s="139"/>
      <c r="C1329" s="139"/>
      <c r="D1329" s="139"/>
      <c r="E1329" s="139"/>
      <c r="F1329" s="139"/>
      <c r="G1329" s="139"/>
      <c r="H1329" s="139"/>
      <c r="I1329" s="139"/>
      <c r="J1329" s="139"/>
      <c r="K1329" s="139"/>
      <c r="L1329" s="139"/>
      <c r="M1329" s="139"/>
      <c r="N1329" s="176"/>
    </row>
    <row r="1330">
      <c r="A1330" s="175"/>
      <c r="B1330" s="139"/>
      <c r="C1330" s="139"/>
      <c r="D1330" s="139"/>
      <c r="E1330" s="139"/>
      <c r="F1330" s="139"/>
      <c r="G1330" s="139"/>
      <c r="H1330" s="139"/>
      <c r="I1330" s="139"/>
      <c r="J1330" s="139"/>
      <c r="K1330" s="139"/>
      <c r="L1330" s="139"/>
      <c r="M1330" s="139"/>
      <c r="N1330" s="176"/>
    </row>
    <row r="1331">
      <c r="A1331" s="175"/>
      <c r="B1331" s="139"/>
      <c r="C1331" s="139"/>
      <c r="D1331" s="139"/>
      <c r="E1331" s="139"/>
      <c r="F1331" s="139"/>
      <c r="G1331" s="139"/>
      <c r="H1331" s="139"/>
      <c r="I1331" s="139"/>
      <c r="J1331" s="139"/>
      <c r="K1331" s="139"/>
      <c r="L1331" s="139"/>
      <c r="M1331" s="139"/>
      <c r="N1331" s="176"/>
    </row>
    <row r="1332">
      <c r="A1332" s="175"/>
      <c r="B1332" s="139"/>
      <c r="C1332" s="139"/>
      <c r="D1332" s="139"/>
      <c r="E1332" s="139"/>
      <c r="F1332" s="139"/>
      <c r="G1332" s="139"/>
      <c r="H1332" s="139"/>
      <c r="I1332" s="139"/>
      <c r="J1332" s="139"/>
      <c r="K1332" s="139"/>
      <c r="L1332" s="139"/>
      <c r="M1332" s="139"/>
      <c r="N1332" s="176"/>
    </row>
    <row r="1333">
      <c r="A1333" s="175"/>
      <c r="B1333" s="139"/>
      <c r="C1333" s="139"/>
      <c r="D1333" s="139"/>
      <c r="E1333" s="139"/>
      <c r="F1333" s="139"/>
      <c r="G1333" s="139"/>
      <c r="H1333" s="139"/>
      <c r="I1333" s="139"/>
      <c r="J1333" s="139"/>
      <c r="K1333" s="139"/>
      <c r="L1333" s="139"/>
      <c r="M1333" s="139"/>
      <c r="N1333" s="176"/>
    </row>
    <row r="1334">
      <c r="A1334" s="175"/>
      <c r="B1334" s="139"/>
      <c r="C1334" s="139"/>
      <c r="D1334" s="139"/>
      <c r="E1334" s="139"/>
      <c r="F1334" s="139"/>
      <c r="G1334" s="139"/>
      <c r="H1334" s="139"/>
      <c r="I1334" s="139"/>
      <c r="J1334" s="139"/>
      <c r="K1334" s="139"/>
      <c r="L1334" s="139"/>
      <c r="M1334" s="139"/>
      <c r="N1334" s="176"/>
    </row>
    <row r="1335">
      <c r="A1335" s="175"/>
      <c r="B1335" s="139"/>
      <c r="C1335" s="139"/>
      <c r="D1335" s="139"/>
      <c r="E1335" s="139"/>
      <c r="F1335" s="139"/>
      <c r="G1335" s="139"/>
      <c r="H1335" s="139"/>
      <c r="I1335" s="139"/>
      <c r="J1335" s="139"/>
      <c r="K1335" s="139"/>
      <c r="L1335" s="139"/>
      <c r="M1335" s="139"/>
      <c r="N1335" s="176"/>
    </row>
    <row r="1336">
      <c r="A1336" s="175"/>
      <c r="B1336" s="139"/>
      <c r="C1336" s="139"/>
      <c r="D1336" s="139"/>
      <c r="E1336" s="139"/>
      <c r="F1336" s="139"/>
      <c r="G1336" s="139"/>
      <c r="H1336" s="139"/>
      <c r="I1336" s="139"/>
      <c r="J1336" s="139"/>
      <c r="K1336" s="139"/>
      <c r="L1336" s="139"/>
      <c r="M1336" s="139"/>
      <c r="N1336" s="176"/>
    </row>
    <row r="1337">
      <c r="A1337" s="175"/>
      <c r="B1337" s="139"/>
      <c r="C1337" s="139"/>
      <c r="D1337" s="139"/>
      <c r="E1337" s="139"/>
      <c r="F1337" s="139"/>
      <c r="G1337" s="139"/>
      <c r="H1337" s="139"/>
      <c r="I1337" s="139"/>
      <c r="J1337" s="139"/>
      <c r="K1337" s="139"/>
      <c r="L1337" s="139"/>
      <c r="M1337" s="139"/>
      <c r="N1337" s="176"/>
    </row>
    <row r="1338">
      <c r="A1338" s="175"/>
      <c r="B1338" s="139"/>
      <c r="C1338" s="139"/>
      <c r="D1338" s="139"/>
      <c r="E1338" s="139"/>
      <c r="F1338" s="139"/>
      <c r="G1338" s="139"/>
      <c r="H1338" s="139"/>
      <c r="I1338" s="139"/>
      <c r="J1338" s="139"/>
      <c r="K1338" s="139"/>
      <c r="L1338" s="139"/>
      <c r="M1338" s="139"/>
      <c r="N1338" s="176"/>
    </row>
    <row r="1339">
      <c r="A1339" s="175"/>
      <c r="B1339" s="139"/>
      <c r="C1339" s="139"/>
      <c r="D1339" s="139"/>
      <c r="E1339" s="139"/>
      <c r="F1339" s="139"/>
      <c r="G1339" s="139"/>
      <c r="H1339" s="139"/>
      <c r="I1339" s="139"/>
      <c r="J1339" s="139"/>
      <c r="K1339" s="139"/>
      <c r="L1339" s="139"/>
      <c r="M1339" s="139"/>
      <c r="N1339" s="176"/>
    </row>
    <row r="1340">
      <c r="A1340" s="175"/>
      <c r="B1340" s="139"/>
      <c r="C1340" s="139"/>
      <c r="D1340" s="139"/>
      <c r="E1340" s="139"/>
      <c r="F1340" s="139"/>
      <c r="G1340" s="139"/>
      <c r="H1340" s="139"/>
      <c r="I1340" s="139"/>
      <c r="J1340" s="139"/>
      <c r="K1340" s="139"/>
      <c r="L1340" s="139"/>
      <c r="M1340" s="139"/>
      <c r="N1340" s="176"/>
    </row>
    <row r="1341">
      <c r="A1341" s="175"/>
      <c r="B1341" s="139"/>
      <c r="C1341" s="139"/>
      <c r="D1341" s="139"/>
      <c r="E1341" s="139"/>
      <c r="F1341" s="139"/>
      <c r="G1341" s="139"/>
      <c r="H1341" s="139"/>
      <c r="I1341" s="139"/>
      <c r="J1341" s="139"/>
      <c r="K1341" s="139"/>
      <c r="L1341" s="139"/>
      <c r="M1341" s="139"/>
      <c r="N1341" s="176"/>
    </row>
    <row r="1342">
      <c r="A1342" s="175"/>
      <c r="B1342" s="139"/>
      <c r="C1342" s="139"/>
      <c r="D1342" s="139"/>
      <c r="E1342" s="139"/>
      <c r="F1342" s="139"/>
      <c r="G1342" s="139"/>
      <c r="H1342" s="139"/>
      <c r="I1342" s="139"/>
      <c r="J1342" s="139"/>
      <c r="K1342" s="139"/>
      <c r="L1342" s="139"/>
      <c r="M1342" s="139"/>
      <c r="N1342" s="176"/>
    </row>
    <row r="1343">
      <c r="A1343" s="175"/>
      <c r="B1343" s="139"/>
      <c r="C1343" s="139"/>
      <c r="D1343" s="139"/>
      <c r="E1343" s="139"/>
      <c r="F1343" s="139"/>
      <c r="G1343" s="139"/>
      <c r="H1343" s="139"/>
      <c r="I1343" s="139"/>
      <c r="J1343" s="139"/>
      <c r="K1343" s="139"/>
      <c r="L1343" s="139"/>
      <c r="M1343" s="139"/>
      <c r="N1343" s="176"/>
    </row>
    <row r="1344">
      <c r="A1344" s="175"/>
      <c r="B1344" s="139"/>
      <c r="C1344" s="139"/>
      <c r="D1344" s="139"/>
      <c r="E1344" s="139"/>
      <c r="F1344" s="139"/>
      <c r="G1344" s="139"/>
      <c r="H1344" s="139"/>
      <c r="I1344" s="139"/>
      <c r="J1344" s="139"/>
      <c r="K1344" s="139"/>
      <c r="L1344" s="139"/>
      <c r="M1344" s="139"/>
      <c r="N1344" s="176"/>
    </row>
    <row r="1345">
      <c r="A1345" s="175"/>
      <c r="B1345" s="139"/>
      <c r="C1345" s="139"/>
      <c r="D1345" s="139"/>
      <c r="E1345" s="139"/>
      <c r="F1345" s="139"/>
      <c r="G1345" s="139"/>
      <c r="H1345" s="139"/>
      <c r="I1345" s="139"/>
      <c r="J1345" s="139"/>
      <c r="K1345" s="139"/>
      <c r="L1345" s="139"/>
      <c r="M1345" s="139"/>
      <c r="N1345" s="176"/>
    </row>
    <row r="1346">
      <c r="A1346" s="175"/>
      <c r="B1346" s="139"/>
      <c r="C1346" s="139"/>
      <c r="D1346" s="139"/>
      <c r="E1346" s="139"/>
      <c r="F1346" s="139"/>
      <c r="G1346" s="139"/>
      <c r="H1346" s="139"/>
      <c r="I1346" s="139"/>
      <c r="J1346" s="139"/>
      <c r="K1346" s="139"/>
      <c r="L1346" s="139"/>
      <c r="M1346" s="139"/>
      <c r="N1346" s="176"/>
    </row>
    <row r="1347">
      <c r="A1347" s="175"/>
      <c r="B1347" s="139"/>
      <c r="C1347" s="139"/>
      <c r="D1347" s="139"/>
      <c r="E1347" s="139"/>
      <c r="F1347" s="139"/>
      <c r="G1347" s="139"/>
      <c r="H1347" s="139"/>
      <c r="I1347" s="139"/>
      <c r="J1347" s="139"/>
      <c r="K1347" s="139"/>
      <c r="L1347" s="139"/>
      <c r="M1347" s="139"/>
      <c r="N1347" s="176"/>
    </row>
    <row r="1348">
      <c r="A1348" s="175"/>
      <c r="B1348" s="139"/>
      <c r="C1348" s="139"/>
      <c r="D1348" s="139"/>
      <c r="E1348" s="139"/>
      <c r="F1348" s="139"/>
      <c r="G1348" s="139"/>
      <c r="H1348" s="139"/>
      <c r="I1348" s="139"/>
      <c r="J1348" s="139"/>
      <c r="K1348" s="139"/>
      <c r="L1348" s="139"/>
      <c r="M1348" s="139"/>
      <c r="N1348" s="176"/>
    </row>
    <row r="1349">
      <c r="A1349" s="175"/>
      <c r="B1349" s="139"/>
      <c r="C1349" s="139"/>
      <c r="D1349" s="139"/>
      <c r="E1349" s="139"/>
      <c r="F1349" s="139"/>
      <c r="G1349" s="139"/>
      <c r="H1349" s="139"/>
      <c r="I1349" s="139"/>
      <c r="J1349" s="139"/>
      <c r="K1349" s="139"/>
      <c r="L1349" s="139"/>
      <c r="M1349" s="139"/>
      <c r="N1349" s="176"/>
    </row>
    <row r="1350">
      <c r="A1350" s="175"/>
      <c r="B1350" s="139"/>
      <c r="C1350" s="139"/>
      <c r="D1350" s="139"/>
      <c r="E1350" s="139"/>
      <c r="F1350" s="139"/>
      <c r="G1350" s="139"/>
      <c r="H1350" s="139"/>
      <c r="I1350" s="139"/>
      <c r="J1350" s="139"/>
      <c r="K1350" s="139"/>
      <c r="L1350" s="139"/>
      <c r="M1350" s="139"/>
      <c r="N1350" s="176"/>
    </row>
    <row r="1351">
      <c r="A1351" s="175"/>
      <c r="B1351" s="139"/>
      <c r="C1351" s="139"/>
      <c r="D1351" s="139"/>
      <c r="E1351" s="139"/>
      <c r="F1351" s="139"/>
      <c r="G1351" s="139"/>
      <c r="H1351" s="139"/>
      <c r="I1351" s="139"/>
      <c r="J1351" s="139"/>
      <c r="K1351" s="139"/>
      <c r="L1351" s="139"/>
      <c r="M1351" s="139"/>
      <c r="N1351" s="176"/>
    </row>
    <row r="1352">
      <c r="A1352" s="175"/>
      <c r="B1352" s="139"/>
      <c r="C1352" s="139"/>
      <c r="D1352" s="139"/>
      <c r="E1352" s="139"/>
      <c r="F1352" s="139"/>
      <c r="G1352" s="139"/>
      <c r="H1352" s="139"/>
      <c r="I1352" s="139"/>
      <c r="J1352" s="139"/>
      <c r="K1352" s="139"/>
      <c r="L1352" s="139"/>
      <c r="M1352" s="139"/>
      <c r="N1352" s="176"/>
    </row>
    <row r="1353">
      <c r="A1353" s="175"/>
      <c r="B1353" s="139"/>
      <c r="C1353" s="139"/>
      <c r="D1353" s="139"/>
      <c r="E1353" s="139"/>
      <c r="F1353" s="139"/>
      <c r="G1353" s="139"/>
      <c r="H1353" s="139"/>
      <c r="I1353" s="139"/>
      <c r="J1353" s="139"/>
      <c r="K1353" s="139"/>
      <c r="L1353" s="139"/>
      <c r="M1353" s="139"/>
      <c r="N1353" s="176"/>
    </row>
    <row r="1354">
      <c r="A1354" s="175"/>
      <c r="B1354" s="139"/>
      <c r="C1354" s="139"/>
      <c r="D1354" s="139"/>
      <c r="E1354" s="139"/>
      <c r="F1354" s="139"/>
      <c r="G1354" s="139"/>
      <c r="H1354" s="139"/>
      <c r="I1354" s="139"/>
      <c r="J1354" s="139"/>
      <c r="K1354" s="139"/>
      <c r="L1354" s="139"/>
      <c r="M1354" s="139"/>
      <c r="N1354" s="176"/>
    </row>
    <row r="1355">
      <c r="A1355" s="175"/>
      <c r="B1355" s="139"/>
      <c r="C1355" s="139"/>
      <c r="D1355" s="139"/>
      <c r="E1355" s="139"/>
      <c r="F1355" s="139"/>
      <c r="G1355" s="139"/>
      <c r="H1355" s="139"/>
      <c r="I1355" s="139"/>
      <c r="J1355" s="139"/>
      <c r="K1355" s="139"/>
      <c r="L1355" s="139"/>
      <c r="M1355" s="139"/>
      <c r="N1355" s="176"/>
    </row>
    <row r="1356">
      <c r="A1356" s="175"/>
      <c r="B1356" s="139"/>
      <c r="C1356" s="139"/>
      <c r="D1356" s="139"/>
      <c r="E1356" s="139"/>
      <c r="F1356" s="139"/>
      <c r="G1356" s="139"/>
      <c r="H1356" s="139"/>
      <c r="I1356" s="139"/>
      <c r="J1356" s="139"/>
      <c r="K1356" s="139"/>
      <c r="L1356" s="139"/>
      <c r="M1356" s="139"/>
      <c r="N1356" s="176"/>
    </row>
    <row r="1357">
      <c r="A1357" s="175"/>
      <c r="B1357" s="139"/>
      <c r="C1357" s="139"/>
      <c r="D1357" s="139"/>
      <c r="E1357" s="139"/>
      <c r="F1357" s="139"/>
      <c r="G1357" s="139"/>
      <c r="H1357" s="139"/>
      <c r="I1357" s="139"/>
      <c r="J1357" s="139"/>
      <c r="K1357" s="139"/>
      <c r="L1357" s="139"/>
      <c r="M1357" s="139"/>
      <c r="N1357" s="176"/>
    </row>
    <row r="1358">
      <c r="A1358" s="175"/>
      <c r="B1358" s="139"/>
      <c r="C1358" s="139"/>
      <c r="D1358" s="139"/>
      <c r="E1358" s="139"/>
      <c r="F1358" s="139"/>
      <c r="G1358" s="139"/>
      <c r="H1358" s="139"/>
      <c r="I1358" s="139"/>
      <c r="J1358" s="139"/>
      <c r="K1358" s="139"/>
      <c r="L1358" s="139"/>
      <c r="M1358" s="139"/>
      <c r="N1358" s="176"/>
    </row>
    <row r="1359">
      <c r="A1359" s="175"/>
      <c r="B1359" s="139"/>
      <c r="C1359" s="139"/>
      <c r="D1359" s="139"/>
      <c r="E1359" s="139"/>
      <c r="F1359" s="139"/>
      <c r="G1359" s="139"/>
      <c r="H1359" s="139"/>
      <c r="I1359" s="139"/>
      <c r="J1359" s="139"/>
      <c r="K1359" s="139"/>
      <c r="L1359" s="139"/>
      <c r="M1359" s="139"/>
      <c r="N1359" s="176"/>
    </row>
    <row r="1360">
      <c r="A1360" s="175"/>
      <c r="B1360" s="139"/>
      <c r="C1360" s="139"/>
      <c r="D1360" s="139"/>
      <c r="E1360" s="139"/>
      <c r="F1360" s="139"/>
      <c r="G1360" s="139"/>
      <c r="H1360" s="139"/>
      <c r="I1360" s="139"/>
      <c r="J1360" s="139"/>
      <c r="K1360" s="139"/>
      <c r="L1360" s="139"/>
      <c r="M1360" s="139"/>
      <c r="N1360" s="176"/>
    </row>
    <row r="1361">
      <c r="A1361" s="175"/>
      <c r="B1361" s="139"/>
      <c r="C1361" s="139"/>
      <c r="D1361" s="139"/>
      <c r="E1361" s="139"/>
      <c r="F1361" s="139"/>
      <c r="G1361" s="139"/>
      <c r="H1361" s="139"/>
      <c r="I1361" s="139"/>
      <c r="J1361" s="139"/>
      <c r="K1361" s="139"/>
      <c r="L1361" s="139"/>
      <c r="M1361" s="139"/>
      <c r="N1361" s="176"/>
    </row>
    <row r="1362">
      <c r="A1362" s="175"/>
      <c r="B1362" s="139"/>
      <c r="C1362" s="139"/>
      <c r="D1362" s="139"/>
      <c r="E1362" s="139"/>
      <c r="F1362" s="139"/>
      <c r="G1362" s="139"/>
      <c r="H1362" s="139"/>
      <c r="I1362" s="139"/>
      <c r="J1362" s="139"/>
      <c r="K1362" s="139"/>
      <c r="L1362" s="139"/>
      <c r="M1362" s="139"/>
      <c r="N1362" s="176"/>
    </row>
    <row r="1363">
      <c r="A1363" s="175"/>
      <c r="B1363" s="139"/>
      <c r="C1363" s="139"/>
      <c r="D1363" s="139"/>
      <c r="E1363" s="139"/>
      <c r="F1363" s="139"/>
      <c r="G1363" s="139"/>
      <c r="H1363" s="139"/>
      <c r="I1363" s="139"/>
      <c r="J1363" s="139"/>
      <c r="K1363" s="139"/>
      <c r="L1363" s="139"/>
      <c r="M1363" s="139"/>
      <c r="N1363" s="176"/>
    </row>
    <row r="1364">
      <c r="A1364" s="175"/>
      <c r="B1364" s="139"/>
      <c r="C1364" s="139"/>
      <c r="D1364" s="139"/>
      <c r="E1364" s="139"/>
      <c r="F1364" s="139"/>
      <c r="G1364" s="139"/>
      <c r="H1364" s="139"/>
      <c r="I1364" s="139"/>
      <c r="J1364" s="139"/>
      <c r="K1364" s="139"/>
      <c r="L1364" s="139"/>
      <c r="M1364" s="139"/>
      <c r="N1364" s="176"/>
    </row>
    <row r="1365">
      <c r="A1365" s="175"/>
      <c r="B1365" s="139"/>
      <c r="C1365" s="139"/>
      <c r="D1365" s="139"/>
      <c r="E1365" s="139"/>
      <c r="F1365" s="139"/>
      <c r="G1365" s="139"/>
      <c r="H1365" s="139"/>
      <c r="I1365" s="139"/>
      <c r="J1365" s="139"/>
      <c r="K1365" s="139"/>
      <c r="L1365" s="139"/>
      <c r="M1365" s="139"/>
      <c r="N1365" s="176"/>
    </row>
    <row r="1366">
      <c r="A1366" s="175"/>
      <c r="B1366" s="139"/>
      <c r="C1366" s="139"/>
      <c r="D1366" s="139"/>
      <c r="E1366" s="139"/>
      <c r="F1366" s="139"/>
      <c r="G1366" s="139"/>
      <c r="H1366" s="139"/>
      <c r="I1366" s="139"/>
      <c r="J1366" s="139"/>
      <c r="K1366" s="139"/>
      <c r="L1366" s="139"/>
      <c r="M1366" s="139"/>
      <c r="N1366" s="176"/>
    </row>
    <row r="1367">
      <c r="A1367" s="175"/>
      <c r="B1367" s="139"/>
      <c r="C1367" s="139"/>
      <c r="D1367" s="139"/>
      <c r="E1367" s="139"/>
      <c r="F1367" s="139"/>
      <c r="G1367" s="139"/>
      <c r="H1367" s="139"/>
      <c r="I1367" s="139"/>
      <c r="J1367" s="139"/>
      <c r="K1367" s="139"/>
      <c r="L1367" s="139"/>
      <c r="M1367" s="139"/>
      <c r="N1367" s="176"/>
    </row>
    <row r="1368">
      <c r="A1368" s="175"/>
      <c r="B1368" s="139"/>
      <c r="C1368" s="139"/>
      <c r="D1368" s="139"/>
      <c r="E1368" s="139"/>
      <c r="F1368" s="139"/>
      <c r="G1368" s="139"/>
      <c r="H1368" s="139"/>
      <c r="I1368" s="139"/>
      <c r="J1368" s="139"/>
      <c r="K1368" s="139"/>
      <c r="L1368" s="139"/>
      <c r="M1368" s="139"/>
      <c r="N1368" s="176"/>
    </row>
    <row r="1369">
      <c r="A1369" s="175"/>
      <c r="B1369" s="139"/>
      <c r="C1369" s="139"/>
      <c r="D1369" s="139"/>
      <c r="E1369" s="139"/>
      <c r="F1369" s="139"/>
      <c r="G1369" s="139"/>
      <c r="H1369" s="139"/>
      <c r="I1369" s="139"/>
      <c r="J1369" s="139"/>
      <c r="K1369" s="139"/>
      <c r="L1369" s="139"/>
      <c r="M1369" s="139"/>
      <c r="N1369" s="176"/>
    </row>
    <row r="1370">
      <c r="A1370" s="175"/>
      <c r="B1370" s="139"/>
      <c r="C1370" s="139"/>
      <c r="D1370" s="139"/>
      <c r="E1370" s="139"/>
      <c r="F1370" s="139"/>
      <c r="G1370" s="139"/>
      <c r="H1370" s="139"/>
      <c r="I1370" s="139"/>
      <c r="J1370" s="139"/>
      <c r="K1370" s="139"/>
      <c r="L1370" s="139"/>
      <c r="M1370" s="139"/>
      <c r="N1370" s="176"/>
    </row>
    <row r="1371">
      <c r="A1371" s="175"/>
      <c r="B1371" s="139"/>
      <c r="C1371" s="139"/>
      <c r="D1371" s="139"/>
      <c r="E1371" s="139"/>
      <c r="F1371" s="139"/>
      <c r="G1371" s="139"/>
      <c r="H1371" s="139"/>
      <c r="I1371" s="139"/>
      <c r="J1371" s="139"/>
      <c r="K1371" s="139"/>
      <c r="L1371" s="139"/>
      <c r="M1371" s="139"/>
      <c r="N1371" s="176"/>
    </row>
    <row r="1372">
      <c r="A1372" s="175"/>
      <c r="B1372" s="139"/>
      <c r="C1372" s="139"/>
      <c r="D1372" s="139"/>
      <c r="E1372" s="139"/>
      <c r="F1372" s="139"/>
      <c r="G1372" s="139"/>
      <c r="H1372" s="139"/>
      <c r="I1372" s="139"/>
      <c r="J1372" s="139"/>
      <c r="K1372" s="139"/>
      <c r="L1372" s="139"/>
      <c r="M1372" s="139"/>
      <c r="N1372" s="176"/>
    </row>
    <row r="1373">
      <c r="A1373" s="175"/>
      <c r="B1373" s="139"/>
      <c r="C1373" s="139"/>
      <c r="D1373" s="139"/>
      <c r="E1373" s="139"/>
      <c r="F1373" s="139"/>
      <c r="G1373" s="139"/>
      <c r="H1373" s="139"/>
      <c r="I1373" s="139"/>
      <c r="J1373" s="139"/>
      <c r="K1373" s="139"/>
      <c r="L1373" s="139"/>
      <c r="M1373" s="139"/>
      <c r="N1373" s="176"/>
    </row>
    <row r="1374">
      <c r="A1374" s="175"/>
      <c r="B1374" s="139"/>
      <c r="C1374" s="139"/>
      <c r="D1374" s="139"/>
      <c r="E1374" s="139"/>
      <c r="F1374" s="139"/>
      <c r="G1374" s="139"/>
      <c r="H1374" s="139"/>
      <c r="I1374" s="139"/>
      <c r="J1374" s="139"/>
      <c r="K1374" s="139"/>
      <c r="L1374" s="139"/>
      <c r="M1374" s="139"/>
      <c r="N1374" s="176"/>
    </row>
    <row r="1375">
      <c r="A1375" s="175"/>
      <c r="B1375" s="139"/>
      <c r="C1375" s="139"/>
      <c r="D1375" s="139"/>
      <c r="E1375" s="139"/>
      <c r="F1375" s="139"/>
      <c r="G1375" s="139"/>
      <c r="H1375" s="139"/>
      <c r="I1375" s="139"/>
      <c r="J1375" s="139"/>
      <c r="K1375" s="139"/>
      <c r="L1375" s="139"/>
      <c r="M1375" s="139"/>
      <c r="N1375" s="176"/>
    </row>
    <row r="1376">
      <c r="A1376" s="175"/>
      <c r="B1376" s="139"/>
      <c r="C1376" s="139"/>
      <c r="D1376" s="139"/>
      <c r="E1376" s="139"/>
      <c r="F1376" s="139"/>
      <c r="G1376" s="139"/>
      <c r="H1376" s="139"/>
      <c r="I1376" s="139"/>
      <c r="J1376" s="139"/>
      <c r="K1376" s="139"/>
      <c r="L1376" s="139"/>
      <c r="M1376" s="139"/>
      <c r="N1376" s="176"/>
    </row>
    <row r="1377">
      <c r="A1377" s="175"/>
      <c r="B1377" s="139"/>
      <c r="C1377" s="139"/>
      <c r="D1377" s="139"/>
      <c r="E1377" s="139"/>
      <c r="F1377" s="139"/>
      <c r="G1377" s="139"/>
      <c r="H1377" s="139"/>
      <c r="I1377" s="139"/>
      <c r="J1377" s="139"/>
      <c r="K1377" s="139"/>
      <c r="L1377" s="139"/>
      <c r="M1377" s="139"/>
      <c r="N1377" s="176"/>
    </row>
    <row r="1378">
      <c r="A1378" s="175"/>
      <c r="B1378" s="139"/>
      <c r="C1378" s="139"/>
      <c r="D1378" s="139"/>
      <c r="E1378" s="139"/>
      <c r="F1378" s="139"/>
      <c r="G1378" s="139"/>
      <c r="H1378" s="139"/>
      <c r="I1378" s="139"/>
      <c r="J1378" s="139"/>
      <c r="K1378" s="139"/>
      <c r="L1378" s="139"/>
      <c r="M1378" s="139"/>
      <c r="N1378" s="176"/>
    </row>
    <row r="1379">
      <c r="A1379" s="175"/>
      <c r="B1379" s="139"/>
      <c r="C1379" s="139"/>
      <c r="D1379" s="139"/>
      <c r="E1379" s="139"/>
      <c r="F1379" s="139"/>
      <c r="G1379" s="139"/>
      <c r="H1379" s="139"/>
      <c r="I1379" s="139"/>
      <c r="J1379" s="139"/>
      <c r="K1379" s="139"/>
      <c r="L1379" s="139"/>
      <c r="M1379" s="139"/>
      <c r="N1379" s="176"/>
    </row>
    <row r="1380">
      <c r="A1380" s="177"/>
      <c r="B1380" s="178"/>
      <c r="C1380" s="178"/>
      <c r="D1380" s="178"/>
      <c r="E1380" s="178"/>
      <c r="F1380" s="178"/>
      <c r="G1380" s="178"/>
      <c r="H1380" s="178"/>
      <c r="I1380" s="178"/>
      <c r="J1380" s="178"/>
      <c r="K1380" s="178"/>
      <c r="L1380" s="178"/>
      <c r="M1380" s="178"/>
      <c r="N1380" s="179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.5"/>
    <col customWidth="1" min="3" max="3" width="12.25"/>
    <col customWidth="1" min="4" max="4" width="17.13"/>
    <col customWidth="1" min="5" max="5" width="21.13"/>
    <col customWidth="1" min="7" max="10" width="6.25"/>
    <col customWidth="1" min="11" max="11" width="18.88"/>
    <col customWidth="1" min="12" max="12" width="23.63"/>
    <col customWidth="1" min="13" max="13" width="21.25"/>
    <col customWidth="1" min="14" max="14" width="33.38"/>
  </cols>
  <sheetData>
    <row r="1">
      <c r="A1" s="163" t="s">
        <v>1560</v>
      </c>
      <c r="B1" s="163" t="s">
        <v>1561</v>
      </c>
      <c r="C1" s="163" t="s">
        <v>1562</v>
      </c>
      <c r="D1" s="163" t="s">
        <v>1563</v>
      </c>
      <c r="E1" s="164" t="s">
        <v>1564</v>
      </c>
      <c r="F1" s="163" t="s">
        <v>1565</v>
      </c>
      <c r="G1" s="163" t="s">
        <v>1566</v>
      </c>
      <c r="H1" s="163" t="s">
        <v>1567</v>
      </c>
      <c r="I1" s="163" t="s">
        <v>1568</v>
      </c>
      <c r="J1" s="163" t="s">
        <v>1569</v>
      </c>
      <c r="K1" s="163" t="s">
        <v>1570</v>
      </c>
      <c r="L1" s="62" t="s">
        <v>257</v>
      </c>
      <c r="M1" s="163" t="s">
        <v>1571</v>
      </c>
      <c r="N1" s="163" t="s">
        <v>2836</v>
      </c>
    </row>
    <row r="2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2"/>
    </row>
    <row r="3">
      <c r="A3" s="183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5"/>
    </row>
    <row r="4">
      <c r="A4" s="183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5"/>
    </row>
    <row r="5">
      <c r="A5" s="183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5"/>
    </row>
    <row r="6">
      <c r="A6" s="183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5"/>
    </row>
    <row r="7">
      <c r="A7" s="183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5"/>
    </row>
    <row r="8">
      <c r="A8" s="183"/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5"/>
    </row>
    <row r="9">
      <c r="A9" s="183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5"/>
    </row>
    <row r="10">
      <c r="A10" s="183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5"/>
    </row>
    <row r="11">
      <c r="A11" s="183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5"/>
    </row>
    <row r="12">
      <c r="A12" s="183"/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5"/>
    </row>
    <row r="13">
      <c r="A13" s="183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5"/>
    </row>
    <row r="14">
      <c r="A14" s="183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5"/>
    </row>
    <row r="15">
      <c r="A15" s="183"/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5"/>
    </row>
    <row r="16">
      <c r="A16" s="183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5"/>
    </row>
    <row r="17">
      <c r="A17" s="183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5"/>
    </row>
    <row r="18">
      <c r="A18" s="183"/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5"/>
    </row>
    <row r="19">
      <c r="A19" s="183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5"/>
    </row>
    <row r="20">
      <c r="A20" s="183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5"/>
    </row>
    <row r="21">
      <c r="A21" s="183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5"/>
    </row>
    <row r="22">
      <c r="A22" s="183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5"/>
    </row>
    <row r="23">
      <c r="A23" s="183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5"/>
    </row>
    <row r="24">
      <c r="A24" s="183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5"/>
    </row>
    <row r="25">
      <c r="A25" s="183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5"/>
    </row>
    <row r="26">
      <c r="A26" s="183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5"/>
    </row>
    <row r="27">
      <c r="A27" s="183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5"/>
    </row>
    <row r="28">
      <c r="A28" s="183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5"/>
    </row>
    <row r="29">
      <c r="A29" s="183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5"/>
    </row>
    <row r="30">
      <c r="A30" s="183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5"/>
    </row>
    <row r="31">
      <c r="A31" s="183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5"/>
    </row>
    <row r="32">
      <c r="A32" s="183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5"/>
    </row>
    <row r="33">
      <c r="A33" s="183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5"/>
    </row>
    <row r="34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5"/>
    </row>
    <row r="35">
      <c r="A35" s="183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5"/>
    </row>
    <row r="36">
      <c r="A36" s="183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5"/>
    </row>
    <row r="37">
      <c r="A37" s="183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5"/>
    </row>
    <row r="38">
      <c r="A38" s="183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5"/>
    </row>
    <row r="39">
      <c r="A39" s="183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5"/>
    </row>
    <row r="40">
      <c r="A40" s="183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5"/>
    </row>
    <row r="41">
      <c r="A41" s="183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5"/>
    </row>
    <row r="42">
      <c r="A42" s="183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5"/>
    </row>
    <row r="43">
      <c r="A43" s="183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5"/>
    </row>
    <row r="44">
      <c r="A44" s="183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5"/>
    </row>
    <row r="45">
      <c r="A45" s="183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5"/>
    </row>
    <row r="46">
      <c r="A46" s="183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5"/>
    </row>
    <row r="47">
      <c r="A47" s="183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5"/>
    </row>
    <row r="48">
      <c r="A48" s="183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5"/>
    </row>
    <row r="49">
      <c r="A49" s="183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5"/>
    </row>
    <row r="50">
      <c r="A50" s="183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5"/>
    </row>
    <row r="51">
      <c r="A51" s="183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5"/>
    </row>
    <row r="52">
      <c r="A52" s="183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5"/>
    </row>
    <row r="53">
      <c r="A53" s="183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5"/>
    </row>
    <row r="54">
      <c r="A54" s="183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5"/>
    </row>
    <row r="55">
      <c r="A55" s="183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5"/>
    </row>
    <row r="56">
      <c r="A56" s="183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5"/>
    </row>
    <row r="57">
      <c r="A57" s="183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5"/>
    </row>
    <row r="58">
      <c r="A58" s="183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5"/>
    </row>
    <row r="59">
      <c r="A59" s="183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5"/>
    </row>
    <row r="60">
      <c r="A60" s="183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5"/>
    </row>
    <row r="61">
      <c r="A61" s="183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5"/>
    </row>
    <row r="62">
      <c r="A62" s="183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5"/>
    </row>
    <row r="63">
      <c r="A63" s="183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5"/>
    </row>
    <row r="64">
      <c r="A64" s="183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5"/>
    </row>
    <row r="65">
      <c r="A65" s="183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5"/>
    </row>
    <row r="66">
      <c r="A66" s="183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5"/>
    </row>
    <row r="67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5"/>
    </row>
    <row r="68">
      <c r="A68" s="183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5"/>
    </row>
    <row r="69">
      <c r="A69" s="183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5"/>
    </row>
    <row r="70">
      <c r="A70" s="183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5"/>
    </row>
    <row r="71">
      <c r="A71" s="183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5"/>
    </row>
    <row r="72">
      <c r="A72" s="183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5"/>
    </row>
    <row r="73">
      <c r="A73" s="183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5"/>
    </row>
    <row r="74">
      <c r="A74" s="183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5"/>
    </row>
    <row r="75">
      <c r="A75" s="183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5"/>
    </row>
    <row r="76">
      <c r="A76" s="183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5"/>
    </row>
    <row r="77">
      <c r="A77" s="183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5"/>
    </row>
    <row r="78">
      <c r="A78" s="183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5"/>
    </row>
    <row r="79">
      <c r="A79" s="183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5"/>
    </row>
    <row r="80">
      <c r="A80" s="183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5"/>
    </row>
    <row r="81">
      <c r="A81" s="183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5"/>
    </row>
    <row r="82">
      <c r="A82" s="183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5"/>
    </row>
    <row r="83">
      <c r="A83" s="183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5"/>
    </row>
    <row r="84">
      <c r="A84" s="183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5"/>
    </row>
    <row r="85">
      <c r="A85" s="183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5"/>
    </row>
    <row r="86">
      <c r="A86" s="183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5"/>
    </row>
    <row r="87">
      <c r="A87" s="183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5"/>
    </row>
    <row r="88">
      <c r="A88" s="183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5"/>
    </row>
    <row r="89">
      <c r="A89" s="183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5"/>
    </row>
    <row r="90">
      <c r="A90" s="183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5"/>
    </row>
    <row r="91">
      <c r="A91" s="183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5"/>
    </row>
    <row r="92">
      <c r="A92" s="183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5"/>
    </row>
    <row r="93">
      <c r="A93" s="183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5"/>
    </row>
    <row r="94">
      <c r="A94" s="183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5"/>
    </row>
    <row r="95">
      <c r="A95" s="183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5"/>
    </row>
    <row r="96">
      <c r="A96" s="183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5"/>
    </row>
    <row r="97">
      <c r="A97" s="183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5"/>
    </row>
    <row r="98">
      <c r="A98" s="183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5"/>
    </row>
    <row r="99">
      <c r="A99" s="183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5"/>
    </row>
    <row r="100">
      <c r="A100" s="183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5"/>
    </row>
    <row r="101">
      <c r="A101" s="183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5"/>
    </row>
    <row r="102">
      <c r="A102" s="183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5"/>
    </row>
    <row r="103">
      <c r="A103" s="183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5"/>
    </row>
    <row r="104">
      <c r="A104" s="183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5"/>
    </row>
    <row r="105">
      <c r="A105" s="183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5"/>
    </row>
    <row r="106">
      <c r="A106" s="183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5"/>
    </row>
    <row r="107">
      <c r="A107" s="183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5"/>
    </row>
    <row r="108">
      <c r="A108" s="183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5"/>
    </row>
    <row r="109">
      <c r="A109" s="183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5"/>
    </row>
    <row r="110">
      <c r="A110" s="183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5"/>
    </row>
    <row r="111">
      <c r="A111" s="183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5"/>
    </row>
    <row r="112">
      <c r="A112" s="183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5"/>
    </row>
    <row r="113">
      <c r="A113" s="186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8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.5"/>
    <col customWidth="1" min="3" max="3" width="10.38"/>
    <col customWidth="1" min="4" max="4" width="14.5"/>
    <col customWidth="1" min="5" max="5" width="23.88"/>
    <col customWidth="1" min="7" max="10" width="6.25"/>
    <col customWidth="1" min="11" max="11" width="15.0"/>
    <col customWidth="1" min="12" max="12" width="20.5"/>
    <col customWidth="1" min="13" max="13" width="16.0"/>
    <col customWidth="1" min="14" max="14" width="33.38"/>
  </cols>
  <sheetData>
    <row r="1" ht="36.75" customHeight="1">
      <c r="A1" s="163" t="s">
        <v>1560</v>
      </c>
      <c r="B1" s="163" t="s">
        <v>1561</v>
      </c>
      <c r="C1" s="163" t="s">
        <v>1562</v>
      </c>
      <c r="D1" s="163" t="s">
        <v>1563</v>
      </c>
      <c r="E1" s="163" t="s">
        <v>1564</v>
      </c>
      <c r="F1" s="163" t="s">
        <v>1565</v>
      </c>
      <c r="G1" s="163" t="s">
        <v>1566</v>
      </c>
      <c r="H1" s="163" t="s">
        <v>1567</v>
      </c>
      <c r="I1" s="163" t="s">
        <v>1568</v>
      </c>
      <c r="J1" s="163" t="s">
        <v>1569</v>
      </c>
      <c r="K1" s="163" t="s">
        <v>1570</v>
      </c>
      <c r="L1" s="62" t="s">
        <v>257</v>
      </c>
      <c r="M1" s="163" t="s">
        <v>1571</v>
      </c>
      <c r="N1" s="163" t="s">
        <v>2836</v>
      </c>
    </row>
    <row r="2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4"/>
    </row>
    <row r="3">
      <c r="A3" s="175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76"/>
    </row>
    <row r="4">
      <c r="A4" s="175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76"/>
    </row>
    <row r="5">
      <c r="A5" s="175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76"/>
    </row>
    <row r="6">
      <c r="A6" s="175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76"/>
    </row>
    <row r="7">
      <c r="A7" s="175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76"/>
    </row>
    <row r="8">
      <c r="A8" s="175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76"/>
    </row>
    <row r="9">
      <c r="A9" s="175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76"/>
    </row>
    <row r="10">
      <c r="A10" s="175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76"/>
    </row>
    <row r="11">
      <c r="A11" s="175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76"/>
    </row>
    <row r="12">
      <c r="A12" s="175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76"/>
    </row>
    <row r="13">
      <c r="A13" s="175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76"/>
    </row>
    <row r="14">
      <c r="A14" s="175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76"/>
    </row>
    <row r="15">
      <c r="A15" s="175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76"/>
    </row>
    <row r="16">
      <c r="A16" s="175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76"/>
    </row>
    <row r="17">
      <c r="A17" s="175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76"/>
    </row>
    <row r="18">
      <c r="A18" s="175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76"/>
    </row>
    <row r="19">
      <c r="A19" s="175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76"/>
    </row>
    <row r="20">
      <c r="A20" s="175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76"/>
    </row>
    <row r="21">
      <c r="A21" s="175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76"/>
    </row>
    <row r="22">
      <c r="A22" s="175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76"/>
    </row>
    <row r="23">
      <c r="A23" s="175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76"/>
    </row>
    <row r="24">
      <c r="A24" s="175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76"/>
    </row>
    <row r="25">
      <c r="A25" s="175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76"/>
    </row>
    <row r="26">
      <c r="A26" s="175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76"/>
    </row>
    <row r="27">
      <c r="A27" s="175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76"/>
    </row>
    <row r="28">
      <c r="A28" s="175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76"/>
    </row>
    <row r="29">
      <c r="A29" s="175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76"/>
    </row>
    <row r="30">
      <c r="A30" s="175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76"/>
    </row>
    <row r="31">
      <c r="A31" s="175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76"/>
    </row>
    <row r="32">
      <c r="A32" s="175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76"/>
    </row>
    <row r="33">
      <c r="A33" s="175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76"/>
    </row>
    <row r="34">
      <c r="A34" s="175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76"/>
    </row>
    <row r="35">
      <c r="A35" s="175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76"/>
    </row>
    <row r="36">
      <c r="A36" s="175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76"/>
    </row>
    <row r="37">
      <c r="A37" s="175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76"/>
    </row>
    <row r="38">
      <c r="A38" s="175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76"/>
    </row>
    <row r="39">
      <c r="A39" s="175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76"/>
    </row>
    <row r="40">
      <c r="A40" s="175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76"/>
    </row>
    <row r="41">
      <c r="A41" s="175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76"/>
    </row>
    <row r="42">
      <c r="A42" s="175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76"/>
    </row>
    <row r="43">
      <c r="A43" s="175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76"/>
    </row>
    <row r="44">
      <c r="A44" s="175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76"/>
    </row>
    <row r="45">
      <c r="A45" s="175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76"/>
    </row>
    <row r="46">
      <c r="A46" s="175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76"/>
    </row>
    <row r="47">
      <c r="A47" s="175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76"/>
    </row>
    <row r="48">
      <c r="A48" s="175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76"/>
    </row>
    <row r="49">
      <c r="A49" s="175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76"/>
    </row>
    <row r="50">
      <c r="A50" s="175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76"/>
    </row>
    <row r="51">
      <c r="A51" s="175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76"/>
    </row>
    <row r="52">
      <c r="A52" s="175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76"/>
    </row>
    <row r="53">
      <c r="A53" s="175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76"/>
    </row>
    <row r="54">
      <c r="A54" s="175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76"/>
    </row>
    <row r="55">
      <c r="A55" s="175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76"/>
    </row>
    <row r="56">
      <c r="A56" s="175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76"/>
    </row>
    <row r="57">
      <c r="A57" s="175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76"/>
    </row>
    <row r="58">
      <c r="A58" s="175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76"/>
    </row>
    <row r="59">
      <c r="A59" s="175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76"/>
    </row>
    <row r="60">
      <c r="A60" s="175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76"/>
    </row>
    <row r="61">
      <c r="A61" s="175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76"/>
    </row>
    <row r="62">
      <c r="A62" s="175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76"/>
    </row>
    <row r="63">
      <c r="A63" s="175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76"/>
    </row>
    <row r="64">
      <c r="A64" s="175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76"/>
    </row>
    <row r="65">
      <c r="A65" s="175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76"/>
    </row>
    <row r="66">
      <c r="A66" s="175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76"/>
    </row>
    <row r="67">
      <c r="A67" s="175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76"/>
    </row>
    <row r="68">
      <c r="A68" s="175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76"/>
    </row>
    <row r="69">
      <c r="A69" s="175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76"/>
    </row>
    <row r="70">
      <c r="A70" s="175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76"/>
    </row>
    <row r="71">
      <c r="A71" s="175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76"/>
    </row>
    <row r="72">
      <c r="A72" s="175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76"/>
    </row>
    <row r="73">
      <c r="A73" s="175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76"/>
    </row>
    <row r="74">
      <c r="A74" s="175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76"/>
    </row>
    <row r="75">
      <c r="A75" s="175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76"/>
    </row>
    <row r="76">
      <c r="A76" s="175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76"/>
    </row>
    <row r="77">
      <c r="A77" s="175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76"/>
    </row>
    <row r="78">
      <c r="A78" s="175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76"/>
    </row>
    <row r="79">
      <c r="A79" s="175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76"/>
    </row>
    <row r="80">
      <c r="A80" s="177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9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8.75"/>
    <col customWidth="1" min="3" max="3" width="10.63"/>
    <col customWidth="1" min="5" max="5" width="15.25"/>
    <col customWidth="1" min="7" max="10" width="5.75"/>
    <col customWidth="1" min="11" max="11" width="8.38"/>
    <col customWidth="1" min="17" max="17" width="19.5"/>
  </cols>
  <sheetData>
    <row r="1">
      <c r="A1" s="189" t="s">
        <v>1560</v>
      </c>
      <c r="B1" s="189" t="s">
        <v>1561</v>
      </c>
      <c r="C1" s="189" t="s">
        <v>1562</v>
      </c>
      <c r="D1" s="189" t="s">
        <v>1563</v>
      </c>
      <c r="E1" s="189" t="s">
        <v>1564</v>
      </c>
      <c r="F1" s="189" t="s">
        <v>1565</v>
      </c>
      <c r="G1" s="189" t="s">
        <v>1566</v>
      </c>
      <c r="H1" s="189" t="s">
        <v>1567</v>
      </c>
      <c r="I1" s="189" t="s">
        <v>1568</v>
      </c>
      <c r="J1" s="189" t="s">
        <v>1569</v>
      </c>
      <c r="K1" s="189" t="s">
        <v>2835</v>
      </c>
      <c r="L1" s="189" t="s">
        <v>1570</v>
      </c>
      <c r="M1" s="39" t="s">
        <v>257</v>
      </c>
      <c r="N1" s="189" t="s">
        <v>1571</v>
      </c>
      <c r="O1" s="127"/>
    </row>
    <row r="2">
      <c r="A2" s="28" t="s">
        <v>0</v>
      </c>
      <c r="B2" s="28" t="s">
        <v>1572</v>
      </c>
      <c r="C2" s="28" t="s">
        <v>1573</v>
      </c>
      <c r="D2" s="28" t="s">
        <v>1577</v>
      </c>
      <c r="E2" s="40" t="s">
        <v>1578</v>
      </c>
      <c r="F2" s="28" t="s">
        <v>1579</v>
      </c>
      <c r="G2" s="28">
        <v>2.0</v>
      </c>
      <c r="H2" s="28">
        <v>0.0</v>
      </c>
      <c r="I2" s="28">
        <v>2.0</v>
      </c>
      <c r="J2" s="28">
        <v>3.0</v>
      </c>
      <c r="K2" s="190">
        <v>15.0</v>
      </c>
      <c r="L2" s="122" t="s">
        <v>1487</v>
      </c>
      <c r="M2" s="121" t="str">
        <f>IFNA(VLOOKUP(L2,'Faculty Details'!$B:$H,4,0),"")</f>
        <v>Dr.GOPI G</v>
      </c>
      <c r="N2" s="121" t="str">
        <f>IFNA(VLOOKUP(L2,'Faculty Details'!$B:$H,7,0),"")</f>
        <v>gopi@bitsathy.ac.in</v>
      </c>
      <c r="O2" s="121"/>
    </row>
    <row r="3">
      <c r="A3" s="28" t="s">
        <v>4</v>
      </c>
      <c r="B3" s="28" t="s">
        <v>1572</v>
      </c>
      <c r="C3" s="28" t="s">
        <v>1573</v>
      </c>
      <c r="D3" s="28" t="s">
        <v>1577</v>
      </c>
      <c r="E3" s="40" t="s">
        <v>1578</v>
      </c>
      <c r="F3" s="28" t="s">
        <v>1579</v>
      </c>
      <c r="G3" s="28">
        <v>2.0</v>
      </c>
      <c r="H3" s="28">
        <v>0.0</v>
      </c>
      <c r="I3" s="28">
        <v>2.0</v>
      </c>
      <c r="J3" s="28">
        <v>3.0</v>
      </c>
      <c r="K3" s="190">
        <v>15.0</v>
      </c>
      <c r="L3" s="122" t="s">
        <v>1475</v>
      </c>
      <c r="M3" s="121" t="str">
        <f>IFNA(VLOOKUP(L3,'Faculty Details'!$B:$H,4,0),"")</f>
        <v>Dr.SADASIVAM K</v>
      </c>
      <c r="N3" s="121" t="str">
        <f>IFNA(VLOOKUP(L3,'Faculty Details'!$B:$H,7,0),"")</f>
        <v>sadasivamk@bitsathy.ac.in</v>
      </c>
      <c r="O3" s="121"/>
    </row>
    <row r="4">
      <c r="A4" s="28" t="s">
        <v>4</v>
      </c>
      <c r="B4" s="28" t="s">
        <v>1572</v>
      </c>
      <c r="C4" s="28" t="s">
        <v>1573</v>
      </c>
      <c r="D4" s="28" t="s">
        <v>1577</v>
      </c>
      <c r="E4" s="40" t="s">
        <v>1578</v>
      </c>
      <c r="F4" s="28" t="s">
        <v>1579</v>
      </c>
      <c r="G4" s="28">
        <v>2.0</v>
      </c>
      <c r="H4" s="28">
        <v>0.0</v>
      </c>
      <c r="I4" s="28">
        <v>2.0</v>
      </c>
      <c r="J4" s="28">
        <v>3.0</v>
      </c>
      <c r="K4" s="190">
        <v>15.0</v>
      </c>
      <c r="L4" s="122" t="s">
        <v>1508</v>
      </c>
      <c r="M4" s="121" t="str">
        <f>IFNA(VLOOKUP(L4,'Faculty Details'!$B:$H,4,0),"")</f>
        <v>Dr.ROHINI P</v>
      </c>
      <c r="N4" s="121" t="str">
        <f>IFNA(VLOOKUP(L4,'Faculty Details'!$B:$H,7,0),"")</f>
        <v>rohinip@bitsathy.ac.in</v>
      </c>
      <c r="O4" s="121"/>
    </row>
    <row r="5">
      <c r="A5" s="28" t="s">
        <v>4</v>
      </c>
      <c r="B5" s="28" t="s">
        <v>1572</v>
      </c>
      <c r="C5" s="28" t="s">
        <v>1573</v>
      </c>
      <c r="D5" s="28" t="s">
        <v>1577</v>
      </c>
      <c r="E5" s="40" t="s">
        <v>1578</v>
      </c>
      <c r="F5" s="28" t="s">
        <v>1579</v>
      </c>
      <c r="G5" s="28">
        <v>2.0</v>
      </c>
      <c r="H5" s="28">
        <v>0.0</v>
      </c>
      <c r="I5" s="28">
        <v>2.0</v>
      </c>
      <c r="J5" s="28">
        <v>3.0</v>
      </c>
      <c r="K5" s="190">
        <v>15.0</v>
      </c>
      <c r="L5" s="122" t="s">
        <v>1472</v>
      </c>
      <c r="M5" s="121" t="str">
        <f>IFNA(VLOOKUP(L5,'Faculty Details'!$B:$H,4,0),"")</f>
        <v>Dr.THIRUMOORTHY M</v>
      </c>
      <c r="N5" s="121" t="str">
        <f>IFNA(VLOOKUP(L5,'Faculty Details'!$B:$H,7,0),"")</f>
        <v>thirumoorthy@bitsathy.ac.in</v>
      </c>
      <c r="O5" s="121"/>
    </row>
    <row r="6">
      <c r="A6" s="28" t="s">
        <v>4</v>
      </c>
      <c r="B6" s="28" t="s">
        <v>1572</v>
      </c>
      <c r="C6" s="28" t="s">
        <v>1573</v>
      </c>
      <c r="D6" s="28" t="s">
        <v>1577</v>
      </c>
      <c r="E6" s="40" t="s">
        <v>1578</v>
      </c>
      <c r="F6" s="28" t="s">
        <v>1579</v>
      </c>
      <c r="G6" s="28">
        <v>2.0</v>
      </c>
      <c r="H6" s="28">
        <v>0.0</v>
      </c>
      <c r="I6" s="28">
        <v>2.0</v>
      </c>
      <c r="J6" s="28">
        <v>3.0</v>
      </c>
      <c r="K6" s="190">
        <v>15.0</v>
      </c>
      <c r="L6" s="122" t="s">
        <v>1484</v>
      </c>
      <c r="M6" s="121" t="str">
        <f>IFNA(VLOOKUP(L6,'Faculty Details'!$B:$H,4,0),"")</f>
        <v>Dr.ANANDHA BABU G</v>
      </c>
      <c r="N6" s="121" t="str">
        <f>IFNA(VLOOKUP(L6,'Faculty Details'!$B:$H,7,0),"")</f>
        <v>anandhababug@bitsathy.ac.in</v>
      </c>
      <c r="O6" s="121"/>
    </row>
    <row r="7">
      <c r="A7" s="28" t="s">
        <v>9</v>
      </c>
      <c r="B7" s="28" t="s">
        <v>1572</v>
      </c>
      <c r="C7" s="28" t="s">
        <v>1573</v>
      </c>
      <c r="D7" s="28" t="s">
        <v>1577</v>
      </c>
      <c r="E7" s="40" t="s">
        <v>1578</v>
      </c>
      <c r="F7" s="28" t="s">
        <v>1579</v>
      </c>
      <c r="G7" s="28">
        <v>2.0</v>
      </c>
      <c r="H7" s="28">
        <v>0.0</v>
      </c>
      <c r="I7" s="28">
        <v>2.0</v>
      </c>
      <c r="J7" s="28">
        <v>3.0</v>
      </c>
      <c r="K7" s="190">
        <v>15.0</v>
      </c>
      <c r="L7" s="122" t="s">
        <v>1502</v>
      </c>
      <c r="M7" s="121" t="str">
        <f>IFNA(VLOOKUP(L7,'Faculty Details'!$B:$H,4,0),"")</f>
        <v>Dr.VIJAYAKUMAR V N</v>
      </c>
      <c r="N7" s="121" t="str">
        <f>IFNA(VLOOKUP(L7,'Faculty Details'!$B:$H,7,0),"")</f>
        <v>vijayakumarvn@bitsathy.ac.in</v>
      </c>
      <c r="O7" s="121"/>
    </row>
    <row r="8">
      <c r="A8" s="28" t="s">
        <v>9</v>
      </c>
      <c r="B8" s="28" t="s">
        <v>1572</v>
      </c>
      <c r="C8" s="28" t="s">
        <v>1573</v>
      </c>
      <c r="D8" s="28" t="s">
        <v>1577</v>
      </c>
      <c r="E8" s="40" t="s">
        <v>1578</v>
      </c>
      <c r="F8" s="28" t="s">
        <v>1579</v>
      </c>
      <c r="G8" s="28">
        <v>2.0</v>
      </c>
      <c r="H8" s="28">
        <v>0.0</v>
      </c>
      <c r="I8" s="28">
        <v>2.0</v>
      </c>
      <c r="J8" s="28">
        <v>3.0</v>
      </c>
      <c r="K8" s="190">
        <v>15.0</v>
      </c>
      <c r="L8" s="122" t="s">
        <v>1490</v>
      </c>
      <c r="M8" s="121" t="str">
        <f>IFNA(VLOOKUP(L8,'Faculty Details'!$B:$H,4,0),"")</f>
        <v>Dr.SIVA G</v>
      </c>
      <c r="N8" s="121" t="str">
        <f>IFNA(VLOOKUP(L8,'Faculty Details'!$B:$H,7,0),"")</f>
        <v>sivag@bitsathy.ac.in</v>
      </c>
      <c r="O8" s="121"/>
    </row>
    <row r="9">
      <c r="A9" s="28" t="s">
        <v>13</v>
      </c>
      <c r="B9" s="28" t="s">
        <v>1572</v>
      </c>
      <c r="C9" s="28" t="s">
        <v>1573</v>
      </c>
      <c r="D9" s="28" t="s">
        <v>1577</v>
      </c>
      <c r="E9" s="40" t="s">
        <v>1578</v>
      </c>
      <c r="F9" s="28" t="s">
        <v>1579</v>
      </c>
      <c r="G9" s="28">
        <v>2.0</v>
      </c>
      <c r="H9" s="28">
        <v>0.0</v>
      </c>
      <c r="I9" s="28">
        <v>2.0</v>
      </c>
      <c r="J9" s="28">
        <v>3.0</v>
      </c>
      <c r="K9" s="190">
        <v>15.0</v>
      </c>
      <c r="L9" s="122" t="s">
        <v>1469</v>
      </c>
      <c r="M9" s="121" t="str">
        <f>IFNA(VLOOKUP(L9,'Faculty Details'!$B:$H,4,0),"")</f>
        <v>Dr.SELVAKUMAR K</v>
      </c>
      <c r="N9" s="121" t="str">
        <f>IFNA(VLOOKUP(L9,'Faculty Details'!$B:$H,7,0),"")</f>
        <v>selvakumark@bitsathy.ac.in</v>
      </c>
      <c r="O9" s="121"/>
    </row>
    <row r="10">
      <c r="A10" s="28" t="s">
        <v>13</v>
      </c>
      <c r="B10" s="28" t="s">
        <v>1572</v>
      </c>
      <c r="C10" s="28" t="s">
        <v>1573</v>
      </c>
      <c r="D10" s="28" t="s">
        <v>1577</v>
      </c>
      <c r="E10" s="40" t="s">
        <v>1578</v>
      </c>
      <c r="F10" s="28" t="s">
        <v>1579</v>
      </c>
      <c r="G10" s="28">
        <v>2.0</v>
      </c>
      <c r="H10" s="28">
        <v>0.0</v>
      </c>
      <c r="I10" s="28">
        <v>2.0</v>
      </c>
      <c r="J10" s="28">
        <v>3.0</v>
      </c>
      <c r="K10" s="190">
        <v>15.0</v>
      </c>
      <c r="L10" s="122" t="s">
        <v>1484</v>
      </c>
      <c r="M10" s="121" t="str">
        <f>IFNA(VLOOKUP(L10,'Faculty Details'!$B:$H,4,0),"")</f>
        <v>Dr.ANANDHA BABU G</v>
      </c>
      <c r="N10" s="121" t="str">
        <f>IFNA(VLOOKUP(L10,'Faculty Details'!$B:$H,7,0),"")</f>
        <v>anandhababug@bitsathy.ac.in</v>
      </c>
      <c r="O10" s="121"/>
    </row>
    <row r="11">
      <c r="A11" s="28" t="s">
        <v>18</v>
      </c>
      <c r="B11" s="28" t="s">
        <v>1572</v>
      </c>
      <c r="C11" s="28" t="s">
        <v>1573</v>
      </c>
      <c r="D11" s="28" t="s">
        <v>1577</v>
      </c>
      <c r="E11" s="40" t="s">
        <v>1578</v>
      </c>
      <c r="F11" s="28" t="s">
        <v>1579</v>
      </c>
      <c r="G11" s="28">
        <v>2.0</v>
      </c>
      <c r="H11" s="28">
        <v>0.0</v>
      </c>
      <c r="I11" s="28">
        <v>2.0</v>
      </c>
      <c r="J11" s="28">
        <v>3.0</v>
      </c>
      <c r="K11" s="190">
        <v>15.0</v>
      </c>
      <c r="L11" s="122" t="s">
        <v>1505</v>
      </c>
      <c r="M11" s="121" t="str">
        <f>IFNA(VLOOKUP(L11,'Faculty Details'!$B:$H,4,0),"")</f>
        <v>Dr.PONGALI SATHYA PRABU N</v>
      </c>
      <c r="N11" s="121" t="str">
        <f>IFNA(VLOOKUP(L11,'Faculty Details'!$B:$H,7,0),"")</f>
        <v>pongalispn@bitsathy.ac.in</v>
      </c>
      <c r="O11" s="121"/>
    </row>
    <row r="12">
      <c r="A12" s="28" t="s">
        <v>18</v>
      </c>
      <c r="B12" s="28" t="s">
        <v>1572</v>
      </c>
      <c r="C12" s="28" t="s">
        <v>1573</v>
      </c>
      <c r="D12" s="28" t="s">
        <v>1577</v>
      </c>
      <c r="E12" s="40" t="s">
        <v>1578</v>
      </c>
      <c r="F12" s="28" t="s">
        <v>1579</v>
      </c>
      <c r="G12" s="28">
        <v>2.0</v>
      </c>
      <c r="H12" s="28">
        <v>0.0</v>
      </c>
      <c r="I12" s="28">
        <v>2.0</v>
      </c>
      <c r="J12" s="28">
        <v>3.0</v>
      </c>
      <c r="K12" s="190">
        <v>15.0</v>
      </c>
      <c r="L12" s="122" t="s">
        <v>1466</v>
      </c>
      <c r="M12" s="121" t="str">
        <f>IFNA(VLOOKUP(L12,'Faculty Details'!$B:$H,4,0),"")</f>
        <v>Dr.ASHOKAN S</v>
      </c>
      <c r="N12" s="121" t="str">
        <f>IFNA(VLOOKUP(L12,'Faculty Details'!$B:$H,7,0),"")</f>
        <v>ashokan@bitsathy.ac.in</v>
      </c>
      <c r="O12" s="121"/>
    </row>
    <row r="13">
      <c r="A13" s="28" t="s">
        <v>18</v>
      </c>
      <c r="B13" s="28" t="s">
        <v>1572</v>
      </c>
      <c r="C13" s="28" t="s">
        <v>1573</v>
      </c>
      <c r="D13" s="28" t="s">
        <v>1577</v>
      </c>
      <c r="E13" s="40" t="s">
        <v>1578</v>
      </c>
      <c r="F13" s="28" t="s">
        <v>1579</v>
      </c>
      <c r="G13" s="28">
        <v>2.0</v>
      </c>
      <c r="H13" s="28">
        <v>0.0</v>
      </c>
      <c r="I13" s="28">
        <v>2.0</v>
      </c>
      <c r="J13" s="28">
        <v>3.0</v>
      </c>
      <c r="K13" s="190">
        <v>15.0</v>
      </c>
      <c r="L13" s="122" t="s">
        <v>1469</v>
      </c>
      <c r="M13" s="121" t="str">
        <f>IFNA(VLOOKUP(L13,'Faculty Details'!$B:$H,4,0),"")</f>
        <v>Dr.SELVAKUMAR K</v>
      </c>
      <c r="N13" s="121" t="str">
        <f>IFNA(VLOOKUP(L13,'Faculty Details'!$B:$H,7,0),"")</f>
        <v>selvakumark@bitsathy.ac.in</v>
      </c>
      <c r="O13" s="121"/>
    </row>
    <row r="14">
      <c r="A14" s="28" t="s">
        <v>18</v>
      </c>
      <c r="B14" s="28" t="s">
        <v>1572</v>
      </c>
      <c r="C14" s="28" t="s">
        <v>1573</v>
      </c>
      <c r="D14" s="28" t="s">
        <v>1577</v>
      </c>
      <c r="E14" s="40" t="s">
        <v>1578</v>
      </c>
      <c r="F14" s="28" t="s">
        <v>1579</v>
      </c>
      <c r="G14" s="28">
        <v>2.0</v>
      </c>
      <c r="H14" s="28">
        <v>0.0</v>
      </c>
      <c r="I14" s="28">
        <v>2.0</v>
      </c>
      <c r="J14" s="28">
        <v>3.0</v>
      </c>
      <c r="K14" s="190">
        <v>15.0</v>
      </c>
      <c r="L14" s="122" t="s">
        <v>1487</v>
      </c>
      <c r="M14" s="121" t="str">
        <f>IFNA(VLOOKUP(L14,'Faculty Details'!$B:$H,4,0),"")</f>
        <v>Dr.GOPI G</v>
      </c>
      <c r="N14" s="121" t="str">
        <f>IFNA(VLOOKUP(L14,'Faculty Details'!$B:$H,7,0),"")</f>
        <v>gopi@bitsathy.ac.in</v>
      </c>
      <c r="O14" s="121"/>
    </row>
    <row r="15">
      <c r="A15" s="28" t="s">
        <v>18</v>
      </c>
      <c r="B15" s="28" t="s">
        <v>1572</v>
      </c>
      <c r="C15" s="28" t="s">
        <v>1573</v>
      </c>
      <c r="D15" s="28" t="s">
        <v>1577</v>
      </c>
      <c r="E15" s="40" t="s">
        <v>1578</v>
      </c>
      <c r="F15" s="28" t="s">
        <v>1579</v>
      </c>
      <c r="G15" s="28">
        <v>2.0</v>
      </c>
      <c r="H15" s="28">
        <v>0.0</v>
      </c>
      <c r="I15" s="28">
        <v>2.0</v>
      </c>
      <c r="J15" s="28">
        <v>3.0</v>
      </c>
      <c r="K15" s="190">
        <v>15.0</v>
      </c>
      <c r="L15" s="122" t="s">
        <v>1493</v>
      </c>
      <c r="M15" s="121" t="str">
        <f>IFNA(VLOOKUP(L15,'Faculty Details'!$B:$H,4,0),"")</f>
        <v>Dr.BASKARAN P</v>
      </c>
      <c r="N15" s="121" t="str">
        <f>IFNA(VLOOKUP(L15,'Faculty Details'!$B:$H,7,0),"")</f>
        <v>baskaranp@bitsathy.ac.in</v>
      </c>
      <c r="O15" s="121"/>
    </row>
    <row r="16">
      <c r="A16" s="28" t="s">
        <v>18</v>
      </c>
      <c r="B16" s="28" t="s">
        <v>1572</v>
      </c>
      <c r="C16" s="28" t="s">
        <v>1573</v>
      </c>
      <c r="D16" s="28" t="s">
        <v>1577</v>
      </c>
      <c r="E16" s="40" t="s">
        <v>1578</v>
      </c>
      <c r="F16" s="28" t="s">
        <v>1579</v>
      </c>
      <c r="G16" s="28">
        <v>2.0</v>
      </c>
      <c r="H16" s="28">
        <v>0.0</v>
      </c>
      <c r="I16" s="28">
        <v>2.0</v>
      </c>
      <c r="J16" s="28">
        <v>3.0</v>
      </c>
      <c r="K16" s="190">
        <v>15.0</v>
      </c>
      <c r="L16" s="122" t="s">
        <v>2149</v>
      </c>
      <c r="M16" s="121" t="str">
        <f>IFNA(VLOOKUP(L16,'Faculty Details'!$B:$H,4,0),"")</f>
        <v/>
      </c>
      <c r="N16" s="121" t="str">
        <f>IFNA(VLOOKUP(L16,'Faculty Details'!$B:$H,7,0),"")</f>
        <v/>
      </c>
      <c r="O16" s="121"/>
    </row>
    <row r="17">
      <c r="A17" s="28" t="s">
        <v>27</v>
      </c>
      <c r="B17" s="28" t="s">
        <v>1572</v>
      </c>
      <c r="C17" s="28" t="s">
        <v>1573</v>
      </c>
      <c r="D17" s="28" t="s">
        <v>1577</v>
      </c>
      <c r="E17" s="40" t="s">
        <v>1578</v>
      </c>
      <c r="F17" s="28" t="s">
        <v>1579</v>
      </c>
      <c r="G17" s="28">
        <v>2.0</v>
      </c>
      <c r="H17" s="28">
        <v>0.0</v>
      </c>
      <c r="I17" s="28">
        <v>2.0</v>
      </c>
      <c r="J17" s="28">
        <v>3.0</v>
      </c>
      <c r="K17" s="190">
        <v>15.0</v>
      </c>
      <c r="L17" s="122" t="s">
        <v>1505</v>
      </c>
      <c r="M17" s="121" t="str">
        <f>IFNA(VLOOKUP(L17,'Faculty Details'!$B:$H,4,0),"")</f>
        <v>Dr.PONGALI SATHYA PRABU N</v>
      </c>
      <c r="N17" s="121" t="str">
        <f>IFNA(VLOOKUP(L17,'Faculty Details'!$B:$H,7,0),"")</f>
        <v>pongalispn@bitsathy.ac.in</v>
      </c>
      <c r="O17" s="121"/>
    </row>
    <row r="18">
      <c r="A18" s="28" t="s">
        <v>27</v>
      </c>
      <c r="B18" s="28" t="s">
        <v>1572</v>
      </c>
      <c r="C18" s="28" t="s">
        <v>1573</v>
      </c>
      <c r="D18" s="28" t="s">
        <v>1577</v>
      </c>
      <c r="E18" s="40" t="s">
        <v>1578</v>
      </c>
      <c r="F18" s="28" t="s">
        <v>1579</v>
      </c>
      <c r="G18" s="28">
        <v>2.0</v>
      </c>
      <c r="H18" s="28">
        <v>0.0</v>
      </c>
      <c r="I18" s="28">
        <v>2.0</v>
      </c>
      <c r="J18" s="28">
        <v>3.0</v>
      </c>
      <c r="K18" s="190">
        <v>15.0</v>
      </c>
      <c r="L18" s="122" t="s">
        <v>1478</v>
      </c>
      <c r="M18" s="121" t="str">
        <f>IFNA(VLOOKUP(L18,'Faculty Details'!$B:$H,4,0),"")</f>
        <v>Dr.VANITHA K</v>
      </c>
      <c r="N18" s="121" t="str">
        <f>IFNA(VLOOKUP(L18,'Faculty Details'!$B:$H,7,0),"")</f>
        <v>vanithak@bitsathy.ac.in</v>
      </c>
      <c r="O18" s="121"/>
    </row>
    <row r="19">
      <c r="A19" s="28" t="s">
        <v>32</v>
      </c>
      <c r="B19" s="28" t="s">
        <v>1572</v>
      </c>
      <c r="C19" s="28" t="s">
        <v>1573</v>
      </c>
      <c r="D19" s="28" t="s">
        <v>1577</v>
      </c>
      <c r="E19" s="40" t="s">
        <v>1578</v>
      </c>
      <c r="F19" s="28" t="s">
        <v>1579</v>
      </c>
      <c r="G19" s="28">
        <v>2.0</v>
      </c>
      <c r="H19" s="28">
        <v>0.0</v>
      </c>
      <c r="I19" s="28">
        <v>2.0</v>
      </c>
      <c r="J19" s="28">
        <v>3.0</v>
      </c>
      <c r="K19" s="190">
        <v>15.0</v>
      </c>
      <c r="L19" s="122" t="s">
        <v>1502</v>
      </c>
      <c r="M19" s="121" t="str">
        <f>IFNA(VLOOKUP(L19,'Faculty Details'!$B:$H,4,0),"")</f>
        <v>Dr.VIJAYAKUMAR V N</v>
      </c>
      <c r="N19" s="121" t="str">
        <f>IFNA(VLOOKUP(L19,'Faculty Details'!$B:$H,7,0),"")</f>
        <v>vijayakumarvn@bitsathy.ac.in</v>
      </c>
      <c r="O19" s="121"/>
    </row>
    <row r="20">
      <c r="A20" s="28" t="s">
        <v>32</v>
      </c>
      <c r="B20" s="28" t="s">
        <v>1572</v>
      </c>
      <c r="C20" s="28" t="s">
        <v>1573</v>
      </c>
      <c r="D20" s="28" t="s">
        <v>1577</v>
      </c>
      <c r="E20" s="40" t="s">
        <v>1578</v>
      </c>
      <c r="F20" s="28" t="s">
        <v>1579</v>
      </c>
      <c r="G20" s="28">
        <v>2.0</v>
      </c>
      <c r="H20" s="28">
        <v>0.0</v>
      </c>
      <c r="I20" s="28">
        <v>2.0</v>
      </c>
      <c r="J20" s="28">
        <v>3.0</v>
      </c>
      <c r="K20" s="190">
        <v>15.0</v>
      </c>
      <c r="L20" s="122" t="s">
        <v>1472</v>
      </c>
      <c r="M20" s="121" t="str">
        <f>IFNA(VLOOKUP(L20,'Faculty Details'!$B:$H,4,0),"")</f>
        <v>Dr.THIRUMOORTHY M</v>
      </c>
      <c r="N20" s="121" t="str">
        <f>IFNA(VLOOKUP(L20,'Faculty Details'!$B:$H,7,0),"")</f>
        <v>thirumoorthy@bitsathy.ac.in</v>
      </c>
      <c r="O20" s="121"/>
    </row>
    <row r="21">
      <c r="A21" s="28" t="s">
        <v>32</v>
      </c>
      <c r="B21" s="28" t="s">
        <v>1572</v>
      </c>
      <c r="C21" s="28" t="s">
        <v>1573</v>
      </c>
      <c r="D21" s="28" t="s">
        <v>1577</v>
      </c>
      <c r="E21" s="40" t="s">
        <v>1578</v>
      </c>
      <c r="F21" s="28" t="s">
        <v>1579</v>
      </c>
      <c r="G21" s="28">
        <v>2.0</v>
      </c>
      <c r="H21" s="28">
        <v>0.0</v>
      </c>
      <c r="I21" s="28">
        <v>2.0</v>
      </c>
      <c r="J21" s="28">
        <v>3.0</v>
      </c>
      <c r="K21" s="190">
        <v>15.0</v>
      </c>
      <c r="L21" s="122" t="s">
        <v>1481</v>
      </c>
      <c r="M21" s="121" t="str">
        <f>IFNA(VLOOKUP(L21,'Faculty Details'!$B:$H,4,0),"")</f>
        <v>Dr.SUNDARAM S</v>
      </c>
      <c r="N21" s="121" t="str">
        <f>IFNA(VLOOKUP(L21,'Faculty Details'!$B:$H,7,0),"")</f>
        <v>sundarams@bitsathy.ac.in</v>
      </c>
      <c r="O21" s="121"/>
    </row>
    <row r="22">
      <c r="A22" s="28" t="s">
        <v>32</v>
      </c>
      <c r="B22" s="28" t="s">
        <v>1572</v>
      </c>
      <c r="C22" s="28" t="s">
        <v>1573</v>
      </c>
      <c r="D22" s="28" t="s">
        <v>1577</v>
      </c>
      <c r="E22" s="40" t="s">
        <v>1578</v>
      </c>
      <c r="F22" s="28" t="s">
        <v>1579</v>
      </c>
      <c r="G22" s="28">
        <v>2.0</v>
      </c>
      <c r="H22" s="28">
        <v>0.0</v>
      </c>
      <c r="I22" s="28">
        <v>2.0</v>
      </c>
      <c r="J22" s="28">
        <v>3.0</v>
      </c>
      <c r="K22" s="190">
        <v>15.0</v>
      </c>
      <c r="L22" s="122" t="s">
        <v>1490</v>
      </c>
      <c r="M22" s="121" t="str">
        <f>IFNA(VLOOKUP(L22,'Faculty Details'!$B:$H,4,0),"")</f>
        <v>Dr.SIVA G</v>
      </c>
      <c r="N22" s="121" t="str">
        <f>IFNA(VLOOKUP(L22,'Faculty Details'!$B:$H,7,0),"")</f>
        <v>sivag@bitsathy.ac.in</v>
      </c>
      <c r="O22" s="121"/>
    </row>
    <row r="23">
      <c r="A23" s="28" t="s">
        <v>37</v>
      </c>
      <c r="B23" s="28" t="s">
        <v>1572</v>
      </c>
      <c r="C23" s="28" t="s">
        <v>1573</v>
      </c>
      <c r="D23" s="28" t="s">
        <v>1577</v>
      </c>
      <c r="E23" s="40" t="s">
        <v>1578</v>
      </c>
      <c r="F23" s="28" t="s">
        <v>1579</v>
      </c>
      <c r="G23" s="28">
        <v>2.0</v>
      </c>
      <c r="H23" s="28">
        <v>0.0</v>
      </c>
      <c r="I23" s="28">
        <v>2.0</v>
      </c>
      <c r="J23" s="28">
        <v>3.0</v>
      </c>
      <c r="K23" s="190">
        <v>15.0</v>
      </c>
      <c r="L23" s="122" t="s">
        <v>1508</v>
      </c>
      <c r="M23" s="121" t="str">
        <f>IFNA(VLOOKUP(L23,'Faculty Details'!$B:$H,4,0),"")</f>
        <v>Dr.ROHINI P</v>
      </c>
      <c r="N23" s="121" t="str">
        <f>IFNA(VLOOKUP(L23,'Faculty Details'!$B:$H,7,0),"")</f>
        <v>rohinip@bitsathy.ac.in</v>
      </c>
      <c r="O23" s="121"/>
    </row>
    <row r="24">
      <c r="A24" s="28" t="s">
        <v>40</v>
      </c>
      <c r="B24" s="28" t="s">
        <v>1572</v>
      </c>
      <c r="C24" s="28" t="s">
        <v>1573</v>
      </c>
      <c r="D24" s="28" t="s">
        <v>1577</v>
      </c>
      <c r="E24" s="40" t="s">
        <v>1578</v>
      </c>
      <c r="F24" s="28" t="s">
        <v>1579</v>
      </c>
      <c r="G24" s="28">
        <v>2.0</v>
      </c>
      <c r="H24" s="28">
        <v>0.0</v>
      </c>
      <c r="I24" s="28">
        <v>2.0</v>
      </c>
      <c r="J24" s="28">
        <v>3.0</v>
      </c>
      <c r="K24" s="190">
        <v>15.0</v>
      </c>
      <c r="L24" s="122" t="s">
        <v>1493</v>
      </c>
      <c r="M24" s="121" t="str">
        <f>IFNA(VLOOKUP(L24,'Faculty Details'!$B:$H,4,0),"")</f>
        <v>Dr.BASKARAN P</v>
      </c>
      <c r="N24" s="121" t="str">
        <f>IFNA(VLOOKUP(L24,'Faculty Details'!$B:$H,7,0),"")</f>
        <v>baskaranp@bitsathy.ac.in</v>
      </c>
      <c r="O24" s="121"/>
    </row>
    <row r="25">
      <c r="A25" s="28" t="s">
        <v>40</v>
      </c>
      <c r="B25" s="28" t="s">
        <v>1572</v>
      </c>
      <c r="C25" s="28" t="s">
        <v>1573</v>
      </c>
      <c r="D25" s="28" t="s">
        <v>1577</v>
      </c>
      <c r="E25" s="40" t="s">
        <v>1578</v>
      </c>
      <c r="F25" s="28" t="s">
        <v>1579</v>
      </c>
      <c r="G25" s="28">
        <v>2.0</v>
      </c>
      <c r="H25" s="28">
        <v>0.0</v>
      </c>
      <c r="I25" s="28">
        <v>2.0</v>
      </c>
      <c r="J25" s="28">
        <v>3.0</v>
      </c>
      <c r="K25" s="190">
        <v>15.0</v>
      </c>
      <c r="L25" s="122" t="s">
        <v>1462</v>
      </c>
      <c r="M25" s="121" t="str">
        <f>IFNA(VLOOKUP(L25,'Faculty Details'!$B:$H,4,0),"")</f>
        <v>Dr.PARASURAMAN P</v>
      </c>
      <c r="N25" s="121" t="str">
        <f>IFNA(VLOOKUP(L25,'Faculty Details'!$B:$H,7,0),"")</f>
        <v>parasuraman@bitsathy.ac.in</v>
      </c>
      <c r="O25" s="121"/>
    </row>
    <row r="26">
      <c r="A26" s="28" t="s">
        <v>40</v>
      </c>
      <c r="B26" s="28" t="s">
        <v>1572</v>
      </c>
      <c r="C26" s="28" t="s">
        <v>1573</v>
      </c>
      <c r="D26" s="28" t="s">
        <v>1577</v>
      </c>
      <c r="E26" s="40" t="s">
        <v>1578</v>
      </c>
      <c r="F26" s="28" t="s">
        <v>1579</v>
      </c>
      <c r="G26" s="28">
        <v>2.0</v>
      </c>
      <c r="H26" s="28">
        <v>0.0</v>
      </c>
      <c r="I26" s="28">
        <v>2.0</v>
      </c>
      <c r="J26" s="28">
        <v>3.0</v>
      </c>
      <c r="K26" s="190">
        <v>15.0</v>
      </c>
      <c r="L26" s="122" t="s">
        <v>1478</v>
      </c>
      <c r="M26" s="121" t="str">
        <f>IFNA(VLOOKUP(L26,'Faculty Details'!$B:$H,4,0),"")</f>
        <v>Dr.VANITHA K</v>
      </c>
      <c r="N26" s="121" t="str">
        <f>IFNA(VLOOKUP(L26,'Faculty Details'!$B:$H,7,0),"")</f>
        <v>vanithak@bitsathy.ac.in</v>
      </c>
      <c r="O26" s="121"/>
    </row>
    <row r="27">
      <c r="A27" s="28" t="s">
        <v>40</v>
      </c>
      <c r="B27" s="28" t="s">
        <v>1572</v>
      </c>
      <c r="C27" s="28" t="s">
        <v>1573</v>
      </c>
      <c r="D27" s="28" t="s">
        <v>1577</v>
      </c>
      <c r="E27" s="40" t="s">
        <v>1578</v>
      </c>
      <c r="F27" s="28" t="s">
        <v>1579</v>
      </c>
      <c r="G27" s="28">
        <v>2.0</v>
      </c>
      <c r="H27" s="28">
        <v>0.0</v>
      </c>
      <c r="I27" s="28">
        <v>2.0</v>
      </c>
      <c r="J27" s="28">
        <v>3.0</v>
      </c>
      <c r="K27" s="190">
        <v>15.0</v>
      </c>
      <c r="L27" s="122" t="s">
        <v>1481</v>
      </c>
      <c r="M27" s="121" t="str">
        <f>IFNA(VLOOKUP(L27,'Faculty Details'!$B:$H,4,0),"")</f>
        <v>Dr.SUNDARAM S</v>
      </c>
      <c r="N27" s="121" t="str">
        <f>IFNA(VLOOKUP(L27,'Faculty Details'!$B:$H,7,0),"")</f>
        <v>sundarams@bitsathy.ac.in</v>
      </c>
      <c r="O27" s="121"/>
    </row>
    <row r="28">
      <c r="A28" s="28" t="s">
        <v>43</v>
      </c>
      <c r="B28" s="28" t="s">
        <v>1572</v>
      </c>
      <c r="C28" s="28" t="s">
        <v>1573</v>
      </c>
      <c r="D28" s="28" t="s">
        <v>1577</v>
      </c>
      <c r="E28" s="40" t="s">
        <v>1578</v>
      </c>
      <c r="F28" s="28" t="s">
        <v>1579</v>
      </c>
      <c r="G28" s="28">
        <v>2.0</v>
      </c>
      <c r="H28" s="28">
        <v>0.0</v>
      </c>
      <c r="I28" s="28">
        <v>2.0</v>
      </c>
      <c r="J28" s="28">
        <v>3.0</v>
      </c>
      <c r="K28" s="190">
        <v>15.0</v>
      </c>
      <c r="L28" s="122" t="s">
        <v>1462</v>
      </c>
      <c r="M28" s="121" t="str">
        <f>IFNA(VLOOKUP(L28,'Faculty Details'!$B:$H,4,0),"")</f>
        <v>Dr.PARASURAMAN P</v>
      </c>
      <c r="N28" s="121" t="str">
        <f>IFNA(VLOOKUP(L28,'Faculty Details'!$B:$H,7,0),"")</f>
        <v>parasuraman@bitsathy.ac.in</v>
      </c>
      <c r="O28" s="121"/>
    </row>
    <row r="29">
      <c r="A29" s="28" t="s">
        <v>46</v>
      </c>
      <c r="B29" s="28" t="s">
        <v>1572</v>
      </c>
      <c r="C29" s="28" t="s">
        <v>1573</v>
      </c>
      <c r="D29" s="28" t="s">
        <v>1577</v>
      </c>
      <c r="E29" s="40" t="s">
        <v>1578</v>
      </c>
      <c r="F29" s="28" t="s">
        <v>1579</v>
      </c>
      <c r="G29" s="28">
        <v>2.0</v>
      </c>
      <c r="H29" s="28">
        <v>0.0</v>
      </c>
      <c r="I29" s="28">
        <v>2.0</v>
      </c>
      <c r="J29" s="28">
        <v>3.0</v>
      </c>
      <c r="K29" s="190">
        <v>15.0</v>
      </c>
      <c r="L29" s="122" t="s">
        <v>1466</v>
      </c>
      <c r="M29" s="121" t="str">
        <f>IFNA(VLOOKUP(L29,'Faculty Details'!$B:$H,4,0),"")</f>
        <v>Dr.ASHOKAN S</v>
      </c>
      <c r="N29" s="121" t="str">
        <f>IFNA(VLOOKUP(L29,'Faculty Details'!$B:$H,7,0),"")</f>
        <v>ashokan@bitsathy.ac.in</v>
      </c>
      <c r="O29" s="121"/>
    </row>
    <row r="30">
      <c r="A30" s="115"/>
      <c r="B30" s="115"/>
      <c r="C30" s="115"/>
      <c r="D30" s="115"/>
      <c r="E30" s="193"/>
      <c r="F30" s="115"/>
      <c r="G30" s="115"/>
      <c r="H30" s="115"/>
      <c r="I30" s="115"/>
      <c r="J30" s="115"/>
      <c r="K30" s="194"/>
      <c r="L30" s="20"/>
      <c r="M30" s="139"/>
      <c r="N30" s="139"/>
      <c r="O30" s="139"/>
    </row>
    <row r="31">
      <c r="A31" s="115"/>
      <c r="B31" s="115"/>
      <c r="C31" s="115"/>
      <c r="D31" s="115"/>
      <c r="E31" s="193"/>
      <c r="F31" s="115"/>
      <c r="G31" s="115"/>
      <c r="H31" s="115"/>
      <c r="I31" s="115"/>
      <c r="J31" s="115"/>
      <c r="K31" s="194"/>
      <c r="L31" s="20"/>
      <c r="M31" s="139"/>
      <c r="N31" s="139"/>
      <c r="O31" s="139"/>
    </row>
    <row r="32">
      <c r="A32" s="115"/>
      <c r="B32" s="115"/>
      <c r="C32" s="115"/>
      <c r="D32" s="115"/>
      <c r="E32" s="193"/>
      <c r="F32" s="115"/>
      <c r="G32" s="115"/>
      <c r="H32" s="115"/>
      <c r="I32" s="115"/>
      <c r="J32" s="115"/>
      <c r="K32" s="194"/>
      <c r="L32" s="20"/>
      <c r="M32" s="139"/>
      <c r="N32" s="139"/>
      <c r="O32" s="139"/>
    </row>
    <row r="33">
      <c r="A33" s="115"/>
      <c r="B33" s="115"/>
      <c r="C33" s="115"/>
      <c r="D33" s="115"/>
      <c r="E33" s="193"/>
      <c r="F33" s="115"/>
      <c r="G33" s="115"/>
      <c r="H33" s="115"/>
      <c r="I33" s="115"/>
      <c r="J33" s="115"/>
      <c r="K33" s="194"/>
      <c r="L33" s="20"/>
      <c r="M33" s="139"/>
      <c r="N33" s="139"/>
      <c r="O33" s="139"/>
    </row>
    <row r="34">
      <c r="A34" s="115"/>
      <c r="B34" s="115"/>
      <c r="C34" s="115"/>
      <c r="D34" s="115"/>
      <c r="E34" s="193"/>
      <c r="F34" s="115"/>
      <c r="G34" s="115"/>
      <c r="H34" s="115"/>
      <c r="I34" s="115"/>
      <c r="J34" s="115"/>
      <c r="K34" s="194"/>
      <c r="L34" s="20"/>
      <c r="M34" s="139"/>
      <c r="N34" s="139"/>
      <c r="O34" s="139"/>
    </row>
    <row r="35">
      <c r="A35" s="115"/>
      <c r="B35" s="115"/>
      <c r="C35" s="115"/>
      <c r="D35" s="115"/>
      <c r="E35" s="193"/>
      <c r="F35" s="115"/>
      <c r="G35" s="115"/>
      <c r="H35" s="115"/>
      <c r="I35" s="115"/>
      <c r="J35" s="115"/>
      <c r="K35" s="194"/>
      <c r="L35" s="20"/>
      <c r="M35" s="139"/>
      <c r="N35" s="139"/>
      <c r="O35" s="139"/>
    </row>
    <row r="36">
      <c r="A36" s="115"/>
      <c r="B36" s="115"/>
      <c r="C36" s="115"/>
      <c r="D36" s="115"/>
      <c r="E36" s="193"/>
      <c r="F36" s="115"/>
      <c r="G36" s="115"/>
      <c r="H36" s="115"/>
      <c r="I36" s="115"/>
      <c r="J36" s="115"/>
      <c r="K36" s="194"/>
      <c r="L36" s="20"/>
      <c r="M36" s="139"/>
      <c r="N36" s="139"/>
      <c r="O36" s="139"/>
    </row>
    <row r="37">
      <c r="A37" s="115"/>
      <c r="B37" s="115"/>
      <c r="C37" s="115"/>
      <c r="D37" s="115"/>
      <c r="E37" s="193"/>
      <c r="F37" s="115"/>
      <c r="G37" s="115"/>
      <c r="H37" s="115"/>
      <c r="I37" s="115"/>
      <c r="J37" s="115"/>
      <c r="K37" s="194"/>
      <c r="L37" s="20"/>
      <c r="M37" s="139"/>
      <c r="N37" s="139"/>
      <c r="O37" s="139"/>
    </row>
    <row r="38">
      <c r="A38" s="115"/>
      <c r="B38" s="115"/>
      <c r="C38" s="115"/>
      <c r="D38" s="115"/>
      <c r="E38" s="193"/>
      <c r="F38" s="115"/>
      <c r="G38" s="115"/>
      <c r="H38" s="115"/>
      <c r="I38" s="115"/>
      <c r="J38" s="115"/>
      <c r="K38" s="194"/>
      <c r="L38" s="20"/>
      <c r="M38" s="139"/>
      <c r="N38" s="139"/>
      <c r="O38" s="139"/>
    </row>
    <row r="39">
      <c r="A39" s="115"/>
      <c r="B39" s="115"/>
      <c r="C39" s="115"/>
      <c r="D39" s="115"/>
      <c r="E39" s="193"/>
      <c r="F39" s="115"/>
      <c r="G39" s="115"/>
      <c r="H39" s="115"/>
      <c r="I39" s="115"/>
      <c r="J39" s="115"/>
      <c r="K39" s="194"/>
      <c r="L39" s="20"/>
      <c r="M39" s="139"/>
      <c r="N39" s="139"/>
      <c r="O39" s="139"/>
    </row>
    <row r="40">
      <c r="A40" s="115"/>
      <c r="B40" s="115"/>
      <c r="C40" s="115"/>
      <c r="D40" s="115"/>
      <c r="E40" s="193"/>
      <c r="F40" s="115"/>
      <c r="G40" s="115"/>
      <c r="H40" s="115"/>
      <c r="I40" s="115"/>
      <c r="J40" s="115"/>
      <c r="K40" s="194"/>
      <c r="L40" s="20"/>
      <c r="M40" s="139"/>
      <c r="N40" s="139"/>
      <c r="O40" s="139"/>
    </row>
    <row r="41">
      <c r="A41" s="115"/>
      <c r="B41" s="115"/>
      <c r="C41" s="115"/>
      <c r="D41" s="115"/>
      <c r="E41" s="193"/>
      <c r="F41" s="115"/>
      <c r="G41" s="115"/>
      <c r="H41" s="115"/>
      <c r="I41" s="115"/>
      <c r="J41" s="115"/>
      <c r="K41" s="194"/>
      <c r="L41" s="20"/>
      <c r="M41" s="139"/>
      <c r="N41" s="139"/>
      <c r="O41" s="139"/>
    </row>
    <row r="42">
      <c r="A42" s="115"/>
      <c r="B42" s="115"/>
      <c r="C42" s="115"/>
      <c r="D42" s="115"/>
      <c r="E42" s="193"/>
      <c r="F42" s="115"/>
      <c r="G42" s="115"/>
      <c r="H42" s="115"/>
      <c r="I42" s="115"/>
      <c r="J42" s="115"/>
      <c r="K42" s="194"/>
      <c r="L42" s="20"/>
      <c r="M42" s="139"/>
      <c r="N42" s="139"/>
      <c r="O42" s="139"/>
    </row>
    <row r="43">
      <c r="A43" s="115"/>
      <c r="B43" s="115"/>
      <c r="C43" s="115"/>
      <c r="D43" s="115"/>
      <c r="E43" s="193"/>
      <c r="F43" s="115"/>
      <c r="G43" s="115"/>
      <c r="H43" s="115"/>
      <c r="I43" s="115"/>
      <c r="J43" s="115"/>
      <c r="K43" s="194"/>
      <c r="L43" s="20"/>
      <c r="M43" s="139"/>
      <c r="N43" s="139"/>
      <c r="O43" s="139"/>
    </row>
    <row r="44">
      <c r="A44" s="115"/>
      <c r="B44" s="115"/>
      <c r="C44" s="115"/>
      <c r="D44" s="115"/>
      <c r="E44" s="193"/>
      <c r="F44" s="115"/>
      <c r="G44" s="115"/>
      <c r="H44" s="115"/>
      <c r="I44" s="115"/>
      <c r="J44" s="115"/>
      <c r="K44" s="194"/>
      <c r="L44" s="20"/>
      <c r="M44" s="139"/>
      <c r="N44" s="139"/>
      <c r="O44" s="139"/>
    </row>
    <row r="45">
      <c r="A45" s="115"/>
      <c r="B45" s="115"/>
      <c r="C45" s="115"/>
      <c r="D45" s="115"/>
      <c r="E45" s="193"/>
      <c r="F45" s="115"/>
      <c r="G45" s="115"/>
      <c r="H45" s="115"/>
      <c r="I45" s="115"/>
      <c r="J45" s="115"/>
      <c r="K45" s="194"/>
      <c r="L45" s="20"/>
      <c r="M45" s="139"/>
      <c r="N45" s="139"/>
      <c r="O45" s="139"/>
    </row>
    <row r="46">
      <c r="A46" s="115"/>
      <c r="B46" s="115"/>
      <c r="C46" s="115"/>
      <c r="D46" s="115"/>
      <c r="E46" s="193"/>
      <c r="F46" s="115"/>
      <c r="G46" s="115"/>
      <c r="H46" s="115"/>
      <c r="I46" s="115"/>
      <c r="J46" s="115"/>
      <c r="K46" s="194"/>
      <c r="L46" s="20"/>
      <c r="M46" s="139"/>
      <c r="N46" s="139"/>
      <c r="O46" s="139"/>
    </row>
    <row r="47">
      <c r="A47" s="115"/>
      <c r="B47" s="115"/>
      <c r="C47" s="115"/>
      <c r="D47" s="115"/>
      <c r="E47" s="193"/>
      <c r="F47" s="115"/>
      <c r="G47" s="115"/>
      <c r="H47" s="115"/>
      <c r="I47" s="115"/>
      <c r="J47" s="115"/>
      <c r="K47" s="194"/>
      <c r="L47" s="20"/>
      <c r="M47" s="139"/>
      <c r="N47" s="139"/>
      <c r="O47" s="139"/>
    </row>
    <row r="48">
      <c r="A48" s="115"/>
      <c r="B48" s="115"/>
      <c r="C48" s="115"/>
      <c r="D48" s="115"/>
      <c r="E48" s="193"/>
      <c r="F48" s="115"/>
      <c r="G48" s="115"/>
      <c r="H48" s="115"/>
      <c r="I48" s="115"/>
      <c r="J48" s="115"/>
      <c r="K48" s="194"/>
      <c r="L48" s="20"/>
      <c r="M48" s="139"/>
      <c r="N48" s="139"/>
      <c r="O48" s="139"/>
    </row>
    <row r="49">
      <c r="A49" s="115"/>
      <c r="B49" s="115"/>
      <c r="C49" s="115"/>
      <c r="D49" s="115"/>
      <c r="E49" s="193"/>
      <c r="F49" s="115"/>
      <c r="G49" s="115"/>
      <c r="H49" s="115"/>
      <c r="I49" s="115"/>
      <c r="J49" s="115"/>
      <c r="K49" s="194"/>
      <c r="L49" s="20"/>
      <c r="M49" s="139"/>
      <c r="N49" s="139"/>
      <c r="O49" s="139"/>
    </row>
    <row r="50">
      <c r="A50" s="115"/>
      <c r="B50" s="115"/>
      <c r="C50" s="115"/>
      <c r="D50" s="115"/>
      <c r="E50" s="193"/>
      <c r="F50" s="115"/>
      <c r="G50" s="115"/>
      <c r="H50" s="115"/>
      <c r="I50" s="115"/>
      <c r="J50" s="115"/>
      <c r="K50" s="194"/>
      <c r="L50" s="20"/>
      <c r="M50" s="139"/>
      <c r="N50" s="139"/>
      <c r="O50" s="139"/>
    </row>
    <row r="51">
      <c r="A51" s="115"/>
      <c r="B51" s="115"/>
      <c r="C51" s="115"/>
      <c r="D51" s="115"/>
      <c r="E51" s="193"/>
      <c r="F51" s="115"/>
      <c r="G51" s="115"/>
      <c r="H51" s="115"/>
      <c r="I51" s="115"/>
      <c r="J51" s="115"/>
      <c r="K51" s="194"/>
      <c r="L51" s="20"/>
      <c r="M51" s="139"/>
      <c r="N51" s="139"/>
      <c r="O51" s="139"/>
    </row>
    <row r="52">
      <c r="A52" s="115"/>
      <c r="B52" s="115"/>
      <c r="C52" s="115"/>
      <c r="D52" s="115"/>
      <c r="E52" s="193"/>
      <c r="F52" s="115"/>
      <c r="G52" s="115"/>
      <c r="H52" s="115"/>
      <c r="I52" s="115"/>
      <c r="J52" s="115"/>
      <c r="K52" s="194"/>
      <c r="L52" s="20"/>
      <c r="M52" s="139"/>
      <c r="N52" s="139"/>
      <c r="O52" s="139"/>
    </row>
    <row r="53">
      <c r="A53" s="115"/>
      <c r="B53" s="115"/>
      <c r="C53" s="115"/>
      <c r="D53" s="115"/>
      <c r="E53" s="193"/>
      <c r="F53" s="115"/>
      <c r="G53" s="115"/>
      <c r="H53" s="115"/>
      <c r="I53" s="115"/>
      <c r="J53" s="115"/>
      <c r="K53" s="194"/>
      <c r="L53" s="20"/>
      <c r="M53" s="139"/>
      <c r="N53" s="139"/>
      <c r="O53" s="139"/>
    </row>
    <row r="54">
      <c r="A54" s="115"/>
      <c r="B54" s="115"/>
      <c r="C54" s="115"/>
      <c r="D54" s="115"/>
      <c r="E54" s="193"/>
      <c r="F54" s="115"/>
      <c r="G54" s="115"/>
      <c r="H54" s="115"/>
      <c r="I54" s="115"/>
      <c r="J54" s="115"/>
      <c r="K54" s="194"/>
      <c r="L54" s="20"/>
      <c r="M54" s="139"/>
      <c r="N54" s="139"/>
      <c r="O54" s="139"/>
    </row>
    <row r="55">
      <c r="A55" s="115"/>
      <c r="B55" s="115"/>
      <c r="C55" s="115"/>
      <c r="D55" s="115"/>
      <c r="E55" s="193"/>
      <c r="F55" s="115"/>
      <c r="G55" s="115"/>
      <c r="H55" s="115"/>
      <c r="I55" s="115"/>
      <c r="J55" s="115"/>
      <c r="K55" s="194"/>
      <c r="L55" s="20"/>
      <c r="M55" s="139"/>
      <c r="N55" s="139"/>
      <c r="O55" s="139"/>
    </row>
    <row r="56">
      <c r="A56" s="115"/>
      <c r="B56" s="115"/>
      <c r="C56" s="115"/>
      <c r="D56" s="115"/>
      <c r="E56" s="193"/>
      <c r="F56" s="115"/>
      <c r="G56" s="115"/>
      <c r="H56" s="115"/>
      <c r="I56" s="115"/>
      <c r="J56" s="115"/>
      <c r="K56" s="194"/>
      <c r="L56" s="20"/>
      <c r="M56" s="139"/>
      <c r="N56" s="139"/>
      <c r="O56" s="139"/>
    </row>
    <row r="57">
      <c r="A57" s="115"/>
      <c r="B57" s="115"/>
      <c r="C57" s="115"/>
      <c r="D57" s="115"/>
      <c r="E57" s="193"/>
      <c r="F57" s="115"/>
      <c r="G57" s="115"/>
      <c r="H57" s="115"/>
      <c r="I57" s="115"/>
      <c r="J57" s="115"/>
      <c r="K57" s="194"/>
      <c r="L57" s="20"/>
      <c r="M57" s="139"/>
      <c r="N57" s="139"/>
      <c r="O57" s="139"/>
    </row>
    <row r="58">
      <c r="A58" s="115"/>
      <c r="B58" s="115"/>
      <c r="C58" s="115"/>
      <c r="D58" s="115"/>
      <c r="E58" s="193"/>
      <c r="F58" s="115"/>
      <c r="G58" s="115"/>
      <c r="H58" s="115"/>
      <c r="I58" s="115"/>
      <c r="J58" s="115"/>
      <c r="K58" s="194"/>
      <c r="L58" s="20"/>
      <c r="M58" s="139"/>
      <c r="N58" s="139"/>
      <c r="O58" s="139"/>
    </row>
    <row r="59">
      <c r="A59" s="115"/>
      <c r="B59" s="115"/>
      <c r="C59" s="115"/>
      <c r="D59" s="115"/>
      <c r="E59" s="193"/>
      <c r="F59" s="115"/>
      <c r="G59" s="115"/>
      <c r="H59" s="115"/>
      <c r="I59" s="115"/>
      <c r="J59" s="115"/>
      <c r="K59" s="194"/>
      <c r="L59" s="20"/>
      <c r="M59" s="139"/>
      <c r="N59" s="139"/>
      <c r="O59" s="139"/>
    </row>
    <row r="60">
      <c r="A60" s="115"/>
      <c r="B60" s="115"/>
      <c r="C60" s="115"/>
      <c r="D60" s="115"/>
      <c r="E60" s="193"/>
      <c r="F60" s="115"/>
      <c r="G60" s="115"/>
      <c r="H60" s="115"/>
      <c r="I60" s="115"/>
      <c r="J60" s="115"/>
      <c r="K60" s="194"/>
      <c r="L60" s="20"/>
      <c r="M60" s="139"/>
      <c r="N60" s="139"/>
      <c r="O60" s="139"/>
    </row>
    <row r="61">
      <c r="A61" s="115"/>
      <c r="B61" s="115"/>
      <c r="C61" s="115"/>
      <c r="D61" s="115"/>
      <c r="E61" s="193"/>
      <c r="F61" s="115"/>
      <c r="G61" s="115"/>
      <c r="H61" s="115"/>
      <c r="I61" s="115"/>
      <c r="J61" s="115"/>
      <c r="K61" s="194"/>
      <c r="L61" s="20"/>
      <c r="M61" s="139"/>
      <c r="N61" s="139"/>
      <c r="O61" s="139"/>
    </row>
    <row r="62">
      <c r="A62" s="115"/>
      <c r="B62" s="115"/>
      <c r="C62" s="115"/>
      <c r="D62" s="115"/>
      <c r="E62" s="193"/>
      <c r="F62" s="115"/>
      <c r="G62" s="115"/>
      <c r="H62" s="115"/>
      <c r="I62" s="115"/>
      <c r="J62" s="115"/>
      <c r="K62" s="194"/>
      <c r="L62" s="20"/>
      <c r="M62" s="139"/>
      <c r="N62" s="139"/>
      <c r="O62" s="139"/>
    </row>
    <row r="63">
      <c r="A63" s="115"/>
      <c r="B63" s="115"/>
      <c r="C63" s="115"/>
      <c r="D63" s="115"/>
      <c r="E63" s="193"/>
      <c r="F63" s="115"/>
      <c r="G63" s="115"/>
      <c r="H63" s="115"/>
      <c r="I63" s="115"/>
      <c r="J63" s="115"/>
      <c r="K63" s="194"/>
      <c r="L63" s="20"/>
      <c r="M63" s="139"/>
      <c r="N63" s="139"/>
      <c r="O63" s="139"/>
    </row>
    <row r="64">
      <c r="A64" s="115"/>
      <c r="B64" s="115"/>
      <c r="C64" s="115"/>
      <c r="D64" s="115"/>
      <c r="E64" s="193"/>
      <c r="F64" s="115"/>
      <c r="G64" s="115"/>
      <c r="H64" s="115"/>
      <c r="I64" s="115"/>
      <c r="J64" s="115"/>
      <c r="K64" s="194"/>
      <c r="L64" s="20"/>
      <c r="M64" s="139"/>
      <c r="N64" s="139"/>
      <c r="O64" s="139"/>
    </row>
    <row r="65">
      <c r="A65" s="115"/>
      <c r="B65" s="115"/>
      <c r="C65" s="115"/>
      <c r="D65" s="115"/>
      <c r="E65" s="193"/>
      <c r="F65" s="115"/>
      <c r="G65" s="115"/>
      <c r="H65" s="115"/>
      <c r="I65" s="115"/>
      <c r="J65" s="115"/>
      <c r="K65" s="194"/>
      <c r="L65" s="20"/>
      <c r="M65" s="139"/>
      <c r="N65" s="139"/>
      <c r="O65" s="139"/>
    </row>
    <row r="66">
      <c r="A66" s="115"/>
      <c r="B66" s="115"/>
      <c r="C66" s="115"/>
      <c r="D66" s="115"/>
      <c r="E66" s="193"/>
      <c r="F66" s="115"/>
      <c r="G66" s="115"/>
      <c r="H66" s="115"/>
      <c r="I66" s="115"/>
      <c r="J66" s="115"/>
      <c r="K66" s="194"/>
      <c r="L66" s="20"/>
      <c r="M66" s="139"/>
      <c r="N66" s="139"/>
      <c r="O66" s="139"/>
    </row>
    <row r="67">
      <c r="A67" s="115"/>
      <c r="B67" s="115"/>
      <c r="C67" s="115"/>
      <c r="D67" s="115"/>
      <c r="E67" s="193"/>
      <c r="F67" s="115"/>
      <c r="G67" s="115"/>
      <c r="H67" s="115"/>
      <c r="I67" s="115"/>
      <c r="J67" s="115"/>
      <c r="K67" s="194"/>
      <c r="L67" s="20"/>
      <c r="M67" s="139"/>
      <c r="N67" s="139"/>
      <c r="O67" s="139"/>
    </row>
    <row r="68">
      <c r="A68" s="115"/>
      <c r="B68" s="115"/>
      <c r="C68" s="115"/>
      <c r="D68" s="115"/>
      <c r="E68" s="193"/>
      <c r="F68" s="115"/>
      <c r="G68" s="115"/>
      <c r="H68" s="115"/>
      <c r="I68" s="115"/>
      <c r="J68" s="115"/>
      <c r="K68" s="194"/>
      <c r="L68" s="20"/>
      <c r="M68" s="139"/>
      <c r="N68" s="139"/>
      <c r="O68" s="139"/>
    </row>
    <row r="69">
      <c r="A69" s="115"/>
      <c r="B69" s="115"/>
      <c r="C69" s="115"/>
      <c r="D69" s="115"/>
      <c r="E69" s="193"/>
      <c r="F69" s="115"/>
      <c r="G69" s="115"/>
      <c r="H69" s="115"/>
      <c r="I69" s="115"/>
      <c r="J69" s="115"/>
      <c r="K69" s="194"/>
      <c r="L69" s="20"/>
      <c r="M69" s="139"/>
      <c r="N69" s="139"/>
      <c r="O69" s="139"/>
    </row>
    <row r="70">
      <c r="A70" s="115"/>
      <c r="B70" s="115"/>
      <c r="C70" s="115"/>
      <c r="D70" s="115"/>
      <c r="E70" s="193"/>
      <c r="F70" s="115"/>
      <c r="G70" s="115"/>
      <c r="H70" s="115"/>
      <c r="I70" s="115"/>
      <c r="J70" s="115"/>
      <c r="K70" s="194"/>
      <c r="L70" s="20"/>
      <c r="M70" s="139"/>
      <c r="N70" s="139"/>
      <c r="O70" s="139"/>
    </row>
    <row r="71">
      <c r="A71" s="115"/>
      <c r="B71" s="115"/>
      <c r="C71" s="115"/>
      <c r="D71" s="115"/>
      <c r="E71" s="193"/>
      <c r="F71" s="115"/>
      <c r="G71" s="115"/>
      <c r="H71" s="115"/>
      <c r="I71" s="115"/>
      <c r="J71" s="115"/>
      <c r="K71" s="194"/>
      <c r="L71" s="20"/>
      <c r="M71" s="139"/>
      <c r="N71" s="139"/>
      <c r="O71" s="139"/>
    </row>
    <row r="72">
      <c r="A72" s="115"/>
      <c r="B72" s="115"/>
      <c r="C72" s="115"/>
      <c r="D72" s="115"/>
      <c r="E72" s="193"/>
      <c r="F72" s="115"/>
      <c r="G72" s="115"/>
      <c r="H72" s="115"/>
      <c r="I72" s="115"/>
      <c r="J72" s="115"/>
      <c r="K72" s="194"/>
      <c r="L72" s="20"/>
      <c r="M72" s="139"/>
      <c r="N72" s="139"/>
      <c r="O72" s="139"/>
    </row>
    <row r="73">
      <c r="A73" s="115"/>
      <c r="B73" s="115"/>
      <c r="C73" s="115"/>
      <c r="D73" s="115"/>
      <c r="E73" s="193"/>
      <c r="F73" s="115"/>
      <c r="G73" s="115"/>
      <c r="H73" s="115"/>
      <c r="I73" s="115"/>
      <c r="J73" s="115"/>
      <c r="K73" s="194"/>
      <c r="L73" s="20"/>
      <c r="M73" s="139"/>
      <c r="N73" s="139"/>
      <c r="O73" s="139"/>
    </row>
    <row r="74">
      <c r="A74" s="115"/>
      <c r="B74" s="115"/>
      <c r="C74" s="115"/>
      <c r="D74" s="115"/>
      <c r="E74" s="193"/>
      <c r="F74" s="115"/>
      <c r="G74" s="115"/>
      <c r="H74" s="115"/>
      <c r="I74" s="115"/>
      <c r="J74" s="115"/>
      <c r="K74" s="194"/>
      <c r="L74" s="20"/>
      <c r="M74" s="139"/>
      <c r="N74" s="139"/>
      <c r="O74" s="139"/>
    </row>
    <row r="75">
      <c r="A75" s="115"/>
      <c r="B75" s="115"/>
      <c r="C75" s="115"/>
      <c r="D75" s="115"/>
      <c r="E75" s="193"/>
      <c r="F75" s="115"/>
      <c r="G75" s="115"/>
      <c r="H75" s="115"/>
      <c r="I75" s="115"/>
      <c r="J75" s="115"/>
      <c r="K75" s="194"/>
      <c r="L75" s="20"/>
      <c r="M75" s="139"/>
      <c r="N75" s="139"/>
      <c r="O75" s="139"/>
    </row>
    <row r="76">
      <c r="A76" s="115"/>
      <c r="B76" s="115"/>
      <c r="C76" s="115"/>
      <c r="D76" s="115"/>
      <c r="E76" s="193"/>
      <c r="F76" s="115"/>
      <c r="G76" s="115"/>
      <c r="H76" s="115"/>
      <c r="I76" s="115"/>
      <c r="J76" s="115"/>
      <c r="K76" s="194"/>
      <c r="L76" s="20"/>
      <c r="M76" s="139"/>
      <c r="N76" s="139"/>
      <c r="O76" s="139"/>
    </row>
    <row r="77">
      <c r="A77" s="115"/>
      <c r="B77" s="115"/>
      <c r="C77" s="115"/>
      <c r="D77" s="115"/>
      <c r="E77" s="193"/>
      <c r="F77" s="115"/>
      <c r="G77" s="115"/>
      <c r="H77" s="115"/>
      <c r="I77" s="115"/>
      <c r="J77" s="115"/>
      <c r="K77" s="194"/>
      <c r="L77" s="20"/>
      <c r="M77" s="139"/>
      <c r="N77" s="139"/>
      <c r="O77" s="139"/>
    </row>
    <row r="78">
      <c r="A78" s="115"/>
      <c r="B78" s="115"/>
      <c r="C78" s="115"/>
      <c r="D78" s="115"/>
      <c r="E78" s="193"/>
      <c r="F78" s="115"/>
      <c r="G78" s="115"/>
      <c r="H78" s="115"/>
      <c r="I78" s="115"/>
      <c r="J78" s="115"/>
      <c r="K78" s="194"/>
      <c r="L78" s="20"/>
      <c r="M78" s="139"/>
      <c r="N78" s="139"/>
      <c r="O78" s="139"/>
    </row>
    <row r="79">
      <c r="A79" s="115"/>
      <c r="B79" s="115"/>
      <c r="C79" s="115"/>
      <c r="D79" s="115"/>
      <c r="E79" s="193"/>
      <c r="F79" s="115"/>
      <c r="G79" s="115"/>
      <c r="H79" s="115"/>
      <c r="I79" s="115"/>
      <c r="J79" s="115"/>
      <c r="K79" s="194"/>
      <c r="L79" s="20"/>
      <c r="M79" s="139"/>
      <c r="N79" s="139"/>
      <c r="O79" s="139"/>
    </row>
    <row r="80">
      <c r="A80" s="115"/>
      <c r="B80" s="115"/>
      <c r="C80" s="115"/>
      <c r="D80" s="115"/>
      <c r="E80" s="193"/>
      <c r="F80" s="115"/>
      <c r="G80" s="115"/>
      <c r="H80" s="115"/>
      <c r="I80" s="115"/>
      <c r="J80" s="115"/>
      <c r="K80" s="194"/>
      <c r="L80" s="20"/>
      <c r="M80" s="139"/>
      <c r="N80" s="139"/>
      <c r="O80" s="139"/>
    </row>
    <row r="81">
      <c r="A81" s="115"/>
      <c r="B81" s="115"/>
      <c r="C81" s="115"/>
      <c r="D81" s="115"/>
      <c r="E81" s="193"/>
      <c r="F81" s="115"/>
      <c r="G81" s="115"/>
      <c r="H81" s="115"/>
      <c r="I81" s="115"/>
      <c r="J81" s="115"/>
      <c r="K81" s="194"/>
      <c r="L81" s="20"/>
      <c r="M81" s="139"/>
      <c r="N81" s="139"/>
      <c r="O81" s="139"/>
    </row>
    <row r="82">
      <c r="A82" s="115"/>
      <c r="B82" s="115"/>
      <c r="C82" s="115"/>
      <c r="D82" s="115"/>
      <c r="E82" s="193"/>
      <c r="F82" s="115"/>
      <c r="G82" s="115"/>
      <c r="H82" s="115"/>
      <c r="I82" s="115"/>
      <c r="J82" s="115"/>
      <c r="K82" s="194"/>
      <c r="L82" s="20"/>
      <c r="M82" s="139"/>
      <c r="N82" s="139"/>
      <c r="O82" s="139"/>
    </row>
    <row r="83">
      <c r="A83" s="115"/>
      <c r="B83" s="115"/>
      <c r="C83" s="115"/>
      <c r="D83" s="115"/>
      <c r="E83" s="193"/>
      <c r="F83" s="115"/>
      <c r="G83" s="115"/>
      <c r="H83" s="115"/>
      <c r="I83" s="115"/>
      <c r="J83" s="115"/>
      <c r="K83" s="194"/>
      <c r="L83" s="20"/>
      <c r="M83" s="139"/>
      <c r="N83" s="139"/>
      <c r="O83" s="139"/>
    </row>
    <row r="84">
      <c r="A84" s="115"/>
      <c r="B84" s="115"/>
      <c r="C84" s="115"/>
      <c r="D84" s="115"/>
      <c r="E84" s="193"/>
      <c r="F84" s="115"/>
      <c r="G84" s="115"/>
      <c r="H84" s="115"/>
      <c r="I84" s="115"/>
      <c r="J84" s="115"/>
      <c r="K84" s="194"/>
      <c r="L84" s="20"/>
      <c r="M84" s="139"/>
      <c r="N84" s="139"/>
      <c r="O84" s="139"/>
    </row>
    <row r="85">
      <c r="A85" s="115"/>
      <c r="B85" s="115"/>
      <c r="C85" s="115"/>
      <c r="D85" s="115"/>
      <c r="E85" s="193"/>
      <c r="F85" s="115"/>
      <c r="G85" s="115"/>
      <c r="H85" s="115"/>
      <c r="I85" s="115"/>
      <c r="J85" s="115"/>
      <c r="K85" s="194"/>
      <c r="L85" s="20"/>
      <c r="M85" s="139"/>
      <c r="N85" s="139"/>
      <c r="O85" s="139"/>
    </row>
    <row r="86">
      <c r="A86" s="115"/>
      <c r="B86" s="115"/>
      <c r="C86" s="115"/>
      <c r="D86" s="115"/>
      <c r="E86" s="193"/>
      <c r="F86" s="115"/>
      <c r="G86" s="115"/>
      <c r="H86" s="115"/>
      <c r="I86" s="115"/>
      <c r="J86" s="115"/>
      <c r="K86" s="194"/>
      <c r="L86" s="20"/>
      <c r="M86" s="139"/>
      <c r="N86" s="139"/>
      <c r="O86" s="139"/>
    </row>
    <row r="87">
      <c r="A87" s="115"/>
      <c r="B87" s="115"/>
      <c r="C87" s="115"/>
      <c r="D87" s="115"/>
      <c r="E87" s="193"/>
      <c r="F87" s="115"/>
      <c r="G87" s="115"/>
      <c r="H87" s="115"/>
      <c r="I87" s="115"/>
      <c r="J87" s="115"/>
      <c r="K87" s="194"/>
      <c r="L87" s="20"/>
      <c r="M87" s="139"/>
      <c r="N87" s="139"/>
      <c r="O87" s="139"/>
    </row>
    <row r="88">
      <c r="A88" s="115"/>
      <c r="B88" s="115"/>
      <c r="C88" s="115"/>
      <c r="D88" s="115"/>
      <c r="E88" s="193"/>
      <c r="F88" s="115"/>
      <c r="G88" s="115"/>
      <c r="H88" s="115"/>
      <c r="I88" s="115"/>
      <c r="J88" s="115"/>
      <c r="K88" s="194"/>
      <c r="L88" s="20"/>
      <c r="M88" s="139"/>
      <c r="N88" s="139"/>
      <c r="O88" s="139"/>
    </row>
    <row r="89">
      <c r="A89" s="115"/>
      <c r="B89" s="115"/>
      <c r="C89" s="115"/>
      <c r="D89" s="115"/>
      <c r="E89" s="193"/>
      <c r="F89" s="115"/>
      <c r="G89" s="115"/>
      <c r="H89" s="115"/>
      <c r="I89" s="115"/>
      <c r="J89" s="115"/>
      <c r="K89" s="194"/>
      <c r="L89" s="20"/>
      <c r="M89" s="139"/>
      <c r="N89" s="139"/>
      <c r="O89" s="139"/>
    </row>
    <row r="90">
      <c r="A90" s="115"/>
      <c r="B90" s="115"/>
      <c r="C90" s="115"/>
      <c r="D90" s="115"/>
      <c r="E90" s="193"/>
      <c r="F90" s="115"/>
      <c r="G90" s="115"/>
      <c r="H90" s="115"/>
      <c r="I90" s="115"/>
      <c r="J90" s="115"/>
      <c r="K90" s="194"/>
      <c r="L90" s="20"/>
      <c r="M90" s="139"/>
      <c r="N90" s="139"/>
      <c r="O90" s="139"/>
    </row>
    <row r="91">
      <c r="A91" s="115"/>
      <c r="B91" s="115"/>
      <c r="C91" s="115"/>
      <c r="D91" s="115"/>
      <c r="E91" s="193"/>
      <c r="F91" s="115"/>
      <c r="G91" s="115"/>
      <c r="H91" s="115"/>
      <c r="I91" s="115"/>
      <c r="J91" s="115"/>
      <c r="K91" s="194"/>
      <c r="L91" s="20"/>
      <c r="M91" s="139"/>
      <c r="N91" s="139"/>
      <c r="O91" s="139"/>
    </row>
    <row r="92">
      <c r="A92" s="115"/>
      <c r="B92" s="115"/>
      <c r="C92" s="115"/>
      <c r="D92" s="115"/>
      <c r="E92" s="193"/>
      <c r="F92" s="115"/>
      <c r="G92" s="115"/>
      <c r="H92" s="115"/>
      <c r="I92" s="115"/>
      <c r="J92" s="115"/>
      <c r="K92" s="194"/>
      <c r="L92" s="20"/>
      <c r="M92" s="139"/>
      <c r="N92" s="139"/>
      <c r="O92" s="139"/>
    </row>
    <row r="93">
      <c r="A93" s="115"/>
      <c r="B93" s="115"/>
      <c r="C93" s="115"/>
      <c r="D93" s="115"/>
      <c r="E93" s="193"/>
      <c r="F93" s="115"/>
      <c r="G93" s="115"/>
      <c r="H93" s="115"/>
      <c r="I93" s="115"/>
      <c r="J93" s="115"/>
      <c r="K93" s="194"/>
      <c r="L93" s="20"/>
      <c r="M93" s="139"/>
      <c r="N93" s="139"/>
      <c r="O93" s="139"/>
    </row>
    <row r="94">
      <c r="A94" s="115"/>
      <c r="B94" s="115"/>
      <c r="C94" s="115"/>
      <c r="D94" s="115"/>
      <c r="E94" s="193"/>
      <c r="F94" s="115"/>
      <c r="G94" s="115"/>
      <c r="H94" s="115"/>
      <c r="I94" s="115"/>
      <c r="J94" s="115"/>
      <c r="K94" s="194"/>
      <c r="L94" s="20"/>
      <c r="M94" s="139"/>
      <c r="N94" s="139"/>
      <c r="O94" s="139"/>
    </row>
    <row r="95">
      <c r="A95" s="115"/>
      <c r="B95" s="115"/>
      <c r="C95" s="115"/>
      <c r="D95" s="115"/>
      <c r="E95" s="193"/>
      <c r="F95" s="115"/>
      <c r="G95" s="115"/>
      <c r="H95" s="115"/>
      <c r="I95" s="115"/>
      <c r="J95" s="115"/>
      <c r="K95" s="194"/>
      <c r="L95" s="20"/>
      <c r="M95" s="139"/>
      <c r="N95" s="139"/>
      <c r="O95" s="139"/>
    </row>
    <row r="96">
      <c r="A96" s="115"/>
      <c r="B96" s="115"/>
      <c r="C96" s="115"/>
      <c r="D96" s="115"/>
      <c r="E96" s="193"/>
      <c r="F96" s="115"/>
      <c r="G96" s="115"/>
      <c r="H96" s="115"/>
      <c r="I96" s="115"/>
      <c r="J96" s="115"/>
      <c r="K96" s="194"/>
      <c r="L96" s="20"/>
      <c r="M96" s="139"/>
      <c r="N96" s="139"/>
      <c r="O96" s="139"/>
    </row>
    <row r="97">
      <c r="A97" s="115"/>
      <c r="B97" s="115"/>
      <c r="C97" s="115"/>
      <c r="D97" s="115"/>
      <c r="E97" s="193"/>
      <c r="F97" s="115"/>
      <c r="G97" s="115"/>
      <c r="H97" s="115"/>
      <c r="I97" s="115"/>
      <c r="J97" s="115"/>
      <c r="K97" s="194"/>
      <c r="L97" s="20"/>
      <c r="M97" s="139"/>
      <c r="N97" s="139"/>
      <c r="O97" s="139"/>
    </row>
    <row r="98">
      <c r="A98" s="115"/>
      <c r="B98" s="115"/>
      <c r="C98" s="115"/>
      <c r="D98" s="115"/>
      <c r="E98" s="193"/>
      <c r="F98" s="115"/>
      <c r="G98" s="115"/>
      <c r="H98" s="115"/>
      <c r="I98" s="115"/>
      <c r="J98" s="115"/>
      <c r="K98" s="194"/>
      <c r="L98" s="20"/>
      <c r="M98" s="139"/>
      <c r="N98" s="139"/>
      <c r="O98" s="139"/>
    </row>
    <row r="99">
      <c r="A99" s="115"/>
      <c r="B99" s="115"/>
      <c r="C99" s="115"/>
      <c r="D99" s="115"/>
      <c r="E99" s="193"/>
      <c r="F99" s="115"/>
      <c r="G99" s="115"/>
      <c r="H99" s="115"/>
      <c r="I99" s="115"/>
      <c r="J99" s="115"/>
      <c r="K99" s="194"/>
      <c r="L99" s="20"/>
      <c r="M99" s="139"/>
      <c r="N99" s="139"/>
      <c r="O99" s="139"/>
    </row>
    <row r="100">
      <c r="A100" s="115"/>
      <c r="B100" s="115"/>
      <c r="C100" s="115"/>
      <c r="D100" s="115"/>
      <c r="E100" s="193"/>
      <c r="F100" s="115"/>
      <c r="G100" s="115"/>
      <c r="H100" s="115"/>
      <c r="I100" s="115"/>
      <c r="J100" s="115"/>
      <c r="K100" s="194"/>
      <c r="L100" s="20"/>
      <c r="M100" s="139"/>
      <c r="N100" s="139"/>
      <c r="O100" s="139"/>
    </row>
    <row r="101">
      <c r="A101" s="115"/>
      <c r="B101" s="115"/>
      <c r="C101" s="115"/>
      <c r="D101" s="115"/>
      <c r="E101" s="193"/>
      <c r="F101" s="115"/>
      <c r="G101" s="115"/>
      <c r="H101" s="115"/>
      <c r="I101" s="115"/>
      <c r="J101" s="115"/>
      <c r="K101" s="194"/>
      <c r="L101" s="20"/>
      <c r="M101" s="139"/>
      <c r="N101" s="139"/>
      <c r="O101" s="139"/>
    </row>
    <row r="102">
      <c r="A102" s="115"/>
      <c r="B102" s="115"/>
      <c r="C102" s="115"/>
      <c r="D102" s="115"/>
      <c r="E102" s="193"/>
      <c r="F102" s="115"/>
      <c r="G102" s="115"/>
      <c r="H102" s="115"/>
      <c r="I102" s="115"/>
      <c r="J102" s="115"/>
      <c r="K102" s="194"/>
      <c r="L102" s="20"/>
      <c r="M102" s="139"/>
      <c r="N102" s="139"/>
      <c r="O102" s="139"/>
    </row>
    <row r="103">
      <c r="A103" s="115"/>
      <c r="B103" s="115"/>
      <c r="C103" s="115"/>
      <c r="D103" s="115"/>
      <c r="E103" s="193"/>
      <c r="F103" s="115"/>
      <c r="G103" s="115"/>
      <c r="H103" s="115"/>
      <c r="I103" s="115"/>
      <c r="J103" s="115"/>
      <c r="K103" s="194"/>
      <c r="L103" s="20"/>
      <c r="M103" s="139"/>
      <c r="N103" s="139"/>
      <c r="O103" s="139"/>
    </row>
    <row r="104">
      <c r="A104" s="115"/>
      <c r="B104" s="115"/>
      <c r="C104" s="115"/>
      <c r="D104" s="115"/>
      <c r="E104" s="193"/>
      <c r="F104" s="115"/>
      <c r="G104" s="115"/>
      <c r="H104" s="115"/>
      <c r="I104" s="115"/>
      <c r="J104" s="115"/>
      <c r="K104" s="194"/>
      <c r="L104" s="20"/>
      <c r="M104" s="139"/>
      <c r="N104" s="139"/>
      <c r="O104" s="139"/>
    </row>
    <row r="105">
      <c r="A105" s="115"/>
      <c r="B105" s="115"/>
      <c r="C105" s="115"/>
      <c r="D105" s="115"/>
      <c r="E105" s="193"/>
      <c r="F105" s="115"/>
      <c r="G105" s="115"/>
      <c r="H105" s="115"/>
      <c r="I105" s="115"/>
      <c r="J105" s="115"/>
      <c r="K105" s="194"/>
      <c r="L105" s="20"/>
      <c r="M105" s="139"/>
      <c r="N105" s="139"/>
      <c r="O105" s="139"/>
    </row>
    <row r="106">
      <c r="A106" s="115"/>
      <c r="B106" s="115"/>
      <c r="C106" s="115"/>
      <c r="D106" s="115"/>
      <c r="E106" s="193"/>
      <c r="F106" s="115"/>
      <c r="G106" s="115"/>
      <c r="H106" s="115"/>
      <c r="I106" s="115"/>
      <c r="J106" s="115"/>
      <c r="K106" s="194"/>
      <c r="L106" s="20"/>
      <c r="M106" s="139"/>
      <c r="N106" s="139"/>
      <c r="O106" s="139"/>
    </row>
    <row r="107">
      <c r="A107" s="115"/>
      <c r="B107" s="115"/>
      <c r="C107" s="115"/>
      <c r="D107" s="115"/>
      <c r="E107" s="193"/>
      <c r="F107" s="115"/>
      <c r="G107" s="115"/>
      <c r="H107" s="115"/>
      <c r="I107" s="115"/>
      <c r="J107" s="115"/>
      <c r="K107" s="194"/>
      <c r="L107" s="20"/>
      <c r="M107" s="139"/>
      <c r="N107" s="139"/>
      <c r="O107" s="139"/>
    </row>
    <row r="108">
      <c r="A108" s="115"/>
      <c r="B108" s="115"/>
      <c r="C108" s="115"/>
      <c r="D108" s="115"/>
      <c r="E108" s="193"/>
      <c r="F108" s="115"/>
      <c r="G108" s="115"/>
      <c r="H108" s="115"/>
      <c r="I108" s="115"/>
      <c r="J108" s="115"/>
      <c r="K108" s="194"/>
      <c r="L108" s="20"/>
      <c r="M108" s="139"/>
      <c r="N108" s="139"/>
      <c r="O108" s="139"/>
    </row>
    <row r="109">
      <c r="A109" s="115"/>
      <c r="B109" s="115"/>
      <c r="C109" s="115"/>
      <c r="D109" s="115"/>
      <c r="E109" s="193"/>
      <c r="F109" s="115"/>
      <c r="G109" s="115"/>
      <c r="H109" s="115"/>
      <c r="I109" s="115"/>
      <c r="J109" s="115"/>
      <c r="K109" s="194"/>
      <c r="L109" s="20"/>
      <c r="M109" s="139"/>
      <c r="N109" s="139"/>
      <c r="O109" s="139"/>
    </row>
    <row r="110">
      <c r="A110" s="115"/>
      <c r="B110" s="115"/>
      <c r="C110" s="115"/>
      <c r="D110" s="115"/>
      <c r="E110" s="193"/>
      <c r="F110" s="115"/>
      <c r="G110" s="115"/>
      <c r="H110" s="115"/>
      <c r="I110" s="115"/>
      <c r="J110" s="115"/>
      <c r="K110" s="194"/>
      <c r="L110" s="20"/>
      <c r="M110" s="139"/>
      <c r="N110" s="139"/>
      <c r="O110" s="139"/>
    </row>
    <row r="111">
      <c r="A111" s="115"/>
      <c r="B111" s="115"/>
      <c r="C111" s="115"/>
      <c r="D111" s="115"/>
      <c r="E111" s="193"/>
      <c r="F111" s="115"/>
      <c r="G111" s="115"/>
      <c r="H111" s="115"/>
      <c r="I111" s="115"/>
      <c r="J111" s="115"/>
      <c r="K111" s="194"/>
      <c r="L111" s="20"/>
      <c r="M111" s="139"/>
      <c r="N111" s="139"/>
      <c r="O111" s="139"/>
    </row>
    <row r="112">
      <c r="A112" s="115"/>
      <c r="B112" s="115"/>
      <c r="C112" s="115"/>
      <c r="D112" s="115"/>
      <c r="E112" s="193"/>
      <c r="F112" s="115"/>
      <c r="G112" s="115"/>
      <c r="H112" s="115"/>
      <c r="I112" s="115"/>
      <c r="J112" s="115"/>
      <c r="K112" s="194"/>
      <c r="L112" s="20"/>
      <c r="M112" s="139"/>
      <c r="N112" s="139"/>
      <c r="O112" s="139"/>
    </row>
    <row r="113">
      <c r="A113" s="115"/>
      <c r="B113" s="115"/>
      <c r="C113" s="115"/>
      <c r="D113" s="115"/>
      <c r="E113" s="193"/>
      <c r="F113" s="115"/>
      <c r="G113" s="115"/>
      <c r="H113" s="115"/>
      <c r="I113" s="115"/>
      <c r="J113" s="115"/>
      <c r="K113" s="194"/>
      <c r="L113" s="20"/>
      <c r="M113" s="139"/>
      <c r="N113" s="139"/>
      <c r="O113" s="139"/>
    </row>
    <row r="114">
      <c r="A114" s="115"/>
      <c r="B114" s="115"/>
      <c r="C114" s="115"/>
      <c r="D114" s="115"/>
      <c r="E114" s="193"/>
      <c r="F114" s="115"/>
      <c r="G114" s="115"/>
      <c r="H114" s="115"/>
      <c r="I114" s="115"/>
      <c r="J114" s="115"/>
      <c r="K114" s="194"/>
      <c r="L114" s="20"/>
      <c r="M114" s="139"/>
      <c r="N114" s="139"/>
      <c r="O114" s="139"/>
    </row>
    <row r="115">
      <c r="A115" s="115"/>
      <c r="B115" s="115"/>
      <c r="C115" s="115"/>
      <c r="D115" s="115"/>
      <c r="E115" s="193"/>
      <c r="F115" s="115"/>
      <c r="G115" s="115"/>
      <c r="H115" s="115"/>
      <c r="I115" s="115"/>
      <c r="J115" s="115"/>
      <c r="K115" s="194"/>
      <c r="L115" s="20"/>
      <c r="M115" s="139"/>
      <c r="N115" s="139"/>
      <c r="O115" s="139"/>
    </row>
    <row r="116">
      <c r="A116" s="115"/>
      <c r="B116" s="115"/>
      <c r="C116" s="115"/>
      <c r="D116" s="115"/>
      <c r="E116" s="193"/>
      <c r="F116" s="115"/>
      <c r="G116" s="115"/>
      <c r="H116" s="115"/>
      <c r="I116" s="115"/>
      <c r="J116" s="115"/>
      <c r="K116" s="194"/>
      <c r="L116" s="20"/>
      <c r="M116" s="139"/>
      <c r="N116" s="139"/>
      <c r="O116" s="139"/>
    </row>
    <row r="117">
      <c r="A117" s="115"/>
      <c r="B117" s="115"/>
      <c r="C117" s="115"/>
      <c r="D117" s="115"/>
      <c r="E117" s="193"/>
      <c r="F117" s="115"/>
      <c r="G117" s="115"/>
      <c r="H117" s="115"/>
      <c r="I117" s="115"/>
      <c r="J117" s="115"/>
      <c r="K117" s="194"/>
      <c r="L117" s="20"/>
      <c r="M117" s="139"/>
      <c r="N117" s="139"/>
      <c r="O117" s="139"/>
    </row>
    <row r="118">
      <c r="A118" s="115"/>
      <c r="B118" s="115"/>
      <c r="C118" s="115"/>
      <c r="D118" s="115"/>
      <c r="E118" s="193"/>
      <c r="F118" s="115"/>
      <c r="G118" s="115"/>
      <c r="H118" s="115"/>
      <c r="I118" s="115"/>
      <c r="J118" s="115"/>
      <c r="K118" s="194"/>
      <c r="L118" s="20"/>
      <c r="M118" s="139"/>
      <c r="N118" s="139"/>
      <c r="O118" s="139"/>
    </row>
    <row r="119">
      <c r="A119" s="115"/>
      <c r="B119" s="115"/>
      <c r="C119" s="115"/>
      <c r="D119" s="115"/>
      <c r="E119" s="193"/>
      <c r="F119" s="115"/>
      <c r="G119" s="115"/>
      <c r="H119" s="115"/>
      <c r="I119" s="115"/>
      <c r="J119" s="115"/>
      <c r="K119" s="194"/>
      <c r="L119" s="20"/>
      <c r="M119" s="139"/>
      <c r="N119" s="139"/>
      <c r="O119" s="139"/>
    </row>
    <row r="120">
      <c r="A120" s="115"/>
      <c r="B120" s="115"/>
      <c r="C120" s="115"/>
      <c r="D120" s="115"/>
      <c r="E120" s="193"/>
      <c r="F120" s="115"/>
      <c r="G120" s="115"/>
      <c r="H120" s="115"/>
      <c r="I120" s="115"/>
      <c r="J120" s="115"/>
      <c r="K120" s="194"/>
      <c r="L120" s="20"/>
      <c r="M120" s="139"/>
      <c r="N120" s="139"/>
      <c r="O120" s="139"/>
    </row>
    <row r="121">
      <c r="A121" s="115"/>
      <c r="B121" s="115"/>
      <c r="C121" s="115"/>
      <c r="D121" s="115"/>
      <c r="E121" s="193"/>
      <c r="F121" s="115"/>
      <c r="G121" s="115"/>
      <c r="H121" s="115"/>
      <c r="I121" s="115"/>
      <c r="J121" s="115"/>
      <c r="K121" s="194"/>
      <c r="L121" s="20"/>
      <c r="M121" s="139"/>
      <c r="N121" s="139"/>
      <c r="O121" s="139"/>
    </row>
    <row r="122">
      <c r="A122" s="115"/>
      <c r="B122" s="115"/>
      <c r="C122" s="115"/>
      <c r="D122" s="115"/>
      <c r="E122" s="193"/>
      <c r="F122" s="115"/>
      <c r="G122" s="115"/>
      <c r="H122" s="115"/>
      <c r="I122" s="115"/>
      <c r="J122" s="115"/>
      <c r="K122" s="194"/>
      <c r="L122" s="20"/>
      <c r="M122" s="139"/>
      <c r="N122" s="139"/>
      <c r="O122" s="139"/>
    </row>
    <row r="123">
      <c r="A123" s="115"/>
      <c r="B123" s="115"/>
      <c r="C123" s="115"/>
      <c r="D123" s="115"/>
      <c r="E123" s="193"/>
      <c r="F123" s="115"/>
      <c r="G123" s="115"/>
      <c r="H123" s="115"/>
      <c r="I123" s="115"/>
      <c r="J123" s="115"/>
      <c r="K123" s="194"/>
      <c r="L123" s="20"/>
      <c r="M123" s="139"/>
      <c r="N123" s="139"/>
      <c r="O123" s="139"/>
    </row>
    <row r="124">
      <c r="A124" s="115"/>
      <c r="B124" s="115"/>
      <c r="C124" s="115"/>
      <c r="D124" s="115"/>
      <c r="E124" s="193"/>
      <c r="F124" s="115"/>
      <c r="G124" s="115"/>
      <c r="H124" s="115"/>
      <c r="I124" s="115"/>
      <c r="J124" s="115"/>
      <c r="K124" s="194"/>
      <c r="L124" s="20"/>
      <c r="M124" s="139"/>
      <c r="N124" s="139"/>
      <c r="O124" s="139"/>
    </row>
    <row r="125">
      <c r="A125" s="115"/>
      <c r="B125" s="115"/>
      <c r="C125" s="115"/>
      <c r="D125" s="115"/>
      <c r="E125" s="193"/>
      <c r="F125" s="115"/>
      <c r="G125" s="115"/>
      <c r="H125" s="115"/>
      <c r="I125" s="115"/>
      <c r="J125" s="115"/>
      <c r="K125" s="194"/>
      <c r="L125" s="20"/>
      <c r="M125" s="139"/>
      <c r="N125" s="139"/>
      <c r="O125" s="139"/>
    </row>
    <row r="126">
      <c r="A126" s="115"/>
      <c r="B126" s="115"/>
      <c r="C126" s="115"/>
      <c r="D126" s="115"/>
      <c r="E126" s="193"/>
      <c r="F126" s="115"/>
      <c r="G126" s="115"/>
      <c r="H126" s="115"/>
      <c r="I126" s="115"/>
      <c r="J126" s="115"/>
      <c r="K126" s="194"/>
      <c r="L126" s="20"/>
      <c r="M126" s="139"/>
      <c r="N126" s="139"/>
      <c r="O126" s="139"/>
    </row>
    <row r="127">
      <c r="A127" s="115"/>
      <c r="B127" s="115"/>
      <c r="C127" s="115"/>
      <c r="D127" s="115"/>
      <c r="E127" s="193"/>
      <c r="F127" s="115"/>
      <c r="G127" s="115"/>
      <c r="H127" s="115"/>
      <c r="I127" s="115"/>
      <c r="J127" s="115"/>
      <c r="K127" s="194"/>
      <c r="L127" s="20"/>
      <c r="M127" s="139"/>
      <c r="N127" s="139"/>
      <c r="O127" s="139"/>
    </row>
    <row r="128">
      <c r="A128" s="115"/>
      <c r="B128" s="115"/>
      <c r="C128" s="115"/>
      <c r="D128" s="115"/>
      <c r="E128" s="193"/>
      <c r="F128" s="115"/>
      <c r="G128" s="115"/>
      <c r="H128" s="115"/>
      <c r="I128" s="115"/>
      <c r="J128" s="115"/>
      <c r="K128" s="194"/>
      <c r="L128" s="20"/>
      <c r="M128" s="139"/>
      <c r="N128" s="139"/>
      <c r="O128" s="139"/>
    </row>
    <row r="129">
      <c r="A129" s="115"/>
      <c r="B129" s="115"/>
      <c r="C129" s="115"/>
      <c r="D129" s="115"/>
      <c r="E129" s="193"/>
      <c r="F129" s="115"/>
      <c r="G129" s="115"/>
      <c r="H129" s="115"/>
      <c r="I129" s="115"/>
      <c r="J129" s="115"/>
      <c r="K129" s="194"/>
      <c r="L129" s="20"/>
      <c r="M129" s="139"/>
      <c r="N129" s="139"/>
      <c r="O129" s="139"/>
    </row>
    <row r="130">
      <c r="A130" s="115"/>
      <c r="B130" s="115"/>
      <c r="C130" s="115"/>
      <c r="D130" s="115"/>
      <c r="E130" s="193"/>
      <c r="F130" s="115"/>
      <c r="G130" s="115"/>
      <c r="H130" s="115"/>
      <c r="I130" s="115"/>
      <c r="J130" s="115"/>
      <c r="K130" s="194"/>
      <c r="L130" s="20"/>
      <c r="M130" s="139"/>
      <c r="N130" s="139"/>
      <c r="O130" s="139"/>
    </row>
    <row r="131">
      <c r="A131" s="115"/>
      <c r="B131" s="115"/>
      <c r="C131" s="115"/>
      <c r="D131" s="115"/>
      <c r="E131" s="193"/>
      <c r="F131" s="115"/>
      <c r="G131" s="115"/>
      <c r="H131" s="115"/>
      <c r="I131" s="115"/>
      <c r="J131" s="115"/>
      <c r="K131" s="194"/>
      <c r="L131" s="20"/>
      <c r="M131" s="139"/>
      <c r="N131" s="139"/>
      <c r="O131" s="139"/>
    </row>
    <row r="132">
      <c r="A132" s="115"/>
      <c r="B132" s="115"/>
      <c r="C132" s="115"/>
      <c r="D132" s="115"/>
      <c r="E132" s="193"/>
      <c r="F132" s="115"/>
      <c r="G132" s="115"/>
      <c r="H132" s="115"/>
      <c r="I132" s="115"/>
      <c r="J132" s="115"/>
      <c r="K132" s="194"/>
      <c r="L132" s="20"/>
      <c r="M132" s="139"/>
      <c r="N132" s="139"/>
      <c r="O132" s="139"/>
    </row>
    <row r="133">
      <c r="A133" s="115"/>
      <c r="B133" s="115"/>
      <c r="C133" s="115"/>
      <c r="D133" s="115"/>
      <c r="E133" s="193"/>
      <c r="F133" s="115"/>
      <c r="G133" s="115"/>
      <c r="H133" s="115"/>
      <c r="I133" s="115"/>
      <c r="J133" s="115"/>
      <c r="K133" s="194"/>
      <c r="L133" s="20"/>
      <c r="M133" s="139"/>
      <c r="N133" s="139"/>
      <c r="O133" s="139"/>
    </row>
    <row r="134">
      <c r="A134" s="115"/>
      <c r="B134" s="115"/>
      <c r="C134" s="115"/>
      <c r="D134" s="115"/>
      <c r="E134" s="193"/>
      <c r="F134" s="115"/>
      <c r="G134" s="115"/>
      <c r="H134" s="115"/>
      <c r="I134" s="115"/>
      <c r="J134" s="115"/>
      <c r="K134" s="194"/>
      <c r="L134" s="20"/>
      <c r="M134" s="139"/>
      <c r="N134" s="139"/>
      <c r="O134" s="139"/>
    </row>
    <row r="135">
      <c r="A135" s="115"/>
      <c r="B135" s="115"/>
      <c r="C135" s="115"/>
      <c r="D135" s="115"/>
      <c r="E135" s="193"/>
      <c r="F135" s="115"/>
      <c r="G135" s="115"/>
      <c r="H135" s="115"/>
      <c r="I135" s="115"/>
      <c r="J135" s="115"/>
      <c r="K135" s="194"/>
      <c r="L135" s="20"/>
      <c r="M135" s="139"/>
      <c r="N135" s="139"/>
      <c r="O135" s="139"/>
    </row>
    <row r="136">
      <c r="A136" s="115"/>
      <c r="B136" s="115"/>
      <c r="C136" s="115"/>
      <c r="D136" s="115"/>
      <c r="E136" s="193"/>
      <c r="F136" s="115"/>
      <c r="G136" s="115"/>
      <c r="H136" s="115"/>
      <c r="I136" s="115"/>
      <c r="J136" s="115"/>
      <c r="K136" s="194"/>
      <c r="L136" s="20"/>
      <c r="M136" s="139"/>
      <c r="N136" s="139"/>
      <c r="O136" s="139"/>
    </row>
    <row r="137">
      <c r="A137" s="115"/>
      <c r="B137" s="115"/>
      <c r="C137" s="115"/>
      <c r="D137" s="115"/>
      <c r="E137" s="193"/>
      <c r="F137" s="115"/>
      <c r="G137" s="115"/>
      <c r="H137" s="115"/>
      <c r="I137" s="115"/>
      <c r="J137" s="115"/>
      <c r="K137" s="194"/>
      <c r="L137" s="20"/>
      <c r="M137" s="139"/>
      <c r="N137" s="139"/>
      <c r="O137" s="139"/>
    </row>
    <row r="138">
      <c r="A138" s="115"/>
      <c r="B138" s="115"/>
      <c r="C138" s="115"/>
      <c r="D138" s="115"/>
      <c r="E138" s="193"/>
      <c r="F138" s="115"/>
      <c r="G138" s="115"/>
      <c r="H138" s="115"/>
      <c r="I138" s="115"/>
      <c r="J138" s="115"/>
      <c r="K138" s="194"/>
      <c r="L138" s="20"/>
      <c r="M138" s="139"/>
      <c r="N138" s="139"/>
      <c r="O138" s="139"/>
    </row>
    <row r="139">
      <c r="A139" s="115"/>
      <c r="B139" s="115"/>
      <c r="C139" s="115"/>
      <c r="D139" s="115"/>
      <c r="E139" s="193"/>
      <c r="F139" s="115"/>
      <c r="G139" s="115"/>
      <c r="H139" s="115"/>
      <c r="I139" s="115"/>
      <c r="J139" s="115"/>
      <c r="K139" s="194"/>
      <c r="L139" s="20"/>
      <c r="M139" s="139"/>
      <c r="N139" s="139"/>
      <c r="O139" s="139"/>
    </row>
    <row r="140">
      <c r="A140" s="115"/>
      <c r="B140" s="115"/>
      <c r="C140" s="115"/>
      <c r="D140" s="115"/>
      <c r="E140" s="193"/>
      <c r="F140" s="115"/>
      <c r="G140" s="115"/>
      <c r="H140" s="115"/>
      <c r="I140" s="115"/>
      <c r="J140" s="115"/>
      <c r="K140" s="194"/>
      <c r="L140" s="20"/>
      <c r="M140" s="139"/>
      <c r="N140" s="139"/>
      <c r="O140" s="139"/>
    </row>
    <row r="141">
      <c r="A141" s="115"/>
      <c r="B141" s="115"/>
      <c r="C141" s="115"/>
      <c r="D141" s="115"/>
      <c r="E141" s="193"/>
      <c r="F141" s="115"/>
      <c r="G141" s="115"/>
      <c r="H141" s="115"/>
      <c r="I141" s="115"/>
      <c r="J141" s="115"/>
      <c r="K141" s="194"/>
      <c r="L141" s="20"/>
      <c r="M141" s="139"/>
      <c r="N141" s="139"/>
      <c r="O141" s="139"/>
    </row>
    <row r="142">
      <c r="A142" s="115"/>
      <c r="B142" s="115"/>
      <c r="C142" s="115"/>
      <c r="D142" s="115"/>
      <c r="E142" s="193"/>
      <c r="F142" s="115"/>
      <c r="G142" s="115"/>
      <c r="H142" s="115"/>
      <c r="I142" s="115"/>
      <c r="J142" s="115"/>
      <c r="K142" s="194"/>
      <c r="L142" s="20"/>
      <c r="M142" s="139"/>
      <c r="N142" s="139"/>
      <c r="O142" s="139"/>
    </row>
    <row r="143">
      <c r="A143" s="115"/>
      <c r="B143" s="115"/>
      <c r="C143" s="115"/>
      <c r="D143" s="115"/>
      <c r="E143" s="193"/>
      <c r="F143" s="115"/>
      <c r="G143" s="115"/>
      <c r="H143" s="115"/>
      <c r="I143" s="115"/>
      <c r="J143" s="115"/>
      <c r="K143" s="194"/>
      <c r="L143" s="20"/>
      <c r="M143" s="139"/>
      <c r="N143" s="139"/>
      <c r="O143" s="139"/>
    </row>
    <row r="144">
      <c r="A144" s="115"/>
      <c r="B144" s="115"/>
      <c r="C144" s="115"/>
      <c r="D144" s="115"/>
      <c r="E144" s="193"/>
      <c r="F144" s="115"/>
      <c r="G144" s="115"/>
      <c r="H144" s="115"/>
      <c r="I144" s="115"/>
      <c r="J144" s="115"/>
      <c r="K144" s="194"/>
      <c r="L144" s="20"/>
      <c r="M144" s="139"/>
      <c r="N144" s="139"/>
      <c r="O144" s="139"/>
    </row>
    <row r="145">
      <c r="A145" s="115"/>
      <c r="B145" s="115"/>
      <c r="C145" s="115"/>
      <c r="D145" s="115"/>
      <c r="E145" s="193"/>
      <c r="F145" s="115"/>
      <c r="G145" s="115"/>
      <c r="H145" s="115"/>
      <c r="I145" s="115"/>
      <c r="J145" s="115"/>
      <c r="K145" s="194"/>
      <c r="L145" s="20"/>
      <c r="M145" s="139"/>
      <c r="N145" s="139"/>
      <c r="O145" s="139"/>
    </row>
    <row r="146">
      <c r="A146" s="115"/>
      <c r="B146" s="115"/>
      <c r="C146" s="115"/>
      <c r="D146" s="115"/>
      <c r="E146" s="193"/>
      <c r="F146" s="115"/>
      <c r="G146" s="115"/>
      <c r="H146" s="115"/>
      <c r="I146" s="115"/>
      <c r="J146" s="115"/>
      <c r="K146" s="194"/>
      <c r="L146" s="20"/>
      <c r="M146" s="139"/>
      <c r="N146" s="139"/>
      <c r="O146" s="139"/>
    </row>
    <row r="147">
      <c r="A147" s="115"/>
      <c r="B147" s="115"/>
      <c r="C147" s="115"/>
      <c r="D147" s="115"/>
      <c r="E147" s="193"/>
      <c r="F147" s="115"/>
      <c r="G147" s="115"/>
      <c r="H147" s="115"/>
      <c r="I147" s="115"/>
      <c r="J147" s="115"/>
      <c r="K147" s="194"/>
      <c r="L147" s="20"/>
      <c r="M147" s="139"/>
      <c r="N147" s="139"/>
      <c r="O147" s="139"/>
    </row>
    <row r="148">
      <c r="A148" s="115"/>
      <c r="B148" s="115"/>
      <c r="C148" s="115"/>
      <c r="D148" s="115"/>
      <c r="E148" s="193"/>
      <c r="F148" s="115"/>
      <c r="G148" s="115"/>
      <c r="H148" s="115"/>
      <c r="I148" s="115"/>
      <c r="J148" s="115"/>
      <c r="K148" s="194"/>
      <c r="L148" s="20"/>
      <c r="M148" s="139"/>
      <c r="N148" s="139"/>
      <c r="O148" s="139"/>
    </row>
    <row r="149">
      <c r="A149" s="115"/>
      <c r="B149" s="115"/>
      <c r="C149" s="115"/>
      <c r="D149" s="115"/>
      <c r="E149" s="193"/>
      <c r="F149" s="115"/>
      <c r="G149" s="115"/>
      <c r="H149" s="115"/>
      <c r="I149" s="115"/>
      <c r="J149" s="115"/>
      <c r="K149" s="194"/>
      <c r="L149" s="20"/>
      <c r="M149" s="139"/>
      <c r="N149" s="139"/>
      <c r="O149" s="139"/>
    </row>
    <row r="150">
      <c r="A150" s="115"/>
      <c r="B150" s="115"/>
      <c r="C150" s="115"/>
      <c r="D150" s="115"/>
      <c r="E150" s="193"/>
      <c r="F150" s="115"/>
      <c r="G150" s="115"/>
      <c r="H150" s="115"/>
      <c r="I150" s="115"/>
      <c r="J150" s="115"/>
      <c r="K150" s="194"/>
      <c r="L150" s="20"/>
      <c r="M150" s="139"/>
      <c r="N150" s="139"/>
      <c r="O150" s="139"/>
    </row>
    <row r="151">
      <c r="A151" s="115"/>
      <c r="B151" s="115"/>
      <c r="C151" s="115"/>
      <c r="D151" s="115"/>
      <c r="E151" s="193"/>
      <c r="F151" s="115"/>
      <c r="G151" s="115"/>
      <c r="H151" s="115"/>
      <c r="I151" s="115"/>
      <c r="J151" s="115"/>
      <c r="K151" s="194"/>
      <c r="L151" s="20"/>
      <c r="M151" s="139"/>
      <c r="N151" s="139"/>
      <c r="O151" s="139"/>
    </row>
    <row r="152">
      <c r="A152" s="115"/>
      <c r="B152" s="115"/>
      <c r="C152" s="115"/>
      <c r="D152" s="115"/>
      <c r="E152" s="193"/>
      <c r="F152" s="115"/>
      <c r="G152" s="115"/>
      <c r="H152" s="115"/>
      <c r="I152" s="115"/>
      <c r="J152" s="115"/>
      <c r="K152" s="194"/>
      <c r="L152" s="20"/>
      <c r="M152" s="139"/>
      <c r="N152" s="139"/>
      <c r="O152" s="139"/>
    </row>
    <row r="153">
      <c r="A153" s="115"/>
      <c r="B153" s="115"/>
      <c r="C153" s="115"/>
      <c r="D153" s="115"/>
      <c r="E153" s="193"/>
      <c r="F153" s="115"/>
      <c r="G153" s="115"/>
      <c r="H153" s="115"/>
      <c r="I153" s="115"/>
      <c r="J153" s="115"/>
      <c r="K153" s="194"/>
      <c r="L153" s="20"/>
      <c r="M153" s="139"/>
      <c r="N153" s="139"/>
      <c r="O153" s="139"/>
    </row>
    <row r="154">
      <c r="A154" s="115"/>
      <c r="B154" s="115"/>
      <c r="C154" s="115"/>
      <c r="D154" s="115"/>
      <c r="E154" s="193"/>
      <c r="F154" s="115"/>
      <c r="G154" s="115"/>
      <c r="H154" s="115"/>
      <c r="I154" s="115"/>
      <c r="J154" s="115"/>
      <c r="K154" s="194"/>
      <c r="L154" s="20"/>
      <c r="M154" s="139"/>
      <c r="N154" s="139"/>
      <c r="O154" s="139"/>
    </row>
    <row r="155">
      <c r="A155" s="115"/>
      <c r="B155" s="115"/>
      <c r="C155" s="115"/>
      <c r="D155" s="115"/>
      <c r="E155" s="193"/>
      <c r="F155" s="115"/>
      <c r="G155" s="115"/>
      <c r="H155" s="115"/>
      <c r="I155" s="115"/>
      <c r="J155" s="115"/>
      <c r="K155" s="194"/>
      <c r="L155" s="20"/>
      <c r="M155" s="139"/>
      <c r="N155" s="139"/>
      <c r="O155" s="139"/>
    </row>
    <row r="156">
      <c r="A156" s="115"/>
      <c r="B156" s="115"/>
      <c r="C156" s="115"/>
      <c r="D156" s="115"/>
      <c r="E156" s="193"/>
      <c r="F156" s="115"/>
      <c r="G156" s="115"/>
      <c r="H156" s="115"/>
      <c r="I156" s="115"/>
      <c r="J156" s="115"/>
      <c r="K156" s="194"/>
      <c r="L156" s="20"/>
      <c r="M156" s="139"/>
      <c r="N156" s="139"/>
      <c r="O156" s="139"/>
    </row>
    <row r="157">
      <c r="A157" s="115"/>
      <c r="B157" s="115"/>
      <c r="C157" s="115"/>
      <c r="D157" s="115"/>
      <c r="E157" s="193"/>
      <c r="F157" s="115"/>
      <c r="G157" s="115"/>
      <c r="H157" s="115"/>
      <c r="I157" s="115"/>
      <c r="J157" s="115"/>
      <c r="K157" s="194"/>
      <c r="L157" s="20"/>
      <c r="M157" s="139"/>
      <c r="N157" s="139"/>
      <c r="O157" s="139"/>
    </row>
    <row r="158">
      <c r="A158" s="115"/>
      <c r="B158" s="115"/>
      <c r="C158" s="115"/>
      <c r="D158" s="115"/>
      <c r="E158" s="193"/>
      <c r="F158" s="115"/>
      <c r="G158" s="115"/>
      <c r="H158" s="115"/>
      <c r="I158" s="115"/>
      <c r="J158" s="115"/>
      <c r="K158" s="194"/>
      <c r="L158" s="20"/>
      <c r="M158" s="139"/>
      <c r="N158" s="139"/>
      <c r="O158" s="139"/>
    </row>
    <row r="159">
      <c r="A159" s="115"/>
      <c r="B159" s="115"/>
      <c r="C159" s="115"/>
      <c r="D159" s="115"/>
      <c r="E159" s="193"/>
      <c r="F159" s="115"/>
      <c r="G159" s="115"/>
      <c r="H159" s="115"/>
      <c r="I159" s="115"/>
      <c r="J159" s="115"/>
      <c r="K159" s="194"/>
      <c r="L159" s="20"/>
      <c r="M159" s="139"/>
      <c r="N159" s="139"/>
      <c r="O159" s="139"/>
    </row>
    <row r="160">
      <c r="A160" s="115"/>
      <c r="B160" s="115"/>
      <c r="C160" s="115"/>
      <c r="D160" s="115"/>
      <c r="E160" s="193"/>
      <c r="F160" s="115"/>
      <c r="G160" s="115"/>
      <c r="H160" s="115"/>
      <c r="I160" s="115"/>
      <c r="J160" s="115"/>
      <c r="K160" s="194"/>
      <c r="L160" s="20"/>
      <c r="M160" s="139"/>
      <c r="N160" s="139"/>
      <c r="O160" s="139"/>
    </row>
    <row r="161">
      <c r="A161" s="115"/>
      <c r="B161" s="115"/>
      <c r="C161" s="115"/>
      <c r="D161" s="115"/>
      <c r="E161" s="193"/>
      <c r="F161" s="115"/>
      <c r="G161" s="115"/>
      <c r="H161" s="115"/>
      <c r="I161" s="115"/>
      <c r="J161" s="115"/>
      <c r="K161" s="194"/>
      <c r="L161" s="20"/>
      <c r="M161" s="139"/>
      <c r="N161" s="139"/>
      <c r="O161" s="139"/>
    </row>
    <row r="162">
      <c r="A162" s="115"/>
      <c r="B162" s="115"/>
      <c r="C162" s="115"/>
      <c r="D162" s="115"/>
      <c r="E162" s="193"/>
      <c r="F162" s="115"/>
      <c r="G162" s="115"/>
      <c r="H162" s="115"/>
      <c r="I162" s="115"/>
      <c r="J162" s="115"/>
      <c r="K162" s="194"/>
      <c r="L162" s="20"/>
      <c r="M162" s="139"/>
      <c r="N162" s="139"/>
      <c r="O162" s="139"/>
    </row>
    <row r="163">
      <c r="A163" s="115"/>
      <c r="B163" s="115"/>
      <c r="C163" s="115"/>
      <c r="D163" s="115"/>
      <c r="E163" s="193"/>
      <c r="F163" s="115"/>
      <c r="G163" s="115"/>
      <c r="H163" s="115"/>
      <c r="I163" s="115"/>
      <c r="J163" s="115"/>
      <c r="K163" s="194"/>
      <c r="L163" s="20"/>
      <c r="M163" s="139"/>
      <c r="N163" s="139"/>
      <c r="O163" s="139"/>
    </row>
    <row r="164">
      <c r="A164" s="115"/>
      <c r="B164" s="115"/>
      <c r="C164" s="115"/>
      <c r="D164" s="115"/>
      <c r="E164" s="193"/>
      <c r="F164" s="115"/>
      <c r="G164" s="115"/>
      <c r="H164" s="115"/>
      <c r="I164" s="115"/>
      <c r="J164" s="115"/>
      <c r="K164" s="194"/>
      <c r="L164" s="20"/>
      <c r="M164" s="139"/>
      <c r="N164" s="139"/>
      <c r="O164" s="139"/>
    </row>
    <row r="165">
      <c r="A165" s="115"/>
      <c r="B165" s="115"/>
      <c r="C165" s="115"/>
      <c r="D165" s="115"/>
      <c r="E165" s="193"/>
      <c r="F165" s="115"/>
      <c r="G165" s="115"/>
      <c r="H165" s="115"/>
      <c r="I165" s="115"/>
      <c r="J165" s="115"/>
      <c r="K165" s="194"/>
      <c r="L165" s="20"/>
      <c r="M165" s="139"/>
      <c r="N165" s="139"/>
      <c r="O165" s="139"/>
    </row>
    <row r="166">
      <c r="A166" s="115"/>
      <c r="B166" s="115"/>
      <c r="C166" s="115"/>
      <c r="D166" s="115"/>
      <c r="E166" s="193"/>
      <c r="F166" s="115"/>
      <c r="G166" s="115"/>
      <c r="H166" s="115"/>
      <c r="I166" s="115"/>
      <c r="J166" s="115"/>
      <c r="K166" s="194"/>
      <c r="L166" s="20"/>
      <c r="M166" s="139"/>
      <c r="N166" s="139"/>
      <c r="O166" s="139"/>
    </row>
    <row r="167">
      <c r="A167" s="115"/>
      <c r="B167" s="115"/>
      <c r="C167" s="115"/>
      <c r="D167" s="115"/>
      <c r="E167" s="193"/>
      <c r="F167" s="115"/>
      <c r="G167" s="115"/>
      <c r="H167" s="115"/>
      <c r="I167" s="115"/>
      <c r="J167" s="115"/>
      <c r="K167" s="194"/>
      <c r="L167" s="20"/>
      <c r="M167" s="139"/>
      <c r="N167" s="139"/>
      <c r="O167" s="139"/>
    </row>
    <row r="168">
      <c r="A168" s="115"/>
      <c r="B168" s="115"/>
      <c r="C168" s="115"/>
      <c r="D168" s="115"/>
      <c r="E168" s="193"/>
      <c r="F168" s="115"/>
      <c r="G168" s="115"/>
      <c r="H168" s="115"/>
      <c r="I168" s="115"/>
      <c r="J168" s="115"/>
      <c r="K168" s="194"/>
      <c r="L168" s="20"/>
      <c r="M168" s="139"/>
      <c r="N168" s="139"/>
      <c r="O168" s="139"/>
    </row>
    <row r="169">
      <c r="A169" s="115"/>
      <c r="B169" s="115"/>
      <c r="C169" s="115"/>
      <c r="D169" s="115"/>
      <c r="E169" s="193"/>
      <c r="F169" s="115"/>
      <c r="G169" s="115"/>
      <c r="H169" s="115"/>
      <c r="I169" s="115"/>
      <c r="J169" s="115"/>
      <c r="K169" s="194"/>
      <c r="L169" s="20"/>
      <c r="M169" s="139"/>
      <c r="N169" s="139"/>
      <c r="O169" s="139"/>
    </row>
    <row r="170">
      <c r="A170" s="115"/>
      <c r="B170" s="115"/>
      <c r="C170" s="115"/>
      <c r="D170" s="115"/>
      <c r="E170" s="193"/>
      <c r="F170" s="115"/>
      <c r="G170" s="115"/>
      <c r="H170" s="115"/>
      <c r="I170" s="115"/>
      <c r="J170" s="115"/>
      <c r="K170" s="194"/>
      <c r="L170" s="20"/>
      <c r="M170" s="139"/>
      <c r="N170" s="139"/>
      <c r="O170" s="139"/>
    </row>
    <row r="171">
      <c r="A171" s="115"/>
      <c r="B171" s="115"/>
      <c r="C171" s="115"/>
      <c r="D171" s="115"/>
      <c r="E171" s="193"/>
      <c r="F171" s="115"/>
      <c r="G171" s="115"/>
      <c r="H171" s="115"/>
      <c r="I171" s="115"/>
      <c r="J171" s="115"/>
      <c r="K171" s="194"/>
      <c r="L171" s="20"/>
      <c r="M171" s="139"/>
      <c r="N171" s="139"/>
      <c r="O171" s="139"/>
    </row>
    <row r="172">
      <c r="A172" s="115"/>
      <c r="B172" s="115"/>
      <c r="C172" s="115"/>
      <c r="D172" s="115"/>
      <c r="E172" s="193"/>
      <c r="F172" s="115"/>
      <c r="G172" s="115"/>
      <c r="H172" s="115"/>
      <c r="I172" s="115"/>
      <c r="J172" s="115"/>
      <c r="K172" s="194"/>
      <c r="L172" s="20"/>
      <c r="M172" s="139"/>
      <c r="N172" s="139"/>
      <c r="O172" s="139"/>
    </row>
    <row r="173">
      <c r="A173" s="115"/>
      <c r="B173" s="115"/>
      <c r="C173" s="115"/>
      <c r="D173" s="115"/>
      <c r="E173" s="193"/>
      <c r="F173" s="115"/>
      <c r="G173" s="115"/>
      <c r="H173" s="115"/>
      <c r="I173" s="115"/>
      <c r="J173" s="115"/>
      <c r="K173" s="194"/>
      <c r="L173" s="20"/>
      <c r="M173" s="139"/>
      <c r="N173" s="139"/>
      <c r="O173" s="139"/>
    </row>
    <row r="174">
      <c r="A174" s="115"/>
      <c r="B174" s="115"/>
      <c r="C174" s="115"/>
      <c r="D174" s="115"/>
      <c r="E174" s="193"/>
      <c r="F174" s="115"/>
      <c r="G174" s="115"/>
      <c r="H174" s="115"/>
      <c r="I174" s="115"/>
      <c r="J174" s="115"/>
      <c r="K174" s="194"/>
      <c r="L174" s="20"/>
      <c r="M174" s="139"/>
      <c r="N174" s="139"/>
      <c r="O174" s="139"/>
    </row>
    <row r="175">
      <c r="A175" s="115"/>
      <c r="B175" s="115"/>
      <c r="C175" s="115"/>
      <c r="D175" s="115"/>
      <c r="E175" s="193"/>
      <c r="F175" s="115"/>
      <c r="G175" s="115"/>
      <c r="H175" s="115"/>
      <c r="I175" s="115"/>
      <c r="J175" s="115"/>
      <c r="K175" s="194"/>
      <c r="L175" s="20"/>
      <c r="M175" s="139"/>
      <c r="N175" s="139"/>
      <c r="O175" s="139"/>
    </row>
    <row r="176">
      <c r="A176" s="115"/>
      <c r="B176" s="115"/>
      <c r="C176" s="115"/>
      <c r="D176" s="115"/>
      <c r="E176" s="193"/>
      <c r="F176" s="115"/>
      <c r="G176" s="115"/>
      <c r="H176" s="115"/>
      <c r="I176" s="115"/>
      <c r="J176" s="115"/>
      <c r="K176" s="194"/>
      <c r="L176" s="20"/>
      <c r="M176" s="139"/>
      <c r="N176" s="139"/>
      <c r="O176" s="139"/>
    </row>
    <row r="177">
      <c r="A177" s="115"/>
      <c r="B177" s="115"/>
      <c r="C177" s="115"/>
      <c r="D177" s="115"/>
      <c r="E177" s="193"/>
      <c r="F177" s="115"/>
      <c r="G177" s="115"/>
      <c r="H177" s="115"/>
      <c r="I177" s="115"/>
      <c r="J177" s="115"/>
      <c r="K177" s="194"/>
      <c r="L177" s="20"/>
      <c r="M177" s="139"/>
      <c r="N177" s="139"/>
      <c r="O177" s="139"/>
    </row>
    <row r="178">
      <c r="A178" s="115"/>
      <c r="B178" s="115"/>
      <c r="C178" s="115"/>
      <c r="D178" s="115"/>
      <c r="E178" s="193"/>
      <c r="F178" s="115"/>
      <c r="G178" s="115"/>
      <c r="H178" s="115"/>
      <c r="I178" s="115"/>
      <c r="J178" s="115"/>
      <c r="K178" s="194"/>
      <c r="L178" s="20"/>
      <c r="M178" s="139"/>
      <c r="N178" s="139"/>
      <c r="O178" s="139"/>
    </row>
    <row r="179">
      <c r="A179" s="115"/>
      <c r="B179" s="115"/>
      <c r="C179" s="115"/>
      <c r="D179" s="115"/>
      <c r="E179" s="193"/>
      <c r="F179" s="115"/>
      <c r="G179" s="115"/>
      <c r="H179" s="115"/>
      <c r="I179" s="115"/>
      <c r="J179" s="115"/>
      <c r="K179" s="194"/>
      <c r="L179" s="20"/>
      <c r="M179" s="139"/>
      <c r="N179" s="139"/>
      <c r="O179" s="139"/>
    </row>
    <row r="180">
      <c r="A180" s="115"/>
      <c r="B180" s="115"/>
      <c r="C180" s="115"/>
      <c r="D180" s="115"/>
      <c r="E180" s="193"/>
      <c r="F180" s="115"/>
      <c r="G180" s="115"/>
      <c r="H180" s="115"/>
      <c r="I180" s="115"/>
      <c r="J180" s="115"/>
      <c r="K180" s="194"/>
      <c r="L180" s="20"/>
      <c r="M180" s="139"/>
      <c r="N180" s="139"/>
      <c r="O180" s="139"/>
    </row>
    <row r="181">
      <c r="A181" s="115"/>
      <c r="B181" s="115"/>
      <c r="C181" s="115"/>
      <c r="D181" s="115"/>
      <c r="E181" s="193"/>
      <c r="F181" s="115"/>
      <c r="G181" s="115"/>
      <c r="H181" s="115"/>
      <c r="I181" s="115"/>
      <c r="J181" s="115"/>
      <c r="K181" s="194"/>
      <c r="L181" s="20"/>
      <c r="M181" s="139"/>
      <c r="N181" s="139"/>
      <c r="O181" s="139"/>
    </row>
    <row r="182">
      <c r="A182" s="115"/>
      <c r="B182" s="115"/>
      <c r="C182" s="115"/>
      <c r="D182" s="115"/>
      <c r="E182" s="193"/>
      <c r="F182" s="115"/>
      <c r="G182" s="115"/>
      <c r="H182" s="115"/>
      <c r="I182" s="115"/>
      <c r="J182" s="115"/>
      <c r="K182" s="194"/>
      <c r="L182" s="20"/>
      <c r="M182" s="139"/>
      <c r="N182" s="139"/>
      <c r="O182" s="139"/>
    </row>
    <row r="183">
      <c r="A183" s="115"/>
      <c r="B183" s="115"/>
      <c r="C183" s="115"/>
      <c r="D183" s="115"/>
      <c r="E183" s="193"/>
      <c r="F183" s="115"/>
      <c r="G183" s="115"/>
      <c r="H183" s="115"/>
      <c r="I183" s="115"/>
      <c r="J183" s="115"/>
      <c r="K183" s="194"/>
      <c r="L183" s="20"/>
      <c r="M183" s="139"/>
      <c r="N183" s="139"/>
      <c r="O183" s="139"/>
    </row>
    <row r="184">
      <c r="A184" s="115"/>
      <c r="B184" s="115"/>
      <c r="C184" s="115"/>
      <c r="D184" s="115"/>
      <c r="E184" s="193"/>
      <c r="F184" s="115"/>
      <c r="G184" s="115"/>
      <c r="H184" s="115"/>
      <c r="I184" s="115"/>
      <c r="J184" s="115"/>
      <c r="K184" s="194"/>
      <c r="L184" s="20"/>
      <c r="M184" s="139"/>
      <c r="N184" s="139"/>
      <c r="O184" s="139"/>
    </row>
    <row r="185">
      <c r="A185" s="115"/>
      <c r="B185" s="115"/>
      <c r="C185" s="115"/>
      <c r="D185" s="115"/>
      <c r="E185" s="193"/>
      <c r="F185" s="115"/>
      <c r="G185" s="115"/>
      <c r="H185" s="115"/>
      <c r="I185" s="115"/>
      <c r="J185" s="115"/>
      <c r="K185" s="194"/>
      <c r="L185" s="20"/>
      <c r="M185" s="139"/>
      <c r="N185" s="139"/>
      <c r="O185" s="139"/>
    </row>
    <row r="186">
      <c r="A186" s="115"/>
      <c r="B186" s="115"/>
      <c r="C186" s="115"/>
      <c r="D186" s="115"/>
      <c r="E186" s="193"/>
      <c r="F186" s="115"/>
      <c r="G186" s="115"/>
      <c r="H186" s="115"/>
      <c r="I186" s="115"/>
      <c r="J186" s="115"/>
      <c r="K186" s="194"/>
      <c r="L186" s="20"/>
      <c r="M186" s="139"/>
      <c r="N186" s="139"/>
      <c r="O186" s="139"/>
    </row>
    <row r="187">
      <c r="A187" s="115"/>
      <c r="B187" s="115"/>
      <c r="C187" s="115"/>
      <c r="D187" s="115"/>
      <c r="E187" s="193"/>
      <c r="F187" s="115"/>
      <c r="G187" s="115"/>
      <c r="H187" s="115"/>
      <c r="I187" s="115"/>
      <c r="J187" s="115"/>
      <c r="K187" s="194"/>
      <c r="L187" s="20"/>
      <c r="M187" s="139"/>
      <c r="N187" s="139"/>
      <c r="O187" s="139"/>
    </row>
    <row r="188">
      <c r="A188" s="115"/>
      <c r="B188" s="115"/>
      <c r="C188" s="115"/>
      <c r="D188" s="115"/>
      <c r="E188" s="193"/>
      <c r="F188" s="115"/>
      <c r="G188" s="115"/>
      <c r="H188" s="115"/>
      <c r="I188" s="115"/>
      <c r="J188" s="115"/>
      <c r="K188" s="194"/>
      <c r="L188" s="20"/>
      <c r="M188" s="139"/>
      <c r="N188" s="139"/>
      <c r="O188" s="139"/>
    </row>
    <row r="189">
      <c r="A189" s="115"/>
      <c r="B189" s="115"/>
      <c r="C189" s="115"/>
      <c r="D189" s="115"/>
      <c r="E189" s="193"/>
      <c r="F189" s="115"/>
      <c r="G189" s="115"/>
      <c r="H189" s="115"/>
      <c r="I189" s="115"/>
      <c r="J189" s="115"/>
      <c r="K189" s="194"/>
      <c r="L189" s="20"/>
      <c r="M189" s="139"/>
      <c r="N189" s="139"/>
      <c r="O189" s="139"/>
    </row>
    <row r="190">
      <c r="A190" s="115"/>
      <c r="B190" s="115"/>
      <c r="C190" s="115"/>
      <c r="D190" s="115"/>
      <c r="E190" s="193"/>
      <c r="F190" s="115"/>
      <c r="G190" s="115"/>
      <c r="H190" s="115"/>
      <c r="I190" s="115"/>
      <c r="J190" s="115"/>
      <c r="K190" s="194"/>
      <c r="L190" s="20"/>
      <c r="M190" s="139"/>
      <c r="N190" s="139"/>
      <c r="O190" s="139"/>
    </row>
    <row r="191">
      <c r="A191" s="115"/>
      <c r="B191" s="115"/>
      <c r="C191" s="115"/>
      <c r="D191" s="115"/>
      <c r="E191" s="193"/>
      <c r="F191" s="115"/>
      <c r="G191" s="115"/>
      <c r="H191" s="115"/>
      <c r="I191" s="115"/>
      <c r="J191" s="115"/>
      <c r="K191" s="194"/>
      <c r="L191" s="20"/>
      <c r="M191" s="139"/>
      <c r="N191" s="139"/>
      <c r="O191" s="139"/>
    </row>
    <row r="192">
      <c r="A192" s="115"/>
      <c r="B192" s="115"/>
      <c r="C192" s="115"/>
      <c r="D192" s="115"/>
      <c r="E192" s="193"/>
      <c r="F192" s="115"/>
      <c r="G192" s="115"/>
      <c r="H192" s="115"/>
      <c r="I192" s="115"/>
      <c r="J192" s="115"/>
      <c r="K192" s="194"/>
      <c r="L192" s="20"/>
      <c r="M192" s="139"/>
      <c r="N192" s="139"/>
      <c r="O192" s="139"/>
    </row>
    <row r="193">
      <c r="A193" s="115"/>
      <c r="B193" s="115"/>
      <c r="C193" s="115"/>
      <c r="D193" s="115"/>
      <c r="E193" s="193"/>
      <c r="F193" s="115"/>
      <c r="G193" s="115"/>
      <c r="H193" s="115"/>
      <c r="I193" s="115"/>
      <c r="J193" s="115"/>
      <c r="K193" s="194"/>
      <c r="L193" s="20"/>
      <c r="M193" s="139"/>
      <c r="N193" s="139"/>
      <c r="O193" s="139"/>
    </row>
    <row r="194">
      <c r="A194" s="115"/>
      <c r="B194" s="115"/>
      <c r="C194" s="115"/>
      <c r="D194" s="115"/>
      <c r="E194" s="193"/>
      <c r="F194" s="115"/>
      <c r="G194" s="115"/>
      <c r="H194" s="115"/>
      <c r="I194" s="115"/>
      <c r="J194" s="115"/>
      <c r="K194" s="194"/>
      <c r="L194" s="20"/>
      <c r="M194" s="139"/>
      <c r="N194" s="139"/>
      <c r="O194" s="139"/>
    </row>
    <row r="195">
      <c r="A195" s="115"/>
      <c r="B195" s="115"/>
      <c r="C195" s="115"/>
      <c r="D195" s="115"/>
      <c r="E195" s="193"/>
      <c r="F195" s="115"/>
      <c r="G195" s="115"/>
      <c r="H195" s="115"/>
      <c r="I195" s="115"/>
      <c r="J195" s="115"/>
      <c r="K195" s="194"/>
      <c r="L195" s="20"/>
      <c r="M195" s="139"/>
      <c r="N195" s="139"/>
      <c r="O195" s="139"/>
    </row>
    <row r="196">
      <c r="A196" s="115"/>
      <c r="B196" s="115"/>
      <c r="C196" s="115"/>
      <c r="D196" s="115"/>
      <c r="E196" s="193"/>
      <c r="F196" s="115"/>
      <c r="G196" s="115"/>
      <c r="H196" s="115"/>
      <c r="I196" s="115"/>
      <c r="J196" s="115"/>
      <c r="K196" s="194"/>
      <c r="L196" s="20"/>
      <c r="M196" s="139"/>
      <c r="N196" s="139"/>
      <c r="O196" s="139"/>
    </row>
    <row r="197">
      <c r="A197" s="115"/>
      <c r="B197" s="115"/>
      <c r="C197" s="115"/>
      <c r="D197" s="115"/>
      <c r="E197" s="193"/>
      <c r="F197" s="115"/>
      <c r="G197" s="115"/>
      <c r="H197" s="115"/>
      <c r="I197" s="115"/>
      <c r="J197" s="115"/>
      <c r="K197" s="194"/>
      <c r="L197" s="20"/>
      <c r="M197" s="139"/>
      <c r="N197" s="139"/>
      <c r="O197" s="139"/>
    </row>
    <row r="198">
      <c r="A198" s="115"/>
      <c r="B198" s="115"/>
      <c r="C198" s="115"/>
      <c r="D198" s="115"/>
      <c r="E198" s="193"/>
      <c r="F198" s="115"/>
      <c r="G198" s="115"/>
      <c r="H198" s="115"/>
      <c r="I198" s="115"/>
      <c r="J198" s="115"/>
      <c r="K198" s="194"/>
      <c r="L198" s="20"/>
      <c r="M198" s="139"/>
      <c r="N198" s="139"/>
      <c r="O198" s="139"/>
    </row>
    <row r="199">
      <c r="A199" s="115"/>
      <c r="B199" s="115"/>
      <c r="C199" s="115"/>
      <c r="D199" s="115"/>
      <c r="E199" s="193"/>
      <c r="F199" s="115"/>
      <c r="G199" s="115"/>
      <c r="H199" s="115"/>
      <c r="I199" s="115"/>
      <c r="J199" s="115"/>
      <c r="K199" s="194"/>
      <c r="L199" s="20"/>
      <c r="M199" s="139"/>
      <c r="N199" s="139"/>
      <c r="O199" s="139"/>
    </row>
    <row r="200">
      <c r="A200" s="115"/>
      <c r="B200" s="115"/>
      <c r="C200" s="115"/>
      <c r="D200" s="115"/>
      <c r="E200" s="193"/>
      <c r="F200" s="115"/>
      <c r="G200" s="115"/>
      <c r="H200" s="115"/>
      <c r="I200" s="115"/>
      <c r="J200" s="115"/>
      <c r="K200" s="194"/>
      <c r="L200" s="20"/>
      <c r="M200" s="139"/>
      <c r="N200" s="139"/>
      <c r="O200" s="139"/>
    </row>
    <row r="201">
      <c r="A201" s="115"/>
      <c r="B201" s="115"/>
      <c r="C201" s="115"/>
      <c r="D201" s="115"/>
      <c r="E201" s="193"/>
      <c r="F201" s="115"/>
      <c r="G201" s="115"/>
      <c r="H201" s="115"/>
      <c r="I201" s="115"/>
      <c r="J201" s="115"/>
      <c r="K201" s="194"/>
      <c r="L201" s="20"/>
      <c r="M201" s="139"/>
      <c r="N201" s="139"/>
      <c r="O201" s="139"/>
    </row>
    <row r="202">
      <c r="A202" s="115"/>
      <c r="B202" s="115"/>
      <c r="C202" s="115"/>
      <c r="D202" s="115"/>
      <c r="E202" s="193"/>
      <c r="F202" s="115"/>
      <c r="G202" s="115"/>
      <c r="H202" s="115"/>
      <c r="I202" s="115"/>
      <c r="J202" s="115"/>
      <c r="K202" s="194"/>
      <c r="L202" s="20"/>
      <c r="M202" s="139"/>
      <c r="N202" s="139"/>
      <c r="O202" s="139"/>
    </row>
    <row r="203">
      <c r="A203" s="115"/>
      <c r="B203" s="115"/>
      <c r="C203" s="115"/>
      <c r="D203" s="115"/>
      <c r="E203" s="193"/>
      <c r="F203" s="115"/>
      <c r="G203" s="115"/>
      <c r="H203" s="115"/>
      <c r="I203" s="115"/>
      <c r="J203" s="115"/>
      <c r="K203" s="194"/>
      <c r="L203" s="20"/>
      <c r="M203" s="139"/>
      <c r="N203" s="139"/>
      <c r="O203" s="139"/>
    </row>
    <row r="204">
      <c r="A204" s="115"/>
      <c r="B204" s="115"/>
      <c r="C204" s="115"/>
      <c r="D204" s="115"/>
      <c r="E204" s="193"/>
      <c r="F204" s="115"/>
      <c r="G204" s="115"/>
      <c r="H204" s="115"/>
      <c r="I204" s="115"/>
      <c r="J204" s="115"/>
      <c r="K204" s="194"/>
      <c r="L204" s="20"/>
      <c r="M204" s="139"/>
      <c r="N204" s="139"/>
      <c r="O204" s="139"/>
    </row>
    <row r="205">
      <c r="A205" s="115"/>
      <c r="B205" s="115"/>
      <c r="C205" s="115"/>
      <c r="D205" s="115"/>
      <c r="E205" s="193"/>
      <c r="F205" s="115"/>
      <c r="G205" s="115"/>
      <c r="H205" s="115"/>
      <c r="I205" s="115"/>
      <c r="J205" s="115"/>
      <c r="K205" s="194"/>
      <c r="L205" s="20"/>
      <c r="M205" s="139"/>
      <c r="N205" s="139"/>
      <c r="O205" s="139"/>
    </row>
    <row r="206">
      <c r="A206" s="115"/>
      <c r="B206" s="115"/>
      <c r="C206" s="115"/>
      <c r="D206" s="115"/>
      <c r="E206" s="193"/>
      <c r="F206" s="115"/>
      <c r="G206" s="115"/>
      <c r="H206" s="115"/>
      <c r="I206" s="115"/>
      <c r="J206" s="115"/>
      <c r="K206" s="194"/>
      <c r="L206" s="20"/>
      <c r="M206" s="139"/>
      <c r="N206" s="139"/>
      <c r="O206" s="139"/>
    </row>
    <row r="207">
      <c r="A207" s="115"/>
      <c r="B207" s="115"/>
      <c r="C207" s="115"/>
      <c r="D207" s="115"/>
      <c r="E207" s="193"/>
      <c r="F207" s="115"/>
      <c r="G207" s="115"/>
      <c r="H207" s="115"/>
      <c r="I207" s="115"/>
      <c r="J207" s="115"/>
      <c r="K207" s="194"/>
      <c r="L207" s="20"/>
      <c r="M207" s="139"/>
      <c r="N207" s="139"/>
      <c r="O207" s="139"/>
    </row>
    <row r="208">
      <c r="A208" s="115"/>
      <c r="B208" s="115"/>
      <c r="C208" s="115"/>
      <c r="D208" s="115"/>
      <c r="E208" s="193"/>
      <c r="F208" s="115"/>
      <c r="G208" s="115"/>
      <c r="H208" s="115"/>
      <c r="I208" s="115"/>
      <c r="J208" s="115"/>
      <c r="K208" s="194"/>
      <c r="L208" s="20"/>
      <c r="M208" s="139"/>
      <c r="N208" s="139"/>
      <c r="O208" s="139"/>
    </row>
    <row r="209">
      <c r="A209" s="115"/>
      <c r="B209" s="115"/>
      <c r="C209" s="115"/>
      <c r="D209" s="115"/>
      <c r="E209" s="193"/>
      <c r="F209" s="115"/>
      <c r="G209" s="115"/>
      <c r="H209" s="115"/>
      <c r="I209" s="115"/>
      <c r="J209" s="115"/>
      <c r="K209" s="194"/>
      <c r="L209" s="20"/>
      <c r="M209" s="139"/>
      <c r="N209" s="139"/>
      <c r="O209" s="139"/>
    </row>
    <row r="210">
      <c r="A210" s="115"/>
      <c r="B210" s="115"/>
      <c r="C210" s="115"/>
      <c r="D210" s="115"/>
      <c r="E210" s="193"/>
      <c r="F210" s="115"/>
      <c r="G210" s="115"/>
      <c r="H210" s="115"/>
      <c r="I210" s="115"/>
      <c r="J210" s="115"/>
      <c r="K210" s="194"/>
      <c r="L210" s="20"/>
      <c r="M210" s="139"/>
      <c r="N210" s="139"/>
      <c r="O210" s="139"/>
    </row>
    <row r="211">
      <c r="A211" s="115"/>
      <c r="B211" s="115"/>
      <c r="C211" s="115"/>
      <c r="D211" s="115"/>
      <c r="E211" s="193"/>
      <c r="F211" s="115"/>
      <c r="G211" s="115"/>
      <c r="H211" s="115"/>
      <c r="I211" s="115"/>
      <c r="J211" s="115"/>
      <c r="K211" s="194"/>
      <c r="L211" s="20"/>
      <c r="M211" s="139"/>
      <c r="N211" s="139"/>
      <c r="O211" s="139"/>
    </row>
    <row r="212">
      <c r="A212" s="115"/>
      <c r="B212" s="115"/>
      <c r="C212" s="115"/>
      <c r="D212" s="115"/>
      <c r="E212" s="193"/>
      <c r="F212" s="115"/>
      <c r="G212" s="115"/>
      <c r="H212" s="115"/>
      <c r="I212" s="115"/>
      <c r="J212" s="115"/>
      <c r="K212" s="194"/>
      <c r="L212" s="20"/>
      <c r="M212" s="139"/>
      <c r="N212" s="139"/>
      <c r="O212" s="139"/>
    </row>
    <row r="213">
      <c r="A213" s="115"/>
      <c r="B213" s="115"/>
      <c r="C213" s="115"/>
      <c r="D213" s="115"/>
      <c r="E213" s="193"/>
      <c r="F213" s="115"/>
      <c r="G213" s="115"/>
      <c r="H213" s="115"/>
      <c r="I213" s="115"/>
      <c r="J213" s="115"/>
      <c r="K213" s="194"/>
      <c r="L213" s="20"/>
      <c r="M213" s="139"/>
      <c r="N213" s="139"/>
      <c r="O213" s="139"/>
    </row>
    <row r="214">
      <c r="A214" s="115"/>
      <c r="B214" s="115"/>
      <c r="C214" s="115"/>
      <c r="D214" s="115"/>
      <c r="E214" s="193"/>
      <c r="F214" s="115"/>
      <c r="G214" s="115"/>
      <c r="H214" s="115"/>
      <c r="I214" s="115"/>
      <c r="J214" s="115"/>
      <c r="K214" s="194"/>
      <c r="L214" s="20"/>
      <c r="M214" s="139"/>
      <c r="N214" s="139"/>
      <c r="O214" s="139"/>
    </row>
    <row r="215">
      <c r="A215" s="115"/>
      <c r="B215" s="115"/>
      <c r="C215" s="115"/>
      <c r="D215" s="115"/>
      <c r="E215" s="193"/>
      <c r="F215" s="115"/>
      <c r="G215" s="115"/>
      <c r="H215" s="115"/>
      <c r="I215" s="115"/>
      <c r="J215" s="115"/>
      <c r="K215" s="194"/>
      <c r="L215" s="20"/>
      <c r="M215" s="139"/>
      <c r="N215" s="139"/>
      <c r="O215" s="139"/>
    </row>
    <row r="216">
      <c r="A216" s="115"/>
      <c r="B216" s="115"/>
      <c r="C216" s="115"/>
      <c r="D216" s="115"/>
      <c r="E216" s="193"/>
      <c r="F216" s="115"/>
      <c r="G216" s="115"/>
      <c r="H216" s="115"/>
      <c r="I216" s="115"/>
      <c r="J216" s="115"/>
      <c r="K216" s="194"/>
      <c r="L216" s="20"/>
      <c r="M216" s="139"/>
      <c r="N216" s="139"/>
      <c r="O216" s="139"/>
    </row>
    <row r="217">
      <c r="A217" s="115"/>
      <c r="B217" s="115"/>
      <c r="C217" s="115"/>
      <c r="D217" s="115"/>
      <c r="E217" s="193"/>
      <c r="F217" s="115"/>
      <c r="G217" s="115"/>
      <c r="H217" s="115"/>
      <c r="I217" s="115"/>
      <c r="J217" s="115"/>
      <c r="K217" s="194"/>
      <c r="L217" s="20"/>
      <c r="M217" s="139"/>
      <c r="N217" s="139"/>
      <c r="O217" s="139"/>
    </row>
    <row r="218">
      <c r="A218" s="115"/>
      <c r="B218" s="115"/>
      <c r="C218" s="115"/>
      <c r="D218" s="115"/>
      <c r="E218" s="193"/>
      <c r="F218" s="115"/>
      <c r="G218" s="115"/>
      <c r="H218" s="115"/>
      <c r="I218" s="115"/>
      <c r="J218" s="115"/>
      <c r="K218" s="194"/>
      <c r="L218" s="20"/>
      <c r="M218" s="139"/>
      <c r="N218" s="139"/>
      <c r="O218" s="139"/>
    </row>
    <row r="219">
      <c r="A219" s="115"/>
      <c r="B219" s="115"/>
      <c r="C219" s="115"/>
      <c r="D219" s="115"/>
      <c r="E219" s="193"/>
      <c r="F219" s="115"/>
      <c r="G219" s="115"/>
      <c r="H219" s="115"/>
      <c r="I219" s="115"/>
      <c r="J219" s="115"/>
      <c r="K219" s="194"/>
      <c r="L219" s="20"/>
      <c r="M219" s="139"/>
      <c r="N219" s="139"/>
      <c r="O219" s="139"/>
    </row>
    <row r="220">
      <c r="A220" s="115"/>
      <c r="B220" s="115"/>
      <c r="C220" s="115"/>
      <c r="D220" s="115"/>
      <c r="E220" s="193"/>
      <c r="F220" s="115"/>
      <c r="G220" s="115"/>
      <c r="H220" s="115"/>
      <c r="I220" s="115"/>
      <c r="J220" s="115"/>
      <c r="K220" s="194"/>
      <c r="L220" s="20"/>
      <c r="M220" s="139"/>
      <c r="N220" s="139"/>
      <c r="O220" s="139"/>
    </row>
    <row r="221">
      <c r="A221" s="115"/>
      <c r="B221" s="115"/>
      <c r="C221" s="115"/>
      <c r="D221" s="115"/>
      <c r="E221" s="193"/>
      <c r="F221" s="115"/>
      <c r="G221" s="115"/>
      <c r="H221" s="115"/>
      <c r="I221" s="115"/>
      <c r="J221" s="115"/>
      <c r="K221" s="194"/>
      <c r="L221" s="20"/>
      <c r="M221" s="139"/>
      <c r="N221" s="139"/>
      <c r="O221" s="139"/>
    </row>
    <row r="222">
      <c r="A222" s="115"/>
      <c r="B222" s="115"/>
      <c r="C222" s="115"/>
      <c r="D222" s="115"/>
      <c r="E222" s="193"/>
      <c r="F222" s="115"/>
      <c r="G222" s="115"/>
      <c r="H222" s="115"/>
      <c r="I222" s="115"/>
      <c r="J222" s="115"/>
      <c r="K222" s="194"/>
      <c r="L222" s="20"/>
      <c r="M222" s="139"/>
      <c r="N222" s="139"/>
      <c r="O222" s="139"/>
    </row>
    <row r="223">
      <c r="A223" s="115"/>
      <c r="B223" s="115"/>
      <c r="C223" s="115"/>
      <c r="D223" s="115"/>
      <c r="E223" s="193"/>
      <c r="F223" s="115"/>
      <c r="G223" s="115"/>
      <c r="H223" s="115"/>
      <c r="I223" s="115"/>
      <c r="J223" s="115"/>
      <c r="K223" s="194"/>
      <c r="L223" s="20"/>
      <c r="M223" s="139"/>
      <c r="N223" s="139"/>
      <c r="O223" s="139"/>
    </row>
    <row r="224">
      <c r="A224" s="115"/>
      <c r="B224" s="115"/>
      <c r="C224" s="115"/>
      <c r="D224" s="115"/>
      <c r="E224" s="193"/>
      <c r="F224" s="115"/>
      <c r="G224" s="115"/>
      <c r="H224" s="115"/>
      <c r="I224" s="115"/>
      <c r="J224" s="115"/>
      <c r="K224" s="194"/>
      <c r="L224" s="20"/>
      <c r="M224" s="139"/>
      <c r="N224" s="139"/>
      <c r="O224" s="139"/>
    </row>
    <row r="225">
      <c r="A225" s="115"/>
      <c r="B225" s="115"/>
      <c r="C225" s="115"/>
      <c r="D225" s="115"/>
      <c r="E225" s="193"/>
      <c r="F225" s="115"/>
      <c r="G225" s="115"/>
      <c r="H225" s="115"/>
      <c r="I225" s="115"/>
      <c r="J225" s="115"/>
      <c r="K225" s="194"/>
      <c r="L225" s="20"/>
      <c r="M225" s="139"/>
      <c r="N225" s="139"/>
      <c r="O225" s="139"/>
    </row>
    <row r="226">
      <c r="A226" s="115"/>
      <c r="B226" s="115"/>
      <c r="C226" s="115"/>
      <c r="D226" s="115"/>
      <c r="E226" s="193"/>
      <c r="F226" s="115"/>
      <c r="G226" s="115"/>
      <c r="H226" s="115"/>
      <c r="I226" s="115"/>
      <c r="J226" s="115"/>
      <c r="K226" s="194"/>
      <c r="L226" s="20"/>
      <c r="M226" s="139"/>
      <c r="N226" s="139"/>
      <c r="O226" s="139"/>
    </row>
    <row r="227">
      <c r="A227" s="115"/>
      <c r="B227" s="115"/>
      <c r="C227" s="115"/>
      <c r="D227" s="115"/>
      <c r="E227" s="193"/>
      <c r="F227" s="115"/>
      <c r="G227" s="115"/>
      <c r="H227" s="115"/>
      <c r="I227" s="115"/>
      <c r="J227" s="115"/>
      <c r="K227" s="194"/>
      <c r="L227" s="20"/>
      <c r="M227" s="139"/>
      <c r="N227" s="139"/>
      <c r="O227" s="139"/>
    </row>
    <row r="228">
      <c r="A228" s="115"/>
      <c r="B228" s="115"/>
      <c r="C228" s="115"/>
      <c r="D228" s="115"/>
      <c r="E228" s="193"/>
      <c r="F228" s="115"/>
      <c r="G228" s="115"/>
      <c r="H228" s="115"/>
      <c r="I228" s="115"/>
      <c r="J228" s="115"/>
      <c r="K228" s="194"/>
      <c r="L228" s="20"/>
      <c r="M228" s="139"/>
      <c r="N228" s="139"/>
      <c r="O228" s="139"/>
    </row>
    <row r="229">
      <c r="A229" s="115"/>
      <c r="B229" s="115"/>
      <c r="C229" s="115"/>
      <c r="D229" s="115"/>
      <c r="E229" s="193"/>
      <c r="F229" s="115"/>
      <c r="G229" s="115"/>
      <c r="H229" s="115"/>
      <c r="I229" s="115"/>
      <c r="J229" s="115"/>
      <c r="K229" s="194"/>
      <c r="L229" s="20"/>
      <c r="M229" s="139"/>
      <c r="N229" s="139"/>
      <c r="O229" s="139"/>
    </row>
    <row r="230">
      <c r="A230" s="115"/>
      <c r="B230" s="115"/>
      <c r="C230" s="115"/>
      <c r="D230" s="115"/>
      <c r="E230" s="193"/>
      <c r="F230" s="115"/>
      <c r="G230" s="115"/>
      <c r="H230" s="115"/>
      <c r="I230" s="115"/>
      <c r="J230" s="115"/>
      <c r="K230" s="194"/>
      <c r="L230" s="20"/>
      <c r="M230" s="139"/>
      <c r="N230" s="139"/>
      <c r="O230" s="139"/>
    </row>
    <row r="231">
      <c r="A231" s="115"/>
      <c r="B231" s="115"/>
      <c r="C231" s="115"/>
      <c r="D231" s="115"/>
      <c r="E231" s="193"/>
      <c r="F231" s="115"/>
      <c r="G231" s="115"/>
      <c r="H231" s="115"/>
      <c r="I231" s="115"/>
      <c r="J231" s="115"/>
      <c r="K231" s="194"/>
      <c r="L231" s="20"/>
      <c r="M231" s="139"/>
      <c r="N231" s="139"/>
      <c r="O231" s="139"/>
    </row>
    <row r="232">
      <c r="A232" s="115"/>
      <c r="B232" s="115"/>
      <c r="C232" s="115"/>
      <c r="D232" s="115"/>
      <c r="E232" s="193"/>
      <c r="F232" s="115"/>
      <c r="G232" s="115"/>
      <c r="H232" s="115"/>
      <c r="I232" s="115"/>
      <c r="J232" s="115"/>
      <c r="K232" s="194"/>
      <c r="L232" s="20"/>
      <c r="M232" s="139"/>
      <c r="N232" s="139"/>
      <c r="O232" s="139"/>
    </row>
    <row r="233">
      <c r="A233" s="115"/>
      <c r="B233" s="115"/>
      <c r="C233" s="115"/>
      <c r="D233" s="115"/>
      <c r="E233" s="193"/>
      <c r="F233" s="115"/>
      <c r="G233" s="115"/>
      <c r="H233" s="115"/>
      <c r="I233" s="115"/>
      <c r="J233" s="115"/>
      <c r="K233" s="194"/>
      <c r="L233" s="20"/>
      <c r="M233" s="139"/>
      <c r="N233" s="139"/>
      <c r="O233" s="139"/>
    </row>
    <row r="234">
      <c r="A234" s="115"/>
      <c r="B234" s="115"/>
      <c r="C234" s="115"/>
      <c r="D234" s="115"/>
      <c r="E234" s="193"/>
      <c r="F234" s="115"/>
      <c r="G234" s="115"/>
      <c r="H234" s="115"/>
      <c r="I234" s="115"/>
      <c r="J234" s="115"/>
      <c r="K234" s="194"/>
      <c r="L234" s="20"/>
      <c r="M234" s="139"/>
      <c r="N234" s="139"/>
      <c r="O234" s="139"/>
    </row>
    <row r="235">
      <c r="A235" s="115"/>
      <c r="B235" s="115"/>
      <c r="C235" s="115"/>
      <c r="D235" s="115"/>
      <c r="E235" s="193"/>
      <c r="F235" s="115"/>
      <c r="G235" s="115"/>
      <c r="H235" s="115"/>
      <c r="I235" s="115"/>
      <c r="J235" s="115"/>
      <c r="K235" s="194"/>
      <c r="L235" s="20"/>
      <c r="M235" s="139"/>
      <c r="N235" s="139"/>
      <c r="O235" s="139"/>
    </row>
    <row r="236">
      <c r="A236" s="115"/>
      <c r="B236" s="115"/>
      <c r="C236" s="115"/>
      <c r="D236" s="115"/>
      <c r="E236" s="193"/>
      <c r="F236" s="115"/>
      <c r="G236" s="115"/>
      <c r="H236" s="115"/>
      <c r="I236" s="115"/>
      <c r="J236" s="115"/>
      <c r="K236" s="194"/>
      <c r="L236" s="20"/>
      <c r="M236" s="139"/>
      <c r="N236" s="139"/>
      <c r="O236" s="139"/>
    </row>
    <row r="237">
      <c r="A237" s="115"/>
      <c r="B237" s="115"/>
      <c r="C237" s="115"/>
      <c r="D237" s="115"/>
      <c r="E237" s="193"/>
      <c r="F237" s="115"/>
      <c r="G237" s="115"/>
      <c r="H237" s="115"/>
      <c r="I237" s="115"/>
      <c r="J237" s="115"/>
      <c r="K237" s="194"/>
      <c r="L237" s="20"/>
      <c r="M237" s="139"/>
      <c r="N237" s="139"/>
      <c r="O237" s="139"/>
    </row>
    <row r="238">
      <c r="A238" s="115"/>
      <c r="B238" s="115"/>
      <c r="C238" s="115"/>
      <c r="D238" s="115"/>
      <c r="E238" s="193"/>
      <c r="F238" s="115"/>
      <c r="G238" s="115"/>
      <c r="H238" s="115"/>
      <c r="I238" s="115"/>
      <c r="J238" s="115"/>
      <c r="K238" s="194"/>
      <c r="L238" s="20"/>
      <c r="M238" s="139"/>
      <c r="N238" s="139"/>
      <c r="O238" s="139"/>
    </row>
    <row r="239">
      <c r="A239" s="115"/>
      <c r="B239" s="115"/>
      <c r="C239" s="115"/>
      <c r="D239" s="115"/>
      <c r="E239" s="193"/>
      <c r="F239" s="115"/>
      <c r="G239" s="115"/>
      <c r="H239" s="115"/>
      <c r="I239" s="115"/>
      <c r="J239" s="115"/>
      <c r="K239" s="194"/>
      <c r="L239" s="20"/>
      <c r="M239" s="139"/>
      <c r="N239" s="139"/>
      <c r="O239" s="139"/>
    </row>
    <row r="240">
      <c r="A240" s="115"/>
      <c r="B240" s="115"/>
      <c r="C240" s="115"/>
      <c r="D240" s="115"/>
      <c r="E240" s="193"/>
      <c r="F240" s="115"/>
      <c r="G240" s="115"/>
      <c r="H240" s="115"/>
      <c r="I240" s="115"/>
      <c r="J240" s="115"/>
      <c r="K240" s="194"/>
      <c r="L240" s="20"/>
      <c r="M240" s="139"/>
      <c r="N240" s="139"/>
      <c r="O240" s="139"/>
    </row>
    <row r="241">
      <c r="A241" s="115"/>
      <c r="B241" s="115"/>
      <c r="C241" s="115"/>
      <c r="D241" s="115"/>
      <c r="E241" s="193"/>
      <c r="F241" s="115"/>
      <c r="G241" s="115"/>
      <c r="H241" s="115"/>
      <c r="I241" s="115"/>
      <c r="J241" s="115"/>
      <c r="K241" s="194"/>
      <c r="L241" s="20"/>
      <c r="M241" s="139"/>
      <c r="N241" s="139"/>
      <c r="O241" s="139"/>
    </row>
    <row r="242">
      <c r="A242" s="115"/>
      <c r="B242" s="115"/>
      <c r="C242" s="115"/>
      <c r="D242" s="115"/>
      <c r="E242" s="193"/>
      <c r="F242" s="115"/>
      <c r="G242" s="115"/>
      <c r="H242" s="115"/>
      <c r="I242" s="115"/>
      <c r="J242" s="115"/>
      <c r="K242" s="194"/>
      <c r="L242" s="20"/>
      <c r="M242" s="139"/>
      <c r="N242" s="139"/>
      <c r="O242" s="139"/>
    </row>
    <row r="243">
      <c r="A243" s="115"/>
      <c r="B243" s="115"/>
      <c r="C243" s="115"/>
      <c r="D243" s="115"/>
      <c r="E243" s="193"/>
      <c r="F243" s="115"/>
      <c r="G243" s="115"/>
      <c r="H243" s="115"/>
      <c r="I243" s="115"/>
      <c r="J243" s="115"/>
      <c r="K243" s="194"/>
      <c r="L243" s="20"/>
      <c r="M243" s="139"/>
      <c r="N243" s="139"/>
      <c r="O243" s="139"/>
    </row>
    <row r="244">
      <c r="A244" s="115"/>
      <c r="B244" s="115"/>
      <c r="C244" s="115"/>
      <c r="D244" s="115"/>
      <c r="E244" s="193"/>
      <c r="F244" s="115"/>
      <c r="G244" s="115"/>
      <c r="H244" s="115"/>
      <c r="I244" s="115"/>
      <c r="J244" s="115"/>
      <c r="K244" s="194"/>
      <c r="L244" s="20"/>
      <c r="M244" s="139"/>
      <c r="N244" s="139"/>
      <c r="O244" s="139"/>
    </row>
    <row r="245">
      <c r="A245" s="115"/>
      <c r="B245" s="115"/>
      <c r="C245" s="115"/>
      <c r="D245" s="115"/>
      <c r="E245" s="193"/>
      <c r="F245" s="115"/>
      <c r="G245" s="115"/>
      <c r="H245" s="115"/>
      <c r="I245" s="115"/>
      <c r="J245" s="115"/>
      <c r="K245" s="194"/>
      <c r="L245" s="20"/>
      <c r="M245" s="139"/>
      <c r="N245" s="139"/>
      <c r="O245" s="139"/>
    </row>
    <row r="246">
      <c r="A246" s="115"/>
      <c r="B246" s="115"/>
      <c r="C246" s="115"/>
      <c r="D246" s="115"/>
      <c r="E246" s="193"/>
      <c r="F246" s="115"/>
      <c r="G246" s="115"/>
      <c r="H246" s="115"/>
      <c r="I246" s="115"/>
      <c r="J246" s="115"/>
      <c r="K246" s="194"/>
      <c r="L246" s="20"/>
      <c r="M246" s="139"/>
      <c r="N246" s="139"/>
      <c r="O246" s="139"/>
    </row>
    <row r="247">
      <c r="A247" s="115"/>
      <c r="B247" s="115"/>
      <c r="C247" s="115"/>
      <c r="D247" s="115"/>
      <c r="E247" s="193"/>
      <c r="F247" s="115"/>
      <c r="G247" s="115"/>
      <c r="H247" s="115"/>
      <c r="I247" s="115"/>
      <c r="J247" s="115"/>
      <c r="K247" s="194"/>
      <c r="L247" s="20"/>
      <c r="M247" s="139"/>
      <c r="N247" s="139"/>
      <c r="O247" s="139"/>
    </row>
    <row r="248">
      <c r="A248" s="115"/>
      <c r="B248" s="115"/>
      <c r="C248" s="115"/>
      <c r="D248" s="115"/>
      <c r="E248" s="193"/>
      <c r="F248" s="115"/>
      <c r="G248" s="115"/>
      <c r="H248" s="115"/>
      <c r="I248" s="115"/>
      <c r="J248" s="115"/>
      <c r="K248" s="194"/>
      <c r="L248" s="20"/>
      <c r="M248" s="139"/>
      <c r="N248" s="139"/>
      <c r="O248" s="139"/>
    </row>
    <row r="249">
      <c r="A249" s="115"/>
      <c r="B249" s="115"/>
      <c r="C249" s="115"/>
      <c r="D249" s="115"/>
      <c r="E249" s="193"/>
      <c r="F249" s="115"/>
      <c r="G249" s="115"/>
      <c r="H249" s="115"/>
      <c r="I249" s="115"/>
      <c r="J249" s="115"/>
      <c r="K249" s="194"/>
      <c r="L249" s="20"/>
      <c r="M249" s="139"/>
      <c r="N249" s="139"/>
      <c r="O249" s="139"/>
    </row>
    <row r="250">
      <c r="A250" s="115"/>
      <c r="B250" s="115"/>
      <c r="C250" s="115"/>
      <c r="D250" s="115"/>
      <c r="E250" s="193"/>
      <c r="F250" s="115"/>
      <c r="G250" s="115"/>
      <c r="H250" s="115"/>
      <c r="I250" s="115"/>
      <c r="J250" s="115"/>
      <c r="K250" s="194"/>
      <c r="L250" s="20"/>
      <c r="M250" s="139"/>
      <c r="N250" s="139"/>
      <c r="O250" s="139"/>
    </row>
    <row r="251">
      <c r="A251" s="115"/>
      <c r="B251" s="115"/>
      <c r="C251" s="115"/>
      <c r="D251" s="115"/>
      <c r="E251" s="193"/>
      <c r="F251" s="115"/>
      <c r="G251" s="115"/>
      <c r="H251" s="115"/>
      <c r="I251" s="115"/>
      <c r="J251" s="115"/>
      <c r="K251" s="194"/>
      <c r="L251" s="20"/>
      <c r="M251" s="139"/>
      <c r="N251" s="139"/>
      <c r="O251" s="139"/>
    </row>
    <row r="252">
      <c r="A252" s="115"/>
      <c r="B252" s="115"/>
      <c r="C252" s="115"/>
      <c r="D252" s="115"/>
      <c r="E252" s="193"/>
      <c r="F252" s="115"/>
      <c r="G252" s="115"/>
      <c r="H252" s="115"/>
      <c r="I252" s="115"/>
      <c r="J252" s="115"/>
      <c r="K252" s="194"/>
      <c r="L252" s="20"/>
      <c r="M252" s="139"/>
      <c r="N252" s="139"/>
      <c r="O252" s="139"/>
    </row>
    <row r="253">
      <c r="A253" s="115"/>
      <c r="B253" s="115"/>
      <c r="C253" s="115"/>
      <c r="D253" s="115"/>
      <c r="E253" s="193"/>
      <c r="F253" s="115"/>
      <c r="G253" s="115"/>
      <c r="H253" s="115"/>
      <c r="I253" s="115"/>
      <c r="J253" s="115"/>
      <c r="K253" s="194"/>
      <c r="L253" s="20"/>
      <c r="M253" s="139"/>
      <c r="N253" s="139"/>
      <c r="O253" s="139"/>
    </row>
    <row r="254">
      <c r="A254" s="115"/>
      <c r="B254" s="115"/>
      <c r="C254" s="115"/>
      <c r="D254" s="115"/>
      <c r="E254" s="193"/>
      <c r="F254" s="115"/>
      <c r="G254" s="115"/>
      <c r="H254" s="115"/>
      <c r="I254" s="115"/>
      <c r="J254" s="115"/>
      <c r="K254" s="194"/>
      <c r="L254" s="20"/>
      <c r="M254" s="139"/>
      <c r="N254" s="139"/>
      <c r="O254" s="139"/>
    </row>
    <row r="255">
      <c r="A255" s="115"/>
      <c r="B255" s="115"/>
      <c r="C255" s="115"/>
      <c r="D255" s="115"/>
      <c r="E255" s="193"/>
      <c r="F255" s="115"/>
      <c r="G255" s="115"/>
      <c r="H255" s="115"/>
      <c r="I255" s="115"/>
      <c r="J255" s="115"/>
      <c r="K255" s="194"/>
      <c r="L255" s="20"/>
      <c r="M255" s="139"/>
      <c r="N255" s="139"/>
      <c r="O255" s="139"/>
    </row>
    <row r="256">
      <c r="A256" s="115"/>
      <c r="B256" s="115"/>
      <c r="C256" s="115"/>
      <c r="D256" s="115"/>
      <c r="E256" s="193"/>
      <c r="F256" s="115"/>
      <c r="G256" s="115"/>
      <c r="H256" s="115"/>
      <c r="I256" s="115"/>
      <c r="J256" s="115"/>
      <c r="K256" s="194"/>
      <c r="L256" s="20"/>
      <c r="M256" s="139"/>
      <c r="N256" s="139"/>
      <c r="O256" s="139"/>
    </row>
    <row r="257">
      <c r="A257" s="115"/>
      <c r="B257" s="115"/>
      <c r="C257" s="115"/>
      <c r="D257" s="115"/>
      <c r="E257" s="193"/>
      <c r="F257" s="115"/>
      <c r="G257" s="115"/>
      <c r="H257" s="115"/>
      <c r="I257" s="115"/>
      <c r="J257" s="115"/>
      <c r="K257" s="194"/>
      <c r="L257" s="20"/>
      <c r="M257" s="139"/>
      <c r="N257" s="139"/>
      <c r="O257" s="139"/>
    </row>
    <row r="258">
      <c r="A258" s="115"/>
      <c r="B258" s="115"/>
      <c r="C258" s="115"/>
      <c r="D258" s="115"/>
      <c r="E258" s="193"/>
      <c r="F258" s="115"/>
      <c r="G258" s="115"/>
      <c r="H258" s="115"/>
      <c r="I258" s="115"/>
      <c r="J258" s="115"/>
      <c r="K258" s="194"/>
      <c r="L258" s="20"/>
      <c r="M258" s="139"/>
      <c r="N258" s="139"/>
      <c r="O258" s="139"/>
    </row>
    <row r="259">
      <c r="A259" s="115"/>
      <c r="B259" s="115"/>
      <c r="C259" s="115"/>
      <c r="D259" s="115"/>
      <c r="E259" s="193"/>
      <c r="F259" s="115"/>
      <c r="G259" s="115"/>
      <c r="H259" s="115"/>
      <c r="I259" s="115"/>
      <c r="J259" s="115"/>
      <c r="K259" s="194"/>
      <c r="L259" s="20"/>
      <c r="M259" s="139"/>
      <c r="N259" s="139"/>
      <c r="O259" s="139"/>
    </row>
    <row r="260">
      <c r="A260" s="115"/>
      <c r="B260" s="115"/>
      <c r="C260" s="115"/>
      <c r="D260" s="115"/>
      <c r="E260" s="193"/>
      <c r="F260" s="115"/>
      <c r="G260" s="115"/>
      <c r="H260" s="115"/>
      <c r="I260" s="115"/>
      <c r="J260" s="115"/>
      <c r="K260" s="194"/>
      <c r="L260" s="20"/>
      <c r="M260" s="139"/>
      <c r="N260" s="139"/>
      <c r="O260" s="139"/>
    </row>
    <row r="261">
      <c r="A261" s="115"/>
      <c r="B261" s="115"/>
      <c r="C261" s="115"/>
      <c r="D261" s="115"/>
      <c r="E261" s="193"/>
      <c r="F261" s="115"/>
      <c r="G261" s="115"/>
      <c r="H261" s="115"/>
      <c r="I261" s="115"/>
      <c r="J261" s="115"/>
      <c r="K261" s="194"/>
      <c r="L261" s="20"/>
      <c r="M261" s="139"/>
      <c r="N261" s="139"/>
      <c r="O261" s="139"/>
    </row>
    <row r="262">
      <c r="A262" s="115"/>
      <c r="B262" s="115"/>
      <c r="C262" s="115"/>
      <c r="D262" s="115"/>
      <c r="E262" s="193"/>
      <c r="F262" s="115"/>
      <c r="G262" s="115"/>
      <c r="H262" s="115"/>
      <c r="I262" s="115"/>
      <c r="J262" s="115"/>
      <c r="K262" s="194"/>
      <c r="L262" s="20"/>
      <c r="M262" s="139"/>
      <c r="N262" s="139"/>
      <c r="O262" s="139"/>
    </row>
    <row r="263">
      <c r="A263" s="115"/>
      <c r="B263" s="115"/>
      <c r="C263" s="115"/>
      <c r="D263" s="115"/>
      <c r="E263" s="193"/>
      <c r="F263" s="115"/>
      <c r="G263" s="115"/>
      <c r="H263" s="115"/>
      <c r="I263" s="115"/>
      <c r="J263" s="115"/>
      <c r="K263" s="194"/>
      <c r="L263" s="20"/>
      <c r="M263" s="139"/>
      <c r="N263" s="139"/>
      <c r="O263" s="139"/>
    </row>
    <row r="264">
      <c r="A264" s="115"/>
      <c r="B264" s="115"/>
      <c r="C264" s="115"/>
      <c r="D264" s="115"/>
      <c r="E264" s="193"/>
      <c r="F264" s="115"/>
      <c r="G264" s="115"/>
      <c r="H264" s="115"/>
      <c r="I264" s="115"/>
      <c r="J264" s="115"/>
      <c r="K264" s="194"/>
      <c r="L264" s="20"/>
      <c r="M264" s="139"/>
      <c r="N264" s="139"/>
      <c r="O264" s="139"/>
    </row>
    <row r="265">
      <c r="A265" s="115"/>
      <c r="B265" s="115"/>
      <c r="C265" s="115"/>
      <c r="D265" s="115"/>
      <c r="E265" s="193"/>
      <c r="F265" s="115"/>
      <c r="G265" s="115"/>
      <c r="H265" s="115"/>
      <c r="I265" s="115"/>
      <c r="J265" s="115"/>
      <c r="K265" s="194"/>
      <c r="L265" s="20"/>
      <c r="M265" s="139"/>
      <c r="N265" s="139"/>
      <c r="O265" s="139"/>
    </row>
    <row r="266">
      <c r="A266" s="115"/>
      <c r="B266" s="115"/>
      <c r="C266" s="115"/>
      <c r="D266" s="115"/>
      <c r="E266" s="193"/>
      <c r="F266" s="115"/>
      <c r="G266" s="115"/>
      <c r="H266" s="115"/>
      <c r="I266" s="115"/>
      <c r="J266" s="115"/>
      <c r="K266" s="194"/>
      <c r="L266" s="20"/>
      <c r="M266" s="139"/>
      <c r="N266" s="139"/>
      <c r="O266" s="139"/>
    </row>
    <row r="267">
      <c r="A267" s="115"/>
      <c r="B267" s="115"/>
      <c r="C267" s="115"/>
      <c r="D267" s="115"/>
      <c r="E267" s="193"/>
      <c r="F267" s="115"/>
      <c r="G267" s="115"/>
      <c r="H267" s="115"/>
      <c r="I267" s="115"/>
      <c r="J267" s="115"/>
      <c r="K267" s="194"/>
      <c r="L267" s="20"/>
      <c r="M267" s="139"/>
      <c r="N267" s="139"/>
      <c r="O267" s="139"/>
    </row>
    <row r="268">
      <c r="A268" s="115"/>
      <c r="B268" s="115"/>
      <c r="C268" s="115"/>
      <c r="D268" s="115"/>
      <c r="E268" s="193"/>
      <c r="F268" s="115"/>
      <c r="G268" s="115"/>
      <c r="H268" s="115"/>
      <c r="I268" s="115"/>
      <c r="J268" s="115"/>
      <c r="K268" s="194"/>
      <c r="L268" s="20"/>
      <c r="M268" s="139"/>
      <c r="N268" s="139"/>
      <c r="O268" s="139"/>
    </row>
    <row r="269">
      <c r="A269" s="115"/>
      <c r="B269" s="115"/>
      <c r="C269" s="115"/>
      <c r="D269" s="115"/>
      <c r="E269" s="193"/>
      <c r="F269" s="115"/>
      <c r="G269" s="115"/>
      <c r="H269" s="115"/>
      <c r="I269" s="115"/>
      <c r="J269" s="115"/>
      <c r="K269" s="194"/>
      <c r="L269" s="20"/>
      <c r="M269" s="139"/>
      <c r="N269" s="139"/>
      <c r="O269" s="139"/>
    </row>
    <row r="270">
      <c r="A270" s="115"/>
      <c r="B270" s="115"/>
      <c r="C270" s="115"/>
      <c r="D270" s="115"/>
      <c r="E270" s="193"/>
      <c r="F270" s="115"/>
      <c r="G270" s="115"/>
      <c r="H270" s="115"/>
      <c r="I270" s="115"/>
      <c r="J270" s="115"/>
      <c r="K270" s="194"/>
      <c r="L270" s="20"/>
      <c r="M270" s="139"/>
      <c r="N270" s="139"/>
      <c r="O270" s="139"/>
    </row>
    <row r="271">
      <c r="A271" s="115"/>
      <c r="B271" s="115"/>
      <c r="C271" s="115"/>
      <c r="D271" s="115"/>
      <c r="E271" s="193"/>
      <c r="F271" s="115"/>
      <c r="G271" s="115"/>
      <c r="H271" s="115"/>
      <c r="I271" s="115"/>
      <c r="J271" s="115"/>
      <c r="K271" s="194"/>
      <c r="L271" s="20"/>
      <c r="M271" s="139"/>
      <c r="N271" s="139"/>
      <c r="O271" s="139"/>
    </row>
    <row r="272">
      <c r="A272" s="115"/>
      <c r="B272" s="115"/>
      <c r="C272" s="115"/>
      <c r="D272" s="115"/>
      <c r="E272" s="193"/>
      <c r="F272" s="115"/>
      <c r="G272" s="115"/>
      <c r="H272" s="115"/>
      <c r="I272" s="115"/>
      <c r="J272" s="115"/>
      <c r="K272" s="194"/>
      <c r="L272" s="20"/>
      <c r="M272" s="139"/>
      <c r="N272" s="139"/>
      <c r="O272" s="139"/>
    </row>
    <row r="273">
      <c r="A273" s="115"/>
      <c r="B273" s="115"/>
      <c r="C273" s="115"/>
      <c r="D273" s="115"/>
      <c r="E273" s="193"/>
      <c r="F273" s="115"/>
      <c r="G273" s="115"/>
      <c r="H273" s="115"/>
      <c r="I273" s="115"/>
      <c r="J273" s="115"/>
      <c r="K273" s="194"/>
      <c r="L273" s="20"/>
      <c r="M273" s="139"/>
      <c r="N273" s="139"/>
      <c r="O273" s="139"/>
    </row>
    <row r="274">
      <c r="A274" s="115"/>
      <c r="B274" s="115"/>
      <c r="C274" s="115"/>
      <c r="D274" s="115"/>
      <c r="E274" s="193"/>
      <c r="F274" s="115"/>
      <c r="G274" s="115"/>
      <c r="H274" s="115"/>
      <c r="I274" s="115"/>
      <c r="J274" s="115"/>
      <c r="K274" s="194"/>
      <c r="L274" s="20"/>
      <c r="M274" s="139"/>
      <c r="N274" s="139"/>
      <c r="O274" s="139"/>
    </row>
    <row r="275">
      <c r="A275" s="115"/>
      <c r="B275" s="115"/>
      <c r="C275" s="115"/>
      <c r="D275" s="115"/>
      <c r="E275" s="193"/>
      <c r="F275" s="115"/>
      <c r="G275" s="115"/>
      <c r="H275" s="115"/>
      <c r="I275" s="115"/>
      <c r="J275" s="115"/>
      <c r="K275" s="194"/>
      <c r="L275" s="20"/>
      <c r="M275" s="139"/>
      <c r="N275" s="139"/>
      <c r="O275" s="139"/>
    </row>
    <row r="276">
      <c r="A276" s="115"/>
      <c r="B276" s="115"/>
      <c r="C276" s="115"/>
      <c r="D276" s="115"/>
      <c r="E276" s="193"/>
      <c r="F276" s="115"/>
      <c r="G276" s="115"/>
      <c r="H276" s="115"/>
      <c r="I276" s="115"/>
      <c r="J276" s="115"/>
      <c r="K276" s="194"/>
      <c r="L276" s="20"/>
      <c r="M276" s="139"/>
      <c r="N276" s="139"/>
      <c r="O276" s="139"/>
    </row>
    <row r="277">
      <c r="A277" s="115"/>
      <c r="B277" s="115"/>
      <c r="C277" s="115"/>
      <c r="D277" s="115"/>
      <c r="E277" s="193"/>
      <c r="F277" s="115"/>
      <c r="G277" s="115"/>
      <c r="H277" s="115"/>
      <c r="I277" s="115"/>
      <c r="J277" s="115"/>
      <c r="K277" s="194"/>
      <c r="L277" s="20"/>
      <c r="M277" s="139"/>
      <c r="N277" s="139"/>
      <c r="O277" s="139"/>
    </row>
    <row r="278">
      <c r="A278" s="115"/>
      <c r="B278" s="115"/>
      <c r="C278" s="115"/>
      <c r="D278" s="115"/>
      <c r="E278" s="193"/>
      <c r="F278" s="115"/>
      <c r="G278" s="115"/>
      <c r="H278" s="115"/>
      <c r="I278" s="115"/>
      <c r="J278" s="115"/>
      <c r="K278" s="194"/>
      <c r="L278" s="20"/>
      <c r="M278" s="139"/>
      <c r="N278" s="139"/>
      <c r="O278" s="139"/>
    </row>
    <row r="279">
      <c r="A279" s="115"/>
      <c r="B279" s="115"/>
      <c r="C279" s="115"/>
      <c r="D279" s="115"/>
      <c r="E279" s="193"/>
      <c r="F279" s="115"/>
      <c r="G279" s="115"/>
      <c r="H279" s="115"/>
      <c r="I279" s="115"/>
      <c r="J279" s="115"/>
      <c r="K279" s="194"/>
      <c r="L279" s="20"/>
      <c r="M279" s="139"/>
      <c r="N279" s="139"/>
      <c r="O279" s="139"/>
    </row>
    <row r="280">
      <c r="A280" s="115"/>
      <c r="B280" s="115"/>
      <c r="C280" s="115"/>
      <c r="D280" s="115"/>
      <c r="E280" s="193"/>
      <c r="F280" s="115"/>
      <c r="G280" s="115"/>
      <c r="H280" s="115"/>
      <c r="I280" s="115"/>
      <c r="J280" s="115"/>
      <c r="K280" s="194"/>
      <c r="L280" s="20"/>
      <c r="M280" s="139"/>
      <c r="N280" s="139"/>
      <c r="O280" s="139"/>
    </row>
    <row r="281">
      <c r="A281" s="115"/>
      <c r="B281" s="115"/>
      <c r="C281" s="115"/>
      <c r="D281" s="115"/>
      <c r="E281" s="193"/>
      <c r="F281" s="115"/>
      <c r="G281" s="115"/>
      <c r="H281" s="115"/>
      <c r="I281" s="115"/>
      <c r="J281" s="115"/>
      <c r="K281" s="194"/>
      <c r="L281" s="20"/>
      <c r="M281" s="139"/>
      <c r="N281" s="139"/>
      <c r="O281" s="139"/>
    </row>
    <row r="282">
      <c r="A282" s="115"/>
      <c r="B282" s="115"/>
      <c r="C282" s="115"/>
      <c r="D282" s="115"/>
      <c r="E282" s="193"/>
      <c r="F282" s="115"/>
      <c r="G282" s="115"/>
      <c r="H282" s="115"/>
      <c r="I282" s="115"/>
      <c r="J282" s="115"/>
      <c r="K282" s="194"/>
      <c r="L282" s="20"/>
      <c r="M282" s="139"/>
      <c r="N282" s="139"/>
      <c r="O282" s="139"/>
    </row>
    <row r="283">
      <c r="A283" s="115"/>
      <c r="B283" s="115"/>
      <c r="C283" s="115"/>
      <c r="D283" s="115"/>
      <c r="E283" s="193"/>
      <c r="F283" s="115"/>
      <c r="G283" s="115"/>
      <c r="H283" s="115"/>
      <c r="I283" s="115"/>
      <c r="J283" s="115"/>
      <c r="K283" s="194"/>
      <c r="L283" s="20"/>
      <c r="M283" s="139"/>
      <c r="N283" s="139"/>
      <c r="O283" s="139"/>
    </row>
    <row r="284">
      <c r="A284" s="115"/>
      <c r="B284" s="115"/>
      <c r="C284" s="115"/>
      <c r="D284" s="115"/>
      <c r="E284" s="193"/>
      <c r="F284" s="115"/>
      <c r="G284" s="115"/>
      <c r="H284" s="115"/>
      <c r="I284" s="115"/>
      <c r="J284" s="115"/>
      <c r="K284" s="194"/>
      <c r="L284" s="20"/>
      <c r="M284" s="139"/>
      <c r="N284" s="139"/>
      <c r="O284" s="139"/>
    </row>
    <row r="285">
      <c r="A285" s="115"/>
      <c r="B285" s="115"/>
      <c r="C285" s="115"/>
      <c r="D285" s="115"/>
      <c r="E285" s="193"/>
      <c r="F285" s="115"/>
      <c r="G285" s="115"/>
      <c r="H285" s="115"/>
      <c r="I285" s="115"/>
      <c r="J285" s="115"/>
      <c r="K285" s="194"/>
      <c r="L285" s="20"/>
      <c r="M285" s="139"/>
      <c r="N285" s="139"/>
      <c r="O285" s="139"/>
    </row>
    <row r="286">
      <c r="A286" s="115"/>
      <c r="B286" s="115"/>
      <c r="C286" s="115"/>
      <c r="D286" s="115"/>
      <c r="E286" s="193"/>
      <c r="F286" s="115"/>
      <c r="G286" s="115"/>
      <c r="H286" s="115"/>
      <c r="I286" s="115"/>
      <c r="J286" s="115"/>
      <c r="K286" s="194"/>
      <c r="L286" s="20"/>
      <c r="M286" s="139"/>
      <c r="N286" s="139"/>
      <c r="O286" s="139"/>
    </row>
    <row r="287">
      <c r="A287" s="115"/>
      <c r="B287" s="115"/>
      <c r="C287" s="115"/>
      <c r="D287" s="115"/>
      <c r="E287" s="193"/>
      <c r="F287" s="115"/>
      <c r="G287" s="115"/>
      <c r="H287" s="115"/>
      <c r="I287" s="115"/>
      <c r="J287" s="115"/>
      <c r="K287" s="194"/>
      <c r="L287" s="20"/>
      <c r="M287" s="139"/>
      <c r="N287" s="139"/>
      <c r="O287" s="139"/>
    </row>
    <row r="288">
      <c r="A288" s="115"/>
      <c r="B288" s="115"/>
      <c r="C288" s="115"/>
      <c r="D288" s="115"/>
      <c r="E288" s="193"/>
      <c r="F288" s="115"/>
      <c r="G288" s="115"/>
      <c r="H288" s="115"/>
      <c r="I288" s="115"/>
      <c r="J288" s="115"/>
      <c r="K288" s="194"/>
      <c r="L288" s="20"/>
      <c r="M288" s="139"/>
      <c r="N288" s="139"/>
      <c r="O288" s="139"/>
    </row>
    <row r="289">
      <c r="A289" s="115"/>
      <c r="B289" s="115"/>
      <c r="C289" s="115"/>
      <c r="D289" s="115"/>
      <c r="E289" s="193"/>
      <c r="F289" s="115"/>
      <c r="G289" s="115"/>
      <c r="H289" s="115"/>
      <c r="I289" s="115"/>
      <c r="J289" s="115"/>
      <c r="K289" s="194"/>
      <c r="L289" s="20"/>
      <c r="M289" s="139"/>
      <c r="N289" s="139"/>
      <c r="O289" s="139"/>
    </row>
    <row r="290">
      <c r="A290" s="115"/>
      <c r="B290" s="115"/>
      <c r="C290" s="115"/>
      <c r="D290" s="115"/>
      <c r="E290" s="193"/>
      <c r="F290" s="115"/>
      <c r="G290" s="115"/>
      <c r="H290" s="115"/>
      <c r="I290" s="115"/>
      <c r="J290" s="115"/>
      <c r="K290" s="194"/>
      <c r="L290" s="20"/>
      <c r="M290" s="139"/>
      <c r="N290" s="139"/>
      <c r="O290" s="139"/>
    </row>
    <row r="291">
      <c r="A291" s="115"/>
      <c r="B291" s="115"/>
      <c r="C291" s="115"/>
      <c r="D291" s="115"/>
      <c r="E291" s="193"/>
      <c r="F291" s="115"/>
      <c r="G291" s="115"/>
      <c r="H291" s="115"/>
      <c r="I291" s="115"/>
      <c r="J291" s="115"/>
      <c r="K291" s="194"/>
      <c r="L291" s="20"/>
      <c r="M291" s="139"/>
      <c r="N291" s="139"/>
      <c r="O291" s="139"/>
    </row>
    <row r="292">
      <c r="A292" s="115"/>
      <c r="B292" s="115"/>
      <c r="C292" s="115"/>
      <c r="D292" s="115"/>
      <c r="E292" s="193"/>
      <c r="F292" s="115"/>
      <c r="G292" s="115"/>
      <c r="H292" s="115"/>
      <c r="I292" s="115"/>
      <c r="J292" s="115"/>
      <c r="K292" s="194"/>
      <c r="L292" s="20"/>
      <c r="M292" s="139"/>
      <c r="N292" s="139"/>
      <c r="O292" s="139"/>
    </row>
    <row r="293">
      <c r="A293" s="115"/>
      <c r="B293" s="115"/>
      <c r="C293" s="115"/>
      <c r="D293" s="115"/>
      <c r="E293" s="193"/>
      <c r="F293" s="115"/>
      <c r="G293" s="115"/>
      <c r="H293" s="115"/>
      <c r="I293" s="115"/>
      <c r="J293" s="115"/>
      <c r="K293" s="194"/>
      <c r="L293" s="20"/>
      <c r="M293" s="139"/>
      <c r="N293" s="139"/>
      <c r="O293" s="139"/>
    </row>
    <row r="294">
      <c r="A294" s="115"/>
      <c r="B294" s="115"/>
      <c r="C294" s="115"/>
      <c r="D294" s="115"/>
      <c r="E294" s="193"/>
      <c r="F294" s="115"/>
      <c r="G294" s="115"/>
      <c r="H294" s="115"/>
      <c r="I294" s="115"/>
      <c r="J294" s="115"/>
      <c r="K294" s="194"/>
      <c r="L294" s="20"/>
      <c r="M294" s="139"/>
      <c r="N294" s="139"/>
      <c r="O294" s="139"/>
    </row>
    <row r="295">
      <c r="A295" s="115"/>
      <c r="B295" s="115"/>
      <c r="C295" s="115"/>
      <c r="D295" s="115"/>
      <c r="E295" s="193"/>
      <c r="F295" s="115"/>
      <c r="G295" s="115"/>
      <c r="H295" s="115"/>
      <c r="I295" s="115"/>
      <c r="J295" s="115"/>
      <c r="K295" s="194"/>
      <c r="L295" s="20"/>
      <c r="M295" s="139"/>
      <c r="N295" s="139"/>
      <c r="O295" s="139"/>
    </row>
    <row r="296">
      <c r="A296" s="115"/>
      <c r="B296" s="115"/>
      <c r="C296" s="115"/>
      <c r="D296" s="115"/>
      <c r="E296" s="193"/>
      <c r="F296" s="115"/>
      <c r="G296" s="115"/>
      <c r="H296" s="115"/>
      <c r="I296" s="115"/>
      <c r="J296" s="115"/>
      <c r="K296" s="194"/>
      <c r="L296" s="20"/>
      <c r="M296" s="139"/>
      <c r="N296" s="139"/>
      <c r="O296" s="139"/>
    </row>
    <row r="297">
      <c r="A297" s="115"/>
      <c r="B297" s="115"/>
      <c r="C297" s="115"/>
      <c r="D297" s="115"/>
      <c r="E297" s="193"/>
      <c r="F297" s="115"/>
      <c r="G297" s="115"/>
      <c r="H297" s="115"/>
      <c r="I297" s="115"/>
      <c r="J297" s="115"/>
      <c r="K297" s="194"/>
      <c r="L297" s="20"/>
      <c r="M297" s="139"/>
      <c r="N297" s="139"/>
      <c r="O297" s="139"/>
    </row>
    <row r="298">
      <c r="A298" s="115"/>
      <c r="B298" s="115"/>
      <c r="C298" s="115"/>
      <c r="D298" s="115"/>
      <c r="E298" s="193"/>
      <c r="F298" s="115"/>
      <c r="G298" s="115"/>
      <c r="H298" s="115"/>
      <c r="I298" s="115"/>
      <c r="J298" s="115"/>
      <c r="K298" s="194"/>
      <c r="L298" s="20"/>
      <c r="M298" s="139"/>
      <c r="N298" s="139"/>
      <c r="O298" s="139"/>
    </row>
    <row r="299">
      <c r="A299" s="115"/>
      <c r="B299" s="115"/>
      <c r="C299" s="115"/>
      <c r="D299" s="115"/>
      <c r="E299" s="193"/>
      <c r="F299" s="115"/>
      <c r="G299" s="115"/>
      <c r="H299" s="115"/>
      <c r="I299" s="115"/>
      <c r="J299" s="115"/>
      <c r="K299" s="194"/>
      <c r="L299" s="20"/>
      <c r="M299" s="139"/>
      <c r="N299" s="139"/>
      <c r="O299" s="139"/>
    </row>
    <row r="300">
      <c r="A300" s="115"/>
      <c r="B300" s="115"/>
      <c r="C300" s="115"/>
      <c r="D300" s="115"/>
      <c r="E300" s="193"/>
      <c r="F300" s="115"/>
      <c r="G300" s="115"/>
      <c r="H300" s="115"/>
      <c r="I300" s="115"/>
      <c r="J300" s="115"/>
      <c r="K300" s="194"/>
      <c r="L300" s="20"/>
      <c r="M300" s="139"/>
      <c r="N300" s="139"/>
      <c r="O300" s="139"/>
    </row>
    <row r="301">
      <c r="A301" s="115"/>
      <c r="B301" s="115"/>
      <c r="C301" s="115"/>
      <c r="D301" s="115"/>
      <c r="E301" s="193"/>
      <c r="F301" s="115"/>
      <c r="G301" s="115"/>
      <c r="H301" s="115"/>
      <c r="I301" s="115"/>
      <c r="J301" s="115"/>
      <c r="K301" s="194"/>
      <c r="L301" s="20"/>
      <c r="M301" s="139"/>
      <c r="N301" s="139"/>
      <c r="O301" s="139"/>
    </row>
    <row r="302">
      <c r="A302" s="115"/>
      <c r="B302" s="115"/>
      <c r="C302" s="115"/>
      <c r="D302" s="115"/>
      <c r="E302" s="193"/>
      <c r="F302" s="115"/>
      <c r="G302" s="115"/>
      <c r="H302" s="115"/>
      <c r="I302" s="115"/>
      <c r="J302" s="115"/>
      <c r="K302" s="194"/>
      <c r="L302" s="20"/>
      <c r="M302" s="139"/>
      <c r="N302" s="139"/>
      <c r="O302" s="139"/>
    </row>
    <row r="303">
      <c r="A303" s="115"/>
      <c r="B303" s="115"/>
      <c r="C303" s="115"/>
      <c r="D303" s="115"/>
      <c r="E303" s="193"/>
      <c r="F303" s="115"/>
      <c r="G303" s="115"/>
      <c r="H303" s="115"/>
      <c r="I303" s="115"/>
      <c r="J303" s="115"/>
      <c r="K303" s="194"/>
      <c r="L303" s="20"/>
      <c r="M303" s="139"/>
      <c r="N303" s="139"/>
      <c r="O303" s="139"/>
    </row>
    <row r="304">
      <c r="A304" s="115"/>
      <c r="B304" s="115"/>
      <c r="C304" s="115"/>
      <c r="D304" s="115"/>
      <c r="E304" s="193"/>
      <c r="F304" s="115"/>
      <c r="G304" s="115"/>
      <c r="H304" s="115"/>
      <c r="I304" s="115"/>
      <c r="J304" s="115"/>
      <c r="K304" s="194"/>
      <c r="L304" s="20"/>
      <c r="M304" s="139"/>
      <c r="N304" s="139"/>
      <c r="O304" s="139"/>
    </row>
    <row r="305">
      <c r="A305" s="115"/>
      <c r="B305" s="115"/>
      <c r="C305" s="115"/>
      <c r="D305" s="115"/>
      <c r="E305" s="193"/>
      <c r="F305" s="115"/>
      <c r="G305" s="115"/>
      <c r="H305" s="115"/>
      <c r="I305" s="115"/>
      <c r="J305" s="115"/>
      <c r="K305" s="194"/>
      <c r="L305" s="20"/>
      <c r="M305" s="139"/>
      <c r="N305" s="139"/>
      <c r="O305" s="139"/>
    </row>
    <row r="306">
      <c r="A306" s="115"/>
      <c r="B306" s="115"/>
      <c r="C306" s="115"/>
      <c r="D306" s="115"/>
      <c r="E306" s="193"/>
      <c r="F306" s="115"/>
      <c r="G306" s="115"/>
      <c r="H306" s="115"/>
      <c r="I306" s="115"/>
      <c r="J306" s="115"/>
      <c r="K306" s="194"/>
      <c r="L306" s="20"/>
      <c r="M306" s="139"/>
      <c r="N306" s="139"/>
      <c r="O306" s="139"/>
    </row>
    <row r="307">
      <c r="A307" s="115"/>
      <c r="B307" s="115"/>
      <c r="C307" s="115"/>
      <c r="D307" s="115"/>
      <c r="E307" s="193"/>
      <c r="F307" s="115"/>
      <c r="G307" s="115"/>
      <c r="H307" s="115"/>
      <c r="I307" s="115"/>
      <c r="J307" s="115"/>
      <c r="K307" s="194"/>
      <c r="L307" s="20"/>
      <c r="M307" s="139"/>
      <c r="N307" s="139"/>
      <c r="O307" s="139"/>
    </row>
    <row r="308">
      <c r="A308" s="115"/>
      <c r="B308" s="115"/>
      <c r="C308" s="115"/>
      <c r="D308" s="115"/>
      <c r="E308" s="193"/>
      <c r="F308" s="115"/>
      <c r="G308" s="115"/>
      <c r="H308" s="115"/>
      <c r="I308" s="115"/>
      <c r="J308" s="115"/>
      <c r="K308" s="194"/>
      <c r="L308" s="20"/>
      <c r="M308" s="139"/>
      <c r="N308" s="139"/>
      <c r="O308" s="139"/>
    </row>
    <row r="309">
      <c r="A309" s="115"/>
      <c r="B309" s="115"/>
      <c r="C309" s="115"/>
      <c r="D309" s="115"/>
      <c r="E309" s="193"/>
      <c r="F309" s="115"/>
      <c r="G309" s="115"/>
      <c r="H309" s="115"/>
      <c r="I309" s="115"/>
      <c r="J309" s="115"/>
      <c r="K309" s="194"/>
      <c r="L309" s="20"/>
      <c r="M309" s="139"/>
      <c r="N309" s="139"/>
      <c r="O309" s="139"/>
    </row>
    <row r="310">
      <c r="A310" s="115"/>
      <c r="B310" s="115"/>
      <c r="C310" s="115"/>
      <c r="D310" s="115"/>
      <c r="E310" s="193"/>
      <c r="F310" s="115"/>
      <c r="G310" s="115"/>
      <c r="H310" s="115"/>
      <c r="I310" s="115"/>
      <c r="J310" s="115"/>
      <c r="K310" s="194"/>
      <c r="L310" s="20"/>
      <c r="M310" s="139"/>
      <c r="N310" s="139"/>
      <c r="O310" s="139"/>
    </row>
    <row r="311">
      <c r="A311" s="115"/>
      <c r="B311" s="115"/>
      <c r="C311" s="115"/>
      <c r="D311" s="115"/>
      <c r="E311" s="193"/>
      <c r="F311" s="115"/>
      <c r="G311" s="115"/>
      <c r="H311" s="115"/>
      <c r="I311" s="115"/>
      <c r="J311" s="115"/>
      <c r="K311" s="194"/>
      <c r="L311" s="20"/>
      <c r="M311" s="139"/>
      <c r="N311" s="139"/>
      <c r="O311" s="139"/>
    </row>
    <row r="312">
      <c r="A312" s="115"/>
      <c r="B312" s="115"/>
      <c r="C312" s="115"/>
      <c r="D312" s="115"/>
      <c r="E312" s="193"/>
      <c r="F312" s="115"/>
      <c r="G312" s="115"/>
      <c r="H312" s="115"/>
      <c r="I312" s="115"/>
      <c r="J312" s="115"/>
      <c r="K312" s="194"/>
      <c r="L312" s="20"/>
      <c r="M312" s="139"/>
      <c r="N312" s="139"/>
      <c r="O312" s="139"/>
    </row>
    <row r="313">
      <c r="A313" s="115"/>
      <c r="B313" s="115"/>
      <c r="C313" s="115"/>
      <c r="D313" s="115"/>
      <c r="E313" s="193"/>
      <c r="F313" s="115"/>
      <c r="G313" s="115"/>
      <c r="H313" s="115"/>
      <c r="I313" s="115"/>
      <c r="J313" s="115"/>
      <c r="K313" s="194"/>
      <c r="L313" s="20"/>
      <c r="M313" s="139"/>
      <c r="N313" s="139"/>
      <c r="O313" s="139"/>
    </row>
    <row r="314">
      <c r="A314" s="115"/>
      <c r="B314" s="115"/>
      <c r="C314" s="115"/>
      <c r="D314" s="115"/>
      <c r="E314" s="193"/>
      <c r="F314" s="115"/>
      <c r="G314" s="115"/>
      <c r="H314" s="115"/>
      <c r="I314" s="115"/>
      <c r="J314" s="115"/>
      <c r="K314" s="194"/>
      <c r="L314" s="20"/>
      <c r="M314" s="139"/>
      <c r="N314" s="139"/>
      <c r="O314" s="139"/>
    </row>
    <row r="315">
      <c r="A315" s="115"/>
      <c r="B315" s="115"/>
      <c r="C315" s="115"/>
      <c r="D315" s="115"/>
      <c r="E315" s="193"/>
      <c r="F315" s="115"/>
      <c r="G315" s="115"/>
      <c r="H315" s="115"/>
      <c r="I315" s="115"/>
      <c r="J315" s="115"/>
      <c r="K315" s="194"/>
      <c r="L315" s="20"/>
      <c r="M315" s="139"/>
      <c r="N315" s="139"/>
      <c r="O315" s="139"/>
    </row>
    <row r="316">
      <c r="A316" s="115"/>
      <c r="B316" s="115"/>
      <c r="C316" s="115"/>
      <c r="D316" s="115"/>
      <c r="E316" s="193"/>
      <c r="F316" s="115"/>
      <c r="G316" s="115"/>
      <c r="H316" s="115"/>
      <c r="I316" s="115"/>
      <c r="J316" s="115"/>
      <c r="K316" s="194"/>
      <c r="L316" s="20"/>
      <c r="M316" s="139"/>
      <c r="N316" s="139"/>
      <c r="O316" s="139"/>
    </row>
    <row r="317">
      <c r="A317" s="115"/>
      <c r="B317" s="115"/>
      <c r="C317" s="115"/>
      <c r="D317" s="115"/>
      <c r="E317" s="193"/>
      <c r="F317" s="115"/>
      <c r="G317" s="115"/>
      <c r="H317" s="115"/>
      <c r="I317" s="115"/>
      <c r="J317" s="115"/>
      <c r="K317" s="194"/>
      <c r="L317" s="20"/>
      <c r="M317" s="139"/>
      <c r="N317" s="139"/>
      <c r="O317" s="139"/>
    </row>
    <row r="318">
      <c r="A318" s="115"/>
      <c r="B318" s="115"/>
      <c r="C318" s="115"/>
      <c r="D318" s="115"/>
      <c r="E318" s="193"/>
      <c r="F318" s="115"/>
      <c r="G318" s="115"/>
      <c r="H318" s="115"/>
      <c r="I318" s="115"/>
      <c r="J318" s="115"/>
      <c r="K318" s="194"/>
      <c r="L318" s="20"/>
      <c r="M318" s="139"/>
      <c r="N318" s="139"/>
      <c r="O318" s="139"/>
    </row>
    <row r="319">
      <c r="A319" s="115"/>
      <c r="B319" s="115"/>
      <c r="C319" s="115"/>
      <c r="D319" s="115"/>
      <c r="E319" s="193"/>
      <c r="F319" s="115"/>
      <c r="G319" s="115"/>
      <c r="H319" s="115"/>
      <c r="I319" s="115"/>
      <c r="J319" s="115"/>
      <c r="K319" s="194"/>
      <c r="L319" s="20"/>
      <c r="M319" s="139"/>
      <c r="N319" s="139"/>
      <c r="O319" s="139"/>
    </row>
    <row r="320">
      <c r="A320" s="115"/>
      <c r="B320" s="115"/>
      <c r="C320" s="115"/>
      <c r="D320" s="115"/>
      <c r="E320" s="193"/>
      <c r="F320" s="115"/>
      <c r="G320" s="115"/>
      <c r="H320" s="115"/>
      <c r="I320" s="115"/>
      <c r="J320" s="115"/>
      <c r="K320" s="194"/>
      <c r="L320" s="20"/>
      <c r="M320" s="139"/>
      <c r="N320" s="139"/>
      <c r="O320" s="139"/>
    </row>
    <row r="321">
      <c r="A321" s="115"/>
      <c r="B321" s="115"/>
      <c r="C321" s="115"/>
      <c r="D321" s="115"/>
      <c r="E321" s="193"/>
      <c r="F321" s="115"/>
      <c r="G321" s="115"/>
      <c r="H321" s="115"/>
      <c r="I321" s="115"/>
      <c r="J321" s="115"/>
      <c r="K321" s="194"/>
      <c r="L321" s="20"/>
      <c r="M321" s="139"/>
      <c r="N321" s="139"/>
      <c r="O321" s="139"/>
    </row>
    <row r="322">
      <c r="A322" s="115"/>
      <c r="B322" s="115"/>
      <c r="C322" s="115"/>
      <c r="D322" s="115"/>
      <c r="E322" s="193"/>
      <c r="F322" s="115"/>
      <c r="G322" s="115"/>
      <c r="H322" s="115"/>
      <c r="I322" s="115"/>
      <c r="J322" s="115"/>
      <c r="K322" s="194"/>
      <c r="L322" s="20"/>
      <c r="M322" s="139"/>
      <c r="N322" s="139"/>
      <c r="O322" s="139"/>
    </row>
    <row r="323">
      <c r="A323" s="115"/>
      <c r="B323" s="115"/>
      <c r="C323" s="115"/>
      <c r="D323" s="115"/>
      <c r="E323" s="193"/>
      <c r="F323" s="115"/>
      <c r="G323" s="115"/>
      <c r="H323" s="115"/>
      <c r="I323" s="115"/>
      <c r="J323" s="115"/>
      <c r="K323" s="194"/>
      <c r="L323" s="20"/>
      <c r="M323" s="139"/>
      <c r="N323" s="139"/>
      <c r="O323" s="139"/>
    </row>
    <row r="324">
      <c r="A324" s="115"/>
      <c r="B324" s="115"/>
      <c r="C324" s="115"/>
      <c r="D324" s="115"/>
      <c r="E324" s="193"/>
      <c r="F324" s="115"/>
      <c r="G324" s="115"/>
      <c r="H324" s="115"/>
      <c r="I324" s="115"/>
      <c r="J324" s="115"/>
      <c r="K324" s="194"/>
      <c r="L324" s="20"/>
      <c r="M324" s="139"/>
      <c r="N324" s="139"/>
      <c r="O324" s="139"/>
    </row>
    <row r="325">
      <c r="A325" s="115"/>
      <c r="B325" s="115"/>
      <c r="C325" s="115"/>
      <c r="D325" s="115"/>
      <c r="E325" s="193"/>
      <c r="F325" s="115"/>
      <c r="G325" s="115"/>
      <c r="H325" s="115"/>
      <c r="I325" s="115"/>
      <c r="J325" s="115"/>
      <c r="K325" s="194"/>
      <c r="L325" s="20"/>
      <c r="M325" s="139"/>
      <c r="N325" s="139"/>
      <c r="O325" s="139"/>
    </row>
    <row r="326">
      <c r="A326" s="115"/>
      <c r="B326" s="115"/>
      <c r="C326" s="115"/>
      <c r="D326" s="115"/>
      <c r="E326" s="193"/>
      <c r="F326" s="115"/>
      <c r="G326" s="115"/>
      <c r="H326" s="115"/>
      <c r="I326" s="115"/>
      <c r="J326" s="115"/>
      <c r="K326" s="194"/>
      <c r="L326" s="20"/>
      <c r="M326" s="139"/>
      <c r="N326" s="139"/>
      <c r="O326" s="139"/>
    </row>
    <row r="327">
      <c r="A327" s="115"/>
      <c r="B327" s="115"/>
      <c r="C327" s="115"/>
      <c r="D327" s="115"/>
      <c r="E327" s="193"/>
      <c r="F327" s="115"/>
      <c r="G327" s="115"/>
      <c r="H327" s="115"/>
      <c r="I327" s="115"/>
      <c r="J327" s="115"/>
      <c r="K327" s="194"/>
      <c r="L327" s="20"/>
      <c r="M327" s="139"/>
      <c r="N327" s="139"/>
      <c r="O327" s="139"/>
    </row>
    <row r="328">
      <c r="A328" s="115"/>
      <c r="B328" s="115"/>
      <c r="C328" s="115"/>
      <c r="D328" s="115"/>
      <c r="E328" s="193"/>
      <c r="F328" s="115"/>
      <c r="G328" s="115"/>
      <c r="H328" s="115"/>
      <c r="I328" s="115"/>
      <c r="J328" s="115"/>
      <c r="K328" s="194"/>
      <c r="L328" s="20"/>
      <c r="M328" s="139"/>
      <c r="N328" s="139"/>
      <c r="O328" s="139"/>
    </row>
    <row r="329">
      <c r="A329" s="115"/>
      <c r="B329" s="115"/>
      <c r="C329" s="115"/>
      <c r="D329" s="115"/>
      <c r="E329" s="193"/>
      <c r="F329" s="115"/>
      <c r="G329" s="115"/>
      <c r="H329" s="115"/>
      <c r="I329" s="115"/>
      <c r="J329" s="115"/>
      <c r="K329" s="194"/>
      <c r="L329" s="20"/>
      <c r="M329" s="139"/>
      <c r="N329" s="139"/>
      <c r="O329" s="139"/>
    </row>
    <row r="330">
      <c r="A330" s="115"/>
      <c r="B330" s="115"/>
      <c r="C330" s="115"/>
      <c r="D330" s="115"/>
      <c r="E330" s="193"/>
      <c r="F330" s="115"/>
      <c r="G330" s="115"/>
      <c r="H330" s="115"/>
      <c r="I330" s="115"/>
      <c r="J330" s="115"/>
      <c r="K330" s="194"/>
      <c r="L330" s="20"/>
      <c r="M330" s="139"/>
      <c r="N330" s="139"/>
      <c r="O330" s="139"/>
    </row>
    <row r="331">
      <c r="A331" s="115"/>
      <c r="B331" s="115"/>
      <c r="C331" s="115"/>
      <c r="D331" s="115"/>
      <c r="E331" s="193"/>
      <c r="F331" s="115"/>
      <c r="G331" s="115"/>
      <c r="H331" s="115"/>
      <c r="I331" s="115"/>
      <c r="J331" s="115"/>
      <c r="K331" s="194"/>
      <c r="L331" s="20"/>
      <c r="M331" s="139"/>
      <c r="N331" s="139"/>
      <c r="O331" s="139"/>
    </row>
    <row r="332">
      <c r="A332" s="115"/>
      <c r="B332" s="115"/>
      <c r="C332" s="115"/>
      <c r="D332" s="115"/>
      <c r="E332" s="193"/>
      <c r="F332" s="115"/>
      <c r="G332" s="115"/>
      <c r="H332" s="115"/>
      <c r="I332" s="115"/>
      <c r="J332" s="115"/>
      <c r="K332" s="194"/>
      <c r="L332" s="20"/>
      <c r="M332" s="139"/>
      <c r="N332" s="139"/>
      <c r="O332" s="139"/>
    </row>
    <row r="333">
      <c r="A333" s="115"/>
      <c r="B333" s="115"/>
      <c r="C333" s="115"/>
      <c r="D333" s="115"/>
      <c r="E333" s="193"/>
      <c r="F333" s="115"/>
      <c r="G333" s="115"/>
      <c r="H333" s="115"/>
      <c r="I333" s="115"/>
      <c r="J333" s="115"/>
      <c r="K333" s="194"/>
      <c r="L333" s="20"/>
      <c r="M333" s="139"/>
      <c r="N333" s="139"/>
      <c r="O333" s="139"/>
    </row>
    <row r="334">
      <c r="A334" s="115"/>
      <c r="B334" s="115"/>
      <c r="C334" s="115"/>
      <c r="D334" s="115"/>
      <c r="E334" s="193"/>
      <c r="F334" s="115"/>
      <c r="G334" s="115"/>
      <c r="H334" s="115"/>
      <c r="I334" s="115"/>
      <c r="J334" s="115"/>
      <c r="K334" s="194"/>
      <c r="L334" s="20"/>
      <c r="M334" s="139"/>
      <c r="N334" s="139"/>
      <c r="O334" s="139"/>
    </row>
    <row r="335">
      <c r="A335" s="115"/>
      <c r="B335" s="115"/>
      <c r="C335" s="115"/>
      <c r="D335" s="115"/>
      <c r="E335" s="193"/>
      <c r="F335" s="115"/>
      <c r="G335" s="115"/>
      <c r="H335" s="115"/>
      <c r="I335" s="115"/>
      <c r="J335" s="115"/>
      <c r="K335" s="194"/>
      <c r="L335" s="20"/>
      <c r="M335" s="139"/>
      <c r="N335" s="139"/>
      <c r="O335" s="139"/>
    </row>
    <row r="336">
      <c r="A336" s="115"/>
      <c r="B336" s="115"/>
      <c r="C336" s="115"/>
      <c r="D336" s="115"/>
      <c r="E336" s="193"/>
      <c r="F336" s="115"/>
      <c r="G336" s="115"/>
      <c r="H336" s="115"/>
      <c r="I336" s="115"/>
      <c r="J336" s="115"/>
      <c r="K336" s="194"/>
      <c r="L336" s="20"/>
      <c r="M336" s="139"/>
      <c r="N336" s="139"/>
      <c r="O336" s="139"/>
    </row>
    <row r="337">
      <c r="A337" s="115"/>
      <c r="B337" s="115"/>
      <c r="C337" s="115"/>
      <c r="D337" s="115"/>
      <c r="E337" s="193"/>
      <c r="F337" s="115"/>
      <c r="G337" s="115"/>
      <c r="H337" s="115"/>
      <c r="I337" s="115"/>
      <c r="J337" s="115"/>
      <c r="K337" s="194"/>
      <c r="L337" s="20"/>
      <c r="M337" s="139"/>
      <c r="N337" s="139"/>
      <c r="O337" s="139"/>
    </row>
    <row r="338">
      <c r="A338" s="115"/>
      <c r="B338" s="115"/>
      <c r="C338" s="115"/>
      <c r="D338" s="115"/>
      <c r="E338" s="193"/>
      <c r="F338" s="115"/>
      <c r="G338" s="115"/>
      <c r="H338" s="115"/>
      <c r="I338" s="115"/>
      <c r="J338" s="115"/>
      <c r="K338" s="194"/>
      <c r="L338" s="20"/>
      <c r="M338" s="139"/>
      <c r="N338" s="139"/>
      <c r="O338" s="139"/>
    </row>
    <row r="339">
      <c r="A339" s="115"/>
      <c r="B339" s="115"/>
      <c r="C339" s="115"/>
      <c r="D339" s="115"/>
      <c r="E339" s="193"/>
      <c r="F339" s="115"/>
      <c r="G339" s="115"/>
      <c r="H339" s="115"/>
      <c r="I339" s="115"/>
      <c r="J339" s="115"/>
      <c r="K339" s="194"/>
      <c r="L339" s="20"/>
      <c r="M339" s="139"/>
      <c r="N339" s="139"/>
      <c r="O339" s="139"/>
    </row>
    <row r="340">
      <c r="A340" s="115"/>
      <c r="B340" s="115"/>
      <c r="C340" s="115"/>
      <c r="D340" s="115"/>
      <c r="E340" s="193"/>
      <c r="F340" s="115"/>
      <c r="G340" s="115"/>
      <c r="H340" s="115"/>
      <c r="I340" s="115"/>
      <c r="J340" s="115"/>
      <c r="K340" s="194"/>
      <c r="L340" s="20"/>
      <c r="M340" s="139"/>
      <c r="N340" s="139"/>
      <c r="O340" s="139"/>
    </row>
    <row r="341">
      <c r="A341" s="115"/>
      <c r="B341" s="115"/>
      <c r="C341" s="115"/>
      <c r="D341" s="115"/>
      <c r="E341" s="193"/>
      <c r="F341" s="115"/>
      <c r="G341" s="115"/>
      <c r="H341" s="115"/>
      <c r="I341" s="115"/>
      <c r="J341" s="115"/>
      <c r="K341" s="194"/>
      <c r="L341" s="20"/>
      <c r="M341" s="139"/>
      <c r="N341" s="139"/>
      <c r="O341" s="139"/>
    </row>
    <row r="342">
      <c r="A342" s="115"/>
      <c r="B342" s="115"/>
      <c r="C342" s="115"/>
      <c r="D342" s="115"/>
      <c r="E342" s="193"/>
      <c r="F342" s="115"/>
      <c r="G342" s="115"/>
      <c r="H342" s="115"/>
      <c r="I342" s="115"/>
      <c r="J342" s="115"/>
      <c r="K342" s="194"/>
      <c r="L342" s="20"/>
      <c r="M342" s="139"/>
      <c r="N342" s="139"/>
      <c r="O342" s="139"/>
    </row>
    <row r="343">
      <c r="A343" s="115"/>
      <c r="B343" s="115"/>
      <c r="C343" s="115"/>
      <c r="D343" s="115"/>
      <c r="E343" s="193"/>
      <c r="F343" s="115"/>
      <c r="G343" s="115"/>
      <c r="H343" s="115"/>
      <c r="I343" s="115"/>
      <c r="J343" s="115"/>
      <c r="K343" s="194"/>
      <c r="L343" s="20"/>
      <c r="M343" s="139"/>
      <c r="N343" s="139"/>
      <c r="O343" s="139"/>
    </row>
    <row r="344">
      <c r="A344" s="115"/>
      <c r="B344" s="115"/>
      <c r="C344" s="115"/>
      <c r="D344" s="115"/>
      <c r="E344" s="193"/>
      <c r="F344" s="115"/>
      <c r="G344" s="115"/>
      <c r="H344" s="115"/>
      <c r="I344" s="115"/>
      <c r="J344" s="115"/>
      <c r="K344" s="194"/>
      <c r="L344" s="20"/>
      <c r="M344" s="139"/>
      <c r="N344" s="139"/>
      <c r="O344" s="139"/>
    </row>
    <row r="345">
      <c r="A345" s="115"/>
      <c r="B345" s="115"/>
      <c r="C345" s="115"/>
      <c r="D345" s="115"/>
      <c r="E345" s="193"/>
      <c r="F345" s="115"/>
      <c r="G345" s="115"/>
      <c r="H345" s="115"/>
      <c r="I345" s="115"/>
      <c r="J345" s="115"/>
      <c r="K345" s="194"/>
      <c r="L345" s="20"/>
      <c r="M345" s="139"/>
      <c r="N345" s="139"/>
      <c r="O345" s="139"/>
    </row>
    <row r="346">
      <c r="A346" s="115"/>
      <c r="B346" s="115"/>
      <c r="C346" s="115"/>
      <c r="D346" s="115"/>
      <c r="E346" s="193"/>
      <c r="F346" s="115"/>
      <c r="G346" s="115"/>
      <c r="H346" s="115"/>
      <c r="I346" s="115"/>
      <c r="J346" s="115"/>
      <c r="K346" s="194"/>
      <c r="L346" s="20"/>
      <c r="M346" s="139"/>
      <c r="N346" s="139"/>
      <c r="O346" s="139"/>
    </row>
    <row r="347">
      <c r="A347" s="115"/>
      <c r="B347" s="115"/>
      <c r="C347" s="115"/>
      <c r="D347" s="115"/>
      <c r="E347" s="193"/>
      <c r="F347" s="115"/>
      <c r="G347" s="115"/>
      <c r="H347" s="115"/>
      <c r="I347" s="115"/>
      <c r="J347" s="115"/>
      <c r="K347" s="194"/>
      <c r="L347" s="20"/>
      <c r="M347" s="139"/>
      <c r="N347" s="139"/>
      <c r="O347" s="139"/>
    </row>
    <row r="348">
      <c r="A348" s="115"/>
      <c r="B348" s="115"/>
      <c r="C348" s="115"/>
      <c r="D348" s="115"/>
      <c r="E348" s="193"/>
      <c r="F348" s="115"/>
      <c r="G348" s="115"/>
      <c r="H348" s="115"/>
      <c r="I348" s="115"/>
      <c r="J348" s="115"/>
      <c r="K348" s="194"/>
      <c r="L348" s="20"/>
      <c r="M348" s="139"/>
      <c r="N348" s="139"/>
      <c r="O348" s="139"/>
    </row>
    <row r="349">
      <c r="A349" s="115"/>
      <c r="B349" s="115"/>
      <c r="C349" s="115"/>
      <c r="D349" s="115"/>
      <c r="E349" s="193"/>
      <c r="F349" s="115"/>
      <c r="G349" s="115"/>
      <c r="H349" s="115"/>
      <c r="I349" s="115"/>
      <c r="J349" s="115"/>
      <c r="K349" s="194"/>
      <c r="L349" s="20"/>
      <c r="M349" s="139"/>
      <c r="N349" s="139"/>
      <c r="O349" s="139"/>
    </row>
    <row r="350">
      <c r="A350" s="115"/>
      <c r="B350" s="115"/>
      <c r="C350" s="115"/>
      <c r="D350" s="115"/>
      <c r="E350" s="193"/>
      <c r="F350" s="115"/>
      <c r="G350" s="115"/>
      <c r="H350" s="115"/>
      <c r="I350" s="115"/>
      <c r="J350" s="115"/>
      <c r="K350" s="194"/>
      <c r="L350" s="20"/>
      <c r="M350" s="139"/>
      <c r="N350" s="139"/>
      <c r="O350" s="139"/>
    </row>
    <row r="351">
      <c r="A351" s="115"/>
      <c r="B351" s="115"/>
      <c r="C351" s="115"/>
      <c r="D351" s="115"/>
      <c r="E351" s="193"/>
      <c r="F351" s="115"/>
      <c r="G351" s="115"/>
      <c r="H351" s="115"/>
      <c r="I351" s="115"/>
      <c r="J351" s="115"/>
      <c r="K351" s="194"/>
      <c r="L351" s="20"/>
      <c r="M351" s="139"/>
      <c r="N351" s="139"/>
      <c r="O351" s="139"/>
    </row>
    <row r="352">
      <c r="A352" s="115"/>
      <c r="B352" s="115"/>
      <c r="C352" s="115"/>
      <c r="D352" s="115"/>
      <c r="E352" s="193"/>
      <c r="F352" s="115"/>
      <c r="G352" s="115"/>
      <c r="H352" s="115"/>
      <c r="I352" s="115"/>
      <c r="J352" s="115"/>
      <c r="K352" s="194"/>
      <c r="L352" s="20"/>
      <c r="M352" s="139"/>
      <c r="N352" s="139"/>
      <c r="O352" s="139"/>
    </row>
    <row r="353">
      <c r="A353" s="115"/>
      <c r="B353" s="115"/>
      <c r="C353" s="115"/>
      <c r="D353" s="115"/>
      <c r="E353" s="193"/>
      <c r="F353" s="115"/>
      <c r="G353" s="115"/>
      <c r="H353" s="115"/>
      <c r="I353" s="115"/>
      <c r="J353" s="115"/>
      <c r="K353" s="194"/>
      <c r="L353" s="20"/>
      <c r="M353" s="139"/>
      <c r="N353" s="139"/>
      <c r="O353" s="139"/>
    </row>
    <row r="354">
      <c r="A354" s="115"/>
      <c r="B354" s="115"/>
      <c r="C354" s="115"/>
      <c r="D354" s="115"/>
      <c r="E354" s="193"/>
      <c r="F354" s="115"/>
      <c r="G354" s="115"/>
      <c r="H354" s="115"/>
      <c r="I354" s="115"/>
      <c r="J354" s="115"/>
      <c r="K354" s="194"/>
      <c r="L354" s="20"/>
      <c r="M354" s="139"/>
      <c r="N354" s="139"/>
      <c r="O354" s="139"/>
    </row>
    <row r="355">
      <c r="A355" s="115"/>
      <c r="B355" s="115"/>
      <c r="C355" s="115"/>
      <c r="D355" s="115"/>
      <c r="E355" s="193"/>
      <c r="F355" s="115"/>
      <c r="G355" s="115"/>
      <c r="H355" s="115"/>
      <c r="I355" s="115"/>
      <c r="J355" s="115"/>
      <c r="K355" s="194"/>
      <c r="L355" s="20"/>
      <c r="M355" s="139"/>
      <c r="N355" s="139"/>
      <c r="O355" s="139"/>
    </row>
    <row r="356">
      <c r="A356" s="115"/>
      <c r="B356" s="115"/>
      <c r="C356" s="115"/>
      <c r="D356" s="115"/>
      <c r="E356" s="193"/>
      <c r="F356" s="115"/>
      <c r="G356" s="115"/>
      <c r="H356" s="115"/>
      <c r="I356" s="115"/>
      <c r="J356" s="115"/>
      <c r="K356" s="194"/>
      <c r="L356" s="20"/>
      <c r="M356" s="139"/>
      <c r="N356" s="139"/>
      <c r="O356" s="139"/>
    </row>
    <row r="357">
      <c r="A357" s="115"/>
      <c r="B357" s="115"/>
      <c r="C357" s="115"/>
      <c r="D357" s="115"/>
      <c r="E357" s="193"/>
      <c r="F357" s="115"/>
      <c r="G357" s="115"/>
      <c r="H357" s="115"/>
      <c r="I357" s="115"/>
      <c r="J357" s="115"/>
      <c r="K357" s="194"/>
      <c r="L357" s="20"/>
      <c r="M357" s="139"/>
      <c r="N357" s="139"/>
      <c r="O357" s="139"/>
    </row>
    <row r="358">
      <c r="A358" s="115"/>
      <c r="B358" s="115"/>
      <c r="C358" s="115"/>
      <c r="D358" s="115"/>
      <c r="E358" s="193"/>
      <c r="F358" s="115"/>
      <c r="G358" s="115"/>
      <c r="H358" s="115"/>
      <c r="I358" s="115"/>
      <c r="J358" s="115"/>
      <c r="K358" s="194"/>
      <c r="L358" s="20"/>
      <c r="M358" s="139"/>
      <c r="N358" s="139"/>
      <c r="O358" s="139"/>
    </row>
    <row r="359">
      <c r="A359" s="115"/>
      <c r="B359" s="115"/>
      <c r="C359" s="115"/>
      <c r="D359" s="115"/>
      <c r="E359" s="193"/>
      <c r="F359" s="115"/>
      <c r="G359" s="115"/>
      <c r="H359" s="115"/>
      <c r="I359" s="115"/>
      <c r="J359" s="115"/>
      <c r="K359" s="194"/>
      <c r="L359" s="20"/>
      <c r="M359" s="139"/>
      <c r="N359" s="139"/>
      <c r="O359" s="139"/>
    </row>
    <row r="360">
      <c r="A360" s="115"/>
      <c r="B360" s="115"/>
      <c r="C360" s="115"/>
      <c r="D360" s="115"/>
      <c r="E360" s="193"/>
      <c r="F360" s="115"/>
      <c r="G360" s="115"/>
      <c r="H360" s="115"/>
      <c r="I360" s="115"/>
      <c r="J360" s="115"/>
      <c r="K360" s="194"/>
      <c r="L360" s="20"/>
      <c r="M360" s="139"/>
      <c r="N360" s="139"/>
      <c r="O360" s="139"/>
    </row>
    <row r="361">
      <c r="A361" s="115"/>
      <c r="B361" s="115"/>
      <c r="C361" s="115"/>
      <c r="D361" s="115"/>
      <c r="E361" s="193"/>
      <c r="F361" s="115"/>
      <c r="G361" s="115"/>
      <c r="H361" s="115"/>
      <c r="I361" s="115"/>
      <c r="J361" s="115"/>
      <c r="K361" s="194"/>
      <c r="L361" s="20"/>
      <c r="M361" s="139"/>
      <c r="N361" s="139"/>
      <c r="O361" s="139"/>
    </row>
    <row r="362">
      <c r="A362" s="115"/>
      <c r="B362" s="115"/>
      <c r="C362" s="115"/>
      <c r="D362" s="115"/>
      <c r="E362" s="193"/>
      <c r="F362" s="115"/>
      <c r="G362" s="115"/>
      <c r="H362" s="115"/>
      <c r="I362" s="115"/>
      <c r="J362" s="115"/>
      <c r="K362" s="194"/>
      <c r="L362" s="20"/>
      <c r="M362" s="139"/>
      <c r="N362" s="139"/>
      <c r="O362" s="139"/>
    </row>
    <row r="363">
      <c r="A363" s="115"/>
      <c r="B363" s="115"/>
      <c r="C363" s="115"/>
      <c r="D363" s="115"/>
      <c r="E363" s="193"/>
      <c r="F363" s="115"/>
      <c r="G363" s="115"/>
      <c r="H363" s="115"/>
      <c r="I363" s="115"/>
      <c r="J363" s="115"/>
      <c r="K363" s="194"/>
      <c r="L363" s="20"/>
      <c r="M363" s="139"/>
      <c r="N363" s="139"/>
      <c r="O363" s="139"/>
    </row>
    <row r="364">
      <c r="A364" s="115"/>
      <c r="B364" s="115"/>
      <c r="C364" s="115"/>
      <c r="D364" s="115"/>
      <c r="E364" s="193"/>
      <c r="F364" s="115"/>
      <c r="G364" s="115"/>
      <c r="H364" s="115"/>
      <c r="I364" s="115"/>
      <c r="J364" s="115"/>
      <c r="K364" s="194"/>
      <c r="L364" s="20"/>
      <c r="M364" s="139"/>
      <c r="N364" s="139"/>
      <c r="O364" s="139"/>
    </row>
    <row r="365">
      <c r="A365" s="115"/>
      <c r="B365" s="115"/>
      <c r="C365" s="115"/>
      <c r="D365" s="115"/>
      <c r="E365" s="193"/>
      <c r="F365" s="115"/>
      <c r="G365" s="115"/>
      <c r="H365" s="115"/>
      <c r="I365" s="115"/>
      <c r="J365" s="115"/>
      <c r="K365" s="194"/>
      <c r="L365" s="20"/>
      <c r="M365" s="139"/>
      <c r="N365" s="139"/>
      <c r="O365" s="139"/>
    </row>
    <row r="366">
      <c r="A366" s="115"/>
      <c r="B366" s="115"/>
      <c r="C366" s="115"/>
      <c r="D366" s="115"/>
      <c r="E366" s="193"/>
      <c r="F366" s="115"/>
      <c r="G366" s="115"/>
      <c r="H366" s="115"/>
      <c r="I366" s="115"/>
      <c r="J366" s="115"/>
      <c r="K366" s="194"/>
      <c r="L366" s="20"/>
      <c r="M366" s="139"/>
      <c r="N366" s="139"/>
      <c r="O366" s="139"/>
    </row>
    <row r="367">
      <c r="A367" s="115"/>
      <c r="B367" s="115"/>
      <c r="C367" s="115"/>
      <c r="D367" s="115"/>
      <c r="E367" s="193"/>
      <c r="F367" s="115"/>
      <c r="G367" s="115"/>
      <c r="H367" s="115"/>
      <c r="I367" s="115"/>
      <c r="J367" s="115"/>
      <c r="K367" s="194"/>
      <c r="L367" s="20"/>
      <c r="M367" s="139"/>
      <c r="N367" s="139"/>
      <c r="O367" s="139"/>
    </row>
    <row r="368">
      <c r="A368" s="115"/>
      <c r="B368" s="115"/>
      <c r="C368" s="115"/>
      <c r="D368" s="115"/>
      <c r="E368" s="193"/>
      <c r="F368" s="115"/>
      <c r="G368" s="115"/>
      <c r="H368" s="115"/>
      <c r="I368" s="115"/>
      <c r="J368" s="115"/>
      <c r="K368" s="194"/>
      <c r="L368" s="20"/>
      <c r="M368" s="139"/>
      <c r="N368" s="139"/>
      <c r="O368" s="139"/>
    </row>
    <row r="369">
      <c r="A369" s="115"/>
      <c r="B369" s="115"/>
      <c r="C369" s="115"/>
      <c r="D369" s="115"/>
      <c r="E369" s="193"/>
      <c r="F369" s="115"/>
      <c r="G369" s="115"/>
      <c r="H369" s="115"/>
      <c r="I369" s="115"/>
      <c r="J369" s="115"/>
      <c r="K369" s="194"/>
      <c r="L369" s="20"/>
      <c r="M369" s="139"/>
      <c r="N369" s="139"/>
      <c r="O369" s="139"/>
    </row>
    <row r="370">
      <c r="A370" s="115"/>
      <c r="B370" s="115"/>
      <c r="C370" s="115"/>
      <c r="D370" s="115"/>
      <c r="E370" s="193"/>
      <c r="F370" s="115"/>
      <c r="G370" s="115"/>
      <c r="H370" s="115"/>
      <c r="I370" s="115"/>
      <c r="J370" s="115"/>
      <c r="K370" s="194"/>
      <c r="L370" s="20"/>
      <c r="M370" s="139"/>
      <c r="N370" s="139"/>
      <c r="O370" s="139"/>
    </row>
    <row r="371">
      <c r="A371" s="115"/>
      <c r="B371" s="115"/>
      <c r="C371" s="115"/>
      <c r="D371" s="115"/>
      <c r="E371" s="193"/>
      <c r="F371" s="115"/>
      <c r="G371" s="115"/>
      <c r="H371" s="115"/>
      <c r="I371" s="115"/>
      <c r="J371" s="115"/>
      <c r="K371" s="194"/>
      <c r="L371" s="20"/>
      <c r="M371" s="139"/>
      <c r="N371" s="139"/>
      <c r="O371" s="139"/>
    </row>
    <row r="372">
      <c r="A372" s="115"/>
      <c r="B372" s="115"/>
      <c r="C372" s="115"/>
      <c r="D372" s="115"/>
      <c r="E372" s="193"/>
      <c r="F372" s="115"/>
      <c r="G372" s="115"/>
      <c r="H372" s="115"/>
      <c r="I372" s="115"/>
      <c r="J372" s="115"/>
      <c r="K372" s="194"/>
      <c r="L372" s="20"/>
      <c r="M372" s="139"/>
      <c r="N372" s="139"/>
      <c r="O372" s="139"/>
    </row>
    <row r="373">
      <c r="A373" s="115"/>
      <c r="B373" s="115"/>
      <c r="C373" s="115"/>
      <c r="D373" s="115"/>
      <c r="E373" s="193"/>
      <c r="F373" s="115"/>
      <c r="G373" s="115"/>
      <c r="H373" s="115"/>
      <c r="I373" s="115"/>
      <c r="J373" s="115"/>
      <c r="K373" s="194"/>
      <c r="L373" s="20"/>
      <c r="M373" s="139"/>
      <c r="N373" s="139"/>
      <c r="O373" s="139"/>
    </row>
    <row r="374">
      <c r="A374" s="115"/>
      <c r="B374" s="115"/>
      <c r="C374" s="115"/>
      <c r="D374" s="115"/>
      <c r="E374" s="193"/>
      <c r="F374" s="115"/>
      <c r="G374" s="115"/>
      <c r="H374" s="115"/>
      <c r="I374" s="115"/>
      <c r="J374" s="115"/>
      <c r="K374" s="194"/>
      <c r="L374" s="20"/>
      <c r="M374" s="139"/>
      <c r="N374" s="139"/>
      <c r="O374" s="139"/>
    </row>
    <row r="375">
      <c r="A375" s="115"/>
      <c r="B375" s="115"/>
      <c r="C375" s="115"/>
      <c r="D375" s="115"/>
      <c r="E375" s="193"/>
      <c r="F375" s="115"/>
      <c r="G375" s="115"/>
      <c r="H375" s="115"/>
      <c r="I375" s="115"/>
      <c r="J375" s="115"/>
      <c r="K375" s="194"/>
      <c r="L375" s="20"/>
      <c r="M375" s="139"/>
      <c r="N375" s="139"/>
      <c r="O375" s="139"/>
    </row>
    <row r="376">
      <c r="A376" s="115"/>
      <c r="B376" s="115"/>
      <c r="C376" s="115"/>
      <c r="D376" s="115"/>
      <c r="E376" s="193"/>
      <c r="F376" s="115"/>
      <c r="G376" s="115"/>
      <c r="H376" s="115"/>
      <c r="I376" s="115"/>
      <c r="J376" s="115"/>
      <c r="K376" s="194"/>
      <c r="L376" s="20"/>
      <c r="M376" s="139"/>
      <c r="N376" s="139"/>
      <c r="O376" s="139"/>
    </row>
    <row r="377">
      <c r="A377" s="115"/>
      <c r="B377" s="115"/>
      <c r="C377" s="115"/>
      <c r="D377" s="115"/>
      <c r="E377" s="193"/>
      <c r="F377" s="115"/>
      <c r="G377" s="115"/>
      <c r="H377" s="115"/>
      <c r="I377" s="115"/>
      <c r="J377" s="115"/>
      <c r="K377" s="194"/>
      <c r="L377" s="20"/>
      <c r="M377" s="139"/>
      <c r="N377" s="139"/>
      <c r="O377" s="139"/>
    </row>
    <row r="378">
      <c r="A378" s="115"/>
      <c r="B378" s="115"/>
      <c r="C378" s="115"/>
      <c r="D378" s="115"/>
      <c r="E378" s="193"/>
      <c r="F378" s="115"/>
      <c r="G378" s="115"/>
      <c r="H378" s="115"/>
      <c r="I378" s="115"/>
      <c r="J378" s="115"/>
      <c r="K378" s="194"/>
      <c r="L378" s="20"/>
      <c r="M378" s="139"/>
      <c r="N378" s="139"/>
      <c r="O378" s="139"/>
    </row>
    <row r="379">
      <c r="A379" s="115"/>
      <c r="B379" s="115"/>
      <c r="C379" s="115"/>
      <c r="D379" s="115"/>
      <c r="E379" s="193"/>
      <c r="F379" s="115"/>
      <c r="G379" s="115"/>
      <c r="H379" s="115"/>
      <c r="I379" s="115"/>
      <c r="J379" s="115"/>
      <c r="K379" s="194"/>
      <c r="L379" s="20"/>
      <c r="M379" s="139"/>
      <c r="N379" s="139"/>
      <c r="O379" s="139"/>
    </row>
    <row r="380">
      <c r="A380" s="115"/>
      <c r="B380" s="115"/>
      <c r="C380" s="115"/>
      <c r="D380" s="115"/>
      <c r="E380" s="193"/>
      <c r="F380" s="115"/>
      <c r="G380" s="115"/>
      <c r="H380" s="115"/>
      <c r="I380" s="115"/>
      <c r="J380" s="115"/>
      <c r="K380" s="194"/>
      <c r="L380" s="20"/>
      <c r="M380" s="139"/>
      <c r="N380" s="139"/>
      <c r="O380" s="139"/>
    </row>
    <row r="381">
      <c r="A381" s="115"/>
      <c r="B381" s="115"/>
      <c r="C381" s="115"/>
      <c r="D381" s="115"/>
      <c r="E381" s="193"/>
      <c r="F381" s="115"/>
      <c r="G381" s="115"/>
      <c r="H381" s="115"/>
      <c r="I381" s="115"/>
      <c r="J381" s="115"/>
      <c r="K381" s="194"/>
      <c r="L381" s="20"/>
      <c r="M381" s="139"/>
      <c r="N381" s="139"/>
      <c r="O381" s="139"/>
    </row>
    <row r="382">
      <c r="A382" s="115"/>
      <c r="B382" s="115"/>
      <c r="C382" s="115"/>
      <c r="D382" s="115"/>
      <c r="E382" s="193"/>
      <c r="F382" s="115"/>
      <c r="G382" s="115"/>
      <c r="H382" s="115"/>
      <c r="I382" s="115"/>
      <c r="J382" s="115"/>
      <c r="K382" s="194"/>
      <c r="L382" s="20"/>
      <c r="M382" s="139"/>
      <c r="N382" s="139"/>
      <c r="O382" s="139"/>
    </row>
    <row r="383">
      <c r="A383" s="115"/>
      <c r="B383" s="115"/>
      <c r="C383" s="115"/>
      <c r="D383" s="115"/>
      <c r="E383" s="193"/>
      <c r="F383" s="115"/>
      <c r="G383" s="115"/>
      <c r="H383" s="115"/>
      <c r="I383" s="115"/>
      <c r="J383" s="115"/>
      <c r="K383" s="194"/>
      <c r="L383" s="20"/>
      <c r="M383" s="139"/>
      <c r="N383" s="139"/>
      <c r="O383" s="139"/>
    </row>
    <row r="384">
      <c r="A384" s="115"/>
      <c r="B384" s="115"/>
      <c r="C384" s="115"/>
      <c r="D384" s="115"/>
      <c r="E384" s="193"/>
      <c r="F384" s="115"/>
      <c r="G384" s="115"/>
      <c r="H384" s="115"/>
      <c r="I384" s="115"/>
      <c r="J384" s="115"/>
      <c r="K384" s="194"/>
      <c r="L384" s="20"/>
      <c r="M384" s="139"/>
      <c r="N384" s="139"/>
      <c r="O384" s="139"/>
    </row>
    <row r="385">
      <c r="A385" s="115"/>
      <c r="B385" s="115"/>
      <c r="C385" s="115"/>
      <c r="D385" s="115"/>
      <c r="E385" s="193"/>
      <c r="F385" s="115"/>
      <c r="G385" s="115"/>
      <c r="H385" s="115"/>
      <c r="I385" s="115"/>
      <c r="J385" s="115"/>
      <c r="K385" s="194"/>
      <c r="L385" s="20"/>
      <c r="M385" s="139"/>
      <c r="N385" s="139"/>
      <c r="O385" s="139"/>
    </row>
    <row r="386">
      <c r="A386" s="115"/>
      <c r="B386" s="115"/>
      <c r="C386" s="115"/>
      <c r="D386" s="115"/>
      <c r="E386" s="193"/>
      <c r="F386" s="115"/>
      <c r="G386" s="115"/>
      <c r="H386" s="115"/>
      <c r="I386" s="115"/>
      <c r="J386" s="115"/>
      <c r="K386" s="194"/>
      <c r="L386" s="20"/>
      <c r="M386" s="139"/>
      <c r="N386" s="139"/>
      <c r="O386" s="139"/>
    </row>
    <row r="387">
      <c r="A387" s="115"/>
      <c r="B387" s="115"/>
      <c r="C387" s="115"/>
      <c r="D387" s="115"/>
      <c r="E387" s="193"/>
      <c r="F387" s="115"/>
      <c r="G387" s="115"/>
      <c r="H387" s="115"/>
      <c r="I387" s="115"/>
      <c r="J387" s="115"/>
      <c r="K387" s="194"/>
      <c r="L387" s="20"/>
      <c r="M387" s="139"/>
      <c r="N387" s="139"/>
      <c r="O387" s="139"/>
    </row>
    <row r="388">
      <c r="A388" s="115"/>
      <c r="B388" s="115"/>
      <c r="C388" s="115"/>
      <c r="D388" s="115"/>
      <c r="E388" s="193"/>
      <c r="F388" s="115"/>
      <c r="G388" s="115"/>
      <c r="H388" s="115"/>
      <c r="I388" s="115"/>
      <c r="J388" s="115"/>
      <c r="K388" s="194"/>
      <c r="L388" s="20"/>
      <c r="M388" s="139"/>
      <c r="N388" s="139"/>
      <c r="O388" s="139"/>
    </row>
    <row r="389">
      <c r="A389" s="115"/>
      <c r="B389" s="115"/>
      <c r="C389" s="115"/>
      <c r="D389" s="115"/>
      <c r="E389" s="193"/>
      <c r="F389" s="115"/>
      <c r="G389" s="115"/>
      <c r="H389" s="115"/>
      <c r="I389" s="115"/>
      <c r="J389" s="115"/>
      <c r="K389" s="194"/>
      <c r="L389" s="20"/>
      <c r="M389" s="139"/>
      <c r="N389" s="139"/>
      <c r="O389" s="139"/>
    </row>
    <row r="390">
      <c r="A390" s="115"/>
      <c r="B390" s="115"/>
      <c r="C390" s="115"/>
      <c r="D390" s="115"/>
      <c r="E390" s="193"/>
      <c r="F390" s="115"/>
      <c r="G390" s="115"/>
      <c r="H390" s="115"/>
      <c r="I390" s="115"/>
      <c r="J390" s="115"/>
      <c r="K390" s="194"/>
      <c r="L390" s="20"/>
      <c r="M390" s="139"/>
      <c r="N390" s="139"/>
      <c r="O390" s="139"/>
    </row>
    <row r="391">
      <c r="A391" s="115"/>
      <c r="B391" s="115"/>
      <c r="C391" s="115"/>
      <c r="D391" s="115"/>
      <c r="E391" s="193"/>
      <c r="F391" s="115"/>
      <c r="G391" s="115"/>
      <c r="H391" s="115"/>
      <c r="I391" s="115"/>
      <c r="J391" s="115"/>
      <c r="K391" s="194"/>
      <c r="L391" s="20"/>
      <c r="M391" s="139"/>
      <c r="N391" s="139"/>
      <c r="O391" s="139"/>
    </row>
    <row r="392">
      <c r="A392" s="115"/>
      <c r="B392" s="115"/>
      <c r="C392" s="115"/>
      <c r="D392" s="115"/>
      <c r="E392" s="193"/>
      <c r="F392" s="115"/>
      <c r="G392" s="115"/>
      <c r="H392" s="115"/>
      <c r="I392" s="115"/>
      <c r="J392" s="115"/>
      <c r="K392" s="194"/>
      <c r="L392" s="20"/>
      <c r="M392" s="139"/>
      <c r="N392" s="139"/>
      <c r="O392" s="139"/>
    </row>
    <row r="393">
      <c r="A393" s="115"/>
      <c r="B393" s="115"/>
      <c r="C393" s="115"/>
      <c r="D393" s="115"/>
      <c r="E393" s="193"/>
      <c r="F393" s="115"/>
      <c r="G393" s="115"/>
      <c r="H393" s="115"/>
      <c r="I393" s="115"/>
      <c r="J393" s="115"/>
      <c r="K393" s="194"/>
      <c r="L393" s="20"/>
      <c r="M393" s="139"/>
      <c r="N393" s="139"/>
      <c r="O393" s="139"/>
    </row>
    <row r="394">
      <c r="A394" s="115"/>
      <c r="B394" s="115"/>
      <c r="C394" s="115"/>
      <c r="D394" s="115"/>
      <c r="E394" s="193"/>
      <c r="F394" s="115"/>
      <c r="G394" s="115"/>
      <c r="H394" s="115"/>
      <c r="I394" s="115"/>
      <c r="J394" s="115"/>
      <c r="K394" s="194"/>
      <c r="L394" s="20"/>
      <c r="M394" s="139"/>
      <c r="N394" s="139"/>
      <c r="O394" s="139"/>
    </row>
    <row r="395">
      <c r="A395" s="115"/>
      <c r="B395" s="115"/>
      <c r="C395" s="115"/>
      <c r="D395" s="115"/>
      <c r="E395" s="193"/>
      <c r="F395" s="115"/>
      <c r="G395" s="115"/>
      <c r="H395" s="115"/>
      <c r="I395" s="115"/>
      <c r="J395" s="115"/>
      <c r="K395" s="194"/>
      <c r="L395" s="20"/>
      <c r="M395" s="139"/>
      <c r="N395" s="139"/>
      <c r="O395" s="139"/>
    </row>
    <row r="396">
      <c r="A396" s="115"/>
      <c r="B396" s="115"/>
      <c r="C396" s="115"/>
      <c r="D396" s="115"/>
      <c r="E396" s="193"/>
      <c r="F396" s="115"/>
      <c r="G396" s="115"/>
      <c r="H396" s="115"/>
      <c r="I396" s="115"/>
      <c r="J396" s="115"/>
      <c r="K396" s="194"/>
      <c r="L396" s="20"/>
      <c r="M396" s="139"/>
      <c r="N396" s="139"/>
      <c r="O396" s="139"/>
    </row>
    <row r="397">
      <c r="A397" s="115"/>
      <c r="B397" s="115"/>
      <c r="C397" s="115"/>
      <c r="D397" s="115"/>
      <c r="E397" s="193"/>
      <c r="F397" s="115"/>
      <c r="G397" s="115"/>
      <c r="H397" s="115"/>
      <c r="I397" s="115"/>
      <c r="J397" s="115"/>
      <c r="K397" s="194"/>
      <c r="L397" s="20"/>
      <c r="M397" s="139"/>
      <c r="N397" s="139"/>
      <c r="O397" s="139"/>
    </row>
    <row r="398">
      <c r="A398" s="115"/>
      <c r="B398" s="115"/>
      <c r="C398" s="115"/>
      <c r="D398" s="115"/>
      <c r="E398" s="193"/>
      <c r="F398" s="115"/>
      <c r="G398" s="115"/>
      <c r="H398" s="115"/>
      <c r="I398" s="115"/>
      <c r="J398" s="115"/>
      <c r="K398" s="194"/>
      <c r="L398" s="20"/>
      <c r="M398" s="139"/>
      <c r="N398" s="139"/>
      <c r="O398" s="139"/>
    </row>
    <row r="399">
      <c r="A399" s="115"/>
      <c r="B399" s="115"/>
      <c r="C399" s="115"/>
      <c r="D399" s="115"/>
      <c r="E399" s="193"/>
      <c r="F399" s="115"/>
      <c r="G399" s="115"/>
      <c r="H399" s="115"/>
      <c r="I399" s="115"/>
      <c r="J399" s="115"/>
      <c r="K399" s="194"/>
      <c r="L399" s="20"/>
      <c r="M399" s="139"/>
      <c r="N399" s="139"/>
      <c r="O399" s="139"/>
    </row>
    <row r="400">
      <c r="A400" s="115"/>
      <c r="B400" s="115"/>
      <c r="C400" s="115"/>
      <c r="D400" s="115"/>
      <c r="E400" s="193"/>
      <c r="F400" s="115"/>
      <c r="G400" s="115"/>
      <c r="H400" s="115"/>
      <c r="I400" s="115"/>
      <c r="J400" s="115"/>
      <c r="K400" s="194"/>
      <c r="L400" s="20"/>
      <c r="M400" s="139"/>
      <c r="N400" s="139"/>
      <c r="O400" s="139"/>
    </row>
    <row r="401">
      <c r="A401" s="115"/>
      <c r="B401" s="115"/>
      <c r="C401" s="115"/>
      <c r="D401" s="115"/>
      <c r="E401" s="193"/>
      <c r="F401" s="115"/>
      <c r="G401" s="115"/>
      <c r="H401" s="115"/>
      <c r="I401" s="115"/>
      <c r="J401" s="115"/>
      <c r="K401" s="194"/>
      <c r="L401" s="20"/>
      <c r="M401" s="139"/>
      <c r="N401" s="139"/>
      <c r="O401" s="139"/>
    </row>
    <row r="402">
      <c r="A402" s="115"/>
      <c r="B402" s="115"/>
      <c r="C402" s="115"/>
      <c r="D402" s="115"/>
      <c r="E402" s="193"/>
      <c r="F402" s="115"/>
      <c r="G402" s="115"/>
      <c r="H402" s="115"/>
      <c r="I402" s="115"/>
      <c r="J402" s="115"/>
      <c r="K402" s="194"/>
      <c r="L402" s="20"/>
      <c r="M402" s="139"/>
      <c r="N402" s="139"/>
      <c r="O402" s="139"/>
    </row>
    <row r="403">
      <c r="A403" s="115"/>
      <c r="B403" s="115"/>
      <c r="C403" s="115"/>
      <c r="D403" s="115"/>
      <c r="E403" s="193"/>
      <c r="F403" s="115"/>
      <c r="G403" s="115"/>
      <c r="H403" s="115"/>
      <c r="I403" s="115"/>
      <c r="J403" s="115"/>
      <c r="K403" s="194"/>
      <c r="L403" s="20"/>
      <c r="M403" s="139"/>
      <c r="N403" s="139"/>
      <c r="O403" s="139"/>
    </row>
    <row r="404">
      <c r="A404" s="115"/>
      <c r="B404" s="115"/>
      <c r="C404" s="115"/>
      <c r="D404" s="115"/>
      <c r="E404" s="193"/>
      <c r="F404" s="115"/>
      <c r="G404" s="115"/>
      <c r="H404" s="115"/>
      <c r="I404" s="115"/>
      <c r="J404" s="115"/>
      <c r="K404" s="194"/>
      <c r="L404" s="20"/>
      <c r="M404" s="139"/>
      <c r="N404" s="139"/>
      <c r="O404" s="139"/>
    </row>
    <row r="405">
      <c r="A405" s="115"/>
      <c r="B405" s="115"/>
      <c r="C405" s="115"/>
      <c r="D405" s="115"/>
      <c r="E405" s="193"/>
      <c r="F405" s="115"/>
      <c r="G405" s="115"/>
      <c r="H405" s="115"/>
      <c r="I405" s="115"/>
      <c r="J405" s="115"/>
      <c r="K405" s="194"/>
      <c r="L405" s="20"/>
      <c r="M405" s="139"/>
      <c r="N405" s="139"/>
      <c r="O405" s="139"/>
    </row>
    <row r="406">
      <c r="A406" s="115"/>
      <c r="B406" s="115"/>
      <c r="C406" s="115"/>
      <c r="D406" s="115"/>
      <c r="E406" s="193"/>
      <c r="F406" s="115"/>
      <c r="G406" s="115"/>
      <c r="H406" s="115"/>
      <c r="I406" s="115"/>
      <c r="J406" s="115"/>
      <c r="K406" s="194"/>
      <c r="L406" s="20"/>
      <c r="M406" s="139"/>
      <c r="N406" s="139"/>
      <c r="O406" s="139"/>
    </row>
    <row r="407">
      <c r="A407" s="115"/>
      <c r="B407" s="115"/>
      <c r="C407" s="115"/>
      <c r="D407" s="115"/>
      <c r="E407" s="193"/>
      <c r="F407" s="115"/>
      <c r="G407" s="115"/>
      <c r="H407" s="115"/>
      <c r="I407" s="115"/>
      <c r="J407" s="115"/>
      <c r="K407" s="194"/>
      <c r="L407" s="20"/>
      <c r="M407" s="139"/>
      <c r="N407" s="139"/>
      <c r="O407" s="139"/>
    </row>
    <row r="408">
      <c r="A408" s="115"/>
      <c r="B408" s="115"/>
      <c r="C408" s="115"/>
      <c r="D408" s="115"/>
      <c r="E408" s="193"/>
      <c r="F408" s="115"/>
      <c r="G408" s="115"/>
      <c r="H408" s="115"/>
      <c r="I408" s="115"/>
      <c r="J408" s="115"/>
      <c r="K408" s="194"/>
      <c r="L408" s="20"/>
      <c r="M408" s="139"/>
      <c r="N408" s="139"/>
      <c r="O408" s="139"/>
    </row>
    <row r="409">
      <c r="A409" s="115"/>
      <c r="B409" s="115"/>
      <c r="C409" s="115"/>
      <c r="D409" s="115"/>
      <c r="E409" s="193"/>
      <c r="F409" s="115"/>
      <c r="G409" s="115"/>
      <c r="H409" s="115"/>
      <c r="I409" s="115"/>
      <c r="J409" s="115"/>
      <c r="K409" s="194"/>
      <c r="L409" s="20"/>
      <c r="M409" s="139"/>
      <c r="N409" s="139"/>
      <c r="O409" s="139"/>
    </row>
    <row r="410">
      <c r="A410" s="115"/>
      <c r="B410" s="115"/>
      <c r="C410" s="115"/>
      <c r="D410" s="115"/>
      <c r="E410" s="193"/>
      <c r="F410" s="115"/>
      <c r="G410" s="115"/>
      <c r="H410" s="115"/>
      <c r="I410" s="115"/>
      <c r="J410" s="115"/>
      <c r="K410" s="194"/>
      <c r="L410" s="20"/>
      <c r="M410" s="139"/>
      <c r="N410" s="139"/>
      <c r="O410" s="139"/>
    </row>
    <row r="411">
      <c r="A411" s="115"/>
      <c r="B411" s="115"/>
      <c r="C411" s="115"/>
      <c r="D411" s="115"/>
      <c r="E411" s="193"/>
      <c r="F411" s="115"/>
      <c r="G411" s="115"/>
      <c r="H411" s="115"/>
      <c r="I411" s="115"/>
      <c r="J411" s="115"/>
      <c r="K411" s="194"/>
      <c r="L411" s="20"/>
      <c r="M411" s="139"/>
      <c r="N411" s="139"/>
      <c r="O411" s="139"/>
    </row>
    <row r="412">
      <c r="A412" s="115"/>
      <c r="B412" s="115"/>
      <c r="C412" s="115"/>
      <c r="D412" s="115"/>
      <c r="E412" s="193"/>
      <c r="F412" s="115"/>
      <c r="G412" s="115"/>
      <c r="H412" s="115"/>
      <c r="I412" s="115"/>
      <c r="J412" s="115"/>
      <c r="K412" s="194"/>
      <c r="L412" s="20"/>
      <c r="M412" s="139"/>
      <c r="N412" s="139"/>
      <c r="O412" s="139"/>
    </row>
    <row r="413">
      <c r="A413" s="115"/>
      <c r="B413" s="115"/>
      <c r="C413" s="115"/>
      <c r="D413" s="115"/>
      <c r="E413" s="193"/>
      <c r="F413" s="115"/>
      <c r="G413" s="115"/>
      <c r="H413" s="115"/>
      <c r="I413" s="115"/>
      <c r="J413" s="115"/>
      <c r="K413" s="194"/>
      <c r="L413" s="20"/>
      <c r="M413" s="139"/>
      <c r="N413" s="139"/>
      <c r="O413" s="139"/>
    </row>
    <row r="414">
      <c r="A414" s="115"/>
      <c r="B414" s="115"/>
      <c r="C414" s="115"/>
      <c r="D414" s="115"/>
      <c r="E414" s="193"/>
      <c r="F414" s="115"/>
      <c r="G414" s="115"/>
      <c r="H414" s="115"/>
      <c r="I414" s="115"/>
      <c r="J414" s="115"/>
      <c r="K414" s="194"/>
      <c r="L414" s="20"/>
      <c r="M414" s="139"/>
      <c r="N414" s="139"/>
      <c r="O414" s="139"/>
    </row>
    <row r="415">
      <c r="A415" s="115"/>
      <c r="B415" s="115"/>
      <c r="C415" s="115"/>
      <c r="D415" s="115"/>
      <c r="E415" s="193"/>
      <c r="F415" s="115"/>
      <c r="G415" s="115"/>
      <c r="H415" s="115"/>
      <c r="I415" s="115"/>
      <c r="J415" s="115"/>
      <c r="K415" s="194"/>
      <c r="L415" s="20"/>
      <c r="M415" s="139"/>
      <c r="N415" s="139"/>
      <c r="O415" s="139"/>
    </row>
    <row r="416">
      <c r="A416" s="115"/>
      <c r="B416" s="115"/>
      <c r="C416" s="115"/>
      <c r="D416" s="115"/>
      <c r="E416" s="193"/>
      <c r="F416" s="115"/>
      <c r="G416" s="115"/>
      <c r="H416" s="115"/>
      <c r="I416" s="115"/>
      <c r="J416" s="115"/>
      <c r="K416" s="194"/>
      <c r="L416" s="20"/>
      <c r="M416" s="139"/>
      <c r="N416" s="139"/>
      <c r="O416" s="139"/>
    </row>
    <row r="417">
      <c r="A417" s="115"/>
      <c r="B417" s="115"/>
      <c r="C417" s="115"/>
      <c r="D417" s="115"/>
      <c r="E417" s="193"/>
      <c r="F417" s="115"/>
      <c r="G417" s="115"/>
      <c r="H417" s="115"/>
      <c r="I417" s="115"/>
      <c r="J417" s="115"/>
      <c r="K417" s="194"/>
      <c r="L417" s="20"/>
      <c r="M417" s="139"/>
      <c r="N417" s="139"/>
      <c r="O417" s="139"/>
    </row>
    <row r="418">
      <c r="A418" s="115"/>
      <c r="B418" s="115"/>
      <c r="C418" s="115"/>
      <c r="D418" s="115"/>
      <c r="E418" s="193"/>
      <c r="F418" s="115"/>
      <c r="G418" s="115"/>
      <c r="H418" s="115"/>
      <c r="I418" s="115"/>
      <c r="J418" s="115"/>
      <c r="K418" s="194"/>
      <c r="L418" s="20"/>
      <c r="M418" s="139"/>
      <c r="N418" s="139"/>
      <c r="O418" s="139"/>
    </row>
    <row r="419">
      <c r="A419" s="115"/>
      <c r="B419" s="115"/>
      <c r="C419" s="115"/>
      <c r="D419" s="115"/>
      <c r="E419" s="193"/>
      <c r="F419" s="115"/>
      <c r="G419" s="115"/>
      <c r="H419" s="115"/>
      <c r="I419" s="115"/>
      <c r="J419" s="115"/>
      <c r="K419" s="194"/>
      <c r="L419" s="20"/>
      <c r="M419" s="139"/>
      <c r="N419" s="139"/>
      <c r="O419" s="139"/>
    </row>
    <row r="420">
      <c r="A420" s="115"/>
      <c r="B420" s="115"/>
      <c r="C420" s="115"/>
      <c r="D420" s="115"/>
      <c r="E420" s="193"/>
      <c r="F420" s="115"/>
      <c r="G420" s="115"/>
      <c r="H420" s="115"/>
      <c r="I420" s="115"/>
      <c r="J420" s="115"/>
      <c r="K420" s="194"/>
      <c r="L420" s="20"/>
      <c r="M420" s="139"/>
      <c r="N420" s="139"/>
      <c r="O420" s="139"/>
    </row>
    <row r="421">
      <c r="A421" s="115"/>
      <c r="B421" s="115"/>
      <c r="C421" s="115"/>
      <c r="D421" s="115"/>
      <c r="E421" s="193"/>
      <c r="F421" s="115"/>
      <c r="G421" s="115"/>
      <c r="H421" s="115"/>
      <c r="I421" s="115"/>
      <c r="J421" s="115"/>
      <c r="K421" s="194"/>
      <c r="L421" s="20"/>
      <c r="M421" s="139"/>
      <c r="N421" s="139"/>
      <c r="O421" s="139"/>
    </row>
    <row r="422">
      <c r="A422" s="115"/>
      <c r="B422" s="115"/>
      <c r="C422" s="115"/>
      <c r="D422" s="115"/>
      <c r="E422" s="193"/>
      <c r="F422" s="115"/>
      <c r="G422" s="115"/>
      <c r="H422" s="115"/>
      <c r="I422" s="115"/>
      <c r="J422" s="115"/>
      <c r="K422" s="194"/>
      <c r="L422" s="20"/>
      <c r="M422" s="139"/>
      <c r="N422" s="139"/>
      <c r="O422" s="139"/>
    </row>
    <row r="423">
      <c r="A423" s="115"/>
      <c r="B423" s="115"/>
      <c r="C423" s="115"/>
      <c r="D423" s="115"/>
      <c r="E423" s="193"/>
      <c r="F423" s="115"/>
      <c r="G423" s="115"/>
      <c r="H423" s="115"/>
      <c r="I423" s="115"/>
      <c r="J423" s="115"/>
      <c r="K423" s="194"/>
      <c r="L423" s="20"/>
      <c r="M423" s="139"/>
      <c r="N423" s="139"/>
      <c r="O423" s="139"/>
    </row>
    <row r="424">
      <c r="A424" s="115"/>
      <c r="B424" s="115"/>
      <c r="C424" s="115"/>
      <c r="D424" s="115"/>
      <c r="E424" s="193"/>
      <c r="F424" s="115"/>
      <c r="G424" s="115"/>
      <c r="H424" s="115"/>
      <c r="I424" s="115"/>
      <c r="J424" s="115"/>
      <c r="K424" s="194"/>
      <c r="L424" s="20"/>
      <c r="M424" s="139"/>
      <c r="N424" s="139"/>
      <c r="O424" s="139"/>
    </row>
    <row r="425">
      <c r="A425" s="115"/>
      <c r="B425" s="115"/>
      <c r="C425" s="115"/>
      <c r="D425" s="115"/>
      <c r="E425" s="193"/>
      <c r="F425" s="115"/>
      <c r="G425" s="115"/>
      <c r="H425" s="115"/>
      <c r="I425" s="115"/>
      <c r="J425" s="115"/>
      <c r="K425" s="194"/>
      <c r="L425" s="20"/>
      <c r="M425" s="139"/>
      <c r="N425" s="139"/>
      <c r="O425" s="139"/>
    </row>
    <row r="426">
      <c r="A426" s="115"/>
      <c r="B426" s="115"/>
      <c r="C426" s="115"/>
      <c r="D426" s="115"/>
      <c r="E426" s="193"/>
      <c r="F426" s="115"/>
      <c r="G426" s="115"/>
      <c r="H426" s="115"/>
      <c r="I426" s="115"/>
      <c r="J426" s="115"/>
      <c r="K426" s="194"/>
      <c r="L426" s="20"/>
      <c r="M426" s="139"/>
      <c r="N426" s="139"/>
      <c r="O426" s="139"/>
    </row>
    <row r="427">
      <c r="A427" s="115"/>
      <c r="B427" s="115"/>
      <c r="C427" s="115"/>
      <c r="D427" s="115"/>
      <c r="E427" s="193"/>
      <c r="F427" s="115"/>
      <c r="G427" s="115"/>
      <c r="H427" s="115"/>
      <c r="I427" s="115"/>
      <c r="J427" s="115"/>
      <c r="K427" s="194"/>
      <c r="L427" s="20"/>
      <c r="M427" s="139"/>
      <c r="N427" s="139"/>
      <c r="O427" s="139"/>
    </row>
    <row r="428">
      <c r="A428" s="115"/>
      <c r="B428" s="115"/>
      <c r="C428" s="115"/>
      <c r="D428" s="115"/>
      <c r="E428" s="193"/>
      <c r="F428" s="115"/>
      <c r="G428" s="115"/>
      <c r="H428" s="115"/>
      <c r="I428" s="115"/>
      <c r="J428" s="115"/>
      <c r="K428" s="194"/>
      <c r="L428" s="20"/>
      <c r="M428" s="139"/>
      <c r="N428" s="139"/>
      <c r="O428" s="139"/>
    </row>
    <row r="429">
      <c r="A429" s="115"/>
      <c r="B429" s="115"/>
      <c r="C429" s="115"/>
      <c r="D429" s="115"/>
      <c r="E429" s="193"/>
      <c r="F429" s="115"/>
      <c r="G429" s="115"/>
      <c r="H429" s="115"/>
      <c r="I429" s="115"/>
      <c r="J429" s="115"/>
      <c r="K429" s="194"/>
      <c r="L429" s="20"/>
      <c r="M429" s="139"/>
      <c r="N429" s="139"/>
      <c r="O429" s="139"/>
    </row>
    <row r="430">
      <c r="A430" s="115"/>
      <c r="B430" s="115"/>
      <c r="C430" s="115"/>
      <c r="D430" s="115"/>
      <c r="E430" s="193"/>
      <c r="F430" s="115"/>
      <c r="G430" s="115"/>
      <c r="H430" s="115"/>
      <c r="I430" s="115"/>
      <c r="J430" s="115"/>
      <c r="K430" s="194"/>
      <c r="L430" s="20"/>
      <c r="M430" s="139"/>
      <c r="N430" s="139"/>
      <c r="O430" s="139"/>
    </row>
    <row r="431">
      <c r="A431" s="115"/>
      <c r="B431" s="115"/>
      <c r="C431" s="115"/>
      <c r="D431" s="115"/>
      <c r="E431" s="193"/>
      <c r="F431" s="115"/>
      <c r="G431" s="115"/>
      <c r="H431" s="115"/>
      <c r="I431" s="115"/>
      <c r="J431" s="115"/>
      <c r="K431" s="194"/>
      <c r="L431" s="20"/>
      <c r="M431" s="139"/>
      <c r="N431" s="139"/>
      <c r="O431" s="139"/>
    </row>
    <row r="432">
      <c r="A432" s="115"/>
      <c r="B432" s="115"/>
      <c r="C432" s="115"/>
      <c r="D432" s="115"/>
      <c r="E432" s="193"/>
      <c r="F432" s="115"/>
      <c r="G432" s="115"/>
      <c r="H432" s="115"/>
      <c r="I432" s="115"/>
      <c r="J432" s="115"/>
      <c r="K432" s="194"/>
      <c r="L432" s="20"/>
      <c r="M432" s="139"/>
      <c r="N432" s="139"/>
      <c r="O432" s="139"/>
    </row>
    <row r="433">
      <c r="A433" s="115"/>
      <c r="B433" s="115"/>
      <c r="C433" s="115"/>
      <c r="D433" s="115"/>
      <c r="E433" s="193"/>
      <c r="F433" s="115"/>
      <c r="G433" s="115"/>
      <c r="H433" s="115"/>
      <c r="I433" s="115"/>
      <c r="J433" s="115"/>
      <c r="K433" s="194"/>
      <c r="L433" s="20"/>
      <c r="M433" s="139"/>
      <c r="N433" s="139"/>
      <c r="O433" s="139"/>
    </row>
    <row r="434">
      <c r="A434" s="115"/>
      <c r="B434" s="115"/>
      <c r="C434" s="115"/>
      <c r="D434" s="115"/>
      <c r="E434" s="193"/>
      <c r="F434" s="115"/>
      <c r="G434" s="115"/>
      <c r="H434" s="115"/>
      <c r="I434" s="115"/>
      <c r="J434" s="115"/>
      <c r="K434" s="194"/>
      <c r="L434" s="20"/>
      <c r="M434" s="139"/>
      <c r="N434" s="139"/>
      <c r="O434" s="139"/>
    </row>
    <row r="435">
      <c r="A435" s="115"/>
      <c r="B435" s="115"/>
      <c r="C435" s="115"/>
      <c r="D435" s="115"/>
      <c r="E435" s="193"/>
      <c r="F435" s="115"/>
      <c r="G435" s="115"/>
      <c r="H435" s="115"/>
      <c r="I435" s="115"/>
      <c r="J435" s="115"/>
      <c r="K435" s="194"/>
      <c r="L435" s="20"/>
      <c r="M435" s="139"/>
      <c r="N435" s="139"/>
      <c r="O435" s="139"/>
    </row>
    <row r="436">
      <c r="A436" s="115"/>
      <c r="B436" s="115"/>
      <c r="C436" s="115"/>
      <c r="D436" s="115"/>
      <c r="E436" s="193"/>
      <c r="F436" s="115"/>
      <c r="G436" s="115"/>
      <c r="H436" s="115"/>
      <c r="I436" s="115"/>
      <c r="J436" s="115"/>
      <c r="K436" s="194"/>
      <c r="L436" s="20"/>
      <c r="M436" s="139"/>
      <c r="N436" s="139"/>
      <c r="O436" s="139"/>
    </row>
    <row r="437">
      <c r="A437" s="115"/>
      <c r="B437" s="115"/>
      <c r="C437" s="115"/>
      <c r="D437" s="115"/>
      <c r="E437" s="193"/>
      <c r="F437" s="115"/>
      <c r="G437" s="115"/>
      <c r="H437" s="115"/>
      <c r="I437" s="115"/>
      <c r="J437" s="115"/>
      <c r="K437" s="194"/>
      <c r="L437" s="20"/>
      <c r="M437" s="139"/>
      <c r="N437" s="139"/>
      <c r="O437" s="139"/>
    </row>
    <row r="438">
      <c r="A438" s="115"/>
      <c r="B438" s="115"/>
      <c r="C438" s="115"/>
      <c r="D438" s="115"/>
      <c r="E438" s="193"/>
      <c r="F438" s="115"/>
      <c r="G438" s="115"/>
      <c r="H438" s="115"/>
      <c r="I438" s="115"/>
      <c r="J438" s="115"/>
      <c r="K438" s="194"/>
      <c r="L438" s="20"/>
      <c r="M438" s="139"/>
      <c r="N438" s="139"/>
      <c r="O438" s="139"/>
    </row>
    <row r="439">
      <c r="A439" s="115"/>
      <c r="B439" s="115"/>
      <c r="C439" s="115"/>
      <c r="D439" s="115"/>
      <c r="E439" s="193"/>
      <c r="F439" s="115"/>
      <c r="G439" s="115"/>
      <c r="H439" s="115"/>
      <c r="I439" s="115"/>
      <c r="J439" s="115"/>
      <c r="K439" s="194"/>
      <c r="L439" s="20"/>
      <c r="M439" s="139"/>
      <c r="N439" s="139"/>
      <c r="O439" s="139"/>
    </row>
    <row r="440">
      <c r="A440" s="115"/>
      <c r="B440" s="115"/>
      <c r="C440" s="115"/>
      <c r="D440" s="115"/>
      <c r="E440" s="193"/>
      <c r="F440" s="115"/>
      <c r="G440" s="115"/>
      <c r="H440" s="115"/>
      <c r="I440" s="115"/>
      <c r="J440" s="115"/>
      <c r="K440" s="194"/>
      <c r="L440" s="20"/>
      <c r="M440" s="139"/>
      <c r="N440" s="139"/>
      <c r="O440" s="139"/>
    </row>
    <row r="441">
      <c r="A441" s="115"/>
      <c r="B441" s="115"/>
      <c r="C441" s="115"/>
      <c r="D441" s="115"/>
      <c r="E441" s="193"/>
      <c r="F441" s="115"/>
      <c r="G441" s="115"/>
      <c r="H441" s="115"/>
      <c r="I441" s="115"/>
      <c r="J441" s="115"/>
      <c r="K441" s="194"/>
      <c r="L441" s="20"/>
      <c r="M441" s="139"/>
      <c r="N441" s="139"/>
      <c r="O441" s="139"/>
    </row>
    <row r="442">
      <c r="A442" s="115"/>
      <c r="B442" s="115"/>
      <c r="C442" s="115"/>
      <c r="D442" s="115"/>
      <c r="E442" s="193"/>
      <c r="F442" s="115"/>
      <c r="G442" s="115"/>
      <c r="H442" s="115"/>
      <c r="I442" s="115"/>
      <c r="J442" s="115"/>
      <c r="K442" s="194"/>
      <c r="L442" s="20"/>
      <c r="M442" s="139"/>
      <c r="N442" s="139"/>
      <c r="O442" s="139"/>
    </row>
    <row r="443">
      <c r="A443" s="115"/>
      <c r="B443" s="115"/>
      <c r="C443" s="115"/>
      <c r="D443" s="115"/>
      <c r="E443" s="193"/>
      <c r="F443" s="115"/>
      <c r="G443" s="115"/>
      <c r="H443" s="115"/>
      <c r="I443" s="115"/>
      <c r="J443" s="115"/>
      <c r="K443" s="194"/>
      <c r="L443" s="20"/>
      <c r="M443" s="139"/>
      <c r="N443" s="139"/>
      <c r="O443" s="139"/>
    </row>
    <row r="444">
      <c r="A444" s="115"/>
      <c r="B444" s="115"/>
      <c r="C444" s="115"/>
      <c r="D444" s="115"/>
      <c r="E444" s="193"/>
      <c r="F444" s="115"/>
      <c r="G444" s="115"/>
      <c r="H444" s="115"/>
      <c r="I444" s="115"/>
      <c r="J444" s="115"/>
      <c r="K444" s="194"/>
      <c r="L444" s="20"/>
      <c r="M444" s="139"/>
      <c r="N444" s="139"/>
      <c r="O444" s="139"/>
    </row>
    <row r="445">
      <c r="A445" s="115"/>
      <c r="B445" s="115"/>
      <c r="C445" s="115"/>
      <c r="D445" s="115"/>
      <c r="E445" s="193"/>
      <c r="F445" s="115"/>
      <c r="G445" s="115"/>
      <c r="H445" s="115"/>
      <c r="I445" s="115"/>
      <c r="J445" s="115"/>
      <c r="K445" s="194"/>
      <c r="L445" s="20"/>
      <c r="M445" s="139"/>
      <c r="N445" s="139"/>
      <c r="O445" s="139"/>
    </row>
    <row r="446">
      <c r="A446" s="115"/>
      <c r="B446" s="115"/>
      <c r="C446" s="115"/>
      <c r="D446" s="115"/>
      <c r="E446" s="193"/>
      <c r="F446" s="115"/>
      <c r="G446" s="115"/>
      <c r="H446" s="115"/>
      <c r="I446" s="115"/>
      <c r="J446" s="115"/>
      <c r="K446" s="194"/>
      <c r="L446" s="20"/>
      <c r="M446" s="139"/>
      <c r="N446" s="139"/>
      <c r="O446" s="139"/>
    </row>
    <row r="447">
      <c r="A447" s="115"/>
      <c r="B447" s="115"/>
      <c r="C447" s="115"/>
      <c r="D447" s="115"/>
      <c r="E447" s="193"/>
      <c r="F447" s="115"/>
      <c r="G447" s="115"/>
      <c r="H447" s="115"/>
      <c r="I447" s="115"/>
      <c r="J447" s="115"/>
      <c r="K447" s="194"/>
      <c r="L447" s="20"/>
      <c r="M447" s="139"/>
      <c r="N447" s="139"/>
      <c r="O447" s="139"/>
    </row>
    <row r="448">
      <c r="A448" s="115"/>
      <c r="B448" s="115"/>
      <c r="C448" s="115"/>
      <c r="D448" s="115"/>
      <c r="E448" s="193"/>
      <c r="F448" s="115"/>
      <c r="G448" s="115"/>
      <c r="H448" s="115"/>
      <c r="I448" s="115"/>
      <c r="J448" s="115"/>
      <c r="K448" s="194"/>
      <c r="L448" s="20"/>
      <c r="M448" s="139"/>
      <c r="N448" s="139"/>
      <c r="O448" s="139"/>
    </row>
    <row r="449">
      <c r="A449" s="115"/>
      <c r="B449" s="115"/>
      <c r="C449" s="115"/>
      <c r="D449" s="115"/>
      <c r="E449" s="193"/>
      <c r="F449" s="115"/>
      <c r="G449" s="115"/>
      <c r="H449" s="115"/>
      <c r="I449" s="115"/>
      <c r="J449" s="115"/>
      <c r="K449" s="194"/>
      <c r="L449" s="20"/>
      <c r="M449" s="139"/>
      <c r="N449" s="139"/>
      <c r="O449" s="139"/>
    </row>
    <row r="450">
      <c r="A450" s="115"/>
      <c r="B450" s="115"/>
      <c r="C450" s="115"/>
      <c r="D450" s="115"/>
      <c r="E450" s="193"/>
      <c r="F450" s="115"/>
      <c r="G450" s="115"/>
      <c r="H450" s="115"/>
      <c r="I450" s="115"/>
      <c r="J450" s="115"/>
      <c r="K450" s="194"/>
      <c r="L450" s="20"/>
      <c r="M450" s="139"/>
      <c r="N450" s="139"/>
      <c r="O450" s="139"/>
    </row>
    <row r="451">
      <c r="A451" s="115"/>
      <c r="B451" s="115"/>
      <c r="C451" s="115"/>
      <c r="D451" s="115"/>
      <c r="E451" s="193"/>
      <c r="F451" s="115"/>
      <c r="G451" s="115"/>
      <c r="H451" s="115"/>
      <c r="I451" s="115"/>
      <c r="J451" s="115"/>
      <c r="K451" s="194"/>
      <c r="L451" s="20"/>
      <c r="M451" s="139"/>
      <c r="N451" s="139"/>
      <c r="O451" s="139"/>
    </row>
    <row r="452">
      <c r="A452" s="115"/>
      <c r="B452" s="115"/>
      <c r="C452" s="115"/>
      <c r="D452" s="115"/>
      <c r="E452" s="193"/>
      <c r="F452" s="115"/>
      <c r="G452" s="115"/>
      <c r="H452" s="115"/>
      <c r="I452" s="115"/>
      <c r="J452" s="115"/>
      <c r="K452" s="194"/>
      <c r="L452" s="20"/>
      <c r="M452" s="139"/>
      <c r="N452" s="139"/>
      <c r="O452" s="139"/>
    </row>
    <row r="453">
      <c r="A453" s="115"/>
      <c r="B453" s="115"/>
      <c r="C453" s="115"/>
      <c r="D453" s="115"/>
      <c r="E453" s="193"/>
      <c r="F453" s="115"/>
      <c r="G453" s="115"/>
      <c r="H453" s="115"/>
      <c r="I453" s="115"/>
      <c r="J453" s="115"/>
      <c r="K453" s="194"/>
      <c r="L453" s="20"/>
      <c r="M453" s="139"/>
      <c r="N453" s="139"/>
      <c r="O453" s="139"/>
    </row>
    <row r="454">
      <c r="A454" s="115"/>
      <c r="B454" s="115"/>
      <c r="C454" s="115"/>
      <c r="D454" s="115"/>
      <c r="E454" s="193"/>
      <c r="F454" s="115"/>
      <c r="G454" s="115"/>
      <c r="H454" s="115"/>
      <c r="I454" s="115"/>
      <c r="J454" s="115"/>
      <c r="K454" s="194"/>
      <c r="L454" s="20"/>
      <c r="M454" s="139"/>
      <c r="N454" s="139"/>
      <c r="O454" s="139"/>
    </row>
    <row r="455">
      <c r="A455" s="115"/>
      <c r="B455" s="115"/>
      <c r="C455" s="115"/>
      <c r="D455" s="115"/>
      <c r="E455" s="193"/>
      <c r="F455" s="115"/>
      <c r="G455" s="115"/>
      <c r="H455" s="115"/>
      <c r="I455" s="115"/>
      <c r="J455" s="115"/>
      <c r="K455" s="194"/>
      <c r="L455" s="20"/>
      <c r="M455" s="139"/>
      <c r="N455" s="139"/>
      <c r="O455" s="139"/>
    </row>
    <row r="456">
      <c r="A456" s="115"/>
      <c r="B456" s="115"/>
      <c r="C456" s="115"/>
      <c r="D456" s="115"/>
      <c r="E456" s="193"/>
      <c r="F456" s="115"/>
      <c r="G456" s="115"/>
      <c r="H456" s="115"/>
      <c r="I456" s="115"/>
      <c r="J456" s="115"/>
      <c r="K456" s="194"/>
      <c r="L456" s="20"/>
      <c r="M456" s="139"/>
      <c r="N456" s="139"/>
      <c r="O456" s="139"/>
    </row>
    <row r="457">
      <c r="A457" s="115"/>
      <c r="B457" s="115"/>
      <c r="C457" s="115"/>
      <c r="D457" s="115"/>
      <c r="E457" s="193"/>
      <c r="F457" s="115"/>
      <c r="G457" s="115"/>
      <c r="H457" s="115"/>
      <c r="I457" s="115"/>
      <c r="J457" s="115"/>
      <c r="K457" s="194"/>
      <c r="L457" s="20"/>
      <c r="M457" s="139"/>
      <c r="N457" s="139"/>
      <c r="O457" s="139"/>
    </row>
    <row r="458">
      <c r="A458" s="115"/>
      <c r="B458" s="115"/>
      <c r="C458" s="115"/>
      <c r="D458" s="115"/>
      <c r="E458" s="193"/>
      <c r="F458" s="115"/>
      <c r="G458" s="115"/>
      <c r="H458" s="115"/>
      <c r="I458" s="115"/>
      <c r="J458" s="115"/>
      <c r="K458" s="194"/>
      <c r="L458" s="20"/>
      <c r="M458" s="139"/>
      <c r="N458" s="139"/>
      <c r="O458" s="139"/>
    </row>
    <row r="459">
      <c r="A459" s="115"/>
      <c r="B459" s="115"/>
      <c r="C459" s="115"/>
      <c r="D459" s="115"/>
      <c r="E459" s="193"/>
      <c r="F459" s="115"/>
      <c r="G459" s="115"/>
      <c r="H459" s="115"/>
      <c r="I459" s="115"/>
      <c r="J459" s="115"/>
      <c r="K459" s="194"/>
      <c r="L459" s="20"/>
      <c r="M459" s="139"/>
      <c r="N459" s="139"/>
      <c r="O459" s="139"/>
    </row>
    <row r="460">
      <c r="A460" s="115"/>
      <c r="B460" s="115"/>
      <c r="C460" s="115"/>
      <c r="D460" s="115"/>
      <c r="E460" s="193"/>
      <c r="F460" s="115"/>
      <c r="G460" s="115"/>
      <c r="H460" s="115"/>
      <c r="I460" s="115"/>
      <c r="J460" s="115"/>
      <c r="K460" s="194"/>
      <c r="L460" s="20"/>
      <c r="M460" s="139"/>
      <c r="N460" s="139"/>
      <c r="O460" s="139"/>
    </row>
    <row r="461">
      <c r="A461" s="115"/>
      <c r="B461" s="115"/>
      <c r="C461" s="115"/>
      <c r="D461" s="115"/>
      <c r="E461" s="193"/>
      <c r="F461" s="115"/>
      <c r="G461" s="115"/>
      <c r="H461" s="115"/>
      <c r="I461" s="115"/>
      <c r="J461" s="115"/>
      <c r="K461" s="194"/>
      <c r="L461" s="20"/>
      <c r="M461" s="139"/>
      <c r="N461" s="139"/>
      <c r="O461" s="139"/>
    </row>
    <row r="462">
      <c r="A462" s="115"/>
      <c r="B462" s="115"/>
      <c r="C462" s="115"/>
      <c r="D462" s="115"/>
      <c r="E462" s="193"/>
      <c r="F462" s="115"/>
      <c r="G462" s="115"/>
      <c r="H462" s="115"/>
      <c r="I462" s="115"/>
      <c r="J462" s="115"/>
      <c r="K462" s="194"/>
      <c r="L462" s="20"/>
      <c r="M462" s="139"/>
      <c r="N462" s="139"/>
      <c r="O462" s="139"/>
    </row>
    <row r="463">
      <c r="A463" s="115"/>
      <c r="B463" s="115"/>
      <c r="C463" s="115"/>
      <c r="D463" s="115"/>
      <c r="E463" s="193"/>
      <c r="F463" s="115"/>
      <c r="G463" s="115"/>
      <c r="H463" s="115"/>
      <c r="I463" s="115"/>
      <c r="J463" s="115"/>
      <c r="K463" s="194"/>
      <c r="L463" s="20"/>
      <c r="M463" s="139"/>
      <c r="N463" s="139"/>
      <c r="O463" s="139"/>
    </row>
    <row r="464">
      <c r="A464" s="115"/>
      <c r="B464" s="115"/>
      <c r="C464" s="115"/>
      <c r="D464" s="115"/>
      <c r="E464" s="193"/>
      <c r="F464" s="115"/>
      <c r="G464" s="115"/>
      <c r="H464" s="115"/>
      <c r="I464" s="115"/>
      <c r="J464" s="115"/>
      <c r="K464" s="194"/>
      <c r="L464" s="20"/>
      <c r="M464" s="139"/>
      <c r="N464" s="139"/>
      <c r="O464" s="139"/>
    </row>
    <row r="465">
      <c r="A465" s="115"/>
      <c r="B465" s="115"/>
      <c r="C465" s="115"/>
      <c r="D465" s="115"/>
      <c r="E465" s="193"/>
      <c r="F465" s="115"/>
      <c r="G465" s="115"/>
      <c r="H465" s="115"/>
      <c r="I465" s="115"/>
      <c r="J465" s="115"/>
      <c r="K465" s="194"/>
      <c r="L465" s="20"/>
      <c r="M465" s="139"/>
      <c r="N465" s="139"/>
      <c r="O465" s="139"/>
    </row>
    <row r="466">
      <c r="A466" s="115"/>
      <c r="B466" s="115"/>
      <c r="C466" s="115"/>
      <c r="D466" s="115"/>
      <c r="E466" s="193"/>
      <c r="F466" s="115"/>
      <c r="G466" s="115"/>
      <c r="H466" s="115"/>
      <c r="I466" s="115"/>
      <c r="J466" s="115"/>
      <c r="K466" s="194"/>
      <c r="L466" s="20"/>
      <c r="M466" s="139"/>
      <c r="N466" s="139"/>
      <c r="O466" s="139"/>
    </row>
    <row r="467">
      <c r="A467" s="115"/>
      <c r="B467" s="115"/>
      <c r="C467" s="115"/>
      <c r="D467" s="115"/>
      <c r="E467" s="193"/>
      <c r="F467" s="115"/>
      <c r="G467" s="115"/>
      <c r="H467" s="115"/>
      <c r="I467" s="115"/>
      <c r="J467" s="115"/>
      <c r="K467" s="194"/>
      <c r="L467" s="20"/>
      <c r="M467" s="139"/>
      <c r="N467" s="139"/>
      <c r="O467" s="139"/>
    </row>
    <row r="468">
      <c r="A468" s="115"/>
      <c r="B468" s="115"/>
      <c r="C468" s="115"/>
      <c r="D468" s="115"/>
      <c r="E468" s="193"/>
      <c r="F468" s="115"/>
      <c r="G468" s="115"/>
      <c r="H468" s="115"/>
      <c r="I468" s="115"/>
      <c r="J468" s="115"/>
      <c r="K468" s="194"/>
      <c r="L468" s="20"/>
      <c r="M468" s="139"/>
      <c r="N468" s="139"/>
      <c r="O468" s="139"/>
    </row>
    <row r="469">
      <c r="A469" s="115"/>
      <c r="B469" s="115"/>
      <c r="C469" s="115"/>
      <c r="D469" s="115"/>
      <c r="E469" s="193"/>
      <c r="F469" s="115"/>
      <c r="G469" s="115"/>
      <c r="H469" s="115"/>
      <c r="I469" s="115"/>
      <c r="J469" s="115"/>
      <c r="K469" s="194"/>
      <c r="L469" s="20"/>
      <c r="M469" s="139"/>
      <c r="N469" s="139"/>
      <c r="O469" s="139"/>
    </row>
    <row r="470">
      <c r="A470" s="115"/>
      <c r="B470" s="115"/>
      <c r="C470" s="115"/>
      <c r="D470" s="115"/>
      <c r="E470" s="193"/>
      <c r="F470" s="115"/>
      <c r="G470" s="115"/>
      <c r="H470" s="115"/>
      <c r="I470" s="115"/>
      <c r="J470" s="115"/>
      <c r="K470" s="194"/>
      <c r="L470" s="20"/>
      <c r="M470" s="139"/>
      <c r="N470" s="139"/>
      <c r="O470" s="139"/>
    </row>
    <row r="471">
      <c r="A471" s="115"/>
      <c r="B471" s="115"/>
      <c r="C471" s="115"/>
      <c r="D471" s="115"/>
      <c r="E471" s="193"/>
      <c r="F471" s="115"/>
      <c r="G471" s="115"/>
      <c r="H471" s="115"/>
      <c r="I471" s="115"/>
      <c r="J471" s="115"/>
      <c r="K471" s="194"/>
      <c r="L471" s="20"/>
      <c r="M471" s="139"/>
      <c r="N471" s="139"/>
      <c r="O471" s="139"/>
    </row>
    <row r="472">
      <c r="A472" s="115"/>
      <c r="B472" s="115"/>
      <c r="C472" s="115"/>
      <c r="D472" s="115"/>
      <c r="E472" s="193"/>
      <c r="F472" s="115"/>
      <c r="G472" s="115"/>
      <c r="H472" s="115"/>
      <c r="I472" s="115"/>
      <c r="J472" s="115"/>
      <c r="K472" s="194"/>
      <c r="L472" s="20"/>
      <c r="M472" s="139"/>
      <c r="N472" s="139"/>
      <c r="O472" s="139"/>
    </row>
    <row r="473">
      <c r="A473" s="115"/>
      <c r="B473" s="115"/>
      <c r="C473" s="115"/>
      <c r="D473" s="115"/>
      <c r="E473" s="193"/>
      <c r="F473" s="115"/>
      <c r="G473" s="115"/>
      <c r="H473" s="115"/>
      <c r="I473" s="115"/>
      <c r="J473" s="115"/>
      <c r="K473" s="194"/>
      <c r="L473" s="20"/>
      <c r="M473" s="139"/>
      <c r="N473" s="139"/>
      <c r="O473" s="139"/>
    </row>
    <row r="474">
      <c r="A474" s="115"/>
      <c r="B474" s="115"/>
      <c r="C474" s="115"/>
      <c r="D474" s="115"/>
      <c r="E474" s="193"/>
      <c r="F474" s="115"/>
      <c r="G474" s="115"/>
      <c r="H474" s="115"/>
      <c r="I474" s="115"/>
      <c r="J474" s="115"/>
      <c r="K474" s="194"/>
      <c r="L474" s="20"/>
      <c r="M474" s="139"/>
      <c r="N474" s="139"/>
      <c r="O474" s="139"/>
    </row>
    <row r="475">
      <c r="A475" s="115"/>
      <c r="B475" s="115"/>
      <c r="C475" s="115"/>
      <c r="D475" s="115"/>
      <c r="E475" s="193"/>
      <c r="F475" s="115"/>
      <c r="G475" s="115"/>
      <c r="H475" s="115"/>
      <c r="I475" s="115"/>
      <c r="J475" s="115"/>
      <c r="K475" s="194"/>
      <c r="L475" s="20"/>
      <c r="M475" s="139"/>
      <c r="N475" s="139"/>
      <c r="O475" s="139"/>
    </row>
    <row r="476">
      <c r="A476" s="115"/>
      <c r="B476" s="115"/>
      <c r="C476" s="115"/>
      <c r="D476" s="115"/>
      <c r="E476" s="193"/>
      <c r="F476" s="115"/>
      <c r="G476" s="115"/>
      <c r="H476" s="115"/>
      <c r="I476" s="115"/>
      <c r="J476" s="115"/>
      <c r="K476" s="194"/>
      <c r="L476" s="20"/>
      <c r="M476" s="139"/>
      <c r="N476" s="139"/>
      <c r="O476" s="139"/>
    </row>
    <row r="477">
      <c r="A477" s="115"/>
      <c r="B477" s="115"/>
      <c r="C477" s="115"/>
      <c r="D477" s="115"/>
      <c r="E477" s="193"/>
      <c r="F477" s="115"/>
      <c r="G477" s="115"/>
      <c r="H477" s="115"/>
      <c r="I477" s="115"/>
      <c r="J477" s="115"/>
      <c r="K477" s="194"/>
      <c r="L477" s="20"/>
      <c r="M477" s="139"/>
      <c r="N477" s="139"/>
      <c r="O477" s="139"/>
    </row>
    <row r="478">
      <c r="A478" s="115"/>
      <c r="B478" s="115"/>
      <c r="C478" s="115"/>
      <c r="D478" s="115"/>
      <c r="E478" s="193"/>
      <c r="F478" s="115"/>
      <c r="G478" s="115"/>
      <c r="H478" s="115"/>
      <c r="I478" s="115"/>
      <c r="J478" s="115"/>
      <c r="K478" s="194"/>
      <c r="L478" s="20"/>
      <c r="M478" s="139"/>
      <c r="N478" s="139"/>
      <c r="O478" s="139"/>
    </row>
    <row r="479">
      <c r="A479" s="115"/>
      <c r="B479" s="115"/>
      <c r="C479" s="115"/>
      <c r="D479" s="115"/>
      <c r="E479" s="193"/>
      <c r="F479" s="115"/>
      <c r="G479" s="115"/>
      <c r="H479" s="115"/>
      <c r="I479" s="115"/>
      <c r="J479" s="115"/>
      <c r="K479" s="194"/>
      <c r="L479" s="20"/>
      <c r="M479" s="139"/>
      <c r="N479" s="139"/>
      <c r="O479" s="139"/>
    </row>
    <row r="480">
      <c r="A480" s="115"/>
      <c r="B480" s="115"/>
      <c r="C480" s="115"/>
      <c r="D480" s="115"/>
      <c r="E480" s="193"/>
      <c r="F480" s="115"/>
      <c r="G480" s="115"/>
      <c r="H480" s="115"/>
      <c r="I480" s="115"/>
      <c r="J480" s="115"/>
      <c r="K480" s="194"/>
      <c r="L480" s="20"/>
      <c r="M480" s="139"/>
      <c r="N480" s="139"/>
      <c r="O480" s="139"/>
    </row>
    <row r="481">
      <c r="A481" s="115"/>
      <c r="B481" s="115"/>
      <c r="C481" s="115"/>
      <c r="D481" s="115"/>
      <c r="E481" s="193"/>
      <c r="F481" s="115"/>
      <c r="G481" s="115"/>
      <c r="H481" s="115"/>
      <c r="I481" s="115"/>
      <c r="J481" s="115"/>
      <c r="K481" s="194"/>
      <c r="L481" s="20"/>
      <c r="M481" s="139"/>
      <c r="N481" s="139"/>
      <c r="O481" s="139"/>
    </row>
    <row r="482">
      <c r="A482" s="115"/>
      <c r="B482" s="115"/>
      <c r="C482" s="115"/>
      <c r="D482" s="115"/>
      <c r="E482" s="193"/>
      <c r="F482" s="115"/>
      <c r="G482" s="115"/>
      <c r="H482" s="115"/>
      <c r="I482" s="115"/>
      <c r="J482" s="115"/>
      <c r="K482" s="194"/>
      <c r="L482" s="20"/>
      <c r="M482" s="139"/>
      <c r="N482" s="139"/>
      <c r="O482" s="139"/>
    </row>
    <row r="483">
      <c r="A483" s="115"/>
      <c r="B483" s="115"/>
      <c r="C483" s="115"/>
      <c r="D483" s="115"/>
      <c r="E483" s="193"/>
      <c r="F483" s="115"/>
      <c r="G483" s="115"/>
      <c r="H483" s="115"/>
      <c r="I483" s="115"/>
      <c r="J483" s="115"/>
      <c r="K483" s="194"/>
      <c r="L483" s="20"/>
      <c r="M483" s="139"/>
      <c r="N483" s="139"/>
      <c r="O483" s="139"/>
    </row>
    <row r="484">
      <c r="A484" s="115"/>
      <c r="B484" s="115"/>
      <c r="C484" s="115"/>
      <c r="D484" s="115"/>
      <c r="E484" s="193"/>
      <c r="F484" s="115"/>
      <c r="G484" s="115"/>
      <c r="H484" s="115"/>
      <c r="I484" s="115"/>
      <c r="J484" s="115"/>
      <c r="K484" s="194"/>
      <c r="L484" s="20"/>
      <c r="M484" s="139"/>
      <c r="N484" s="139"/>
      <c r="O484" s="139"/>
    </row>
    <row r="485">
      <c r="A485" s="115"/>
      <c r="B485" s="115"/>
      <c r="C485" s="115"/>
      <c r="D485" s="115"/>
      <c r="E485" s="193"/>
      <c r="F485" s="115"/>
      <c r="G485" s="115"/>
      <c r="H485" s="115"/>
      <c r="I485" s="115"/>
      <c r="J485" s="115"/>
      <c r="K485" s="194"/>
      <c r="L485" s="20"/>
      <c r="M485" s="139"/>
      <c r="N485" s="139"/>
      <c r="O485" s="139"/>
    </row>
    <row r="486">
      <c r="A486" s="115"/>
      <c r="B486" s="115"/>
      <c r="C486" s="115"/>
      <c r="D486" s="115"/>
      <c r="E486" s="193"/>
      <c r="F486" s="115"/>
      <c r="G486" s="115"/>
      <c r="H486" s="115"/>
      <c r="I486" s="115"/>
      <c r="J486" s="115"/>
      <c r="K486" s="194"/>
      <c r="L486" s="20"/>
      <c r="M486" s="139"/>
      <c r="N486" s="139"/>
      <c r="O486" s="139"/>
    </row>
    <row r="487">
      <c r="A487" s="115"/>
      <c r="B487" s="115"/>
      <c r="C487" s="115"/>
      <c r="D487" s="115"/>
      <c r="E487" s="193"/>
      <c r="F487" s="115"/>
      <c r="G487" s="115"/>
      <c r="H487" s="115"/>
      <c r="I487" s="115"/>
      <c r="J487" s="115"/>
      <c r="K487" s="194"/>
      <c r="L487" s="20"/>
      <c r="M487" s="139"/>
      <c r="N487" s="139"/>
      <c r="O487" s="139"/>
    </row>
    <row r="488">
      <c r="A488" s="115"/>
      <c r="B488" s="115"/>
      <c r="C488" s="115"/>
      <c r="D488" s="115"/>
      <c r="E488" s="193"/>
      <c r="F488" s="115"/>
      <c r="G488" s="115"/>
      <c r="H488" s="115"/>
      <c r="I488" s="115"/>
      <c r="J488" s="115"/>
      <c r="K488" s="194"/>
      <c r="L488" s="20"/>
      <c r="M488" s="139"/>
      <c r="N488" s="139"/>
      <c r="O488" s="139"/>
    </row>
    <row r="489">
      <c r="A489" s="115"/>
      <c r="B489" s="115"/>
      <c r="C489" s="115"/>
      <c r="D489" s="115"/>
      <c r="E489" s="193"/>
      <c r="F489" s="115"/>
      <c r="G489" s="115"/>
      <c r="H489" s="115"/>
      <c r="I489" s="115"/>
      <c r="J489" s="115"/>
      <c r="K489" s="194"/>
      <c r="L489" s="20"/>
      <c r="M489" s="139"/>
      <c r="N489" s="139"/>
      <c r="O489" s="139"/>
    </row>
    <row r="490">
      <c r="A490" s="115"/>
      <c r="B490" s="115"/>
      <c r="C490" s="115"/>
      <c r="D490" s="115"/>
      <c r="E490" s="193"/>
      <c r="F490" s="115"/>
      <c r="G490" s="115"/>
      <c r="H490" s="115"/>
      <c r="I490" s="115"/>
      <c r="J490" s="115"/>
      <c r="K490" s="194"/>
      <c r="L490" s="20"/>
      <c r="M490" s="139"/>
      <c r="N490" s="139"/>
      <c r="O490" s="139"/>
    </row>
    <row r="491">
      <c r="A491" s="115"/>
      <c r="B491" s="115"/>
      <c r="C491" s="115"/>
      <c r="D491" s="115"/>
      <c r="E491" s="193"/>
      <c r="F491" s="115"/>
      <c r="G491" s="115"/>
      <c r="H491" s="115"/>
      <c r="I491" s="115"/>
      <c r="J491" s="115"/>
      <c r="K491" s="194"/>
      <c r="L491" s="20"/>
      <c r="M491" s="139"/>
      <c r="N491" s="139"/>
      <c r="O491" s="139"/>
    </row>
    <row r="492">
      <c r="A492" s="115"/>
      <c r="B492" s="115"/>
      <c r="C492" s="115"/>
      <c r="D492" s="115"/>
      <c r="E492" s="193"/>
      <c r="F492" s="115"/>
      <c r="G492" s="115"/>
      <c r="H492" s="115"/>
      <c r="I492" s="115"/>
      <c r="J492" s="115"/>
      <c r="K492" s="194"/>
      <c r="L492" s="20"/>
      <c r="M492" s="139"/>
      <c r="N492" s="139"/>
      <c r="O492" s="139"/>
    </row>
    <row r="493">
      <c r="A493" s="115"/>
      <c r="B493" s="115"/>
      <c r="C493" s="115"/>
      <c r="D493" s="115"/>
      <c r="E493" s="193"/>
      <c r="F493" s="115"/>
      <c r="G493" s="115"/>
      <c r="H493" s="115"/>
      <c r="I493" s="115"/>
      <c r="J493" s="115"/>
      <c r="K493" s="194"/>
      <c r="L493" s="20"/>
      <c r="M493" s="139"/>
      <c r="N493" s="139"/>
      <c r="O493" s="139"/>
    </row>
    <row r="494">
      <c r="A494" s="115"/>
      <c r="B494" s="115"/>
      <c r="C494" s="115"/>
      <c r="D494" s="115"/>
      <c r="E494" s="193"/>
      <c r="F494" s="115"/>
      <c r="G494" s="115"/>
      <c r="H494" s="115"/>
      <c r="I494" s="115"/>
      <c r="J494" s="115"/>
      <c r="K494" s="194"/>
      <c r="L494" s="20"/>
      <c r="M494" s="139"/>
      <c r="N494" s="139"/>
      <c r="O494" s="139"/>
    </row>
    <row r="495">
      <c r="A495" s="115"/>
      <c r="B495" s="115"/>
      <c r="C495" s="115"/>
      <c r="D495" s="115"/>
      <c r="E495" s="193"/>
      <c r="F495" s="115"/>
      <c r="G495" s="115"/>
      <c r="H495" s="115"/>
      <c r="I495" s="115"/>
      <c r="J495" s="115"/>
      <c r="K495" s="194"/>
      <c r="L495" s="20"/>
      <c r="M495" s="139"/>
      <c r="N495" s="139"/>
      <c r="O495" s="139"/>
    </row>
    <row r="496">
      <c r="A496" s="115"/>
      <c r="B496" s="115"/>
      <c r="C496" s="115"/>
      <c r="D496" s="115"/>
      <c r="E496" s="193"/>
      <c r="F496" s="115"/>
      <c r="G496" s="115"/>
      <c r="H496" s="115"/>
      <c r="I496" s="115"/>
      <c r="J496" s="115"/>
      <c r="K496" s="194"/>
      <c r="L496" s="20"/>
      <c r="M496" s="139"/>
      <c r="N496" s="139"/>
      <c r="O496" s="139"/>
    </row>
    <row r="497">
      <c r="A497" s="115"/>
      <c r="B497" s="115"/>
      <c r="C497" s="115"/>
      <c r="D497" s="115"/>
      <c r="E497" s="193"/>
      <c r="F497" s="115"/>
      <c r="G497" s="115"/>
      <c r="H497" s="115"/>
      <c r="I497" s="115"/>
      <c r="J497" s="115"/>
      <c r="K497" s="194"/>
      <c r="L497" s="20"/>
      <c r="M497" s="139"/>
      <c r="N497" s="139"/>
      <c r="O497" s="139"/>
    </row>
    <row r="498">
      <c r="A498" s="115"/>
      <c r="B498" s="115"/>
      <c r="C498" s="115"/>
      <c r="D498" s="115"/>
      <c r="E498" s="193"/>
      <c r="F498" s="115"/>
      <c r="G498" s="115"/>
      <c r="H498" s="115"/>
      <c r="I498" s="115"/>
      <c r="J498" s="115"/>
      <c r="K498" s="194"/>
      <c r="L498" s="20"/>
      <c r="M498" s="139"/>
      <c r="N498" s="139"/>
      <c r="O498" s="139"/>
    </row>
    <row r="499">
      <c r="A499" s="115"/>
      <c r="B499" s="115"/>
      <c r="C499" s="115"/>
      <c r="D499" s="115"/>
      <c r="E499" s="193"/>
      <c r="F499" s="115"/>
      <c r="G499" s="115"/>
      <c r="H499" s="115"/>
      <c r="I499" s="115"/>
      <c r="J499" s="115"/>
      <c r="K499" s="194"/>
      <c r="L499" s="20"/>
      <c r="M499" s="139"/>
      <c r="N499" s="139"/>
      <c r="O499" s="139"/>
    </row>
    <row r="500">
      <c r="A500" s="115"/>
      <c r="B500" s="115"/>
      <c r="C500" s="115"/>
      <c r="D500" s="115"/>
      <c r="E500" s="193"/>
      <c r="F500" s="115"/>
      <c r="G500" s="115"/>
      <c r="H500" s="115"/>
      <c r="I500" s="115"/>
      <c r="J500" s="115"/>
      <c r="K500" s="194"/>
      <c r="L500" s="20"/>
      <c r="M500" s="139"/>
      <c r="N500" s="139"/>
      <c r="O500" s="139"/>
    </row>
    <row r="501">
      <c r="A501" s="115"/>
      <c r="B501" s="115"/>
      <c r="C501" s="115"/>
      <c r="D501" s="115"/>
      <c r="E501" s="193"/>
      <c r="F501" s="115"/>
      <c r="G501" s="115"/>
      <c r="H501" s="115"/>
      <c r="I501" s="115"/>
      <c r="J501" s="115"/>
      <c r="K501" s="194"/>
      <c r="L501" s="20"/>
      <c r="M501" s="139"/>
      <c r="N501" s="139"/>
      <c r="O501" s="139"/>
    </row>
    <row r="502">
      <c r="A502" s="115"/>
      <c r="B502" s="115"/>
      <c r="C502" s="115"/>
      <c r="D502" s="115"/>
      <c r="E502" s="193"/>
      <c r="F502" s="115"/>
      <c r="G502" s="115"/>
      <c r="H502" s="115"/>
      <c r="I502" s="115"/>
      <c r="J502" s="115"/>
      <c r="K502" s="194"/>
      <c r="L502" s="20"/>
      <c r="M502" s="139"/>
      <c r="N502" s="139"/>
      <c r="O502" s="139"/>
    </row>
    <row r="503">
      <c r="A503" s="115"/>
      <c r="B503" s="115"/>
      <c r="C503" s="115"/>
      <c r="D503" s="115"/>
      <c r="E503" s="193"/>
      <c r="F503" s="115"/>
      <c r="G503" s="115"/>
      <c r="H503" s="115"/>
      <c r="I503" s="115"/>
      <c r="J503" s="115"/>
      <c r="K503" s="194"/>
      <c r="L503" s="20"/>
      <c r="M503" s="139"/>
      <c r="N503" s="139"/>
      <c r="O503" s="139"/>
    </row>
    <row r="504">
      <c r="A504" s="115"/>
      <c r="B504" s="115"/>
      <c r="C504" s="115"/>
      <c r="D504" s="115"/>
      <c r="E504" s="193"/>
      <c r="F504" s="115"/>
      <c r="G504" s="115"/>
      <c r="H504" s="115"/>
      <c r="I504" s="115"/>
      <c r="J504" s="115"/>
      <c r="K504" s="194"/>
      <c r="L504" s="20"/>
      <c r="M504" s="139"/>
      <c r="N504" s="139"/>
      <c r="O504" s="139"/>
    </row>
    <row r="505">
      <c r="A505" s="115"/>
      <c r="B505" s="115"/>
      <c r="C505" s="115"/>
      <c r="D505" s="115"/>
      <c r="E505" s="193"/>
      <c r="F505" s="115"/>
      <c r="G505" s="115"/>
      <c r="H505" s="115"/>
      <c r="I505" s="115"/>
      <c r="J505" s="115"/>
      <c r="K505" s="194"/>
      <c r="L505" s="20"/>
      <c r="M505" s="139"/>
      <c r="N505" s="139"/>
      <c r="O505" s="139"/>
    </row>
    <row r="506">
      <c r="A506" s="115"/>
      <c r="B506" s="115"/>
      <c r="C506" s="115"/>
      <c r="D506" s="115"/>
      <c r="E506" s="193"/>
      <c r="F506" s="115"/>
      <c r="G506" s="115"/>
      <c r="H506" s="115"/>
      <c r="I506" s="115"/>
      <c r="J506" s="115"/>
      <c r="K506" s="194"/>
      <c r="L506" s="20"/>
      <c r="M506" s="139"/>
      <c r="N506" s="139"/>
      <c r="O506" s="139"/>
    </row>
    <row r="507">
      <c r="A507" s="115"/>
      <c r="B507" s="115"/>
      <c r="C507" s="115"/>
      <c r="D507" s="115"/>
      <c r="E507" s="193"/>
      <c r="F507" s="115"/>
      <c r="G507" s="115"/>
      <c r="H507" s="115"/>
      <c r="I507" s="115"/>
      <c r="J507" s="115"/>
      <c r="K507" s="194"/>
      <c r="L507" s="20"/>
      <c r="M507" s="139"/>
      <c r="N507" s="139"/>
      <c r="O507" s="139"/>
    </row>
    <row r="508">
      <c r="A508" s="115"/>
      <c r="B508" s="115"/>
      <c r="C508" s="115"/>
      <c r="D508" s="115"/>
      <c r="E508" s="193"/>
      <c r="F508" s="115"/>
      <c r="G508" s="115"/>
      <c r="H508" s="115"/>
      <c r="I508" s="115"/>
      <c r="J508" s="115"/>
      <c r="K508" s="194"/>
      <c r="L508" s="20"/>
      <c r="M508" s="139"/>
      <c r="N508" s="139"/>
      <c r="O508" s="139"/>
    </row>
    <row r="509">
      <c r="A509" s="115"/>
      <c r="B509" s="115"/>
      <c r="C509" s="115"/>
      <c r="D509" s="115"/>
      <c r="E509" s="193"/>
      <c r="F509" s="115"/>
      <c r="G509" s="115"/>
      <c r="H509" s="115"/>
      <c r="I509" s="115"/>
      <c r="J509" s="115"/>
      <c r="K509" s="194"/>
      <c r="L509" s="20"/>
      <c r="M509" s="139"/>
      <c r="N509" s="139"/>
      <c r="O509" s="139"/>
    </row>
    <row r="510">
      <c r="A510" s="115"/>
      <c r="B510" s="115"/>
      <c r="C510" s="115"/>
      <c r="D510" s="115"/>
      <c r="E510" s="193"/>
      <c r="F510" s="115"/>
      <c r="G510" s="115"/>
      <c r="H510" s="115"/>
      <c r="I510" s="115"/>
      <c r="J510" s="115"/>
      <c r="K510" s="194"/>
      <c r="L510" s="20"/>
      <c r="M510" s="139"/>
      <c r="N510" s="139"/>
      <c r="O510" s="139"/>
    </row>
    <row r="511">
      <c r="A511" s="115"/>
      <c r="B511" s="115"/>
      <c r="C511" s="115"/>
      <c r="D511" s="115"/>
      <c r="E511" s="193"/>
      <c r="F511" s="115"/>
      <c r="G511" s="115"/>
      <c r="H511" s="115"/>
      <c r="I511" s="115"/>
      <c r="J511" s="115"/>
      <c r="K511" s="194"/>
      <c r="L511" s="20"/>
      <c r="M511" s="139"/>
      <c r="N511" s="139"/>
      <c r="O511" s="139"/>
    </row>
    <row r="512">
      <c r="A512" s="115"/>
      <c r="B512" s="115"/>
      <c r="C512" s="115"/>
      <c r="D512" s="115"/>
      <c r="E512" s="193"/>
      <c r="F512" s="115"/>
      <c r="G512" s="115"/>
      <c r="H512" s="115"/>
      <c r="I512" s="115"/>
      <c r="J512" s="115"/>
      <c r="K512" s="194"/>
      <c r="L512" s="20"/>
      <c r="M512" s="139"/>
      <c r="N512" s="139"/>
      <c r="O512" s="139"/>
    </row>
    <row r="513">
      <c r="A513" s="115"/>
      <c r="B513" s="115"/>
      <c r="C513" s="115"/>
      <c r="D513" s="115"/>
      <c r="E513" s="193"/>
      <c r="F513" s="115"/>
      <c r="G513" s="115"/>
      <c r="H513" s="115"/>
      <c r="I513" s="115"/>
      <c r="J513" s="115"/>
      <c r="K513" s="194"/>
      <c r="L513" s="20"/>
      <c r="M513" s="139"/>
      <c r="N513" s="139"/>
      <c r="O513" s="139"/>
    </row>
    <row r="514">
      <c r="A514" s="115"/>
      <c r="B514" s="115"/>
      <c r="C514" s="115"/>
      <c r="D514" s="115"/>
      <c r="E514" s="193"/>
      <c r="F514" s="115"/>
      <c r="G514" s="115"/>
      <c r="H514" s="115"/>
      <c r="I514" s="115"/>
      <c r="J514" s="115"/>
      <c r="K514" s="194"/>
      <c r="L514" s="20"/>
      <c r="M514" s="139"/>
      <c r="N514" s="139"/>
      <c r="O514" s="139"/>
    </row>
    <row r="515">
      <c r="A515" s="115"/>
      <c r="B515" s="115"/>
      <c r="C515" s="115"/>
      <c r="D515" s="115"/>
      <c r="E515" s="193"/>
      <c r="F515" s="115"/>
      <c r="G515" s="115"/>
      <c r="H515" s="115"/>
      <c r="I515" s="115"/>
      <c r="J515" s="115"/>
      <c r="K515" s="194"/>
      <c r="L515" s="20"/>
      <c r="M515" s="139"/>
      <c r="N515" s="139"/>
      <c r="O515" s="139"/>
    </row>
    <row r="516">
      <c r="A516" s="115"/>
      <c r="B516" s="115"/>
      <c r="C516" s="115"/>
      <c r="D516" s="115"/>
      <c r="E516" s="193"/>
      <c r="F516" s="115"/>
      <c r="G516" s="115"/>
      <c r="H516" s="115"/>
      <c r="I516" s="115"/>
      <c r="J516" s="115"/>
      <c r="K516" s="194"/>
      <c r="L516" s="20"/>
      <c r="M516" s="139"/>
      <c r="N516" s="139"/>
      <c r="O516" s="139"/>
    </row>
    <row r="517">
      <c r="A517" s="115"/>
      <c r="B517" s="115"/>
      <c r="C517" s="115"/>
      <c r="D517" s="115"/>
      <c r="E517" s="193"/>
      <c r="F517" s="115"/>
      <c r="G517" s="115"/>
      <c r="H517" s="115"/>
      <c r="I517" s="115"/>
      <c r="J517" s="115"/>
      <c r="K517" s="194"/>
      <c r="L517" s="20"/>
      <c r="M517" s="139"/>
      <c r="N517" s="139"/>
      <c r="O517" s="139"/>
    </row>
    <row r="518">
      <c r="A518" s="115"/>
      <c r="B518" s="115"/>
      <c r="C518" s="115"/>
      <c r="D518" s="115"/>
      <c r="E518" s="193"/>
      <c r="F518" s="115"/>
      <c r="G518" s="115"/>
      <c r="H518" s="115"/>
      <c r="I518" s="115"/>
      <c r="J518" s="115"/>
      <c r="K518" s="194"/>
      <c r="L518" s="20"/>
      <c r="M518" s="139"/>
      <c r="N518" s="139"/>
      <c r="O518" s="139"/>
    </row>
    <row r="519">
      <c r="A519" s="115"/>
      <c r="B519" s="115"/>
      <c r="C519" s="115"/>
      <c r="D519" s="115"/>
      <c r="E519" s="193"/>
      <c r="F519" s="115"/>
      <c r="G519" s="115"/>
      <c r="H519" s="115"/>
      <c r="I519" s="115"/>
      <c r="J519" s="115"/>
      <c r="K519" s="194"/>
      <c r="L519" s="20"/>
      <c r="M519" s="139"/>
      <c r="N519" s="139"/>
      <c r="O519" s="139"/>
    </row>
    <row r="520">
      <c r="A520" s="115"/>
      <c r="B520" s="115"/>
      <c r="C520" s="115"/>
      <c r="D520" s="115"/>
      <c r="E520" s="193"/>
      <c r="F520" s="115"/>
      <c r="G520" s="115"/>
      <c r="H520" s="115"/>
      <c r="I520" s="115"/>
      <c r="J520" s="115"/>
      <c r="K520" s="194"/>
      <c r="L520" s="20"/>
      <c r="M520" s="139"/>
      <c r="N520" s="139"/>
      <c r="O520" s="139"/>
    </row>
    <row r="521">
      <c r="A521" s="115"/>
      <c r="B521" s="115"/>
      <c r="C521" s="115"/>
      <c r="D521" s="115"/>
      <c r="E521" s="193"/>
      <c r="F521" s="115"/>
      <c r="G521" s="115"/>
      <c r="H521" s="115"/>
      <c r="I521" s="115"/>
      <c r="J521" s="115"/>
      <c r="K521" s="194"/>
      <c r="L521" s="20"/>
      <c r="M521" s="139"/>
      <c r="N521" s="139"/>
      <c r="O521" s="139"/>
    </row>
    <row r="522">
      <c r="A522" s="115"/>
      <c r="B522" s="115"/>
      <c r="C522" s="115"/>
      <c r="D522" s="115"/>
      <c r="E522" s="193"/>
      <c r="F522" s="115"/>
      <c r="G522" s="115"/>
      <c r="H522" s="115"/>
      <c r="I522" s="115"/>
      <c r="J522" s="115"/>
      <c r="K522" s="194"/>
      <c r="L522" s="20"/>
      <c r="M522" s="139"/>
      <c r="N522" s="139"/>
      <c r="O522" s="139"/>
    </row>
    <row r="523">
      <c r="A523" s="115"/>
      <c r="B523" s="115"/>
      <c r="C523" s="115"/>
      <c r="D523" s="115"/>
      <c r="E523" s="193"/>
      <c r="F523" s="115"/>
      <c r="G523" s="115"/>
      <c r="H523" s="115"/>
      <c r="I523" s="115"/>
      <c r="J523" s="115"/>
      <c r="K523" s="194"/>
      <c r="L523" s="20"/>
      <c r="M523" s="139"/>
      <c r="N523" s="139"/>
      <c r="O523" s="139"/>
    </row>
    <row r="524">
      <c r="A524" s="115"/>
      <c r="B524" s="115"/>
      <c r="C524" s="115"/>
      <c r="D524" s="115"/>
      <c r="E524" s="193"/>
      <c r="F524" s="115"/>
      <c r="G524" s="115"/>
      <c r="H524" s="115"/>
      <c r="I524" s="115"/>
      <c r="J524" s="115"/>
      <c r="K524" s="194"/>
      <c r="L524" s="20"/>
      <c r="M524" s="139"/>
      <c r="N524" s="139"/>
      <c r="O524" s="139"/>
    </row>
    <row r="525">
      <c r="A525" s="115"/>
      <c r="B525" s="115"/>
      <c r="C525" s="115"/>
      <c r="D525" s="115"/>
      <c r="E525" s="193"/>
      <c r="F525" s="115"/>
      <c r="G525" s="115"/>
      <c r="H525" s="115"/>
      <c r="I525" s="115"/>
      <c r="J525" s="115"/>
      <c r="K525" s="194"/>
      <c r="L525" s="20"/>
      <c r="M525" s="139"/>
      <c r="N525" s="139"/>
      <c r="O525" s="139"/>
    </row>
    <row r="526">
      <c r="A526" s="115"/>
      <c r="B526" s="115"/>
      <c r="C526" s="115"/>
      <c r="D526" s="115"/>
      <c r="E526" s="193"/>
      <c r="F526" s="115"/>
      <c r="G526" s="115"/>
      <c r="H526" s="115"/>
      <c r="I526" s="115"/>
      <c r="J526" s="115"/>
      <c r="K526" s="194"/>
      <c r="L526" s="20"/>
      <c r="M526" s="139"/>
      <c r="N526" s="139"/>
      <c r="O526" s="139"/>
    </row>
    <row r="527">
      <c r="A527" s="115"/>
      <c r="B527" s="115"/>
      <c r="C527" s="115"/>
      <c r="D527" s="115"/>
      <c r="E527" s="193"/>
      <c r="F527" s="115"/>
      <c r="G527" s="115"/>
      <c r="H527" s="115"/>
      <c r="I527" s="115"/>
      <c r="J527" s="115"/>
      <c r="K527" s="194"/>
      <c r="L527" s="20"/>
      <c r="M527" s="139"/>
      <c r="N527" s="139"/>
      <c r="O527" s="139"/>
    </row>
    <row r="528">
      <c r="A528" s="115"/>
      <c r="B528" s="115"/>
      <c r="C528" s="115"/>
      <c r="D528" s="115"/>
      <c r="E528" s="193"/>
      <c r="F528" s="115"/>
      <c r="G528" s="115"/>
      <c r="H528" s="115"/>
      <c r="I528" s="115"/>
      <c r="J528" s="115"/>
      <c r="K528" s="194"/>
      <c r="L528" s="20"/>
      <c r="M528" s="139"/>
      <c r="N528" s="139"/>
      <c r="O528" s="139"/>
    </row>
    <row r="529">
      <c r="A529" s="115"/>
      <c r="B529" s="115"/>
      <c r="C529" s="115"/>
      <c r="D529" s="115"/>
      <c r="E529" s="193"/>
      <c r="F529" s="115"/>
      <c r="G529" s="115"/>
      <c r="H529" s="115"/>
      <c r="I529" s="115"/>
      <c r="J529" s="115"/>
      <c r="K529" s="194"/>
      <c r="L529" s="20"/>
      <c r="M529" s="139"/>
      <c r="N529" s="139"/>
      <c r="O529" s="139"/>
    </row>
    <row r="530">
      <c r="A530" s="115"/>
      <c r="B530" s="115"/>
      <c r="C530" s="115"/>
      <c r="D530" s="115"/>
      <c r="E530" s="193"/>
      <c r="F530" s="115"/>
      <c r="G530" s="115"/>
      <c r="H530" s="115"/>
      <c r="I530" s="115"/>
      <c r="J530" s="115"/>
      <c r="K530" s="194"/>
      <c r="L530" s="20"/>
      <c r="M530" s="139"/>
      <c r="N530" s="139"/>
      <c r="O530" s="139"/>
    </row>
    <row r="531">
      <c r="A531" s="115"/>
      <c r="B531" s="115"/>
      <c r="C531" s="115"/>
      <c r="D531" s="115"/>
      <c r="E531" s="193"/>
      <c r="F531" s="115"/>
      <c r="G531" s="115"/>
      <c r="H531" s="115"/>
      <c r="I531" s="115"/>
      <c r="J531" s="115"/>
      <c r="K531" s="194"/>
      <c r="L531" s="20"/>
      <c r="M531" s="139"/>
      <c r="N531" s="139"/>
      <c r="O531" s="139"/>
    </row>
    <row r="532">
      <c r="A532" s="115"/>
      <c r="B532" s="115"/>
      <c r="C532" s="115"/>
      <c r="D532" s="115"/>
      <c r="E532" s="193"/>
      <c r="F532" s="115"/>
      <c r="G532" s="115"/>
      <c r="H532" s="115"/>
      <c r="I532" s="115"/>
      <c r="J532" s="115"/>
      <c r="K532" s="194"/>
      <c r="L532" s="20"/>
      <c r="M532" s="139"/>
      <c r="N532" s="139"/>
      <c r="O532" s="139"/>
    </row>
  </sheetData>
  <conditionalFormatting sqref="L2:L532">
    <cfRule type="containsBlanks" dxfId="1" priority="1">
      <formula>LEN(TRIM(L2))=0</formula>
    </cfRule>
  </conditionalFormatting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8.5"/>
    <col customWidth="1" min="3" max="3" width="11.0"/>
    <col customWidth="1" min="4" max="4" width="11.25"/>
    <col customWidth="1" min="5" max="5" width="21.5"/>
    <col customWidth="1" min="7" max="10" width="5.75"/>
    <col customWidth="1" min="11" max="11" width="8.38"/>
    <col customWidth="1" min="13" max="13" width="22.63"/>
  </cols>
  <sheetData>
    <row r="1">
      <c r="A1" s="189" t="s">
        <v>1560</v>
      </c>
      <c r="B1" s="189" t="s">
        <v>1561</v>
      </c>
      <c r="C1" s="189" t="s">
        <v>1562</v>
      </c>
      <c r="D1" s="189" t="s">
        <v>1563</v>
      </c>
      <c r="E1" s="189" t="s">
        <v>1564</v>
      </c>
      <c r="F1" s="189" t="s">
        <v>1565</v>
      </c>
      <c r="G1" s="189" t="s">
        <v>1566</v>
      </c>
      <c r="H1" s="189" t="s">
        <v>1567</v>
      </c>
      <c r="I1" s="189" t="s">
        <v>1568</v>
      </c>
      <c r="J1" s="189" t="s">
        <v>1569</v>
      </c>
      <c r="K1" s="189" t="s">
        <v>2835</v>
      </c>
      <c r="L1" s="189" t="s">
        <v>1570</v>
      </c>
      <c r="M1" s="39" t="s">
        <v>257</v>
      </c>
      <c r="N1" s="189" t="s">
        <v>1571</v>
      </c>
      <c r="O1" s="127"/>
    </row>
    <row r="2">
      <c r="A2" s="28" t="s">
        <v>0</v>
      </c>
      <c r="B2" s="28" t="s">
        <v>1572</v>
      </c>
      <c r="C2" s="28" t="s">
        <v>1573</v>
      </c>
      <c r="D2" s="28" t="s">
        <v>1580</v>
      </c>
      <c r="E2" s="40" t="s">
        <v>1581</v>
      </c>
      <c r="F2" s="28" t="s">
        <v>1579</v>
      </c>
      <c r="G2" s="28">
        <v>2.0</v>
      </c>
      <c r="H2" s="28">
        <v>0.0</v>
      </c>
      <c r="I2" s="28">
        <v>2.0</v>
      </c>
      <c r="J2" s="28">
        <v>3.0</v>
      </c>
      <c r="K2" s="190">
        <v>15.0</v>
      </c>
      <c r="L2" s="122" t="s">
        <v>635</v>
      </c>
      <c r="M2" s="133" t="str">
        <f>IFNA(VLOOKUP(L2,'Faculty Details'!$B:$H,4,0),"")</f>
        <v>Dr.DEEPHA V</v>
      </c>
      <c r="N2" s="121" t="str">
        <f>IFNA(VLOOKUP(L2,'Faculty Details'!$B:$H,7,0),"")</f>
        <v>deephav@bitsathy.ac.in</v>
      </c>
      <c r="O2" s="121"/>
    </row>
    <row r="3">
      <c r="A3" s="28" t="s">
        <v>4</v>
      </c>
      <c r="B3" s="28" t="s">
        <v>1572</v>
      </c>
      <c r="C3" s="28" t="s">
        <v>1573</v>
      </c>
      <c r="D3" s="28" t="s">
        <v>1580</v>
      </c>
      <c r="E3" s="40" t="s">
        <v>1581</v>
      </c>
      <c r="F3" s="28" t="s">
        <v>1579</v>
      </c>
      <c r="G3" s="28">
        <v>2.0</v>
      </c>
      <c r="H3" s="28">
        <v>0.0</v>
      </c>
      <c r="I3" s="28">
        <v>2.0</v>
      </c>
      <c r="J3" s="28">
        <v>3.0</v>
      </c>
      <c r="K3" s="190">
        <v>15.0</v>
      </c>
      <c r="L3" s="122" t="s">
        <v>650</v>
      </c>
      <c r="M3" s="133" t="str">
        <f>IFNA(VLOOKUP(L3,'Faculty Details'!$B:$H,4,0),"")</f>
        <v>Dr.SUBHAPRIYA P</v>
      </c>
      <c r="N3" s="121" t="str">
        <f>IFNA(VLOOKUP(L3,'Faculty Details'!$B:$H,7,0),"")</f>
        <v>subhapriyap@bitsathy.ac.in</v>
      </c>
      <c r="O3" s="121"/>
    </row>
    <row r="4">
      <c r="A4" s="28" t="s">
        <v>4</v>
      </c>
      <c r="B4" s="28" t="s">
        <v>1572</v>
      </c>
      <c r="C4" s="28" t="s">
        <v>1573</v>
      </c>
      <c r="D4" s="28" t="s">
        <v>1580</v>
      </c>
      <c r="E4" s="40" t="s">
        <v>1581</v>
      </c>
      <c r="F4" s="28" t="s">
        <v>1579</v>
      </c>
      <c r="G4" s="28">
        <v>2.0</v>
      </c>
      <c r="H4" s="28">
        <v>0.0</v>
      </c>
      <c r="I4" s="28">
        <v>2.0</v>
      </c>
      <c r="J4" s="28">
        <v>3.0</v>
      </c>
      <c r="K4" s="190">
        <v>15.0</v>
      </c>
      <c r="L4" s="122" t="s">
        <v>635</v>
      </c>
      <c r="M4" s="133" t="str">
        <f>IFNA(VLOOKUP(L4,'Faculty Details'!$B:$H,4,0),"")</f>
        <v>Dr.DEEPHA V</v>
      </c>
      <c r="N4" s="121" t="str">
        <f>IFNA(VLOOKUP(L4,'Faculty Details'!$B:$H,7,0),"")</f>
        <v>deephav@bitsathy.ac.in</v>
      </c>
      <c r="O4" s="121"/>
    </row>
    <row r="5">
      <c r="A5" s="28" t="s">
        <v>4</v>
      </c>
      <c r="B5" s="28" t="s">
        <v>1572</v>
      </c>
      <c r="C5" s="28" t="s">
        <v>1573</v>
      </c>
      <c r="D5" s="28" t="s">
        <v>1580</v>
      </c>
      <c r="E5" s="40" t="s">
        <v>1581</v>
      </c>
      <c r="F5" s="28" t="s">
        <v>1579</v>
      </c>
      <c r="G5" s="28">
        <v>2.0</v>
      </c>
      <c r="H5" s="28">
        <v>0.0</v>
      </c>
      <c r="I5" s="28">
        <v>2.0</v>
      </c>
      <c r="J5" s="28">
        <v>3.0</v>
      </c>
      <c r="K5" s="190">
        <v>15.0</v>
      </c>
      <c r="L5" s="122" t="s">
        <v>626</v>
      </c>
      <c r="M5" s="133" t="str">
        <f>IFNA(VLOOKUP(L5,'Faculty Details'!$B:$H,4,0),"")</f>
        <v>Dr.VISWANATHAN G</v>
      </c>
      <c r="N5" s="121" t="str">
        <f>IFNA(VLOOKUP(L5,'Faculty Details'!$B:$H,7,0),"")</f>
        <v>viswanathan@bitsathy.ac.in</v>
      </c>
      <c r="O5" s="121"/>
    </row>
    <row r="6">
      <c r="A6" s="28" t="s">
        <v>4</v>
      </c>
      <c r="B6" s="28" t="s">
        <v>1572</v>
      </c>
      <c r="C6" s="28" t="s">
        <v>1573</v>
      </c>
      <c r="D6" s="28" t="s">
        <v>1580</v>
      </c>
      <c r="E6" s="40" t="s">
        <v>1581</v>
      </c>
      <c r="F6" s="28" t="s">
        <v>1579</v>
      </c>
      <c r="G6" s="28">
        <v>2.0</v>
      </c>
      <c r="H6" s="28">
        <v>0.0</v>
      </c>
      <c r="I6" s="28">
        <v>2.0</v>
      </c>
      <c r="J6" s="28">
        <v>3.0</v>
      </c>
      <c r="K6" s="190">
        <v>15.0</v>
      </c>
      <c r="L6" s="122" t="s">
        <v>2158</v>
      </c>
      <c r="M6" s="133" t="str">
        <f>IFNA(VLOOKUP(L6,'Faculty Details'!$B:$H,4,0),"")</f>
        <v/>
      </c>
      <c r="N6" s="121" t="str">
        <f>IFNA(VLOOKUP(L6,'Faculty Details'!$B:$H,7,0),"")</f>
        <v/>
      </c>
      <c r="O6" s="121"/>
    </row>
    <row r="7">
      <c r="A7" s="28" t="s">
        <v>9</v>
      </c>
      <c r="B7" s="28" t="s">
        <v>1572</v>
      </c>
      <c r="C7" s="28" t="s">
        <v>1573</v>
      </c>
      <c r="D7" s="28" t="s">
        <v>1580</v>
      </c>
      <c r="E7" s="40" t="s">
        <v>1581</v>
      </c>
      <c r="F7" s="28" t="s">
        <v>1579</v>
      </c>
      <c r="G7" s="28">
        <v>2.0</v>
      </c>
      <c r="H7" s="28">
        <v>0.0</v>
      </c>
      <c r="I7" s="28">
        <v>2.0</v>
      </c>
      <c r="J7" s="28">
        <v>3.0</v>
      </c>
      <c r="K7" s="190">
        <v>15.0</v>
      </c>
      <c r="L7" s="122" t="s">
        <v>653</v>
      </c>
      <c r="M7" s="133" t="str">
        <f>IFNA(VLOOKUP(L7,'Faculty Details'!$B:$H,4,0),"")</f>
        <v>Dr.VIJAYANAND P S</v>
      </c>
      <c r="N7" s="121" t="str">
        <f>IFNA(VLOOKUP(L7,'Faculty Details'!$B:$H,7,0),"")</f>
        <v>vijayanandps@bitsathy.ac.in</v>
      </c>
      <c r="O7" s="121"/>
    </row>
    <row r="8">
      <c r="A8" s="28" t="s">
        <v>9</v>
      </c>
      <c r="B8" s="28" t="s">
        <v>1572</v>
      </c>
      <c r="C8" s="28" t="s">
        <v>1573</v>
      </c>
      <c r="D8" s="28" t="s">
        <v>1580</v>
      </c>
      <c r="E8" s="40" t="s">
        <v>1581</v>
      </c>
      <c r="F8" s="28" t="s">
        <v>1579</v>
      </c>
      <c r="G8" s="28">
        <v>2.0</v>
      </c>
      <c r="H8" s="28">
        <v>0.0</v>
      </c>
      <c r="I8" s="28">
        <v>2.0</v>
      </c>
      <c r="J8" s="28">
        <v>3.0</v>
      </c>
      <c r="K8" s="190">
        <v>15.0</v>
      </c>
      <c r="L8" s="122" t="s">
        <v>632</v>
      </c>
      <c r="M8" s="133" t="str">
        <f>IFNA(VLOOKUP(L8,'Faculty Details'!$B:$H,4,0),"")</f>
        <v>Dr.RAMESHKUMAR A</v>
      </c>
      <c r="N8" s="121" t="str">
        <f>IFNA(VLOOKUP(L8,'Faculty Details'!$B:$H,7,0),"")</f>
        <v>rameshkumar@bitsathy.ac.in</v>
      </c>
      <c r="O8" s="121"/>
    </row>
    <row r="9">
      <c r="A9" s="28" t="s">
        <v>13</v>
      </c>
      <c r="B9" s="28" t="s">
        <v>1572</v>
      </c>
      <c r="C9" s="28" t="s">
        <v>1573</v>
      </c>
      <c r="D9" s="28" t="s">
        <v>1580</v>
      </c>
      <c r="E9" s="40" t="s">
        <v>1581</v>
      </c>
      <c r="F9" s="28" t="s">
        <v>1579</v>
      </c>
      <c r="G9" s="28">
        <v>2.0</v>
      </c>
      <c r="H9" s="28">
        <v>0.0</v>
      </c>
      <c r="I9" s="28">
        <v>2.0</v>
      </c>
      <c r="J9" s="28">
        <v>3.0</v>
      </c>
      <c r="K9" s="190">
        <v>15.0</v>
      </c>
      <c r="L9" s="122" t="s">
        <v>656</v>
      </c>
      <c r="M9" s="133" t="str">
        <f>IFNA(VLOOKUP(L9,'Faculty Details'!$B:$H,4,0),"")</f>
        <v>Dr.PRAVEENA R</v>
      </c>
      <c r="N9" s="121" t="str">
        <f>IFNA(VLOOKUP(L9,'Faculty Details'!$B:$H,7,0),"")</f>
        <v>praveenar@bitsathy.ac.in</v>
      </c>
      <c r="O9" s="121"/>
    </row>
    <row r="10">
      <c r="A10" s="28" t="s">
        <v>13</v>
      </c>
      <c r="B10" s="28" t="s">
        <v>1572</v>
      </c>
      <c r="C10" s="28" t="s">
        <v>1573</v>
      </c>
      <c r="D10" s="28" t="s">
        <v>1580</v>
      </c>
      <c r="E10" s="40" t="s">
        <v>1581</v>
      </c>
      <c r="F10" s="28" t="s">
        <v>1579</v>
      </c>
      <c r="G10" s="28">
        <v>2.0</v>
      </c>
      <c r="H10" s="28">
        <v>0.0</v>
      </c>
      <c r="I10" s="28">
        <v>2.0</v>
      </c>
      <c r="J10" s="28">
        <v>3.0</v>
      </c>
      <c r="K10" s="190">
        <v>15.0</v>
      </c>
      <c r="L10" s="122" t="s">
        <v>623</v>
      </c>
      <c r="M10" s="133" t="str">
        <f>IFNA(VLOOKUP(L10,'Faculty Details'!$B:$H,4,0),"")</f>
        <v>Dr.MUTHUKUMAR P</v>
      </c>
      <c r="N10" s="121" t="str">
        <f>IFNA(VLOOKUP(L10,'Faculty Details'!$B:$H,7,0),"")</f>
        <v>muthukumar@bitsathy.ac.in</v>
      </c>
      <c r="O10" s="121"/>
    </row>
    <row r="11">
      <c r="A11" s="28" t="s">
        <v>18</v>
      </c>
      <c r="B11" s="28" t="s">
        <v>1572</v>
      </c>
      <c r="C11" s="28" t="s">
        <v>1573</v>
      </c>
      <c r="D11" s="28" t="s">
        <v>1580</v>
      </c>
      <c r="E11" s="40" t="s">
        <v>1581</v>
      </c>
      <c r="F11" s="28" t="s">
        <v>1579</v>
      </c>
      <c r="G11" s="28">
        <v>2.0</v>
      </c>
      <c r="H11" s="28">
        <v>0.0</v>
      </c>
      <c r="I11" s="28">
        <v>2.0</v>
      </c>
      <c r="J11" s="28">
        <v>3.0</v>
      </c>
      <c r="K11" s="190">
        <v>15.0</v>
      </c>
      <c r="L11" s="122" t="s">
        <v>656</v>
      </c>
      <c r="M11" s="133" t="str">
        <f>IFNA(VLOOKUP(L11,'Faculty Details'!$B:$H,4,0),"")</f>
        <v>Dr.PRAVEENA R</v>
      </c>
      <c r="N11" s="121" t="str">
        <f>IFNA(VLOOKUP(L11,'Faculty Details'!$B:$H,7,0),"")</f>
        <v>praveenar@bitsathy.ac.in</v>
      </c>
      <c r="O11" s="121"/>
    </row>
    <row r="12">
      <c r="A12" s="28" t="s">
        <v>18</v>
      </c>
      <c r="B12" s="28" t="s">
        <v>1572</v>
      </c>
      <c r="C12" s="28" t="s">
        <v>1573</v>
      </c>
      <c r="D12" s="28" t="s">
        <v>1580</v>
      </c>
      <c r="E12" s="40" t="s">
        <v>1581</v>
      </c>
      <c r="F12" s="28" t="s">
        <v>1579</v>
      </c>
      <c r="G12" s="28">
        <v>2.0</v>
      </c>
      <c r="H12" s="28">
        <v>0.0</v>
      </c>
      <c r="I12" s="28">
        <v>2.0</v>
      </c>
      <c r="J12" s="28">
        <v>3.0</v>
      </c>
      <c r="K12" s="190">
        <v>15.0</v>
      </c>
      <c r="L12" s="122" t="s">
        <v>659</v>
      </c>
      <c r="M12" s="133" t="str">
        <f>IFNA(VLOOKUP(L12,'Faculty Details'!$B:$H,4,0),"")</f>
        <v>Dr.KAVITHA C</v>
      </c>
      <c r="N12" s="121" t="str">
        <f>IFNA(VLOOKUP(L12,'Faculty Details'!$B:$H,7,0),"")</f>
        <v>kavithac@bitsathy.ac.in</v>
      </c>
      <c r="O12" s="121"/>
    </row>
    <row r="13">
      <c r="A13" s="28" t="s">
        <v>18</v>
      </c>
      <c r="B13" s="28" t="s">
        <v>1572</v>
      </c>
      <c r="C13" s="28" t="s">
        <v>1573</v>
      </c>
      <c r="D13" s="28" t="s">
        <v>1580</v>
      </c>
      <c r="E13" s="40" t="s">
        <v>1581</v>
      </c>
      <c r="F13" s="28" t="s">
        <v>1579</v>
      </c>
      <c r="G13" s="28">
        <v>2.0</v>
      </c>
      <c r="H13" s="28">
        <v>0.0</v>
      </c>
      <c r="I13" s="28">
        <v>2.0</v>
      </c>
      <c r="J13" s="28">
        <v>3.0</v>
      </c>
      <c r="K13" s="190">
        <v>15.0</v>
      </c>
      <c r="L13" s="122" t="s">
        <v>619</v>
      </c>
      <c r="M13" s="133" t="str">
        <f>IFNA(VLOOKUP(L13,'Faculty Details'!$B:$H,4,0),"")</f>
        <v>Dr.SATHISH V</v>
      </c>
      <c r="N13" s="121" t="str">
        <f>IFNA(VLOOKUP(L13,'Faculty Details'!$B:$H,7,0),"")</f>
        <v>sathishv@bitsathy.ac.in</v>
      </c>
      <c r="O13" s="121"/>
    </row>
    <row r="14">
      <c r="A14" s="28" t="s">
        <v>18</v>
      </c>
      <c r="B14" s="28" t="s">
        <v>1572</v>
      </c>
      <c r="C14" s="28" t="s">
        <v>1573</v>
      </c>
      <c r="D14" s="28" t="s">
        <v>1580</v>
      </c>
      <c r="E14" s="40" t="s">
        <v>1581</v>
      </c>
      <c r="F14" s="28" t="s">
        <v>1579</v>
      </c>
      <c r="G14" s="28">
        <v>2.0</v>
      </c>
      <c r="H14" s="28">
        <v>0.0</v>
      </c>
      <c r="I14" s="28">
        <v>2.0</v>
      </c>
      <c r="J14" s="28">
        <v>3.0</v>
      </c>
      <c r="K14" s="190">
        <v>15.0</v>
      </c>
      <c r="L14" s="122" t="s">
        <v>629</v>
      </c>
      <c r="M14" s="133" t="str">
        <f>IFNA(VLOOKUP(L14,'Faculty Details'!$B:$H,4,0),"")</f>
        <v>Dr.MURALI KRISHNAN M</v>
      </c>
      <c r="N14" s="121" t="str">
        <f>IFNA(VLOOKUP(L14,'Faculty Details'!$B:$H,7,0),"")</f>
        <v>muralikrishnan@bitsathy.ac.in</v>
      </c>
      <c r="O14" s="121"/>
    </row>
    <row r="15">
      <c r="A15" s="28" t="s">
        <v>18</v>
      </c>
      <c r="B15" s="28" t="s">
        <v>1572</v>
      </c>
      <c r="C15" s="28" t="s">
        <v>1573</v>
      </c>
      <c r="D15" s="28" t="s">
        <v>1580</v>
      </c>
      <c r="E15" s="40" t="s">
        <v>1581</v>
      </c>
      <c r="F15" s="28" t="s">
        <v>1579</v>
      </c>
      <c r="G15" s="28">
        <v>2.0</v>
      </c>
      <c r="H15" s="28">
        <v>0.0</v>
      </c>
      <c r="I15" s="28">
        <v>2.0</v>
      </c>
      <c r="J15" s="28">
        <v>3.0</v>
      </c>
      <c r="K15" s="190">
        <v>15.0</v>
      </c>
      <c r="L15" s="122" t="s">
        <v>623</v>
      </c>
      <c r="M15" s="133" t="str">
        <f>IFNA(VLOOKUP(L15,'Faculty Details'!$B:$H,4,0),"")</f>
        <v>Dr.MUTHUKUMAR P</v>
      </c>
      <c r="N15" s="121" t="str">
        <f>IFNA(VLOOKUP(L15,'Faculty Details'!$B:$H,7,0),"")</f>
        <v>muthukumar@bitsathy.ac.in</v>
      </c>
      <c r="O15" s="121"/>
    </row>
    <row r="16">
      <c r="A16" s="28" t="s">
        <v>18</v>
      </c>
      <c r="B16" s="28" t="s">
        <v>1572</v>
      </c>
      <c r="C16" s="28" t="s">
        <v>1573</v>
      </c>
      <c r="D16" s="28" t="s">
        <v>1580</v>
      </c>
      <c r="E16" s="40" t="s">
        <v>1581</v>
      </c>
      <c r="F16" s="28" t="s">
        <v>1579</v>
      </c>
      <c r="G16" s="28">
        <v>2.0</v>
      </c>
      <c r="H16" s="28">
        <v>0.0</v>
      </c>
      <c r="I16" s="28">
        <v>2.0</v>
      </c>
      <c r="J16" s="28">
        <v>3.0</v>
      </c>
      <c r="K16" s="190">
        <v>15.0</v>
      </c>
      <c r="L16" s="122" t="s">
        <v>641</v>
      </c>
      <c r="M16" s="133" t="str">
        <f>IFNA(VLOOKUP(L16,'Faculty Details'!$B:$H,4,0),"")</f>
        <v>Dr.JESIN BENETO A</v>
      </c>
      <c r="N16" s="121" t="str">
        <f>IFNA(VLOOKUP(L16,'Faculty Details'!$B:$H,7,0),"")</f>
        <v>jesinbeneto@bitsathy.ac.in</v>
      </c>
      <c r="O16" s="121"/>
    </row>
    <row r="17">
      <c r="A17" s="28" t="s">
        <v>27</v>
      </c>
      <c r="B17" s="28" t="s">
        <v>1572</v>
      </c>
      <c r="C17" s="28" t="s">
        <v>1573</v>
      </c>
      <c r="D17" s="28" t="s">
        <v>1580</v>
      </c>
      <c r="E17" s="40" t="s">
        <v>1581</v>
      </c>
      <c r="F17" s="28" t="s">
        <v>1579</v>
      </c>
      <c r="G17" s="28">
        <v>2.0</v>
      </c>
      <c r="H17" s="28">
        <v>0.0</v>
      </c>
      <c r="I17" s="28">
        <v>2.0</v>
      </c>
      <c r="J17" s="28">
        <v>3.0</v>
      </c>
      <c r="K17" s="190">
        <v>15.0</v>
      </c>
      <c r="L17" s="122" t="s">
        <v>659</v>
      </c>
      <c r="M17" s="133" t="str">
        <f>IFNA(VLOOKUP(L17,'Faculty Details'!$B:$H,4,0),"")</f>
        <v>Dr.KAVITHA C</v>
      </c>
      <c r="N17" s="121" t="str">
        <f>IFNA(VLOOKUP(L17,'Faculty Details'!$B:$H,7,0),"")</f>
        <v>kavithac@bitsathy.ac.in</v>
      </c>
      <c r="O17" s="121"/>
    </row>
    <row r="18">
      <c r="A18" s="28" t="s">
        <v>27</v>
      </c>
      <c r="B18" s="28" t="s">
        <v>1572</v>
      </c>
      <c r="C18" s="28" t="s">
        <v>1573</v>
      </c>
      <c r="D18" s="28" t="s">
        <v>1580</v>
      </c>
      <c r="E18" s="40" t="s">
        <v>1581</v>
      </c>
      <c r="F18" s="28" t="s">
        <v>1579</v>
      </c>
      <c r="G18" s="28">
        <v>2.0</v>
      </c>
      <c r="H18" s="28">
        <v>0.0</v>
      </c>
      <c r="I18" s="28">
        <v>2.0</v>
      </c>
      <c r="J18" s="28">
        <v>3.0</v>
      </c>
      <c r="K18" s="190">
        <v>15.0</v>
      </c>
      <c r="L18" s="122" t="s">
        <v>632</v>
      </c>
      <c r="M18" s="133" t="str">
        <f>IFNA(VLOOKUP(L18,'Faculty Details'!$B:$H,4,0),"")</f>
        <v>Dr.RAMESHKUMAR A</v>
      </c>
      <c r="N18" s="121" t="str">
        <f>IFNA(VLOOKUP(L18,'Faculty Details'!$B:$H,7,0),"")</f>
        <v>rameshkumar@bitsathy.ac.in</v>
      </c>
      <c r="O18" s="121"/>
      <c r="P18" s="191"/>
      <c r="Q18" s="191"/>
      <c r="R18" s="191"/>
    </row>
    <row r="19">
      <c r="A19" s="28" t="s">
        <v>32</v>
      </c>
      <c r="B19" s="28" t="s">
        <v>1572</v>
      </c>
      <c r="C19" s="28" t="s">
        <v>1573</v>
      </c>
      <c r="D19" s="28" t="s">
        <v>1580</v>
      </c>
      <c r="E19" s="40" t="s">
        <v>1581</v>
      </c>
      <c r="F19" s="28" t="s">
        <v>1579</v>
      </c>
      <c r="G19" s="28">
        <v>2.0</v>
      </c>
      <c r="H19" s="28">
        <v>0.0</v>
      </c>
      <c r="I19" s="28">
        <v>2.0</v>
      </c>
      <c r="J19" s="28">
        <v>3.0</v>
      </c>
      <c r="K19" s="190">
        <v>15.0</v>
      </c>
      <c r="L19" s="122" t="s">
        <v>653</v>
      </c>
      <c r="M19" s="133" t="str">
        <f>IFNA(VLOOKUP(L19,'Faculty Details'!$B:$H,4,0),"")</f>
        <v>Dr.VIJAYANAND P S</v>
      </c>
      <c r="N19" s="121" t="str">
        <f>IFNA(VLOOKUP(L19,'Faculty Details'!$B:$H,7,0),"")</f>
        <v>vijayanandps@bitsathy.ac.in</v>
      </c>
      <c r="O19" s="121"/>
      <c r="P19" s="191"/>
      <c r="Q19" s="191"/>
      <c r="R19" s="191"/>
    </row>
    <row r="20">
      <c r="A20" s="28" t="s">
        <v>32</v>
      </c>
      <c r="B20" s="28" t="s">
        <v>1572</v>
      </c>
      <c r="C20" s="28" t="s">
        <v>1573</v>
      </c>
      <c r="D20" s="28" t="s">
        <v>1580</v>
      </c>
      <c r="E20" s="40" t="s">
        <v>1581</v>
      </c>
      <c r="F20" s="28" t="s">
        <v>1579</v>
      </c>
      <c r="G20" s="28">
        <v>2.0</v>
      </c>
      <c r="H20" s="28">
        <v>0.0</v>
      </c>
      <c r="I20" s="28">
        <v>2.0</v>
      </c>
      <c r="J20" s="28">
        <v>3.0</v>
      </c>
      <c r="K20" s="190">
        <v>15.0</v>
      </c>
      <c r="L20" s="122" t="s">
        <v>662</v>
      </c>
      <c r="M20" s="133" t="str">
        <f>IFNA(VLOOKUP(L20,'Faculty Details'!$B:$H,4,0),"")</f>
        <v>Dr.MALATHI MAHALINGAM</v>
      </c>
      <c r="N20" s="121" t="str">
        <f>IFNA(VLOOKUP(L20,'Faculty Details'!$B:$H,7,0),"")</f>
        <v>malathimahalingamm@bitsathy.ac.in</v>
      </c>
      <c r="O20" s="121"/>
      <c r="P20" s="191"/>
      <c r="Q20" s="191"/>
      <c r="R20" s="191"/>
    </row>
    <row r="21">
      <c r="A21" s="28" t="s">
        <v>32</v>
      </c>
      <c r="B21" s="28" t="s">
        <v>1572</v>
      </c>
      <c r="C21" s="28" t="s">
        <v>1573</v>
      </c>
      <c r="D21" s="28" t="s">
        <v>1580</v>
      </c>
      <c r="E21" s="40" t="s">
        <v>1581</v>
      </c>
      <c r="F21" s="28" t="s">
        <v>1579</v>
      </c>
      <c r="G21" s="28">
        <v>2.0</v>
      </c>
      <c r="H21" s="28">
        <v>0.0</v>
      </c>
      <c r="I21" s="28">
        <v>2.0</v>
      </c>
      <c r="J21" s="28">
        <v>3.0</v>
      </c>
      <c r="K21" s="190">
        <v>15.0</v>
      </c>
      <c r="L21" s="122" t="s">
        <v>641</v>
      </c>
      <c r="M21" s="133" t="str">
        <f>IFNA(VLOOKUP(L21,'Faculty Details'!$B:$H,4,0),"")</f>
        <v>Dr.JESIN BENETO A</v>
      </c>
      <c r="N21" s="121" t="str">
        <f>IFNA(VLOOKUP(L21,'Faculty Details'!$B:$H,7,0),"")</f>
        <v>jesinbeneto@bitsathy.ac.in</v>
      </c>
      <c r="O21" s="121"/>
      <c r="P21" s="191"/>
      <c r="Q21" s="191"/>
      <c r="R21" s="191"/>
    </row>
    <row r="22">
      <c r="A22" s="28" t="s">
        <v>32</v>
      </c>
      <c r="B22" s="28" t="s">
        <v>1572</v>
      </c>
      <c r="C22" s="28" t="s">
        <v>1573</v>
      </c>
      <c r="D22" s="28" t="s">
        <v>1580</v>
      </c>
      <c r="E22" s="40" t="s">
        <v>1581</v>
      </c>
      <c r="F22" s="28" t="s">
        <v>1579</v>
      </c>
      <c r="G22" s="28">
        <v>2.0</v>
      </c>
      <c r="H22" s="28">
        <v>0.0</v>
      </c>
      <c r="I22" s="28">
        <v>2.0</v>
      </c>
      <c r="J22" s="28">
        <v>3.0</v>
      </c>
      <c r="K22" s="190">
        <v>15.0</v>
      </c>
      <c r="L22" s="122" t="s">
        <v>629</v>
      </c>
      <c r="M22" s="133" t="str">
        <f>IFNA(VLOOKUP(L22,'Faculty Details'!$B:$H,4,0),"")</f>
        <v>Dr.MURALI KRISHNAN M</v>
      </c>
      <c r="N22" s="121" t="str">
        <f>IFNA(VLOOKUP(L22,'Faculty Details'!$B:$H,7,0),"")</f>
        <v>muralikrishnan@bitsathy.ac.in</v>
      </c>
      <c r="O22" s="121"/>
      <c r="P22" s="191"/>
      <c r="Q22" s="191"/>
      <c r="R22" s="191"/>
    </row>
    <row r="23">
      <c r="A23" s="28" t="s">
        <v>37</v>
      </c>
      <c r="B23" s="28" t="s">
        <v>1572</v>
      </c>
      <c r="C23" s="28" t="s">
        <v>1573</v>
      </c>
      <c r="D23" s="28" t="s">
        <v>1580</v>
      </c>
      <c r="E23" s="40" t="s">
        <v>1581</v>
      </c>
      <c r="F23" s="28" t="s">
        <v>1579</v>
      </c>
      <c r="G23" s="28">
        <v>2.0</v>
      </c>
      <c r="H23" s="28">
        <v>0.0</v>
      </c>
      <c r="I23" s="28">
        <v>2.0</v>
      </c>
      <c r="J23" s="28">
        <v>3.0</v>
      </c>
      <c r="K23" s="190">
        <v>15.0</v>
      </c>
      <c r="L23" s="122" t="s">
        <v>650</v>
      </c>
      <c r="M23" s="133" t="str">
        <f>IFNA(VLOOKUP(L23,'Faculty Details'!$B:$H,4,0),"")</f>
        <v>Dr.SUBHAPRIYA P</v>
      </c>
      <c r="N23" s="121" t="str">
        <f>IFNA(VLOOKUP(L23,'Faculty Details'!$B:$H,7,0),"")</f>
        <v>subhapriyap@bitsathy.ac.in</v>
      </c>
      <c r="O23" s="121"/>
      <c r="P23" s="191"/>
      <c r="Q23" s="191"/>
      <c r="R23" s="191"/>
    </row>
    <row r="24">
      <c r="A24" s="28" t="s">
        <v>40</v>
      </c>
      <c r="B24" s="28" t="s">
        <v>1572</v>
      </c>
      <c r="C24" s="28" t="s">
        <v>1573</v>
      </c>
      <c r="D24" s="28" t="s">
        <v>1580</v>
      </c>
      <c r="E24" s="40" t="s">
        <v>1581</v>
      </c>
      <c r="F24" s="28" t="s">
        <v>1579</v>
      </c>
      <c r="G24" s="28">
        <v>2.0</v>
      </c>
      <c r="H24" s="28">
        <v>0.0</v>
      </c>
      <c r="I24" s="28">
        <v>2.0</v>
      </c>
      <c r="J24" s="28">
        <v>3.0</v>
      </c>
      <c r="K24" s="190">
        <v>15.0</v>
      </c>
      <c r="L24" s="122" t="s">
        <v>662</v>
      </c>
      <c r="M24" s="133" t="str">
        <f>IFNA(VLOOKUP(L24,'Faculty Details'!$B:$H,4,0),"")</f>
        <v>Dr.MALATHI MAHALINGAM</v>
      </c>
      <c r="N24" s="121" t="str">
        <f>IFNA(VLOOKUP(L24,'Faculty Details'!$B:$H,7,0),"")</f>
        <v>malathimahalingamm@bitsathy.ac.in</v>
      </c>
      <c r="O24" s="121"/>
      <c r="P24" s="191"/>
      <c r="Q24" s="191"/>
      <c r="R24" s="191"/>
    </row>
    <row r="25">
      <c r="A25" s="28" t="s">
        <v>40</v>
      </c>
      <c r="B25" s="28" t="s">
        <v>1572</v>
      </c>
      <c r="C25" s="28" t="s">
        <v>1573</v>
      </c>
      <c r="D25" s="28" t="s">
        <v>1580</v>
      </c>
      <c r="E25" s="40" t="s">
        <v>1581</v>
      </c>
      <c r="F25" s="28" t="s">
        <v>1579</v>
      </c>
      <c r="G25" s="28">
        <v>2.0</v>
      </c>
      <c r="H25" s="28">
        <v>0.0</v>
      </c>
      <c r="I25" s="28">
        <v>2.0</v>
      </c>
      <c r="J25" s="28">
        <v>3.0</v>
      </c>
      <c r="K25" s="190">
        <v>15.0</v>
      </c>
      <c r="L25" s="122" t="s">
        <v>626</v>
      </c>
      <c r="M25" s="133" t="str">
        <f>IFNA(VLOOKUP(L25,'Faculty Details'!$B:$H,4,0),"")</f>
        <v>Dr.VISWANATHAN G</v>
      </c>
      <c r="N25" s="121" t="str">
        <f>IFNA(VLOOKUP(L25,'Faculty Details'!$B:$H,7,0),"")</f>
        <v>viswanathan@bitsathy.ac.in</v>
      </c>
      <c r="O25" s="121"/>
      <c r="P25" s="191"/>
      <c r="Q25" s="191"/>
      <c r="R25" s="191"/>
    </row>
    <row r="26">
      <c r="A26" s="28" t="s">
        <v>40</v>
      </c>
      <c r="B26" s="28" t="s">
        <v>1572</v>
      </c>
      <c r="C26" s="28" t="s">
        <v>1573</v>
      </c>
      <c r="D26" s="28" t="s">
        <v>1580</v>
      </c>
      <c r="E26" s="40" t="s">
        <v>1581</v>
      </c>
      <c r="F26" s="28" t="s">
        <v>1579</v>
      </c>
      <c r="G26" s="28">
        <v>2.0</v>
      </c>
      <c r="H26" s="28">
        <v>0.0</v>
      </c>
      <c r="I26" s="28">
        <v>2.0</v>
      </c>
      <c r="J26" s="28">
        <v>3.0</v>
      </c>
      <c r="K26" s="190">
        <v>15.0</v>
      </c>
      <c r="L26" s="122" t="s">
        <v>635</v>
      </c>
      <c r="M26" s="133" t="str">
        <f>IFNA(VLOOKUP(L26,'Faculty Details'!$B:$H,4,0),"")</f>
        <v>Dr.DEEPHA V</v>
      </c>
      <c r="N26" s="121" t="str">
        <f>IFNA(VLOOKUP(L26,'Faculty Details'!$B:$H,7,0),"")</f>
        <v>deephav@bitsathy.ac.in</v>
      </c>
      <c r="O26" s="121"/>
      <c r="P26" s="191"/>
      <c r="Q26" s="191"/>
      <c r="R26" s="191"/>
    </row>
    <row r="27">
      <c r="A27" s="28" t="s">
        <v>40</v>
      </c>
      <c r="B27" s="28" t="s">
        <v>1572</v>
      </c>
      <c r="C27" s="28" t="s">
        <v>1573</v>
      </c>
      <c r="D27" s="28" t="s">
        <v>1580</v>
      </c>
      <c r="E27" s="40" t="s">
        <v>1581</v>
      </c>
      <c r="F27" s="28" t="s">
        <v>1579</v>
      </c>
      <c r="G27" s="28">
        <v>2.0</v>
      </c>
      <c r="H27" s="28">
        <v>0.0</v>
      </c>
      <c r="I27" s="28">
        <v>2.0</v>
      </c>
      <c r="J27" s="28">
        <v>3.0</v>
      </c>
      <c r="K27" s="190">
        <v>15.0</v>
      </c>
      <c r="L27" s="122" t="s">
        <v>641</v>
      </c>
      <c r="M27" s="133" t="str">
        <f>IFNA(VLOOKUP(L27,'Faculty Details'!$B:$H,4,0),"")</f>
        <v>Dr.JESIN BENETO A</v>
      </c>
      <c r="N27" s="121" t="str">
        <f>IFNA(VLOOKUP(L27,'Faculty Details'!$B:$H,7,0),"")</f>
        <v>jesinbeneto@bitsathy.ac.in</v>
      </c>
      <c r="O27" s="121"/>
      <c r="P27" s="191"/>
      <c r="Q27" s="191"/>
      <c r="R27" s="191"/>
    </row>
    <row r="28">
      <c r="A28" s="28" t="s">
        <v>43</v>
      </c>
      <c r="B28" s="28" t="s">
        <v>1572</v>
      </c>
      <c r="C28" s="28" t="s">
        <v>1573</v>
      </c>
      <c r="D28" s="28" t="s">
        <v>1580</v>
      </c>
      <c r="E28" s="40" t="s">
        <v>1581</v>
      </c>
      <c r="F28" s="28" t="s">
        <v>1579</v>
      </c>
      <c r="G28" s="28">
        <v>2.0</v>
      </c>
      <c r="H28" s="28">
        <v>0.0</v>
      </c>
      <c r="I28" s="28">
        <v>2.0</v>
      </c>
      <c r="J28" s="28">
        <v>3.0</v>
      </c>
      <c r="K28" s="190">
        <v>15.0</v>
      </c>
      <c r="L28" s="122" t="s">
        <v>638</v>
      </c>
      <c r="M28" s="133" t="str">
        <f>IFNA(VLOOKUP(L28,'Faculty Details'!$B:$H,4,0),"")</f>
        <v>Dr.KARUPPUSAMY S</v>
      </c>
      <c r="N28" s="121" t="str">
        <f>IFNA(VLOOKUP(L28,'Faculty Details'!$B:$H,7,0),"")</f>
        <v>karuppusamys@bitsathy.ac.in</v>
      </c>
      <c r="O28" s="121"/>
      <c r="P28" s="191"/>
      <c r="Q28" s="191"/>
      <c r="R28" s="191"/>
    </row>
    <row r="29">
      <c r="A29" s="28" t="s">
        <v>46</v>
      </c>
      <c r="B29" s="28" t="s">
        <v>1572</v>
      </c>
      <c r="C29" s="28" t="s">
        <v>1573</v>
      </c>
      <c r="D29" s="28" t="s">
        <v>1580</v>
      </c>
      <c r="E29" s="40" t="s">
        <v>1581</v>
      </c>
      <c r="F29" s="28" t="s">
        <v>1579</v>
      </c>
      <c r="G29" s="28">
        <v>2.0</v>
      </c>
      <c r="H29" s="28">
        <v>0.0</v>
      </c>
      <c r="I29" s="28">
        <v>2.0</v>
      </c>
      <c r="J29" s="28">
        <v>3.0</v>
      </c>
      <c r="K29" s="190">
        <v>15.0</v>
      </c>
      <c r="L29" s="122" t="s">
        <v>644</v>
      </c>
      <c r="M29" s="133" t="str">
        <f>IFNA(VLOOKUP(L29,'Faculty Details'!$B:$H,4,0),"")</f>
        <v>Dr.MANIGANDAN S</v>
      </c>
      <c r="N29" s="121" t="str">
        <f>IFNA(VLOOKUP(L29,'Faculty Details'!$B:$H,7,0),"")</f>
        <v>manigandan@bitsathy.ac.in</v>
      </c>
      <c r="O29" s="121"/>
      <c r="P29" s="191"/>
      <c r="Q29" s="191"/>
      <c r="R29" s="191"/>
    </row>
    <row r="30">
      <c r="A30" s="121" t="s">
        <v>0</v>
      </c>
      <c r="B30" s="121" t="s">
        <v>1596</v>
      </c>
      <c r="C30" s="121" t="s">
        <v>1573</v>
      </c>
      <c r="D30" s="121" t="s">
        <v>1608</v>
      </c>
      <c r="E30" s="133" t="s">
        <v>1609</v>
      </c>
      <c r="F30" s="121" t="s">
        <v>1588</v>
      </c>
      <c r="G30" s="121">
        <v>2.0</v>
      </c>
      <c r="H30" s="121">
        <v>0.0</v>
      </c>
      <c r="I30" s="121">
        <v>0.0</v>
      </c>
      <c r="J30" s="121">
        <v>2.0</v>
      </c>
      <c r="K30" s="195">
        <v>0.0</v>
      </c>
      <c r="L30" s="122" t="s">
        <v>619</v>
      </c>
      <c r="M30" s="133" t="str">
        <f>IFNA(VLOOKUP(L30,'Faculty Details'!$B:$H,4,0),"")</f>
        <v>Dr.SATHISH V</v>
      </c>
      <c r="N30" s="121" t="str">
        <f>IFNA(VLOOKUP(L30,'Faculty Details'!$B:$H,7,0),"")</f>
        <v>sathishv@bitsathy.ac.in</v>
      </c>
      <c r="O30" s="139"/>
      <c r="P30" s="191"/>
      <c r="Q30" s="191"/>
      <c r="R30" s="191"/>
    </row>
    <row r="31">
      <c r="A31" s="121" t="s">
        <v>4</v>
      </c>
      <c r="B31" s="121" t="s">
        <v>1596</v>
      </c>
      <c r="C31" s="121" t="s">
        <v>1573</v>
      </c>
      <c r="D31" s="121" t="s">
        <v>1608</v>
      </c>
      <c r="E31" s="133" t="s">
        <v>1609</v>
      </c>
      <c r="F31" s="121" t="s">
        <v>1588</v>
      </c>
      <c r="G31" s="121">
        <v>2.0</v>
      </c>
      <c r="H31" s="121">
        <v>0.0</v>
      </c>
      <c r="I31" s="121">
        <v>0.0</v>
      </c>
      <c r="J31" s="121">
        <v>2.0</v>
      </c>
      <c r="K31" s="195">
        <v>0.0</v>
      </c>
      <c r="L31" s="122" t="s">
        <v>619</v>
      </c>
      <c r="M31" s="133" t="str">
        <f>IFNA(VLOOKUP(L31,'Faculty Details'!$B:$H,4,0),"")</f>
        <v>Dr.SATHISH V</v>
      </c>
      <c r="N31" s="121" t="str">
        <f>IFNA(VLOOKUP(L31,'Faculty Details'!$B:$H,7,0),"")</f>
        <v>sathishv@bitsathy.ac.in</v>
      </c>
      <c r="O31" s="139"/>
      <c r="P31" s="191"/>
      <c r="Q31" s="191"/>
      <c r="R31" s="191"/>
    </row>
    <row r="32">
      <c r="A32" s="121" t="s">
        <v>4</v>
      </c>
      <c r="B32" s="121" t="s">
        <v>1596</v>
      </c>
      <c r="C32" s="121" t="s">
        <v>1573</v>
      </c>
      <c r="D32" s="121" t="s">
        <v>1608</v>
      </c>
      <c r="E32" s="133" t="s">
        <v>1609</v>
      </c>
      <c r="F32" s="121" t="s">
        <v>1588</v>
      </c>
      <c r="G32" s="121">
        <v>2.0</v>
      </c>
      <c r="H32" s="121">
        <v>0.0</v>
      </c>
      <c r="I32" s="121">
        <v>0.0</v>
      </c>
      <c r="J32" s="121">
        <v>2.0</v>
      </c>
      <c r="K32" s="195">
        <v>0.0</v>
      </c>
      <c r="L32" s="122" t="s">
        <v>623</v>
      </c>
      <c r="M32" s="133" t="str">
        <f>IFNA(VLOOKUP(L32,'Faculty Details'!$B:$H,4,0),"")</f>
        <v>Dr.MUTHUKUMAR P</v>
      </c>
      <c r="N32" s="121" t="str">
        <f>IFNA(VLOOKUP(L32,'Faculty Details'!$B:$H,7,0),"")</f>
        <v>muthukumar@bitsathy.ac.in</v>
      </c>
      <c r="O32" s="139"/>
      <c r="P32" s="191"/>
      <c r="Q32" s="191"/>
      <c r="R32" s="191"/>
    </row>
    <row r="33">
      <c r="A33" s="121" t="s">
        <v>4</v>
      </c>
      <c r="B33" s="121" t="s">
        <v>1596</v>
      </c>
      <c r="C33" s="121" t="s">
        <v>1573</v>
      </c>
      <c r="D33" s="121" t="s">
        <v>1608</v>
      </c>
      <c r="E33" s="133" t="s">
        <v>1609</v>
      </c>
      <c r="F33" s="121" t="s">
        <v>1588</v>
      </c>
      <c r="G33" s="121">
        <v>2.0</v>
      </c>
      <c r="H33" s="121">
        <v>0.0</v>
      </c>
      <c r="I33" s="121">
        <v>0.0</v>
      </c>
      <c r="J33" s="121">
        <v>2.0</v>
      </c>
      <c r="K33" s="195">
        <v>0.0</v>
      </c>
      <c r="L33" s="122" t="s">
        <v>641</v>
      </c>
      <c r="M33" s="133" t="str">
        <f>IFNA(VLOOKUP(L33,'Faculty Details'!$B:$H,4,0),"")</f>
        <v>Dr.JESIN BENETO A</v>
      </c>
      <c r="N33" s="121" t="str">
        <f>IFNA(VLOOKUP(L33,'Faculty Details'!$B:$H,7,0),"")</f>
        <v>jesinbeneto@bitsathy.ac.in</v>
      </c>
      <c r="O33" s="139"/>
      <c r="P33" s="191"/>
      <c r="Q33" s="191"/>
      <c r="R33" s="191"/>
    </row>
    <row r="34">
      <c r="A34" s="121" t="s">
        <v>9</v>
      </c>
      <c r="B34" s="121" t="s">
        <v>1596</v>
      </c>
      <c r="C34" s="121" t="s">
        <v>1573</v>
      </c>
      <c r="D34" s="121" t="s">
        <v>1608</v>
      </c>
      <c r="E34" s="133" t="s">
        <v>1609</v>
      </c>
      <c r="F34" s="121" t="s">
        <v>1588</v>
      </c>
      <c r="G34" s="121">
        <v>2.0</v>
      </c>
      <c r="H34" s="121">
        <v>0.0</v>
      </c>
      <c r="I34" s="121">
        <v>0.0</v>
      </c>
      <c r="J34" s="121">
        <v>2.0</v>
      </c>
      <c r="K34" s="195">
        <v>0.0</v>
      </c>
      <c r="L34" s="122" t="s">
        <v>650</v>
      </c>
      <c r="M34" s="133" t="str">
        <f>IFNA(VLOOKUP(L34,'Faculty Details'!$B:$H,4,0),"")</f>
        <v>Dr.SUBHAPRIYA P</v>
      </c>
      <c r="N34" s="121" t="str">
        <f>IFNA(VLOOKUP(L34,'Faculty Details'!$B:$H,7,0),"")</f>
        <v>subhapriyap@bitsathy.ac.in</v>
      </c>
      <c r="O34" s="139"/>
      <c r="P34" s="191"/>
      <c r="Q34" s="191"/>
      <c r="R34" s="191"/>
    </row>
    <row r="35">
      <c r="A35" s="121" t="s">
        <v>9</v>
      </c>
      <c r="B35" s="121" t="s">
        <v>1596</v>
      </c>
      <c r="C35" s="121" t="s">
        <v>1573</v>
      </c>
      <c r="D35" s="121" t="s">
        <v>1608</v>
      </c>
      <c r="E35" s="133" t="s">
        <v>1609</v>
      </c>
      <c r="F35" s="121" t="s">
        <v>1588</v>
      </c>
      <c r="G35" s="121">
        <v>2.0</v>
      </c>
      <c r="H35" s="121">
        <v>0.0</v>
      </c>
      <c r="I35" s="121">
        <v>0.0</v>
      </c>
      <c r="J35" s="121">
        <v>2.0</v>
      </c>
      <c r="K35" s="195">
        <v>0.0</v>
      </c>
      <c r="L35" s="122" t="s">
        <v>644</v>
      </c>
      <c r="M35" s="133" t="str">
        <f>IFNA(VLOOKUP(L35,'Faculty Details'!$B:$H,4,0),"")</f>
        <v>Dr.MANIGANDAN S</v>
      </c>
      <c r="N35" s="121" t="str">
        <f>IFNA(VLOOKUP(L35,'Faculty Details'!$B:$H,7,0),"")</f>
        <v>manigandan@bitsathy.ac.in</v>
      </c>
      <c r="O35" s="139"/>
      <c r="P35" s="191"/>
      <c r="Q35" s="191"/>
      <c r="R35" s="191"/>
    </row>
    <row r="36">
      <c r="A36" s="121" t="s">
        <v>83</v>
      </c>
      <c r="B36" s="121" t="s">
        <v>1596</v>
      </c>
      <c r="C36" s="121" t="s">
        <v>1573</v>
      </c>
      <c r="D36" s="121" t="s">
        <v>1608</v>
      </c>
      <c r="E36" s="133" t="s">
        <v>1609</v>
      </c>
      <c r="F36" s="121" t="s">
        <v>1588</v>
      </c>
      <c r="G36" s="121">
        <v>2.0</v>
      </c>
      <c r="H36" s="121">
        <v>0.0</v>
      </c>
      <c r="I36" s="121">
        <v>0.0</v>
      </c>
      <c r="J36" s="121">
        <v>2.0</v>
      </c>
      <c r="K36" s="195">
        <v>0.0</v>
      </c>
      <c r="L36" s="122" t="s">
        <v>650</v>
      </c>
      <c r="M36" s="133" t="str">
        <f>IFNA(VLOOKUP(L36,'Faculty Details'!$B:$H,4,0),"")</f>
        <v>Dr.SUBHAPRIYA P</v>
      </c>
      <c r="N36" s="121" t="str">
        <f>IFNA(VLOOKUP(L36,'Faculty Details'!$B:$H,7,0),"")</f>
        <v>subhapriyap@bitsathy.ac.in</v>
      </c>
      <c r="O36" s="139"/>
      <c r="P36" s="191"/>
      <c r="Q36" s="191"/>
      <c r="R36" s="191"/>
    </row>
    <row r="37">
      <c r="A37" s="121" t="s">
        <v>13</v>
      </c>
      <c r="B37" s="121" t="s">
        <v>1596</v>
      </c>
      <c r="C37" s="121" t="s">
        <v>1573</v>
      </c>
      <c r="D37" s="121" t="s">
        <v>1608</v>
      </c>
      <c r="E37" s="133" t="s">
        <v>1609</v>
      </c>
      <c r="F37" s="121" t="s">
        <v>1588</v>
      </c>
      <c r="G37" s="121">
        <v>2.0</v>
      </c>
      <c r="H37" s="121">
        <v>0.0</v>
      </c>
      <c r="I37" s="121">
        <v>0.0</v>
      </c>
      <c r="J37" s="121">
        <v>2.0</v>
      </c>
      <c r="K37" s="195">
        <v>0.0</v>
      </c>
      <c r="L37" s="122" t="s">
        <v>662</v>
      </c>
      <c r="M37" s="133" t="str">
        <f>IFNA(VLOOKUP(L37,'Faculty Details'!$B:$H,4,0),"")</f>
        <v>Dr.MALATHI MAHALINGAM</v>
      </c>
      <c r="N37" s="121" t="str">
        <f>IFNA(VLOOKUP(L37,'Faculty Details'!$B:$H,7,0),"")</f>
        <v>malathimahalingamm@bitsathy.ac.in</v>
      </c>
      <c r="O37" s="139"/>
      <c r="P37" s="191"/>
      <c r="Q37" s="191"/>
      <c r="R37" s="191"/>
    </row>
    <row r="38">
      <c r="A38" s="121" t="s">
        <v>13</v>
      </c>
      <c r="B38" s="121" t="s">
        <v>1596</v>
      </c>
      <c r="C38" s="121" t="s">
        <v>1573</v>
      </c>
      <c r="D38" s="121" t="s">
        <v>1608</v>
      </c>
      <c r="E38" s="133" t="s">
        <v>1609</v>
      </c>
      <c r="F38" s="121" t="s">
        <v>1588</v>
      </c>
      <c r="G38" s="121">
        <v>2.0</v>
      </c>
      <c r="H38" s="121">
        <v>0.0</v>
      </c>
      <c r="I38" s="121">
        <v>0.0</v>
      </c>
      <c r="J38" s="121">
        <v>2.0</v>
      </c>
      <c r="K38" s="195">
        <v>0.0</v>
      </c>
      <c r="L38" s="122" t="s">
        <v>623</v>
      </c>
      <c r="M38" s="133" t="str">
        <f>IFNA(VLOOKUP(L38,'Faculty Details'!$B:$H,4,0),"")</f>
        <v>Dr.MUTHUKUMAR P</v>
      </c>
      <c r="N38" s="121" t="str">
        <f>IFNA(VLOOKUP(L38,'Faculty Details'!$B:$H,7,0),"")</f>
        <v>muthukumar@bitsathy.ac.in</v>
      </c>
      <c r="O38" s="139"/>
      <c r="P38" s="191"/>
      <c r="Q38" s="191"/>
      <c r="R38" s="191"/>
    </row>
    <row r="39">
      <c r="A39" s="121" t="s">
        <v>111</v>
      </c>
      <c r="B39" s="121" t="s">
        <v>1596</v>
      </c>
      <c r="C39" s="121" t="s">
        <v>1573</v>
      </c>
      <c r="D39" s="121" t="s">
        <v>1608</v>
      </c>
      <c r="E39" s="133" t="s">
        <v>1609</v>
      </c>
      <c r="F39" s="121" t="s">
        <v>1588</v>
      </c>
      <c r="G39" s="121">
        <v>2.0</v>
      </c>
      <c r="H39" s="121">
        <v>0.0</v>
      </c>
      <c r="I39" s="121">
        <v>0.0</v>
      </c>
      <c r="J39" s="121">
        <v>2.0</v>
      </c>
      <c r="K39" s="195">
        <v>0.0</v>
      </c>
      <c r="L39" s="122" t="s">
        <v>619</v>
      </c>
      <c r="M39" s="133" t="str">
        <f>IFNA(VLOOKUP(L39,'Faculty Details'!$B:$H,4,0),"")</f>
        <v>Dr.SATHISH V</v>
      </c>
      <c r="N39" s="121" t="str">
        <f>IFNA(VLOOKUP(L39,'Faculty Details'!$B:$H,7,0),"")</f>
        <v>sathishv@bitsathy.ac.in</v>
      </c>
      <c r="O39" s="139"/>
      <c r="P39" s="191"/>
      <c r="Q39" s="191"/>
      <c r="R39" s="191"/>
    </row>
    <row r="40">
      <c r="A40" s="121" t="s">
        <v>18</v>
      </c>
      <c r="B40" s="121" t="s">
        <v>1596</v>
      </c>
      <c r="C40" s="121" t="s">
        <v>1573</v>
      </c>
      <c r="D40" s="121" t="s">
        <v>1608</v>
      </c>
      <c r="E40" s="133" t="s">
        <v>1609</v>
      </c>
      <c r="F40" s="121" t="s">
        <v>1588</v>
      </c>
      <c r="G40" s="121">
        <v>2.0</v>
      </c>
      <c r="H40" s="121">
        <v>0.0</v>
      </c>
      <c r="I40" s="121">
        <v>0.0</v>
      </c>
      <c r="J40" s="121">
        <v>2.0</v>
      </c>
      <c r="K40" s="195">
        <v>0.0</v>
      </c>
      <c r="L40" s="122" t="s">
        <v>653</v>
      </c>
      <c r="M40" s="133" t="str">
        <f>IFNA(VLOOKUP(L40,'Faculty Details'!$B:$H,4,0),"")</f>
        <v>Dr.VIJAYANAND P S</v>
      </c>
      <c r="N40" s="121" t="str">
        <f>IFNA(VLOOKUP(L40,'Faculty Details'!$B:$H,7,0),"")</f>
        <v>vijayanandps@bitsathy.ac.in</v>
      </c>
      <c r="O40" s="139"/>
      <c r="P40" s="191"/>
      <c r="Q40" s="191"/>
      <c r="R40" s="191"/>
    </row>
    <row r="41">
      <c r="A41" s="121" t="s">
        <v>18</v>
      </c>
      <c r="B41" s="121" t="s">
        <v>1596</v>
      </c>
      <c r="C41" s="121" t="s">
        <v>1573</v>
      </c>
      <c r="D41" s="121" t="s">
        <v>1608</v>
      </c>
      <c r="E41" s="133" t="s">
        <v>1609</v>
      </c>
      <c r="F41" s="121" t="s">
        <v>1588</v>
      </c>
      <c r="G41" s="121">
        <v>2.0</v>
      </c>
      <c r="H41" s="121">
        <v>0.0</v>
      </c>
      <c r="I41" s="121">
        <v>0.0</v>
      </c>
      <c r="J41" s="121">
        <v>2.0</v>
      </c>
      <c r="K41" s="195">
        <v>0.0</v>
      </c>
      <c r="L41" s="122" t="s">
        <v>662</v>
      </c>
      <c r="M41" s="133" t="str">
        <f>IFNA(VLOOKUP(L41,'Faculty Details'!$B:$H,4,0),"")</f>
        <v>Dr.MALATHI MAHALINGAM</v>
      </c>
      <c r="N41" s="121" t="str">
        <f>IFNA(VLOOKUP(L41,'Faculty Details'!$B:$H,7,0),"")</f>
        <v>malathimahalingamm@bitsathy.ac.in</v>
      </c>
      <c r="O41" s="139"/>
      <c r="P41" s="191"/>
      <c r="Q41" s="191"/>
      <c r="R41" s="191"/>
    </row>
    <row r="42">
      <c r="A42" s="121" t="s">
        <v>18</v>
      </c>
      <c r="B42" s="121" t="s">
        <v>1596</v>
      </c>
      <c r="C42" s="121" t="s">
        <v>1573</v>
      </c>
      <c r="D42" s="121" t="s">
        <v>1608</v>
      </c>
      <c r="E42" s="133" t="s">
        <v>1609</v>
      </c>
      <c r="F42" s="121" t="s">
        <v>1588</v>
      </c>
      <c r="G42" s="121">
        <v>2.0</v>
      </c>
      <c r="H42" s="121">
        <v>0.0</v>
      </c>
      <c r="I42" s="121">
        <v>0.0</v>
      </c>
      <c r="J42" s="121">
        <v>2.0</v>
      </c>
      <c r="K42" s="195">
        <v>0.0</v>
      </c>
      <c r="L42" s="122" t="s">
        <v>626</v>
      </c>
      <c r="M42" s="133" t="str">
        <f>IFNA(VLOOKUP(L42,'Faculty Details'!$B:$H,4,0),"")</f>
        <v>Dr.VISWANATHAN G</v>
      </c>
      <c r="N42" s="121" t="str">
        <f>IFNA(VLOOKUP(L42,'Faculty Details'!$B:$H,7,0),"")</f>
        <v>viswanathan@bitsathy.ac.in</v>
      </c>
      <c r="O42" s="139"/>
      <c r="P42" s="191"/>
      <c r="Q42" s="191"/>
      <c r="R42" s="191"/>
    </row>
    <row r="43">
      <c r="A43" s="121" t="s">
        <v>18</v>
      </c>
      <c r="B43" s="121" t="s">
        <v>1596</v>
      </c>
      <c r="C43" s="121" t="s">
        <v>1573</v>
      </c>
      <c r="D43" s="121" t="s">
        <v>1608</v>
      </c>
      <c r="E43" s="133" t="s">
        <v>1609</v>
      </c>
      <c r="F43" s="121" t="s">
        <v>1588</v>
      </c>
      <c r="G43" s="121">
        <v>2.0</v>
      </c>
      <c r="H43" s="121">
        <v>0.0</v>
      </c>
      <c r="I43" s="121">
        <v>0.0</v>
      </c>
      <c r="J43" s="121">
        <v>2.0</v>
      </c>
      <c r="K43" s="195">
        <v>0.0</v>
      </c>
      <c r="L43" s="122" t="s">
        <v>629</v>
      </c>
      <c r="M43" s="133" t="str">
        <f>IFNA(VLOOKUP(L43,'Faculty Details'!$B:$H,4,0),"")</f>
        <v>Dr.MURALI KRISHNAN M</v>
      </c>
      <c r="N43" s="121" t="str">
        <f>IFNA(VLOOKUP(L43,'Faculty Details'!$B:$H,7,0),"")</f>
        <v>muralikrishnan@bitsathy.ac.in</v>
      </c>
      <c r="O43" s="139"/>
      <c r="P43" s="191"/>
      <c r="Q43" s="191"/>
      <c r="R43" s="191"/>
    </row>
    <row r="44">
      <c r="A44" s="121" t="s">
        <v>24</v>
      </c>
      <c r="B44" s="121" t="s">
        <v>1596</v>
      </c>
      <c r="C44" s="121" t="s">
        <v>1573</v>
      </c>
      <c r="D44" s="121" t="s">
        <v>1608</v>
      </c>
      <c r="E44" s="133" t="s">
        <v>1609</v>
      </c>
      <c r="F44" s="121" t="s">
        <v>1588</v>
      </c>
      <c r="G44" s="121">
        <v>2.0</v>
      </c>
      <c r="H44" s="121">
        <v>0.0</v>
      </c>
      <c r="I44" s="121">
        <v>0.0</v>
      </c>
      <c r="J44" s="121">
        <v>2.0</v>
      </c>
      <c r="K44" s="195">
        <v>0.0</v>
      </c>
      <c r="L44" s="122" t="s">
        <v>632</v>
      </c>
      <c r="M44" s="133" t="str">
        <f>IFNA(VLOOKUP(L44,'Faculty Details'!$B:$H,4,0),"")</f>
        <v>Dr.RAMESHKUMAR A</v>
      </c>
      <c r="N44" s="121" t="str">
        <f>IFNA(VLOOKUP(L44,'Faculty Details'!$B:$H,7,0),"")</f>
        <v>rameshkumar@bitsathy.ac.in</v>
      </c>
      <c r="O44" s="139"/>
      <c r="P44" s="191"/>
      <c r="Q44" s="191"/>
      <c r="R44" s="191"/>
    </row>
    <row r="45">
      <c r="A45" s="121" t="s">
        <v>143</v>
      </c>
      <c r="B45" s="121" t="s">
        <v>1596</v>
      </c>
      <c r="C45" s="121" t="s">
        <v>1573</v>
      </c>
      <c r="D45" s="121" t="s">
        <v>1608</v>
      </c>
      <c r="E45" s="133" t="s">
        <v>1609</v>
      </c>
      <c r="F45" s="121" t="s">
        <v>1588</v>
      </c>
      <c r="G45" s="121">
        <v>2.0</v>
      </c>
      <c r="H45" s="121">
        <v>0.0</v>
      </c>
      <c r="I45" s="121">
        <v>0.0</v>
      </c>
      <c r="J45" s="121">
        <v>2.0</v>
      </c>
      <c r="K45" s="195">
        <v>0.0</v>
      </c>
      <c r="L45" s="122" t="s">
        <v>638</v>
      </c>
      <c r="M45" s="133" t="str">
        <f>IFNA(VLOOKUP(L45,'Faculty Details'!$B:$H,4,0),"")</f>
        <v>Dr.KARUPPUSAMY S</v>
      </c>
      <c r="N45" s="121" t="str">
        <f>IFNA(VLOOKUP(L45,'Faculty Details'!$B:$H,7,0),"")</f>
        <v>karuppusamys@bitsathy.ac.in</v>
      </c>
      <c r="O45" s="139"/>
      <c r="P45" s="191"/>
      <c r="Q45" s="191"/>
      <c r="R45" s="191"/>
    </row>
    <row r="46">
      <c r="A46" s="121" t="s">
        <v>151</v>
      </c>
      <c r="B46" s="121" t="s">
        <v>1596</v>
      </c>
      <c r="C46" s="121" t="s">
        <v>1573</v>
      </c>
      <c r="D46" s="121" t="s">
        <v>1608</v>
      </c>
      <c r="E46" s="133" t="s">
        <v>1609</v>
      </c>
      <c r="F46" s="121" t="s">
        <v>1588</v>
      </c>
      <c r="G46" s="121">
        <v>2.0</v>
      </c>
      <c r="H46" s="121">
        <v>0.0</v>
      </c>
      <c r="I46" s="121">
        <v>0.0</v>
      </c>
      <c r="J46" s="121">
        <v>2.0</v>
      </c>
      <c r="K46" s="195">
        <v>0.0</v>
      </c>
      <c r="L46" s="122" t="s">
        <v>641</v>
      </c>
      <c r="M46" s="133" t="str">
        <f>IFNA(VLOOKUP(L46,'Faculty Details'!$B:$H,4,0),"")</f>
        <v>Dr.JESIN BENETO A</v>
      </c>
      <c r="N46" s="121" t="str">
        <f>IFNA(VLOOKUP(L46,'Faculty Details'!$B:$H,7,0),"")</f>
        <v>jesinbeneto@bitsathy.ac.in</v>
      </c>
      <c r="O46" s="139"/>
      <c r="P46" s="191"/>
      <c r="Q46" s="191"/>
      <c r="R46" s="191"/>
    </row>
    <row r="47">
      <c r="A47" s="121" t="s">
        <v>27</v>
      </c>
      <c r="B47" s="121" t="s">
        <v>1596</v>
      </c>
      <c r="C47" s="121" t="s">
        <v>1573</v>
      </c>
      <c r="D47" s="121" t="s">
        <v>1608</v>
      </c>
      <c r="E47" s="133" t="s">
        <v>1609</v>
      </c>
      <c r="F47" s="121" t="s">
        <v>1588</v>
      </c>
      <c r="G47" s="121">
        <v>2.0</v>
      </c>
      <c r="H47" s="121">
        <v>0.0</v>
      </c>
      <c r="I47" s="121">
        <v>0.0</v>
      </c>
      <c r="J47" s="121">
        <v>2.0</v>
      </c>
      <c r="K47" s="195">
        <v>0.0</v>
      </c>
      <c r="L47" s="122" t="s">
        <v>653</v>
      </c>
      <c r="M47" s="133" t="str">
        <f>IFNA(VLOOKUP(L47,'Faculty Details'!$B:$H,4,0),"")</f>
        <v>Dr.VIJAYANAND P S</v>
      </c>
      <c r="N47" s="121" t="str">
        <f>IFNA(VLOOKUP(L47,'Faculty Details'!$B:$H,7,0),"")</f>
        <v>vijayanandps@bitsathy.ac.in</v>
      </c>
      <c r="O47" s="139"/>
      <c r="P47" s="191"/>
      <c r="Q47" s="191"/>
      <c r="R47" s="191"/>
    </row>
    <row r="48">
      <c r="A48" s="121" t="s">
        <v>32</v>
      </c>
      <c r="B48" s="121" t="s">
        <v>1596</v>
      </c>
      <c r="C48" s="121" t="s">
        <v>1573</v>
      </c>
      <c r="D48" s="121" t="s">
        <v>1608</v>
      </c>
      <c r="E48" s="133" t="s">
        <v>1609</v>
      </c>
      <c r="F48" s="121" t="s">
        <v>1588</v>
      </c>
      <c r="G48" s="121">
        <v>2.0</v>
      </c>
      <c r="H48" s="121">
        <v>0.0</v>
      </c>
      <c r="I48" s="121">
        <v>0.0</v>
      </c>
      <c r="J48" s="121">
        <v>2.0</v>
      </c>
      <c r="K48" s="195">
        <v>0.0</v>
      </c>
      <c r="L48" s="122" t="s">
        <v>656</v>
      </c>
      <c r="M48" s="133" t="str">
        <f>IFNA(VLOOKUP(L48,'Faculty Details'!$B:$H,4,0),"")</f>
        <v>Dr.PRAVEENA R</v>
      </c>
      <c r="N48" s="121" t="str">
        <f>IFNA(VLOOKUP(L48,'Faculty Details'!$B:$H,7,0),"")</f>
        <v>praveenar@bitsathy.ac.in</v>
      </c>
      <c r="O48" s="139"/>
      <c r="P48" s="191"/>
      <c r="Q48" s="191"/>
      <c r="R48" s="191"/>
    </row>
    <row r="49">
      <c r="A49" s="121" t="s">
        <v>32</v>
      </c>
      <c r="B49" s="121" t="s">
        <v>1596</v>
      </c>
      <c r="C49" s="121" t="s">
        <v>1573</v>
      </c>
      <c r="D49" s="121" t="s">
        <v>1608</v>
      </c>
      <c r="E49" s="133" t="s">
        <v>1609</v>
      </c>
      <c r="F49" s="121" t="s">
        <v>1588</v>
      </c>
      <c r="G49" s="121">
        <v>2.0</v>
      </c>
      <c r="H49" s="121">
        <v>0.0</v>
      </c>
      <c r="I49" s="121">
        <v>0.0</v>
      </c>
      <c r="J49" s="121">
        <v>2.0</v>
      </c>
      <c r="K49" s="195">
        <v>0.0</v>
      </c>
      <c r="L49" s="122" t="s">
        <v>659</v>
      </c>
      <c r="M49" s="133" t="str">
        <f>IFNA(VLOOKUP(L49,'Faculty Details'!$B:$H,4,0),"")</f>
        <v>Dr.KAVITHA C</v>
      </c>
      <c r="N49" s="121" t="str">
        <f>IFNA(VLOOKUP(L49,'Faculty Details'!$B:$H,7,0),"")</f>
        <v>kavithac@bitsathy.ac.in</v>
      </c>
      <c r="O49" s="139"/>
      <c r="P49" s="191"/>
      <c r="Q49" s="191"/>
      <c r="R49" s="191"/>
    </row>
    <row r="50">
      <c r="A50" s="121" t="s">
        <v>32</v>
      </c>
      <c r="B50" s="121" t="s">
        <v>1596</v>
      </c>
      <c r="C50" s="121" t="s">
        <v>1573</v>
      </c>
      <c r="D50" s="121" t="s">
        <v>1608</v>
      </c>
      <c r="E50" s="133" t="s">
        <v>1609</v>
      </c>
      <c r="F50" s="121" t="s">
        <v>1588</v>
      </c>
      <c r="G50" s="121">
        <v>2.0</v>
      </c>
      <c r="H50" s="121">
        <v>0.0</v>
      </c>
      <c r="I50" s="121">
        <v>0.0</v>
      </c>
      <c r="J50" s="121">
        <v>2.0</v>
      </c>
      <c r="K50" s="195">
        <v>0.0</v>
      </c>
      <c r="L50" s="122" t="s">
        <v>626</v>
      </c>
      <c r="M50" s="133" t="str">
        <f>IFNA(VLOOKUP(L50,'Faculty Details'!$B:$H,4,0),"")</f>
        <v>Dr.VISWANATHAN G</v>
      </c>
      <c r="N50" s="121" t="str">
        <f>IFNA(VLOOKUP(L50,'Faculty Details'!$B:$H,7,0),"")</f>
        <v>viswanathan@bitsathy.ac.in</v>
      </c>
      <c r="O50" s="139"/>
      <c r="P50" s="191"/>
      <c r="Q50" s="191"/>
      <c r="R50" s="191"/>
    </row>
    <row r="51">
      <c r="A51" s="121" t="s">
        <v>32</v>
      </c>
      <c r="B51" s="121" t="s">
        <v>1596</v>
      </c>
      <c r="C51" s="121" t="s">
        <v>1573</v>
      </c>
      <c r="D51" s="121" t="s">
        <v>1608</v>
      </c>
      <c r="E51" s="133" t="s">
        <v>1609</v>
      </c>
      <c r="F51" s="121" t="s">
        <v>1588</v>
      </c>
      <c r="G51" s="121">
        <v>2.0</v>
      </c>
      <c r="H51" s="121">
        <v>0.0</v>
      </c>
      <c r="I51" s="121">
        <v>0.0</v>
      </c>
      <c r="J51" s="121">
        <v>2.0</v>
      </c>
      <c r="K51" s="195">
        <v>0.0</v>
      </c>
      <c r="L51" s="122" t="s">
        <v>629</v>
      </c>
      <c r="M51" s="133" t="str">
        <f>IFNA(VLOOKUP(L51,'Faculty Details'!$B:$H,4,0),"")</f>
        <v>Dr.MURALI KRISHNAN M</v>
      </c>
      <c r="N51" s="121" t="str">
        <f>IFNA(VLOOKUP(L51,'Faculty Details'!$B:$H,7,0),"")</f>
        <v>muralikrishnan@bitsathy.ac.in</v>
      </c>
      <c r="O51" s="139"/>
      <c r="P51" s="191"/>
      <c r="Q51" s="191"/>
      <c r="R51" s="191"/>
    </row>
    <row r="52">
      <c r="A52" s="121" t="s">
        <v>37</v>
      </c>
      <c r="B52" s="121" t="s">
        <v>1596</v>
      </c>
      <c r="C52" s="121" t="s">
        <v>1573</v>
      </c>
      <c r="D52" s="121" t="s">
        <v>1608</v>
      </c>
      <c r="E52" s="133" t="s">
        <v>1609</v>
      </c>
      <c r="F52" s="121" t="s">
        <v>1588</v>
      </c>
      <c r="G52" s="121">
        <v>2.0</v>
      </c>
      <c r="H52" s="121">
        <v>0.0</v>
      </c>
      <c r="I52" s="121">
        <v>0.0</v>
      </c>
      <c r="J52" s="121">
        <v>2.0</v>
      </c>
      <c r="K52" s="195">
        <v>0.0</v>
      </c>
      <c r="L52" s="122" t="s">
        <v>2158</v>
      </c>
      <c r="M52" s="133" t="str">
        <f>IFNA(VLOOKUP(L52,'Faculty Details'!$B:$H,4,0),"")</f>
        <v/>
      </c>
      <c r="N52" s="121" t="str">
        <f>IFNA(VLOOKUP(L52,'Faculty Details'!$B:$H,7,0),"")</f>
        <v/>
      </c>
      <c r="O52" s="139"/>
      <c r="P52" s="191"/>
      <c r="Q52" s="191"/>
      <c r="R52" s="191"/>
    </row>
    <row r="53">
      <c r="A53" s="121" t="s">
        <v>193</v>
      </c>
      <c r="B53" s="121" t="s">
        <v>1596</v>
      </c>
      <c r="C53" s="121" t="s">
        <v>1573</v>
      </c>
      <c r="D53" s="121" t="s">
        <v>1608</v>
      </c>
      <c r="E53" s="133" t="s">
        <v>1609</v>
      </c>
      <c r="F53" s="121" t="s">
        <v>1588</v>
      </c>
      <c r="G53" s="121">
        <v>2.0</v>
      </c>
      <c r="H53" s="121">
        <v>0.0</v>
      </c>
      <c r="I53" s="121">
        <v>0.0</v>
      </c>
      <c r="J53" s="121">
        <v>2.0</v>
      </c>
      <c r="K53" s="195">
        <v>0.0</v>
      </c>
      <c r="L53" s="122" t="s">
        <v>644</v>
      </c>
      <c r="M53" s="133" t="str">
        <f>IFNA(VLOOKUP(L53,'Faculty Details'!$B:$H,4,0),"")</f>
        <v>Dr.MANIGANDAN S</v>
      </c>
      <c r="N53" s="121" t="str">
        <f>IFNA(VLOOKUP(L53,'Faculty Details'!$B:$H,7,0),"")</f>
        <v>manigandan@bitsathy.ac.in</v>
      </c>
      <c r="O53" s="139"/>
      <c r="P53" s="191"/>
      <c r="Q53" s="191"/>
      <c r="R53" s="191"/>
    </row>
    <row r="54">
      <c r="A54" s="121" t="s">
        <v>200</v>
      </c>
      <c r="B54" s="121" t="s">
        <v>1596</v>
      </c>
      <c r="C54" s="121" t="s">
        <v>1573</v>
      </c>
      <c r="D54" s="121" t="s">
        <v>1608</v>
      </c>
      <c r="E54" s="133" t="s">
        <v>1609</v>
      </c>
      <c r="F54" s="121" t="s">
        <v>1588</v>
      </c>
      <c r="G54" s="121">
        <v>2.0</v>
      </c>
      <c r="H54" s="121">
        <v>0.0</v>
      </c>
      <c r="I54" s="121">
        <v>0.0</v>
      </c>
      <c r="J54" s="121">
        <v>2.0</v>
      </c>
      <c r="K54" s="195">
        <v>0.0</v>
      </c>
      <c r="L54" s="122" t="s">
        <v>632</v>
      </c>
      <c r="M54" s="133" t="str">
        <f>IFNA(VLOOKUP(L54,'Faculty Details'!$B:$H,4,0),"")</f>
        <v>Dr.RAMESHKUMAR A</v>
      </c>
      <c r="N54" s="121" t="str">
        <f>IFNA(VLOOKUP(L54,'Faculty Details'!$B:$H,7,0),"")</f>
        <v>rameshkumar@bitsathy.ac.in</v>
      </c>
      <c r="O54" s="139"/>
      <c r="P54" s="191"/>
      <c r="Q54" s="191"/>
      <c r="R54" s="191"/>
    </row>
    <row r="55">
      <c r="A55" s="121" t="s">
        <v>209</v>
      </c>
      <c r="B55" s="121" t="s">
        <v>1596</v>
      </c>
      <c r="C55" s="121" t="s">
        <v>1573</v>
      </c>
      <c r="D55" s="121" t="s">
        <v>1608</v>
      </c>
      <c r="E55" s="133" t="s">
        <v>1609</v>
      </c>
      <c r="F55" s="121" t="s">
        <v>1588</v>
      </c>
      <c r="G55" s="121">
        <v>2.0</v>
      </c>
      <c r="H55" s="121">
        <v>0.0</v>
      </c>
      <c r="I55" s="121">
        <v>0.0</v>
      </c>
      <c r="J55" s="121">
        <v>2.0</v>
      </c>
      <c r="K55" s="195">
        <v>0.0</v>
      </c>
      <c r="L55" s="122" t="s">
        <v>2158</v>
      </c>
      <c r="M55" s="133" t="str">
        <f>IFNA(VLOOKUP(L55,'Faculty Details'!$B:$H,4,0),"")</f>
        <v/>
      </c>
      <c r="N55" s="121" t="str">
        <f>IFNA(VLOOKUP(L55,'Faculty Details'!$B:$H,7,0),"")</f>
        <v/>
      </c>
      <c r="O55" s="139"/>
      <c r="P55" s="191"/>
      <c r="Q55" s="191"/>
      <c r="R55" s="191"/>
    </row>
    <row r="56">
      <c r="A56" s="121" t="s">
        <v>40</v>
      </c>
      <c r="B56" s="121" t="s">
        <v>1596</v>
      </c>
      <c r="C56" s="121" t="s">
        <v>1573</v>
      </c>
      <c r="D56" s="121" t="s">
        <v>1608</v>
      </c>
      <c r="E56" s="133" t="s">
        <v>1609</v>
      </c>
      <c r="F56" s="121" t="s">
        <v>1588</v>
      </c>
      <c r="G56" s="121">
        <v>2.0</v>
      </c>
      <c r="H56" s="121">
        <v>0.0</v>
      </c>
      <c r="I56" s="121">
        <v>0.0</v>
      </c>
      <c r="J56" s="121">
        <v>2.0</v>
      </c>
      <c r="K56" s="195">
        <v>0.0</v>
      </c>
      <c r="L56" s="122" t="s">
        <v>656</v>
      </c>
      <c r="M56" s="133" t="str">
        <f>IFNA(VLOOKUP(L56,'Faculty Details'!$B:$H,4,0),"")</f>
        <v>Dr.PRAVEENA R</v>
      </c>
      <c r="N56" s="121" t="str">
        <f>IFNA(VLOOKUP(L56,'Faculty Details'!$B:$H,7,0),"")</f>
        <v>praveenar@bitsathy.ac.in</v>
      </c>
      <c r="O56" s="139"/>
      <c r="P56" s="191"/>
      <c r="Q56" s="191"/>
      <c r="R56" s="191"/>
    </row>
    <row r="57">
      <c r="A57" s="121" t="s">
        <v>40</v>
      </c>
      <c r="B57" s="121" t="s">
        <v>1596</v>
      </c>
      <c r="C57" s="121" t="s">
        <v>1573</v>
      </c>
      <c r="D57" s="121" t="s">
        <v>1608</v>
      </c>
      <c r="E57" s="133" t="s">
        <v>1609</v>
      </c>
      <c r="F57" s="121" t="s">
        <v>1588</v>
      </c>
      <c r="G57" s="121">
        <v>2.0</v>
      </c>
      <c r="H57" s="121">
        <v>0.0</v>
      </c>
      <c r="I57" s="121">
        <v>0.0</v>
      </c>
      <c r="J57" s="121">
        <v>2.0</v>
      </c>
      <c r="K57" s="195">
        <v>0.0</v>
      </c>
      <c r="L57" s="122" t="s">
        <v>659</v>
      </c>
      <c r="M57" s="133" t="str">
        <f>IFNA(VLOOKUP(L57,'Faculty Details'!$B:$H,4,0),"")</f>
        <v>Dr.KAVITHA C</v>
      </c>
      <c r="N57" s="121" t="str">
        <f>IFNA(VLOOKUP(L57,'Faculty Details'!$B:$H,7,0),"")</f>
        <v>kavithac@bitsathy.ac.in</v>
      </c>
      <c r="O57" s="139"/>
      <c r="P57" s="191"/>
      <c r="Q57" s="191"/>
      <c r="R57" s="191"/>
    </row>
    <row r="58">
      <c r="A58" s="121" t="s">
        <v>40</v>
      </c>
      <c r="B58" s="121" t="s">
        <v>1596</v>
      </c>
      <c r="C58" s="121" t="s">
        <v>1573</v>
      </c>
      <c r="D58" s="121" t="s">
        <v>1608</v>
      </c>
      <c r="E58" s="133" t="s">
        <v>1609</v>
      </c>
      <c r="F58" s="121" t="s">
        <v>1588</v>
      </c>
      <c r="G58" s="121">
        <v>2.0</v>
      </c>
      <c r="H58" s="121">
        <v>0.0</v>
      </c>
      <c r="I58" s="121">
        <v>0.0</v>
      </c>
      <c r="J58" s="121">
        <v>2.0</v>
      </c>
      <c r="K58" s="195">
        <v>0.0</v>
      </c>
      <c r="L58" s="122" t="s">
        <v>635</v>
      </c>
      <c r="M58" s="133" t="str">
        <f>IFNA(VLOOKUP(L58,'Faculty Details'!$B:$H,4,0),"")</f>
        <v>Dr.DEEPHA V</v>
      </c>
      <c r="N58" s="121" t="str">
        <f>IFNA(VLOOKUP(L58,'Faculty Details'!$B:$H,7,0),"")</f>
        <v>deephav@bitsathy.ac.in</v>
      </c>
      <c r="O58" s="139"/>
      <c r="P58" s="191"/>
      <c r="Q58" s="191"/>
      <c r="R58" s="191"/>
    </row>
    <row r="59">
      <c r="A59" s="121" t="s">
        <v>43</v>
      </c>
      <c r="B59" s="121" t="s">
        <v>1596</v>
      </c>
      <c r="C59" s="121" t="s">
        <v>1573</v>
      </c>
      <c r="D59" s="121" t="s">
        <v>1608</v>
      </c>
      <c r="E59" s="133" t="s">
        <v>1609</v>
      </c>
      <c r="F59" s="121" t="s">
        <v>1588</v>
      </c>
      <c r="G59" s="121">
        <v>2.0</v>
      </c>
      <c r="H59" s="121">
        <v>0.0</v>
      </c>
      <c r="I59" s="121">
        <v>0.0</v>
      </c>
      <c r="J59" s="121">
        <v>2.0</v>
      </c>
      <c r="K59" s="195">
        <v>0.0</v>
      </c>
      <c r="L59" s="122" t="s">
        <v>638</v>
      </c>
      <c r="M59" s="133" t="str">
        <f>IFNA(VLOOKUP(L59,'Faculty Details'!$B:$H,4,0),"")</f>
        <v>Dr.KARUPPUSAMY S</v>
      </c>
      <c r="N59" s="121" t="str">
        <f>IFNA(VLOOKUP(L59,'Faculty Details'!$B:$H,7,0),"")</f>
        <v>karuppusamys@bitsathy.ac.in</v>
      </c>
      <c r="O59" s="139"/>
      <c r="P59" s="191"/>
      <c r="Q59" s="191"/>
      <c r="R59" s="191"/>
    </row>
    <row r="60">
      <c r="A60" s="121" t="s">
        <v>46</v>
      </c>
      <c r="B60" s="121" t="s">
        <v>1596</v>
      </c>
      <c r="C60" s="121" t="s">
        <v>1573</v>
      </c>
      <c r="D60" s="121" t="s">
        <v>1608</v>
      </c>
      <c r="E60" s="133" t="s">
        <v>1609</v>
      </c>
      <c r="F60" s="121" t="s">
        <v>1588</v>
      </c>
      <c r="G60" s="121">
        <v>2.0</v>
      </c>
      <c r="H60" s="121">
        <v>0.0</v>
      </c>
      <c r="I60" s="121">
        <v>0.0</v>
      </c>
      <c r="J60" s="121">
        <v>2.0</v>
      </c>
      <c r="K60" s="195">
        <v>0.0</v>
      </c>
      <c r="L60" s="122" t="s">
        <v>635</v>
      </c>
      <c r="M60" s="133" t="str">
        <f>IFNA(VLOOKUP(L60,'Faculty Details'!$B:$H,4,0),"")</f>
        <v>Dr.DEEPHA V</v>
      </c>
      <c r="N60" s="121" t="str">
        <f>IFNA(VLOOKUP(L60,'Faculty Details'!$B:$H,7,0),"")</f>
        <v>deephav@bitsathy.ac.in</v>
      </c>
      <c r="O60" s="139"/>
      <c r="P60" s="191"/>
      <c r="Q60" s="191"/>
      <c r="R60" s="191"/>
    </row>
  </sheetData>
  <conditionalFormatting sqref="L2:L60">
    <cfRule type="containsBlanks" dxfId="1" priority="1">
      <formula>LEN(TRIM(L2))=0</formula>
    </cfRule>
  </conditionalFormatting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9.88"/>
    <col customWidth="1" min="3" max="3" width="11.0"/>
    <col customWidth="1" min="5" max="5" width="25.63"/>
    <col customWidth="1" min="7" max="10" width="5.75"/>
    <col customWidth="1" min="11" max="11" width="8.38"/>
  </cols>
  <sheetData>
    <row r="1">
      <c r="A1" s="189" t="s">
        <v>1560</v>
      </c>
      <c r="B1" s="189" t="s">
        <v>1561</v>
      </c>
      <c r="C1" s="189" t="s">
        <v>1562</v>
      </c>
      <c r="D1" s="189" t="s">
        <v>1563</v>
      </c>
      <c r="E1" s="189" t="s">
        <v>1564</v>
      </c>
      <c r="F1" s="189" t="s">
        <v>1565</v>
      </c>
      <c r="G1" s="189" t="s">
        <v>1566</v>
      </c>
      <c r="H1" s="189" t="s">
        <v>1567</v>
      </c>
      <c r="I1" s="189" t="s">
        <v>1568</v>
      </c>
      <c r="J1" s="189" t="s">
        <v>1569</v>
      </c>
      <c r="K1" s="189" t="s">
        <v>2835</v>
      </c>
      <c r="L1" s="189" t="s">
        <v>1570</v>
      </c>
      <c r="M1" s="39" t="s">
        <v>257</v>
      </c>
      <c r="N1" s="189" t="s">
        <v>1571</v>
      </c>
      <c r="O1" s="127"/>
    </row>
    <row r="2">
      <c r="A2" s="28" t="s">
        <v>0</v>
      </c>
      <c r="B2" s="28" t="s">
        <v>1572</v>
      </c>
      <c r="C2" s="28" t="s">
        <v>1573</v>
      </c>
      <c r="D2" s="28" t="s">
        <v>1574</v>
      </c>
      <c r="E2" s="40" t="s">
        <v>1575</v>
      </c>
      <c r="F2" s="28" t="s">
        <v>1576</v>
      </c>
      <c r="G2" s="28">
        <v>3.0</v>
      </c>
      <c r="H2" s="28">
        <v>1.0</v>
      </c>
      <c r="I2" s="28">
        <v>0.0</v>
      </c>
      <c r="J2" s="28">
        <v>4.0</v>
      </c>
      <c r="K2" s="190">
        <v>20.0</v>
      </c>
      <c r="L2" s="1"/>
      <c r="M2" s="121" t="str">
        <f>IFNA(VLOOKUP(L2,'Faculty Details'!$B:$H,4,0),"")</f>
        <v/>
      </c>
      <c r="N2" s="121" t="str">
        <f>IFNA(VLOOKUP(L2,'Faculty Details'!$B:$H,7,0),"")</f>
        <v/>
      </c>
      <c r="O2" s="121"/>
    </row>
    <row r="3">
      <c r="A3" s="28" t="s">
        <v>4</v>
      </c>
      <c r="B3" s="28" t="s">
        <v>1572</v>
      </c>
      <c r="C3" s="28" t="s">
        <v>1573</v>
      </c>
      <c r="D3" s="28" t="s">
        <v>1574</v>
      </c>
      <c r="E3" s="40" t="s">
        <v>1575</v>
      </c>
      <c r="F3" s="28" t="s">
        <v>1576</v>
      </c>
      <c r="G3" s="28">
        <v>3.0</v>
      </c>
      <c r="H3" s="28">
        <v>1.0</v>
      </c>
      <c r="I3" s="28">
        <v>0.0</v>
      </c>
      <c r="J3" s="28">
        <v>4.0</v>
      </c>
      <c r="K3" s="190">
        <v>20.0</v>
      </c>
      <c r="L3" s="1"/>
      <c r="M3" s="121" t="str">
        <f>IFNA(VLOOKUP(L3,'Faculty Details'!$B:$H,4,0),"")</f>
        <v/>
      </c>
      <c r="N3" s="121" t="str">
        <f>IFNA(VLOOKUP(L3,'Faculty Details'!$B:$H,7,0),"")</f>
        <v/>
      </c>
      <c r="O3" s="121"/>
    </row>
    <row r="4">
      <c r="A4" s="28" t="s">
        <v>4</v>
      </c>
      <c r="B4" s="28" t="s">
        <v>1572</v>
      </c>
      <c r="C4" s="28" t="s">
        <v>1573</v>
      </c>
      <c r="D4" s="28" t="s">
        <v>1574</v>
      </c>
      <c r="E4" s="40" t="s">
        <v>1575</v>
      </c>
      <c r="F4" s="28" t="s">
        <v>1576</v>
      </c>
      <c r="G4" s="28">
        <v>3.0</v>
      </c>
      <c r="H4" s="28">
        <v>1.0</v>
      </c>
      <c r="I4" s="28">
        <v>0.0</v>
      </c>
      <c r="J4" s="28">
        <v>4.0</v>
      </c>
      <c r="K4" s="190">
        <v>20.0</v>
      </c>
      <c r="L4" s="1"/>
      <c r="M4" s="121" t="str">
        <f>IFNA(VLOOKUP(L4,'Faculty Details'!$B:$H,4,0),"")</f>
        <v/>
      </c>
      <c r="N4" s="121" t="str">
        <f>IFNA(VLOOKUP(L4,'Faculty Details'!$B:$H,7,0),"")</f>
        <v/>
      </c>
      <c r="O4" s="121"/>
    </row>
    <row r="5">
      <c r="A5" s="28" t="s">
        <v>4</v>
      </c>
      <c r="B5" s="28" t="s">
        <v>1572</v>
      </c>
      <c r="C5" s="28" t="s">
        <v>1573</v>
      </c>
      <c r="D5" s="28" t="s">
        <v>1574</v>
      </c>
      <c r="E5" s="40" t="s">
        <v>1575</v>
      </c>
      <c r="F5" s="28" t="s">
        <v>1576</v>
      </c>
      <c r="G5" s="28">
        <v>3.0</v>
      </c>
      <c r="H5" s="28">
        <v>1.0</v>
      </c>
      <c r="I5" s="28">
        <v>0.0</v>
      </c>
      <c r="J5" s="28">
        <v>4.0</v>
      </c>
      <c r="K5" s="190">
        <v>20.0</v>
      </c>
      <c r="L5" s="1"/>
      <c r="M5" s="121" t="str">
        <f>IFNA(VLOOKUP(L5,'Faculty Details'!$B:$H,4,0),"")</f>
        <v/>
      </c>
      <c r="N5" s="121" t="str">
        <f>IFNA(VLOOKUP(L5,'Faculty Details'!$B:$H,7,0),"")</f>
        <v/>
      </c>
      <c r="O5" s="121"/>
    </row>
    <row r="6">
      <c r="A6" s="28" t="s">
        <v>4</v>
      </c>
      <c r="B6" s="28" t="s">
        <v>1572</v>
      </c>
      <c r="C6" s="28" t="s">
        <v>1573</v>
      </c>
      <c r="D6" s="28" t="s">
        <v>1574</v>
      </c>
      <c r="E6" s="40" t="s">
        <v>1575</v>
      </c>
      <c r="F6" s="28" t="s">
        <v>1576</v>
      </c>
      <c r="G6" s="28">
        <v>3.0</v>
      </c>
      <c r="H6" s="28">
        <v>1.0</v>
      </c>
      <c r="I6" s="28">
        <v>0.0</v>
      </c>
      <c r="J6" s="28">
        <v>4.0</v>
      </c>
      <c r="K6" s="190">
        <v>20.0</v>
      </c>
      <c r="L6" s="1"/>
      <c r="M6" s="121" t="str">
        <f>IFNA(VLOOKUP(L6,'Faculty Details'!$B:$H,4,0),"")</f>
        <v/>
      </c>
      <c r="N6" s="121" t="str">
        <f>IFNA(VLOOKUP(L6,'Faculty Details'!$B:$H,7,0),"")</f>
        <v/>
      </c>
      <c r="O6" s="121"/>
    </row>
    <row r="7">
      <c r="A7" s="28" t="s">
        <v>9</v>
      </c>
      <c r="B7" s="28" t="s">
        <v>1572</v>
      </c>
      <c r="C7" s="28" t="s">
        <v>1573</v>
      </c>
      <c r="D7" s="28" t="s">
        <v>1574</v>
      </c>
      <c r="E7" s="40" t="s">
        <v>1575</v>
      </c>
      <c r="F7" s="28" t="s">
        <v>1576</v>
      </c>
      <c r="G7" s="28">
        <v>3.0</v>
      </c>
      <c r="H7" s="28">
        <v>1.0</v>
      </c>
      <c r="I7" s="28">
        <v>0.0</v>
      </c>
      <c r="J7" s="28">
        <v>4.0</v>
      </c>
      <c r="K7" s="190">
        <v>20.0</v>
      </c>
      <c r="L7" s="1"/>
      <c r="M7" s="121" t="str">
        <f>IFNA(VLOOKUP(L7,'Faculty Details'!$B:$H,4,0),"")</f>
        <v/>
      </c>
      <c r="N7" s="121" t="str">
        <f>IFNA(VLOOKUP(L7,'Faculty Details'!$B:$H,7,0),"")</f>
        <v/>
      </c>
      <c r="O7" s="121"/>
    </row>
    <row r="8">
      <c r="A8" s="28" t="s">
        <v>9</v>
      </c>
      <c r="B8" s="28" t="s">
        <v>1572</v>
      </c>
      <c r="C8" s="28" t="s">
        <v>1573</v>
      </c>
      <c r="D8" s="28" t="s">
        <v>1574</v>
      </c>
      <c r="E8" s="40" t="s">
        <v>1575</v>
      </c>
      <c r="F8" s="28" t="s">
        <v>1576</v>
      </c>
      <c r="G8" s="28">
        <v>3.0</v>
      </c>
      <c r="H8" s="28">
        <v>1.0</v>
      </c>
      <c r="I8" s="28">
        <v>0.0</v>
      </c>
      <c r="J8" s="28">
        <v>4.0</v>
      </c>
      <c r="K8" s="190">
        <v>20.0</v>
      </c>
      <c r="L8" s="1"/>
      <c r="M8" s="121" t="str">
        <f>IFNA(VLOOKUP(L8,'Faculty Details'!$B:$H,4,0),"")</f>
        <v/>
      </c>
      <c r="N8" s="121" t="str">
        <f>IFNA(VLOOKUP(L8,'Faculty Details'!$B:$H,7,0),"")</f>
        <v/>
      </c>
      <c r="O8" s="121"/>
    </row>
    <row r="9">
      <c r="A9" s="28" t="s">
        <v>13</v>
      </c>
      <c r="B9" s="28" t="s">
        <v>1572</v>
      </c>
      <c r="C9" s="28" t="s">
        <v>1573</v>
      </c>
      <c r="D9" s="28" t="s">
        <v>1574</v>
      </c>
      <c r="E9" s="40" t="s">
        <v>1575</v>
      </c>
      <c r="F9" s="28" t="s">
        <v>1576</v>
      </c>
      <c r="G9" s="28">
        <v>3.0</v>
      </c>
      <c r="H9" s="28">
        <v>1.0</v>
      </c>
      <c r="I9" s="28">
        <v>0.0</v>
      </c>
      <c r="J9" s="28">
        <v>4.0</v>
      </c>
      <c r="K9" s="190">
        <v>20.0</v>
      </c>
      <c r="L9" s="1"/>
      <c r="M9" s="121" t="str">
        <f>IFNA(VLOOKUP(L9,'Faculty Details'!$B:$H,4,0),"")</f>
        <v/>
      </c>
      <c r="N9" s="121" t="str">
        <f>IFNA(VLOOKUP(L9,'Faculty Details'!$B:$H,7,0),"")</f>
        <v/>
      </c>
      <c r="O9" s="121"/>
    </row>
    <row r="10">
      <c r="A10" s="28" t="s">
        <v>13</v>
      </c>
      <c r="B10" s="28" t="s">
        <v>1572</v>
      </c>
      <c r="C10" s="28" t="s">
        <v>1573</v>
      </c>
      <c r="D10" s="28" t="s">
        <v>1574</v>
      </c>
      <c r="E10" s="40" t="s">
        <v>1575</v>
      </c>
      <c r="F10" s="28" t="s">
        <v>1576</v>
      </c>
      <c r="G10" s="28">
        <v>3.0</v>
      </c>
      <c r="H10" s="28">
        <v>1.0</v>
      </c>
      <c r="I10" s="28">
        <v>0.0</v>
      </c>
      <c r="J10" s="28">
        <v>4.0</v>
      </c>
      <c r="K10" s="190">
        <v>20.0</v>
      </c>
      <c r="L10" s="1"/>
      <c r="M10" s="121" t="str">
        <f>IFNA(VLOOKUP(L10,'Faculty Details'!$B:$H,4,0),"")</f>
        <v/>
      </c>
      <c r="N10" s="121" t="str">
        <f>IFNA(VLOOKUP(L10,'Faculty Details'!$B:$H,7,0),"")</f>
        <v/>
      </c>
      <c r="O10" s="121"/>
    </row>
    <row r="11">
      <c r="A11" s="28" t="s">
        <v>18</v>
      </c>
      <c r="B11" s="28" t="s">
        <v>1572</v>
      </c>
      <c r="C11" s="28" t="s">
        <v>1573</v>
      </c>
      <c r="D11" s="28" t="s">
        <v>1574</v>
      </c>
      <c r="E11" s="40" t="s">
        <v>1575</v>
      </c>
      <c r="F11" s="28" t="s">
        <v>1576</v>
      </c>
      <c r="G11" s="28">
        <v>3.0</v>
      </c>
      <c r="H11" s="28">
        <v>1.0</v>
      </c>
      <c r="I11" s="28">
        <v>0.0</v>
      </c>
      <c r="J11" s="28">
        <v>4.0</v>
      </c>
      <c r="K11" s="190">
        <v>20.0</v>
      </c>
      <c r="L11" s="1"/>
      <c r="M11" s="121" t="str">
        <f>IFNA(VLOOKUP(L11,'Faculty Details'!$B:$H,4,0),"")</f>
        <v/>
      </c>
      <c r="N11" s="121" t="str">
        <f>IFNA(VLOOKUP(L11,'Faculty Details'!$B:$H,7,0),"")</f>
        <v/>
      </c>
      <c r="O11" s="121"/>
    </row>
    <row r="12">
      <c r="A12" s="28" t="s">
        <v>18</v>
      </c>
      <c r="B12" s="28" t="s">
        <v>1572</v>
      </c>
      <c r="C12" s="28" t="s">
        <v>1573</v>
      </c>
      <c r="D12" s="28" t="s">
        <v>1574</v>
      </c>
      <c r="E12" s="40" t="s">
        <v>1575</v>
      </c>
      <c r="F12" s="28" t="s">
        <v>1576</v>
      </c>
      <c r="G12" s="28">
        <v>3.0</v>
      </c>
      <c r="H12" s="28">
        <v>1.0</v>
      </c>
      <c r="I12" s="28">
        <v>0.0</v>
      </c>
      <c r="J12" s="28">
        <v>4.0</v>
      </c>
      <c r="K12" s="190">
        <v>20.0</v>
      </c>
      <c r="L12" s="1"/>
      <c r="M12" s="121" t="str">
        <f>IFNA(VLOOKUP(L12,'Faculty Details'!$B:$H,4,0),"")</f>
        <v/>
      </c>
      <c r="N12" s="121" t="str">
        <f>IFNA(VLOOKUP(L12,'Faculty Details'!$B:$H,7,0),"")</f>
        <v/>
      </c>
      <c r="O12" s="121"/>
    </row>
    <row r="13">
      <c r="A13" s="28" t="s">
        <v>18</v>
      </c>
      <c r="B13" s="28" t="s">
        <v>1572</v>
      </c>
      <c r="C13" s="28" t="s">
        <v>1573</v>
      </c>
      <c r="D13" s="28" t="s">
        <v>1574</v>
      </c>
      <c r="E13" s="40" t="s">
        <v>1575</v>
      </c>
      <c r="F13" s="28" t="s">
        <v>1576</v>
      </c>
      <c r="G13" s="28">
        <v>3.0</v>
      </c>
      <c r="H13" s="28">
        <v>1.0</v>
      </c>
      <c r="I13" s="28">
        <v>0.0</v>
      </c>
      <c r="J13" s="28">
        <v>4.0</v>
      </c>
      <c r="K13" s="190">
        <v>20.0</v>
      </c>
      <c r="L13" s="1"/>
      <c r="M13" s="121" t="str">
        <f>IFNA(VLOOKUP(L13,'Faculty Details'!$B:$H,4,0),"")</f>
        <v/>
      </c>
      <c r="N13" s="121" t="str">
        <f>IFNA(VLOOKUP(L13,'Faculty Details'!$B:$H,7,0),"")</f>
        <v/>
      </c>
      <c r="O13" s="121"/>
    </row>
    <row r="14">
      <c r="A14" s="28" t="s">
        <v>18</v>
      </c>
      <c r="B14" s="28" t="s">
        <v>1572</v>
      </c>
      <c r="C14" s="28" t="s">
        <v>1573</v>
      </c>
      <c r="D14" s="28" t="s">
        <v>1574</v>
      </c>
      <c r="E14" s="40" t="s">
        <v>1575</v>
      </c>
      <c r="F14" s="28" t="s">
        <v>1576</v>
      </c>
      <c r="G14" s="28">
        <v>3.0</v>
      </c>
      <c r="H14" s="28">
        <v>1.0</v>
      </c>
      <c r="I14" s="28">
        <v>0.0</v>
      </c>
      <c r="J14" s="28">
        <v>4.0</v>
      </c>
      <c r="K14" s="190">
        <v>20.0</v>
      </c>
      <c r="L14" s="1"/>
      <c r="M14" s="121" t="str">
        <f>IFNA(VLOOKUP(L14,'Faculty Details'!$B:$H,4,0),"")</f>
        <v/>
      </c>
      <c r="N14" s="121" t="str">
        <f>IFNA(VLOOKUP(L14,'Faculty Details'!$B:$H,7,0),"")</f>
        <v/>
      </c>
      <c r="O14" s="121"/>
    </row>
    <row r="15">
      <c r="A15" s="28" t="s">
        <v>18</v>
      </c>
      <c r="B15" s="28" t="s">
        <v>1572</v>
      </c>
      <c r="C15" s="28" t="s">
        <v>1573</v>
      </c>
      <c r="D15" s="28" t="s">
        <v>1574</v>
      </c>
      <c r="E15" s="40" t="s">
        <v>1575</v>
      </c>
      <c r="F15" s="28" t="s">
        <v>1576</v>
      </c>
      <c r="G15" s="28">
        <v>3.0</v>
      </c>
      <c r="H15" s="28">
        <v>1.0</v>
      </c>
      <c r="I15" s="28">
        <v>0.0</v>
      </c>
      <c r="J15" s="28">
        <v>4.0</v>
      </c>
      <c r="K15" s="190">
        <v>20.0</v>
      </c>
      <c r="L15" s="1"/>
      <c r="M15" s="121" t="str">
        <f>IFNA(VLOOKUP(L15,'Faculty Details'!$B:$H,4,0),"")</f>
        <v/>
      </c>
      <c r="N15" s="121" t="str">
        <f>IFNA(VLOOKUP(L15,'Faculty Details'!$B:$H,7,0),"")</f>
        <v/>
      </c>
      <c r="O15" s="121"/>
    </row>
    <row r="16">
      <c r="A16" s="28" t="s">
        <v>18</v>
      </c>
      <c r="B16" s="28" t="s">
        <v>1572</v>
      </c>
      <c r="C16" s="28" t="s">
        <v>1573</v>
      </c>
      <c r="D16" s="28" t="s">
        <v>1574</v>
      </c>
      <c r="E16" s="40" t="s">
        <v>1575</v>
      </c>
      <c r="F16" s="28" t="s">
        <v>1576</v>
      </c>
      <c r="G16" s="28">
        <v>3.0</v>
      </c>
      <c r="H16" s="28">
        <v>1.0</v>
      </c>
      <c r="I16" s="28">
        <v>0.0</v>
      </c>
      <c r="J16" s="28">
        <v>4.0</v>
      </c>
      <c r="K16" s="190">
        <v>20.0</v>
      </c>
      <c r="L16" s="1"/>
      <c r="M16" s="121" t="str">
        <f>IFNA(VLOOKUP(L16,'Faculty Details'!$B:$H,4,0),"")</f>
        <v/>
      </c>
      <c r="N16" s="121" t="str">
        <f>IFNA(VLOOKUP(L16,'Faculty Details'!$B:$H,7,0),"")</f>
        <v/>
      </c>
      <c r="O16" s="121"/>
    </row>
    <row r="17">
      <c r="A17" s="28" t="s">
        <v>24</v>
      </c>
      <c r="B17" s="28" t="s">
        <v>1572</v>
      </c>
      <c r="C17" s="28" t="s">
        <v>1573</v>
      </c>
      <c r="D17" s="28" t="s">
        <v>2698</v>
      </c>
      <c r="E17" s="40" t="s">
        <v>2699</v>
      </c>
      <c r="F17" s="28" t="s">
        <v>1576</v>
      </c>
      <c r="G17" s="28">
        <v>3.0</v>
      </c>
      <c r="H17" s="28">
        <v>0.0</v>
      </c>
      <c r="I17" s="28">
        <v>0.0</v>
      </c>
      <c r="J17" s="28">
        <v>3.0</v>
      </c>
      <c r="K17" s="190">
        <v>20.0</v>
      </c>
      <c r="L17" s="1"/>
      <c r="M17" s="121" t="str">
        <f>IFNA(VLOOKUP(L17,'Faculty Details'!$B:$H,4,0),"")</f>
        <v/>
      </c>
      <c r="N17" s="121" t="str">
        <f>IFNA(VLOOKUP(L17,'Faculty Details'!$B:$H,7,0),"")</f>
        <v/>
      </c>
      <c r="O17" s="121"/>
    </row>
    <row r="18">
      <c r="A18" s="28" t="s">
        <v>24</v>
      </c>
      <c r="B18" s="28" t="s">
        <v>1572</v>
      </c>
      <c r="C18" s="28" t="s">
        <v>1573</v>
      </c>
      <c r="D18" s="28" t="s">
        <v>2700</v>
      </c>
      <c r="E18" s="40" t="s">
        <v>2701</v>
      </c>
      <c r="F18" s="28" t="s">
        <v>1576</v>
      </c>
      <c r="G18" s="28">
        <v>3.0</v>
      </c>
      <c r="H18" s="28">
        <v>0.0</v>
      </c>
      <c r="I18" s="28">
        <v>0.0</v>
      </c>
      <c r="J18" s="28">
        <v>3.0</v>
      </c>
      <c r="K18" s="190">
        <v>20.0</v>
      </c>
      <c r="L18" s="1"/>
      <c r="M18" s="121" t="str">
        <f>IFNA(VLOOKUP(L18,'Faculty Details'!$B:$H,4,0),"")</f>
        <v/>
      </c>
      <c r="N18" s="121" t="str">
        <f>IFNA(VLOOKUP(L18,'Faculty Details'!$B:$H,7,0),"")</f>
        <v/>
      </c>
      <c r="O18" s="121"/>
    </row>
    <row r="19">
      <c r="A19" s="28" t="s">
        <v>27</v>
      </c>
      <c r="B19" s="28" t="s">
        <v>1572</v>
      </c>
      <c r="C19" s="28" t="s">
        <v>1573</v>
      </c>
      <c r="D19" s="28" t="s">
        <v>1574</v>
      </c>
      <c r="E19" s="40" t="s">
        <v>1575</v>
      </c>
      <c r="F19" s="28" t="s">
        <v>1576</v>
      </c>
      <c r="G19" s="28">
        <v>3.0</v>
      </c>
      <c r="H19" s="28">
        <v>1.0</v>
      </c>
      <c r="I19" s="28">
        <v>0.0</v>
      </c>
      <c r="J19" s="28">
        <v>4.0</v>
      </c>
      <c r="K19" s="190">
        <v>20.0</v>
      </c>
      <c r="L19" s="1"/>
      <c r="M19" s="121" t="str">
        <f>IFNA(VLOOKUP(L19,'Faculty Details'!$B:$H,4,0),"")</f>
        <v/>
      </c>
      <c r="N19" s="121" t="str">
        <f>IFNA(VLOOKUP(L19,'Faculty Details'!$B:$H,7,0),"")</f>
        <v/>
      </c>
      <c r="O19" s="121"/>
    </row>
    <row r="20">
      <c r="A20" s="28" t="s">
        <v>27</v>
      </c>
      <c r="B20" s="28" t="s">
        <v>1572</v>
      </c>
      <c r="C20" s="28" t="s">
        <v>1573</v>
      </c>
      <c r="D20" s="28" t="s">
        <v>1574</v>
      </c>
      <c r="E20" s="40" t="s">
        <v>1575</v>
      </c>
      <c r="F20" s="28" t="s">
        <v>1576</v>
      </c>
      <c r="G20" s="28">
        <v>3.0</v>
      </c>
      <c r="H20" s="28">
        <v>1.0</v>
      </c>
      <c r="I20" s="28">
        <v>0.0</v>
      </c>
      <c r="J20" s="28">
        <v>4.0</v>
      </c>
      <c r="K20" s="190">
        <v>20.0</v>
      </c>
      <c r="L20" s="1"/>
      <c r="M20" s="121" t="str">
        <f>IFNA(VLOOKUP(L20,'Faculty Details'!$B:$H,4,0),"")</f>
        <v/>
      </c>
      <c r="N20" s="121" t="str">
        <f>IFNA(VLOOKUP(L20,'Faculty Details'!$B:$H,7,0),"")</f>
        <v/>
      </c>
      <c r="O20" s="121"/>
    </row>
    <row r="21">
      <c r="A21" s="28" t="s">
        <v>32</v>
      </c>
      <c r="B21" s="28" t="s">
        <v>1572</v>
      </c>
      <c r="C21" s="28" t="s">
        <v>1573</v>
      </c>
      <c r="D21" s="28" t="s">
        <v>1574</v>
      </c>
      <c r="E21" s="40" t="s">
        <v>1575</v>
      </c>
      <c r="F21" s="28" t="s">
        <v>1576</v>
      </c>
      <c r="G21" s="28">
        <v>3.0</v>
      </c>
      <c r="H21" s="28">
        <v>1.0</v>
      </c>
      <c r="I21" s="28">
        <v>0.0</v>
      </c>
      <c r="J21" s="28">
        <v>4.0</v>
      </c>
      <c r="K21" s="190">
        <v>20.0</v>
      </c>
      <c r="L21" s="1"/>
      <c r="M21" s="121" t="str">
        <f>IFNA(VLOOKUP(L21,'Faculty Details'!$B:$H,4,0),"")</f>
        <v/>
      </c>
      <c r="N21" s="121" t="str">
        <f>IFNA(VLOOKUP(L21,'Faculty Details'!$B:$H,7,0),"")</f>
        <v/>
      </c>
      <c r="O21" s="121"/>
    </row>
    <row r="22">
      <c r="A22" s="28" t="s">
        <v>32</v>
      </c>
      <c r="B22" s="28" t="s">
        <v>1572</v>
      </c>
      <c r="C22" s="28" t="s">
        <v>1573</v>
      </c>
      <c r="D22" s="28" t="s">
        <v>1574</v>
      </c>
      <c r="E22" s="40" t="s">
        <v>1575</v>
      </c>
      <c r="F22" s="28" t="s">
        <v>1576</v>
      </c>
      <c r="G22" s="28">
        <v>3.0</v>
      </c>
      <c r="H22" s="28">
        <v>1.0</v>
      </c>
      <c r="I22" s="28">
        <v>0.0</v>
      </c>
      <c r="J22" s="28">
        <v>4.0</v>
      </c>
      <c r="K22" s="190">
        <v>20.0</v>
      </c>
      <c r="L22" s="1"/>
      <c r="M22" s="121" t="str">
        <f>IFNA(VLOOKUP(L22,'Faculty Details'!$B:$H,4,0),"")</f>
        <v/>
      </c>
      <c r="N22" s="121" t="str">
        <f>IFNA(VLOOKUP(L22,'Faculty Details'!$B:$H,7,0),"")</f>
        <v/>
      </c>
      <c r="O22" s="121"/>
    </row>
    <row r="23">
      <c r="A23" s="28" t="s">
        <v>32</v>
      </c>
      <c r="B23" s="28" t="s">
        <v>1572</v>
      </c>
      <c r="C23" s="28" t="s">
        <v>1573</v>
      </c>
      <c r="D23" s="28" t="s">
        <v>1574</v>
      </c>
      <c r="E23" s="40" t="s">
        <v>1575</v>
      </c>
      <c r="F23" s="28" t="s">
        <v>1576</v>
      </c>
      <c r="G23" s="28">
        <v>3.0</v>
      </c>
      <c r="H23" s="28">
        <v>1.0</v>
      </c>
      <c r="I23" s="28">
        <v>0.0</v>
      </c>
      <c r="J23" s="28">
        <v>4.0</v>
      </c>
      <c r="K23" s="190">
        <v>20.0</v>
      </c>
      <c r="L23" s="1"/>
      <c r="M23" s="121" t="str">
        <f>IFNA(VLOOKUP(L23,'Faculty Details'!$B:$H,4,0),"")</f>
        <v/>
      </c>
      <c r="N23" s="121" t="str">
        <f>IFNA(VLOOKUP(L23,'Faculty Details'!$B:$H,7,0),"")</f>
        <v/>
      </c>
      <c r="O23" s="121"/>
    </row>
    <row r="24">
      <c r="A24" s="28" t="s">
        <v>32</v>
      </c>
      <c r="B24" s="28" t="s">
        <v>1572</v>
      </c>
      <c r="C24" s="28" t="s">
        <v>1573</v>
      </c>
      <c r="D24" s="28" t="s">
        <v>1574</v>
      </c>
      <c r="E24" s="40" t="s">
        <v>1575</v>
      </c>
      <c r="F24" s="28" t="s">
        <v>1576</v>
      </c>
      <c r="G24" s="28">
        <v>3.0</v>
      </c>
      <c r="H24" s="28">
        <v>1.0</v>
      </c>
      <c r="I24" s="28">
        <v>0.0</v>
      </c>
      <c r="J24" s="28">
        <v>4.0</v>
      </c>
      <c r="K24" s="190">
        <v>20.0</v>
      </c>
      <c r="L24" s="1"/>
      <c r="M24" s="121" t="str">
        <f>IFNA(VLOOKUP(L24,'Faculty Details'!$B:$H,4,0),"")</f>
        <v/>
      </c>
      <c r="N24" s="121" t="str">
        <f>IFNA(VLOOKUP(L24,'Faculty Details'!$B:$H,7,0),"")</f>
        <v/>
      </c>
      <c r="O24" s="121"/>
    </row>
    <row r="25">
      <c r="A25" s="28" t="s">
        <v>37</v>
      </c>
      <c r="B25" s="28" t="s">
        <v>1572</v>
      </c>
      <c r="C25" s="28" t="s">
        <v>1573</v>
      </c>
      <c r="D25" s="28" t="s">
        <v>1574</v>
      </c>
      <c r="E25" s="40" t="s">
        <v>1575</v>
      </c>
      <c r="F25" s="28" t="s">
        <v>1576</v>
      </c>
      <c r="G25" s="28">
        <v>3.0</v>
      </c>
      <c r="H25" s="28">
        <v>1.0</v>
      </c>
      <c r="I25" s="28">
        <v>0.0</v>
      </c>
      <c r="J25" s="28">
        <v>4.0</v>
      </c>
      <c r="K25" s="190">
        <v>20.0</v>
      </c>
      <c r="L25" s="1"/>
      <c r="M25" s="121" t="str">
        <f>IFNA(VLOOKUP(L25,'Faculty Details'!$B:$H,4,0),"")</f>
        <v/>
      </c>
      <c r="N25" s="121" t="str">
        <f>IFNA(VLOOKUP(L25,'Faculty Details'!$B:$H,7,0),"")</f>
        <v/>
      </c>
      <c r="O25" s="121"/>
    </row>
    <row r="26">
      <c r="A26" s="28" t="s">
        <v>40</v>
      </c>
      <c r="B26" s="28" t="s">
        <v>1572</v>
      </c>
      <c r="C26" s="28" t="s">
        <v>1573</v>
      </c>
      <c r="D26" s="28" t="s">
        <v>1574</v>
      </c>
      <c r="E26" s="40" t="s">
        <v>1575</v>
      </c>
      <c r="F26" s="28" t="s">
        <v>1576</v>
      </c>
      <c r="G26" s="28">
        <v>3.0</v>
      </c>
      <c r="H26" s="28">
        <v>1.0</v>
      </c>
      <c r="I26" s="28">
        <v>0.0</v>
      </c>
      <c r="J26" s="28">
        <v>4.0</v>
      </c>
      <c r="K26" s="190">
        <v>20.0</v>
      </c>
      <c r="L26" s="1"/>
      <c r="M26" s="121" t="str">
        <f>IFNA(VLOOKUP(L26,'Faculty Details'!$B:$H,4,0),"")</f>
        <v/>
      </c>
      <c r="N26" s="121" t="str">
        <f>IFNA(VLOOKUP(L26,'Faculty Details'!$B:$H,7,0),"")</f>
        <v/>
      </c>
      <c r="O26" s="121"/>
    </row>
    <row r="27">
      <c r="A27" s="28" t="s">
        <v>40</v>
      </c>
      <c r="B27" s="28" t="s">
        <v>1572</v>
      </c>
      <c r="C27" s="28" t="s">
        <v>1573</v>
      </c>
      <c r="D27" s="28" t="s">
        <v>1574</v>
      </c>
      <c r="E27" s="40" t="s">
        <v>1575</v>
      </c>
      <c r="F27" s="28" t="s">
        <v>1576</v>
      </c>
      <c r="G27" s="28">
        <v>3.0</v>
      </c>
      <c r="H27" s="28">
        <v>1.0</v>
      </c>
      <c r="I27" s="28">
        <v>0.0</v>
      </c>
      <c r="J27" s="28">
        <v>4.0</v>
      </c>
      <c r="K27" s="190">
        <v>20.0</v>
      </c>
      <c r="L27" s="1"/>
      <c r="M27" s="121" t="str">
        <f>IFNA(VLOOKUP(L27,'Faculty Details'!$B:$H,4,0),"")</f>
        <v/>
      </c>
      <c r="N27" s="121" t="str">
        <f>IFNA(VLOOKUP(L27,'Faculty Details'!$B:$H,7,0),"")</f>
        <v/>
      </c>
      <c r="O27" s="121"/>
    </row>
    <row r="28">
      <c r="A28" s="28" t="s">
        <v>40</v>
      </c>
      <c r="B28" s="28" t="s">
        <v>1572</v>
      </c>
      <c r="C28" s="28" t="s">
        <v>1573</v>
      </c>
      <c r="D28" s="28" t="s">
        <v>1574</v>
      </c>
      <c r="E28" s="40" t="s">
        <v>1575</v>
      </c>
      <c r="F28" s="28" t="s">
        <v>1576</v>
      </c>
      <c r="G28" s="28">
        <v>3.0</v>
      </c>
      <c r="H28" s="28">
        <v>1.0</v>
      </c>
      <c r="I28" s="28">
        <v>0.0</v>
      </c>
      <c r="J28" s="28">
        <v>4.0</v>
      </c>
      <c r="K28" s="190">
        <v>20.0</v>
      </c>
      <c r="L28" s="1"/>
      <c r="M28" s="121" t="str">
        <f>IFNA(VLOOKUP(L28,'Faculty Details'!$B:$H,4,0),"")</f>
        <v/>
      </c>
      <c r="N28" s="121" t="str">
        <f>IFNA(VLOOKUP(L28,'Faculty Details'!$B:$H,7,0),"")</f>
        <v/>
      </c>
      <c r="O28" s="121"/>
    </row>
    <row r="29">
      <c r="A29" s="28" t="s">
        <v>40</v>
      </c>
      <c r="B29" s="28" t="s">
        <v>1572</v>
      </c>
      <c r="C29" s="28" t="s">
        <v>1573</v>
      </c>
      <c r="D29" s="28" t="s">
        <v>1574</v>
      </c>
      <c r="E29" s="40" t="s">
        <v>1575</v>
      </c>
      <c r="F29" s="28" t="s">
        <v>1576</v>
      </c>
      <c r="G29" s="28">
        <v>3.0</v>
      </c>
      <c r="H29" s="28">
        <v>1.0</v>
      </c>
      <c r="I29" s="28">
        <v>0.0</v>
      </c>
      <c r="J29" s="28">
        <v>4.0</v>
      </c>
      <c r="K29" s="190">
        <v>20.0</v>
      </c>
      <c r="L29" s="1"/>
      <c r="M29" s="121" t="str">
        <f>IFNA(VLOOKUP(L29,'Faculty Details'!$B:$H,4,0),"")</f>
        <v/>
      </c>
      <c r="N29" s="121" t="str">
        <f>IFNA(VLOOKUP(L29,'Faculty Details'!$B:$H,7,0),"")</f>
        <v/>
      </c>
      <c r="O29" s="121"/>
    </row>
    <row r="30">
      <c r="A30" s="28" t="s">
        <v>43</v>
      </c>
      <c r="B30" s="28" t="s">
        <v>1572</v>
      </c>
      <c r="C30" s="28" t="s">
        <v>1573</v>
      </c>
      <c r="D30" s="28" t="s">
        <v>1574</v>
      </c>
      <c r="E30" s="40" t="s">
        <v>1575</v>
      </c>
      <c r="F30" s="28" t="s">
        <v>1576</v>
      </c>
      <c r="G30" s="28">
        <v>3.0</v>
      </c>
      <c r="H30" s="28">
        <v>1.0</v>
      </c>
      <c r="I30" s="28">
        <v>0.0</v>
      </c>
      <c r="J30" s="28">
        <v>4.0</v>
      </c>
      <c r="K30" s="190">
        <v>20.0</v>
      </c>
      <c r="L30" s="1"/>
      <c r="M30" s="121" t="str">
        <f>IFNA(VLOOKUP(L30,'Faculty Details'!$B:$H,4,0),"")</f>
        <v/>
      </c>
      <c r="N30" s="121" t="str">
        <f>IFNA(VLOOKUP(L30,'Faculty Details'!$B:$H,7,0),"")</f>
        <v/>
      </c>
      <c r="O30" s="121"/>
    </row>
    <row r="31">
      <c r="A31" s="28" t="s">
        <v>46</v>
      </c>
      <c r="B31" s="28" t="s">
        <v>1572</v>
      </c>
      <c r="C31" s="28" t="s">
        <v>1573</v>
      </c>
      <c r="D31" s="28" t="s">
        <v>1574</v>
      </c>
      <c r="E31" s="40" t="s">
        <v>1575</v>
      </c>
      <c r="F31" s="28" t="s">
        <v>1576</v>
      </c>
      <c r="G31" s="28">
        <v>3.0</v>
      </c>
      <c r="H31" s="28">
        <v>1.0</v>
      </c>
      <c r="I31" s="28">
        <v>0.0</v>
      </c>
      <c r="J31" s="28">
        <v>4.0</v>
      </c>
      <c r="K31" s="190">
        <v>20.0</v>
      </c>
      <c r="L31" s="1"/>
      <c r="M31" s="121" t="str">
        <f>IFNA(VLOOKUP(L31,'Faculty Details'!$B:$H,4,0),"")</f>
        <v/>
      </c>
      <c r="N31" s="121" t="str">
        <f>IFNA(VLOOKUP(L31,'Faculty Details'!$B:$H,7,0),"")</f>
        <v/>
      </c>
      <c r="O31" s="121"/>
    </row>
    <row r="32">
      <c r="A32" s="121" t="s">
        <v>4</v>
      </c>
      <c r="B32" s="121" t="s">
        <v>1596</v>
      </c>
      <c r="C32" s="121" t="s">
        <v>1573</v>
      </c>
      <c r="D32" s="121" t="s">
        <v>1646</v>
      </c>
      <c r="E32" s="133" t="s">
        <v>1647</v>
      </c>
      <c r="F32" s="121" t="s">
        <v>1576</v>
      </c>
      <c r="G32" s="121">
        <v>3.0</v>
      </c>
      <c r="H32" s="121">
        <v>1.0</v>
      </c>
      <c r="I32" s="121">
        <v>0.0</v>
      </c>
      <c r="J32" s="121">
        <v>4.0</v>
      </c>
      <c r="K32" s="195">
        <v>20.0</v>
      </c>
      <c r="L32" s="1"/>
      <c r="M32" s="121" t="str">
        <f>IFNA(VLOOKUP(L32,'Faculty Details'!$B:$H,4,0),"")</f>
        <v/>
      </c>
      <c r="N32" s="121" t="str">
        <f>IFNA(VLOOKUP(L32,'Faculty Details'!$B:$H,7,0),"")</f>
        <v/>
      </c>
      <c r="O32" s="139"/>
    </row>
    <row r="33">
      <c r="A33" s="121" t="s">
        <v>4</v>
      </c>
      <c r="B33" s="121" t="s">
        <v>1596</v>
      </c>
      <c r="C33" s="121" t="s">
        <v>1573</v>
      </c>
      <c r="D33" s="121" t="s">
        <v>1646</v>
      </c>
      <c r="E33" s="133" t="s">
        <v>1647</v>
      </c>
      <c r="F33" s="121" t="s">
        <v>1576</v>
      </c>
      <c r="G33" s="121">
        <v>3.0</v>
      </c>
      <c r="H33" s="121">
        <v>1.0</v>
      </c>
      <c r="I33" s="121">
        <v>0.0</v>
      </c>
      <c r="J33" s="121">
        <v>4.0</v>
      </c>
      <c r="K33" s="195">
        <v>20.0</v>
      </c>
      <c r="L33" s="1"/>
      <c r="M33" s="121" t="str">
        <f>IFNA(VLOOKUP(L33,'Faculty Details'!$B:$H,4,0),"")</f>
        <v/>
      </c>
      <c r="N33" s="121" t="str">
        <f>IFNA(VLOOKUP(L33,'Faculty Details'!$B:$H,7,0),"")</f>
        <v/>
      </c>
      <c r="O33" s="139"/>
    </row>
    <row r="34">
      <c r="A34" s="121" t="s">
        <v>4</v>
      </c>
      <c r="B34" s="121" t="s">
        <v>1596</v>
      </c>
      <c r="C34" s="121" t="s">
        <v>1573</v>
      </c>
      <c r="D34" s="121" t="s">
        <v>1646</v>
      </c>
      <c r="E34" s="133" t="s">
        <v>1647</v>
      </c>
      <c r="F34" s="121" t="s">
        <v>1576</v>
      </c>
      <c r="G34" s="121">
        <v>3.0</v>
      </c>
      <c r="H34" s="121">
        <v>1.0</v>
      </c>
      <c r="I34" s="121">
        <v>0.0</v>
      </c>
      <c r="J34" s="121">
        <v>4.0</v>
      </c>
      <c r="K34" s="195">
        <v>20.0</v>
      </c>
      <c r="L34" s="1"/>
      <c r="M34" s="121" t="str">
        <f>IFNA(VLOOKUP(L34,'Faculty Details'!$B:$H,4,0),"")</f>
        <v/>
      </c>
      <c r="N34" s="121" t="str">
        <f>IFNA(VLOOKUP(L34,'Faculty Details'!$B:$H,7,0),"")</f>
        <v/>
      </c>
      <c r="O34" s="139"/>
    </row>
    <row r="35">
      <c r="A35" s="121" t="s">
        <v>9</v>
      </c>
      <c r="B35" s="121" t="s">
        <v>1596</v>
      </c>
      <c r="C35" s="121" t="s">
        <v>1573</v>
      </c>
      <c r="D35" s="121" t="s">
        <v>1669</v>
      </c>
      <c r="E35" s="133" t="s">
        <v>1647</v>
      </c>
      <c r="F35" s="121" t="s">
        <v>1576</v>
      </c>
      <c r="G35" s="121">
        <v>3.0</v>
      </c>
      <c r="H35" s="121">
        <v>1.0</v>
      </c>
      <c r="I35" s="121">
        <v>0.0</v>
      </c>
      <c r="J35" s="121">
        <v>4.0</v>
      </c>
      <c r="K35" s="195">
        <v>20.0</v>
      </c>
      <c r="L35" s="1"/>
      <c r="M35" s="121" t="str">
        <f>IFNA(VLOOKUP(L35,'Faculty Details'!$B:$H,4,0),"")</f>
        <v/>
      </c>
      <c r="N35" s="121" t="str">
        <f>IFNA(VLOOKUP(L35,'Faculty Details'!$B:$H,7,0),"")</f>
        <v/>
      </c>
      <c r="O35" s="139"/>
    </row>
    <row r="36">
      <c r="A36" s="121" t="s">
        <v>9</v>
      </c>
      <c r="B36" s="121" t="s">
        <v>1596</v>
      </c>
      <c r="C36" s="121" t="s">
        <v>1573</v>
      </c>
      <c r="D36" s="121" t="s">
        <v>1669</v>
      </c>
      <c r="E36" s="133" t="s">
        <v>1647</v>
      </c>
      <c r="F36" s="121" t="s">
        <v>1576</v>
      </c>
      <c r="G36" s="121">
        <v>3.0</v>
      </c>
      <c r="H36" s="121">
        <v>1.0</v>
      </c>
      <c r="I36" s="121">
        <v>0.0</v>
      </c>
      <c r="J36" s="121">
        <v>4.0</v>
      </c>
      <c r="K36" s="195">
        <v>20.0</v>
      </c>
      <c r="L36" s="1"/>
      <c r="M36" s="121" t="str">
        <f>IFNA(VLOOKUP(L36,'Faculty Details'!$B:$H,4,0),"")</f>
        <v/>
      </c>
      <c r="N36" s="121" t="str">
        <f>IFNA(VLOOKUP(L36,'Faculty Details'!$B:$H,7,0),"")</f>
        <v/>
      </c>
      <c r="O36" s="139"/>
    </row>
    <row r="37">
      <c r="A37" s="121" t="s">
        <v>83</v>
      </c>
      <c r="B37" s="121" t="s">
        <v>1596</v>
      </c>
      <c r="C37" s="121" t="s">
        <v>1573</v>
      </c>
      <c r="D37" s="121" t="s">
        <v>2642</v>
      </c>
      <c r="E37" s="168" t="s">
        <v>2839</v>
      </c>
      <c r="F37" s="121" t="s">
        <v>1576</v>
      </c>
      <c r="G37" s="121">
        <v>3.0</v>
      </c>
      <c r="H37" s="121">
        <v>1.0</v>
      </c>
      <c r="I37" s="121">
        <v>0.0</v>
      </c>
      <c r="J37" s="121">
        <v>4.0</v>
      </c>
      <c r="K37" s="195">
        <v>20.0</v>
      </c>
      <c r="L37" s="1"/>
      <c r="M37" s="121" t="str">
        <f>IFNA(VLOOKUP(L37,'Faculty Details'!$B:$H,4,0),"")</f>
        <v/>
      </c>
      <c r="N37" s="121" t="str">
        <f>IFNA(VLOOKUP(L37,'Faculty Details'!$B:$H,7,0),"")</f>
        <v/>
      </c>
      <c r="O37" s="139"/>
    </row>
    <row r="38">
      <c r="A38" s="121" t="s">
        <v>18</v>
      </c>
      <c r="B38" s="121" t="s">
        <v>1596</v>
      </c>
      <c r="C38" s="121" t="s">
        <v>1573</v>
      </c>
      <c r="D38" s="121" t="s">
        <v>1727</v>
      </c>
      <c r="E38" s="133" t="s">
        <v>1728</v>
      </c>
      <c r="F38" s="121" t="s">
        <v>1576</v>
      </c>
      <c r="G38" s="121">
        <v>3.0</v>
      </c>
      <c r="H38" s="121">
        <v>1.0</v>
      </c>
      <c r="I38" s="121">
        <v>0.0</v>
      </c>
      <c r="J38" s="121">
        <v>4.0</v>
      </c>
      <c r="K38" s="195">
        <v>20.0</v>
      </c>
      <c r="L38" s="1"/>
      <c r="M38" s="121" t="str">
        <f>IFNA(VLOOKUP(L38,'Faculty Details'!$B:$H,4,0),"")</f>
        <v/>
      </c>
      <c r="N38" s="121" t="str">
        <f>IFNA(VLOOKUP(L38,'Faculty Details'!$B:$H,7,0),"")</f>
        <v/>
      </c>
      <c r="O38" s="139"/>
    </row>
    <row r="39">
      <c r="A39" s="121" t="s">
        <v>18</v>
      </c>
      <c r="B39" s="121" t="s">
        <v>1596</v>
      </c>
      <c r="C39" s="121" t="s">
        <v>1573</v>
      </c>
      <c r="D39" s="121" t="s">
        <v>1727</v>
      </c>
      <c r="E39" s="133" t="s">
        <v>1728</v>
      </c>
      <c r="F39" s="121" t="s">
        <v>1576</v>
      </c>
      <c r="G39" s="121">
        <v>3.0</v>
      </c>
      <c r="H39" s="121">
        <v>1.0</v>
      </c>
      <c r="I39" s="121">
        <v>0.0</v>
      </c>
      <c r="J39" s="121">
        <v>4.0</v>
      </c>
      <c r="K39" s="195">
        <v>20.0</v>
      </c>
      <c r="L39" s="1"/>
      <c r="M39" s="121" t="str">
        <f>IFNA(VLOOKUP(L39,'Faculty Details'!$B:$H,4,0),"")</f>
        <v/>
      </c>
      <c r="N39" s="121" t="str">
        <f>IFNA(VLOOKUP(L39,'Faculty Details'!$B:$H,7,0),"")</f>
        <v/>
      </c>
      <c r="O39" s="139"/>
    </row>
    <row r="40">
      <c r="A40" s="121" t="s">
        <v>18</v>
      </c>
      <c r="B40" s="121" t="s">
        <v>1596</v>
      </c>
      <c r="C40" s="121" t="s">
        <v>1573</v>
      </c>
      <c r="D40" s="121" t="s">
        <v>1727</v>
      </c>
      <c r="E40" s="133" t="s">
        <v>1728</v>
      </c>
      <c r="F40" s="121" t="s">
        <v>1576</v>
      </c>
      <c r="G40" s="121">
        <v>3.0</v>
      </c>
      <c r="H40" s="121">
        <v>1.0</v>
      </c>
      <c r="I40" s="121">
        <v>0.0</v>
      </c>
      <c r="J40" s="121">
        <v>4.0</v>
      </c>
      <c r="K40" s="195">
        <v>20.0</v>
      </c>
      <c r="L40" s="1"/>
      <c r="M40" s="121" t="str">
        <f>IFNA(VLOOKUP(L40,'Faculty Details'!$B:$H,4,0),"")</f>
        <v/>
      </c>
      <c r="N40" s="121" t="str">
        <f>IFNA(VLOOKUP(L40,'Faculty Details'!$B:$H,7,0),"")</f>
        <v/>
      </c>
      <c r="O40" s="139"/>
    </row>
    <row r="41">
      <c r="A41" s="121" t="s">
        <v>18</v>
      </c>
      <c r="B41" s="121" t="s">
        <v>1596</v>
      </c>
      <c r="C41" s="121" t="s">
        <v>1573</v>
      </c>
      <c r="D41" s="121" t="s">
        <v>1727</v>
      </c>
      <c r="E41" s="133" t="s">
        <v>1728</v>
      </c>
      <c r="F41" s="121" t="s">
        <v>1576</v>
      </c>
      <c r="G41" s="121">
        <v>3.0</v>
      </c>
      <c r="H41" s="121">
        <v>1.0</v>
      </c>
      <c r="I41" s="121">
        <v>0.0</v>
      </c>
      <c r="J41" s="121">
        <v>4.0</v>
      </c>
      <c r="K41" s="195">
        <v>20.0</v>
      </c>
      <c r="L41" s="1"/>
      <c r="M41" s="121" t="str">
        <f>IFNA(VLOOKUP(L41,'Faculty Details'!$B:$H,4,0),"")</f>
        <v/>
      </c>
      <c r="N41" s="121" t="str">
        <f>IFNA(VLOOKUP(L41,'Faculty Details'!$B:$H,7,0),"")</f>
        <v/>
      </c>
      <c r="O41" s="139"/>
    </row>
    <row r="42">
      <c r="A42" s="121" t="s">
        <v>143</v>
      </c>
      <c r="B42" s="121" t="s">
        <v>1596</v>
      </c>
      <c r="C42" s="121" t="s">
        <v>1573</v>
      </c>
      <c r="D42" s="121" t="s">
        <v>2711</v>
      </c>
      <c r="E42" s="133" t="s">
        <v>1728</v>
      </c>
      <c r="F42" s="121" t="s">
        <v>1576</v>
      </c>
      <c r="G42" s="121">
        <v>3.0</v>
      </c>
      <c r="H42" s="121">
        <v>1.0</v>
      </c>
      <c r="I42" s="121">
        <v>0.0</v>
      </c>
      <c r="J42" s="121">
        <v>4.0</v>
      </c>
      <c r="K42" s="195">
        <v>20.0</v>
      </c>
      <c r="L42" s="1"/>
      <c r="M42" s="121" t="str">
        <f>IFNA(VLOOKUP(L42,'Faculty Details'!$B:$H,4,0),"")</f>
        <v/>
      </c>
      <c r="N42" s="121" t="str">
        <f>IFNA(VLOOKUP(L42,'Faculty Details'!$B:$H,7,0),"")</f>
        <v/>
      </c>
      <c r="O42" s="139"/>
    </row>
    <row r="43">
      <c r="A43" s="121" t="s">
        <v>151</v>
      </c>
      <c r="B43" s="121" t="s">
        <v>1596</v>
      </c>
      <c r="C43" s="121" t="s">
        <v>1573</v>
      </c>
      <c r="D43" s="121" t="s">
        <v>2715</v>
      </c>
      <c r="E43" s="133" t="s">
        <v>1728</v>
      </c>
      <c r="F43" s="121" t="s">
        <v>1576</v>
      </c>
      <c r="G43" s="121">
        <v>3.0</v>
      </c>
      <c r="H43" s="121">
        <v>1.0</v>
      </c>
      <c r="I43" s="121">
        <v>0.0</v>
      </c>
      <c r="J43" s="121">
        <v>4.0</v>
      </c>
      <c r="K43" s="195">
        <v>20.0</v>
      </c>
      <c r="L43" s="1"/>
      <c r="M43" s="121" t="str">
        <f>IFNA(VLOOKUP(L43,'Faculty Details'!$B:$H,4,0),"")</f>
        <v/>
      </c>
      <c r="N43" s="121" t="str">
        <f>IFNA(VLOOKUP(L43,'Faculty Details'!$B:$H,7,0),"")</f>
        <v/>
      </c>
      <c r="O43" s="139"/>
    </row>
    <row r="44">
      <c r="A44" s="121" t="s">
        <v>37</v>
      </c>
      <c r="B44" s="121" t="s">
        <v>1596</v>
      </c>
      <c r="C44" s="121" t="s">
        <v>1573</v>
      </c>
      <c r="D44" s="121" t="s">
        <v>1914</v>
      </c>
      <c r="E44" s="133" t="s">
        <v>2839</v>
      </c>
      <c r="F44" s="121" t="s">
        <v>1576</v>
      </c>
      <c r="G44" s="121">
        <v>3.0</v>
      </c>
      <c r="H44" s="121">
        <v>1.0</v>
      </c>
      <c r="I44" s="121">
        <v>0.0</v>
      </c>
      <c r="J44" s="121">
        <v>4.0</v>
      </c>
      <c r="K44" s="195">
        <v>20.0</v>
      </c>
      <c r="L44" s="1"/>
      <c r="M44" s="121" t="str">
        <f>IFNA(VLOOKUP(L44,'Faculty Details'!$B:$H,4,0),"")</f>
        <v/>
      </c>
      <c r="N44" s="121" t="str">
        <f>IFNA(VLOOKUP(L44,'Faculty Details'!$B:$H,7,0),"")</f>
        <v/>
      </c>
      <c r="O44" s="139"/>
    </row>
    <row r="45">
      <c r="A45" s="121" t="s">
        <v>193</v>
      </c>
      <c r="B45" s="121" t="s">
        <v>1596</v>
      </c>
      <c r="C45" s="121" t="s">
        <v>1573</v>
      </c>
      <c r="D45" s="121" t="s">
        <v>2744</v>
      </c>
      <c r="E45" s="133" t="s">
        <v>2745</v>
      </c>
      <c r="F45" s="121" t="s">
        <v>1576</v>
      </c>
      <c r="G45" s="121">
        <v>3.0</v>
      </c>
      <c r="H45" s="121">
        <v>1.0</v>
      </c>
      <c r="I45" s="121">
        <v>0.0</v>
      </c>
      <c r="J45" s="121">
        <v>4.0</v>
      </c>
      <c r="K45" s="195">
        <v>20.0</v>
      </c>
      <c r="L45" s="1"/>
      <c r="M45" s="121" t="str">
        <f>IFNA(VLOOKUP(L45,'Faculty Details'!$B:$H,4,0),"")</f>
        <v/>
      </c>
      <c r="N45" s="121" t="str">
        <f>IFNA(VLOOKUP(L45,'Faculty Details'!$B:$H,7,0),"")</f>
        <v/>
      </c>
      <c r="O45" s="139"/>
    </row>
    <row r="46">
      <c r="A46" s="121" t="s">
        <v>209</v>
      </c>
      <c r="B46" s="121" t="s">
        <v>1596</v>
      </c>
      <c r="C46" s="121" t="s">
        <v>1573</v>
      </c>
      <c r="D46" s="121" t="s">
        <v>2762</v>
      </c>
      <c r="E46" s="133" t="s">
        <v>1728</v>
      </c>
      <c r="F46" s="121" t="s">
        <v>1576</v>
      </c>
      <c r="G46" s="121">
        <v>3.0</v>
      </c>
      <c r="H46" s="121">
        <v>1.0</v>
      </c>
      <c r="I46" s="121">
        <v>0.0</v>
      </c>
      <c r="J46" s="121">
        <v>4.0</v>
      </c>
      <c r="K46" s="195">
        <v>20.0</v>
      </c>
      <c r="L46" s="1"/>
      <c r="M46" s="121" t="str">
        <f>IFNA(VLOOKUP(L46,'Faculty Details'!$B:$H,4,0),"")</f>
        <v/>
      </c>
      <c r="N46" s="121" t="str">
        <f>IFNA(VLOOKUP(L46,'Faculty Details'!$B:$H,7,0),"")</f>
        <v/>
      </c>
      <c r="O46" s="139"/>
    </row>
    <row r="47">
      <c r="A47" s="121" t="s">
        <v>40</v>
      </c>
      <c r="B47" s="121" t="s">
        <v>1596</v>
      </c>
      <c r="C47" s="121" t="s">
        <v>1573</v>
      </c>
      <c r="D47" s="121" t="s">
        <v>1898</v>
      </c>
      <c r="E47" s="133" t="s">
        <v>1728</v>
      </c>
      <c r="F47" s="121" t="s">
        <v>1576</v>
      </c>
      <c r="G47" s="121">
        <v>3.0</v>
      </c>
      <c r="H47" s="121">
        <v>1.0</v>
      </c>
      <c r="I47" s="121">
        <v>0.0</v>
      </c>
      <c r="J47" s="121">
        <v>4.0</v>
      </c>
      <c r="K47" s="195">
        <v>20.0</v>
      </c>
      <c r="L47" s="1"/>
      <c r="M47" s="121" t="str">
        <f>IFNA(VLOOKUP(L47,'Faculty Details'!$B:$H,4,0),"")</f>
        <v/>
      </c>
      <c r="N47" s="121" t="str">
        <f>IFNA(VLOOKUP(L47,'Faculty Details'!$B:$H,7,0),"")</f>
        <v/>
      </c>
      <c r="O47" s="139"/>
    </row>
    <row r="48">
      <c r="A48" s="121" t="s">
        <v>40</v>
      </c>
      <c r="B48" s="121" t="s">
        <v>1596</v>
      </c>
      <c r="C48" s="121" t="s">
        <v>1573</v>
      </c>
      <c r="D48" s="121" t="s">
        <v>1898</v>
      </c>
      <c r="E48" s="133" t="s">
        <v>1728</v>
      </c>
      <c r="F48" s="121" t="s">
        <v>1576</v>
      </c>
      <c r="G48" s="121">
        <v>3.0</v>
      </c>
      <c r="H48" s="121">
        <v>1.0</v>
      </c>
      <c r="I48" s="121">
        <v>0.0</v>
      </c>
      <c r="J48" s="121">
        <v>4.0</v>
      </c>
      <c r="K48" s="195">
        <v>20.0</v>
      </c>
      <c r="L48" s="1"/>
      <c r="M48" s="121" t="str">
        <f>IFNA(VLOOKUP(L48,'Faculty Details'!$B:$H,4,0),"")</f>
        <v/>
      </c>
      <c r="N48" s="121" t="str">
        <f>IFNA(VLOOKUP(L48,'Faculty Details'!$B:$H,7,0),"")</f>
        <v/>
      </c>
      <c r="O48" s="139"/>
    </row>
    <row r="49">
      <c r="A49" s="121" t="s">
        <v>40</v>
      </c>
      <c r="B49" s="121" t="s">
        <v>1596</v>
      </c>
      <c r="C49" s="121" t="s">
        <v>1573</v>
      </c>
      <c r="D49" s="121" t="s">
        <v>1898</v>
      </c>
      <c r="E49" s="133" t="s">
        <v>1728</v>
      </c>
      <c r="F49" s="121" t="s">
        <v>1576</v>
      </c>
      <c r="G49" s="121">
        <v>3.0</v>
      </c>
      <c r="H49" s="121">
        <v>1.0</v>
      </c>
      <c r="I49" s="121">
        <v>0.0</v>
      </c>
      <c r="J49" s="121">
        <v>4.0</v>
      </c>
      <c r="K49" s="195">
        <v>20.0</v>
      </c>
      <c r="L49" s="1"/>
      <c r="M49" s="121" t="str">
        <f>IFNA(VLOOKUP(L49,'Faculty Details'!$B:$H,4,0),"")</f>
        <v/>
      </c>
      <c r="N49" s="121" t="str">
        <f>IFNA(VLOOKUP(L49,'Faculty Details'!$B:$H,7,0),"")</f>
        <v/>
      </c>
      <c r="O49" s="139"/>
    </row>
    <row r="50">
      <c r="A50" s="121" t="s">
        <v>46</v>
      </c>
      <c r="B50" s="121" t="s">
        <v>1596</v>
      </c>
      <c r="C50" s="121" t="s">
        <v>1573</v>
      </c>
      <c r="D50" s="121" t="s">
        <v>1871</v>
      </c>
      <c r="E50" s="133" t="s">
        <v>2840</v>
      </c>
      <c r="F50" s="121" t="s">
        <v>1576</v>
      </c>
      <c r="G50" s="121">
        <v>3.0</v>
      </c>
      <c r="H50" s="121">
        <v>1.0</v>
      </c>
      <c r="I50" s="121">
        <v>0.0</v>
      </c>
      <c r="J50" s="121">
        <v>4.0</v>
      </c>
      <c r="K50" s="195">
        <v>20.0</v>
      </c>
      <c r="L50" s="1"/>
      <c r="M50" s="121" t="str">
        <f>IFNA(VLOOKUP(L50,'Faculty Details'!$B:$H,4,0),"")</f>
        <v/>
      </c>
      <c r="N50" s="121" t="str">
        <f>IFNA(VLOOKUP(L50,'Faculty Details'!$B:$H,7,0),"")</f>
        <v/>
      </c>
      <c r="O50" s="139"/>
    </row>
    <row r="51">
      <c r="A51" s="121" t="s">
        <v>24</v>
      </c>
      <c r="B51" s="121" t="s">
        <v>1596</v>
      </c>
      <c r="C51" s="121" t="s">
        <v>1573</v>
      </c>
      <c r="D51" s="121" t="s">
        <v>1709</v>
      </c>
      <c r="E51" s="133" t="s">
        <v>1710</v>
      </c>
      <c r="F51" s="121" t="s">
        <v>1579</v>
      </c>
      <c r="G51" s="121">
        <v>2.0</v>
      </c>
      <c r="H51" s="121">
        <v>0.0</v>
      </c>
      <c r="I51" s="121">
        <v>2.0</v>
      </c>
      <c r="J51" s="121">
        <v>3.0</v>
      </c>
      <c r="K51" s="195">
        <v>15.0</v>
      </c>
      <c r="L51" s="1"/>
      <c r="M51" s="121" t="str">
        <f>IFNA(VLOOKUP(L51,'Faculty Details'!$B:$H,4,0),"")</f>
        <v/>
      </c>
      <c r="N51" s="121" t="str">
        <f>IFNA(VLOOKUP(L51,'Faculty Details'!$B:$H,7,0),"")</f>
        <v/>
      </c>
      <c r="O51" s="139"/>
    </row>
  </sheetData>
  <conditionalFormatting sqref="L2:L51">
    <cfRule type="containsBlanks" dxfId="1" priority="1">
      <formula>LEN(TRIM(L2))=0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1656</v>
      </c>
      <c r="B1" s="144" t="str">
        <f t="array" ref="B1:B37">unique(A:A)</f>
        <v>22AI601</v>
      </c>
    </row>
    <row r="2">
      <c r="A2" s="121" t="s">
        <v>1656</v>
      </c>
      <c r="B2" s="144" t="s">
        <v>1674</v>
      </c>
      <c r="D2" s="143" t="s">
        <v>777</v>
      </c>
      <c r="E2" s="143" t="s">
        <v>2841</v>
      </c>
    </row>
    <row r="3">
      <c r="A3" s="121" t="s">
        <v>1674</v>
      </c>
      <c r="B3" s="144" t="s">
        <v>1658</v>
      </c>
    </row>
    <row r="4">
      <c r="A4" s="121" t="s">
        <v>1674</v>
      </c>
      <c r="B4" s="144" t="s">
        <v>1675</v>
      </c>
    </row>
    <row r="5">
      <c r="A5" s="121" t="s">
        <v>1674</v>
      </c>
      <c r="B5" s="144" t="s">
        <v>1660</v>
      </c>
    </row>
    <row r="6">
      <c r="A6" s="196" t="s">
        <v>1658</v>
      </c>
      <c r="B6" s="144" t="s">
        <v>1676</v>
      </c>
    </row>
    <row r="7">
      <c r="A7" s="196" t="s">
        <v>1658</v>
      </c>
      <c r="B7" s="144" t="s">
        <v>1693</v>
      </c>
    </row>
    <row r="8">
      <c r="A8" s="196" t="s">
        <v>1675</v>
      </c>
      <c r="B8" s="144" t="s">
        <v>1855</v>
      </c>
    </row>
    <row r="9">
      <c r="A9" s="196" t="s">
        <v>1675</v>
      </c>
      <c r="B9" s="144" t="s">
        <v>1924</v>
      </c>
    </row>
    <row r="10">
      <c r="A10" s="121" t="s">
        <v>1660</v>
      </c>
      <c r="B10" s="144" t="s">
        <v>1735</v>
      </c>
    </row>
    <row r="11">
      <c r="A11" s="121" t="s">
        <v>1660</v>
      </c>
      <c r="B11" s="144" t="s">
        <v>1789</v>
      </c>
    </row>
    <row r="12">
      <c r="A12" s="121" t="s">
        <v>1676</v>
      </c>
      <c r="B12" s="144" t="s">
        <v>1905</v>
      </c>
    </row>
    <row r="13">
      <c r="A13" s="121" t="s">
        <v>1676</v>
      </c>
      <c r="B13" s="144" t="s">
        <v>152</v>
      </c>
    </row>
    <row r="14">
      <c r="A14" s="121" t="s">
        <v>1676</v>
      </c>
      <c r="B14" s="144" t="s">
        <v>216</v>
      </c>
    </row>
    <row r="15">
      <c r="A15" s="196" t="s">
        <v>1693</v>
      </c>
      <c r="B15" s="144" t="s">
        <v>1790</v>
      </c>
    </row>
    <row r="16">
      <c r="A16" s="196" t="s">
        <v>1855</v>
      </c>
      <c r="B16" s="144" t="s">
        <v>1737</v>
      </c>
    </row>
    <row r="17">
      <c r="A17" s="196" t="s">
        <v>1855</v>
      </c>
      <c r="B17" s="144" t="s">
        <v>1868</v>
      </c>
    </row>
    <row r="18">
      <c r="A18" s="196" t="s">
        <v>1855</v>
      </c>
      <c r="B18" s="144" t="s">
        <v>1906</v>
      </c>
    </row>
    <row r="19">
      <c r="A19" s="196" t="s">
        <v>1855</v>
      </c>
      <c r="B19" s="144" t="s">
        <v>1810</v>
      </c>
    </row>
    <row r="20">
      <c r="A20" s="196" t="s">
        <v>1924</v>
      </c>
      <c r="B20" s="144" t="s">
        <v>1923</v>
      </c>
    </row>
    <row r="21">
      <c r="A21" s="196" t="s">
        <v>1924</v>
      </c>
      <c r="B21" s="144" t="s">
        <v>2098</v>
      </c>
    </row>
    <row r="22">
      <c r="A22" s="121" t="s">
        <v>1735</v>
      </c>
      <c r="B22" s="144" t="s">
        <v>147</v>
      </c>
    </row>
    <row r="23">
      <c r="A23" s="121" t="s">
        <v>1735</v>
      </c>
      <c r="B23" s="144" t="s">
        <v>156</v>
      </c>
    </row>
    <row r="24">
      <c r="A24" s="121" t="s">
        <v>1735</v>
      </c>
      <c r="B24" s="144" t="s">
        <v>2122</v>
      </c>
    </row>
    <row r="25">
      <c r="A25" s="121" t="s">
        <v>1735</v>
      </c>
      <c r="B25" s="144" t="s">
        <v>132</v>
      </c>
    </row>
    <row r="26">
      <c r="A26" s="121" t="s">
        <v>1789</v>
      </c>
      <c r="B26" s="144" t="s">
        <v>146</v>
      </c>
    </row>
    <row r="27">
      <c r="A27" s="121" t="s">
        <v>1905</v>
      </c>
      <c r="B27" s="144" t="s">
        <v>210</v>
      </c>
    </row>
    <row r="28">
      <c r="A28" s="121" t="s">
        <v>1905</v>
      </c>
      <c r="B28" s="144" t="s">
        <v>226</v>
      </c>
    </row>
    <row r="29">
      <c r="A29" s="121" t="s">
        <v>1905</v>
      </c>
      <c r="B29" s="144" t="s">
        <v>71</v>
      </c>
    </row>
    <row r="30">
      <c r="A30" s="121" t="s">
        <v>152</v>
      </c>
      <c r="B30" s="144" t="s">
        <v>2693</v>
      </c>
    </row>
    <row r="31">
      <c r="A31" s="121" t="s">
        <v>216</v>
      </c>
      <c r="B31" s="144" t="s">
        <v>157</v>
      </c>
    </row>
    <row r="32">
      <c r="A32" s="121" t="s">
        <v>216</v>
      </c>
      <c r="B32" s="144" t="s">
        <v>2621</v>
      </c>
    </row>
    <row r="33">
      <c r="A33" s="197" t="s">
        <v>1790</v>
      </c>
      <c r="B33" s="144" t="s">
        <v>2071</v>
      </c>
    </row>
    <row r="34">
      <c r="A34" s="196" t="s">
        <v>1737</v>
      </c>
      <c r="B34" s="144" t="s">
        <v>2696</v>
      </c>
    </row>
    <row r="35">
      <c r="A35" s="196" t="s">
        <v>1737</v>
      </c>
      <c r="B35" s="144" t="s">
        <v>73</v>
      </c>
    </row>
    <row r="36">
      <c r="A36" s="196" t="s">
        <v>1737</v>
      </c>
      <c r="B36" s="144" t="s">
        <v>2634</v>
      </c>
    </row>
    <row r="37">
      <c r="A37" s="196" t="s">
        <v>1737</v>
      </c>
      <c r="B37" s="144"/>
    </row>
    <row r="38">
      <c r="A38" s="196" t="s">
        <v>1868</v>
      </c>
    </row>
    <row r="39">
      <c r="A39" s="196" t="s">
        <v>1906</v>
      </c>
    </row>
    <row r="40">
      <c r="A40" s="196" t="s">
        <v>1906</v>
      </c>
    </row>
    <row r="41">
      <c r="A41" s="196" t="s">
        <v>1906</v>
      </c>
    </row>
    <row r="42">
      <c r="A42" s="121" t="s">
        <v>1810</v>
      </c>
    </row>
    <row r="43">
      <c r="A43" s="121" t="s">
        <v>1923</v>
      </c>
    </row>
    <row r="44">
      <c r="A44" s="196" t="s">
        <v>2098</v>
      </c>
    </row>
    <row r="45">
      <c r="A45" s="196" t="s">
        <v>2098</v>
      </c>
    </row>
    <row r="46">
      <c r="A46" s="196" t="s">
        <v>2098</v>
      </c>
    </row>
    <row r="47">
      <c r="A47" s="196" t="s">
        <v>147</v>
      </c>
    </row>
    <row r="48">
      <c r="A48" s="196" t="s">
        <v>147</v>
      </c>
    </row>
    <row r="49">
      <c r="A49" s="196" t="s">
        <v>156</v>
      </c>
    </row>
    <row r="50">
      <c r="A50" s="196" t="s">
        <v>2122</v>
      </c>
    </row>
    <row r="51">
      <c r="A51" s="196" t="s">
        <v>2122</v>
      </c>
    </row>
    <row r="52">
      <c r="A52" s="121" t="s">
        <v>132</v>
      </c>
    </row>
    <row r="53">
      <c r="A53" s="121" t="s">
        <v>132</v>
      </c>
    </row>
    <row r="54">
      <c r="A54" s="121" t="s">
        <v>132</v>
      </c>
    </row>
    <row r="55">
      <c r="A55" s="121" t="s">
        <v>146</v>
      </c>
    </row>
    <row r="56">
      <c r="A56" s="121" t="s">
        <v>210</v>
      </c>
    </row>
    <row r="57">
      <c r="A57" s="121" t="s">
        <v>226</v>
      </c>
    </row>
    <row r="58">
      <c r="A58" s="121" t="s">
        <v>71</v>
      </c>
    </row>
    <row r="59">
      <c r="A59" s="121" t="s">
        <v>71</v>
      </c>
    </row>
    <row r="60">
      <c r="A60" s="121" t="s">
        <v>2693</v>
      </c>
    </row>
    <row r="61">
      <c r="A61" s="121" t="s">
        <v>157</v>
      </c>
    </row>
    <row r="62">
      <c r="A62" s="121" t="s">
        <v>2621</v>
      </c>
    </row>
    <row r="63">
      <c r="A63" s="121" t="s">
        <v>2621</v>
      </c>
    </row>
    <row r="64">
      <c r="A64" s="121" t="s">
        <v>2071</v>
      </c>
    </row>
    <row r="65">
      <c r="A65" s="197" t="s">
        <v>2696</v>
      </c>
    </row>
    <row r="66">
      <c r="A66" s="121" t="s">
        <v>73</v>
      </c>
    </row>
    <row r="67">
      <c r="A67" s="121" t="s">
        <v>2634</v>
      </c>
    </row>
    <row r="68">
      <c r="A68" s="121" t="s">
        <v>2634</v>
      </c>
    </row>
    <row r="69">
      <c r="A69" s="165"/>
    </row>
    <row r="70">
      <c r="A70" s="165"/>
    </row>
    <row r="71">
      <c r="A71" s="165"/>
    </row>
    <row r="72">
      <c r="A72" s="165"/>
    </row>
    <row r="73">
      <c r="A73" s="165"/>
    </row>
    <row r="74">
      <c r="A74" s="165"/>
    </row>
    <row r="75">
      <c r="A75" s="165"/>
    </row>
    <row r="76">
      <c r="A76" s="165"/>
    </row>
    <row r="77">
      <c r="A77" s="165"/>
    </row>
    <row r="78">
      <c r="A78" s="165"/>
    </row>
    <row r="79">
      <c r="A79" s="165"/>
    </row>
    <row r="80">
      <c r="A80" s="165"/>
    </row>
    <row r="81">
      <c r="A81" s="165"/>
    </row>
    <row r="82">
      <c r="A82" s="165"/>
    </row>
    <row r="83">
      <c r="A83" s="165"/>
    </row>
    <row r="84">
      <c r="A84" s="165"/>
    </row>
    <row r="85">
      <c r="A85" s="165"/>
    </row>
  </sheetData>
  <drawing r:id="rId1"/>
</worksheet>
</file>