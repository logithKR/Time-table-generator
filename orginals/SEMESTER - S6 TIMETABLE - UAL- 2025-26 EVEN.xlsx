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5" activeTab="17"/>
  </bookViews>
  <sheets>
    <sheet name="Faculty Details" sheetId="1" state="hidden" r:id="rId1"/>
    <sheet name="TEMPLATE" sheetId="2" r:id="rId2"/>
    <sheet name="dep" sheetId="3" state="hidden" r:id="rId3"/>
    <sheet name="S6 Course Allocation" sheetId="4" r:id="rId4"/>
    <sheet name="Sheet6" sheetId="5" state="hidden" r:id="rId5"/>
    <sheet name="Discipline" sheetId="6" state="hidden" r:id="rId6"/>
    <sheet name="AIDS" sheetId="7" state="hidden" r:id="rId7"/>
    <sheet name="AGRI" sheetId="8" r:id="rId8"/>
    <sheet name="AIDS from 15.12.2025" sheetId="9" r:id="rId9"/>
    <sheet name="AIML" sheetId="10" state="hidden" r:id="rId10"/>
    <sheet name="AIML from 15.12.2025" sheetId="11" r:id="rId11"/>
    <sheet name="BT" sheetId="12" r:id="rId12"/>
    <sheet name="EIE" sheetId="13" r:id="rId13"/>
    <sheet name="EEE" sheetId="14" r:id="rId14"/>
    <sheet name="CSD" sheetId="15" r:id="rId15"/>
    <sheet name="CSBS" sheetId="16" r:id="rId16"/>
    <sheet name="ECE" sheetId="17" r:id="rId17"/>
    <sheet name="CSE" sheetId="18" r:id="rId18"/>
    <sheet name="CSE for Academic from 15.12.202" sheetId="19" r:id="rId19"/>
    <sheet name="IT" sheetId="20" r:id="rId20"/>
    <sheet name="MECH" sheetId="21" r:id="rId21"/>
    <sheet name="MTRS" sheetId="22" r:id="rId22"/>
    <sheet name="BME" sheetId="23" r:id="rId23"/>
    <sheet name="CT" sheetId="24" r:id="rId24"/>
    <sheet name="CIVIL" sheetId="25" r:id="rId25"/>
    <sheet name="ISE" sheetId="26" r:id="rId26"/>
    <sheet name="FT" sheetId="27" r:id="rId27"/>
    <sheet name="FD" sheetId="28" r:id="rId28"/>
  </sheets>
  <definedNames>
    <definedName name="_xlnm._FilterDatabase" localSheetId="25" hidden="1">ISE!$A$1:$I$14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<sst xmlns="http://schemas.openxmlformats.org/spreadsheetml/2006/main" count="2944" uniqueCount="768">
  <si>
    <t>BANNARI AMMAN INSTITUTION OF TECHNOLOGY</t>
  </si>
  <si>
    <t>Breaks</t>
  </si>
  <si>
    <t>Timings</t>
  </si>
  <si>
    <t>SATHYAMANGALAM</t>
  </si>
  <si>
    <t>Morning Break</t>
  </si>
  <si>
    <t>10:25 AM - 10:40 AM</t>
  </si>
  <si>
    <t>CLASS TIMETABLE</t>
  </si>
  <si>
    <t>Lunch Break</t>
  </si>
  <si>
    <t>12:20 PM - 1:30 PM</t>
  </si>
  <si>
    <t>ACADEMIC YEAR 2025 - 2026 EVEN SEMESTER</t>
  </si>
  <si>
    <t>Afternoon Break</t>
  </si>
  <si>
    <t>03:10 PM - 03:25 PM</t>
  </si>
  <si>
    <t>DEPARTMENT OF ARTIFICIAL INTELLIGENCE AND MACHINE LEARNING</t>
  </si>
  <si>
    <t>Year</t>
  </si>
  <si>
    <t>II</t>
  </si>
  <si>
    <t>Semester</t>
  </si>
  <si>
    <t>IV</t>
  </si>
  <si>
    <t>Period</t>
  </si>
  <si>
    <t>I</t>
  </si>
  <si>
    <t>III</t>
  </si>
  <si>
    <t>V</t>
  </si>
  <si>
    <t>VI</t>
  </si>
  <si>
    <t>VII</t>
  </si>
  <si>
    <t>VIII</t>
  </si>
  <si>
    <t>Day / Timings</t>
  </si>
  <si>
    <t>08:45 A.M. - 09:35 A.M.</t>
  </si>
  <si>
    <t>09:35 A.M. - 10:25 A.M.</t>
  </si>
  <si>
    <t>10:40 A.M. - 11:30 A.M.</t>
  </si>
  <si>
    <t>11:30 A.M. - 12:20 P.M.</t>
  </si>
  <si>
    <t>01:30 P.M. - 2:20 P.M.</t>
  </si>
  <si>
    <t>02:20 P.M. - 3:10 P.M.</t>
  </si>
  <si>
    <t>03:25 P.M. - 4:25 P.M.</t>
  </si>
  <si>
    <t>04:30 P.M. - 05:30 P.M.</t>
  </si>
  <si>
    <t>MON</t>
  </si>
  <si>
    <t>HONOURS / MINOR COURSE 1</t>
  </si>
  <si>
    <t>TUE</t>
  </si>
  <si>
    <t>ELECTIVE 5 / OPEN ELECTIVE</t>
  </si>
  <si>
    <t>MENTOR INTERACTION</t>
  </si>
  <si>
    <t>HONOURS / MINOR COURSE 2</t>
  </si>
  <si>
    <t>WED</t>
  </si>
  <si>
    <t>THU</t>
  </si>
  <si>
    <t>FRI</t>
  </si>
  <si>
    <t>SAT</t>
  </si>
  <si>
    <t>Dep Sht Name</t>
  </si>
  <si>
    <t>Department</t>
  </si>
  <si>
    <t>AGRI</t>
  </si>
  <si>
    <t>Agricultural Engineering</t>
  </si>
  <si>
    <t>AIDS</t>
  </si>
  <si>
    <t>Artificial Intelligence and Data Science</t>
  </si>
  <si>
    <t>AIML</t>
  </si>
  <si>
    <t>Artificial Intelligence and Machine Learning</t>
  </si>
  <si>
    <t>BT</t>
  </si>
  <si>
    <t>Biotechnology</t>
  </si>
  <si>
    <t>CSBS</t>
  </si>
  <si>
    <t>Computer Science and Business Systems</t>
  </si>
  <si>
    <t>CSE</t>
  </si>
  <si>
    <t>Computer Science &amp; Engineering</t>
  </si>
  <si>
    <t>ECE</t>
  </si>
  <si>
    <t>Electronics and Communication Engineering</t>
  </si>
  <si>
    <t>EEE</t>
  </si>
  <si>
    <t>Electrical and Electronics Engineering</t>
  </si>
  <si>
    <t>EIE</t>
  </si>
  <si>
    <t>Electronics and Instrumentation Engineering</t>
  </si>
  <si>
    <t>IT</t>
  </si>
  <si>
    <t>Information Technology</t>
  </si>
  <si>
    <t>MECH</t>
  </si>
  <si>
    <t>Mechanical Engineering</t>
  </si>
  <si>
    <t>MTRS</t>
  </si>
  <si>
    <t>Mechatronics Engineering</t>
  </si>
  <si>
    <t>BME</t>
  </si>
  <si>
    <t>Biomedical Engineering</t>
  </si>
  <si>
    <t>CIVIL</t>
  </si>
  <si>
    <t>Civil Engineering</t>
  </si>
  <si>
    <t>ISE</t>
  </si>
  <si>
    <t>Information Science and Engineering</t>
  </si>
  <si>
    <t>CT</t>
  </si>
  <si>
    <t>Computer Technology</t>
  </si>
  <si>
    <t>FT</t>
  </si>
  <si>
    <t>Fashion Technology</t>
  </si>
  <si>
    <t>FD</t>
  </si>
  <si>
    <t>Food Technology</t>
  </si>
  <si>
    <t>CSD</t>
  </si>
  <si>
    <t>Computer Science and Design</t>
  </si>
  <si>
    <t>CH1558</t>
  </si>
  <si>
    <t>CH1894</t>
  </si>
  <si>
    <t>CH1557</t>
  </si>
  <si>
    <t>CH10957</t>
  </si>
  <si>
    <t>CH11127</t>
  </si>
  <si>
    <t>CH1493</t>
  </si>
  <si>
    <t>CH10372</t>
  </si>
  <si>
    <t>CH1578</t>
  </si>
  <si>
    <t>CH10314</t>
  </si>
  <si>
    <t>CH10225</t>
  </si>
  <si>
    <t>CH11156</t>
  </si>
  <si>
    <t>CH11126</t>
  </si>
  <si>
    <t>CH10003</t>
  </si>
  <si>
    <t>CH10333</t>
  </si>
  <si>
    <t>CH11057</t>
  </si>
  <si>
    <t>Day</t>
  </si>
  <si>
    <t>Location</t>
  </si>
  <si>
    <t>Name of the Faculty</t>
  </si>
  <si>
    <t>E</t>
  </si>
  <si>
    <t>Monday</t>
  </si>
  <si>
    <t>AS Block Ground Floor (NE: North End, SE : South End)</t>
  </si>
  <si>
    <t>08.30 am to 10.00 am</t>
  </si>
  <si>
    <t>Sagunthala Devi</t>
  </si>
  <si>
    <t>Vellingiri A</t>
  </si>
  <si>
    <t>10.00 am to 11.30 pm</t>
  </si>
  <si>
    <t>Senthilkumar P</t>
  </si>
  <si>
    <t>Mohan Bharathi C</t>
  </si>
  <si>
    <t>11.30 am to 01.00 pm</t>
  </si>
  <si>
    <t>Karthika S</t>
  </si>
  <si>
    <t>KANNAN K P</t>
  </si>
  <si>
    <t>01.00 pm to 02.30 pm</t>
  </si>
  <si>
    <t>Gunavardhini V</t>
  </si>
  <si>
    <t>Priyadharsini A</t>
  </si>
  <si>
    <t>02.30 pm to 04.00 pm</t>
  </si>
  <si>
    <t>Sundaram S</t>
  </si>
  <si>
    <t>Mounika S</t>
  </si>
  <si>
    <t>04:00 pm to 05:30 pm</t>
  </si>
  <si>
    <t>Mr. Ranjith G</t>
  </si>
  <si>
    <t>05:30 pm to 06:30 pm</t>
  </si>
  <si>
    <t>Anandhababu</t>
  </si>
  <si>
    <t>IB Block Ground Floor (NE: North End, SE : South End)</t>
  </si>
  <si>
    <t>Padmashree A</t>
  </si>
  <si>
    <t>Alex Stanley Raja T</t>
  </si>
  <si>
    <t>Baskaran P</t>
  </si>
  <si>
    <t>Dr.Aslin Jerusha</t>
  </si>
  <si>
    <t>Gopal R</t>
  </si>
  <si>
    <t>Dr Nijandhan K</t>
  </si>
  <si>
    <t>Gayathri devi M</t>
  </si>
  <si>
    <t>Sandhiyadevi P</t>
  </si>
  <si>
    <t>Gomathi M</t>
  </si>
  <si>
    <t>Malathi M</t>
  </si>
  <si>
    <t>SE: Nithya G AP</t>
  </si>
  <si>
    <t>SE: Karthikeyan</t>
  </si>
  <si>
    <t>Mech Science Block Entrance</t>
  </si>
  <si>
    <t>Shyam Sundar S / HU</t>
  </si>
  <si>
    <t>Rathna S / CSE</t>
  </si>
  <si>
    <t>Sundara Murthy S / AI&amp;DS</t>
  </si>
  <si>
    <t>Muthukumar K / ME</t>
  </si>
  <si>
    <t>Praveen Kumar / AG</t>
  </si>
  <si>
    <t>Prabakar S J / CSD</t>
  </si>
  <si>
    <t>Pavanaditya Badida / ME</t>
  </si>
  <si>
    <t>SF Block (SFB : SF Base, SFE : SF Entrance)</t>
  </si>
  <si>
    <t>Ezhil G</t>
  </si>
  <si>
    <t>Mohemmed Yousuf R</t>
  </si>
  <si>
    <t>Senthil Kumar N</t>
  </si>
  <si>
    <t>Sadhasivam N</t>
  </si>
  <si>
    <t>Gaythri S</t>
  </si>
  <si>
    <t>Nagarajan P</t>
  </si>
  <si>
    <t>Sabarmathi K R</t>
  </si>
  <si>
    <t>Sri Vinitha V</t>
  </si>
  <si>
    <t>Kiruthika V R</t>
  </si>
  <si>
    <t>Dhivya P</t>
  </si>
  <si>
    <t>Prabhadevi D / CSE</t>
  </si>
  <si>
    <t>Boopathiraja K P / ME</t>
  </si>
  <si>
    <t>Learning Centre Entrance</t>
  </si>
  <si>
    <t>Vaishnavi N / CSBS</t>
  </si>
  <si>
    <t>Sandhya Rani R / BT</t>
  </si>
  <si>
    <t>Aswin Jaya Surya M J / CSE</t>
  </si>
  <si>
    <t>Sangavi N / CSE</t>
  </si>
  <si>
    <t>Sajan P Philip / ECE</t>
  </si>
  <si>
    <t>Haritha J / EIE</t>
  </si>
  <si>
    <t>Saahina S / BM</t>
  </si>
  <si>
    <t>Cafeteria</t>
  </si>
  <si>
    <t>K.Saranya / CSE</t>
  </si>
  <si>
    <t>05.30 pm to 06.30 pm</t>
  </si>
  <si>
    <t>Sathish V / CHE</t>
  </si>
  <si>
    <t>Tuesday</t>
  </si>
  <si>
    <t>Vidhya S</t>
  </si>
  <si>
    <t>Raj Kumar VS</t>
  </si>
  <si>
    <t>Rajeshkumar</t>
  </si>
  <si>
    <t>Abinaya M</t>
  </si>
  <si>
    <t>Nithiya Priya</t>
  </si>
  <si>
    <t>S Kalaiselvan</t>
  </si>
  <si>
    <t>Eugene Berna</t>
  </si>
  <si>
    <t>Dr.M.Janarthanan</t>
  </si>
  <si>
    <t>Saranya N AP</t>
  </si>
  <si>
    <t>Vadivel Vivek V</t>
  </si>
  <si>
    <t>Karthiga M</t>
  </si>
  <si>
    <t>Dr Sankarananth S AP</t>
  </si>
  <si>
    <t>Bharathiraja M</t>
  </si>
  <si>
    <t>Dr.V.Mohanapriya</t>
  </si>
  <si>
    <t>V.M.REVATHY</t>
  </si>
  <si>
    <t>M.K.S. PAVITHRA ASP</t>
  </si>
  <si>
    <t>Muthukumar P</t>
  </si>
  <si>
    <t>HEMALATHA B</t>
  </si>
  <si>
    <t>P Saravanamoorthi</t>
  </si>
  <si>
    <t>Balasamy K AP</t>
  </si>
  <si>
    <t>Dr. VINOTHINI V R</t>
  </si>
  <si>
    <t>Dr.D.UMAMAGESWARI</t>
  </si>
  <si>
    <t>Senthil Kumar J APIII</t>
  </si>
  <si>
    <t>Chinnadurrai C L</t>
  </si>
  <si>
    <t>Jackson.J,AP/CSE</t>
  </si>
  <si>
    <t>Jeevitha S V AP/ AD</t>
  </si>
  <si>
    <t>Praveen, AP-III / CSE</t>
  </si>
  <si>
    <t>Saveetha R AP/CT</t>
  </si>
  <si>
    <t>Thanga Parvathi B / CT</t>
  </si>
  <si>
    <t>Esakki Madura E AP II / AD</t>
  </si>
  <si>
    <t>Daniel Raj A, ASP / ECE</t>
  </si>
  <si>
    <t>Chandraprabha K</t>
  </si>
  <si>
    <t>Gopika N P</t>
  </si>
  <si>
    <t>K.Murugan</t>
  </si>
  <si>
    <t>R.Ramya</t>
  </si>
  <si>
    <t>Kavitha V</t>
  </si>
  <si>
    <t>K.Saranya</t>
  </si>
  <si>
    <t>Eugene Berna I</t>
  </si>
  <si>
    <t>MANJU M</t>
  </si>
  <si>
    <t>Tamilselvan S AP</t>
  </si>
  <si>
    <t>SHANGARA NARAYANEE N P AP</t>
  </si>
  <si>
    <t>MAHESHKUMAR K / CSD</t>
  </si>
  <si>
    <t>Chozharajan P AP II / AD</t>
  </si>
  <si>
    <t>Sasithra AP / AIML</t>
  </si>
  <si>
    <t>PRATHEEBHA G, AP / BM</t>
  </si>
  <si>
    <t>DHIVYA DHARSHINI AP/BT</t>
  </si>
  <si>
    <t>Benita Gracia Thangam J AP / AD</t>
  </si>
  <si>
    <t>Gayathri AP/IT</t>
  </si>
  <si>
    <t>Priyadharshni S AP/ AD</t>
  </si>
  <si>
    <t>Elango S, ASP /ECE</t>
  </si>
  <si>
    <t>Ganesh Babu Prof./EIE</t>
  </si>
  <si>
    <t>Srinivasan M / EEE</t>
  </si>
  <si>
    <t>Wednesday</t>
  </si>
  <si>
    <t>RANGANATHAN</t>
  </si>
  <si>
    <t>Mrs.Dhanalakshmi</t>
  </si>
  <si>
    <t>SATHIS KUMAR K</t>
  </si>
  <si>
    <t>C.SURESH CHALUVADI AP-II</t>
  </si>
  <si>
    <t>Subhashree P AP</t>
  </si>
  <si>
    <t>VINODHINI R T</t>
  </si>
  <si>
    <t>Nikitha M</t>
  </si>
  <si>
    <t>Priya A</t>
  </si>
  <si>
    <t>RAMESHKUMAR A</t>
  </si>
  <si>
    <t>Reshmi T.S</t>
  </si>
  <si>
    <t>TNA Arunasree</t>
  </si>
  <si>
    <t>SARASWATHI C</t>
  </si>
  <si>
    <t>THULASIMANI M</t>
  </si>
  <si>
    <t>Sharmila A</t>
  </si>
  <si>
    <t>Rajiev R</t>
  </si>
  <si>
    <t>Suriya V</t>
  </si>
  <si>
    <t>Rangaraj</t>
  </si>
  <si>
    <t>Nivedha</t>
  </si>
  <si>
    <t>Muthukumaravel K</t>
  </si>
  <si>
    <t>R.S.Soundariya</t>
  </si>
  <si>
    <t>Vignesh S</t>
  </si>
  <si>
    <t>Indhu Bhasini</t>
  </si>
  <si>
    <t>Madhumitha J - AP</t>
  </si>
  <si>
    <t>K.SAKTHI SHOBANA AP-II</t>
  </si>
  <si>
    <t>SYED ALTHAF, AP/BM</t>
  </si>
  <si>
    <t>JAYA / HU</t>
  </si>
  <si>
    <t>Vasudevan M, ASP/Agri</t>
  </si>
  <si>
    <t>Kiruthiga R, AP / AD</t>
  </si>
  <si>
    <t>Nisha Devi K, AP II / AD</t>
  </si>
  <si>
    <t>Mohanambal, AP/CSE</t>
  </si>
  <si>
    <t>05.30pm to 06.30pm</t>
  </si>
  <si>
    <t>JEYAVEL KARTHICK AP-II/BT</t>
  </si>
  <si>
    <t>Pidathala Sahitya</t>
  </si>
  <si>
    <t>K.B. Shobana</t>
  </si>
  <si>
    <t>PANDIYAN M</t>
  </si>
  <si>
    <t>NITHYA S</t>
  </si>
  <si>
    <t>S Saranya</t>
  </si>
  <si>
    <t>Raghunath M</t>
  </si>
  <si>
    <t>Muthumeena S</t>
  </si>
  <si>
    <t>T. Elavarasi AP</t>
  </si>
  <si>
    <t>P.S. Prabhu</t>
  </si>
  <si>
    <t>KALPANA R</t>
  </si>
  <si>
    <t>BALAMURUGAN V T / EIE</t>
  </si>
  <si>
    <t>MAHIMA AP/BT</t>
  </si>
  <si>
    <t>Krishnaraj R AP/ECE</t>
  </si>
  <si>
    <t>Madhumathi S / CSD</t>
  </si>
  <si>
    <t>G.M.Mythili, AP/CSE</t>
  </si>
  <si>
    <t>Nataraj N / IN</t>
  </si>
  <si>
    <t>Gayathri R, AP/ECE</t>
  </si>
  <si>
    <t>Selvakumar M / IT</t>
  </si>
  <si>
    <t>Gopalakrishnan / AIML</t>
  </si>
  <si>
    <t>Nithya, AP/CSE</t>
  </si>
  <si>
    <t>Somasundaram K AP/ISE</t>
  </si>
  <si>
    <t>Thursday</t>
  </si>
  <si>
    <t>NANDHINI AP</t>
  </si>
  <si>
    <t>Sanjoy Deb</t>
  </si>
  <si>
    <t>Geethamani</t>
  </si>
  <si>
    <t>A Kanimozhi</t>
  </si>
  <si>
    <t>Rajendran</t>
  </si>
  <si>
    <t>Jayanth B</t>
  </si>
  <si>
    <t>Gnanasundar</t>
  </si>
  <si>
    <t>Raja Sekar S</t>
  </si>
  <si>
    <t>Karthiga</t>
  </si>
  <si>
    <t>R.Gayathri</t>
  </si>
  <si>
    <t>TT</t>
  </si>
  <si>
    <t>Mekala N</t>
  </si>
  <si>
    <t>RAJASEETHARAMA AP-II</t>
  </si>
  <si>
    <t>SANGEETHA K</t>
  </si>
  <si>
    <t>Mrs. Ashforn Hermina</t>
  </si>
  <si>
    <t>Raghavendra Prabhu S</t>
  </si>
  <si>
    <t>KEERTHANA K</t>
  </si>
  <si>
    <t>Preetha</t>
  </si>
  <si>
    <t>Dr Arulmurugan L ASP</t>
  </si>
  <si>
    <t>Sasson Taffwin Moses S AP</t>
  </si>
  <si>
    <t>Saranya N</t>
  </si>
  <si>
    <t>Rajasekar</t>
  </si>
  <si>
    <t>T.N.Chitradevi</t>
  </si>
  <si>
    <t>Anandan P AP</t>
  </si>
  <si>
    <t>Karuppsamy M</t>
  </si>
  <si>
    <t>KIRUTHIKA S AP / CSD</t>
  </si>
  <si>
    <t>SURESHKUMAR M / Mech</t>
  </si>
  <si>
    <t>Kodieswari / AIML</t>
  </si>
  <si>
    <t>Divyabarathi P, AP II / AIDS</t>
  </si>
  <si>
    <t>Subbulakshmi M, AP III / AD</t>
  </si>
  <si>
    <t>Mohankumar, AP/CSE</t>
  </si>
  <si>
    <t>Sathiya, AP/CSE</t>
  </si>
  <si>
    <t>Vadivelu</t>
  </si>
  <si>
    <t>Kalaivani</t>
  </si>
  <si>
    <t>SAKTHIVEL MURUGAN E</t>
  </si>
  <si>
    <t>Dhinesh S K</t>
  </si>
  <si>
    <t>Ramakrishnan A</t>
  </si>
  <si>
    <t>Soundarya B</t>
  </si>
  <si>
    <t>Ashwathi</t>
  </si>
  <si>
    <t>Vaanathi S</t>
  </si>
  <si>
    <t>Ramkumar R</t>
  </si>
  <si>
    <t>P.Swathypriyadharshini</t>
  </si>
  <si>
    <t>Nithin P / AIML</t>
  </si>
  <si>
    <t>Priyanga, AP/CSE</t>
  </si>
  <si>
    <t>Priya AP-III / IT</t>
  </si>
  <si>
    <t>Rohini D / AE</t>
  </si>
  <si>
    <t>Haripriya R / AIML</t>
  </si>
  <si>
    <t>SATHISHKUMAR / Mech</t>
  </si>
  <si>
    <t>Nishanathini / AIML</t>
  </si>
  <si>
    <t>PRABAKARAN P/MA</t>
  </si>
  <si>
    <t>Priya J /IT</t>
  </si>
  <si>
    <t>Mohanapriya K / AIML</t>
  </si>
  <si>
    <t>Joseph Silvester K, AP/Mech</t>
  </si>
  <si>
    <t>Friday</t>
  </si>
  <si>
    <t>Nirmal Kumar R</t>
  </si>
  <si>
    <t>Mrs.Nivetha G AP</t>
  </si>
  <si>
    <t>Sivabalakrishnan R</t>
  </si>
  <si>
    <t>KARTHIKA M</t>
  </si>
  <si>
    <t>Ragavi M</t>
  </si>
  <si>
    <t>DEEPHA V</t>
  </si>
  <si>
    <t>CHE</t>
  </si>
  <si>
    <t>SUNDAR AP III</t>
  </si>
  <si>
    <t>INDHUMATHI K</t>
  </si>
  <si>
    <t>S YUVALATHA AP</t>
  </si>
  <si>
    <t>Kasthuri S</t>
  </si>
  <si>
    <t>Arunjayaker</t>
  </si>
  <si>
    <t>Manochitra</t>
  </si>
  <si>
    <t>GAYATHIRI B</t>
  </si>
  <si>
    <t>Pousia S AP</t>
  </si>
  <si>
    <t>Saranya</t>
  </si>
  <si>
    <t>Vinoth M</t>
  </si>
  <si>
    <t>Sivaraj</t>
  </si>
  <si>
    <t>K Prakash</t>
  </si>
  <si>
    <t>Pushpavalli M ASP</t>
  </si>
  <si>
    <t>Dr.SUBRAMANIYAN C</t>
  </si>
  <si>
    <t>Oorappan G M</t>
  </si>
  <si>
    <t>SURESH R</t>
  </si>
  <si>
    <t>Sweety Prasanna Kiruba G</t>
  </si>
  <si>
    <t>Manigandan</t>
  </si>
  <si>
    <t>Veerakumar S / EEE</t>
  </si>
  <si>
    <t>Preethimathi,AP/CSD</t>
  </si>
  <si>
    <t>11.30 am to 01.00 pm .</t>
  </si>
  <si>
    <t>BHUVANESH N / Mech</t>
  </si>
  <si>
    <t>Alamelu, AP-II/CSE</t>
  </si>
  <si>
    <t>Deepapriya, AsP/CSE</t>
  </si>
  <si>
    <t>Naveenya B P, AP/CSBS</t>
  </si>
  <si>
    <t>Ammu, AP-II/CSE</t>
  </si>
  <si>
    <t>Gayathri G M</t>
  </si>
  <si>
    <t>Venkateshkumar U</t>
  </si>
  <si>
    <t>Dinesh</t>
  </si>
  <si>
    <t>Mr S. BALAJI AP-II</t>
  </si>
  <si>
    <t>TamilThendral AP-III</t>
  </si>
  <si>
    <t>Kavitha</t>
  </si>
  <si>
    <t>Hema Priya D</t>
  </si>
  <si>
    <t>Sangeetha</t>
  </si>
  <si>
    <t>Vinoth Kumar</t>
  </si>
  <si>
    <t>Sundar S</t>
  </si>
  <si>
    <t>Madhumitha A, AP/CSBS</t>
  </si>
  <si>
    <t>Kayalvizhi, AP/CSE</t>
  </si>
  <si>
    <t>KAMALI D/ HU</t>
  </si>
  <si>
    <t>10.00 am to 11.30 am</t>
  </si>
  <si>
    <t>Ramya P, ASP /ECE</t>
  </si>
  <si>
    <t>Deepa Sumathi AP / IT</t>
  </si>
  <si>
    <t>Mariaamutha R AP/ECE</t>
  </si>
  <si>
    <t>TAMILSELVAN AP / Auto</t>
  </si>
  <si>
    <t>Sathishkumar S / EEE</t>
  </si>
  <si>
    <t>VELMURUGAN S / Mech</t>
  </si>
  <si>
    <t>Sudha / AIML</t>
  </si>
  <si>
    <t>Sathiyamurthi P, ASP /ECE</t>
  </si>
  <si>
    <t>Saturday</t>
  </si>
  <si>
    <t>Rohini</t>
  </si>
  <si>
    <t>Pongali sathya prabu</t>
  </si>
  <si>
    <t>Vijayakumar V.N</t>
  </si>
  <si>
    <t>Vanitha K</t>
  </si>
  <si>
    <t>Sampooranam K P</t>
  </si>
  <si>
    <t>Siva</t>
  </si>
  <si>
    <t>SARANYA D</t>
  </si>
  <si>
    <t>Mythili S</t>
  </si>
  <si>
    <t>Raghul S</t>
  </si>
  <si>
    <t>Saranya D V</t>
  </si>
  <si>
    <t>Nandhini</t>
  </si>
  <si>
    <t>ASHWIN RAJ AP-III</t>
  </si>
  <si>
    <t>PRABHAVATHI K</t>
  </si>
  <si>
    <t>Ramasami</t>
  </si>
  <si>
    <t>Satheshkumar K</t>
  </si>
  <si>
    <t>SREE NIVEATHA P</t>
  </si>
  <si>
    <t>Sivaraman P</t>
  </si>
  <si>
    <t>Srinivasan M</t>
  </si>
  <si>
    <t>TAJDEEN A</t>
  </si>
  <si>
    <t>Pradeep A D</t>
  </si>
  <si>
    <t>Lokeswari</t>
  </si>
  <si>
    <t>Akalyadevi</t>
  </si>
  <si>
    <t>Nandhakumar AP III</t>
  </si>
  <si>
    <t>KIRUPA SANKAR ASP</t>
  </si>
  <si>
    <t>Gopi G AP/Physics</t>
  </si>
  <si>
    <t>Snekha A R, AP/Agri</t>
  </si>
  <si>
    <t>Sathyamoorthy, AP/CSE</t>
  </si>
  <si>
    <t>Prem Kumar C AP/ AD</t>
  </si>
  <si>
    <t>Balamurugan / AIML</t>
  </si>
  <si>
    <t>Chandru AP - II/CSBS</t>
  </si>
  <si>
    <t>Perarasi /ECE</t>
  </si>
  <si>
    <t>Parthasarathi</t>
  </si>
  <si>
    <t>Mageshkumar</t>
  </si>
  <si>
    <t>Parasuraman P - AP</t>
  </si>
  <si>
    <t>SARANYA AP</t>
  </si>
  <si>
    <t>Viswanathan</t>
  </si>
  <si>
    <t>Santhiya</t>
  </si>
  <si>
    <t>Suseendaran</t>
  </si>
  <si>
    <t>Thirumoorthy AP III</t>
  </si>
  <si>
    <t>T.Janani AP</t>
  </si>
  <si>
    <t>Sritha AP III/EEE</t>
  </si>
  <si>
    <t>M.Murali Krishnan/che</t>
  </si>
  <si>
    <t>Ganagavalli, AP-III/CSE</t>
  </si>
  <si>
    <t>Siddharthan B / MTRS</t>
  </si>
  <si>
    <t>Kamal Basha K / Mech</t>
  </si>
  <si>
    <t>Chandrasekaran M /Mech</t>
  </si>
  <si>
    <t>Dhayaneethi / Auto</t>
  </si>
  <si>
    <t>Pravin Savaridass, AP-II/ EIE</t>
  </si>
  <si>
    <t>Anandakumar / ISE</t>
  </si>
  <si>
    <t>Prathap AP-II/EIE</t>
  </si>
  <si>
    <t>Mathankumar P / Mech</t>
  </si>
  <si>
    <t>3:10 PM - 3:25 PM</t>
  </si>
  <si>
    <t>ARTIFICIAL INTELLIGENCE AND DATA SCIENCE</t>
  </si>
  <si>
    <r>
      <rPr>
        <b/>
        <sz val="12"/>
        <color theme="1"/>
        <rFont val="Cambria"/>
        <charset val="134"/>
      </rPr>
      <t>ELECTIVE 3
22AI020-REINFORCEMENT LEARNING</t>
    </r>
    <r>
      <rPr>
        <sz val="12"/>
        <color theme="1"/>
        <rFont val="Cambria"/>
        <charset val="134"/>
      </rPr>
      <t xml:space="preserve">
Mrs.ASHFORN HERMINA J M
</t>
    </r>
    <r>
      <rPr>
        <b/>
        <sz val="12"/>
        <color theme="1"/>
        <rFont val="Cambria"/>
        <charset val="134"/>
      </rPr>
      <t>OR
22AI049-ETHICS IN DATA SCIENCE</t>
    </r>
    <r>
      <rPr>
        <sz val="12"/>
        <color theme="1"/>
        <rFont val="Cambria"/>
        <charset val="134"/>
      </rPr>
      <t xml:space="preserve">
Mr.PRABANAND S C
Mrs.MANOCHITRA A S</t>
    </r>
  </si>
  <si>
    <r>
      <rPr>
        <b/>
        <sz val="12"/>
        <color theme="1"/>
        <rFont val="Cambria"/>
        <charset val="134"/>
      </rPr>
      <t xml:space="preserve">ELECTIVE 4
22AI025-KNOWLEDGE ENGINEERING
</t>
    </r>
    <r>
      <rPr>
        <sz val="12"/>
        <color theme="1"/>
        <rFont val="Cambria"/>
        <charset val="134"/>
      </rPr>
      <t xml:space="preserve">Mrs.KIRUTHIGA R
Mr.NITHIN P
</t>
    </r>
    <r>
      <rPr>
        <b/>
        <sz val="12"/>
        <color theme="1"/>
        <rFont val="Cambria"/>
        <charset val="134"/>
      </rPr>
      <t xml:space="preserve">OR
22AI032-RECOMMENDER SYSTEMS
</t>
    </r>
    <r>
      <rPr>
        <sz val="12"/>
        <color theme="1"/>
        <rFont val="Cambria"/>
        <charset val="134"/>
      </rPr>
      <t>Dr.SUBBULAKSHMI M
Mrs.VAANATHI S</t>
    </r>
  </si>
  <si>
    <r>
      <rPr>
        <b/>
        <sz val="12"/>
        <color theme="1"/>
        <rFont val="Cambria"/>
        <charset val="134"/>
      </rPr>
      <t>22AI601 
NATURAL LANGUAGE PROCESSING LAB</t>
    </r>
    <r>
      <rPr>
        <sz val="12"/>
        <color theme="1"/>
        <rFont val="Cambria"/>
        <charset val="134"/>
      </rPr>
      <t xml:space="preserve">
Mrs.JEEVITHA S V (COMPUTER LAB 20)
Mr.SASSON TAFFWIN MOSES S (COMPUTER LAB 21)
Mr.PREMKUMAR C (COMPUTER LAB 22)</t>
    </r>
  </si>
  <si>
    <r>
      <rPr>
        <b/>
        <sz val="12"/>
        <color theme="1"/>
        <rFont val="Cambria"/>
        <charset val="134"/>
      </rPr>
      <t xml:space="preserve">22AI602
COMPUTER VISION AND DIGITAL IMAGING
</t>
    </r>
    <r>
      <rPr>
        <sz val="12"/>
        <color theme="1"/>
        <rFont val="Cambria"/>
        <charset val="134"/>
      </rPr>
      <t>Mrs.DIVYABARATHI P
Mrs.NISHA DEVI K
Mr.CHOZHARAJAN P</t>
    </r>
  </si>
  <si>
    <r>
      <rPr>
        <b/>
        <sz val="12"/>
        <color theme="1"/>
        <rFont val="Cambria"/>
        <charset val="134"/>
      </rPr>
      <t>22AI603 
DEEP LEARNING</t>
    </r>
    <r>
      <rPr>
        <sz val="12"/>
        <color theme="1"/>
        <rFont val="Cambria"/>
        <charset val="134"/>
      </rPr>
      <t xml:space="preserve">
Ms.BENITA GRACIA THANGAM J 
Mr.SATHEESH N P 
Mrs.HEMA PRIYA D</t>
    </r>
  </si>
  <si>
    <r>
      <rPr>
        <b/>
        <sz val="12"/>
        <color theme="1"/>
        <rFont val="Cambria"/>
        <charset val="134"/>
      </rPr>
      <t xml:space="preserve">HONOURS 
22AIH09-CLOUD STORAGE TECHNOLOGIES
</t>
    </r>
    <r>
      <rPr>
        <sz val="12"/>
        <color theme="1"/>
        <rFont val="Cambria"/>
        <charset val="134"/>
      </rPr>
      <t>Mr.SATHEESHKUMAR S</t>
    </r>
  </si>
  <si>
    <r>
      <rPr>
        <b/>
        <sz val="12"/>
        <color theme="1"/>
        <rFont val="Cambria"/>
        <charset val="134"/>
      </rPr>
      <t>22AI602
COMPUTER VISION AND DIGITAL IMAGING LAB</t>
    </r>
    <r>
      <rPr>
        <sz val="12"/>
        <color theme="1"/>
        <rFont val="Cambria"/>
        <charset val="134"/>
      </rPr>
      <t xml:space="preserve">
Mrs.DIVYABARATHI P (COMPUTER LAB 20)
Mrs.NISHA DEVI K (COMPUTER LAB 21)
Ms.PRIYADHARSHNI S  (COMPUTER LAB 22)</t>
    </r>
  </si>
  <si>
    <r>
      <rPr>
        <b/>
        <sz val="12"/>
        <color theme="1"/>
        <rFont val="Cambria"/>
        <charset val="134"/>
      </rPr>
      <t>22AI601 
NATURAL LANGUAGE PROCESSING</t>
    </r>
    <r>
      <rPr>
        <sz val="12"/>
        <color theme="1"/>
        <rFont val="Cambria"/>
        <charset val="134"/>
      </rPr>
      <t xml:space="preserve">
Mrs.JEEVITHA S V 
Mr.SASSON TAFFWIN MOSES S 
Mr.PREMKUMAR C</t>
    </r>
  </si>
  <si>
    <r>
      <rPr>
        <b/>
        <sz val="12"/>
        <color theme="1"/>
        <rFont val="Cambria"/>
        <charset val="134"/>
      </rPr>
      <t>ELECTIVE 5 
22AI035-BUSINESS ANALYTICS</t>
    </r>
    <r>
      <rPr>
        <sz val="12"/>
        <color theme="1"/>
        <rFont val="Cambria"/>
        <charset val="134"/>
      </rPr>
      <t xml:space="preserve">
Mr. RAJKUMAR V S 
</t>
    </r>
    <r>
      <rPr>
        <b/>
        <sz val="12"/>
        <color theme="1"/>
        <rFont val="Cambria"/>
        <charset val="134"/>
      </rPr>
      <t>OR
22AI036-DIGITAL MARKETING AND MANAGEMENT</t>
    </r>
    <r>
      <rPr>
        <sz val="12"/>
        <color theme="1"/>
        <rFont val="Cambria"/>
        <charset val="134"/>
      </rPr>
      <t xml:space="preserve">
Mrs. JEEVITHA S V
</t>
    </r>
    <r>
      <rPr>
        <b/>
        <sz val="12"/>
        <color theme="1"/>
        <rFont val="Cambria"/>
        <charset val="134"/>
      </rPr>
      <t>OR</t>
    </r>
    <r>
      <rPr>
        <sz val="12"/>
        <color theme="1"/>
        <rFont val="Cambria"/>
        <charset val="134"/>
      </rPr>
      <t xml:space="preserve">
</t>
    </r>
    <r>
      <rPr>
        <b/>
        <sz val="14"/>
        <color theme="1"/>
        <rFont val="Cambria"/>
        <charset val="134"/>
      </rPr>
      <t xml:space="preserve"> OPEN ELECTIVE</t>
    </r>
  </si>
  <si>
    <r>
      <rPr>
        <b/>
        <sz val="12"/>
        <color theme="1"/>
        <rFont val="Cambria"/>
        <charset val="134"/>
      </rPr>
      <t xml:space="preserve">HONOURS 
22AIH10-CLOUD AUTOMATION TOOLS AND APPLICATIONS
</t>
    </r>
    <r>
      <rPr>
        <sz val="12"/>
        <color theme="1"/>
        <rFont val="Cambria"/>
        <charset val="134"/>
      </rPr>
      <t>Ms.PRIYADHARSHNI S</t>
    </r>
  </si>
  <si>
    <r>
      <rPr>
        <b/>
        <sz val="12"/>
        <color theme="1"/>
        <rFont val="Cambria"/>
        <charset val="134"/>
      </rPr>
      <t>ADD COURSE
22AI029-QUANTUM COMPUTING</t>
    </r>
    <r>
      <rPr>
        <sz val="12"/>
        <color theme="1"/>
        <rFont val="Cambria"/>
        <charset val="134"/>
      </rPr>
      <t xml:space="preserve">
Mrs. ESAKKI MADURA E
</t>
    </r>
    <r>
      <rPr>
        <b/>
        <sz val="12"/>
        <color theme="1"/>
        <rFont val="Cambria"/>
        <charset val="134"/>
      </rPr>
      <t>OR</t>
    </r>
    <r>
      <rPr>
        <sz val="12"/>
        <color theme="1"/>
        <rFont val="Cambria"/>
        <charset val="134"/>
      </rPr>
      <t xml:space="preserve">
</t>
    </r>
    <r>
      <rPr>
        <b/>
        <sz val="12"/>
        <color theme="1"/>
        <rFont val="Cambria"/>
        <charset val="134"/>
      </rPr>
      <t>22AI607- MINI PROJECT</t>
    </r>
    <r>
      <rPr>
        <sz val="12"/>
        <color theme="1"/>
        <rFont val="Cambria"/>
        <charset val="134"/>
      </rPr>
      <t xml:space="preserve"> 
(NOT OPTED STUDENTS)</t>
    </r>
  </si>
  <si>
    <r>
      <rPr>
        <b/>
        <sz val="12"/>
        <color theme="1"/>
        <rFont val="Cambria"/>
        <charset val="134"/>
      </rPr>
      <t>22AI603 
DEEP LEARNING LAB</t>
    </r>
    <r>
      <rPr>
        <sz val="12"/>
        <color theme="1"/>
        <rFont val="Cambria"/>
        <charset val="134"/>
      </rPr>
      <t xml:space="preserve">
Ms.BENITA GRACIA THANGAM J (COMPUTER LAB 20)
Mr.SATHEESH N P (COMPUTER LAB 21)
Mrs.HEMA PRIYA D (COMPUTER LAB 22)</t>
    </r>
  </si>
  <si>
    <t>22AI607 - MINI PROJECT</t>
  </si>
  <si>
    <r>
      <rPr>
        <b/>
        <sz val="12"/>
        <color theme="1"/>
        <rFont val="Cambria"/>
        <charset val="134"/>
      </rPr>
      <t>ELECTIVE 5 
22AI035-BUSINESS ANALYTICS</t>
    </r>
    <r>
      <rPr>
        <sz val="12"/>
        <color theme="1"/>
        <rFont val="Cambria"/>
        <charset val="134"/>
      </rPr>
      <t xml:space="preserve">
Mr. RAJKUMAR V S 
</t>
    </r>
    <r>
      <rPr>
        <b/>
        <sz val="12"/>
        <color theme="1"/>
        <rFont val="Cambria"/>
        <charset val="134"/>
      </rPr>
      <t>OR
22AI036-DIGITAL MARKETING AND MANAGEMENT</t>
    </r>
    <r>
      <rPr>
        <sz val="12"/>
        <color theme="1"/>
        <rFont val="Cambria"/>
        <charset val="134"/>
      </rPr>
      <t xml:space="preserve">
Mrs. JEEVITHA S V
</t>
    </r>
    <r>
      <rPr>
        <b/>
        <sz val="12"/>
        <color theme="1"/>
        <rFont val="Cambria"/>
        <charset val="134"/>
      </rPr>
      <t>OR
 OPEN ELECTIVE</t>
    </r>
  </si>
  <si>
    <t>AGRICULTURAL ENGINEERING</t>
  </si>
  <si>
    <t xml:space="preserve">
22AG601 - FARM IMPLEMENTS
Dr.PRAVEEN KUMAR D (EW104)</t>
  </si>
  <si>
    <t>22AG603 - IRRIGATION AND DRAINAGE ENGINEERING
Dr.VASUDEVAN M (EW104)</t>
  </si>
  <si>
    <t>22AG602 - POST HARVEST TECHNOLOGY 
 Ms.ANANTHI D (UNIT OPERATIONS LABORATORY)</t>
  </si>
  <si>
    <t>22AG016 - FOOD SAFETY MANAGEMENT SYSTEMS
Ms. SNEKHA A R (EW104)</t>
  </si>
  <si>
    <t>22AG602 - POST HARVEST TECHNOLOGY
Dr.CHELLADURAI V (EW104)</t>
  </si>
  <si>
    <t>HONOURS
22AGH21 - ENERGY CONSERVATION IN AGRO-BASED INDUSTRY
Dr.PRAVEEN KUMAR D (EW104)</t>
  </si>
  <si>
    <t>22AG001 - HUMAN ENGINEERING AND SAFETY
Dr.UVARAJA V C (EW104)</t>
  </si>
  <si>
    <t>22AG008 - GROUNDWATER, WELLS AND PUMPS
Mr.MUTHUKUMARAVEL K (EW104)</t>
  </si>
  <si>
    <t>ELECTIVE 5 / OPEN ELECTIVE
22AG017 - EMERGING TECHNOLOGIES IN FOOD PROCESS ENGINEERING
Ms.ANANTHI D (EW104)</t>
  </si>
  <si>
    <t>HONOURS
22AGH22 - COGENERATION AND WASTE HEAT RECOVERY SYSTEMS
Ms.SNEKHA A R (EW104)</t>
  </si>
  <si>
    <t>22AG603 - IRRIGATION AND DRAINAGE ENGINEERING
 Dr.VASUDEVAN M (IRRIGATION LABORATORY)</t>
  </si>
  <si>
    <t>22AG601 - FARM IMPLEMENTS
Dr.PRAVEEN KUMAR D (EW104)</t>
  </si>
  <si>
    <t>22AG601 - FARM IMPLEMENTS
 Dr. PRAVEEN KUMAR D (FARM IMPLEMENTS LABORATORY)</t>
  </si>
  <si>
    <t xml:space="preserve">
22AG008 - GROUNDWATER, WELLS AND PUMPS
Mr.MUTHUKUMARAVEL K (EW104)</t>
  </si>
  <si>
    <r>
      <rPr>
        <b/>
        <sz val="12"/>
        <color theme="1"/>
        <rFont val="Cambria"/>
        <charset val="134"/>
      </rPr>
      <t>ELECTIVE 3
22AI020-REINFORCEMENT LEARNING</t>
    </r>
    <r>
      <rPr>
        <sz val="12"/>
        <color theme="1"/>
        <rFont val="Cambria"/>
        <charset val="134"/>
      </rPr>
      <t xml:space="preserve">
Mrs.ASHFORN HERMINA J M (Faculty Hall 2)
</t>
    </r>
    <r>
      <rPr>
        <b/>
        <sz val="12"/>
        <color theme="1"/>
        <rFont val="Cambria"/>
        <charset val="134"/>
      </rPr>
      <t>OR
22AI049-ETHICS IN DATA SCIENCE</t>
    </r>
    <r>
      <rPr>
        <sz val="12"/>
        <color theme="1"/>
        <rFont val="Cambria"/>
        <charset val="134"/>
      </rPr>
      <t xml:space="preserve">
Mrs.MANOCHITRA A S (ME202)</t>
    </r>
  </si>
  <si>
    <r>
      <rPr>
        <b/>
        <sz val="12"/>
        <color theme="1"/>
        <rFont val="Cambria"/>
        <charset val="134"/>
      </rPr>
      <t>ELECTIVE 4
22AI025-KNOWLEDGE ENGINEERING</t>
    </r>
    <r>
      <rPr>
        <sz val="12"/>
        <color theme="1"/>
        <rFont val="Cambria"/>
        <charset val="134"/>
      </rPr>
      <t xml:space="preserve">
Mrs KIRUTHIGA R (ME202)
</t>
    </r>
    <r>
      <rPr>
        <b/>
        <sz val="12"/>
        <color theme="1"/>
        <rFont val="Cambria"/>
        <charset val="134"/>
      </rPr>
      <t>OR
22AI032-RECOMMENDER SYSTEMS</t>
    </r>
    <r>
      <rPr>
        <sz val="12"/>
        <color theme="1"/>
        <rFont val="Cambria"/>
        <charset val="134"/>
      </rPr>
      <t xml:space="preserve">
Mrs.VAANATHI S (Faculty Hall 2)</t>
    </r>
  </si>
  <si>
    <r>
      <rPr>
        <b/>
        <sz val="12"/>
        <color theme="1"/>
        <rFont val="Cambria"/>
        <charset val="134"/>
      </rPr>
      <t>22AI601 
NATURAL LANGUAGE PROCESSING LAB</t>
    </r>
    <r>
      <rPr>
        <sz val="12"/>
        <color theme="1"/>
        <rFont val="Cambria"/>
        <charset val="134"/>
      </rPr>
      <t xml:space="preserve">
Mr.PREMKUMAR C (ME202)</t>
    </r>
  </si>
  <si>
    <r>
      <rPr>
        <b/>
        <sz val="12"/>
        <color theme="1"/>
        <rFont val="Cambria"/>
        <charset val="134"/>
      </rPr>
      <t>22AI602
COMPUTER VISION AND DIGITAL IMAGING</t>
    </r>
    <r>
      <rPr>
        <sz val="12"/>
        <color theme="1"/>
        <rFont val="Cambria"/>
        <charset val="134"/>
      </rPr>
      <t xml:space="preserve">
Mrs.NISHA DEVI K (ME202)</t>
    </r>
  </si>
  <si>
    <r>
      <rPr>
        <b/>
        <sz val="12"/>
        <color theme="1"/>
        <rFont val="Cambria"/>
        <charset val="134"/>
      </rPr>
      <t>22AI603 
DEEP LEARNING</t>
    </r>
    <r>
      <rPr>
        <sz val="12"/>
        <color theme="1"/>
        <rFont val="Cambria"/>
        <charset val="134"/>
      </rPr>
      <t xml:space="preserve">
Mr.SATHEESH N P (ME202)</t>
    </r>
  </si>
  <si>
    <r>
      <rPr>
        <b/>
        <sz val="12"/>
        <color theme="1"/>
        <rFont val="Cambria"/>
        <charset val="134"/>
      </rPr>
      <t>ADD COURSE
22AI029-QUANTUM COMPUTING</t>
    </r>
    <r>
      <rPr>
        <sz val="12"/>
        <color theme="1"/>
        <rFont val="Cambria"/>
        <charset val="134"/>
      </rPr>
      <t xml:space="preserve">
Mrs. ESAKKI MADURA E (ME202)
</t>
    </r>
    <r>
      <rPr>
        <b/>
        <sz val="12"/>
        <color theme="1"/>
        <rFont val="Cambria"/>
        <charset val="134"/>
      </rPr>
      <t>OR</t>
    </r>
    <r>
      <rPr>
        <sz val="12"/>
        <color theme="1"/>
        <rFont val="Cambria"/>
        <charset val="134"/>
      </rPr>
      <t xml:space="preserve">
</t>
    </r>
    <r>
      <rPr>
        <b/>
        <sz val="12"/>
        <color theme="1"/>
        <rFont val="Cambria"/>
        <charset val="134"/>
      </rPr>
      <t>22AI607- MINI PROJECT</t>
    </r>
    <r>
      <rPr>
        <sz val="12"/>
        <color theme="1"/>
        <rFont val="Cambria"/>
        <charset val="134"/>
      </rPr>
      <t xml:space="preserve"> 
(STUDENTS NOT OPTED ADD COURSE) 
Mrs JEEVITHA S V (Faculty Hall 2)</t>
    </r>
  </si>
  <si>
    <r>
      <rPr>
        <b/>
        <sz val="12"/>
        <color theme="1"/>
        <rFont val="Cambria"/>
        <charset val="134"/>
      </rPr>
      <t>22AI602
COMPUTER VISION AND DIGITAL IMAGING LAB</t>
    </r>
    <r>
      <rPr>
        <sz val="12"/>
        <color theme="1"/>
        <rFont val="Cambria"/>
        <charset val="134"/>
      </rPr>
      <t xml:space="preserve">
Mrs.NISHA DEVI K (ME202)</t>
    </r>
  </si>
  <si>
    <r>
      <rPr>
        <b/>
        <sz val="12"/>
        <color theme="1"/>
        <rFont val="Cambria"/>
        <charset val="134"/>
      </rPr>
      <t>22AI601 
NATURAL LANGUAGE PROCESSING</t>
    </r>
    <r>
      <rPr>
        <sz val="12"/>
        <color theme="1"/>
        <rFont val="Cambria"/>
        <charset val="134"/>
      </rPr>
      <t xml:space="preserve">
Mr.PREMKUMAR C (ME202)</t>
    </r>
  </si>
  <si>
    <r>
      <rPr>
        <b/>
        <sz val="12"/>
        <color theme="1"/>
        <rFont val="Cambria"/>
        <charset val="134"/>
      </rPr>
      <t>ELECTIVE 5 
22AI035-BUSINESS ANALYTICS</t>
    </r>
    <r>
      <rPr>
        <sz val="12"/>
        <color theme="1"/>
        <rFont val="Cambria"/>
        <charset val="134"/>
      </rPr>
      <t xml:space="preserve">
MrS ESAKKI MADURA E (ME202)
</t>
    </r>
    <r>
      <rPr>
        <b/>
        <sz val="12"/>
        <color theme="1"/>
        <rFont val="Cambria"/>
        <charset val="134"/>
      </rPr>
      <t>OR
22AI036-DIGITAL MARKETING AND MANAGEMENT</t>
    </r>
    <r>
      <rPr>
        <sz val="12"/>
        <color theme="1"/>
        <rFont val="Cambria"/>
        <charset val="134"/>
      </rPr>
      <t xml:space="preserve">
Mrs. JEEVITHA S V (Faculty Hall 2)
</t>
    </r>
    <r>
      <rPr>
        <b/>
        <sz val="12"/>
        <color theme="1"/>
        <rFont val="Cambria"/>
        <charset val="134"/>
      </rPr>
      <t>OR</t>
    </r>
    <r>
      <rPr>
        <sz val="12"/>
        <color theme="1"/>
        <rFont val="Cambria"/>
        <charset val="134"/>
      </rPr>
      <t xml:space="preserve">
</t>
    </r>
    <r>
      <rPr>
        <b/>
        <sz val="14"/>
        <color theme="1"/>
        <rFont val="Cambria"/>
        <charset val="134"/>
      </rPr>
      <t xml:space="preserve"> OPEN ELECTIVE</t>
    </r>
  </si>
  <si>
    <r>
      <rPr>
        <b/>
        <sz val="12"/>
        <color theme="1"/>
        <rFont val="Cambria"/>
        <charset val="134"/>
      </rPr>
      <t>22AI601 
NATURAL LANGUAGE PROCESSING LAB</t>
    </r>
    <r>
      <rPr>
        <sz val="12"/>
        <color theme="1"/>
        <rFont val="Cambria"/>
        <charset val="134"/>
      </rPr>
      <t xml:space="preserve">
Mr.PREMKUMAR C (ME202}</t>
    </r>
  </si>
  <si>
    <r>
      <rPr>
        <b/>
        <sz val="12"/>
        <color theme="1"/>
        <rFont val="Cambria"/>
        <charset val="134"/>
      </rPr>
      <t>22AI603 
DEEP LEARNING LAB</t>
    </r>
    <r>
      <rPr>
        <sz val="12"/>
        <color theme="1"/>
        <rFont val="Cambria"/>
        <charset val="134"/>
      </rPr>
      <t xml:space="preserve">
Mr.SATHEESH N P (ME202)</t>
    </r>
  </si>
  <si>
    <t>ARTIFICIAL INTELLIGENCE AND MACHINE LEARNING</t>
  </si>
  <si>
    <t xml:space="preserve">ELECTIVE 3
22AM005
SOFTWARE TESTING AND AUTOMATION
Mrs.INDHUMATHI K (ME303)
Ms.KANIMOZHI A
</t>
  </si>
  <si>
    <t>22AM601
NATURAL LANGUAGE PROCESSING
Dr.KODIESWARI A(ME303)
Mrs.EUGENE BERNA I</t>
  </si>
  <si>
    <t>ADD ON COURSE
22AM006
DEVOPS
Dr.NATARAJ N
/
22AM607
MINI PROJECT II
Ms.Mrs.LOKESWARI P(AIML LAB 6)</t>
  </si>
  <si>
    <t>22AM603 LABORATORY
DEEP LEARNING
Mr.NITHIN P (AIML LAB 6)
Dr.KARTHIKEYAN G</t>
  </si>
  <si>
    <t>ELECTIVE 4
22AM014
MODERN CRYPTOGRAPHY
Mrs.KEERTHANA K (ME303)
Ms.NITHYA M</t>
  </si>
  <si>
    <t>HONOURS
22AMH32 - VIDEO ANALYTICS 
Ms.POORNIMA A 
/ 
MINOR COURSE 1
22AMM44 - BUSINESS INTELLIGENCE AND ANALYTICS
Mr.ASWIN JAYA SURYA M J</t>
  </si>
  <si>
    <t xml:space="preserve">22AM602 LABORATORY
COMPUTER VISION AND DIGITAL IMAGING
Dr.RAJASEKAR S S
Ms.KARTHIKA S (AIML LAB 6)
</t>
  </si>
  <si>
    <t>22AM603
DEEP LEARNING
Mr.NITHIN P (ME303)
Dr.KARTHIKEYAN G</t>
  </si>
  <si>
    <t>ELECTIVE 5 
22AM034
BUSINESS INTELLIGENCE
Ms.MOHANAPRIYA K (ME303)
Mrs.GAYATHRIDEVI M
/ OPEN ELECTIVE</t>
  </si>
  <si>
    <t>HONOURS
22AMH33 - CYBER THREAT ANALYTICS
Mrs.INDHUMATHI K
 / 
MINOR COURSE 2
22AMM45 - FUNDAMENTALS OF CLOUD COMPUTING
Mrs.SARANYA M K</t>
  </si>
  <si>
    <t>22AM601 LABORATORY
NATURAL LANGUAGE PROCESSING
Dr.KODIESWARI A (AIML LAB 6)
Dr.ANANDAKUMAR K</t>
  </si>
  <si>
    <t xml:space="preserve">22AM602
COMPUTER VISION AND DIGITAL IMAGING
Dr.RAJASEKAR S S
Ms.KARTHIKA S (ME303)
</t>
  </si>
  <si>
    <t>22AM601
NATURAL LANGUAGE PROCESSING
Dr.KODIESWARI A (ME303)
Mrs.EUGENE BERNA I</t>
  </si>
  <si>
    <t>ADD ON COURSE
22AM006
DEVOPS
Dr.NATARAJ N
/
22AM607
MINI PROJECT II
Mrs.SARANYA M K (AIML LAB 6)</t>
  </si>
  <si>
    <t>ADD ON COURSE
22AM006
DEVOPS
Dr.NATARAJ N
/
22AM607
MINI PROJECT II
Ms.MADHUMATHI S(AIML LAB 6)</t>
  </si>
  <si>
    <t>22AM603 LABORATORY
DEEP LEARNING
Mr.NITHIN P  (AIML LAB 6)
Dr.KARTHIKEYAN G</t>
  </si>
  <si>
    <t>22AM601 LABORATORY
NATURAL LANGUAGE PROCESSING
Dr.KODIESWARI A  (AIML LAB 6)
Dr.ANANDAKUMAR K</t>
  </si>
  <si>
    <t xml:space="preserve">22AM602
COMPUTER VISION AND DIGITAL IMAGING
Dr.RAJASEKAR S S
Ms.KARTHIKA S  (ME303)
</t>
  </si>
  <si>
    <t>22AM603
DEEP LEARNING
Mr.NITHIN P  (ME303)
Dr.KARTHIKEYAN G</t>
  </si>
  <si>
    <t xml:space="preserve">22AM602 LABORATORY
COMPUTER VISION AND DIGITAL IMAGING
Dr.RAJASEKAR S S
Ms.KARTHIKA S  (AIML LAB 6)
</t>
  </si>
  <si>
    <t xml:space="preserve">ELECTIVE 3
22AM005
SOFTWARE TESTING AND AUTOMATION
Mrs.INDHUMATHI K (AIML LAB 6)
</t>
  </si>
  <si>
    <t xml:space="preserve">22AM601
NATURAL LANGUAGE PROCESSING
Dr.KODIESWARI A(AIML LAB 6)
</t>
  </si>
  <si>
    <t xml:space="preserve">22AM601 LABORATORY
NATURAL LANGUAGE PROCESSING
Dr.KODIESWARI A  (AIML LAB 6)
</t>
  </si>
  <si>
    <t xml:space="preserve">
ADD ON COURSE
22AM006
DEVOPS
Dr.NATARAJ N(FACULTY CABIN)/
22AM607
MINI PROJECT II
Ms.Madhumathi S(AIML LAB 6)</t>
  </si>
  <si>
    <t>22AM603
DEEP LEARNING
Mr.SATHEESH N P (ME202)</t>
  </si>
  <si>
    <t xml:space="preserve">ELECTIVE 4
22AM014
MODERN CRYPTOGRAPHY
Mrs.KEERTHANA K (AIML LAB 6)
</t>
  </si>
  <si>
    <t xml:space="preserve">22AM602 LABORATORY
COMPUTER VISION AND DIGITAL IMAGING
Dr.RAJASEKAR  S S (AIML LAB 6)
</t>
  </si>
  <si>
    <t xml:space="preserve">ELECTIVE 3
22AM005
SOFTWARE TESTING AND AUTOMATION
Mrs.INDHUMATHI K (AIML LAB 6)
</t>
  </si>
  <si>
    <t>ELECTIVE 5 
22AM034
BUSINESS INTELLIGENCE
Ms.MOHANAPRIYA K (AIML LAB 6)
/ OPEN ELECTIVE</t>
  </si>
  <si>
    <t xml:space="preserve">22AM601 LABORATORY
NATURAL LANGUAGE PROCESSING
Dr.KODIESWARI A (AIML LAB 6)
</t>
  </si>
  <si>
    <t xml:space="preserve">
ADD ON COURSE
22AM006
DEVOPS
Dr.NATARAJ N(FACULTY CABIN)
/
22AM607
MINI PROJECT II
Mrs.INDHUMATHI K (AIML LAB 6)</t>
  </si>
  <si>
    <t xml:space="preserve">22AM601
NATURAL LANGUAGE PROCESSING
Dr.KODIESWARI A (AIML LAB 6)
</t>
  </si>
  <si>
    <t xml:space="preserve">22AM602
COMPUTER VISION AND DIGITAL IMAGING
Dr.RAJASEKAR  S S (AIML LAB 6)
</t>
  </si>
  <si>
    <t>22AM601
NATURAL LANGUAGE PROCESSING
Dr.KODIESWARI A (AIML LAB 6)</t>
  </si>
  <si>
    <t>ADD ON COURSE
22AM006
DEVOPS
Dr.NATARAJ N(FACULTY CABIN)
/
22AM607
MINI PROJECT II
Mrs.INDHUMATHI K  (AIML LAB 6)</t>
  </si>
  <si>
    <t>22AM603 LABORATORY
DEEP LEARNING
Mr.NITHIN P  (ME202)</t>
  </si>
  <si>
    <t xml:space="preserve">22AM603
DEEP LEARNING
Mr.NITHIN P (ME202)
</t>
  </si>
  <si>
    <t>BIOTECHNOLOGY</t>
  </si>
  <si>
    <r>
      <rPr>
        <b/>
        <sz val="12"/>
        <color theme="1"/>
        <rFont val="Cambria"/>
        <charset val="134"/>
      </rPr>
      <t xml:space="preserve">22BT601
DOWNSTREAM PROCESSING
</t>
    </r>
    <r>
      <rPr>
        <sz val="12"/>
        <color theme="1"/>
        <rFont val="Cambria"/>
        <charset val="134"/>
      </rPr>
      <t>Ms.DHIVYA DHARSHINI U
(WW210)</t>
    </r>
  </si>
  <si>
    <r>
      <rPr>
        <b/>
        <sz val="12"/>
        <color theme="1"/>
        <rFont val="Cambria"/>
        <charset val="134"/>
      </rPr>
      <t xml:space="preserve">22BT602
IMMUNOLOGY
</t>
    </r>
    <r>
      <rPr>
        <sz val="12"/>
        <color theme="1"/>
        <rFont val="Cambria"/>
        <charset val="134"/>
      </rPr>
      <t>Mr.BALAJI S
(WW210)</t>
    </r>
  </si>
  <si>
    <r>
      <rPr>
        <b/>
        <sz val="12"/>
        <color theme="1"/>
        <rFont val="Cambria"/>
        <charset val="134"/>
      </rPr>
      <t xml:space="preserve">22BT603
ENZYME AND PROTEIN ENGINEERING
</t>
    </r>
    <r>
      <rPr>
        <sz val="12"/>
        <color theme="1"/>
        <rFont val="Cambria"/>
        <charset val="134"/>
      </rPr>
      <t>Dr.SARANYA S
(WW210)</t>
    </r>
  </si>
  <si>
    <r>
      <rPr>
        <b/>
        <sz val="12"/>
        <color rgb="FF000000"/>
        <rFont val="Cambria"/>
        <charset val="134"/>
      </rPr>
      <t xml:space="preserve">ELECTIVE 3
22BT042
CLINICAL TRIALS AND HEALTHCARE POLICIES IN BIOTECHNOLOGY
</t>
    </r>
    <r>
      <rPr>
        <sz val="12"/>
        <color rgb="FF000000"/>
        <rFont val="Cambria"/>
        <charset val="134"/>
      </rPr>
      <t>Ms.NANDHINI N</t>
    </r>
    <r>
      <rPr>
        <b/>
        <sz val="12"/>
        <color rgb="FF000000"/>
        <rFont val="Cambria"/>
        <charset val="134"/>
      </rPr>
      <t xml:space="preserve">
</t>
    </r>
    <r>
      <rPr>
        <sz val="12"/>
        <color rgb="FF000000"/>
        <rFont val="Cambria"/>
        <charset val="134"/>
      </rPr>
      <t>(WW210)</t>
    </r>
    <r>
      <rPr>
        <b/>
        <sz val="12"/>
        <color rgb="FF000000"/>
        <rFont val="Cambria"/>
        <charset val="134"/>
      </rPr>
      <t xml:space="preserve">
</t>
    </r>
    <r>
      <rPr>
        <b/>
        <sz val="12"/>
        <color rgb="FFFFFFFF"/>
        <rFont val="Cambria"/>
        <charset val="134"/>
      </rPr>
      <t xml:space="preserve">/22BT036
MOLECULAR THERAPEUTICS AND DIAGNOSTICS
</t>
    </r>
    <r>
      <rPr>
        <sz val="12"/>
        <color rgb="FFFFFFFF"/>
        <rFont val="Cambria"/>
        <charset val="134"/>
      </rPr>
      <t>Dr.SANDHYARANI R</t>
    </r>
    <r>
      <rPr>
        <sz val="12"/>
        <color rgb="FF000000"/>
        <rFont val="Cambria"/>
        <charset val="134"/>
      </rPr>
      <t xml:space="preserve">
</t>
    </r>
  </si>
  <si>
    <r>
      <rPr>
        <b/>
        <sz val="12"/>
        <color theme="1"/>
        <rFont val="Cambria"/>
        <charset val="134"/>
      </rPr>
      <t xml:space="preserve">22BT601
DOWNSTREAM PROCESSING LABORATORY [7376232BT101-158]
</t>
    </r>
    <r>
      <rPr>
        <sz val="12"/>
        <color theme="1"/>
        <rFont val="Cambria"/>
        <charset val="134"/>
      </rPr>
      <t xml:space="preserve">Ms.DHIVYA DHARSHINI U
BIOPROCESS LAB/
</t>
    </r>
    <r>
      <rPr>
        <b/>
        <sz val="12"/>
        <color theme="1"/>
        <rFont val="Cambria"/>
        <charset val="134"/>
      </rPr>
      <t xml:space="preserve">22BT602
IMMUNOLOGY LABORATORY [7376232BT159-215]
</t>
    </r>
    <r>
      <rPr>
        <sz val="12"/>
        <color theme="1"/>
        <rFont val="Cambria"/>
        <charset val="134"/>
      </rPr>
      <t>Mr.BALAJI S
MICROBIOLOGY LAB</t>
    </r>
  </si>
  <si>
    <r>
      <rPr>
        <b/>
        <sz val="12"/>
        <color theme="1"/>
        <rFont val="Cambria"/>
        <charset val="134"/>
      </rPr>
      <t xml:space="preserve">22BTH30
ANIMAL CELL CULTURE TECHNIQUES
</t>
    </r>
    <r>
      <rPr>
        <sz val="12"/>
        <color theme="1"/>
        <rFont val="Cambria"/>
        <charset val="134"/>
      </rPr>
      <t>Mrs.MAHIMA P
(FACULTY CABIN)</t>
    </r>
  </si>
  <si>
    <r>
      <rPr>
        <b/>
        <sz val="12"/>
        <color theme="1"/>
        <rFont val="Cambria"/>
        <charset val="134"/>
      </rPr>
      <t xml:space="preserve">ELECTIVE 4
22BT046
BIOSAFETY AND HAZARD MANAGEMENT
</t>
    </r>
    <r>
      <rPr>
        <sz val="12"/>
        <color theme="1"/>
        <rFont val="Cambria"/>
        <charset val="134"/>
      </rPr>
      <t xml:space="preserve">Mrs.SWATHI G
(WW210)
</t>
    </r>
    <r>
      <rPr>
        <b/>
        <sz val="12"/>
        <color rgb="FFFFFFFF"/>
        <rFont val="Cambria"/>
        <charset val="134"/>
      </rPr>
      <t>22BT004
BIOENERGY AND BIOFUELS</t>
    </r>
    <r>
      <rPr>
        <sz val="12"/>
        <color rgb="FFFFFFFF"/>
        <rFont val="Cambria"/>
        <charset val="134"/>
      </rPr>
      <t xml:space="preserve">
Dr.KIRUPA SANKAR M</t>
    </r>
  </si>
  <si>
    <r>
      <rPr>
        <b/>
        <sz val="12"/>
        <color theme="1"/>
        <rFont val="Cambria"/>
        <charset val="134"/>
      </rPr>
      <t>22BT013
BIOSENSORS</t>
    </r>
    <r>
      <rPr>
        <sz val="12"/>
        <color theme="1"/>
        <rFont val="Cambria"/>
        <charset val="134"/>
      </rPr>
      <t xml:space="preserve">
Mr.JEYAVEL KARTHICK P
(WW210)</t>
    </r>
  </si>
  <si>
    <r>
      <rPr>
        <b/>
        <sz val="12"/>
        <color theme="1"/>
        <rFont val="Cambria"/>
        <charset val="134"/>
      </rPr>
      <t xml:space="preserve">ELECTIVE 5
22BT010
FOOD PROCESS &amp; TECHNOLOGY
</t>
    </r>
    <r>
      <rPr>
        <sz val="12"/>
        <color theme="1"/>
        <rFont val="Cambria"/>
        <charset val="134"/>
      </rPr>
      <t xml:space="preserve">Ms.SIVARAHINI K
(FACULTY CABIN)/
</t>
    </r>
    <r>
      <rPr>
        <b/>
        <sz val="12"/>
        <color rgb="FFEAD1DC"/>
        <rFont val="Cambria"/>
        <charset val="134"/>
      </rPr>
      <t xml:space="preserve">22BT040
VACCINE TECHNOLOGY
</t>
    </r>
    <r>
      <rPr>
        <sz val="12"/>
        <color rgb="FFEAD1DC"/>
        <rFont val="Cambria"/>
        <charset val="134"/>
      </rPr>
      <t>Dr.PAVITHRA MKS/</t>
    </r>
    <r>
      <rPr>
        <sz val="12"/>
        <color theme="1"/>
        <rFont val="Cambria"/>
        <charset val="134"/>
      </rPr>
      <t xml:space="preserve">
</t>
    </r>
    <r>
      <rPr>
        <b/>
        <sz val="12"/>
        <color theme="1"/>
        <rFont val="Cambria"/>
        <charset val="134"/>
      </rPr>
      <t xml:space="preserve">22OBT01
BIOFUELS
</t>
    </r>
    <r>
      <rPr>
        <sz val="12"/>
        <color theme="1"/>
        <rFont val="Cambria"/>
        <charset val="134"/>
      </rPr>
      <t>Dr.SURESH CHALUVADI
(WW209)</t>
    </r>
  </si>
  <si>
    <r>
      <rPr>
        <b/>
        <sz val="12"/>
        <color theme="1"/>
        <rFont val="Cambria"/>
        <charset val="134"/>
      </rPr>
      <t xml:space="preserve">22BTH31
BIOTECHNIQUES IN ANIMAL
 BREEDING
</t>
    </r>
    <r>
      <rPr>
        <sz val="12"/>
        <color theme="1"/>
        <rFont val="Cambria"/>
        <charset val="134"/>
      </rPr>
      <t>Mrs.SWATHI G
(FACULTY CABIN)</t>
    </r>
  </si>
  <si>
    <r>
      <rPr>
        <b/>
        <sz val="12"/>
        <color theme="1"/>
        <rFont val="Cambria"/>
        <charset val="134"/>
      </rPr>
      <t xml:space="preserve">22BT603
ENZYME AND PROTEIN ENGINEERING LABORATORY [7376232BT101-158]
</t>
    </r>
    <r>
      <rPr>
        <sz val="12"/>
        <color theme="1"/>
        <rFont val="Cambria"/>
        <charset val="134"/>
      </rPr>
      <t xml:space="preserve">Dr.SARANYA S
MICROBIOLOGY LAB/
</t>
    </r>
    <r>
      <rPr>
        <b/>
        <sz val="12"/>
        <color theme="1"/>
        <rFont val="Cambria"/>
        <charset val="134"/>
      </rPr>
      <t xml:space="preserve">22BT601
DOWNSTREAM PROCESSING LABORATORY [7376232BT159-215]
</t>
    </r>
    <r>
      <rPr>
        <sz val="12"/>
        <color theme="1"/>
        <rFont val="Cambria"/>
        <charset val="134"/>
      </rPr>
      <t>Ms.DHIVYA DHARSHINI U
BIOPROCESS LAB</t>
    </r>
  </si>
  <si>
    <r>
      <rPr>
        <b/>
        <sz val="12"/>
        <color theme="1"/>
        <rFont val="Cambria"/>
        <charset val="134"/>
      </rPr>
      <t xml:space="preserve">22BT603
ENZYME AND PROTEIN ENGINEERING LABORATORY [7376232BT101-158]
</t>
    </r>
    <r>
      <rPr>
        <sz val="12"/>
        <color theme="1"/>
        <rFont val="Cambria"/>
        <charset val="134"/>
      </rPr>
      <t xml:space="preserve">Dr.SARANYA S
MICROBIOLOGY LAB/
</t>
    </r>
    <r>
      <rPr>
        <b/>
        <sz val="12"/>
        <color theme="1"/>
        <rFont val="Cambria"/>
        <charset val="134"/>
      </rPr>
      <t xml:space="preserve">22BT602
IMMUNOLOGY LABORATORY [7376232BT159-215]
</t>
    </r>
    <r>
      <rPr>
        <sz val="12"/>
        <color theme="1"/>
        <rFont val="Cambria"/>
        <charset val="134"/>
      </rPr>
      <t>Mr.BALAJI S
BIOPROCESS LAB</t>
    </r>
  </si>
  <si>
    <r>
      <rPr>
        <b/>
        <sz val="12"/>
        <color theme="1"/>
        <rFont val="Cambria"/>
        <charset val="134"/>
      </rPr>
      <t xml:space="preserve">22BT601
DOWNSTREAM PROCESSING LABORATORY [7376232BT159-215]
</t>
    </r>
    <r>
      <rPr>
        <sz val="12"/>
        <color theme="1"/>
        <rFont val="Cambria"/>
        <charset val="134"/>
      </rPr>
      <t xml:space="preserve">Ms.DHIVYA DHARSHINI U
BIOPROCESS LAB/
</t>
    </r>
    <r>
      <rPr>
        <b/>
        <sz val="12"/>
        <color theme="1"/>
        <rFont val="Cambria"/>
        <charset val="134"/>
      </rPr>
      <t xml:space="preserve">22BT602
IMMUNOLOGY LABORATORY [7376232BT101-158]
</t>
    </r>
    <r>
      <rPr>
        <sz val="12"/>
        <color theme="1"/>
        <rFont val="Cambria"/>
        <charset val="134"/>
      </rPr>
      <t>Mr.BALAJI S
BOC LAB</t>
    </r>
  </si>
  <si>
    <r>
      <rPr>
        <b/>
        <sz val="12"/>
        <color theme="1"/>
        <rFont val="Cambria"/>
        <charset val="134"/>
      </rPr>
      <t xml:space="preserve">22BT603
ENZYME AND PROTEIN ENGINEERING LABORATORY [7376232BT159-215]
</t>
    </r>
    <r>
      <rPr>
        <sz val="12"/>
        <color theme="1"/>
        <rFont val="Cambria"/>
        <charset val="134"/>
      </rPr>
      <t xml:space="preserve">Dr.SARANYA S
MICROBIOLOGY LAB/
</t>
    </r>
    <r>
      <rPr>
        <b/>
        <sz val="12"/>
        <color theme="1"/>
        <rFont val="Cambria"/>
        <charset val="134"/>
      </rPr>
      <t xml:space="preserve">22BT602
IMMUNOLOGY LABORATORY [7376232BT101-158]
</t>
    </r>
    <r>
      <rPr>
        <sz val="12"/>
        <color theme="1"/>
        <rFont val="Cambria"/>
        <charset val="134"/>
      </rPr>
      <t>Mr.BALAJI S
BIOPROCESS LAB</t>
    </r>
  </si>
  <si>
    <r>
      <rPr>
        <b/>
        <sz val="12"/>
        <color theme="1"/>
        <rFont val="Cambria"/>
        <charset val="134"/>
      </rPr>
      <t xml:space="preserve">22BT603
ENZYME AND PROTEIN ENGINEERING LABORATORY [7376232BT159-215]
</t>
    </r>
    <r>
      <rPr>
        <sz val="12"/>
        <color theme="1"/>
        <rFont val="Cambria"/>
        <charset val="134"/>
      </rPr>
      <t xml:space="preserve">Dr.SARANYA S
MICROBIOLOGY LAB/
</t>
    </r>
    <r>
      <rPr>
        <b/>
        <sz val="12"/>
        <color theme="1"/>
        <rFont val="Cambria"/>
        <charset val="134"/>
      </rPr>
      <t xml:space="preserve">22BT601
DOWNSTREAM PROCESSING LABORATORY [7376232BT101-158]
</t>
    </r>
    <r>
      <rPr>
        <sz val="12"/>
        <color theme="1"/>
        <rFont val="Cambria"/>
        <charset val="134"/>
      </rPr>
      <t>Ms.DHIVYA DHARSHINI U
BIOPROCESS LAB</t>
    </r>
  </si>
  <si>
    <t>ELECTRONICS AND INSTRUMENTATION ENGINEERING</t>
  </si>
  <si>
    <t>22EI601  
      PROCESS CONTROL      
  Dr.VAIRAVEL K S
EIE Smart class</t>
  </si>
  <si>
    <t>22EI602        
DIGITAL SIGNAL PROCESSING        
Dr.SUDHAHAR S
EIE Smart class</t>
  </si>
  <si>
    <t xml:space="preserve">
ELECTIVE 3
22EI016
        INSTRUMENTATION IN 
PETROCHEMICAL INDUSTRIES        
Mr.PRATHAP M R
EIE Smart class</t>
  </si>
  <si>
    <t>22EI017        
FIBER OPTICS AND
 LASER INSTRUMENTATION
        Dr.SUDHAHAR S
EIE Smart class</t>
  </si>
  <si>
    <t>22EI601
        PROCESS CONTROL LAB
        Mr.PRAVIN SAVARIDASS M/
22EI603        
ARTIFICIAL INTELLIGENCE AND MACHINE LEARNING        
Mrs.MANOCHITRA A S
MECH LAB 23</t>
  </si>
  <si>
    <t>22EI603        
ARTIFICIAL INTELLIGENCE AND 
MACHINE LEARNING        
Dr.BALAMURUGAN V T
EIE Smart class</t>
  </si>
  <si>
    <t>HONOURS COURSE 1
22ECH09/22EIH04
      IoT SYSTEM DESIGN    
Mr.RAMESH R</t>
  </si>
  <si>
    <t xml:space="preserve">22EI018 
       POWER PLANT INSTRUMENTATION 
AND CONTROL     
   Mr.KUMARESAN K
EIE Smart class
 /
 22OEI01
        PROGRAMMABLE LOGIC CONTROLLER
        Mr.PRAVIN SAVARIDASS M
</t>
  </si>
  <si>
    <t>HONOURS  COURSE 2
22ECH10/22EIH05     
   WIRELESS SENSOR NETWORK DESIGN  
      Mrs.MYTHILI S</t>
  </si>
  <si>
    <t>22EI009
        BUILDING AUTOMATION
        Mr.PRATHAP M R
EIE Smart class</t>
  </si>
  <si>
    <t>ELECTRICAL AND ELECTRONICS ENGINEERING</t>
  </si>
  <si>
    <t>22EE601 - POWER SYSTEMS PROTECTION AND SWITCHGEAR
Dr.NANDHAKUMAR A
 WW006</t>
  </si>
  <si>
    <t>22EE602        
DIGITAL SIGNAL PROCESSING        
Dr.RAJALASHMI K
WW006</t>
  </si>
  <si>
    <t>22EE603-RENEWABLE AND DISTRIBUTED ENERGY SOURCES
Dr.GOLDVIN SUGIRTHA DHAS B
WW006</t>
  </si>
  <si>
    <t>22EE020-WIND POWER TECHNOLOGY
Dr.ALEX STANLEY RAJA T
WW006</t>
  </si>
  <si>
    <t>LABORATORY
22EE603-RENEWABLE AND DISTRIBUTED ENERGY SOURCES
Dr.GOLDVIN SUGIRTHA DHAS B
EEE CC2</t>
  </si>
  <si>
    <t>22EE035 - ENERGY AUDITING AND MANAGEMENT
Dr.SIVARAMAN P
WW006</t>
  </si>
  <si>
    <t>HONOUR COURSE 1
22EEH15-ELECTRIC VEHICLE DESIGN, MECHANICS AND CONTROL
Dr.SATHISHKUMAR S</t>
  </si>
  <si>
    <t>22EE011-ELECTRIC DRIVES AND CONTROL
Dr.MAHESWARI K T
WW006</t>
  </si>
  <si>
    <t>22EE601 - POWER SYSTEMS PROTECTION AND SWITCHGEAR
Dr.NANDHAKUMAR A
WW006</t>
  </si>
  <si>
    <t>22OEE01 - VALUE ENGINEERING
Dr.SENTHIL KUMAR J
WW006</t>
  </si>
  <si>
    <t>HONOUR COURSE 2
22EEH16-DESIGN OF ELECTRIC VEHICLE CHARGING SYSTEM
Mr.ARUN CHENDHURAN R</t>
  </si>
  <si>
    <t>COMPUTER SCIENCE AND DESIGN</t>
  </si>
  <si>
    <r>
      <rPr>
        <b/>
        <sz val="12"/>
        <color theme="1"/>
        <rFont val="Cambria"/>
        <charset val="134"/>
      </rPr>
      <t>22CD601
Foundations of Artificial Intelligence Lab</t>
    </r>
    <r>
      <rPr>
        <sz val="12"/>
        <color theme="1"/>
        <rFont val="Cambria"/>
        <charset val="134"/>
      </rPr>
      <t xml:space="preserve">
Mr.Maheshkumar K
CC Lab 26</t>
    </r>
  </si>
  <si>
    <r>
      <rPr>
        <b/>
        <sz val="12"/>
        <color theme="1"/>
        <rFont val="Cambria"/>
        <charset val="134"/>
      </rPr>
      <t>ELECTIVE 4
22CD019
Multimedia and Animation</t>
    </r>
    <r>
      <rPr>
        <sz val="12"/>
        <color theme="1"/>
        <rFont val="Cambria"/>
        <charset val="134"/>
      </rPr>
      <t xml:space="preserve">
Ms.Kiruthika S
EW 114</t>
    </r>
  </si>
  <si>
    <r>
      <rPr>
        <b/>
        <sz val="12"/>
        <color theme="1"/>
        <rFont val="Cambria"/>
        <charset val="134"/>
      </rPr>
      <t>22CD602
Principles of Compiler Design</t>
    </r>
    <r>
      <rPr>
        <sz val="12"/>
        <color theme="1"/>
        <rFont val="Cambria"/>
        <charset val="134"/>
      </rPr>
      <t xml:space="preserve">
Mrs.Subhashree.P
EW 114
</t>
    </r>
  </si>
  <si>
    <r>
      <rPr>
        <b/>
        <sz val="12"/>
        <color theme="1"/>
        <rFont val="Cambria"/>
        <charset val="134"/>
      </rPr>
      <t>ADD COURSE
22CD022
Video Creation and Editing</t>
    </r>
    <r>
      <rPr>
        <sz val="12"/>
        <color theme="1"/>
        <rFont val="Cambria"/>
        <charset val="134"/>
      </rPr>
      <t xml:space="preserve">
Mrs.Lokeswari.P
EW 114</t>
    </r>
  </si>
  <si>
    <r>
      <rPr>
        <b/>
        <sz val="12"/>
        <color theme="1"/>
        <rFont val="Cambria"/>
        <charset val="134"/>
      </rPr>
      <t>22CD603
Human Computer Interaction</t>
    </r>
    <r>
      <rPr>
        <sz val="12"/>
        <color theme="1"/>
        <rFont val="Cambria"/>
        <charset val="134"/>
      </rPr>
      <t xml:space="preserve">
Mrs.Preethimathi.L
EW 114</t>
    </r>
  </si>
  <si>
    <r>
      <rPr>
        <b/>
        <sz val="12"/>
        <color theme="1"/>
        <rFont val="Cambria"/>
        <charset val="134"/>
      </rPr>
      <t>ELECTIVE 3
22CD023
Digital Marketing</t>
    </r>
    <r>
      <rPr>
        <sz val="12"/>
        <color theme="1"/>
        <rFont val="Cambria"/>
        <charset val="134"/>
      </rPr>
      <t xml:space="preserve">
Ms.Priyadharshni S</t>
    </r>
  </si>
  <si>
    <r>
      <rPr>
        <b/>
        <sz val="12"/>
        <color theme="1"/>
        <rFont val="Cambria"/>
        <charset val="134"/>
      </rPr>
      <t>22CDH31
Metaverse</t>
    </r>
    <r>
      <rPr>
        <sz val="12"/>
        <color theme="1"/>
        <rFont val="Cambria"/>
        <charset val="134"/>
      </rPr>
      <t xml:space="preserve">
Ms.Suriya V</t>
    </r>
  </si>
  <si>
    <r>
      <rPr>
        <b/>
        <sz val="12"/>
        <color theme="1"/>
        <rFont val="Cambria"/>
        <charset val="134"/>
      </rPr>
      <t>22CD602
Principles of Compiler Design</t>
    </r>
    <r>
      <rPr>
        <sz val="12"/>
        <color theme="1"/>
        <rFont val="Cambria"/>
        <charset val="134"/>
      </rPr>
      <t xml:space="preserve">
Mrs.Subhashree.P
EW 114</t>
    </r>
  </si>
  <si>
    <r>
      <rPr>
        <b/>
        <sz val="12"/>
        <color theme="1"/>
        <rFont val="Cambria"/>
        <charset val="134"/>
      </rPr>
      <t>22CD601
Foundations of Artificial Intelligence</t>
    </r>
    <r>
      <rPr>
        <sz val="12"/>
        <color theme="1"/>
        <rFont val="Cambria"/>
        <charset val="134"/>
      </rPr>
      <t xml:space="preserve">
Mr.Maheshkumar K
EW 114</t>
    </r>
  </si>
  <si>
    <r>
      <rPr>
        <b/>
        <sz val="12"/>
        <color theme="1"/>
        <rFont val="Cambria"/>
        <charset val="134"/>
      </rPr>
      <t>Multimedia and Animation Lab
CC Lab 26</t>
    </r>
    <r>
      <rPr>
        <sz val="12"/>
        <color theme="1"/>
        <rFont val="Cambria"/>
        <charset val="134"/>
      </rPr>
      <t xml:space="preserve">
Ms.Kiruthika S</t>
    </r>
  </si>
  <si>
    <r>
      <rPr>
        <b/>
        <sz val="12"/>
        <color theme="1"/>
        <rFont val="Cambria"/>
        <charset val="134"/>
      </rPr>
      <t>ELECTIVE 5 / OPEN ELECTIVE
22CD014
Cloud Services and Data Management</t>
    </r>
    <r>
      <rPr>
        <sz val="12"/>
        <color theme="1"/>
        <rFont val="Cambria"/>
        <charset val="134"/>
      </rPr>
      <t xml:space="preserve">
Mr.Steephan Amalraj J
EW 114</t>
    </r>
  </si>
  <si>
    <r>
      <rPr>
        <b/>
        <sz val="12"/>
        <color theme="1"/>
        <rFont val="Cambria"/>
        <charset val="134"/>
      </rPr>
      <t>22CDH32
Image and Video Analytics</t>
    </r>
    <r>
      <rPr>
        <sz val="12"/>
        <color theme="1"/>
        <rFont val="Cambria"/>
        <charset val="134"/>
      </rPr>
      <t xml:space="preserve">
Mr.Rajesh Kanna P</t>
    </r>
  </si>
  <si>
    <r>
      <rPr>
        <b/>
        <sz val="12"/>
        <color theme="1"/>
        <rFont val="Cambria"/>
        <charset val="134"/>
      </rPr>
      <t>ELECTIVE 3
22CD023
Digital Marketing</t>
    </r>
    <r>
      <rPr>
        <sz val="12"/>
        <color theme="1"/>
        <rFont val="Cambria"/>
        <charset val="134"/>
      </rPr>
      <t xml:space="preserve">
Ms.Priyadharshni S
EW 114</t>
    </r>
  </si>
  <si>
    <r>
      <rPr>
        <b/>
        <sz val="12"/>
        <color theme="1"/>
        <rFont val="Cambria"/>
        <charset val="134"/>
      </rPr>
      <t>Video Creation and Editing Lab
CC Lab 26</t>
    </r>
    <r>
      <rPr>
        <sz val="12"/>
        <color theme="1"/>
        <rFont val="Cambria"/>
        <charset val="134"/>
      </rPr>
      <t xml:space="preserve">
Mrs.Lokeswari.P</t>
    </r>
  </si>
  <si>
    <t>COMPUTER SCIENCE AND BUSINESS SYSTEMS</t>
  </si>
  <si>
    <t>22CB602
        INFORMATION SECURITY
Mrs.SARANYA N
ME103</t>
  </si>
  <si>
    <t>ADD COURSE   
22CB030    
IT PROJECT MANAGEMENT
Mrs.LOKESWARI P
ME103</t>
  </si>
  <si>
    <t>22CB603        
ARTIFICIAL INTELLIGENCE
Dr.PADMASHREE A
ME103</t>
  </si>
  <si>
    <t>22CB601        
COMPUTER NETWORKS
Ms.VAISHNAVI N
ME103</t>
  </si>
  <si>
    <t>ELECTIVE 3
22CB008
MODERN WEB APPLICATIONS
Mr.CHANDRU K S
ME103</t>
  </si>
  <si>
    <t>ELECTIVE 4 
22CB021
MACHINE LEARNING
Mrs.ASHFORN HERMINA J M
ME103</t>
  </si>
  <si>
    <t>22CB604        
IT WORKSHOP
Mrs.MADHUMITHA A
ME103</t>
  </si>
  <si>
    <t>ELECTIVE 5 / OPEN ELECTIVE
22CB028
FINANCIAL MANAGEMENT
Mrs.AISHWARIYA M R
ME103</t>
  </si>
  <si>
    <t>22CB601        
COMPUTER NETWORKS
Ms.VAISHNAVI N
CSBS LAB 3</t>
  </si>
  <si>
    <t>22CB603        
ARTIFICIAL INTELLIGENCE
Dr.PADMASHREE A
CSBS LAB 3</t>
  </si>
  <si>
    <t>22CB604        
IT WORKSHOP
Ms.VAISHNAVI N
CSBS LAB 3</t>
  </si>
  <si>
    <t>ELECTIVE 5 / OPEN ELECTIVE
22CB028
FINANCIAL MANAGEMENT
Mrs.AISHWARIYA M R
ME103</t>
  </si>
  <si>
    <t>ELECTRONICS AND COMMUNICATION ENGINEERING</t>
  </si>
  <si>
    <r>
      <rPr>
        <sz val="12"/>
        <color rgb="FF000000"/>
        <rFont val="Cambria"/>
        <charset val="134"/>
      </rPr>
      <t xml:space="preserve">22EC601- COMPUTER NETWORKS AND PROTOCOLS 
</t>
    </r>
    <r>
      <rPr>
        <sz val="12"/>
        <color rgb="FFFFFFFF"/>
        <rFont val="Cambria"/>
        <charset val="134"/>
      </rPr>
      <t xml:space="preserve">Dr.SAMPOORNAM K P
</t>
    </r>
    <r>
      <rPr>
        <sz val="12"/>
        <color rgb="FF000000"/>
        <rFont val="Cambria"/>
        <charset val="134"/>
      </rPr>
      <t xml:space="preserve">Mrs.DHANALAKSHMI S 
</t>
    </r>
    <r>
      <rPr>
        <sz val="12"/>
        <color rgb="FFFFFFFF"/>
        <rFont val="Cambria"/>
        <charset val="134"/>
      </rPr>
      <t>Mrs.SARANYA N
Mrs.MYTHILI S</t>
    </r>
    <r>
      <rPr>
        <sz val="12"/>
        <color rgb="FF000000"/>
        <rFont val="Cambria"/>
        <charset val="134"/>
      </rPr>
      <t xml:space="preserve">
EW116</t>
    </r>
  </si>
  <si>
    <r>
      <rPr>
        <sz val="12"/>
        <color rgb="FF000000"/>
        <rFont val="Cambria"/>
        <charset val="134"/>
      </rPr>
      <t xml:space="preserve">22EC602 - DIGITAL SYSTEM WITH FPGA
Dr.PUSHPAVALLI M 
Dr.MURUGAN K 
</t>
    </r>
    <r>
      <rPr>
        <sz val="12"/>
        <color rgb="FFFFFFFF"/>
        <rFont val="Cambria"/>
        <charset val="134"/>
      </rPr>
      <t>Dr.ELANGO S
Mr.TAMILSELVAN S</t>
    </r>
    <r>
      <rPr>
        <sz val="12"/>
        <color rgb="FF000000"/>
        <rFont val="Cambria"/>
        <charset val="134"/>
      </rPr>
      <t xml:space="preserve">
EW116</t>
    </r>
  </si>
  <si>
    <r>
      <rPr>
        <sz val="12"/>
        <color rgb="FF000000"/>
        <rFont val="Cambria"/>
        <charset val="134"/>
      </rPr>
      <t xml:space="preserve">22EC603-ARTIFICIAL INTELLIGENCE AND MACHINE LEARNING
</t>
    </r>
    <r>
      <rPr>
        <sz val="12"/>
        <color rgb="FFFFFFFF"/>
        <rFont val="Cambria"/>
        <charset val="134"/>
      </rPr>
      <t>Dr.LEEBAN MOSES M 
Dr.STEPHEN SAGAYARAJ A 
Mr.KARTHIKEYAN S</t>
    </r>
    <r>
      <rPr>
        <sz val="12"/>
        <color rgb="FF000000"/>
        <rFont val="Cambria"/>
        <charset val="134"/>
      </rPr>
      <t xml:space="preserve">
Mrs.SOUNDARYA B 
EW116</t>
    </r>
  </si>
  <si>
    <r>
      <rPr>
        <b/>
        <sz val="12"/>
        <color rgb="FF000000"/>
        <rFont val="Cambria"/>
        <charset val="134"/>
      </rPr>
      <t xml:space="preserve">ELECTIVE 3
</t>
    </r>
    <r>
      <rPr>
        <sz val="12"/>
        <color rgb="FF000000"/>
        <rFont val="Cambria"/>
        <charset val="134"/>
      </rPr>
      <t xml:space="preserve">22EC046 - AUTOMOTIVE ELECTRONICS AND NETWORKING
</t>
    </r>
    <r>
      <rPr>
        <sz val="12"/>
        <color rgb="FFFFFFFF"/>
        <rFont val="Cambria"/>
        <charset val="134"/>
      </rPr>
      <t>Dr.SAMPOORNAM K P</t>
    </r>
    <r>
      <rPr>
        <sz val="12"/>
        <color rgb="FF000000"/>
        <rFont val="Cambria"/>
        <charset val="134"/>
      </rPr>
      <t xml:space="preserve">
Dr.SATHIYAMURTHI P
Mr.TAMILSELVAN A
ECE DEPT. LIBRARY
22EC015 - ASIC DESIGN
Mr.RAJA SEKAR S
Dr.PUSHPAVALLI M
EW116</t>
    </r>
  </si>
  <si>
    <t>22EC603-ARTIFICIAL INTELLIGENCE AND MACHINE LEARNING
 22EC602 - DIGITAL SYSTEM WITH FPGA</t>
  </si>
  <si>
    <r>
      <rPr>
        <b/>
        <sz val="12"/>
        <color rgb="FF000000"/>
        <rFont val="Cambria"/>
        <charset val="134"/>
      </rPr>
      <t xml:space="preserve">ELECTIVE 4
</t>
    </r>
    <r>
      <rPr>
        <sz val="12"/>
        <color rgb="FF000000"/>
        <rFont val="Cambria"/>
        <charset val="134"/>
      </rPr>
      <t xml:space="preserve">22EC004 - REAL-TIME OPERATING SYSTEMS
Dr.RAMKUMAR R
Mrs.NALIFABEGAM J
Mrs.NIVETHA G
EW116
</t>
    </r>
    <r>
      <rPr>
        <b/>
        <sz val="12"/>
        <color rgb="FF000000"/>
        <rFont val="Cambria"/>
        <charset val="134"/>
      </rPr>
      <t xml:space="preserve">
</t>
    </r>
    <r>
      <rPr>
        <sz val="12"/>
        <color rgb="FF000000"/>
        <rFont val="Cambria"/>
        <charset val="134"/>
      </rPr>
      <t>22EC006 - VIRTUAL INSTRUMENTATION IN EMBEDDED SYSTEMS
Mrs.MARIAAMUTHA R
ECE DEPT. LIBRARY</t>
    </r>
  </si>
  <si>
    <r>
      <rPr>
        <b/>
        <sz val="12"/>
        <color theme="1"/>
        <rFont val="Cambria"/>
        <charset val="134"/>
      </rPr>
      <t>HONOURS / MINOR COURSE 1</t>
    </r>
    <r>
      <rPr>
        <sz val="12"/>
        <color theme="1"/>
        <rFont val="Cambria"/>
        <charset val="134"/>
      </rPr>
      <t xml:space="preserve">
22ECH09/22EIH04 - IoT SYSTEM DESIGN
Mr.RAMESH R</t>
    </r>
  </si>
  <si>
    <r>
      <rPr>
        <sz val="12"/>
        <color rgb="FF000000"/>
        <rFont val="Cambria"/>
        <charset val="134"/>
      </rPr>
      <t xml:space="preserve">22EC601- COMPUTER NETWORKS AND PROTOCOLS 
</t>
    </r>
    <r>
      <rPr>
        <sz val="12"/>
        <color rgb="FFFFFFFF"/>
        <rFont val="Cambria"/>
        <charset val="134"/>
      </rPr>
      <t>Dr.SAMPOORNAM K P</t>
    </r>
    <r>
      <rPr>
        <sz val="12"/>
        <color rgb="FF000000"/>
        <rFont val="Cambria"/>
        <charset val="134"/>
      </rPr>
      <t xml:space="preserve">
Mrs.DHANALAKSHMI S 
</t>
    </r>
    <r>
      <rPr>
        <sz val="12"/>
        <color rgb="FFFFFFFF"/>
        <rFont val="Cambria"/>
        <charset val="134"/>
      </rPr>
      <t>Mrs.SARANYA N
Mrs.MYTHILI S</t>
    </r>
    <r>
      <rPr>
        <sz val="12"/>
        <color rgb="FF000000"/>
        <rFont val="Cambria"/>
        <charset val="134"/>
      </rPr>
      <t xml:space="preserve">
EW116</t>
    </r>
  </si>
  <si>
    <r>
      <rPr>
        <b/>
        <sz val="12"/>
        <color rgb="FF000000"/>
        <rFont val="Cambria"/>
        <charset val="134"/>
      </rPr>
      <t xml:space="preserve">ELECTIVE 3
</t>
    </r>
    <r>
      <rPr>
        <sz val="12"/>
        <color rgb="FF000000"/>
        <rFont val="Cambria"/>
        <charset val="134"/>
      </rPr>
      <t xml:space="preserve">22EC046 - AUTOMOTIVE ELECTRONICS AND NETWORKING
</t>
    </r>
    <r>
      <rPr>
        <sz val="12"/>
        <color rgb="FFFFFFFF"/>
        <rFont val="Cambria"/>
        <charset val="134"/>
      </rPr>
      <t xml:space="preserve">Dr.SAMPOORNAM K P
</t>
    </r>
    <r>
      <rPr>
        <sz val="12"/>
        <color rgb="FF000000"/>
        <rFont val="Cambria"/>
        <charset val="134"/>
      </rPr>
      <t>Dr.SATHIYAMURTHI P
Mr.TAMILSELVAN A
ECE DEPT. LIBRARY
22EC015 - ASIC DESIGN
Mr.RAJA SEKAR S
Dr.PUSHPAVALLI M
EW116</t>
    </r>
  </si>
  <si>
    <r>
      <rPr>
        <b/>
        <sz val="12"/>
        <color rgb="FF000000"/>
        <rFont val="Cambria"/>
        <charset val="134"/>
      </rPr>
      <t xml:space="preserve">
 OPEN ELECTIVE
</t>
    </r>
    <r>
      <rPr>
        <sz val="12"/>
        <color rgb="FF000000"/>
        <rFont val="Cambria"/>
        <charset val="134"/>
      </rPr>
      <t>22OEC03-PRINCIPLES OF COMMUNICATION SYSTEMS
 Mr.BARANIDHARAN V</t>
    </r>
  </si>
  <si>
    <r>
      <rPr>
        <b/>
        <sz val="12"/>
        <color theme="1"/>
        <rFont val="Cambria"/>
        <charset val="134"/>
      </rPr>
      <t xml:space="preserve">HONOURS / MINOR COURSE 2
</t>
    </r>
    <r>
      <rPr>
        <sz val="12"/>
        <color theme="1"/>
        <rFont val="Cambria"/>
        <charset val="134"/>
      </rPr>
      <t>22ECH10/22EIH05 - WIRELESS SENSOR NETWORK DESIGN
Mrs.MYTHILI S</t>
    </r>
  </si>
  <si>
    <r>
      <rPr>
        <b/>
        <sz val="12"/>
        <color rgb="FF000000"/>
        <rFont val="Cambria"/>
        <charset val="134"/>
      </rPr>
      <t xml:space="preserve">ELECTIVE 4
</t>
    </r>
    <r>
      <rPr>
        <sz val="12"/>
        <color rgb="FF000000"/>
        <rFont val="Cambria"/>
        <charset val="134"/>
      </rPr>
      <t>22EC004 - REAL-TIME OPERATING SYSTEMS
Dr.RAMKUMAR R
Mrs.NALIFABEGAM J
Mrs.NIVETHA G
EW116
22EC006 - VIRTUAL INSTRUMENTATION IN EMBEDDED SYSTEMS
Mrs.MARIAAMUTHA R
ECE DEPT. LIBRARY</t>
    </r>
  </si>
  <si>
    <r>
      <rPr>
        <b/>
        <sz val="12"/>
        <color rgb="FF000000"/>
        <rFont val="Cambria"/>
        <charset val="134"/>
      </rPr>
      <t xml:space="preserve">ADD COURSE
</t>
    </r>
    <r>
      <rPr>
        <sz val="12"/>
        <color rgb="FF000000"/>
        <rFont val="Cambria"/>
        <charset val="134"/>
      </rPr>
      <t xml:space="preserve">22EC003 - EMBEDDED C PROGRAMMING
Dr.SANJOY DEB
Ms.SHARMILA A
Mrs.NALIFABEGAM J
EW116
</t>
    </r>
    <r>
      <rPr>
        <b/>
        <sz val="12"/>
        <color rgb="FFFFFFFF"/>
        <rFont val="Cambria"/>
        <charset val="134"/>
      </rPr>
      <t>22EC607 - MINI PROJECT II
(NOT OPTED STUDENTS)</t>
    </r>
  </si>
  <si>
    <r>
      <rPr>
        <b/>
        <sz val="12"/>
        <color rgb="FF000000"/>
        <rFont val="Cambria"/>
        <charset val="134"/>
      </rPr>
      <t xml:space="preserve">ELECTIVE 3
</t>
    </r>
    <r>
      <rPr>
        <sz val="12"/>
        <color rgb="FF000000"/>
        <rFont val="Cambria"/>
        <charset val="134"/>
      </rPr>
      <t>22EC046 - AUTOMOTIVE ELECTRONICS AND NETWORKING
Dr.SAMPOORNAM K P
Dr.SATHIYAMURTHI P
Mr.TAMILSELVAN A
ECE DEPT. LIBRARY
22EC015 - ASIC DESIGN
Mr.RAJA SEKAR S
Dr.PUSHPAVALLI M
EW116</t>
    </r>
  </si>
  <si>
    <r>
      <rPr>
        <b/>
        <sz val="12"/>
        <color theme="1"/>
        <rFont val="Cambria"/>
        <charset val="134"/>
      </rPr>
      <t xml:space="preserve">HONOURS / MINOR COURSE 2
</t>
    </r>
    <r>
      <rPr>
        <sz val="12"/>
        <color theme="1"/>
        <rFont val="Cambria"/>
        <charset val="134"/>
      </rPr>
      <t>22ECH10/22EIH05 - WIRELESS SENSOR NETWORK DESIGN
Mrs.MYTHILI S
EW116</t>
    </r>
  </si>
  <si>
    <r>
      <rPr>
        <b/>
        <sz val="12"/>
        <color rgb="FF000000"/>
        <rFont val="Cambria"/>
        <charset val="134"/>
      </rPr>
      <t xml:space="preserve">ADD COURSE
</t>
    </r>
    <r>
      <rPr>
        <sz val="12"/>
        <color rgb="FF000000"/>
        <rFont val="Cambria"/>
        <charset val="134"/>
      </rPr>
      <t xml:space="preserve">22EC003 - EMBEDDED C PROGRAMMING
Dr.SANJOY DEB
Ms.SHARMILA A
Mrs.NALIFABEGAM J
EW116
</t>
    </r>
    <r>
      <rPr>
        <b/>
        <sz val="12"/>
        <color rgb="FFFFFFFF"/>
        <rFont val="Cambria"/>
        <charset val="134"/>
      </rPr>
      <t>22EC607 - MINI PROJECT II
(NOT OPTED STUDENTS)</t>
    </r>
  </si>
  <si>
    <r>
      <rPr>
        <b/>
        <sz val="12"/>
        <color rgb="FF000000"/>
        <rFont val="Cambria"/>
        <charset val="134"/>
      </rPr>
      <t xml:space="preserve">ELECTIVE 4
</t>
    </r>
    <r>
      <rPr>
        <sz val="12"/>
        <color rgb="FF000000"/>
        <rFont val="Cambria"/>
        <charset val="134"/>
      </rPr>
      <t xml:space="preserve">22EC004 - REAL-TIME OPERATING SYSTEMS
Dr.RAMKUMAR R
Mrs.NALIFABEGAM J
Mrs.NIVETHA G
EW116
</t>
    </r>
    <r>
      <rPr>
        <b/>
        <sz val="12"/>
        <color rgb="FF000000"/>
        <rFont val="Cambria"/>
        <charset val="134"/>
      </rPr>
      <t xml:space="preserve"> 
</t>
    </r>
    <r>
      <rPr>
        <sz val="12"/>
        <color rgb="FF000000"/>
        <rFont val="Cambria"/>
        <charset val="134"/>
      </rPr>
      <t>22EC006 - VIRTUAL INSTRUMENTATION IN EMBEDDED SYSTEMS
Mrs.MARIAAMUTHA R</t>
    </r>
    <r>
      <rPr>
        <b/>
        <sz val="12"/>
        <color rgb="FF000000"/>
        <rFont val="Cambria"/>
        <charset val="134"/>
      </rPr>
      <t>(ECE Dept library)</t>
    </r>
  </si>
  <si>
    <t>COMPUTER SCIENCE &amp; ENGINEERING</t>
  </si>
  <si>
    <r>
      <rPr>
        <b/>
        <sz val="12"/>
        <color theme="1"/>
        <rFont val="Cambria"/>
        <charset val="134"/>
      </rPr>
      <t xml:space="preserve">PROFRSSIONAL ELECTIVE 4        
22CS031 - SOFT COMPUTING
</t>
    </r>
    <r>
      <rPr>
        <sz val="12"/>
        <color theme="1"/>
        <rFont val="Cambria"/>
        <charset val="134"/>
      </rPr>
      <t xml:space="preserve">Dr.SWATHYPRIYADHARSINI P
Ms.SATHIYA B
</t>
    </r>
    <r>
      <rPr>
        <b/>
        <sz val="12"/>
        <color theme="1"/>
        <rFont val="Cambria"/>
        <charset val="134"/>
      </rPr>
      <t xml:space="preserve">22CS002 - RECOMMENDER SYSTEMS
</t>
    </r>
    <r>
      <rPr>
        <sz val="12"/>
        <color theme="1"/>
        <rFont val="Cambria"/>
        <charset val="134"/>
      </rPr>
      <t>Mrs.CHITRADEVI T N
Ms.THANGATAMILSELVI S</t>
    </r>
  </si>
  <si>
    <r>
      <rPr>
        <b/>
        <sz val="12"/>
        <color theme="1"/>
        <rFont val="Cambria"/>
        <charset val="134"/>
      </rPr>
      <t xml:space="preserve">ELECTIVE 3        
22CS011 - SOFTWARE TESTING AND AUTOMATION
</t>
    </r>
    <r>
      <rPr>
        <sz val="12"/>
        <color theme="1"/>
        <rFont val="Cambria"/>
        <charset val="134"/>
      </rPr>
      <t xml:space="preserve">Dr.SARANYA K
Ms.GAYATHIRI DEVI S
</t>
    </r>
    <r>
      <rPr>
        <b/>
        <sz val="12"/>
        <color theme="1"/>
        <rFont val="Cambria"/>
        <charset val="134"/>
      </rPr>
      <t>22CS035 - SOFTWARE QUALITY ASSURANCE</t>
    </r>
    <r>
      <rPr>
        <sz val="12"/>
        <color theme="1"/>
        <rFont val="Cambria"/>
        <charset val="134"/>
      </rPr>
      <t xml:space="preserve">
Mr.SATHISHKANNAN R
Dr.RAJESHKUMAR G</t>
    </r>
  </si>
  <si>
    <r>
      <rPr>
        <b/>
        <sz val="12"/>
        <color theme="1"/>
        <rFont val="Cambria"/>
        <charset val="134"/>
      </rPr>
      <t xml:space="preserve">22CS601 - CRYPTOGRAPHY AND NETWORK SECURITY
</t>
    </r>
    <r>
      <rPr>
        <sz val="12"/>
        <color theme="1"/>
        <rFont val="Cambria"/>
        <charset val="134"/>
      </rPr>
      <t>Mrs.AMMU V
Mrs.NITHYA R
Mr.ASWIN JAYA SURYA M J
Mrs.GANAGAVALLI K</t>
    </r>
  </si>
  <si>
    <r>
      <rPr>
        <b/>
        <sz val="12"/>
        <color theme="1"/>
        <rFont val="Cambria"/>
        <charset val="134"/>
      </rPr>
      <t xml:space="preserve">22CS602 - PRINCIPLES OF COMPILER DESIGN
</t>
    </r>
    <r>
      <rPr>
        <sz val="12"/>
        <color theme="1"/>
        <rFont val="Cambria"/>
        <charset val="134"/>
      </rPr>
      <t>Dr.KARTHIGA M
Dr.PARTHASARATHI P
Dr.PREMALATHA K
Mr.SUSEENDRAN S</t>
    </r>
  </si>
  <si>
    <r>
      <rPr>
        <b/>
        <sz val="12"/>
        <color theme="1"/>
        <rFont val="Cambria"/>
        <charset val="134"/>
      </rPr>
      <t xml:space="preserve">ADD COURSE
22CS034 - ETHICS AND AI
</t>
    </r>
    <r>
      <rPr>
        <sz val="12"/>
        <color theme="1"/>
        <rFont val="Cambria"/>
        <charset val="134"/>
      </rPr>
      <t>Ms.PARKAVI S
Mrs.KAYALVIZHI B
Mrs.MYTHILI G M</t>
    </r>
  </si>
  <si>
    <r>
      <rPr>
        <b/>
        <sz val="12"/>
        <color theme="1"/>
        <rFont val="Cambria"/>
        <charset val="134"/>
      </rPr>
      <t>HONOURS / MINOR COURSE 1</t>
    </r>
    <r>
      <rPr>
        <sz val="12"/>
        <color theme="1"/>
        <rFont val="Cambria"/>
        <charset val="134"/>
      </rPr>
      <t xml:space="preserve">
</t>
    </r>
    <r>
      <rPr>
        <b/>
        <sz val="12"/>
        <color theme="1"/>
        <rFont val="Cambria"/>
        <charset val="134"/>
      </rPr>
      <t>22CSH03/22CTH03/22ITH03 - BIG DATA ANALYTICS</t>
    </r>
    <r>
      <rPr>
        <sz val="12"/>
        <color theme="1"/>
        <rFont val="Cambria"/>
        <charset val="134"/>
      </rPr>
      <t xml:space="preserve">
Ms.MAHESH S</t>
    </r>
  </si>
  <si>
    <r>
      <rPr>
        <b/>
        <sz val="11"/>
        <color theme="1"/>
        <rFont val="Cambria"/>
        <charset val="134"/>
      </rPr>
      <t xml:space="preserve">22CS603 - CLOUD COMPUTING
</t>
    </r>
    <r>
      <rPr>
        <sz val="11"/>
        <color theme="1"/>
        <rFont val="Cambria"/>
        <charset val="134"/>
      </rPr>
      <t>Mr.STEEPHAN AMALRAJ J
Dr.RAJESH KANNA P
Dr.PRAVEEN V
Mr.DINESH P S</t>
    </r>
  </si>
  <si>
    <r>
      <rPr>
        <b/>
        <sz val="12"/>
        <color theme="1"/>
        <rFont val="Cambria"/>
        <charset val="134"/>
      </rPr>
      <t xml:space="preserve">PROFRSSIONAL ELECTIVE V
 22CS029 - DIGITAL MARKETING
</t>
    </r>
    <r>
      <rPr>
        <sz val="12"/>
        <color theme="1"/>
        <rFont val="Cambria"/>
        <charset val="134"/>
      </rPr>
      <t xml:space="preserve">Mr.SATHYAMOORTHY J
Mr.RANGARAJ K
Ms.SOUNDARIYA R S
</t>
    </r>
    <r>
      <rPr>
        <b/>
        <sz val="12"/>
        <color theme="1"/>
        <rFont val="Cambria"/>
        <charset val="134"/>
      </rPr>
      <t xml:space="preserve">22CS040 - BUSINESS ANALYTICS
</t>
    </r>
    <r>
      <rPr>
        <sz val="12"/>
        <color theme="1"/>
        <rFont val="Cambria"/>
        <charset val="134"/>
      </rPr>
      <t xml:space="preserve">Mrs.KAVITHA R
/
 </t>
    </r>
    <r>
      <rPr>
        <b/>
        <sz val="12"/>
        <color theme="1"/>
        <rFont val="Cambria"/>
        <charset val="134"/>
      </rPr>
      <t xml:space="preserve">OPEN ELECTIVE
22OCS01 - OBJECT ORIENTED PROGRAMMING
</t>
    </r>
    <r>
      <rPr>
        <sz val="12"/>
        <color theme="1"/>
        <rFont val="Cambria"/>
        <charset val="134"/>
      </rPr>
      <t>Dr.DHIVYA P
Mrs.GUNAVARDINI V</t>
    </r>
  </si>
  <si>
    <r>
      <rPr>
        <b/>
        <sz val="12"/>
        <color theme="1"/>
        <rFont val="Cambria"/>
        <charset val="134"/>
      </rPr>
      <t xml:space="preserve">HONOURS / MINOR COURSE 2
22CSH04/22CTH04/22ISH28/22ITH04 - NEURAL NETWORKS AND DEEP LEARNING
</t>
    </r>
    <r>
      <rPr>
        <sz val="12"/>
        <color theme="1"/>
        <rFont val="Cambria"/>
        <charset val="134"/>
      </rPr>
      <t>Ms.RATHNA S</t>
    </r>
  </si>
  <si>
    <r>
      <rPr>
        <b/>
        <sz val="12"/>
        <color theme="1"/>
        <rFont val="Cambria"/>
        <charset val="134"/>
      </rPr>
      <t xml:space="preserve">PROFRSSIONAL ELECTIVE 3        
22CS011 - SOFTWARE TESTING AND AUTOMATION
</t>
    </r>
    <r>
      <rPr>
        <sz val="12"/>
        <color theme="1"/>
        <rFont val="Cambria"/>
        <charset val="134"/>
      </rPr>
      <t xml:space="preserve">Dr.SARANYA K
Ms.GAYATHIRI DEVI S
</t>
    </r>
    <r>
      <rPr>
        <b/>
        <sz val="12"/>
        <color theme="1"/>
        <rFont val="Cambria"/>
        <charset val="134"/>
      </rPr>
      <t>22CS035 - SOFTWARE QUALITY ASSURANCE</t>
    </r>
    <r>
      <rPr>
        <sz val="12"/>
        <color theme="1"/>
        <rFont val="Cambria"/>
        <charset val="134"/>
      </rPr>
      <t xml:space="preserve">
Mr.SATHISHKANNAN R
Dr.RAJESHKUMAR G</t>
    </r>
  </si>
  <si>
    <t>BANNARI AMMAN INSTITUTE OF TECHNOLOGY</t>
  </si>
  <si>
    <r>
      <rPr>
        <b/>
        <sz val="12"/>
        <color theme="1"/>
        <rFont val="Cambria"/>
        <charset val="134"/>
      </rPr>
      <t xml:space="preserve">PROFRSSIONAL ELECTIVE 4        
22CS002 - RECOMMENDER SYSTEMS
</t>
    </r>
    <r>
      <rPr>
        <sz val="12"/>
        <color theme="1"/>
        <rFont val="Cambria"/>
        <charset val="134"/>
      </rPr>
      <t>Ms.THANGATAMILSELVI S
(EW115)</t>
    </r>
  </si>
  <si>
    <r>
      <rPr>
        <b/>
        <sz val="12"/>
        <color theme="1"/>
        <rFont val="Cambria"/>
        <charset val="134"/>
      </rPr>
      <t xml:space="preserve">ELECTIVE 3        
22CS011 - SOFTWARE TESTING AND AUTOMATION
</t>
    </r>
    <r>
      <rPr>
        <sz val="12"/>
        <color theme="1"/>
        <rFont val="Cambria"/>
        <charset val="134"/>
      </rPr>
      <t>Ms.GAYATHIRI DEVI S
(EW115)</t>
    </r>
  </si>
  <si>
    <r>
      <rPr>
        <b/>
        <sz val="12"/>
        <color theme="1"/>
        <rFont val="Cambria"/>
        <charset val="134"/>
      </rPr>
      <t xml:space="preserve">22CS601 - CRYPTOGRAPHY AND NETWORK SECURITY
</t>
    </r>
    <r>
      <rPr>
        <sz val="12"/>
        <color theme="1"/>
        <rFont val="Cambria"/>
        <charset val="134"/>
      </rPr>
      <t>Mr.ASWIN JAYA SURYA M J
(EW115)</t>
    </r>
  </si>
  <si>
    <r>
      <rPr>
        <b/>
        <sz val="12"/>
        <color theme="1"/>
        <rFont val="Cambria"/>
        <charset val="134"/>
      </rPr>
      <t xml:space="preserve">22CS602 - PRINCIPLES OF COMPILER DESIGN
</t>
    </r>
    <r>
      <rPr>
        <sz val="12"/>
        <color theme="1"/>
        <rFont val="Cambria"/>
        <charset val="134"/>
      </rPr>
      <t>Dr.PREMALATHA K
(EW115)</t>
    </r>
  </si>
  <si>
    <r>
      <rPr>
        <b/>
        <sz val="12"/>
        <color theme="1"/>
        <rFont val="Cambria"/>
        <charset val="134"/>
      </rPr>
      <t xml:space="preserve">ADD COURSE
22CS034 - ETHICS AND AI
</t>
    </r>
    <r>
      <rPr>
        <sz val="12"/>
        <color theme="1"/>
        <rFont val="Cambria"/>
        <charset val="134"/>
      </rPr>
      <t xml:space="preserve"> Mrs.KAYALVIZHI B
</t>
    </r>
    <r>
      <rPr>
        <b/>
        <sz val="12"/>
        <color theme="1"/>
        <rFont val="Cambria"/>
        <charset val="134"/>
      </rPr>
      <t xml:space="preserve"> </t>
    </r>
    <r>
      <rPr>
        <sz val="12"/>
        <color theme="1"/>
        <rFont val="Cambria"/>
        <charset val="134"/>
      </rPr>
      <t>(EW115)</t>
    </r>
  </si>
  <si>
    <r>
      <rPr>
        <b/>
        <sz val="11"/>
        <color theme="1"/>
        <rFont val="Cambria"/>
        <charset val="134"/>
      </rPr>
      <t>22CS603 - CLOUD COMPUTING</t>
    </r>
    <r>
      <rPr>
        <sz val="11"/>
        <color theme="1"/>
        <rFont val="Cambria"/>
        <charset val="134"/>
      </rPr>
      <t xml:space="preserve">
Mr.DINESH P S
(EW115)</t>
    </r>
  </si>
  <si>
    <r>
      <rPr>
        <b/>
        <sz val="12"/>
        <color theme="1"/>
        <rFont val="Cambria"/>
        <charset val="134"/>
      </rPr>
      <t xml:space="preserve">PROFRSSIONAL ELECTIVE V
 22CS029 - DIGITAL MARKETING
</t>
    </r>
    <r>
      <rPr>
        <sz val="12"/>
        <color theme="1"/>
        <rFont val="Cambria"/>
        <charset val="134"/>
      </rPr>
      <t>Mr.SATHYAMOORTHY J
(EW115)</t>
    </r>
  </si>
  <si>
    <t>INFORMATION TECHNOLOGY</t>
  </si>
  <si>
    <r>
      <rPr>
        <b/>
        <sz val="12"/>
        <color theme="1"/>
        <rFont val="Cambria"/>
        <charset val="134"/>
      </rPr>
      <t>22IT602 PRINCIPLES OF COMPILER DESIGN</t>
    </r>
    <r>
      <rPr>
        <sz val="12"/>
        <color theme="1"/>
        <rFont val="Cambria"/>
        <charset val="134"/>
      </rPr>
      <t xml:space="preserve"> Mr. VENKATESAN R DEPARTMENT </t>
    </r>
  </si>
  <si>
    <r>
      <rPr>
        <b/>
        <sz val="12"/>
        <color theme="1"/>
        <rFont val="Cambria"/>
        <charset val="134"/>
      </rPr>
      <t>ELECTIVE 4 22IT002 RECOMMENDER SYSTEMS</t>
    </r>
    <r>
      <rPr>
        <sz val="12"/>
        <color theme="1"/>
        <rFont val="Cambria"/>
        <charset val="134"/>
      </rPr>
      <t xml:space="preserve"> Mrs.ELAVARASI T DEPARTMENT      /                            </t>
    </r>
    <r>
      <rPr>
        <b/>
        <sz val="12"/>
        <color theme="1"/>
        <rFont val="Cambria"/>
        <charset val="134"/>
      </rPr>
      <t>22IT020 MODERN CRYPTOGRAPHY</t>
    </r>
    <r>
      <rPr>
        <sz val="12"/>
        <color theme="1"/>
        <rFont val="Cambria"/>
        <charset val="134"/>
      </rPr>
      <t xml:space="preserve">                                 Mrs.KAVITHA V IT LAB 2 DEPARTMENT</t>
    </r>
  </si>
  <si>
    <r>
      <rPr>
        <b/>
        <sz val="12"/>
        <color theme="1"/>
        <rFont val="Cambria"/>
        <charset val="134"/>
      </rPr>
      <t>22IT601 DATA MINING AND WAREHOUSING LAB</t>
    </r>
    <r>
      <rPr>
        <sz val="12"/>
        <color theme="1"/>
        <rFont val="Cambria"/>
        <charset val="134"/>
      </rPr>
      <t xml:space="preserve"> 
Mrs.PRIYA A DEPARTMENT</t>
    </r>
  </si>
  <si>
    <r>
      <rPr>
        <b/>
        <sz val="12"/>
        <color theme="1"/>
        <rFont val="Cambria"/>
        <charset val="134"/>
      </rPr>
      <t>22IT603 CLOUD COMPUTING</t>
    </r>
    <r>
      <rPr>
        <sz val="12"/>
        <color theme="1"/>
        <rFont val="Cambria"/>
        <charset val="134"/>
      </rPr>
      <t xml:space="preserve"> Mr.MOHEMMED YOUSUF DEPARTMENT</t>
    </r>
  </si>
  <si>
    <r>
      <rPr>
        <b/>
        <sz val="12"/>
        <color theme="1"/>
        <rFont val="Cambria"/>
        <charset val="134"/>
      </rPr>
      <t>22IT039 HUMAN COMPUTER INTERACTION</t>
    </r>
    <r>
      <rPr>
        <sz val="12"/>
        <color theme="1"/>
        <rFont val="Cambria"/>
        <charset val="134"/>
      </rPr>
      <t xml:space="preserve"> Dr.TAMILTHENDRAL M  DEPARTMENT</t>
    </r>
  </si>
  <si>
    <r>
      <rPr>
        <b/>
        <sz val="12"/>
        <color theme="1"/>
        <rFont val="Cambria"/>
        <charset val="134"/>
      </rPr>
      <t>22IT601 DATA MINING AND WAREHOUSING</t>
    </r>
    <r>
      <rPr>
        <sz val="12"/>
        <color theme="1"/>
        <rFont val="Cambria"/>
        <charset val="134"/>
      </rPr>
      <t xml:space="preserve"> 
Mrs.PRIYA A  DEPARTMENT</t>
    </r>
  </si>
  <si>
    <r>
      <rPr>
        <b/>
        <sz val="12"/>
        <color theme="1"/>
        <rFont val="Cambria"/>
        <charset val="134"/>
      </rPr>
      <t xml:space="preserve">HONOURS / MINOR COURSE 1 22ITM48 DATA ANALYSIS USING PYTHON </t>
    </r>
    <r>
      <rPr>
        <sz val="12"/>
        <color theme="1"/>
        <rFont val="Cambria"/>
        <charset val="134"/>
      </rPr>
      <t>Dr.TAMILTHENDRAL M DEPARTMENT</t>
    </r>
  </si>
  <si>
    <r>
      <rPr>
        <b/>
        <sz val="12"/>
        <color theme="1"/>
        <rFont val="Cambria"/>
        <charset val="134"/>
      </rPr>
      <t>22IT603 CLOUD COMPUTING</t>
    </r>
    <r>
      <rPr>
        <sz val="12"/>
        <color theme="1"/>
        <rFont val="Cambria"/>
        <charset val="134"/>
      </rPr>
      <t xml:space="preserve"> </t>
    </r>
    <r>
      <rPr>
        <b/>
        <sz val="12"/>
        <color theme="1"/>
        <rFont val="Cambria"/>
        <charset val="134"/>
      </rPr>
      <t>LAB</t>
    </r>
    <r>
      <rPr>
        <sz val="12"/>
        <color theme="1"/>
        <rFont val="Cambria"/>
        <charset val="134"/>
      </rPr>
      <t xml:space="preserve"> Mr.MOHEMMED YOUSUF DEPARTMENT</t>
    </r>
  </si>
  <si>
    <r>
      <rPr>
        <b/>
        <sz val="12"/>
        <color theme="1"/>
        <rFont val="Cambria"/>
        <charset val="134"/>
      </rPr>
      <t>ELECTIVE 5 22IT050 IT INFRASTRUCTURE DESIGN</t>
    </r>
    <r>
      <rPr>
        <sz val="12"/>
        <color theme="1"/>
        <rFont val="Cambria"/>
        <charset val="134"/>
      </rPr>
      <t xml:space="preserve"> Mr.SENTHILNATHAN S DEPARTMENT/ </t>
    </r>
    <r>
      <rPr>
        <b/>
        <sz val="12"/>
        <color theme="1"/>
        <rFont val="Cambria"/>
        <charset val="134"/>
      </rPr>
      <t xml:space="preserve">22IT029 DIGITAL MARKETING </t>
    </r>
    <r>
      <rPr>
        <sz val="12"/>
        <color theme="1"/>
        <rFont val="Cambria"/>
        <charset val="134"/>
      </rPr>
      <t>Mrs.JANANI T IT DEPRTMENT LIBRARY</t>
    </r>
  </si>
  <si>
    <r>
      <rPr>
        <b/>
        <sz val="12"/>
        <color theme="1"/>
        <rFont val="Cambria"/>
        <charset val="134"/>
      </rPr>
      <t>HONOURS / MINOR COURSE 2 22ITM49 SOFTWARE ENGINEERING METHODOLOGIES</t>
    </r>
    <r>
      <rPr>
        <sz val="12"/>
        <color theme="1"/>
        <rFont val="Cambria"/>
        <charset val="134"/>
      </rPr>
      <t xml:space="preserve"> Mrs.SANTHIYA B IT LAB 2</t>
    </r>
  </si>
  <si>
    <r>
      <rPr>
        <b/>
        <sz val="12"/>
        <color theme="1"/>
        <rFont val="Cambria"/>
        <charset val="134"/>
      </rPr>
      <t>22IT039 HUMAN COMPUTER INTERACTION</t>
    </r>
    <r>
      <rPr>
        <sz val="12"/>
        <color theme="1"/>
        <rFont val="Cambria"/>
        <charset val="134"/>
      </rPr>
      <t xml:space="preserve"> Dr.TAMILTHENDRAL M 
DEPARTMENT</t>
    </r>
  </si>
  <si>
    <r>
      <rPr>
        <b/>
        <sz val="12"/>
        <color theme="1"/>
        <rFont val="Cambria"/>
        <charset val="134"/>
      </rPr>
      <t>22IT601 DATA MINING AND WAREHOUSING</t>
    </r>
    <r>
      <rPr>
        <sz val="12"/>
        <color theme="1"/>
        <rFont val="Cambria"/>
        <charset val="134"/>
      </rPr>
      <t xml:space="preserve"> 
Mrs.PRIYA A  
DEPARTMENT</t>
    </r>
  </si>
  <si>
    <r>
      <rPr>
        <b/>
        <sz val="12"/>
        <color theme="1"/>
        <rFont val="Cambria"/>
        <charset val="134"/>
      </rPr>
      <t xml:space="preserve">ELECTIVE 3 22IT011 SOFTWARE TESTING AND AUTOMATION </t>
    </r>
    <r>
      <rPr>
        <sz val="12"/>
        <color theme="1"/>
        <rFont val="Cambria"/>
        <charset val="134"/>
      </rPr>
      <t xml:space="preserve">Mrs.SOBIYAA P DEPARTMENT / </t>
    </r>
    <r>
      <rPr>
        <b/>
        <sz val="12"/>
        <color theme="1"/>
        <rFont val="Cambria"/>
        <charset val="134"/>
      </rPr>
      <t>22IT019 CYBER SECURITY</t>
    </r>
    <r>
      <rPr>
        <sz val="12"/>
        <color theme="1"/>
        <rFont val="Cambria"/>
        <charset val="134"/>
      </rPr>
      <t xml:space="preserve"> Dr.PRIYA J  IT DEPARTMENT LIBRARY</t>
    </r>
  </si>
  <si>
    <r>
      <rPr>
        <b/>
        <sz val="12"/>
        <color theme="1"/>
        <rFont val="Cambria"/>
        <charset val="134"/>
      </rPr>
      <t>ELECTIVE 4 22IT002 RECOMMENDER SYSTEMS</t>
    </r>
    <r>
      <rPr>
        <sz val="12"/>
        <color theme="1"/>
        <rFont val="Cambria"/>
        <charset val="134"/>
      </rPr>
      <t xml:space="preserve"> Mrs.ELAVARASI T DEPARTMENT      /                            </t>
    </r>
    <r>
      <rPr>
        <b/>
        <sz val="12"/>
        <color theme="1"/>
        <rFont val="Cambria"/>
        <charset val="134"/>
      </rPr>
      <t>22IT020 MODERN CRYPTOGRAPHY</t>
    </r>
    <r>
      <rPr>
        <sz val="12"/>
        <color theme="1"/>
        <rFont val="Cambria"/>
        <charset val="134"/>
      </rPr>
      <t xml:space="preserve">                                 Mrs.KAVITHA V IT LAB 2 FACULTY CABIN  </t>
    </r>
  </si>
  <si>
    <r>
      <rPr>
        <b/>
        <sz val="12"/>
        <color theme="1"/>
        <rFont val="Cambria"/>
        <charset val="134"/>
      </rPr>
      <t xml:space="preserve">HONOURS / MINOR COURSE 1 22ITM48 DATA ANALYSIS USING PYTHON </t>
    </r>
    <r>
      <rPr>
        <sz val="12"/>
        <color theme="1"/>
        <rFont val="Cambria"/>
        <charset val="134"/>
      </rPr>
      <t>Dr.TAMILTHENDRAL M IT LAB 2</t>
    </r>
  </si>
  <si>
    <r>
      <rPr>
        <b/>
        <sz val="12"/>
        <color theme="1"/>
        <rFont val="Cambria"/>
        <charset val="134"/>
      </rPr>
      <t>22IT602 PRINCIPLES OF COMPILER DESIGN</t>
    </r>
    <r>
      <rPr>
        <sz val="12"/>
        <color theme="1"/>
        <rFont val="Cambria"/>
        <charset val="134"/>
      </rPr>
      <t xml:space="preserve"> Mr.. VENKATESAN R DEPARTMENT </t>
    </r>
  </si>
  <si>
    <r>
      <rPr>
        <b/>
        <sz val="12"/>
        <color theme="1"/>
        <rFont val="Cambria"/>
        <charset val="134"/>
      </rPr>
      <t>22IT603 CLOUD COMPUTING</t>
    </r>
    <r>
      <rPr>
        <sz val="12"/>
        <color theme="1"/>
        <rFont val="Cambria"/>
        <charset val="134"/>
      </rPr>
      <t xml:space="preserve"> Mr.MOHEMMED YOUSUF  DEPARTMENT</t>
    </r>
  </si>
  <si>
    <r>
      <rPr>
        <b/>
        <sz val="12"/>
        <color theme="1"/>
        <rFont val="Cambria"/>
        <charset val="134"/>
      </rPr>
      <t>HONOURS / MINOR COURSE 2 22ITM49 SOFTWARE ENGINEERING METHODOLOGIES</t>
    </r>
    <r>
      <rPr>
        <sz val="12"/>
        <color theme="1"/>
        <rFont val="Cambria"/>
        <charset val="134"/>
      </rPr>
      <t xml:space="preserve"> Mrs.SANTHIYA B DEPARTMENT</t>
    </r>
  </si>
  <si>
    <r>
      <rPr>
        <b/>
        <sz val="12"/>
        <color theme="1"/>
        <rFont val="Cambria"/>
        <charset val="134"/>
      </rPr>
      <t>ELECTIVE 5 22IT050 IT INFRASTRUCTURE DESIGN</t>
    </r>
    <r>
      <rPr>
        <sz val="12"/>
        <color theme="1"/>
        <rFont val="Cambria"/>
        <charset val="134"/>
      </rPr>
      <t xml:space="preserve"> Mr.SENTHILNATHAN S DEPARTMENT/ </t>
    </r>
    <r>
      <rPr>
        <b/>
        <sz val="12"/>
        <color theme="1"/>
        <rFont val="Cambria"/>
        <charset val="134"/>
      </rPr>
      <t xml:space="preserve">22IT029 DIGITAL MARKETING </t>
    </r>
    <r>
      <rPr>
        <sz val="12"/>
        <color theme="1"/>
        <rFont val="Cambria"/>
        <charset val="134"/>
      </rPr>
      <t>Mrs.JANANI T IT DEPARTMENT LIBRARY</t>
    </r>
  </si>
  <si>
    <r>
      <rPr>
        <b/>
        <sz val="12"/>
        <color theme="1"/>
        <rFont val="Cambria"/>
        <charset val="134"/>
      </rPr>
      <t>ELECTIVE 4 22IT002 RECOMMENDER SYSTEMS</t>
    </r>
    <r>
      <rPr>
        <sz val="12"/>
        <color theme="1"/>
        <rFont val="Cambria"/>
        <charset val="134"/>
      </rPr>
      <t xml:space="preserve"> Mrs.ELAVARASI T DEPARTMENT /</t>
    </r>
    <r>
      <rPr>
        <b/>
        <sz val="12"/>
        <color theme="1"/>
        <rFont val="Cambria"/>
        <charset val="134"/>
      </rPr>
      <t>22IT020 MODERN CRYPTOGRAPHY</t>
    </r>
    <r>
      <rPr>
        <sz val="12"/>
        <color theme="1"/>
        <rFont val="Cambria"/>
        <charset val="134"/>
      </rPr>
      <t xml:space="preserve">  Mrs.KAVITHA V IT LAB 2 FACULTY CABIN  </t>
    </r>
  </si>
  <si>
    <r>
      <rPr>
        <b/>
        <sz val="12"/>
        <color theme="1"/>
        <rFont val="Cambria"/>
        <charset val="134"/>
      </rPr>
      <t>ELECTIVE 5 22IT050 IT INFRASTRUCTURE DESIGN</t>
    </r>
    <r>
      <rPr>
        <sz val="12"/>
        <color theme="1"/>
        <rFont val="Cambria"/>
        <charset val="134"/>
      </rPr>
      <t xml:space="preserve"> Mr.SENTHILNATHAN S / </t>
    </r>
    <r>
      <rPr>
        <b/>
        <sz val="12"/>
        <color theme="1"/>
        <rFont val="Cambria"/>
        <charset val="134"/>
      </rPr>
      <t xml:space="preserve">22IT029 DIGITAL MARKETING </t>
    </r>
    <r>
      <rPr>
        <sz val="12"/>
        <color theme="1"/>
        <rFont val="Cambria"/>
        <charset val="134"/>
      </rPr>
      <t>Mrs.JANANI T DEPARTMENT</t>
    </r>
  </si>
  <si>
    <t>MECHANICAL ENGINEERING</t>
  </si>
  <si>
    <t>ADD COURSE
22ME020 - TOTAL QUALITY MANAGEMENT
Dr.VIDHYA S
ME306
22ME027 - POWER PLANT ENGINEERING
Mr.CHANDRASEKARAN M</t>
  </si>
  <si>
    <t>22ME010 - ADVANCED CASTING AND FORMING PROCESSES
Dr.SUNDARRAJU G
ME306</t>
  </si>
  <si>
    <t>22ME601 - HEAT AND MASS TRANSFER
Dr.JEGADHEESWARAN S
HMT LAB
22ME603 - COMPUTER AIDED MANUFACTURING
Mr.RAMACHANDRA RAJU K
CAD LAB</t>
  </si>
  <si>
    <t>22ME601 - HEAT AND MASS TRANSFER
Dr.RAVI KUMAR M
ME306</t>
  </si>
  <si>
    <t>ELECTIVE 4
22ME013- PROCESS PLANNING AND COST ESTIMATION
Mr.KAMAL BASHA K
22ME058 - VEHICLE MAINTENANCE
Dr.MADHESWARAN S
ME306</t>
  </si>
  <si>
    <t>22ME603 - COMPUTER AIDED MANUFACTURING
Mr.RAMACHANDRA RAJU K
ME306</t>
  </si>
  <si>
    <t>HONOURS / MINOR COURSE 1
22MEH38 - ERGONOMICS
Mr.RAMAKRISHNAN A
DEPT LIBRARY</t>
  </si>
  <si>
    <t>22ME603 - COMPUTER AIDED MANUFACTURING
Mr.RAMACHANDRA RAJU K
CAD LAB
22ME601 - HEAT AND MASS TRANSFER
Dr.JEGADHEESWARAN S
HMT LAB</t>
  </si>
  <si>
    <t>ELECTIVE 5 / OPEN ELECTIVE
22ME021 - LEAN MANUFACTURING
Dr.ANANDHA MOORTHY A
22ME028 - REFRIGERATION AND AIR CONDITIONING
Dr.KUMARESAN G
22OME04 - SAFETY ENGINEERING
Dr.SURESHKUMAR M
Mr.BOOPATHIRAJA K P
Dr.TAJDEEN A (ME004)
22OME03 - MAINTENANCE ENGINEERING
Dr.VELMURUGAN S
(ME004)</t>
  </si>
  <si>
    <t>ELECTIVE 5 / OPEN ELECTIVE
22ME021 - LEAN MANUFACTURING
Dr.ANANDHA MOORTHY A
22ME028 - REFRIGERATION AND AIR CONDITIONING
Dr.KUMARESAN G
22OME04 - SAFETY ENGINEERING
Dr.SURESHKUMAR M
Mr.BOOPATHIRAJA K P
Dr.TAJDEEN A (ME303)
22OME03 - MAINTENANCE ENGINEERING
Dr.VELMURUGAN S
(ME004)</t>
  </si>
  <si>
    <t>HONOURS / MINOR COURSE 2
22MEH39 - PRODUCT DATA AND LIFE CYCLE MANAGEMENT
Dr.SURESHKUMAR M
DEPT LIBRARY</t>
  </si>
  <si>
    <t>ADD COURSE
22ME020 - TOTAL QUALITY MANAGEMENT
Dr.VIDHYA S
22ME027 - POWER PLANT ENGINEERING
Mr.CHANDRASEKARAN M</t>
  </si>
  <si>
    <t>22ME602 - FINITE ELEMENT ANALYSIS 
Mr.RAMAKRISHNAN A
CAD LAB</t>
  </si>
  <si>
    <t>22ME602 - FINITE ELEMENT ANALYSIS
Mr.RAMAKRISHNAN A
ME102</t>
  </si>
  <si>
    <t>ELECTIVE 5 / OPEN ELECTIVE
22ME021 - LEAN MANUFACTURING
Dr.ANANDHA MOORTHY A
22ME028 - REFRIGERATION AND AIR CONDITIONING
Dr.KUMARESAN G
22OME04 - SAFETY ENGINEERING
Dr.SURESHKUMAR M
Mr.BOOPATHIRAJA K P
Dr.TAJDEEN A (ME303)
22OME03 - MAINTENANCE ENGINEERING
Dr.VELMURUGAN S
(ME301)</t>
  </si>
  <si>
    <t>22ME602 - FINITE ELEMENT ANALYSIS
Mr.RAMAKRISHNAN A
ME306</t>
  </si>
  <si>
    <t>MECHATRONICS ENGINEERING</t>
  </si>
  <si>
    <t>22MC601 - INDUSTRIAL AUTOMATION AND IOT
Dr.RAJIEV R
Sensors and Instrumentation Lab (MTRS)</t>
  </si>
  <si>
    <t>22MC602 - POWER ELECTRONICS AND DRIVES
Dr.SIVABALAKRISHNAN R
Sensors and Instrumentation Lab (MTRS)</t>
  </si>
  <si>
    <t>22MC603 - FLUID POWER SYSTEM
Dr.SENTHIL KUMAR K L
Sensors and Instrumentation Lab (MTRS)</t>
  </si>
  <si>
    <t>Elective 3 : 22MC007 - CNC TECHNOLOGY
Dr.SIDDHARTHAN B
Sensors and Instrumentation Lab (MTRS)</t>
  </si>
  <si>
    <t>22MC603 - FLUID POWER SYSTEM
7376231MZ101-MZ158, 7376241MZ501-MZ506
Dr.RAGHAVENDRA PRABHU S
FLUID POWER SYSTEM LABORATORY</t>
  </si>
  <si>
    <t>Add Course : 22MC027 - INDUSTRIAL DRIVES AND CONTROL
Mr.RAGHUNATH M
Sensors and Instrumentation Lab (MTRS)</t>
  </si>
  <si>
    <t>22MCH03 - DRONE TECHNOLOGY
Dr.NIJANDHAN K
Conference Hall - Mechatronics</t>
  </si>
  <si>
    <t>22MC601 - INDUSTRIAL AUTOMATION AND IOT
7376231MZ101-MZ158, 7376241MZ501-MZ506
Dr.SENTHILKUMAR P
ROBOTICS AND AUTOMATION LAB</t>
  </si>
  <si>
    <t>Elective 5 : 22MC011 - DESIGN FOR MANUFACTURING AND ASSEMBLY
Mr.VIGNESH S
Sensors and Instrumentation Lab (MTRS)
/ 
OPEN ELECTIVE</t>
  </si>
  <si>
    <t>Mentor-Mentee Interaction</t>
  </si>
  <si>
    <t>22MCH04 - ROBOTIC VISION
Dr.NAGARAJAN P
Conference Hall - Mechatronics</t>
  </si>
  <si>
    <t>Elective 4 : 22MC026 - VIRTUAL INSTRUMENTATION
Dr.RAGHAVENDRA PRABHU S
Sensors and Instrumentation Lab (MTRS)</t>
  </si>
  <si>
    <t>22MC602 - POWER ELECTRONICS AND DRIVES (7376231MZ101-MZ158, 7376241MZ501-MZ506)
Dr.SIVABALAKRISHNAN R
COMPUTER CENTRE 2 (EEE)</t>
  </si>
  <si>
    <t>BIOMEDICAL ENGINEERING</t>
  </si>
  <si>
    <t>Venue : WW113</t>
  </si>
  <si>
    <t xml:space="preserve">22BM603
ARTIFICIAL INTELLIGENCE AND MACHINE LEARNING
Ms.NAVEENYA B P
</t>
  </si>
  <si>
    <t xml:space="preserve">22BM602
BIOMECHANICS
Mr.SYED ALTHAF S
</t>
  </si>
  <si>
    <t xml:space="preserve">22BM601
DIAGNOSTIC AND THERAPEUTIC EQUIPMENT
Ms.SAAHINA S
</t>
  </si>
  <si>
    <t>22BM005
ADVANCED MEDICAL IMAGE ANALYSIS
Ms.PRATHEEBHA G</t>
  </si>
  <si>
    <t xml:space="preserve">
22BM602
BIOMECHANICS (Biomechanics LAB)
Mr. SYED ALTHAF S</t>
  </si>
  <si>
    <t>22BM031
MEDICAL OPTICS
Ms.CAROLINE VINNETIA S</t>
  </si>
  <si>
    <t>HONOURS COURSE 1
22BMH34
PATIENT SAFETY AND STANDARDS
Ms. SREE NIVEATHA P</t>
  </si>
  <si>
    <t xml:space="preserve">22BM022
PROSTHETIC AND ORTHOTIC DEVICES
Ms.SAAHINA S
</t>
  </si>
  <si>
    <t xml:space="preserve">22BM031
MEDICAL OPTICS
Ms.CAROLINE VINNETIA S
</t>
  </si>
  <si>
    <r>
      <rPr>
        <b/>
        <sz val="12"/>
        <color theme="1"/>
        <rFont val="Cambria"/>
        <charset val="134"/>
      </rPr>
      <t>ELECTIVE 5</t>
    </r>
    <r>
      <rPr>
        <sz val="12"/>
        <color theme="1"/>
        <rFont val="Cambria"/>
        <charset val="134"/>
      </rPr>
      <t xml:space="preserve">
REHABILITATION AND ROBOTICS ENGINEERING
Ms. SREE NIVEATHA P (Faculty Cabin)
/ </t>
    </r>
    <r>
      <rPr>
        <b/>
        <sz val="12"/>
        <color theme="1"/>
        <rFont val="Cambria"/>
        <charset val="134"/>
      </rPr>
      <t>OPEN ELECTIVE</t>
    </r>
    <r>
      <rPr>
        <sz val="12"/>
        <color theme="1"/>
        <rFont val="Cambria"/>
        <charset val="134"/>
      </rPr>
      <t xml:space="preserve">
OCCUPATIONAL SAFETY AND HEALTH IN PUBLIC HEALTH EMERGENCIES
Mr. SYED ALTHAF S
Ms.PRATHEEBHA G
Ms.CAROLINE VINNETIA S (WW113)</t>
    </r>
  </si>
  <si>
    <t>HONOURS COURSE 2
22BMH35
MEDICAL DEVICE REGULATIONS
Ms.CAROLINE VINNETIA S</t>
  </si>
  <si>
    <t xml:space="preserve">
22BM603
ARTIFICIAL INTELLIGENCE AND MACHINE LEARNING
Ms.NAVEENYA B P</t>
  </si>
  <si>
    <t xml:space="preserve">
22BM601
DIAGNOSTIC AND THERAPEUTIC EQUIPMENT (DTE LAB)
Ms.SAAHINA S</t>
  </si>
  <si>
    <t>COMPUTER TECHNOLOGY</t>
  </si>
  <si>
    <r>
      <rPr>
        <b/>
        <sz val="11"/>
        <color theme="1"/>
        <rFont val="Cambria"/>
        <charset val="134"/>
      </rPr>
      <t>22CT601</t>
    </r>
    <r>
      <rPr>
        <sz val="11"/>
        <color theme="1"/>
        <rFont val="Cambria"/>
        <charset val="134"/>
      </rPr>
      <t xml:space="preserve"> 
DISTRIBUTED COMPUTING THEORY 
CT11030 Mrs.SAVEETHA R
ME305</t>
    </r>
  </si>
  <si>
    <r>
      <rPr>
        <b/>
        <sz val="11"/>
        <color theme="1"/>
        <rFont val="Cambria"/>
        <charset val="134"/>
      </rPr>
      <t xml:space="preserve">22CT602 </t>
    </r>
    <r>
      <rPr>
        <sz val="11"/>
        <color theme="1"/>
        <rFont val="Cambria"/>
        <charset val="134"/>
      </rPr>
      <t xml:space="preserve">
MACHINE LEARNING ESSENTIALS THEORY 
CT10659 Dr.THANGA PARVATHI B
ME305</t>
    </r>
  </si>
  <si>
    <r>
      <rPr>
        <b/>
        <sz val="11"/>
        <color theme="1"/>
        <rFont val="Cambria"/>
        <charset val="134"/>
      </rPr>
      <t>22CT602</t>
    </r>
    <r>
      <rPr>
        <sz val="11"/>
        <color theme="1"/>
        <rFont val="Cambria"/>
        <charset val="134"/>
      </rPr>
      <t xml:space="preserve">
 MACHINE LEARNING ESSENTIALS 
LAB 
CT10933 Mrs.SWEETY PRASANNA KIRUBA G
COMPUTER LAB 18 (CT LAB)</t>
    </r>
  </si>
  <si>
    <r>
      <rPr>
        <b/>
        <sz val="11"/>
        <color theme="1"/>
        <rFont val="Cambria"/>
        <charset val="134"/>
      </rPr>
      <t>22CT019</t>
    </r>
    <r>
      <rPr>
        <sz val="11"/>
        <color theme="1"/>
        <rFont val="Cambria"/>
        <charset val="134"/>
      </rPr>
      <t xml:space="preserve">
 CYBER SECURITY THEORY 
CT1349 Dr.MURUGESAN P
ME305</t>
    </r>
  </si>
  <si>
    <r>
      <rPr>
        <b/>
        <sz val="11"/>
        <color theme="1"/>
        <rFont val="Cambria"/>
        <charset val="134"/>
      </rPr>
      <t>22CT025</t>
    </r>
    <r>
      <rPr>
        <sz val="11"/>
        <color theme="1"/>
        <rFont val="Cambria"/>
        <charset val="134"/>
      </rPr>
      <t xml:space="preserve">
MULTIMEDIA AND ANIMATION THEORY 
 CT10935 Ms.NITHYA M
ME305</t>
    </r>
  </si>
  <si>
    <r>
      <rPr>
        <b/>
        <sz val="11"/>
        <color theme="1"/>
        <rFont val="Cambria"/>
        <charset val="134"/>
      </rPr>
      <t xml:space="preserve">22CT038 </t>
    </r>
    <r>
      <rPr>
        <sz val="11"/>
        <color theme="1"/>
        <rFont val="Cambria"/>
        <charset val="134"/>
      </rPr>
      <t xml:space="preserve">
HUMAN COMPUTER INTERACTION THEORY 
CT10933 Mrs.SWEETY PRASANNA KIRUBA G
ME305</t>
    </r>
  </si>
  <si>
    <r>
      <rPr>
        <b/>
        <sz val="11"/>
        <color theme="1"/>
        <rFont val="Cambria"/>
        <charset val="134"/>
      </rPr>
      <t>HONOURS / MINOR COURSE 1</t>
    </r>
    <r>
      <rPr>
        <sz val="11"/>
        <color theme="1"/>
        <rFont val="Cambria"/>
        <charset val="134"/>
      </rPr>
      <t xml:space="preserve">
</t>
    </r>
    <r>
      <rPr>
        <b/>
        <sz val="11"/>
        <color theme="1"/>
        <rFont val="Cambria"/>
        <charset val="134"/>
      </rPr>
      <t>22CSH03/22CTH03/22ITH03 - BIG DATA ANALYTICS</t>
    </r>
    <r>
      <rPr>
        <sz val="11"/>
        <color theme="1"/>
        <rFont val="Cambria"/>
        <charset val="134"/>
      </rPr>
      <t xml:space="preserve">
Ms.MAHESH S
Refer CSE  Timetable</t>
    </r>
  </si>
  <si>
    <r>
      <rPr>
        <b/>
        <sz val="11"/>
        <color theme="1"/>
        <rFont val="Cambria"/>
        <charset val="134"/>
      </rPr>
      <t xml:space="preserve">22CT603 
</t>
    </r>
    <r>
      <rPr>
        <sz val="11"/>
        <color theme="1"/>
        <rFont val="Cambria"/>
        <charset val="134"/>
      </rPr>
      <t>CLOUD COMPUTING LAB  CT10965 Mr.GUNALAN K
COMPUTER LAB 18 (CT LAB)</t>
    </r>
  </si>
  <si>
    <r>
      <rPr>
        <b/>
        <sz val="11"/>
        <color theme="1"/>
        <rFont val="Cambria"/>
        <charset val="134"/>
      </rPr>
      <t xml:space="preserve">ELECTIVE 5 </t>
    </r>
    <r>
      <rPr>
        <sz val="11"/>
        <color theme="1"/>
        <rFont val="Cambria"/>
        <charset val="134"/>
      </rPr>
      <t xml:space="preserve">
22CT040  - BUSINESS ANALYTICS THEORY
 CT11020 Mr.ANANDAN P
ME305
/
</t>
    </r>
    <r>
      <rPr>
        <b/>
        <sz val="11"/>
        <color theme="1"/>
        <rFont val="Cambria"/>
        <charset val="134"/>
      </rPr>
      <t xml:space="preserve">OPEN ELECTIVE </t>
    </r>
    <r>
      <rPr>
        <sz val="11"/>
        <color theme="1"/>
        <rFont val="Cambria"/>
        <charset val="134"/>
      </rPr>
      <t xml:space="preserve">
22OCE02 - COST MANAGEMENT OF ENGINEERING PROJECTS
CE10127        Mr. V. M. GNANASUNDAR
WW210</t>
    </r>
  </si>
  <si>
    <r>
      <rPr>
        <b/>
        <sz val="11"/>
        <color theme="1"/>
        <rFont val="Cambria"/>
        <charset val="134"/>
      </rPr>
      <t xml:space="preserve">HONOURS / MINOR COURSE 2
22CSH04/22CTH04/22ISH28/22ITH04 - NEURAL NETWORKS AND DEEP LEARNING
</t>
    </r>
    <r>
      <rPr>
        <sz val="11"/>
        <color theme="1"/>
        <rFont val="Cambria"/>
        <charset val="134"/>
      </rPr>
      <t xml:space="preserve">Ms.RATHNA S
</t>
    </r>
    <r>
      <rPr>
        <b/>
        <sz val="11"/>
        <color theme="1"/>
        <rFont val="Cambria"/>
        <charset val="134"/>
      </rPr>
      <t>Refer CSE  Timetable</t>
    </r>
  </si>
  <si>
    <r>
      <rPr>
        <b/>
        <sz val="11"/>
        <color theme="1"/>
        <rFont val="Cambria"/>
        <charset val="134"/>
      </rPr>
      <t xml:space="preserve">22CT603 </t>
    </r>
    <r>
      <rPr>
        <sz val="11"/>
        <color theme="1"/>
        <rFont val="Cambria"/>
        <charset val="134"/>
      </rPr>
      <t xml:space="preserve">
CLOUD COMPUTING THEORY 
CT10965 Mr.GUNALAN K
ME305</t>
    </r>
  </si>
  <si>
    <r>
      <rPr>
        <b/>
        <sz val="11"/>
        <color theme="1"/>
        <rFont val="Cambria"/>
        <charset val="134"/>
      </rPr>
      <t xml:space="preserve">22CT603
</t>
    </r>
    <r>
      <rPr>
        <sz val="11"/>
        <color theme="1"/>
        <rFont val="Cambria"/>
        <charset val="134"/>
      </rPr>
      <t xml:space="preserve"> CLOUD COMPUTING LAB  
CT10965 Mr.GUNALAN K
COMPUTER LAB 18 (CT LAB)</t>
    </r>
  </si>
  <si>
    <r>
      <rPr>
        <b/>
        <sz val="11"/>
        <color theme="1"/>
        <rFont val="Cambria"/>
        <charset val="134"/>
      </rPr>
      <t xml:space="preserve">22CT025 </t>
    </r>
    <r>
      <rPr>
        <sz val="11"/>
        <color theme="1"/>
        <rFont val="Cambria"/>
        <charset val="134"/>
      </rPr>
      <t xml:space="preserve">
MULTIMEDIA AND ANIMATION THEORY 
 CT10935 Ms.NITHYA M
ME305</t>
    </r>
  </si>
  <si>
    <r>
      <rPr>
        <b/>
        <sz val="11"/>
        <color theme="1"/>
        <rFont val="Cambria"/>
        <charset val="134"/>
      </rPr>
      <t>22CT025</t>
    </r>
    <r>
      <rPr>
        <sz val="11"/>
        <color theme="1"/>
        <rFont val="Cambria"/>
        <charset val="134"/>
      </rPr>
      <t xml:space="preserve">
 MULTIMEDIA AND ANIMATION  LAB 
CT10935 Ms.NITHYA M
COMPUTER LAB 18 (CT LAB)</t>
    </r>
  </si>
  <si>
    <r>
      <rPr>
        <b/>
        <sz val="11"/>
        <color theme="1"/>
        <rFont val="Cambria"/>
        <charset val="134"/>
      </rPr>
      <t xml:space="preserve">22CT025
</t>
    </r>
    <r>
      <rPr>
        <sz val="11"/>
        <color theme="1"/>
        <rFont val="Cambria"/>
        <charset val="134"/>
      </rPr>
      <t xml:space="preserve"> MULTIMEDIA AND ANIMATION LAB  
CT10935 Ms.NITHYA M
COMPUTER LAB 18 (CT LAB)</t>
    </r>
  </si>
  <si>
    <r>
      <rPr>
        <b/>
        <sz val="11"/>
        <color theme="1"/>
        <rFont val="Cambria"/>
        <charset val="134"/>
      </rPr>
      <t xml:space="preserve">22CT603 
</t>
    </r>
    <r>
      <rPr>
        <sz val="11"/>
        <color theme="1"/>
        <rFont val="Cambria"/>
        <charset val="134"/>
      </rPr>
      <t>CLOUD COMPUTING THEORY 
CT10965 Mr.GUNALAN K
ME305</t>
    </r>
  </si>
  <si>
    <r>
      <rPr>
        <b/>
        <sz val="11"/>
        <color theme="1"/>
        <rFont val="Cambria"/>
        <charset val="134"/>
      </rPr>
      <t xml:space="preserve">HONOURS / MINOR COURSE 2
22CSH04/22CTH04/22ISH28/22ITH04 - NEURAL NETWORKS AND DEEP LEARNING
</t>
    </r>
    <r>
      <rPr>
        <sz val="11"/>
        <color theme="1"/>
        <rFont val="Cambria"/>
        <charset val="134"/>
      </rPr>
      <t>Ms.RATHNA S
Refer CSE  Timetable</t>
    </r>
  </si>
  <si>
    <t>CIVIL ENGINEERING</t>
  </si>
  <si>
    <t>Venue for academic classes: Department/Dept. Library</t>
  </si>
  <si>
    <r>
      <rPr>
        <b/>
        <sz val="12"/>
        <color theme="1"/>
        <rFont val="Cambria"/>
        <charset val="134"/>
      </rPr>
      <t xml:space="preserve">22CE601
DESIGN OF RCC STRUCTURES
</t>
    </r>
    <r>
      <rPr>
        <sz val="12"/>
        <color theme="1"/>
        <rFont val="Cambria"/>
        <charset val="134"/>
      </rPr>
      <t xml:space="preserve">Dr.KARTHIGA N
</t>
    </r>
  </si>
  <si>
    <r>
      <rPr>
        <b/>
        <sz val="12"/>
        <color theme="1"/>
        <rFont val="Cambria"/>
        <charset val="134"/>
      </rPr>
      <t>22CE603                                                                                                                                DESIGN OF STEEL   STRUTCURES</t>
    </r>
    <r>
      <rPr>
        <sz val="12"/>
        <color theme="1"/>
        <rFont val="Cambria"/>
        <charset val="134"/>
      </rPr>
      <t xml:space="preserve">                                                                                 Mr.RAJENDRAN M
</t>
    </r>
  </si>
  <si>
    <r>
      <rPr>
        <b/>
        <sz val="12"/>
        <color theme="1"/>
        <rFont val="Cambria"/>
        <charset val="134"/>
      </rPr>
      <t xml:space="preserve">22CE015
COST EFFECTIVE CONSTRUCTION AND GREEN BUILDING 
</t>
    </r>
    <r>
      <rPr>
        <sz val="12"/>
        <color theme="1"/>
        <rFont val="Cambria"/>
        <charset val="134"/>
      </rPr>
      <t xml:space="preserve">Dr.MOHANRAJ A
</t>
    </r>
  </si>
  <si>
    <r>
      <rPr>
        <b/>
        <sz val="12"/>
        <color theme="1"/>
        <rFont val="Cambria"/>
        <charset val="134"/>
      </rPr>
      <t>22CE020                                                  GEOENVIRONMENTAL ENGINEERING</t>
    </r>
    <r>
      <rPr>
        <sz val="12"/>
        <color theme="1"/>
        <rFont val="Cambria"/>
        <charset val="134"/>
      </rPr>
      <t xml:space="preserve">                 Dr.GEETHAMANI R
</t>
    </r>
  </si>
  <si>
    <r>
      <rPr>
        <b/>
        <sz val="12"/>
        <color theme="1"/>
        <rFont val="Cambria"/>
        <charset val="134"/>
      </rPr>
      <t xml:space="preserve">22CE016                                                                          PREFABRICATED STRUCTURES AND PRE-ENGINEERED BUILDINGS  </t>
    </r>
    <r>
      <rPr>
        <sz val="12"/>
        <color theme="1"/>
        <rFont val="Cambria"/>
        <charset val="134"/>
      </rPr>
      <t xml:space="preserve">                                                                                Mr.RAJENDRAN M        
</t>
    </r>
  </si>
  <si>
    <r>
      <rPr>
        <sz val="12"/>
        <color theme="1"/>
        <rFont val="Cambria"/>
        <charset val="134"/>
      </rPr>
      <t xml:space="preserve">HONOURS / MINOR COURSE 1           </t>
    </r>
    <r>
      <rPr>
        <b/>
        <sz val="12"/>
        <color theme="1"/>
        <rFont val="Cambria"/>
        <charset val="134"/>
      </rPr>
      <t>22CEH01                                               REPAIR AND REHABILITATION OF STRUCTURES</t>
    </r>
    <r>
      <rPr>
        <sz val="12"/>
        <color theme="1"/>
        <rFont val="Cambria"/>
        <charset val="134"/>
      </rPr>
      <t xml:space="preserve">                           Dr.GEETHAMANI R
</t>
    </r>
    <r>
      <rPr>
        <sz val="12"/>
        <color rgb="FFFF00FF"/>
        <rFont val="Cambria"/>
        <charset val="134"/>
      </rPr>
      <t>Dept. Library</t>
    </r>
  </si>
  <si>
    <r>
      <rPr>
        <b/>
        <sz val="12"/>
        <color theme="1"/>
        <rFont val="Cambria"/>
        <charset val="134"/>
      </rPr>
      <t xml:space="preserve">22CE602                                                                                                                STRUCTURAL ANALYSIS II                                                                   </t>
    </r>
    <r>
      <rPr>
        <sz val="12"/>
        <color theme="1"/>
        <rFont val="Cambria"/>
        <charset val="134"/>
      </rPr>
      <t xml:space="preserve">Dr.KARTHIGA N
</t>
    </r>
  </si>
  <si>
    <r>
      <rPr>
        <b/>
        <sz val="12"/>
        <color theme="1"/>
        <rFont val="Cambria"/>
        <charset val="134"/>
      </rPr>
      <t xml:space="preserve">22CE016 
PREFABRICATED STRUCTURES AND PRE-ENGINEERED BUILDINGS
 </t>
    </r>
    <r>
      <rPr>
        <sz val="12"/>
        <color theme="1"/>
        <rFont val="Cambria"/>
        <charset val="134"/>
      </rPr>
      <t xml:space="preserve">Mr.RAJENDRAN M 
    </t>
    </r>
  </si>
  <si>
    <r>
      <rPr>
        <b/>
        <sz val="12"/>
        <color theme="1"/>
        <rFont val="Cambria"/>
        <charset val="134"/>
      </rPr>
      <t xml:space="preserve">22CE015                                                  COST EFFECTIVE CONSTRUCTION AND GREEN BUILDING </t>
    </r>
    <r>
      <rPr>
        <sz val="12"/>
        <color theme="1"/>
        <rFont val="Cambria"/>
        <charset val="134"/>
      </rPr>
      <t xml:space="preserve">                            Dr.MOHANRAJ A
</t>
    </r>
  </si>
  <si>
    <r>
      <rPr>
        <b/>
        <sz val="12"/>
        <color theme="1"/>
        <rFont val="Cambria"/>
        <charset val="134"/>
      </rPr>
      <t xml:space="preserve">                 ELECTIVE 5 / OPEN ELECTIVE </t>
    </r>
    <r>
      <rPr>
        <sz val="12"/>
        <color theme="1"/>
        <rFont val="Cambria"/>
        <charset val="134"/>
      </rPr>
      <t xml:space="preserve">                                                                                                                                  </t>
    </r>
    <r>
      <rPr>
        <b/>
        <sz val="12"/>
        <color theme="1"/>
        <rFont val="Cambria"/>
        <charset val="134"/>
      </rPr>
      <t xml:space="preserve">22CE026                                                                                                                                  MASS TRANSPORTATION SYSTEMS </t>
    </r>
    <r>
      <rPr>
        <sz val="12"/>
        <color theme="1"/>
        <rFont val="Cambria"/>
        <charset val="134"/>
      </rPr>
      <t xml:space="preserve">                                                                            Dr.JEYANTH B      
                                                                                    </t>
    </r>
    <r>
      <rPr>
        <b/>
        <sz val="12"/>
        <color theme="1"/>
        <rFont val="Cambria"/>
        <charset val="134"/>
      </rPr>
      <t xml:space="preserve">                                  22OCE02        COST MANAGEMENT OF ENGINEERING PROJECTS</t>
    </r>
    <r>
      <rPr>
        <sz val="12"/>
        <color theme="1"/>
        <rFont val="Cambria"/>
        <charset val="134"/>
      </rPr>
      <t xml:space="preserve">                                                            
Mr.GNANASUNDAR V M
</t>
    </r>
  </si>
  <si>
    <r>
      <rPr>
        <sz val="12"/>
        <color theme="1"/>
        <rFont val="Cambria"/>
        <charset val="134"/>
      </rPr>
      <t xml:space="preserve">HONOURS / MINOR COURSE 2             </t>
    </r>
    <r>
      <rPr>
        <b/>
        <sz val="12"/>
        <color theme="1"/>
        <rFont val="Cambria"/>
        <charset val="134"/>
      </rPr>
      <t>22CEH06                                         STRUCTURAL HEALTH MONITORING</t>
    </r>
    <r>
      <rPr>
        <sz val="12"/>
        <color theme="1"/>
        <rFont val="Cambria"/>
        <charset val="134"/>
      </rPr>
      <t xml:space="preserve">                             Dr.KARTHIGA SHENBAGAM N
</t>
    </r>
    <r>
      <rPr>
        <sz val="12"/>
        <color rgb="FFFF00FF"/>
        <rFont val="Cambria"/>
        <charset val="134"/>
      </rPr>
      <t>Dept. Library</t>
    </r>
  </si>
  <si>
    <r>
      <rPr>
        <b/>
        <sz val="12"/>
        <color theme="1"/>
        <rFont val="Cambria"/>
        <charset val="134"/>
      </rPr>
      <t>22CE603                                                                                                                                DESIGN OF STEEL   STRUTCURES</t>
    </r>
    <r>
      <rPr>
        <sz val="12"/>
        <color theme="1"/>
        <rFont val="Cambria"/>
        <charset val="134"/>
      </rPr>
      <t xml:space="preserve">                                                                                 Mr.RAJENDRAN M                                                                                                                                         CIVIL CADD LAB</t>
    </r>
  </si>
  <si>
    <r>
      <rPr>
        <b/>
        <sz val="12"/>
        <color theme="1"/>
        <rFont val="Cambria"/>
        <charset val="134"/>
      </rPr>
      <t xml:space="preserve">22CE601                                                                                                                             DESIGN OF RCC STRUCTURES                                                              </t>
    </r>
    <r>
      <rPr>
        <sz val="12"/>
        <color theme="1"/>
        <rFont val="Cambria"/>
        <charset val="134"/>
      </rPr>
      <t xml:space="preserve">Dr.KARTHIGA N
</t>
    </r>
  </si>
  <si>
    <r>
      <rPr>
        <b/>
        <sz val="12"/>
        <color theme="1"/>
        <rFont val="Cambria"/>
        <charset val="134"/>
      </rPr>
      <t xml:space="preserve">22CE020
 GEOENVIRONMENTAL ENGINEERING
</t>
    </r>
    <r>
      <rPr>
        <sz val="12"/>
        <color theme="1"/>
        <rFont val="Cambria"/>
        <charset val="134"/>
      </rPr>
      <t xml:space="preserve">Dr.GEETHAMANI R
</t>
    </r>
  </si>
  <si>
    <r>
      <rPr>
        <sz val="12"/>
        <color theme="1"/>
        <rFont val="Cambria"/>
        <charset val="134"/>
      </rPr>
      <t xml:space="preserve">HONOURS / MINOR COURSE 1           </t>
    </r>
    <r>
      <rPr>
        <b/>
        <sz val="12"/>
        <color theme="1"/>
        <rFont val="Cambria"/>
        <charset val="134"/>
      </rPr>
      <t>22CEH01        REPAIR AND REHABILITATION OF STRUCTURES</t>
    </r>
    <r>
      <rPr>
        <sz val="12"/>
        <color theme="1"/>
        <rFont val="Cambria"/>
        <charset val="134"/>
      </rPr>
      <t xml:space="preserve">        Dr.GEETHAMANI R
</t>
    </r>
    <r>
      <rPr>
        <sz val="12"/>
        <color rgb="FFFF00FF"/>
        <rFont val="Cambria"/>
        <charset val="134"/>
      </rPr>
      <t>Dept. Library</t>
    </r>
  </si>
  <si>
    <r>
      <rPr>
        <b/>
        <sz val="12"/>
        <color theme="1"/>
        <rFont val="Cambria"/>
        <charset val="134"/>
      </rPr>
      <t>22CE020                                      GEOENVIRONMENTAL ENGINEERING</t>
    </r>
    <r>
      <rPr>
        <sz val="12"/>
        <color theme="1"/>
        <rFont val="Cambria"/>
        <charset val="134"/>
      </rPr>
      <t xml:space="preserve">                               Dr.GEETHAMANI R
</t>
    </r>
  </si>
  <si>
    <r>
      <rPr>
        <b/>
        <sz val="12"/>
        <color theme="1"/>
        <rFont val="Cambria"/>
        <charset val="134"/>
      </rPr>
      <t xml:space="preserve">22CE601                                                                                                                             DESIGN OF RCC STRUCTURES                                                              </t>
    </r>
    <r>
      <rPr>
        <sz val="12"/>
        <color theme="1"/>
        <rFont val="Cambria"/>
        <charset val="134"/>
      </rPr>
      <t xml:space="preserve">Dr.KARTHIGA N
</t>
    </r>
  </si>
  <si>
    <r>
      <rPr>
        <b/>
        <sz val="12"/>
        <color theme="1"/>
        <rFont val="Cambria"/>
        <charset val="134"/>
      </rPr>
      <t>22CE020                         GEOENVIRONMENTAL ENGINEERING</t>
    </r>
    <r>
      <rPr>
        <sz val="12"/>
        <color theme="1"/>
        <rFont val="Cambria"/>
        <charset val="134"/>
      </rPr>
      <t xml:space="preserve">                            Dr.GEETHAMANI R
</t>
    </r>
  </si>
  <si>
    <r>
      <rPr>
        <b/>
        <sz val="12"/>
        <color theme="1"/>
        <rFont val="Cambria"/>
        <charset val="134"/>
      </rPr>
      <t>22CE020        GEOENVIRONMENTAL ENGINEERING</t>
    </r>
    <r>
      <rPr>
        <sz val="12"/>
        <color theme="1"/>
        <rFont val="Cambria"/>
        <charset val="134"/>
      </rPr>
      <t xml:space="preserve">        Dr.GEETHAMANI R
</t>
    </r>
  </si>
  <si>
    <t xml:space="preserve">22CE603                                                                                                                                DESIGN OF STEEL   STRUTCURES                                                                                 Mr.RAJENDRAN M        
</t>
  </si>
  <si>
    <r>
      <rPr>
        <b/>
        <sz val="12"/>
        <color theme="1"/>
        <rFont val="Cambria"/>
        <charset val="134"/>
      </rPr>
      <t>22CE603                                                                                                                                DESIGN OF STEEL   STRUTCURES</t>
    </r>
    <r>
      <rPr>
        <sz val="12"/>
        <color theme="1"/>
        <rFont val="Cambria"/>
        <charset val="134"/>
      </rPr>
      <t xml:space="preserve">                                                                                 Mr.RAJENDRAN M                                                                                                                                        CIVIL CADD LAB</t>
    </r>
  </si>
  <si>
    <r>
      <rPr>
        <sz val="12"/>
        <color theme="1"/>
        <rFont val="Cambria"/>
        <charset val="134"/>
      </rPr>
      <t xml:space="preserve">ELECTIVE 5 / OPEN ELECTIVE                                                                                                                                   </t>
    </r>
    <r>
      <rPr>
        <b/>
        <sz val="12"/>
        <color theme="1"/>
        <rFont val="Cambria"/>
        <charset val="134"/>
      </rPr>
      <t xml:space="preserve">22CE026                                                                                                                                  MASS TRANSPORTATION SYSTEMS  </t>
    </r>
    <r>
      <rPr>
        <sz val="12"/>
        <color theme="1"/>
        <rFont val="Cambria"/>
        <charset val="134"/>
      </rPr>
      <t xml:space="preserve">                                                                           Dr.JEYANTH B        
                                                                                                              </t>
    </r>
    <r>
      <rPr>
        <b/>
        <sz val="12"/>
        <color theme="1"/>
        <rFont val="Cambria"/>
        <charset val="134"/>
      </rPr>
      <t>22OCE02                                                             COST MANAGEMENT OF ENGINEERING PROJECTS</t>
    </r>
    <r>
      <rPr>
        <sz val="12"/>
        <color theme="1"/>
        <rFont val="Cambria"/>
        <charset val="134"/>
      </rPr>
      <t xml:space="preserve">                                                                    
Mr.GNANASUNDAR V M     
</t>
    </r>
  </si>
  <si>
    <r>
      <rPr>
        <b/>
        <sz val="12"/>
        <color theme="1"/>
        <rFont val="Cambria"/>
        <charset val="134"/>
      </rPr>
      <t xml:space="preserve">22CE016                                                                          PREFABRICATED STRUCTURES AND PRE-ENGINEERED BUILDINGS  </t>
    </r>
    <r>
      <rPr>
        <sz val="12"/>
        <color theme="1"/>
        <rFont val="Cambria"/>
        <charset val="134"/>
      </rPr>
      <t xml:space="preserve">                                                                                Mr.RAJENDRAN M    
   </t>
    </r>
  </si>
  <si>
    <r>
      <rPr>
        <b/>
        <sz val="12"/>
        <color theme="1"/>
        <rFont val="Cambria"/>
        <charset val="134"/>
      </rPr>
      <t xml:space="preserve">22CE602                                                                                                                                          STRUCTURAL ANALYSIS II                                                                   </t>
    </r>
    <r>
      <rPr>
        <sz val="12"/>
        <color theme="1"/>
        <rFont val="Cambria"/>
        <charset val="134"/>
      </rPr>
      <t xml:space="preserve">            Dr.KARTHIGA N
</t>
    </r>
  </si>
  <si>
    <r>
      <rPr>
        <sz val="12"/>
        <color theme="1"/>
        <rFont val="Cambria"/>
        <charset val="134"/>
      </rPr>
      <t xml:space="preserve">ELECTIVE 5 / OPEN ELECTIVE                                                                                                                                   </t>
    </r>
    <r>
      <rPr>
        <b/>
        <sz val="12"/>
        <color theme="1"/>
        <rFont val="Cambria"/>
        <charset val="134"/>
      </rPr>
      <t xml:space="preserve">22CE026                                                                                                                                  MASS TRANSPORTATION SYSTEMS  </t>
    </r>
    <r>
      <rPr>
        <sz val="12"/>
        <color theme="1"/>
        <rFont val="Cambria"/>
        <charset val="134"/>
      </rPr>
      <t xml:space="preserve">                                                                           Dr.JEYANTH B      
                                                                                                                      </t>
    </r>
    <r>
      <rPr>
        <b/>
        <sz val="12"/>
        <color theme="1"/>
        <rFont val="Cambria"/>
        <charset val="134"/>
      </rPr>
      <t>22OCE02                                                             COST MANAGEMENT OF ENGINEERING PROJECTS</t>
    </r>
    <r>
      <rPr>
        <sz val="12"/>
        <color theme="1"/>
        <rFont val="Cambria"/>
        <charset val="134"/>
      </rPr>
      <t xml:space="preserve">                                                                    
Mr.GNANASUNDAR V M     
</t>
    </r>
  </si>
  <si>
    <t>INFORMATION SCIENCE AND ENGINEERING</t>
  </si>
  <si>
    <t>EW117</t>
  </si>
  <si>
    <r>
      <rPr>
        <b/>
        <sz val="12"/>
        <color theme="1"/>
        <rFont val="Cambria"/>
        <charset val="134"/>
      </rPr>
      <t>22IS601
NATURAL LANGUAGE PROCESSING TECHNIQUES</t>
    </r>
    <r>
      <rPr>
        <sz val="12"/>
        <color theme="1"/>
        <rFont val="Cambria"/>
        <charset val="134"/>
      </rPr>
      <t xml:space="preserve">
Ms.MADHUMATHI S
</t>
    </r>
    <r>
      <rPr>
        <b/>
        <sz val="12"/>
        <color rgb="FFA61C00"/>
        <rFont val="Cambria"/>
        <charset val="134"/>
      </rPr>
      <t>EW117</t>
    </r>
  </si>
  <si>
    <r>
      <rPr>
        <b/>
        <sz val="12"/>
        <color theme="1"/>
        <rFont val="Cambria"/>
        <charset val="134"/>
      </rPr>
      <t xml:space="preserve">22IS602
CRYPTOGRAPHY AND INFORMATION SECURITY
</t>
    </r>
    <r>
      <rPr>
        <sz val="12"/>
        <color theme="1"/>
        <rFont val="Cambria"/>
        <charset val="134"/>
      </rPr>
      <t xml:space="preserve">Ms.Nithya M
</t>
    </r>
    <r>
      <rPr>
        <b/>
        <sz val="12"/>
        <color rgb="FFA61C00"/>
        <rFont val="Cambria"/>
        <charset val="134"/>
      </rPr>
      <t>EW117</t>
    </r>
  </si>
  <si>
    <r>
      <rPr>
        <b/>
        <sz val="12"/>
        <color theme="1"/>
        <rFont val="Cambria"/>
        <charset val="134"/>
      </rPr>
      <t xml:space="preserve">22IS603
INFORMATION CODING TECHNIQUES
</t>
    </r>
    <r>
      <rPr>
        <sz val="12"/>
        <color theme="1"/>
        <rFont val="Cambria"/>
        <charset val="134"/>
      </rPr>
      <t xml:space="preserve">Mrs.GAYATHRI S
</t>
    </r>
    <r>
      <rPr>
        <b/>
        <sz val="12"/>
        <color rgb="FFA61C00"/>
        <rFont val="Cambria"/>
        <charset val="134"/>
      </rPr>
      <t>EW117</t>
    </r>
  </si>
  <si>
    <r>
      <rPr>
        <b/>
        <sz val="12"/>
        <color theme="1"/>
        <rFont val="Cambria"/>
        <charset val="134"/>
      </rPr>
      <t>ADD COURSE        
22IS041
INTERNET MARKETING</t>
    </r>
    <r>
      <rPr>
        <sz val="12"/>
        <color theme="1"/>
        <rFont val="Cambria"/>
        <charset val="134"/>
      </rPr>
      <t xml:space="preserve">
Mr.PANDIYAN M
</t>
    </r>
    <r>
      <rPr>
        <b/>
        <sz val="12"/>
        <color rgb="FFA61C00"/>
        <rFont val="Cambria"/>
        <charset val="134"/>
      </rPr>
      <t>EW117</t>
    </r>
  </si>
  <si>
    <r>
      <rPr>
        <b/>
        <sz val="12"/>
        <color theme="1"/>
        <rFont val="Cambria"/>
        <charset val="134"/>
      </rPr>
      <t xml:space="preserve">ELECTIVE 4
22IS001
INFORMATION STORAGE AND MANAGEMENT
</t>
    </r>
    <r>
      <rPr>
        <sz val="12"/>
        <color theme="1"/>
        <rFont val="Cambria"/>
        <charset val="134"/>
      </rPr>
      <t xml:space="preserve">Mrs.KALAIVANI E
</t>
    </r>
    <r>
      <rPr>
        <b/>
        <sz val="12"/>
        <color rgb="FFA61C00"/>
        <rFont val="Cambria"/>
        <charset val="134"/>
      </rPr>
      <t>EW117</t>
    </r>
  </si>
  <si>
    <r>
      <rPr>
        <b/>
        <sz val="12"/>
        <color rgb="FFCC4125"/>
        <rFont val="Cambria"/>
        <charset val="134"/>
      </rPr>
      <t xml:space="preserve">HONOURS COURSE 1
</t>
    </r>
    <r>
      <rPr>
        <b/>
        <sz val="12"/>
        <color theme="1"/>
        <rFont val="Cambria"/>
        <charset val="134"/>
      </rPr>
      <t>22ISH27
DATA MINING</t>
    </r>
    <r>
      <rPr>
        <sz val="12"/>
        <color theme="1"/>
        <rFont val="Cambria"/>
        <charset val="134"/>
      </rPr>
      <t xml:space="preserve">
Dr.ANANDAKUMAR K
</t>
    </r>
    <r>
      <rPr>
        <b/>
        <sz val="12"/>
        <color rgb="FFA61C00"/>
        <rFont val="Cambria"/>
        <charset val="134"/>
      </rPr>
      <t>EW117</t>
    </r>
  </si>
  <si>
    <r>
      <rPr>
        <b/>
        <sz val="12"/>
        <color theme="1"/>
        <rFont val="Cambria"/>
        <charset val="134"/>
      </rPr>
      <t xml:space="preserve">ELECTIVE 3 
22IS013
CYBER SECURITY
</t>
    </r>
    <r>
      <rPr>
        <sz val="12"/>
        <color theme="1"/>
        <rFont val="Cambria"/>
        <charset val="134"/>
      </rPr>
      <t xml:space="preserve">Mr.JACKSON J
</t>
    </r>
    <r>
      <rPr>
        <b/>
        <sz val="12"/>
        <color rgb="FFA61C00"/>
        <rFont val="Cambria"/>
        <charset val="134"/>
      </rPr>
      <t>EW117</t>
    </r>
  </si>
  <si>
    <r>
      <rPr>
        <b/>
        <sz val="11"/>
        <color theme="1"/>
        <rFont val="Cambria"/>
        <charset val="134"/>
      </rPr>
      <t xml:space="preserve">ELECTIVE 5 
22IS006
BUSINESS INTELLIGENCE
</t>
    </r>
    <r>
      <rPr>
        <sz val="11"/>
        <color theme="1"/>
        <rFont val="Cambria"/>
        <charset val="134"/>
      </rPr>
      <t xml:space="preserve">Mrs.NITHYAPRIYA S
</t>
    </r>
    <r>
      <rPr>
        <b/>
        <sz val="11"/>
        <color rgb="FFA61C00"/>
        <rFont val="Cambria"/>
        <charset val="134"/>
      </rPr>
      <t>EW117</t>
    </r>
    <r>
      <rPr>
        <sz val="11"/>
        <color theme="1"/>
        <rFont val="Cambria"/>
        <charset val="134"/>
      </rPr>
      <t xml:space="preserve">
/
</t>
    </r>
    <r>
      <rPr>
        <b/>
        <sz val="11"/>
        <color theme="1"/>
        <rFont val="Cambria"/>
        <charset val="134"/>
      </rPr>
      <t>OPEN ELECTIVE</t>
    </r>
  </si>
  <si>
    <r>
      <rPr>
        <b/>
        <sz val="12"/>
        <color rgb="FFCC4125"/>
        <rFont val="Cambria"/>
        <charset val="134"/>
      </rPr>
      <t xml:space="preserve">HONOURS COURSE 2
</t>
    </r>
    <r>
      <rPr>
        <b/>
        <sz val="12"/>
        <color theme="1"/>
        <rFont val="Cambria"/>
        <charset val="134"/>
      </rPr>
      <t xml:space="preserve">22CSH04/22CTH04/
22ISH28/22ITH04
NEURAL NETWORKS AND DEEP LEARNING
</t>
    </r>
    <r>
      <rPr>
        <sz val="12"/>
        <color theme="1"/>
        <rFont val="Cambria"/>
        <charset val="134"/>
      </rPr>
      <t>Ms.RATHNA S</t>
    </r>
  </si>
  <si>
    <t>FASHION TECHNOLOGY</t>
  </si>
  <si>
    <t xml:space="preserve">22FT601-
APPAREL PRODUCTION PLANNING AND CONTROL
FT10224 Mrs. SARANYA D V
</t>
  </si>
  <si>
    <t>22FT603 - 
QUALITY ASSURANCE IN GARMENT PRODUCTION
TT11184 Mrs. GAYATHRI R</t>
  </si>
  <si>
    <t>22FT007 - 
KNIT WEAR DEVELOPMENT
TT10938 Mrs. MOUNIKA S</t>
  </si>
  <si>
    <t>22FT022 - 
INTERNATIONAL BUSSINESS IN APPAREL INDUSTRY
FT10809 Dr. MOHAN BHARATHI C</t>
  </si>
  <si>
    <t>22FT602 - 
FASHION RETAIL MANAGEMENT
TT10607 Dr. JANARTHANAN M</t>
  </si>
  <si>
    <t>22FT028 - 
INTIMATE APPARELS
FT10427 Mrs. MEKALA N</t>
  </si>
  <si>
    <t>22FTH15 - 
LEAN MANUFACTURING
FT10427 Mrs. MEKALA N</t>
  </si>
  <si>
    <t>22FTH16 - 
SOCIAL COMPLIANCES AND QUALITY ASSURANCE IN APPAREL INDUSTRY
FT10809 Dr. MOHAN BHARATHI C</t>
  </si>
  <si>
    <t>FOOD TECHNOLOGY</t>
  </si>
  <si>
    <t>22FD603 - FOOD INSTRUMENTATION AND ANALYSIS
Mr L Gowrishankar 
EW107</t>
  </si>
  <si>
    <t>22FD602 -FOOD EQUIPMENT DESIGN
Dr. TNA Arunasree
EW107</t>
  </si>
  <si>
    <t>22FD040 -  BEVERAGE TECHNOLOGY
  Ms Pidathala Sahitya
EW107</t>
  </si>
  <si>
    <t>22FD601- FOOD PROCESSING PLANT DESIGN AND LAYOUT
Mr. E. Ramanji Reddy
EW107</t>
  </si>
  <si>
    <t>22FD603 -FOOD INSTRUMENTATION AND ANALYSIS LABORATORY
Ms. Nithiya Priya B T</t>
  </si>
  <si>
    <t>HONOURS / MINOR COURSE 1 22FDH03 - DIVERSE MATERIALS IN FOOD PACKAGING
Ms Sivarahini K (FACULTY CABIN)</t>
  </si>
  <si>
    <t>22FD009 -  THERMAL PROCESSING TECHNIQUES
  Ms Pidathala Sahitya
EW107</t>
  </si>
  <si>
    <t xml:space="preserve">22FD601- FOOD PROCESSING PLANT DESIGN AND LAYOUT LABORATORY 
Mr. E. Ramanji Reddy
</t>
  </si>
  <si>
    <t>22FD008 -NON THERMAL PROCESSING TECHNIQUES
Ms. Nithiya Priya B T EW107</t>
  </si>
  <si>
    <t>HONOURS / MINOR COURSE 2  22FDH04 -EMERGING TRENDS AND INNOVATION IN PACKAGING TECHNOLOGY
Ms. Nithiya Priya B T (FACULTY CABIN)</t>
  </si>
  <si>
    <r>
      <rPr>
        <sz val="12"/>
        <color theme="1"/>
        <rFont val="Cambria"/>
        <charset val="134"/>
      </rPr>
      <t>22FD035 - FOOD FERMENTATION TECHNOLOGY
Ms Sivarahini K EW107
/</t>
    </r>
    <r>
      <rPr>
        <sz val="12"/>
        <color rgb="FFFF0000"/>
        <rFont val="Cambria"/>
        <charset val="134"/>
      </rPr>
      <t>Project Hour  Ms. Nithiya Priya B T</t>
    </r>
  </si>
  <si>
    <t xml:space="preserve">22FD009 -  THERMAL PROCESSING TECHNIQUES
  Ms Pidathala Sahitya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</si>
</sst>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50">
    <font>
      <sz val="10"/>
      <color rgb="FF000000"/>
      <name val="Arial"/>
      <charset val="134"/>
      <scheme val="minor"/>
    </font>
    <font>
      <b/>
      <sz val="12"/>
      <color theme="1"/>
      <name val="Cambria"/>
      <charset val="134"/>
    </font>
    <font>
      <sz val="10"/>
      <name val="Arial"/>
      <charset val="134"/>
      <scheme val="minor"/>
    </font>
    <font>
      <sz val="12"/>
      <color theme="1"/>
      <name val="Cambria"/>
      <charset val="134"/>
    </font>
    <font>
      <b/>
      <sz val="15"/>
      <color theme="1"/>
      <name val="Cambria"/>
      <charset val="134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3"/>
      <color theme="1"/>
      <name val="Arial"/>
      <charset val="134"/>
    </font>
    <font>
      <sz val="10"/>
      <color theme="1"/>
      <name val="Arial"/>
      <charset val="134"/>
      <scheme val="minor"/>
    </font>
    <font>
      <sz val="13"/>
      <color theme="1"/>
      <name val="Arial"/>
      <charset val="134"/>
    </font>
    <font>
      <b/>
      <sz val="12"/>
      <color rgb="FF000000"/>
      <name val="Cambria"/>
      <charset val="134"/>
    </font>
    <font>
      <sz val="12"/>
      <color rgb="FF000000"/>
      <name val="Cambria"/>
      <charset val="134"/>
    </font>
    <font>
      <u/>
      <sz val="12"/>
      <color rgb="FF0000FF"/>
      <name val="Cambria"/>
      <charset val="134"/>
    </font>
    <font>
      <sz val="10"/>
      <color theme="1"/>
      <name val="Cambria"/>
      <charset val="134"/>
    </font>
    <font>
      <b/>
      <sz val="13"/>
      <color theme="1"/>
      <name val="Cambria"/>
      <charset val="134"/>
    </font>
    <font>
      <sz val="11"/>
      <color rgb="FF000000"/>
      <name val="Cambria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4"/>
      <color theme="1"/>
      <name val="Cambria"/>
      <charset val="134"/>
    </font>
    <font>
      <sz val="12"/>
      <color rgb="FFFF0000"/>
      <name val="Cambria"/>
      <charset val="134"/>
    </font>
    <font>
      <b/>
      <sz val="12"/>
      <color rgb="FFFFFFFF"/>
      <name val="Cambria"/>
      <charset val="134"/>
    </font>
    <font>
      <sz val="12"/>
      <color rgb="FFFFFFFF"/>
      <name val="Cambria"/>
      <charset val="134"/>
    </font>
    <font>
      <b/>
      <sz val="12"/>
      <color rgb="FFEAD1DC"/>
      <name val="Cambria"/>
      <charset val="134"/>
    </font>
    <font>
      <sz val="12"/>
      <color rgb="FFEAD1DC"/>
      <name val="Cambria"/>
      <charset val="134"/>
    </font>
    <font>
      <b/>
      <sz val="12"/>
      <color rgb="FFA61C00"/>
      <name val="Cambria"/>
      <charset val="134"/>
    </font>
    <font>
      <b/>
      <sz val="11"/>
      <color rgb="FFA61C00"/>
      <name val="Cambria"/>
      <charset val="134"/>
    </font>
    <font>
      <sz val="12"/>
      <color rgb="FFFF00FF"/>
      <name val="Cambria"/>
      <charset val="134"/>
    </font>
    <font>
      <b/>
      <sz val="12"/>
      <color rgb="FFCC4125"/>
      <name val="Cambria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0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1" borderId="8" applyNumberFormat="0" applyAlignment="0" applyProtection="0">
      <alignment vertical="center"/>
    </xf>
    <xf numFmtId="0" fontId="30" fillId="22" borderId="9" applyNumberFormat="0" applyAlignment="0" applyProtection="0">
      <alignment vertical="center"/>
    </xf>
    <xf numFmtId="0" fontId="31" fillId="22" borderId="8" applyNumberFormat="0" applyAlignment="0" applyProtection="0">
      <alignment vertical="center"/>
    </xf>
    <xf numFmtId="0" fontId="32" fillId="23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</cellStyleXfs>
  <cellXfs count="10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7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3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16" borderId="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18" borderId="4" xfId="0" applyFont="1" applyFill="1" applyBorder="1" applyAlignment="1">
      <alignment horizontal="center" vertical="center"/>
    </xf>
    <xf numFmtId="0" fontId="13" fillId="18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top"/>
    </xf>
    <xf numFmtId="0" fontId="17" fillId="0" borderId="0" xfId="0" applyFont="1" applyAlignment="1"/>
    <xf numFmtId="0" fontId="8" fillId="0" borderId="0" xfId="0" applyFont="1"/>
    <xf numFmtId="0" fontId="8" fillId="0" borderId="4" xfId="0" applyFont="1" applyBorder="1"/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8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4" xfId="0" applyFont="1" applyBorder="1" applyAlignment="1"/>
    <xf numFmtId="0" fontId="19" fillId="0" borderId="4" xfId="0" applyFont="1" applyBorder="1" applyAlignment="1"/>
    <xf numFmtId="0" fontId="19" fillId="0" borderId="0" xfId="0" applyFont="1" applyAlignment="1"/>
    <xf numFmtId="0" fontId="3" fillId="0" borderId="4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qxSirtzj0z6UYzBBwqrtUgQlSm-BNOk9/edit?usp=sharing&amp;ouid=113768764903735484000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96296296296" defaultRowHeight="15.75" customHeight="1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5.5" customWidth="1"/>
    <col min="3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11</v>
      </c>
      <c r="I4" s="12"/>
    </row>
    <row r="5" ht="15" spans="1:9">
      <c r="A5" s="12" t="s">
        <v>12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71.25" customHeight="1" spans="1:9">
      <c r="A9" s="4" t="s">
        <v>33</v>
      </c>
      <c r="B9" s="4"/>
      <c r="C9" s="107"/>
      <c r="D9" s="107"/>
      <c r="E9" s="107"/>
      <c r="F9" s="107"/>
      <c r="G9" s="107"/>
      <c r="H9" s="107"/>
      <c r="I9" s="48" t="s">
        <v>34</v>
      </c>
    </row>
    <row r="10" ht="71.25" customHeight="1" spans="1:9">
      <c r="A10" s="4" t="s">
        <v>35</v>
      </c>
      <c r="B10" s="107"/>
      <c r="C10" s="107"/>
      <c r="D10" s="107"/>
      <c r="E10" s="107"/>
      <c r="F10" s="48" t="s">
        <v>36</v>
      </c>
      <c r="G10" s="48" t="s">
        <v>36</v>
      </c>
      <c r="H10" s="11" t="s">
        <v>37</v>
      </c>
      <c r="I10" s="48" t="s">
        <v>38</v>
      </c>
    </row>
    <row r="11" ht="71.25" customHeight="1" spans="1:9">
      <c r="A11" s="4" t="s">
        <v>39</v>
      </c>
      <c r="B11" s="107"/>
      <c r="C11" s="107"/>
      <c r="D11" s="107"/>
      <c r="E11" s="107"/>
      <c r="F11" s="107"/>
      <c r="G11" s="107"/>
      <c r="H11" s="107"/>
      <c r="I11" s="48" t="s">
        <v>34</v>
      </c>
    </row>
    <row r="12" ht="71.25" customHeight="1" spans="1:9">
      <c r="A12" s="4" t="s">
        <v>40</v>
      </c>
      <c r="B12" s="107"/>
      <c r="C12" s="107"/>
      <c r="D12" s="107"/>
      <c r="E12" s="107"/>
      <c r="F12" s="107"/>
      <c r="G12" s="107"/>
      <c r="H12" s="48"/>
      <c r="I12" s="48" t="s">
        <v>38</v>
      </c>
    </row>
    <row r="13" ht="71.25" customHeight="1" spans="1:9">
      <c r="A13" s="4" t="s">
        <v>41</v>
      </c>
      <c r="B13" s="107"/>
      <c r="C13" s="107"/>
      <c r="D13" s="107"/>
      <c r="E13" s="4"/>
      <c r="F13" s="107"/>
      <c r="G13" s="107"/>
      <c r="H13" s="48" t="s">
        <v>36</v>
      </c>
      <c r="I13" s="48" t="s">
        <v>34</v>
      </c>
    </row>
    <row r="14" ht="71.25" customHeight="1" spans="1:9">
      <c r="A14" s="4" t="s">
        <v>42</v>
      </c>
      <c r="B14" s="107"/>
      <c r="C14" s="107"/>
      <c r="D14" s="107"/>
      <c r="E14" s="107"/>
      <c r="F14" s="107"/>
      <c r="G14" s="107"/>
      <c r="H14" s="48" t="s">
        <v>36</v>
      </c>
      <c r="I14" s="48" t="s">
        <v>38</v>
      </c>
    </row>
  </sheetData>
  <mergeCells count="5">
    <mergeCell ref="A1:F1"/>
    <mergeCell ref="A2:F2"/>
    <mergeCell ref="A3:F3"/>
    <mergeCell ref="A4:F4"/>
    <mergeCell ref="A5:F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980"/>
  <sheetViews>
    <sheetView workbookViewId="0">
      <selection activeCell="A1" sqref="A1"/>
    </sheetView>
  </sheetViews>
  <sheetFormatPr defaultColWidth="12.6296296296296" defaultRowHeight="15.75" customHeight="1" outlineLevelCol="1"/>
  <cols>
    <col min="2" max="2" width="33.75" customWidth="1"/>
  </cols>
  <sheetData>
    <row r="1" customHeight="1" spans="1:2">
      <c r="A1" s="104" t="s">
        <v>43</v>
      </c>
      <c r="B1" s="105" t="s">
        <v>44</v>
      </c>
    </row>
    <row r="2" customHeight="1" spans="1:2">
      <c r="A2" s="104" t="s">
        <v>45</v>
      </c>
      <c r="B2" s="105" t="s">
        <v>46</v>
      </c>
    </row>
    <row r="3" customHeight="1" spans="1:2">
      <c r="A3" s="104" t="s">
        <v>47</v>
      </c>
      <c r="B3" s="105" t="s">
        <v>48</v>
      </c>
    </row>
    <row r="4" customHeight="1" spans="1:2">
      <c r="A4" s="104" t="s">
        <v>49</v>
      </c>
      <c r="B4" s="105" t="s">
        <v>50</v>
      </c>
    </row>
    <row r="5" customHeight="1" spans="1:2">
      <c r="A5" s="104" t="s">
        <v>51</v>
      </c>
      <c r="B5" s="105" t="s">
        <v>52</v>
      </c>
    </row>
    <row r="6" customHeight="1" spans="1:2">
      <c r="A6" s="104" t="s">
        <v>53</v>
      </c>
      <c r="B6" s="105" t="s">
        <v>54</v>
      </c>
    </row>
    <row r="7" customHeight="1" spans="1:2">
      <c r="A7" s="104" t="s">
        <v>55</v>
      </c>
      <c r="B7" s="105" t="s">
        <v>56</v>
      </c>
    </row>
    <row r="8" customHeight="1" spans="1:2">
      <c r="A8" s="104" t="s">
        <v>57</v>
      </c>
      <c r="B8" s="105" t="s">
        <v>58</v>
      </c>
    </row>
    <row r="9" customHeight="1" spans="1:2">
      <c r="A9" s="104" t="s">
        <v>59</v>
      </c>
      <c r="B9" s="105" t="s">
        <v>60</v>
      </c>
    </row>
    <row r="10" customHeight="1" spans="1:2">
      <c r="A10" s="104" t="s">
        <v>61</v>
      </c>
      <c r="B10" s="105" t="s">
        <v>62</v>
      </c>
    </row>
    <row r="11" customHeight="1" spans="1:2">
      <c r="A11" s="104" t="s">
        <v>63</v>
      </c>
      <c r="B11" s="105" t="s">
        <v>64</v>
      </c>
    </row>
    <row r="12" customHeight="1" spans="1:2">
      <c r="A12" s="104" t="s">
        <v>65</v>
      </c>
      <c r="B12" s="105" t="s">
        <v>66</v>
      </c>
    </row>
    <row r="13" customHeight="1" spans="1:2">
      <c r="A13" s="104" t="s">
        <v>67</v>
      </c>
      <c r="B13" s="105" t="s">
        <v>68</v>
      </c>
    </row>
    <row r="14" customHeight="1" spans="1:2">
      <c r="A14" s="104" t="s">
        <v>69</v>
      </c>
      <c r="B14" s="105" t="s">
        <v>70</v>
      </c>
    </row>
    <row r="15" customHeight="1" spans="1:2">
      <c r="A15" s="104" t="s">
        <v>71</v>
      </c>
      <c r="B15" s="105" t="s">
        <v>72</v>
      </c>
    </row>
    <row r="16" customHeight="1" spans="1:2">
      <c r="A16" s="104" t="s">
        <v>73</v>
      </c>
      <c r="B16" s="105" t="s">
        <v>74</v>
      </c>
    </row>
    <row r="17" customHeight="1" spans="1:2">
      <c r="A17" s="104" t="s">
        <v>75</v>
      </c>
      <c r="B17" s="105" t="s">
        <v>76</v>
      </c>
    </row>
    <row r="18" customHeight="1" spans="1:2">
      <c r="A18" s="104" t="s">
        <v>77</v>
      </c>
      <c r="B18" s="105" t="s">
        <v>78</v>
      </c>
    </row>
    <row r="19" customHeight="1" spans="1:2">
      <c r="A19" s="104" t="s">
        <v>79</v>
      </c>
      <c r="B19" s="105" t="s">
        <v>80</v>
      </c>
    </row>
    <row r="20" customHeight="1" spans="1:2">
      <c r="A20" s="104" t="s">
        <v>81</v>
      </c>
      <c r="B20" s="105" t="s">
        <v>82</v>
      </c>
    </row>
    <row r="21" customHeight="1" spans="2:2">
      <c r="B21" s="106"/>
    </row>
    <row r="22" customHeight="1" spans="2:2">
      <c r="B22" s="106"/>
    </row>
    <row r="23" customHeight="1" spans="2:2">
      <c r="B23" s="106"/>
    </row>
    <row r="24" customHeight="1" spans="2:2">
      <c r="B24" s="106"/>
    </row>
    <row r="25" customHeight="1" spans="2:2">
      <c r="B25" s="106"/>
    </row>
    <row r="26" customHeight="1" spans="2:2">
      <c r="B26" s="106"/>
    </row>
    <row r="27" customHeight="1" spans="2:2">
      <c r="B27" s="106"/>
    </row>
    <row r="28" customHeight="1" spans="2:2">
      <c r="B28" s="106"/>
    </row>
    <row r="29" customHeight="1" spans="2:2">
      <c r="B29" s="106"/>
    </row>
    <row r="30" customHeight="1" spans="2:2">
      <c r="B30" s="106"/>
    </row>
    <row r="31" customHeight="1" spans="2:2">
      <c r="B31" s="106"/>
    </row>
    <row r="32" customHeight="1" spans="2:2">
      <c r="B32" s="106"/>
    </row>
    <row r="33" customHeight="1" spans="2:2">
      <c r="B33" s="106"/>
    </row>
    <row r="34" customHeight="1" spans="2:2">
      <c r="B34" s="106"/>
    </row>
    <row r="35" customHeight="1" spans="2:2">
      <c r="B35" s="106"/>
    </row>
    <row r="36" customHeight="1" spans="2:2">
      <c r="B36" s="106"/>
    </row>
    <row r="37" customHeight="1" spans="2:2">
      <c r="B37" s="106"/>
    </row>
    <row r="38" customHeight="1" spans="2:2">
      <c r="B38" s="106"/>
    </row>
    <row r="39" customHeight="1" spans="2:2">
      <c r="B39" s="106"/>
    </row>
    <row r="40" customHeight="1" spans="2:2">
      <c r="B40" s="106"/>
    </row>
    <row r="41" customHeight="1" spans="2:2">
      <c r="B41" s="106"/>
    </row>
    <row r="42" customHeight="1" spans="2:2">
      <c r="B42" s="106"/>
    </row>
    <row r="43" customHeight="1" spans="2:2">
      <c r="B43" s="106"/>
    </row>
    <row r="44" customHeight="1" spans="2:2">
      <c r="B44" s="106"/>
    </row>
    <row r="45" customHeight="1" spans="2:2">
      <c r="B45" s="106"/>
    </row>
    <row r="46" customHeight="1" spans="2:2">
      <c r="B46" s="106"/>
    </row>
    <row r="47" customHeight="1" spans="2:2">
      <c r="B47" s="106"/>
    </row>
    <row r="48" customHeight="1" spans="2:2">
      <c r="B48" s="106"/>
    </row>
    <row r="49" customHeight="1" spans="2:2">
      <c r="B49" s="106"/>
    </row>
    <row r="50" customHeight="1" spans="2:2">
      <c r="B50" s="106"/>
    </row>
    <row r="51" customHeight="1" spans="2:2">
      <c r="B51" s="106"/>
    </row>
    <row r="52" customHeight="1" spans="2:2">
      <c r="B52" s="106"/>
    </row>
    <row r="53" customHeight="1" spans="2:2">
      <c r="B53" s="106"/>
    </row>
    <row r="54" customHeight="1" spans="2:2">
      <c r="B54" s="106"/>
    </row>
    <row r="55" customHeight="1" spans="2:2">
      <c r="B55" s="106"/>
    </row>
    <row r="56" customHeight="1" spans="2:2">
      <c r="B56" s="106"/>
    </row>
    <row r="57" customHeight="1" spans="2:2">
      <c r="B57" s="106"/>
    </row>
    <row r="58" customHeight="1" spans="2:2">
      <c r="B58" s="106"/>
    </row>
    <row r="59" customHeight="1" spans="2:2">
      <c r="B59" s="106"/>
    </row>
    <row r="60" customHeight="1" spans="2:2">
      <c r="B60" s="106"/>
    </row>
    <row r="61" customHeight="1" spans="2:2">
      <c r="B61" s="106"/>
    </row>
    <row r="62" customHeight="1" spans="2:2">
      <c r="B62" s="106"/>
    </row>
    <row r="63" customHeight="1" spans="2:2">
      <c r="B63" s="106"/>
    </row>
    <row r="64" customHeight="1" spans="2:2">
      <c r="B64" s="106"/>
    </row>
    <row r="65" customHeight="1" spans="2:2">
      <c r="B65" s="106"/>
    </row>
    <row r="66" customHeight="1" spans="2:2">
      <c r="B66" s="106"/>
    </row>
    <row r="67" customHeight="1" spans="2:2">
      <c r="B67" s="106"/>
    </row>
    <row r="68" customHeight="1" spans="2:2">
      <c r="B68" s="106"/>
    </row>
    <row r="69" customHeight="1" spans="2:2">
      <c r="B69" s="106"/>
    </row>
    <row r="70" customHeight="1" spans="2:2">
      <c r="B70" s="106"/>
    </row>
    <row r="71" customHeight="1" spans="2:2">
      <c r="B71" s="106"/>
    </row>
    <row r="72" customHeight="1" spans="2:2">
      <c r="B72" s="106"/>
    </row>
    <row r="73" customHeight="1" spans="2:2">
      <c r="B73" s="106"/>
    </row>
    <row r="74" customHeight="1" spans="2:2">
      <c r="B74" s="106"/>
    </row>
    <row r="75" customHeight="1" spans="2:2">
      <c r="B75" s="106"/>
    </row>
    <row r="76" customHeight="1" spans="2:2">
      <c r="B76" s="106"/>
    </row>
    <row r="77" customHeight="1" spans="2:2">
      <c r="B77" s="106"/>
    </row>
    <row r="78" customHeight="1" spans="2:2">
      <c r="B78" s="106"/>
    </row>
    <row r="79" customHeight="1" spans="2:2">
      <c r="B79" s="106"/>
    </row>
    <row r="80" customHeight="1" spans="2:2">
      <c r="B80" s="106"/>
    </row>
    <row r="81" customHeight="1" spans="2:2">
      <c r="B81" s="106"/>
    </row>
    <row r="82" customHeight="1" spans="2:2">
      <c r="B82" s="106"/>
    </row>
    <row r="83" customHeight="1" spans="2:2">
      <c r="B83" s="106"/>
    </row>
    <row r="84" customHeight="1" spans="2:2">
      <c r="B84" s="106"/>
    </row>
    <row r="85" customHeight="1" spans="2:2">
      <c r="B85" s="106"/>
    </row>
    <row r="86" customHeight="1" spans="2:2">
      <c r="B86" s="106"/>
    </row>
    <row r="87" customHeight="1" spans="2:2">
      <c r="B87" s="106"/>
    </row>
    <row r="88" customHeight="1" spans="2:2">
      <c r="B88" s="106"/>
    </row>
    <row r="89" customHeight="1" spans="2:2">
      <c r="B89" s="106"/>
    </row>
    <row r="90" customHeight="1" spans="2:2">
      <c r="B90" s="106"/>
    </row>
    <row r="91" customHeight="1" spans="2:2">
      <c r="B91" s="106"/>
    </row>
    <row r="92" customHeight="1" spans="2:2">
      <c r="B92" s="106"/>
    </row>
    <row r="93" customHeight="1" spans="2:2">
      <c r="B93" s="106"/>
    </row>
    <row r="94" customHeight="1" spans="2:2">
      <c r="B94" s="106"/>
    </row>
    <row r="95" customHeight="1" spans="2:2">
      <c r="B95" s="106"/>
    </row>
    <row r="96" customHeight="1" spans="2:2">
      <c r="B96" s="106"/>
    </row>
    <row r="97" customHeight="1" spans="2:2">
      <c r="B97" s="106"/>
    </row>
    <row r="98" customHeight="1" spans="2:2">
      <c r="B98" s="106"/>
    </row>
    <row r="99" customHeight="1" spans="2:2">
      <c r="B99" s="106"/>
    </row>
    <row r="100" customHeight="1" spans="2:2">
      <c r="B100" s="106"/>
    </row>
    <row r="101" customHeight="1" spans="2:2">
      <c r="B101" s="106"/>
    </row>
    <row r="102" customHeight="1" spans="2:2">
      <c r="B102" s="106"/>
    </row>
    <row r="103" customHeight="1" spans="2:2">
      <c r="B103" s="106"/>
    </row>
    <row r="104" customHeight="1" spans="2:2">
      <c r="B104" s="106"/>
    </row>
    <row r="105" customHeight="1" spans="2:2">
      <c r="B105" s="106"/>
    </row>
    <row r="106" customHeight="1" spans="2:2">
      <c r="B106" s="106"/>
    </row>
    <row r="107" customHeight="1" spans="2:2">
      <c r="B107" s="106"/>
    </row>
    <row r="108" customHeight="1" spans="2:2">
      <c r="B108" s="106"/>
    </row>
    <row r="109" customHeight="1" spans="2:2">
      <c r="B109" s="106"/>
    </row>
    <row r="110" customHeight="1" spans="2:2">
      <c r="B110" s="106"/>
    </row>
    <row r="111" customHeight="1" spans="2:2">
      <c r="B111" s="106"/>
    </row>
    <row r="112" customHeight="1" spans="2:2">
      <c r="B112" s="106"/>
    </row>
    <row r="113" customHeight="1" spans="2:2">
      <c r="B113" s="106"/>
    </row>
    <row r="114" customHeight="1" spans="2:2">
      <c r="B114" s="106"/>
    </row>
    <row r="115" customHeight="1" spans="2:2">
      <c r="B115" s="106"/>
    </row>
    <row r="116" customHeight="1" spans="2:2">
      <c r="B116" s="106"/>
    </row>
    <row r="117" customHeight="1" spans="2:2">
      <c r="B117" s="106"/>
    </row>
    <row r="118" customHeight="1" spans="2:2">
      <c r="B118" s="106"/>
    </row>
    <row r="119" customHeight="1" spans="2:2">
      <c r="B119" s="106"/>
    </row>
    <row r="120" customHeight="1" spans="2:2">
      <c r="B120" s="106"/>
    </row>
    <row r="121" customHeight="1" spans="2:2">
      <c r="B121" s="106"/>
    </row>
    <row r="122" customHeight="1" spans="2:2">
      <c r="B122" s="106"/>
    </row>
    <row r="123" customHeight="1" spans="2:2">
      <c r="B123" s="106"/>
    </row>
    <row r="124" customHeight="1" spans="2:2">
      <c r="B124" s="106"/>
    </row>
    <row r="125" customHeight="1" spans="2:2">
      <c r="B125" s="106"/>
    </row>
    <row r="126" customHeight="1" spans="2:2">
      <c r="B126" s="106"/>
    </row>
    <row r="127" customHeight="1" spans="2:2">
      <c r="B127" s="106"/>
    </row>
    <row r="128" customHeight="1" spans="2:2">
      <c r="B128" s="106"/>
    </row>
    <row r="129" customHeight="1" spans="2:2">
      <c r="B129" s="106"/>
    </row>
    <row r="130" customHeight="1" spans="2:2">
      <c r="B130" s="106"/>
    </row>
    <row r="131" customHeight="1" spans="2:2">
      <c r="B131" s="106"/>
    </row>
    <row r="132" customHeight="1" spans="2:2">
      <c r="B132" s="106"/>
    </row>
    <row r="133" customHeight="1" spans="2:2">
      <c r="B133" s="106"/>
    </row>
    <row r="134" customHeight="1" spans="2:2">
      <c r="B134" s="106"/>
    </row>
    <row r="135" customHeight="1" spans="2:2">
      <c r="B135" s="106"/>
    </row>
    <row r="136" customHeight="1" spans="2:2">
      <c r="B136" s="106"/>
    </row>
    <row r="137" customHeight="1" spans="2:2">
      <c r="B137" s="106"/>
    </row>
    <row r="138" customHeight="1" spans="2:2">
      <c r="B138" s="106"/>
    </row>
    <row r="139" customHeight="1" spans="2:2">
      <c r="B139" s="106"/>
    </row>
    <row r="140" customHeight="1" spans="2:2">
      <c r="B140" s="106"/>
    </row>
    <row r="141" customHeight="1" spans="2:2">
      <c r="B141" s="106"/>
    </row>
    <row r="142" customHeight="1" spans="2:2">
      <c r="B142" s="106"/>
    </row>
    <row r="143" customHeight="1" spans="2:2">
      <c r="B143" s="106"/>
    </row>
    <row r="144" customHeight="1" spans="2:2">
      <c r="B144" s="106"/>
    </row>
    <row r="145" customHeight="1" spans="2:2">
      <c r="B145" s="106"/>
    </row>
    <row r="146" customHeight="1" spans="2:2">
      <c r="B146" s="106"/>
    </row>
    <row r="147" customHeight="1" spans="2:2">
      <c r="B147" s="106"/>
    </row>
    <row r="148" customHeight="1" spans="2:2">
      <c r="B148" s="106"/>
    </row>
    <row r="149" customHeight="1" spans="2:2">
      <c r="B149" s="106"/>
    </row>
    <row r="150" customHeight="1" spans="2:2">
      <c r="B150" s="106"/>
    </row>
    <row r="151" customHeight="1" spans="2:2">
      <c r="B151" s="106"/>
    </row>
    <row r="152" customHeight="1" spans="2:2">
      <c r="B152" s="106"/>
    </row>
    <row r="153" customHeight="1" spans="2:2">
      <c r="B153" s="106"/>
    </row>
    <row r="154" customHeight="1" spans="2:2">
      <c r="B154" s="106"/>
    </row>
    <row r="155" customHeight="1" spans="2:2">
      <c r="B155" s="106"/>
    </row>
    <row r="156" customHeight="1" spans="2:2">
      <c r="B156" s="106"/>
    </row>
    <row r="157" customHeight="1" spans="2:2">
      <c r="B157" s="106"/>
    </row>
    <row r="158" customHeight="1" spans="2:2">
      <c r="B158" s="106"/>
    </row>
    <row r="159" customHeight="1" spans="2:2">
      <c r="B159" s="106"/>
    </row>
    <row r="160" customHeight="1" spans="2:2">
      <c r="B160" s="106"/>
    </row>
    <row r="161" customHeight="1" spans="2:2">
      <c r="B161" s="106"/>
    </row>
    <row r="162" customHeight="1" spans="2:2">
      <c r="B162" s="106"/>
    </row>
    <row r="163" customHeight="1" spans="2:2">
      <c r="B163" s="106"/>
    </row>
    <row r="164" customHeight="1" spans="2:2">
      <c r="B164" s="106"/>
    </row>
    <row r="165" customHeight="1" spans="2:2">
      <c r="B165" s="106"/>
    </row>
    <row r="166" customHeight="1" spans="2:2">
      <c r="B166" s="106"/>
    </row>
    <row r="167" customHeight="1" spans="2:2">
      <c r="B167" s="106"/>
    </row>
    <row r="168" customHeight="1" spans="2:2">
      <c r="B168" s="106"/>
    </row>
    <row r="169" customHeight="1" spans="2:2">
      <c r="B169" s="106"/>
    </row>
    <row r="170" customHeight="1" spans="2:2">
      <c r="B170" s="106"/>
    </row>
    <row r="171" customHeight="1" spans="2:2">
      <c r="B171" s="106"/>
    </row>
    <row r="172" customHeight="1" spans="2:2">
      <c r="B172" s="106"/>
    </row>
    <row r="173" customHeight="1" spans="2:2">
      <c r="B173" s="106"/>
    </row>
    <row r="174" customHeight="1" spans="2:2">
      <c r="B174" s="106"/>
    </row>
    <row r="175" customHeight="1" spans="2:2">
      <c r="B175" s="106"/>
    </row>
    <row r="176" customHeight="1" spans="2:2">
      <c r="B176" s="106"/>
    </row>
    <row r="177" customHeight="1" spans="2:2">
      <c r="B177" s="106"/>
    </row>
    <row r="178" customHeight="1" spans="2:2">
      <c r="B178" s="106"/>
    </row>
    <row r="179" customHeight="1" spans="2:2">
      <c r="B179" s="106"/>
    </row>
    <row r="180" customHeight="1" spans="2:2">
      <c r="B180" s="106"/>
    </row>
    <row r="181" customHeight="1" spans="2:2">
      <c r="B181" s="106"/>
    </row>
    <row r="182" customHeight="1" spans="2:2">
      <c r="B182" s="106"/>
    </row>
    <row r="183" customHeight="1" spans="2:2">
      <c r="B183" s="106"/>
    </row>
    <row r="184" customHeight="1" spans="2:2">
      <c r="B184" s="106"/>
    </row>
    <row r="185" customHeight="1" spans="2:2">
      <c r="B185" s="106"/>
    </row>
    <row r="186" customHeight="1" spans="2:2">
      <c r="B186" s="106"/>
    </row>
    <row r="187" customHeight="1" spans="2:2">
      <c r="B187" s="106"/>
    </row>
    <row r="188" customHeight="1" spans="2:2">
      <c r="B188" s="106"/>
    </row>
    <row r="189" customHeight="1" spans="2:2">
      <c r="B189" s="106"/>
    </row>
    <row r="190" customHeight="1" spans="2:2">
      <c r="B190" s="106"/>
    </row>
    <row r="191" customHeight="1" spans="2:2">
      <c r="B191" s="106"/>
    </row>
    <row r="192" customHeight="1" spans="2:2">
      <c r="B192" s="106"/>
    </row>
    <row r="193" customHeight="1" spans="2:2">
      <c r="B193" s="106"/>
    </row>
    <row r="194" customHeight="1" spans="2:2">
      <c r="B194" s="106"/>
    </row>
    <row r="195" customHeight="1" spans="2:2">
      <c r="B195" s="106"/>
    </row>
    <row r="196" customHeight="1" spans="2:2">
      <c r="B196" s="106"/>
    </row>
    <row r="197" customHeight="1" spans="2:2">
      <c r="B197" s="106"/>
    </row>
    <row r="198" customHeight="1" spans="2:2">
      <c r="B198" s="106"/>
    </row>
    <row r="199" customHeight="1" spans="2:2">
      <c r="B199" s="106"/>
    </row>
    <row r="200" customHeight="1" spans="2:2">
      <c r="B200" s="106"/>
    </row>
    <row r="201" customHeight="1" spans="2:2">
      <c r="B201" s="106"/>
    </row>
    <row r="202" customHeight="1" spans="2:2">
      <c r="B202" s="106"/>
    </row>
    <row r="203" customHeight="1" spans="2:2">
      <c r="B203" s="106"/>
    </row>
    <row r="204" customHeight="1" spans="2:2">
      <c r="B204" s="106"/>
    </row>
    <row r="205" customHeight="1" spans="2:2">
      <c r="B205" s="106"/>
    </row>
    <row r="206" customHeight="1" spans="2:2">
      <c r="B206" s="106"/>
    </row>
    <row r="207" customHeight="1" spans="2:2">
      <c r="B207" s="106"/>
    </row>
    <row r="208" customHeight="1" spans="2:2">
      <c r="B208" s="106"/>
    </row>
    <row r="209" customHeight="1" spans="2:2">
      <c r="B209" s="106"/>
    </row>
    <row r="210" customHeight="1" spans="2:2">
      <c r="B210" s="106"/>
    </row>
    <row r="211" customHeight="1" spans="2:2">
      <c r="B211" s="106"/>
    </row>
    <row r="212" customHeight="1" spans="2:2">
      <c r="B212" s="106"/>
    </row>
    <row r="213" customHeight="1" spans="2:2">
      <c r="B213" s="106"/>
    </row>
    <row r="214" customHeight="1" spans="2:2">
      <c r="B214" s="106"/>
    </row>
    <row r="215" customHeight="1" spans="2:2">
      <c r="B215" s="106"/>
    </row>
    <row r="216" customHeight="1" spans="2:2">
      <c r="B216" s="106"/>
    </row>
    <row r="217" customHeight="1" spans="2:2">
      <c r="B217" s="106"/>
    </row>
    <row r="218" customHeight="1" spans="2:2">
      <c r="B218" s="106"/>
    </row>
    <row r="219" customHeight="1" spans="2:2">
      <c r="B219" s="106"/>
    </row>
    <row r="220" customHeight="1" spans="2:2">
      <c r="B220" s="106"/>
    </row>
    <row r="221" customHeight="1" spans="2:2">
      <c r="B221" s="106"/>
    </row>
    <row r="222" customHeight="1" spans="2:2">
      <c r="B222" s="106"/>
    </row>
    <row r="223" customHeight="1" spans="2:2">
      <c r="B223" s="106"/>
    </row>
    <row r="224" customHeight="1" spans="2:2">
      <c r="B224" s="106"/>
    </row>
    <row r="225" customHeight="1" spans="2:2">
      <c r="B225" s="106"/>
    </row>
    <row r="226" customHeight="1" spans="2:2">
      <c r="B226" s="106"/>
    </row>
    <row r="227" customHeight="1" spans="2:2">
      <c r="B227" s="106"/>
    </row>
    <row r="228" customHeight="1" spans="2:2">
      <c r="B228" s="106"/>
    </row>
    <row r="229" customHeight="1" spans="2:2">
      <c r="B229" s="106"/>
    </row>
    <row r="230" customHeight="1" spans="2:2">
      <c r="B230" s="106"/>
    </row>
    <row r="231" customHeight="1" spans="2:2">
      <c r="B231" s="106"/>
    </row>
    <row r="232" customHeight="1" spans="2:2">
      <c r="B232" s="106"/>
    </row>
    <row r="233" customHeight="1" spans="2:2">
      <c r="B233" s="106"/>
    </row>
    <row r="234" customHeight="1" spans="2:2">
      <c r="B234" s="106"/>
    </row>
    <row r="235" customHeight="1" spans="2:2">
      <c r="B235" s="106"/>
    </row>
    <row r="236" customHeight="1" spans="2:2">
      <c r="B236" s="106"/>
    </row>
    <row r="237" customHeight="1" spans="2:2">
      <c r="B237" s="106"/>
    </row>
    <row r="238" customHeight="1" spans="2:2">
      <c r="B238" s="106"/>
    </row>
    <row r="239" customHeight="1" spans="2:2">
      <c r="B239" s="106"/>
    </row>
    <row r="240" customHeight="1" spans="2:2">
      <c r="B240" s="106"/>
    </row>
    <row r="241" customHeight="1" spans="2:2">
      <c r="B241" s="106"/>
    </row>
    <row r="242" customHeight="1" spans="2:2">
      <c r="B242" s="106"/>
    </row>
    <row r="243" customHeight="1" spans="2:2">
      <c r="B243" s="106"/>
    </row>
    <row r="244" customHeight="1" spans="2:2">
      <c r="B244" s="106"/>
    </row>
    <row r="245" customHeight="1" spans="2:2">
      <c r="B245" s="106"/>
    </row>
    <row r="246" customHeight="1" spans="2:2">
      <c r="B246" s="106"/>
    </row>
    <row r="247" customHeight="1" spans="2:2">
      <c r="B247" s="106"/>
    </row>
    <row r="248" customHeight="1" spans="2:2">
      <c r="B248" s="106"/>
    </row>
    <row r="249" customHeight="1" spans="2:2">
      <c r="B249" s="106"/>
    </row>
    <row r="250" customHeight="1" spans="2:2">
      <c r="B250" s="106"/>
    </row>
    <row r="251" customHeight="1" spans="2:2">
      <c r="B251" s="106"/>
    </row>
    <row r="252" customHeight="1" spans="2:2">
      <c r="B252" s="106"/>
    </row>
    <row r="253" customHeight="1" spans="2:2">
      <c r="B253" s="106"/>
    </row>
    <row r="254" customHeight="1" spans="2:2">
      <c r="B254" s="106"/>
    </row>
    <row r="255" customHeight="1" spans="2:2">
      <c r="B255" s="106"/>
    </row>
    <row r="256" customHeight="1" spans="2:2">
      <c r="B256" s="106"/>
    </row>
    <row r="257" customHeight="1" spans="2:2">
      <c r="B257" s="106"/>
    </row>
    <row r="258" customHeight="1" spans="2:2">
      <c r="B258" s="106"/>
    </row>
    <row r="259" customHeight="1" spans="2:2">
      <c r="B259" s="106"/>
    </row>
    <row r="260" customHeight="1" spans="2:2">
      <c r="B260" s="106"/>
    </row>
    <row r="261" customHeight="1" spans="2:2">
      <c r="B261" s="106"/>
    </row>
    <row r="262" customHeight="1" spans="2:2">
      <c r="B262" s="106"/>
    </row>
    <row r="263" customHeight="1" spans="2:2">
      <c r="B263" s="106"/>
    </row>
    <row r="264" customHeight="1" spans="2:2">
      <c r="B264" s="106"/>
    </row>
    <row r="265" customHeight="1" spans="2:2">
      <c r="B265" s="106"/>
    </row>
    <row r="266" customHeight="1" spans="2:2">
      <c r="B266" s="106"/>
    </row>
    <row r="267" customHeight="1" spans="2:2">
      <c r="B267" s="106"/>
    </row>
    <row r="268" customHeight="1" spans="2:2">
      <c r="B268" s="106"/>
    </row>
    <row r="269" customHeight="1" spans="2:2">
      <c r="B269" s="106"/>
    </row>
    <row r="270" customHeight="1" spans="2:2">
      <c r="B270" s="106"/>
    </row>
    <row r="271" customHeight="1" spans="2:2">
      <c r="B271" s="106"/>
    </row>
    <row r="272" customHeight="1" spans="2:2">
      <c r="B272" s="106"/>
    </row>
    <row r="273" customHeight="1" spans="2:2">
      <c r="B273" s="106"/>
    </row>
    <row r="274" customHeight="1" spans="2:2">
      <c r="B274" s="106"/>
    </row>
    <row r="275" customHeight="1" spans="2:2">
      <c r="B275" s="106"/>
    </row>
    <row r="276" customHeight="1" spans="2:2">
      <c r="B276" s="106"/>
    </row>
    <row r="277" customHeight="1" spans="2:2">
      <c r="B277" s="106"/>
    </row>
    <row r="278" customHeight="1" spans="2:2">
      <c r="B278" s="106"/>
    </row>
    <row r="279" customHeight="1" spans="2:2">
      <c r="B279" s="106"/>
    </row>
    <row r="280" customHeight="1" spans="2:2">
      <c r="B280" s="106"/>
    </row>
    <row r="281" customHeight="1" spans="2:2">
      <c r="B281" s="106"/>
    </row>
    <row r="282" customHeight="1" spans="2:2">
      <c r="B282" s="106"/>
    </row>
    <row r="283" customHeight="1" spans="2:2">
      <c r="B283" s="106"/>
    </row>
    <row r="284" customHeight="1" spans="2:2">
      <c r="B284" s="106"/>
    </row>
    <row r="285" customHeight="1" spans="2:2">
      <c r="B285" s="106"/>
    </row>
    <row r="286" customHeight="1" spans="2:2">
      <c r="B286" s="106"/>
    </row>
    <row r="287" customHeight="1" spans="2:2">
      <c r="B287" s="106"/>
    </row>
    <row r="288" customHeight="1" spans="2:2">
      <c r="B288" s="106"/>
    </row>
    <row r="289" customHeight="1" spans="2:2">
      <c r="B289" s="106"/>
    </row>
    <row r="290" customHeight="1" spans="2:2">
      <c r="B290" s="106"/>
    </row>
    <row r="291" customHeight="1" spans="2:2">
      <c r="B291" s="106"/>
    </row>
    <row r="292" customHeight="1" spans="2:2">
      <c r="B292" s="106"/>
    </row>
    <row r="293" customHeight="1" spans="2:2">
      <c r="B293" s="106"/>
    </row>
    <row r="294" customHeight="1" spans="2:2">
      <c r="B294" s="106"/>
    </row>
    <row r="295" customHeight="1" spans="2:2">
      <c r="B295" s="106"/>
    </row>
    <row r="296" customHeight="1" spans="2:2">
      <c r="B296" s="106"/>
    </row>
    <row r="297" customHeight="1" spans="2:2">
      <c r="B297" s="106"/>
    </row>
    <row r="298" customHeight="1" spans="2:2">
      <c r="B298" s="106"/>
    </row>
    <row r="299" customHeight="1" spans="2:2">
      <c r="B299" s="106"/>
    </row>
    <row r="300" customHeight="1" spans="2:2">
      <c r="B300" s="106"/>
    </row>
    <row r="301" customHeight="1" spans="2:2">
      <c r="B301" s="106"/>
    </row>
    <row r="302" customHeight="1" spans="2:2">
      <c r="B302" s="106"/>
    </row>
    <row r="303" customHeight="1" spans="2:2">
      <c r="B303" s="106"/>
    </row>
    <row r="304" customHeight="1" spans="2:2">
      <c r="B304" s="106"/>
    </row>
    <row r="305" customHeight="1" spans="2:2">
      <c r="B305" s="106"/>
    </row>
    <row r="306" customHeight="1" spans="2:2">
      <c r="B306" s="106"/>
    </row>
    <row r="307" customHeight="1" spans="2:2">
      <c r="B307" s="106"/>
    </row>
    <row r="308" customHeight="1" spans="2:2">
      <c r="B308" s="106"/>
    </row>
    <row r="309" customHeight="1" spans="2:2">
      <c r="B309" s="106"/>
    </row>
    <row r="310" customHeight="1" spans="2:2">
      <c r="B310" s="106"/>
    </row>
    <row r="311" customHeight="1" spans="2:2">
      <c r="B311" s="106"/>
    </row>
    <row r="312" customHeight="1" spans="2:2">
      <c r="B312" s="106"/>
    </row>
    <row r="313" customHeight="1" spans="2:2">
      <c r="B313" s="106"/>
    </row>
    <row r="314" customHeight="1" spans="2:2">
      <c r="B314" s="106"/>
    </row>
    <row r="315" customHeight="1" spans="2:2">
      <c r="B315" s="106"/>
    </row>
    <row r="316" customHeight="1" spans="2:2">
      <c r="B316" s="106"/>
    </row>
    <row r="317" customHeight="1" spans="2:2">
      <c r="B317" s="106"/>
    </row>
    <row r="318" customHeight="1" spans="2:2">
      <c r="B318" s="106"/>
    </row>
    <row r="319" customHeight="1" spans="2:2">
      <c r="B319" s="106"/>
    </row>
    <row r="320" customHeight="1" spans="2:2">
      <c r="B320" s="106"/>
    </row>
    <row r="321" customHeight="1" spans="2:2">
      <c r="B321" s="106"/>
    </row>
    <row r="322" customHeight="1" spans="2:2">
      <c r="B322" s="106"/>
    </row>
    <row r="323" customHeight="1" spans="2:2">
      <c r="B323" s="106"/>
    </row>
    <row r="324" customHeight="1" spans="2:2">
      <c r="B324" s="106"/>
    </row>
    <row r="325" customHeight="1" spans="2:2">
      <c r="B325" s="106"/>
    </row>
    <row r="326" customHeight="1" spans="2:2">
      <c r="B326" s="106"/>
    </row>
    <row r="327" customHeight="1" spans="2:2">
      <c r="B327" s="106"/>
    </row>
    <row r="328" customHeight="1" spans="2:2">
      <c r="B328" s="106"/>
    </row>
    <row r="329" customHeight="1" spans="2:2">
      <c r="B329" s="106"/>
    </row>
    <row r="330" customHeight="1" spans="2:2">
      <c r="B330" s="106"/>
    </row>
    <row r="331" customHeight="1" spans="2:2">
      <c r="B331" s="106"/>
    </row>
    <row r="332" customHeight="1" spans="2:2">
      <c r="B332" s="106"/>
    </row>
    <row r="333" customHeight="1" spans="2:2">
      <c r="B333" s="106"/>
    </row>
    <row r="334" customHeight="1" spans="2:2">
      <c r="B334" s="106"/>
    </row>
    <row r="335" customHeight="1" spans="2:2">
      <c r="B335" s="106"/>
    </row>
    <row r="336" customHeight="1" spans="2:2">
      <c r="B336" s="106"/>
    </row>
    <row r="337" customHeight="1" spans="2:2">
      <c r="B337" s="106"/>
    </row>
    <row r="338" customHeight="1" spans="2:2">
      <c r="B338" s="106"/>
    </row>
    <row r="339" customHeight="1" spans="2:2">
      <c r="B339" s="106"/>
    </row>
    <row r="340" customHeight="1" spans="2:2">
      <c r="B340" s="106"/>
    </row>
    <row r="341" customHeight="1" spans="2:2">
      <c r="B341" s="106"/>
    </row>
    <row r="342" customHeight="1" spans="2:2">
      <c r="B342" s="106"/>
    </row>
    <row r="343" customHeight="1" spans="2:2">
      <c r="B343" s="106"/>
    </row>
    <row r="344" customHeight="1" spans="2:2">
      <c r="B344" s="106"/>
    </row>
    <row r="345" customHeight="1" spans="2:2">
      <c r="B345" s="106"/>
    </row>
    <row r="346" customHeight="1" spans="2:2">
      <c r="B346" s="106"/>
    </row>
    <row r="347" customHeight="1" spans="2:2">
      <c r="B347" s="106"/>
    </row>
    <row r="348" customHeight="1" spans="2:2">
      <c r="B348" s="106"/>
    </row>
    <row r="349" customHeight="1" spans="2:2">
      <c r="B349" s="106"/>
    </row>
    <row r="350" customHeight="1" spans="2:2">
      <c r="B350" s="106"/>
    </row>
    <row r="351" customHeight="1" spans="2:2">
      <c r="B351" s="106"/>
    </row>
    <row r="352" customHeight="1" spans="2:2">
      <c r="B352" s="106"/>
    </row>
    <row r="353" customHeight="1" spans="2:2">
      <c r="B353" s="106"/>
    </row>
    <row r="354" customHeight="1" spans="2:2">
      <c r="B354" s="106"/>
    </row>
    <row r="355" customHeight="1" spans="2:2">
      <c r="B355" s="106"/>
    </row>
    <row r="356" customHeight="1" spans="2:2">
      <c r="B356" s="106"/>
    </row>
    <row r="357" customHeight="1" spans="2:2">
      <c r="B357" s="106"/>
    </row>
    <row r="358" customHeight="1" spans="2:2">
      <c r="B358" s="106"/>
    </row>
    <row r="359" customHeight="1" spans="2:2">
      <c r="B359" s="106"/>
    </row>
    <row r="360" customHeight="1" spans="2:2">
      <c r="B360" s="106"/>
    </row>
    <row r="361" customHeight="1" spans="2:2">
      <c r="B361" s="106"/>
    </row>
    <row r="362" customHeight="1" spans="2:2">
      <c r="B362" s="106"/>
    </row>
    <row r="363" customHeight="1" spans="2:2">
      <c r="B363" s="106"/>
    </row>
    <row r="364" customHeight="1" spans="2:2">
      <c r="B364" s="106"/>
    </row>
    <row r="365" customHeight="1" spans="2:2">
      <c r="B365" s="106"/>
    </row>
    <row r="366" customHeight="1" spans="2:2">
      <c r="B366" s="106"/>
    </row>
    <row r="367" customHeight="1" spans="2:2">
      <c r="B367" s="106"/>
    </row>
    <row r="368" customHeight="1" spans="2:2">
      <c r="B368" s="106"/>
    </row>
    <row r="369" customHeight="1" spans="2:2">
      <c r="B369" s="106"/>
    </row>
    <row r="370" customHeight="1" spans="2:2">
      <c r="B370" s="106"/>
    </row>
    <row r="371" customHeight="1" spans="2:2">
      <c r="B371" s="106"/>
    </row>
    <row r="372" customHeight="1" spans="2:2">
      <c r="B372" s="106"/>
    </row>
    <row r="373" customHeight="1" spans="2:2">
      <c r="B373" s="106"/>
    </row>
    <row r="374" customHeight="1" spans="2:2">
      <c r="B374" s="106"/>
    </row>
    <row r="375" customHeight="1" spans="2:2">
      <c r="B375" s="106"/>
    </row>
    <row r="376" customHeight="1" spans="2:2">
      <c r="B376" s="106"/>
    </row>
    <row r="377" customHeight="1" spans="2:2">
      <c r="B377" s="106"/>
    </row>
    <row r="378" customHeight="1" spans="2:2">
      <c r="B378" s="106"/>
    </row>
    <row r="379" customHeight="1" spans="2:2">
      <c r="B379" s="106"/>
    </row>
    <row r="380" customHeight="1" spans="2:2">
      <c r="B380" s="106"/>
    </row>
    <row r="381" customHeight="1" spans="2:2">
      <c r="B381" s="106"/>
    </row>
    <row r="382" customHeight="1" spans="2:2">
      <c r="B382" s="106"/>
    </row>
    <row r="383" customHeight="1" spans="2:2">
      <c r="B383" s="106"/>
    </row>
    <row r="384" customHeight="1" spans="2:2">
      <c r="B384" s="106"/>
    </row>
    <row r="385" customHeight="1" spans="2:2">
      <c r="B385" s="106"/>
    </row>
    <row r="386" customHeight="1" spans="2:2">
      <c r="B386" s="106"/>
    </row>
    <row r="387" customHeight="1" spans="2:2">
      <c r="B387" s="106"/>
    </row>
    <row r="388" customHeight="1" spans="2:2">
      <c r="B388" s="106"/>
    </row>
    <row r="389" customHeight="1" spans="2:2">
      <c r="B389" s="106"/>
    </row>
    <row r="390" customHeight="1" spans="2:2">
      <c r="B390" s="106"/>
    </row>
    <row r="391" customHeight="1" spans="2:2">
      <c r="B391" s="106"/>
    </row>
    <row r="392" customHeight="1" spans="2:2">
      <c r="B392" s="106"/>
    </row>
    <row r="393" customHeight="1" spans="2:2">
      <c r="B393" s="106"/>
    </row>
    <row r="394" customHeight="1" spans="2:2">
      <c r="B394" s="106"/>
    </row>
    <row r="395" customHeight="1" spans="2:2">
      <c r="B395" s="106"/>
    </row>
    <row r="396" customHeight="1" spans="2:2">
      <c r="B396" s="106"/>
    </row>
    <row r="397" customHeight="1" spans="2:2">
      <c r="B397" s="106"/>
    </row>
    <row r="398" customHeight="1" spans="2:2">
      <c r="B398" s="106"/>
    </row>
    <row r="399" customHeight="1" spans="2:2">
      <c r="B399" s="106"/>
    </row>
    <row r="400" customHeight="1" spans="2:2">
      <c r="B400" s="106"/>
    </row>
    <row r="401" customHeight="1" spans="2:2">
      <c r="B401" s="106"/>
    </row>
    <row r="402" customHeight="1" spans="2:2">
      <c r="B402" s="106"/>
    </row>
    <row r="403" customHeight="1" spans="2:2">
      <c r="B403" s="106"/>
    </row>
    <row r="404" customHeight="1" spans="2:2">
      <c r="B404" s="106"/>
    </row>
    <row r="405" customHeight="1" spans="2:2">
      <c r="B405" s="106"/>
    </row>
    <row r="406" customHeight="1" spans="2:2">
      <c r="B406" s="106"/>
    </row>
    <row r="407" customHeight="1" spans="2:2">
      <c r="B407" s="106"/>
    </row>
    <row r="408" customHeight="1" spans="2:2">
      <c r="B408" s="106"/>
    </row>
    <row r="409" customHeight="1" spans="2:2">
      <c r="B409" s="106"/>
    </row>
    <row r="410" customHeight="1" spans="2:2">
      <c r="B410" s="106"/>
    </row>
    <row r="411" customHeight="1" spans="2:2">
      <c r="B411" s="106"/>
    </row>
    <row r="412" customHeight="1" spans="2:2">
      <c r="B412" s="106"/>
    </row>
    <row r="413" customHeight="1" spans="2:2">
      <c r="B413" s="106"/>
    </row>
    <row r="414" customHeight="1" spans="2:2">
      <c r="B414" s="106"/>
    </row>
    <row r="415" customHeight="1" spans="2:2">
      <c r="B415" s="106"/>
    </row>
    <row r="416" customHeight="1" spans="2:2">
      <c r="B416" s="106"/>
    </row>
    <row r="417" customHeight="1" spans="2:2">
      <c r="B417" s="106"/>
    </row>
    <row r="418" customHeight="1" spans="2:2">
      <c r="B418" s="106"/>
    </row>
    <row r="419" customHeight="1" spans="2:2">
      <c r="B419" s="106"/>
    </row>
    <row r="420" customHeight="1" spans="2:2">
      <c r="B420" s="106"/>
    </row>
    <row r="421" customHeight="1" spans="2:2">
      <c r="B421" s="106"/>
    </row>
    <row r="422" customHeight="1" spans="2:2">
      <c r="B422" s="106"/>
    </row>
    <row r="423" customHeight="1" spans="2:2">
      <c r="B423" s="106"/>
    </row>
    <row r="424" customHeight="1" spans="2:2">
      <c r="B424" s="106"/>
    </row>
    <row r="425" customHeight="1" spans="2:2">
      <c r="B425" s="106"/>
    </row>
    <row r="426" customHeight="1" spans="2:2">
      <c r="B426" s="106"/>
    </row>
    <row r="427" customHeight="1" spans="2:2">
      <c r="B427" s="106"/>
    </row>
    <row r="428" customHeight="1" spans="2:2">
      <c r="B428" s="106"/>
    </row>
    <row r="429" customHeight="1" spans="2:2">
      <c r="B429" s="106"/>
    </row>
    <row r="430" customHeight="1" spans="2:2">
      <c r="B430" s="106"/>
    </row>
    <row r="431" customHeight="1" spans="2:2">
      <c r="B431" s="106"/>
    </row>
    <row r="432" customHeight="1" spans="2:2">
      <c r="B432" s="106"/>
    </row>
    <row r="433" customHeight="1" spans="2:2">
      <c r="B433" s="106"/>
    </row>
    <row r="434" customHeight="1" spans="2:2">
      <c r="B434" s="106"/>
    </row>
    <row r="435" customHeight="1" spans="2:2">
      <c r="B435" s="106"/>
    </row>
    <row r="436" customHeight="1" spans="2:2">
      <c r="B436" s="106"/>
    </row>
    <row r="437" customHeight="1" spans="2:2">
      <c r="B437" s="106"/>
    </row>
    <row r="438" customHeight="1" spans="2:2">
      <c r="B438" s="106"/>
    </row>
    <row r="439" customHeight="1" spans="2:2">
      <c r="B439" s="106"/>
    </row>
    <row r="440" customHeight="1" spans="2:2">
      <c r="B440" s="106"/>
    </row>
    <row r="441" customHeight="1" spans="2:2">
      <c r="B441" s="106"/>
    </row>
    <row r="442" customHeight="1" spans="2:2">
      <c r="B442" s="106"/>
    </row>
    <row r="443" customHeight="1" spans="2:2">
      <c r="B443" s="106"/>
    </row>
    <row r="444" customHeight="1" spans="2:2">
      <c r="B444" s="106"/>
    </row>
    <row r="445" customHeight="1" spans="2:2">
      <c r="B445" s="106"/>
    </row>
    <row r="446" customHeight="1" spans="2:2">
      <c r="B446" s="106"/>
    </row>
    <row r="447" customHeight="1" spans="2:2">
      <c r="B447" s="106"/>
    </row>
    <row r="448" customHeight="1" spans="2:2">
      <c r="B448" s="106"/>
    </row>
    <row r="449" customHeight="1" spans="2:2">
      <c r="B449" s="106"/>
    </row>
    <row r="450" customHeight="1" spans="2:2">
      <c r="B450" s="106"/>
    </row>
    <row r="451" customHeight="1" spans="2:2">
      <c r="B451" s="106"/>
    </row>
    <row r="452" customHeight="1" spans="2:2">
      <c r="B452" s="106"/>
    </row>
    <row r="453" customHeight="1" spans="2:2">
      <c r="B453" s="106"/>
    </row>
    <row r="454" customHeight="1" spans="2:2">
      <c r="B454" s="106"/>
    </row>
    <row r="455" customHeight="1" spans="2:2">
      <c r="B455" s="106"/>
    </row>
    <row r="456" customHeight="1" spans="2:2">
      <c r="B456" s="106"/>
    </row>
    <row r="457" customHeight="1" spans="2:2">
      <c r="B457" s="106"/>
    </row>
    <row r="458" customHeight="1" spans="2:2">
      <c r="B458" s="106"/>
    </row>
    <row r="459" customHeight="1" spans="2:2">
      <c r="B459" s="106"/>
    </row>
    <row r="460" customHeight="1" spans="2:2">
      <c r="B460" s="106"/>
    </row>
    <row r="461" customHeight="1" spans="2:2">
      <c r="B461" s="106"/>
    </row>
    <row r="462" customHeight="1" spans="2:2">
      <c r="B462" s="106"/>
    </row>
    <row r="463" customHeight="1" spans="2:2">
      <c r="B463" s="106"/>
    </row>
    <row r="464" customHeight="1" spans="2:2">
      <c r="B464" s="106"/>
    </row>
    <row r="465" customHeight="1" spans="2:2">
      <c r="B465" s="106"/>
    </row>
    <row r="466" customHeight="1" spans="2:2">
      <c r="B466" s="106"/>
    </row>
    <row r="467" customHeight="1" spans="2:2">
      <c r="B467" s="106"/>
    </row>
    <row r="468" customHeight="1" spans="2:2">
      <c r="B468" s="106"/>
    </row>
    <row r="469" customHeight="1" spans="2:2">
      <c r="B469" s="106"/>
    </row>
    <row r="470" customHeight="1" spans="2:2">
      <c r="B470" s="106"/>
    </row>
    <row r="471" customHeight="1" spans="2:2">
      <c r="B471" s="106"/>
    </row>
    <row r="472" customHeight="1" spans="2:2">
      <c r="B472" s="106"/>
    </row>
    <row r="473" customHeight="1" spans="2:2">
      <c r="B473" s="106"/>
    </row>
    <row r="474" customHeight="1" spans="2:2">
      <c r="B474" s="106"/>
    </row>
    <row r="475" customHeight="1" spans="2:2">
      <c r="B475" s="106"/>
    </row>
    <row r="476" customHeight="1" spans="2:2">
      <c r="B476" s="106"/>
    </row>
    <row r="477" customHeight="1" spans="2:2">
      <c r="B477" s="106"/>
    </row>
    <row r="478" customHeight="1" spans="2:2">
      <c r="B478" s="106"/>
    </row>
    <row r="479" customHeight="1" spans="2:2">
      <c r="B479" s="106"/>
    </row>
    <row r="480" customHeight="1" spans="2:2">
      <c r="B480" s="106"/>
    </row>
    <row r="481" customHeight="1" spans="2:2">
      <c r="B481" s="106"/>
    </row>
    <row r="482" customHeight="1" spans="2:2">
      <c r="B482" s="106"/>
    </row>
    <row r="483" customHeight="1" spans="2:2">
      <c r="B483" s="106"/>
    </row>
    <row r="484" customHeight="1" spans="2:2">
      <c r="B484" s="106"/>
    </row>
    <row r="485" customHeight="1" spans="2:2">
      <c r="B485" s="106"/>
    </row>
    <row r="486" customHeight="1" spans="2:2">
      <c r="B486" s="106"/>
    </row>
    <row r="487" customHeight="1" spans="2:2">
      <c r="B487" s="106"/>
    </row>
    <row r="488" customHeight="1" spans="2:2">
      <c r="B488" s="106"/>
    </row>
    <row r="489" customHeight="1" spans="2:2">
      <c r="B489" s="106"/>
    </row>
    <row r="490" customHeight="1" spans="2:2">
      <c r="B490" s="106"/>
    </row>
    <row r="491" customHeight="1" spans="2:2">
      <c r="B491" s="106"/>
    </row>
    <row r="492" customHeight="1" spans="2:2">
      <c r="B492" s="106"/>
    </row>
    <row r="493" customHeight="1" spans="2:2">
      <c r="B493" s="106"/>
    </row>
    <row r="494" customHeight="1" spans="2:2">
      <c r="B494" s="106"/>
    </row>
    <row r="495" customHeight="1" spans="2:2">
      <c r="B495" s="106"/>
    </row>
    <row r="496" customHeight="1" spans="2:2">
      <c r="B496" s="106"/>
    </row>
    <row r="497" customHeight="1" spans="2:2">
      <c r="B497" s="106"/>
    </row>
    <row r="498" customHeight="1" spans="2:2">
      <c r="B498" s="106"/>
    </row>
    <row r="499" customHeight="1" spans="2:2">
      <c r="B499" s="106"/>
    </row>
    <row r="500" customHeight="1" spans="2:2">
      <c r="B500" s="106"/>
    </row>
    <row r="501" customHeight="1" spans="2:2">
      <c r="B501" s="106"/>
    </row>
    <row r="502" customHeight="1" spans="2:2">
      <c r="B502" s="106"/>
    </row>
    <row r="503" customHeight="1" spans="2:2">
      <c r="B503" s="106"/>
    </row>
    <row r="504" customHeight="1" spans="2:2">
      <c r="B504" s="106"/>
    </row>
    <row r="505" customHeight="1" spans="2:2">
      <c r="B505" s="106"/>
    </row>
    <row r="506" customHeight="1" spans="2:2">
      <c r="B506" s="106"/>
    </row>
    <row r="507" customHeight="1" spans="2:2">
      <c r="B507" s="106"/>
    </row>
    <row r="508" customHeight="1" spans="2:2">
      <c r="B508" s="106"/>
    </row>
    <row r="509" customHeight="1" spans="2:2">
      <c r="B509" s="106"/>
    </row>
    <row r="510" customHeight="1" spans="2:2">
      <c r="B510" s="106"/>
    </row>
    <row r="511" customHeight="1" spans="2:2">
      <c r="B511" s="106"/>
    </row>
    <row r="512" customHeight="1" spans="2:2">
      <c r="B512" s="106"/>
    </row>
    <row r="513" customHeight="1" spans="2:2">
      <c r="B513" s="106"/>
    </row>
    <row r="514" customHeight="1" spans="2:2">
      <c r="B514" s="106"/>
    </row>
    <row r="515" customHeight="1" spans="2:2">
      <c r="B515" s="106"/>
    </row>
    <row r="516" customHeight="1" spans="2:2">
      <c r="B516" s="106"/>
    </row>
    <row r="517" customHeight="1" spans="2:2">
      <c r="B517" s="106"/>
    </row>
    <row r="518" customHeight="1" spans="2:2">
      <c r="B518" s="106"/>
    </row>
    <row r="519" customHeight="1" spans="2:2">
      <c r="B519" s="106"/>
    </row>
    <row r="520" customHeight="1" spans="2:2">
      <c r="B520" s="106"/>
    </row>
    <row r="521" customHeight="1" spans="2:2">
      <c r="B521" s="106"/>
    </row>
    <row r="522" customHeight="1" spans="2:2">
      <c r="B522" s="106"/>
    </row>
    <row r="523" customHeight="1" spans="2:2">
      <c r="B523" s="106"/>
    </row>
    <row r="524" customHeight="1" spans="2:2">
      <c r="B524" s="106"/>
    </row>
    <row r="525" customHeight="1" spans="2:2">
      <c r="B525" s="106"/>
    </row>
    <row r="526" customHeight="1" spans="2:2">
      <c r="B526" s="106"/>
    </row>
    <row r="527" customHeight="1" spans="2:2">
      <c r="B527" s="106"/>
    </row>
    <row r="528" customHeight="1" spans="2:2">
      <c r="B528" s="106"/>
    </row>
    <row r="529" customHeight="1" spans="2:2">
      <c r="B529" s="106"/>
    </row>
    <row r="530" customHeight="1" spans="2:2">
      <c r="B530" s="106"/>
    </row>
    <row r="531" customHeight="1" spans="2:2">
      <c r="B531" s="106"/>
    </row>
    <row r="532" customHeight="1" spans="2:2">
      <c r="B532" s="106"/>
    </row>
    <row r="533" customHeight="1" spans="2:2">
      <c r="B533" s="106"/>
    </row>
    <row r="534" customHeight="1" spans="2:2">
      <c r="B534" s="106"/>
    </row>
    <row r="535" customHeight="1" spans="2:2">
      <c r="B535" s="106"/>
    </row>
    <row r="536" customHeight="1" spans="2:2">
      <c r="B536" s="106"/>
    </row>
    <row r="537" customHeight="1" spans="2:2">
      <c r="B537" s="106"/>
    </row>
    <row r="538" customHeight="1" spans="2:2">
      <c r="B538" s="106"/>
    </row>
    <row r="539" customHeight="1" spans="2:2">
      <c r="B539" s="106"/>
    </row>
    <row r="540" customHeight="1" spans="2:2">
      <c r="B540" s="106"/>
    </row>
    <row r="541" customHeight="1" spans="2:2">
      <c r="B541" s="106"/>
    </row>
    <row r="542" customHeight="1" spans="2:2">
      <c r="B542" s="106"/>
    </row>
    <row r="543" customHeight="1" spans="2:2">
      <c r="B543" s="106"/>
    </row>
    <row r="544" customHeight="1" spans="2:2">
      <c r="B544" s="106"/>
    </row>
    <row r="545" customHeight="1" spans="2:2">
      <c r="B545" s="106"/>
    </row>
    <row r="546" customHeight="1" spans="2:2">
      <c r="B546" s="106"/>
    </row>
    <row r="547" customHeight="1" spans="2:2">
      <c r="B547" s="106"/>
    </row>
    <row r="548" customHeight="1" spans="2:2">
      <c r="B548" s="106"/>
    </row>
    <row r="549" customHeight="1" spans="2:2">
      <c r="B549" s="106"/>
    </row>
    <row r="550" customHeight="1" spans="2:2">
      <c r="B550" s="106"/>
    </row>
    <row r="551" customHeight="1" spans="2:2">
      <c r="B551" s="106"/>
    </row>
    <row r="552" customHeight="1" spans="2:2">
      <c r="B552" s="106"/>
    </row>
    <row r="553" customHeight="1" spans="2:2">
      <c r="B553" s="106"/>
    </row>
    <row r="554" customHeight="1" spans="2:2">
      <c r="B554" s="106"/>
    </row>
    <row r="555" customHeight="1" spans="2:2">
      <c r="B555" s="106"/>
    </row>
    <row r="556" customHeight="1" spans="2:2">
      <c r="B556" s="106"/>
    </row>
    <row r="557" customHeight="1" spans="2:2">
      <c r="B557" s="106"/>
    </row>
    <row r="558" customHeight="1" spans="2:2">
      <c r="B558" s="106"/>
    </row>
    <row r="559" customHeight="1" spans="2:2">
      <c r="B559" s="106"/>
    </row>
    <row r="560" customHeight="1" spans="2:2">
      <c r="B560" s="106"/>
    </row>
    <row r="561" customHeight="1" spans="2:2">
      <c r="B561" s="106"/>
    </row>
    <row r="562" customHeight="1" spans="2:2">
      <c r="B562" s="106"/>
    </row>
    <row r="563" customHeight="1" spans="2:2">
      <c r="B563" s="106"/>
    </row>
    <row r="564" customHeight="1" spans="2:2">
      <c r="B564" s="106"/>
    </row>
    <row r="565" customHeight="1" spans="2:2">
      <c r="B565" s="106"/>
    </row>
    <row r="566" customHeight="1" spans="2:2">
      <c r="B566" s="106"/>
    </row>
    <row r="567" customHeight="1" spans="2:2">
      <c r="B567" s="106"/>
    </row>
    <row r="568" customHeight="1" spans="2:2">
      <c r="B568" s="106"/>
    </row>
    <row r="569" customHeight="1" spans="2:2">
      <c r="B569" s="106"/>
    </row>
    <row r="570" customHeight="1" spans="2:2">
      <c r="B570" s="106"/>
    </row>
    <row r="571" customHeight="1" spans="2:2">
      <c r="B571" s="106"/>
    </row>
    <row r="572" customHeight="1" spans="2:2">
      <c r="B572" s="106"/>
    </row>
    <row r="573" customHeight="1" spans="2:2">
      <c r="B573" s="106"/>
    </row>
    <row r="574" customHeight="1" spans="2:2">
      <c r="B574" s="106"/>
    </row>
    <row r="575" customHeight="1" spans="2:2">
      <c r="B575" s="106"/>
    </row>
    <row r="576" customHeight="1" spans="2:2">
      <c r="B576" s="106"/>
    </row>
    <row r="577" customHeight="1" spans="2:2">
      <c r="B577" s="106"/>
    </row>
    <row r="578" customHeight="1" spans="2:2">
      <c r="B578" s="106"/>
    </row>
    <row r="579" customHeight="1" spans="2:2">
      <c r="B579" s="106"/>
    </row>
    <row r="580" customHeight="1" spans="2:2">
      <c r="B580" s="106"/>
    </row>
    <row r="581" customHeight="1" spans="2:2">
      <c r="B581" s="106"/>
    </row>
    <row r="582" customHeight="1" spans="2:2">
      <c r="B582" s="106"/>
    </row>
    <row r="583" customHeight="1" spans="2:2">
      <c r="B583" s="106"/>
    </row>
    <row r="584" customHeight="1" spans="2:2">
      <c r="B584" s="106"/>
    </row>
    <row r="585" customHeight="1" spans="2:2">
      <c r="B585" s="106"/>
    </row>
    <row r="586" customHeight="1" spans="2:2">
      <c r="B586" s="106"/>
    </row>
    <row r="587" customHeight="1" spans="2:2">
      <c r="B587" s="106"/>
    </row>
    <row r="588" customHeight="1" spans="2:2">
      <c r="B588" s="106"/>
    </row>
    <row r="589" customHeight="1" spans="2:2">
      <c r="B589" s="106"/>
    </row>
    <row r="590" customHeight="1" spans="2:2">
      <c r="B590" s="106"/>
    </row>
    <row r="591" customHeight="1" spans="2:2">
      <c r="B591" s="106"/>
    </row>
    <row r="592" customHeight="1" spans="2:2">
      <c r="B592" s="106"/>
    </row>
    <row r="593" customHeight="1" spans="2:2">
      <c r="B593" s="106"/>
    </row>
    <row r="594" customHeight="1" spans="2:2">
      <c r="B594" s="106"/>
    </row>
    <row r="595" customHeight="1" spans="2:2">
      <c r="B595" s="106"/>
    </row>
    <row r="596" customHeight="1" spans="2:2">
      <c r="B596" s="106"/>
    </row>
    <row r="597" customHeight="1" spans="2:2">
      <c r="B597" s="106"/>
    </row>
    <row r="598" customHeight="1" spans="2:2">
      <c r="B598" s="106"/>
    </row>
    <row r="599" customHeight="1" spans="2:2">
      <c r="B599" s="106"/>
    </row>
    <row r="600" customHeight="1" spans="2:2">
      <c r="B600" s="106"/>
    </row>
    <row r="601" customHeight="1" spans="2:2">
      <c r="B601" s="106"/>
    </row>
    <row r="602" customHeight="1" spans="2:2">
      <c r="B602" s="106"/>
    </row>
    <row r="603" customHeight="1" spans="2:2">
      <c r="B603" s="106"/>
    </row>
    <row r="604" customHeight="1" spans="2:2">
      <c r="B604" s="106"/>
    </row>
    <row r="605" customHeight="1" spans="2:2">
      <c r="B605" s="106"/>
    </row>
    <row r="606" customHeight="1" spans="2:2">
      <c r="B606" s="106"/>
    </row>
    <row r="607" customHeight="1" spans="2:2">
      <c r="B607" s="106"/>
    </row>
    <row r="608" customHeight="1" spans="2:2">
      <c r="B608" s="106"/>
    </row>
    <row r="609" customHeight="1" spans="2:2">
      <c r="B609" s="106"/>
    </row>
    <row r="610" customHeight="1" spans="2:2">
      <c r="B610" s="106"/>
    </row>
    <row r="611" customHeight="1" spans="2:2">
      <c r="B611" s="106"/>
    </row>
    <row r="612" customHeight="1" spans="2:2">
      <c r="B612" s="106"/>
    </row>
    <row r="613" customHeight="1" spans="2:2">
      <c r="B613" s="106"/>
    </row>
    <row r="614" customHeight="1" spans="2:2">
      <c r="B614" s="106"/>
    </row>
    <row r="615" customHeight="1" spans="2:2">
      <c r="B615" s="106"/>
    </row>
    <row r="616" customHeight="1" spans="2:2">
      <c r="B616" s="106"/>
    </row>
    <row r="617" customHeight="1" spans="2:2">
      <c r="B617" s="106"/>
    </row>
    <row r="618" customHeight="1" spans="2:2">
      <c r="B618" s="106"/>
    </row>
    <row r="619" customHeight="1" spans="2:2">
      <c r="B619" s="106"/>
    </row>
    <row r="620" customHeight="1" spans="2:2">
      <c r="B620" s="106"/>
    </row>
    <row r="621" customHeight="1" spans="2:2">
      <c r="B621" s="106"/>
    </row>
    <row r="622" customHeight="1" spans="2:2">
      <c r="B622" s="106"/>
    </row>
    <row r="623" customHeight="1" spans="2:2">
      <c r="B623" s="106"/>
    </row>
    <row r="624" customHeight="1" spans="2:2">
      <c r="B624" s="106"/>
    </row>
    <row r="625" customHeight="1" spans="2:2">
      <c r="B625" s="106"/>
    </row>
    <row r="626" customHeight="1" spans="2:2">
      <c r="B626" s="106"/>
    </row>
    <row r="627" customHeight="1" spans="2:2">
      <c r="B627" s="106"/>
    </row>
    <row r="628" customHeight="1" spans="2:2">
      <c r="B628" s="106"/>
    </row>
    <row r="629" customHeight="1" spans="2:2">
      <c r="B629" s="106"/>
    </row>
    <row r="630" customHeight="1" spans="2:2">
      <c r="B630" s="106"/>
    </row>
    <row r="631" customHeight="1" spans="2:2">
      <c r="B631" s="106"/>
    </row>
    <row r="632" customHeight="1" spans="2:2">
      <c r="B632" s="106"/>
    </row>
    <row r="633" customHeight="1" spans="2:2">
      <c r="B633" s="106"/>
    </row>
    <row r="634" customHeight="1" spans="2:2">
      <c r="B634" s="106"/>
    </row>
    <row r="635" customHeight="1" spans="2:2">
      <c r="B635" s="106"/>
    </row>
    <row r="636" customHeight="1" spans="2:2">
      <c r="B636" s="106"/>
    </row>
    <row r="637" customHeight="1" spans="2:2">
      <c r="B637" s="106"/>
    </row>
    <row r="638" customHeight="1" spans="2:2">
      <c r="B638" s="106"/>
    </row>
    <row r="639" customHeight="1" spans="2:2">
      <c r="B639" s="106"/>
    </row>
    <row r="640" customHeight="1" spans="2:2">
      <c r="B640" s="106"/>
    </row>
    <row r="641" customHeight="1" spans="2:2">
      <c r="B641" s="106"/>
    </row>
    <row r="642" customHeight="1" spans="2:2">
      <c r="B642" s="106"/>
    </row>
    <row r="643" customHeight="1" spans="2:2">
      <c r="B643" s="106"/>
    </row>
    <row r="644" customHeight="1" spans="2:2">
      <c r="B644" s="106"/>
    </row>
    <row r="645" customHeight="1" spans="2:2">
      <c r="B645" s="106"/>
    </row>
    <row r="646" customHeight="1" spans="2:2">
      <c r="B646" s="106"/>
    </row>
    <row r="647" customHeight="1" spans="2:2">
      <c r="B647" s="106"/>
    </row>
    <row r="648" customHeight="1" spans="2:2">
      <c r="B648" s="106"/>
    </row>
    <row r="649" customHeight="1" spans="2:2">
      <c r="B649" s="106"/>
    </row>
    <row r="650" customHeight="1" spans="2:2">
      <c r="B650" s="106"/>
    </row>
    <row r="651" customHeight="1" spans="2:2">
      <c r="B651" s="106"/>
    </row>
    <row r="652" customHeight="1" spans="2:2">
      <c r="B652" s="106"/>
    </row>
    <row r="653" customHeight="1" spans="2:2">
      <c r="B653" s="106"/>
    </row>
    <row r="654" customHeight="1" spans="2:2">
      <c r="B654" s="106"/>
    </row>
    <row r="655" customHeight="1" spans="2:2">
      <c r="B655" s="106"/>
    </row>
    <row r="656" customHeight="1" spans="2:2">
      <c r="B656" s="106"/>
    </row>
    <row r="657" customHeight="1" spans="2:2">
      <c r="B657" s="106"/>
    </row>
    <row r="658" customHeight="1" spans="2:2">
      <c r="B658" s="106"/>
    </row>
    <row r="659" customHeight="1" spans="2:2">
      <c r="B659" s="106"/>
    </row>
    <row r="660" customHeight="1" spans="2:2">
      <c r="B660" s="106"/>
    </row>
    <row r="661" customHeight="1" spans="2:2">
      <c r="B661" s="106"/>
    </row>
    <row r="662" customHeight="1" spans="2:2">
      <c r="B662" s="106"/>
    </row>
    <row r="663" customHeight="1" spans="2:2">
      <c r="B663" s="106"/>
    </row>
    <row r="664" customHeight="1" spans="2:2">
      <c r="B664" s="106"/>
    </row>
    <row r="665" customHeight="1" spans="2:2">
      <c r="B665" s="106"/>
    </row>
    <row r="666" customHeight="1" spans="2:2">
      <c r="B666" s="106"/>
    </row>
    <row r="667" customHeight="1" spans="2:2">
      <c r="B667" s="106"/>
    </row>
    <row r="668" customHeight="1" spans="2:2">
      <c r="B668" s="106"/>
    </row>
    <row r="669" customHeight="1" spans="2:2">
      <c r="B669" s="106"/>
    </row>
    <row r="670" customHeight="1" spans="2:2">
      <c r="B670" s="106"/>
    </row>
    <row r="671" customHeight="1" spans="2:2">
      <c r="B671" s="106"/>
    </row>
    <row r="672" customHeight="1" spans="2:2">
      <c r="B672" s="106"/>
    </row>
    <row r="673" customHeight="1" spans="2:2">
      <c r="B673" s="106"/>
    </row>
    <row r="674" customHeight="1" spans="2:2">
      <c r="B674" s="106"/>
    </row>
    <row r="675" customHeight="1" spans="2:2">
      <c r="B675" s="106"/>
    </row>
    <row r="676" customHeight="1" spans="2:2">
      <c r="B676" s="106"/>
    </row>
    <row r="677" customHeight="1" spans="2:2">
      <c r="B677" s="106"/>
    </row>
    <row r="678" customHeight="1" spans="2:2">
      <c r="B678" s="106"/>
    </row>
    <row r="679" customHeight="1" spans="2:2">
      <c r="B679" s="106"/>
    </row>
    <row r="680" customHeight="1" spans="2:2">
      <c r="B680" s="106"/>
    </row>
    <row r="681" customHeight="1" spans="2:2">
      <c r="B681" s="106"/>
    </row>
    <row r="682" customHeight="1" spans="2:2">
      <c r="B682" s="106"/>
    </row>
    <row r="683" customHeight="1" spans="2:2">
      <c r="B683" s="106"/>
    </row>
    <row r="684" customHeight="1" spans="2:2">
      <c r="B684" s="106"/>
    </row>
    <row r="685" customHeight="1" spans="2:2">
      <c r="B685" s="106"/>
    </row>
    <row r="686" customHeight="1" spans="2:2">
      <c r="B686" s="106"/>
    </row>
    <row r="687" customHeight="1" spans="2:2">
      <c r="B687" s="106"/>
    </row>
    <row r="688" customHeight="1" spans="2:2">
      <c r="B688" s="106"/>
    </row>
    <row r="689" customHeight="1" spans="2:2">
      <c r="B689" s="106"/>
    </row>
    <row r="690" customHeight="1" spans="2:2">
      <c r="B690" s="106"/>
    </row>
    <row r="691" customHeight="1" spans="2:2">
      <c r="B691" s="106"/>
    </row>
    <row r="692" customHeight="1" spans="2:2">
      <c r="B692" s="106"/>
    </row>
    <row r="693" customHeight="1" spans="2:2">
      <c r="B693" s="106"/>
    </row>
    <row r="694" customHeight="1" spans="2:2">
      <c r="B694" s="106"/>
    </row>
    <row r="695" customHeight="1" spans="2:2">
      <c r="B695" s="106"/>
    </row>
    <row r="696" customHeight="1" spans="2:2">
      <c r="B696" s="106"/>
    </row>
    <row r="697" customHeight="1" spans="2:2">
      <c r="B697" s="106"/>
    </row>
    <row r="698" customHeight="1" spans="2:2">
      <c r="B698" s="106"/>
    </row>
    <row r="699" customHeight="1" spans="2:2">
      <c r="B699" s="106"/>
    </row>
    <row r="700" customHeight="1" spans="2:2">
      <c r="B700" s="106"/>
    </row>
    <row r="701" customHeight="1" spans="2:2">
      <c r="B701" s="106"/>
    </row>
    <row r="702" customHeight="1" spans="2:2">
      <c r="B702" s="106"/>
    </row>
    <row r="703" customHeight="1" spans="2:2">
      <c r="B703" s="106"/>
    </row>
    <row r="704" customHeight="1" spans="2:2">
      <c r="B704" s="106"/>
    </row>
    <row r="705" customHeight="1" spans="2:2">
      <c r="B705" s="106"/>
    </row>
    <row r="706" customHeight="1" spans="2:2">
      <c r="B706" s="106"/>
    </row>
    <row r="707" customHeight="1" spans="2:2">
      <c r="B707" s="106"/>
    </row>
    <row r="708" customHeight="1" spans="2:2">
      <c r="B708" s="106"/>
    </row>
    <row r="709" customHeight="1" spans="2:2">
      <c r="B709" s="106"/>
    </row>
    <row r="710" customHeight="1" spans="2:2">
      <c r="B710" s="106"/>
    </row>
    <row r="711" customHeight="1" spans="2:2">
      <c r="B711" s="106"/>
    </row>
    <row r="712" customHeight="1" spans="2:2">
      <c r="B712" s="106"/>
    </row>
    <row r="713" customHeight="1" spans="2:2">
      <c r="B713" s="106"/>
    </row>
    <row r="714" customHeight="1" spans="2:2">
      <c r="B714" s="106"/>
    </row>
    <row r="715" customHeight="1" spans="2:2">
      <c r="B715" s="106"/>
    </row>
    <row r="716" customHeight="1" spans="2:2">
      <c r="B716" s="106"/>
    </row>
    <row r="717" customHeight="1" spans="2:2">
      <c r="B717" s="106"/>
    </row>
    <row r="718" customHeight="1" spans="2:2">
      <c r="B718" s="106"/>
    </row>
    <row r="719" customHeight="1" spans="2:2">
      <c r="B719" s="106"/>
    </row>
    <row r="720" customHeight="1" spans="2:2">
      <c r="B720" s="106"/>
    </row>
    <row r="721" customHeight="1" spans="2:2">
      <c r="B721" s="106"/>
    </row>
    <row r="722" customHeight="1" spans="2:2">
      <c r="B722" s="106"/>
    </row>
    <row r="723" customHeight="1" spans="2:2">
      <c r="B723" s="106"/>
    </row>
    <row r="724" customHeight="1" spans="2:2">
      <c r="B724" s="106"/>
    </row>
    <row r="725" customHeight="1" spans="2:2">
      <c r="B725" s="106"/>
    </row>
    <row r="726" customHeight="1" spans="2:2">
      <c r="B726" s="106"/>
    </row>
    <row r="727" customHeight="1" spans="2:2">
      <c r="B727" s="106"/>
    </row>
    <row r="728" customHeight="1" spans="2:2">
      <c r="B728" s="106"/>
    </row>
    <row r="729" customHeight="1" spans="2:2">
      <c r="B729" s="106"/>
    </row>
    <row r="730" customHeight="1" spans="2:2">
      <c r="B730" s="106"/>
    </row>
    <row r="731" customHeight="1" spans="2:2">
      <c r="B731" s="106"/>
    </row>
    <row r="732" customHeight="1" spans="2:2">
      <c r="B732" s="106"/>
    </row>
    <row r="733" customHeight="1" spans="2:2">
      <c r="B733" s="106"/>
    </row>
    <row r="734" customHeight="1" spans="2:2">
      <c r="B734" s="106"/>
    </row>
    <row r="735" customHeight="1" spans="2:2">
      <c r="B735" s="106"/>
    </row>
    <row r="736" customHeight="1" spans="2:2">
      <c r="B736" s="106"/>
    </row>
    <row r="737" customHeight="1" spans="2:2">
      <c r="B737" s="106"/>
    </row>
    <row r="738" customHeight="1" spans="2:2">
      <c r="B738" s="106"/>
    </row>
    <row r="739" customHeight="1" spans="2:2">
      <c r="B739" s="106"/>
    </row>
    <row r="740" customHeight="1" spans="2:2">
      <c r="B740" s="106"/>
    </row>
    <row r="741" customHeight="1" spans="2:2">
      <c r="B741" s="106"/>
    </row>
    <row r="742" customHeight="1" spans="2:2">
      <c r="B742" s="106"/>
    </row>
    <row r="743" customHeight="1" spans="2:2">
      <c r="B743" s="106"/>
    </row>
    <row r="744" customHeight="1" spans="2:2">
      <c r="B744" s="106"/>
    </row>
    <row r="745" customHeight="1" spans="2:2">
      <c r="B745" s="106"/>
    </row>
    <row r="746" customHeight="1" spans="2:2">
      <c r="B746" s="106"/>
    </row>
    <row r="747" customHeight="1" spans="2:2">
      <c r="B747" s="106"/>
    </row>
    <row r="748" customHeight="1" spans="2:2">
      <c r="B748" s="106"/>
    </row>
    <row r="749" customHeight="1" spans="2:2">
      <c r="B749" s="106"/>
    </row>
    <row r="750" customHeight="1" spans="2:2">
      <c r="B750" s="106"/>
    </row>
    <row r="751" customHeight="1" spans="2:2">
      <c r="B751" s="106"/>
    </row>
    <row r="752" customHeight="1" spans="2:2">
      <c r="B752" s="106"/>
    </row>
    <row r="753" customHeight="1" spans="2:2">
      <c r="B753" s="106"/>
    </row>
    <row r="754" customHeight="1" spans="2:2">
      <c r="B754" s="106"/>
    </row>
    <row r="755" customHeight="1" spans="2:2">
      <c r="B755" s="106"/>
    </row>
    <row r="756" customHeight="1" spans="2:2">
      <c r="B756" s="106"/>
    </row>
    <row r="757" customHeight="1" spans="2:2">
      <c r="B757" s="106"/>
    </row>
    <row r="758" customHeight="1" spans="2:2">
      <c r="B758" s="106"/>
    </row>
    <row r="759" customHeight="1" spans="2:2">
      <c r="B759" s="106"/>
    </row>
    <row r="760" customHeight="1" spans="2:2">
      <c r="B760" s="106"/>
    </row>
    <row r="761" customHeight="1" spans="2:2">
      <c r="B761" s="106"/>
    </row>
    <row r="762" customHeight="1" spans="2:2">
      <c r="B762" s="106"/>
    </row>
    <row r="763" customHeight="1" spans="2:2">
      <c r="B763" s="106"/>
    </row>
    <row r="764" customHeight="1" spans="2:2">
      <c r="B764" s="106"/>
    </row>
    <row r="765" customHeight="1" spans="2:2">
      <c r="B765" s="106"/>
    </row>
    <row r="766" customHeight="1" spans="2:2">
      <c r="B766" s="106"/>
    </row>
    <row r="767" customHeight="1" spans="2:2">
      <c r="B767" s="106"/>
    </row>
    <row r="768" customHeight="1" spans="2:2">
      <c r="B768" s="106"/>
    </row>
    <row r="769" customHeight="1" spans="2:2">
      <c r="B769" s="106"/>
    </row>
    <row r="770" customHeight="1" spans="2:2">
      <c r="B770" s="106"/>
    </row>
    <row r="771" customHeight="1" spans="2:2">
      <c r="B771" s="106"/>
    </row>
    <row r="772" customHeight="1" spans="2:2">
      <c r="B772" s="106"/>
    </row>
    <row r="773" customHeight="1" spans="2:2">
      <c r="B773" s="106"/>
    </row>
    <row r="774" customHeight="1" spans="2:2">
      <c r="B774" s="106"/>
    </row>
    <row r="775" customHeight="1" spans="2:2">
      <c r="B775" s="106"/>
    </row>
    <row r="776" customHeight="1" spans="2:2">
      <c r="B776" s="106"/>
    </row>
    <row r="777" customHeight="1" spans="2:2">
      <c r="B777" s="106"/>
    </row>
    <row r="778" customHeight="1" spans="2:2">
      <c r="B778" s="106"/>
    </row>
    <row r="779" customHeight="1" spans="2:2">
      <c r="B779" s="106"/>
    </row>
    <row r="780" customHeight="1" spans="2:2">
      <c r="B780" s="106"/>
    </row>
    <row r="781" customHeight="1" spans="2:2">
      <c r="B781" s="106"/>
    </row>
    <row r="782" customHeight="1" spans="2:2">
      <c r="B782" s="106"/>
    </row>
    <row r="783" customHeight="1" spans="2:2">
      <c r="B783" s="106"/>
    </row>
    <row r="784" customHeight="1" spans="2:2">
      <c r="B784" s="106"/>
    </row>
    <row r="785" customHeight="1" spans="2:2">
      <c r="B785" s="106"/>
    </row>
    <row r="786" customHeight="1" spans="2:2">
      <c r="B786" s="106"/>
    </row>
    <row r="787" customHeight="1" spans="2:2">
      <c r="B787" s="106"/>
    </row>
    <row r="788" customHeight="1" spans="2:2">
      <c r="B788" s="106"/>
    </row>
    <row r="789" customHeight="1" spans="2:2">
      <c r="B789" s="106"/>
    </row>
    <row r="790" customHeight="1" spans="2:2">
      <c r="B790" s="106"/>
    </row>
    <row r="791" customHeight="1" spans="2:2">
      <c r="B791" s="106"/>
    </row>
    <row r="792" customHeight="1" spans="2:2">
      <c r="B792" s="106"/>
    </row>
    <row r="793" customHeight="1" spans="2:2">
      <c r="B793" s="106"/>
    </row>
    <row r="794" customHeight="1" spans="2:2">
      <c r="B794" s="106"/>
    </row>
    <row r="795" customHeight="1" spans="2:2">
      <c r="B795" s="106"/>
    </row>
    <row r="796" customHeight="1" spans="2:2">
      <c r="B796" s="106"/>
    </row>
    <row r="797" customHeight="1" spans="2:2">
      <c r="B797" s="106"/>
    </row>
    <row r="798" customHeight="1" spans="2:2">
      <c r="B798" s="106"/>
    </row>
    <row r="799" customHeight="1" spans="2:2">
      <c r="B799" s="106"/>
    </row>
    <row r="800" customHeight="1" spans="2:2">
      <c r="B800" s="106"/>
    </row>
    <row r="801" customHeight="1" spans="2:2">
      <c r="B801" s="106"/>
    </row>
    <row r="802" customHeight="1" spans="2:2">
      <c r="B802" s="106"/>
    </row>
    <row r="803" customHeight="1" spans="2:2">
      <c r="B803" s="106"/>
    </row>
    <row r="804" customHeight="1" spans="2:2">
      <c r="B804" s="106"/>
    </row>
    <row r="805" customHeight="1" spans="2:2">
      <c r="B805" s="106"/>
    </row>
    <row r="806" customHeight="1" spans="2:2">
      <c r="B806" s="106"/>
    </row>
    <row r="807" customHeight="1" spans="2:2">
      <c r="B807" s="106"/>
    </row>
    <row r="808" customHeight="1" spans="2:2">
      <c r="B808" s="106"/>
    </row>
    <row r="809" customHeight="1" spans="2:2">
      <c r="B809" s="106"/>
    </row>
    <row r="810" customHeight="1" spans="2:2">
      <c r="B810" s="106"/>
    </row>
    <row r="811" customHeight="1" spans="2:2">
      <c r="B811" s="106"/>
    </row>
    <row r="812" customHeight="1" spans="2:2">
      <c r="B812" s="106"/>
    </row>
    <row r="813" customHeight="1" spans="2:2">
      <c r="B813" s="106"/>
    </row>
    <row r="814" customHeight="1" spans="2:2">
      <c r="B814" s="106"/>
    </row>
    <row r="815" customHeight="1" spans="2:2">
      <c r="B815" s="106"/>
    </row>
    <row r="816" customHeight="1" spans="2:2">
      <c r="B816" s="106"/>
    </row>
    <row r="817" customHeight="1" spans="2:2">
      <c r="B817" s="106"/>
    </row>
    <row r="818" customHeight="1" spans="2:2">
      <c r="B818" s="106"/>
    </row>
    <row r="819" customHeight="1" spans="2:2">
      <c r="B819" s="106"/>
    </row>
    <row r="820" customHeight="1" spans="2:2">
      <c r="B820" s="106"/>
    </row>
    <row r="821" customHeight="1" spans="2:2">
      <c r="B821" s="106"/>
    </row>
    <row r="822" customHeight="1" spans="2:2">
      <c r="B822" s="106"/>
    </row>
    <row r="823" customHeight="1" spans="2:2">
      <c r="B823" s="106"/>
    </row>
    <row r="824" customHeight="1" spans="2:2">
      <c r="B824" s="106"/>
    </row>
    <row r="825" customHeight="1" spans="2:2">
      <c r="B825" s="106"/>
    </row>
    <row r="826" customHeight="1" spans="2:2">
      <c r="B826" s="106"/>
    </row>
    <row r="827" customHeight="1" spans="2:2">
      <c r="B827" s="106"/>
    </row>
    <row r="828" customHeight="1" spans="2:2">
      <c r="B828" s="106"/>
    </row>
    <row r="829" customHeight="1" spans="2:2">
      <c r="B829" s="106"/>
    </row>
    <row r="830" customHeight="1" spans="2:2">
      <c r="B830" s="106"/>
    </row>
    <row r="831" customHeight="1" spans="2:2">
      <c r="B831" s="106"/>
    </row>
    <row r="832" customHeight="1" spans="2:2">
      <c r="B832" s="106"/>
    </row>
    <row r="833" customHeight="1" spans="2:2">
      <c r="B833" s="106"/>
    </row>
    <row r="834" customHeight="1" spans="2:2">
      <c r="B834" s="106"/>
    </row>
    <row r="835" customHeight="1" spans="2:2">
      <c r="B835" s="106"/>
    </row>
    <row r="836" customHeight="1" spans="2:2">
      <c r="B836" s="106"/>
    </row>
    <row r="837" customHeight="1" spans="2:2">
      <c r="B837" s="106"/>
    </row>
    <row r="838" customHeight="1" spans="2:2">
      <c r="B838" s="106"/>
    </row>
    <row r="839" customHeight="1" spans="2:2">
      <c r="B839" s="106"/>
    </row>
    <row r="840" customHeight="1" spans="2:2">
      <c r="B840" s="106"/>
    </row>
    <row r="841" customHeight="1" spans="2:2">
      <c r="B841" s="106"/>
    </row>
    <row r="842" customHeight="1" spans="2:2">
      <c r="B842" s="106"/>
    </row>
    <row r="843" customHeight="1" spans="2:2">
      <c r="B843" s="106"/>
    </row>
    <row r="844" customHeight="1" spans="2:2">
      <c r="B844" s="106"/>
    </row>
    <row r="845" customHeight="1" spans="2:2">
      <c r="B845" s="106"/>
    </row>
    <row r="846" customHeight="1" spans="2:2">
      <c r="B846" s="106"/>
    </row>
    <row r="847" customHeight="1" spans="2:2">
      <c r="B847" s="106"/>
    </row>
    <row r="848" customHeight="1" spans="2:2">
      <c r="B848" s="106"/>
    </row>
    <row r="849" customHeight="1" spans="2:2">
      <c r="B849" s="106"/>
    </row>
    <row r="850" customHeight="1" spans="2:2">
      <c r="B850" s="106"/>
    </row>
    <row r="851" customHeight="1" spans="2:2">
      <c r="B851" s="106"/>
    </row>
    <row r="852" customHeight="1" spans="2:2">
      <c r="B852" s="106"/>
    </row>
    <row r="853" customHeight="1" spans="2:2">
      <c r="B853" s="106"/>
    </row>
    <row r="854" customHeight="1" spans="2:2">
      <c r="B854" s="106"/>
    </row>
    <row r="855" customHeight="1" spans="2:2">
      <c r="B855" s="106"/>
    </row>
    <row r="856" customHeight="1" spans="2:2">
      <c r="B856" s="106"/>
    </row>
    <row r="857" customHeight="1" spans="2:2">
      <c r="B857" s="106"/>
    </row>
    <row r="858" customHeight="1" spans="2:2">
      <c r="B858" s="106"/>
    </row>
    <row r="859" customHeight="1" spans="2:2">
      <c r="B859" s="106"/>
    </row>
    <row r="860" customHeight="1" spans="2:2">
      <c r="B860" s="106"/>
    </row>
    <row r="861" customHeight="1" spans="2:2">
      <c r="B861" s="106"/>
    </row>
    <row r="862" customHeight="1" spans="2:2">
      <c r="B862" s="106"/>
    </row>
    <row r="863" customHeight="1" spans="2:2">
      <c r="B863" s="106"/>
    </row>
    <row r="864" customHeight="1" spans="2:2">
      <c r="B864" s="106"/>
    </row>
    <row r="865" customHeight="1" spans="2:2">
      <c r="B865" s="106"/>
    </row>
    <row r="866" customHeight="1" spans="2:2">
      <c r="B866" s="106"/>
    </row>
    <row r="867" customHeight="1" spans="2:2">
      <c r="B867" s="106"/>
    </row>
    <row r="868" customHeight="1" spans="2:2">
      <c r="B868" s="106"/>
    </row>
    <row r="869" customHeight="1" spans="2:2">
      <c r="B869" s="106"/>
    </row>
    <row r="870" customHeight="1" spans="2:2">
      <c r="B870" s="106"/>
    </row>
    <row r="871" customHeight="1" spans="2:2">
      <c r="B871" s="106"/>
    </row>
    <row r="872" customHeight="1" spans="2:2">
      <c r="B872" s="106"/>
    </row>
    <row r="873" customHeight="1" spans="2:2">
      <c r="B873" s="106"/>
    </row>
    <row r="874" customHeight="1" spans="2:2">
      <c r="B874" s="106"/>
    </row>
    <row r="875" customHeight="1" spans="2:2">
      <c r="B875" s="106"/>
    </row>
    <row r="876" customHeight="1" spans="2:2">
      <c r="B876" s="106"/>
    </row>
    <row r="877" customHeight="1" spans="2:2">
      <c r="B877" s="106"/>
    </row>
    <row r="878" customHeight="1" spans="2:2">
      <c r="B878" s="106"/>
    </row>
    <row r="879" customHeight="1" spans="2:2">
      <c r="B879" s="106"/>
    </row>
    <row r="880" customHeight="1" spans="2:2">
      <c r="B880" s="106"/>
    </row>
    <row r="881" customHeight="1" spans="2:2">
      <c r="B881" s="106"/>
    </row>
    <row r="882" customHeight="1" spans="2:2">
      <c r="B882" s="106"/>
    </row>
    <row r="883" customHeight="1" spans="2:2">
      <c r="B883" s="106"/>
    </row>
    <row r="884" customHeight="1" spans="2:2">
      <c r="B884" s="106"/>
    </row>
    <row r="885" customHeight="1" spans="2:2">
      <c r="B885" s="106"/>
    </row>
    <row r="886" customHeight="1" spans="2:2">
      <c r="B886" s="106"/>
    </row>
    <row r="887" customHeight="1" spans="2:2">
      <c r="B887" s="106"/>
    </row>
    <row r="888" customHeight="1" spans="2:2">
      <c r="B888" s="106"/>
    </row>
    <row r="889" customHeight="1" spans="2:2">
      <c r="B889" s="106"/>
    </row>
    <row r="890" customHeight="1" spans="2:2">
      <c r="B890" s="106"/>
    </row>
    <row r="891" customHeight="1" spans="2:2">
      <c r="B891" s="106"/>
    </row>
    <row r="892" customHeight="1" spans="2:2">
      <c r="B892" s="106"/>
    </row>
    <row r="893" customHeight="1" spans="2:2">
      <c r="B893" s="106"/>
    </row>
    <row r="894" customHeight="1" spans="2:2">
      <c r="B894" s="106"/>
    </row>
    <row r="895" customHeight="1" spans="2:2">
      <c r="B895" s="106"/>
    </row>
    <row r="896" customHeight="1" spans="2:2">
      <c r="B896" s="106"/>
    </row>
    <row r="897" customHeight="1" spans="2:2">
      <c r="B897" s="106"/>
    </row>
    <row r="898" customHeight="1" spans="2:2">
      <c r="B898" s="106"/>
    </row>
    <row r="899" customHeight="1" spans="2:2">
      <c r="B899" s="106"/>
    </row>
    <row r="900" customHeight="1" spans="2:2">
      <c r="B900" s="106"/>
    </row>
    <row r="901" customHeight="1" spans="2:2">
      <c r="B901" s="106"/>
    </row>
    <row r="902" customHeight="1" spans="2:2">
      <c r="B902" s="106"/>
    </row>
    <row r="903" customHeight="1" spans="2:2">
      <c r="B903" s="106"/>
    </row>
    <row r="904" customHeight="1" spans="2:2">
      <c r="B904" s="106"/>
    </row>
    <row r="905" customHeight="1" spans="2:2">
      <c r="B905" s="106"/>
    </row>
    <row r="906" customHeight="1" spans="2:2">
      <c r="B906" s="106"/>
    </row>
    <row r="907" customHeight="1" spans="2:2">
      <c r="B907" s="106"/>
    </row>
    <row r="908" customHeight="1" spans="2:2">
      <c r="B908" s="106"/>
    </row>
    <row r="909" customHeight="1" spans="2:2">
      <c r="B909" s="106"/>
    </row>
    <row r="910" customHeight="1" spans="2:2">
      <c r="B910" s="106"/>
    </row>
    <row r="911" customHeight="1" spans="2:2">
      <c r="B911" s="106"/>
    </row>
    <row r="912" customHeight="1" spans="2:2">
      <c r="B912" s="106"/>
    </row>
    <row r="913" customHeight="1" spans="2:2">
      <c r="B913" s="106"/>
    </row>
    <row r="914" customHeight="1" spans="2:2">
      <c r="B914" s="106"/>
    </row>
    <row r="915" customHeight="1" spans="2:2">
      <c r="B915" s="106"/>
    </row>
    <row r="916" customHeight="1" spans="2:2">
      <c r="B916" s="106"/>
    </row>
    <row r="917" customHeight="1" spans="2:2">
      <c r="B917" s="106"/>
    </row>
    <row r="918" customHeight="1" spans="2:2">
      <c r="B918" s="106"/>
    </row>
    <row r="919" customHeight="1" spans="2:2">
      <c r="B919" s="106"/>
    </row>
    <row r="920" customHeight="1" spans="2:2">
      <c r="B920" s="106"/>
    </row>
    <row r="921" customHeight="1" spans="2:2">
      <c r="B921" s="106"/>
    </row>
    <row r="922" customHeight="1" spans="2:2">
      <c r="B922" s="106"/>
    </row>
    <row r="923" customHeight="1" spans="2:2">
      <c r="B923" s="106"/>
    </row>
    <row r="924" customHeight="1" spans="2:2">
      <c r="B924" s="106"/>
    </row>
    <row r="925" customHeight="1" spans="2:2">
      <c r="B925" s="106"/>
    </row>
    <row r="926" customHeight="1" spans="2:2">
      <c r="B926" s="106"/>
    </row>
    <row r="927" customHeight="1" spans="2:2">
      <c r="B927" s="106"/>
    </row>
    <row r="928" customHeight="1" spans="2:2">
      <c r="B928" s="106"/>
    </row>
    <row r="929" customHeight="1" spans="2:2">
      <c r="B929" s="106"/>
    </row>
    <row r="930" customHeight="1" spans="2:2">
      <c r="B930" s="106"/>
    </row>
    <row r="931" customHeight="1" spans="2:2">
      <c r="B931" s="106"/>
    </row>
    <row r="932" customHeight="1" spans="2:2">
      <c r="B932" s="106"/>
    </row>
    <row r="933" customHeight="1" spans="2:2">
      <c r="B933" s="106"/>
    </row>
    <row r="934" customHeight="1" spans="2:2">
      <c r="B934" s="106"/>
    </row>
    <row r="935" customHeight="1" spans="2:2">
      <c r="B935" s="106"/>
    </row>
    <row r="936" customHeight="1" spans="2:2">
      <c r="B936" s="106"/>
    </row>
    <row r="937" customHeight="1" spans="2:2">
      <c r="B937" s="106"/>
    </row>
    <row r="938" customHeight="1" spans="2:2">
      <c r="B938" s="106"/>
    </row>
    <row r="939" customHeight="1" spans="2:2">
      <c r="B939" s="106"/>
    </row>
    <row r="940" customHeight="1" spans="2:2">
      <c r="B940" s="106"/>
    </row>
    <row r="941" customHeight="1" spans="2:2">
      <c r="B941" s="106"/>
    </row>
    <row r="942" customHeight="1" spans="2:2">
      <c r="B942" s="106"/>
    </row>
    <row r="943" customHeight="1" spans="2:2">
      <c r="B943" s="106"/>
    </row>
    <row r="944" customHeight="1" spans="2:2">
      <c r="B944" s="106"/>
    </row>
    <row r="945" customHeight="1" spans="2:2">
      <c r="B945" s="106"/>
    </row>
    <row r="946" customHeight="1" spans="2:2">
      <c r="B946" s="106"/>
    </row>
    <row r="947" customHeight="1" spans="2:2">
      <c r="B947" s="106"/>
    </row>
    <row r="948" customHeight="1" spans="2:2">
      <c r="B948" s="106"/>
    </row>
    <row r="949" customHeight="1" spans="2:2">
      <c r="B949" s="106"/>
    </row>
    <row r="950" customHeight="1" spans="2:2">
      <c r="B950" s="106"/>
    </row>
    <row r="951" customHeight="1" spans="2:2">
      <c r="B951" s="106"/>
    </row>
    <row r="952" customHeight="1" spans="2:2">
      <c r="B952" s="106"/>
    </row>
    <row r="953" customHeight="1" spans="2:2">
      <c r="B953" s="106"/>
    </row>
    <row r="954" customHeight="1" spans="2:2">
      <c r="B954" s="106"/>
    </row>
    <row r="955" customHeight="1" spans="2:2">
      <c r="B955" s="106"/>
    </row>
    <row r="956" customHeight="1" spans="2:2">
      <c r="B956" s="106"/>
    </row>
    <row r="957" customHeight="1" spans="2:2">
      <c r="B957" s="106"/>
    </row>
    <row r="958" customHeight="1" spans="2:2">
      <c r="B958" s="106"/>
    </row>
    <row r="959" customHeight="1" spans="2:2">
      <c r="B959" s="106"/>
    </row>
    <row r="960" customHeight="1" spans="2:2">
      <c r="B960" s="106"/>
    </row>
    <row r="961" customHeight="1" spans="2:2">
      <c r="B961" s="106"/>
    </row>
    <row r="962" customHeight="1" spans="2:2">
      <c r="B962" s="106"/>
    </row>
    <row r="963" customHeight="1" spans="2:2">
      <c r="B963" s="106"/>
    </row>
    <row r="964" customHeight="1" spans="2:2">
      <c r="B964" s="106"/>
    </row>
    <row r="965" customHeight="1" spans="2:2">
      <c r="B965" s="106"/>
    </row>
    <row r="966" customHeight="1" spans="2:2">
      <c r="B966" s="106"/>
    </row>
    <row r="967" customHeight="1" spans="2:2">
      <c r="B967" s="106"/>
    </row>
    <row r="968" customHeight="1" spans="2:2">
      <c r="B968" s="106"/>
    </row>
    <row r="969" customHeight="1" spans="2:2">
      <c r="B969" s="106"/>
    </row>
    <row r="970" customHeight="1" spans="2:2">
      <c r="B970" s="106"/>
    </row>
    <row r="971" customHeight="1" spans="2:2">
      <c r="B971" s="106"/>
    </row>
    <row r="972" customHeight="1" spans="2:2">
      <c r="B972" s="106"/>
    </row>
    <row r="973" customHeight="1" spans="2:2">
      <c r="B973" s="106"/>
    </row>
    <row r="974" customHeight="1" spans="2:2">
      <c r="B974" s="106"/>
    </row>
    <row r="975" customHeight="1" spans="2:2">
      <c r="B975" s="106"/>
    </row>
    <row r="976" customHeight="1" spans="2:2">
      <c r="B976" s="106"/>
    </row>
    <row r="977" customHeight="1" spans="2:2">
      <c r="B977" s="106"/>
    </row>
    <row r="978" customHeight="1" spans="2:2">
      <c r="B978" s="106"/>
    </row>
    <row r="979" customHeight="1" spans="2:2">
      <c r="B979" s="106"/>
    </row>
    <row r="980" customHeight="1" spans="2:2">
      <c r="B980" s="10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/>
  <cols>
    <col min="2" max="2" width="8.12962962962963" customWidth="1"/>
    <col min="5" max="5" width="48.6296296296296" customWidth="1"/>
    <col min="6" max="6" width="16.25" customWidth="1"/>
    <col min="12" max="12" width="29.3796296296296" customWidth="1"/>
    <col min="13" max="13" width="28.1296296296296" customWidth="1"/>
  </cols>
  <sheetData>
    <row r="1" ht="35.25" customHeight="1" spans="1:26">
      <c r="A1" s="35" t="str">
        <f>IFERROR(__xludf.DUMMYFUNCTION("QUERY(IMPORTRANGE(""https://docs.google.com/spreadsheets/d/1mQNb25eQzf3pSV6f0Q7CppcEQuwN22bOIkIgduAEjrk/edit?gid=1267754096#gid=1267754096"",""Consolidated Sheet!A:M""),""SELECT * WHERE Col2='S6'"",1)"),"Dept.")</f>
        <v>Dept.</v>
      </c>
      <c r="B1" s="35" t="str">
        <f>IFERROR(__xludf.DUMMYFUNCTION("""COMPUTED_VALUE"""),"Semester")</f>
        <v>Semester</v>
      </c>
      <c r="C1" s="35" t="str">
        <f>IFERROR(__xludf.DUMMYFUNCTION("""COMPUTED_VALUE"""),"Course Type")</f>
        <v>Course Type</v>
      </c>
      <c r="D1" s="35" t="str">
        <f>IFERROR(__xludf.DUMMYFUNCTION("""COMPUTED_VALUE"""),"Course Code")</f>
        <v>Course Code</v>
      </c>
      <c r="E1" s="97" t="str">
        <f>IFERROR(__xludf.DUMMYFUNCTION("""COMPUTED_VALUE"""),"Course Name")</f>
        <v>Course Name</v>
      </c>
      <c r="F1" s="35" t="str">
        <f>IFERROR(__xludf.DUMMYFUNCTION("""COMPUTED_VALUE"""),"Course Nature")</f>
        <v>Course Nature</v>
      </c>
      <c r="G1" s="35" t="str">
        <f>IFERROR(__xludf.DUMMYFUNCTION("""COMPUTED_VALUE"""),"L")</f>
        <v>L</v>
      </c>
      <c r="H1" s="35" t="str">
        <f>IFERROR(__xludf.DUMMYFUNCTION("""COMPUTED_VALUE"""),"T")</f>
        <v>T</v>
      </c>
      <c r="I1" s="35" t="str">
        <f>IFERROR(__xludf.DUMMYFUNCTION("""COMPUTED_VALUE"""),"P")</f>
        <v>P</v>
      </c>
      <c r="J1" s="35" t="str">
        <f>IFERROR(__xludf.DUMMYFUNCTION("""COMPUTED_VALUE"""),"C")</f>
        <v>C</v>
      </c>
      <c r="K1" s="35" t="str">
        <f>IFERROR(__xludf.DUMMYFUNCTION("""COMPUTED_VALUE"""),"Faculty ID
(ME1880)")</f>
        <v>Faculty ID
(ME1880)</v>
      </c>
      <c r="L1" s="35" t="str">
        <f>IFERROR(__xludf.DUMMYFUNCTION("""COMPUTED_VALUE"""),"Faculty Name")</f>
        <v>Faculty Name</v>
      </c>
      <c r="M1" s="35" t="str">
        <f>IFERROR(__xludf.DUMMYFUNCTION("""COMPUTED_VALUE"""),"Mail ID")</f>
        <v>Mail ID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5.25" customHeight="1" spans="1:13">
      <c r="A2" s="31" t="str">
        <f>IFERROR(__xludf.DUMMYFUNCTION("""COMPUTED_VALUE"""),"AGRI")</f>
        <v>AGRI</v>
      </c>
      <c r="B2" s="31" t="str">
        <f>IFERROR(__xludf.DUMMYFUNCTION("""COMPUTED_VALUE"""),"S6")</f>
        <v>S6</v>
      </c>
      <c r="C2" s="31" t="str">
        <f>IFERROR(__xludf.DUMMYFUNCTION("""COMPUTED_VALUE"""),"CORE")</f>
        <v>CORE</v>
      </c>
      <c r="D2" s="31" t="str">
        <f>IFERROR(__xludf.DUMMYFUNCTION("""COMPUTED_VALUE"""),"22AG601")</f>
        <v>22AG601</v>
      </c>
      <c r="E2" s="98" t="str">
        <f>IFERROR(__xludf.DUMMYFUNCTION("""COMPUTED_VALUE"""),"FARM IMPLEMENTS")</f>
        <v>FARM IMPLEMENTS</v>
      </c>
      <c r="F2" s="31" t="str">
        <f>IFERROR(__xludf.DUMMYFUNCTION("""COMPUTED_VALUE"""),"THEORY WITH LAB")</f>
        <v>THEORY WITH LAB</v>
      </c>
      <c r="G2" s="31">
        <f>IFERROR(__xludf.DUMMYFUNCTION("""COMPUTED_VALUE"""),3)</f>
        <v>3</v>
      </c>
      <c r="H2" s="31">
        <f>IFERROR(__xludf.DUMMYFUNCTION("""COMPUTED_VALUE"""),0)</f>
        <v>0</v>
      </c>
      <c r="I2" s="31">
        <f>IFERROR(__xludf.DUMMYFUNCTION("""COMPUTED_VALUE"""),2)</f>
        <v>2</v>
      </c>
      <c r="J2" s="31">
        <f>IFERROR(__xludf.DUMMYFUNCTION("""COMPUTED_VALUE"""),4)</f>
        <v>4</v>
      </c>
      <c r="K2" s="31" t="str">
        <f>IFERROR(__xludf.DUMMYFUNCTION("""COMPUTED_VALUE"""),"AG11049")</f>
        <v>AG11049</v>
      </c>
      <c r="L2" s="31" t="str">
        <f>IFERROR(__xludf.DUMMYFUNCTION("""COMPUTED_VALUE"""),"Dr.PRAVEEN KUMAR D")</f>
        <v>Dr.PRAVEEN KUMAR D</v>
      </c>
      <c r="M2" s="31" t="str">
        <f>IFERROR(__xludf.DUMMYFUNCTION("""COMPUTED_VALUE"""),"praveenkumard@bitsathy.ac.in")</f>
        <v>praveenkumard@bitsathy.ac.in</v>
      </c>
    </row>
    <row r="3" ht="35.25" customHeight="1" spans="1:13">
      <c r="A3" s="31" t="str">
        <f>IFERROR(__xludf.DUMMYFUNCTION("""COMPUTED_VALUE"""),"AGRI")</f>
        <v>AGRI</v>
      </c>
      <c r="B3" s="31" t="str">
        <f>IFERROR(__xludf.DUMMYFUNCTION("""COMPUTED_VALUE"""),"S6")</f>
        <v>S6</v>
      </c>
      <c r="C3" s="31" t="str">
        <f>IFERROR(__xludf.DUMMYFUNCTION("""COMPUTED_VALUE"""),"CORE")</f>
        <v>CORE</v>
      </c>
      <c r="D3" s="31" t="str">
        <f>IFERROR(__xludf.DUMMYFUNCTION("""COMPUTED_VALUE"""),"22AG602")</f>
        <v>22AG602</v>
      </c>
      <c r="E3" s="98" t="str">
        <f>IFERROR(__xludf.DUMMYFUNCTION("""COMPUTED_VALUE"""),"POST HARVEST TECHNOLOGY")</f>
        <v>POST HARVEST TECHNOLOGY</v>
      </c>
      <c r="F3" s="31" t="str">
        <f>IFERROR(__xludf.DUMMYFUNCTION("""COMPUTED_VALUE"""),"THEORY")</f>
        <v>THEORY</v>
      </c>
      <c r="G3" s="31">
        <f>IFERROR(__xludf.DUMMYFUNCTION("""COMPUTED_VALUE"""),3)</f>
        <v>3</v>
      </c>
      <c r="H3" s="31">
        <f>IFERROR(__xludf.DUMMYFUNCTION("""COMPUTED_VALUE"""),0)</f>
        <v>0</v>
      </c>
      <c r="I3" s="31">
        <f>IFERROR(__xludf.DUMMYFUNCTION("""COMPUTED_VALUE"""),2)</f>
        <v>2</v>
      </c>
      <c r="J3" s="31">
        <f>IFERROR(__xludf.DUMMYFUNCTION("""COMPUTED_VALUE"""),4)</f>
        <v>4</v>
      </c>
      <c r="K3" s="31" t="str">
        <f>IFERROR(__xludf.DUMMYFUNCTION("""COMPUTED_VALUE"""),"AG10503")</f>
        <v>AG10503</v>
      </c>
      <c r="L3" s="31" t="str">
        <f>IFERROR(__xludf.DUMMYFUNCTION("""COMPUTED_VALUE"""),"Dr.CHELLADURAI V")</f>
        <v>Dr.CHELLADURAI V</v>
      </c>
      <c r="M3" s="31" t="str">
        <f>IFERROR(__xludf.DUMMYFUNCTION("""COMPUTED_VALUE"""),"chelladurai@bitsathy.ac.in")</f>
        <v>chelladurai@bitsathy.ac.in</v>
      </c>
    </row>
    <row r="4" ht="35.25" customHeight="1" spans="1:13">
      <c r="A4" s="31" t="str">
        <f>IFERROR(__xludf.DUMMYFUNCTION("""COMPUTED_VALUE"""),"AGRI")</f>
        <v>AGRI</v>
      </c>
      <c r="B4" s="31" t="str">
        <f>IFERROR(__xludf.DUMMYFUNCTION("""COMPUTED_VALUE"""),"S6")</f>
        <v>S6</v>
      </c>
      <c r="C4" s="31" t="str">
        <f>IFERROR(__xludf.DUMMYFUNCTION("""COMPUTED_VALUE"""),"CORE")</f>
        <v>CORE</v>
      </c>
      <c r="D4" s="31" t="str">
        <f>IFERROR(__xludf.DUMMYFUNCTION("""COMPUTED_VALUE"""),"22AG602")</f>
        <v>22AG602</v>
      </c>
      <c r="E4" s="98" t="str">
        <f>IFERROR(__xludf.DUMMYFUNCTION("""COMPUTED_VALUE"""),"POST HARVEST TECHNOLOGY")</f>
        <v>POST HARVEST TECHNOLOGY</v>
      </c>
      <c r="F4" s="31" t="str">
        <f>IFERROR(__xludf.DUMMYFUNCTION("""COMPUTED_VALUE"""),"LAB")</f>
        <v>LAB</v>
      </c>
      <c r="G4" s="31">
        <f>IFERROR(__xludf.DUMMYFUNCTION("""COMPUTED_VALUE"""),3)</f>
        <v>3</v>
      </c>
      <c r="H4" s="31">
        <f>IFERROR(__xludf.DUMMYFUNCTION("""COMPUTED_VALUE"""),0)</f>
        <v>0</v>
      </c>
      <c r="I4" s="31">
        <f>IFERROR(__xludf.DUMMYFUNCTION("""COMPUTED_VALUE"""),2)</f>
        <v>2</v>
      </c>
      <c r="J4" s="31">
        <f>IFERROR(__xludf.DUMMYFUNCTION("""COMPUTED_VALUE"""),4)</f>
        <v>4</v>
      </c>
      <c r="K4" s="31" t="str">
        <f>IFERROR(__xludf.DUMMYFUNCTION("""COMPUTED_VALUE"""),"AG10895")</f>
        <v>AG10895</v>
      </c>
      <c r="L4" s="31" t="str">
        <f>IFERROR(__xludf.DUMMYFUNCTION("""COMPUTED_VALUE"""),"Ms.ANANTHI D")</f>
        <v>Ms.ANANTHI D</v>
      </c>
      <c r="M4" s="31" t="str">
        <f>IFERROR(__xludf.DUMMYFUNCTION("""COMPUTED_VALUE"""),"ananthid@bitsathy.ac.in")</f>
        <v>ananthid@bitsathy.ac.in</v>
      </c>
    </row>
    <row r="5" ht="35.25" customHeight="1" spans="1:13">
      <c r="A5" s="31" t="str">
        <f>IFERROR(__xludf.DUMMYFUNCTION("""COMPUTED_VALUE"""),"AGRI")</f>
        <v>AGRI</v>
      </c>
      <c r="B5" s="31" t="str">
        <f>IFERROR(__xludf.DUMMYFUNCTION("""COMPUTED_VALUE"""),"S6")</f>
        <v>S6</v>
      </c>
      <c r="C5" s="31" t="str">
        <f>IFERROR(__xludf.DUMMYFUNCTION("""COMPUTED_VALUE"""),"CORE")</f>
        <v>CORE</v>
      </c>
      <c r="D5" s="31" t="str">
        <f>IFERROR(__xludf.DUMMYFUNCTION("""COMPUTED_VALUE"""),"22AG603")</f>
        <v>22AG603</v>
      </c>
      <c r="E5" s="98" t="str">
        <f>IFERROR(__xludf.DUMMYFUNCTION("""COMPUTED_VALUE"""),"IRRIGATION AND DRAINAGE ENGINEERING")</f>
        <v>IRRIGATION AND DRAINAGE ENGINEERING</v>
      </c>
      <c r="F5" s="31" t="str">
        <f>IFERROR(__xludf.DUMMYFUNCTION("""COMPUTED_VALUE"""),"THEORY WITH LAB")</f>
        <v>THEORY WITH LAB</v>
      </c>
      <c r="G5" s="31">
        <f>IFERROR(__xludf.DUMMYFUNCTION("""COMPUTED_VALUE"""),3)</f>
        <v>3</v>
      </c>
      <c r="H5" s="31">
        <f>IFERROR(__xludf.DUMMYFUNCTION("""COMPUTED_VALUE"""),0)</f>
        <v>0</v>
      </c>
      <c r="I5" s="31">
        <f>IFERROR(__xludf.DUMMYFUNCTION("""COMPUTED_VALUE"""),2)</f>
        <v>2</v>
      </c>
      <c r="J5" s="31">
        <f>IFERROR(__xludf.DUMMYFUNCTION("""COMPUTED_VALUE"""),4)</f>
        <v>4</v>
      </c>
      <c r="K5" s="31" t="str">
        <f>IFERROR(__xludf.DUMMYFUNCTION("""COMPUTED_VALUE"""),"AG10092")</f>
        <v>AG10092</v>
      </c>
      <c r="L5" s="31" t="str">
        <f>IFERROR(__xludf.DUMMYFUNCTION("""COMPUTED_VALUE"""),"Dr.VASUDEVAN M")</f>
        <v>Dr.VASUDEVAN M</v>
      </c>
      <c r="M5" s="31" t="str">
        <f>IFERROR(__xludf.DUMMYFUNCTION("""COMPUTED_VALUE"""),"vasudevan@bitsathy.ac.in")</f>
        <v>vasudevan@bitsathy.ac.in</v>
      </c>
    </row>
    <row r="6" ht="35.25" customHeight="1" spans="1:13">
      <c r="A6" s="31" t="str">
        <f>IFERROR(__xludf.DUMMYFUNCTION("""COMPUTED_VALUE"""),"AGRI")</f>
        <v>AGRI</v>
      </c>
      <c r="B6" s="31" t="str">
        <f>IFERROR(__xludf.DUMMYFUNCTION("""COMPUTED_VALUE"""),"S6")</f>
        <v>S6</v>
      </c>
      <c r="C6" s="31" t="str">
        <f>IFERROR(__xludf.DUMMYFUNCTION("""COMPUTED_VALUE"""),"ELECTIVE 3")</f>
        <v>ELECTIVE 3</v>
      </c>
      <c r="D6" s="31" t="str">
        <f>IFERROR(__xludf.DUMMYFUNCTION("""COMPUTED_VALUE"""),"22AG008")</f>
        <v>22AG008</v>
      </c>
      <c r="E6" s="98" t="str">
        <f>IFERROR(__xludf.DUMMYFUNCTION("""COMPUTED_VALUE"""),"GROUNDWATER, WELLS AND PUMPS")</f>
        <v>GROUNDWATER, WELLS AND PUMPS</v>
      </c>
      <c r="F6" s="31" t="str">
        <f>IFERROR(__xludf.DUMMYFUNCTION("""COMPUTED_VALUE"""),"THEORY")</f>
        <v>THEORY</v>
      </c>
      <c r="G6" s="31">
        <f>IFERROR(__xludf.DUMMYFUNCTION("""COMPUTED_VALUE"""),3)</f>
        <v>3</v>
      </c>
      <c r="H6" s="31">
        <f>IFERROR(__xludf.DUMMYFUNCTION("""COMPUTED_VALUE"""),0)</f>
        <v>0</v>
      </c>
      <c r="I6" s="31">
        <f>IFERROR(__xludf.DUMMYFUNCTION("""COMPUTED_VALUE"""),0)</f>
        <v>0</v>
      </c>
      <c r="J6" s="31">
        <f>IFERROR(__xludf.DUMMYFUNCTION("""COMPUTED_VALUE"""),3)</f>
        <v>3</v>
      </c>
      <c r="K6" s="31" t="str">
        <f>IFERROR(__xludf.DUMMYFUNCTION("""COMPUTED_VALUE"""),"AG10994")</f>
        <v>AG10994</v>
      </c>
      <c r="L6" s="31" t="str">
        <f>IFERROR(__xludf.DUMMYFUNCTION("""COMPUTED_VALUE"""),"Mr.MUTHUKUMARAVEL K")</f>
        <v>Mr.MUTHUKUMARAVEL K</v>
      </c>
      <c r="M6" s="31" t="str">
        <f>IFERROR(__xludf.DUMMYFUNCTION("""COMPUTED_VALUE"""),"muthukumaravelk@bitsathy.ac.in")</f>
        <v>muthukumaravelk@bitsathy.ac.in</v>
      </c>
    </row>
    <row r="7" ht="35.25" customHeight="1" spans="1:13">
      <c r="A7" s="31" t="str">
        <f>IFERROR(__xludf.DUMMYFUNCTION("""COMPUTED_VALUE"""),"AGRI")</f>
        <v>AGRI</v>
      </c>
      <c r="B7" s="31" t="str">
        <f>IFERROR(__xludf.DUMMYFUNCTION("""COMPUTED_VALUE"""),"S6")</f>
        <v>S6</v>
      </c>
      <c r="C7" s="31" t="str">
        <f>IFERROR(__xludf.DUMMYFUNCTION("""COMPUTED_VALUE"""),"ELECTIVE 4")</f>
        <v>ELECTIVE 4</v>
      </c>
      <c r="D7" s="31" t="str">
        <f>IFERROR(__xludf.DUMMYFUNCTION("""COMPUTED_VALUE"""),"22AG001")</f>
        <v>22AG001</v>
      </c>
      <c r="E7" s="98" t="str">
        <f>IFERROR(__xludf.DUMMYFUNCTION("""COMPUTED_VALUE"""),"HUMAN ENGINEERING AND SAFETY")</f>
        <v>HUMAN ENGINEERING AND SAFETY</v>
      </c>
      <c r="F7" s="31" t="str">
        <f>IFERROR(__xludf.DUMMYFUNCTION("""COMPUTED_VALUE"""),"THEORY")</f>
        <v>THEORY</v>
      </c>
      <c r="G7" s="31">
        <f>IFERROR(__xludf.DUMMYFUNCTION("""COMPUTED_VALUE"""),3)</f>
        <v>3</v>
      </c>
      <c r="H7" s="31">
        <f>IFERROR(__xludf.DUMMYFUNCTION("""COMPUTED_VALUE"""),0)</f>
        <v>0</v>
      </c>
      <c r="I7" s="31">
        <f>IFERROR(__xludf.DUMMYFUNCTION("""COMPUTED_VALUE"""),0)</f>
        <v>0</v>
      </c>
      <c r="J7" s="31">
        <f>IFERROR(__xludf.DUMMYFUNCTION("""COMPUTED_VALUE"""),3)</f>
        <v>3</v>
      </c>
      <c r="K7" s="31" t="str">
        <f>IFERROR(__xludf.DUMMYFUNCTION("""COMPUTED_VALUE"""),"AG1312")</f>
        <v>AG1312</v>
      </c>
      <c r="L7" s="31" t="str">
        <f>IFERROR(__xludf.DUMMYFUNCTION("""COMPUTED_VALUE"""),"Dr.UVARAJA V C")</f>
        <v>Dr.UVARAJA V C</v>
      </c>
      <c r="M7" s="31" t="str">
        <f>IFERROR(__xludf.DUMMYFUNCTION("""COMPUTED_VALUE"""),"uvarajavc@bitsathy.ac.in")</f>
        <v>uvarajavc@bitsathy.ac.in</v>
      </c>
    </row>
    <row r="8" ht="35.25" customHeight="1" spans="1:13">
      <c r="A8" s="31" t="str">
        <f>IFERROR(__xludf.DUMMYFUNCTION("""COMPUTED_VALUE"""),"AGRI")</f>
        <v>AGRI</v>
      </c>
      <c r="B8" s="31" t="str">
        <f>IFERROR(__xludf.DUMMYFUNCTION("""COMPUTED_VALUE"""),"S6")</f>
        <v>S6</v>
      </c>
      <c r="C8" s="31" t="str">
        <f>IFERROR(__xludf.DUMMYFUNCTION("""COMPUTED_VALUE"""),"ELECTIVE 5")</f>
        <v>ELECTIVE 5</v>
      </c>
      <c r="D8" s="31" t="str">
        <f>IFERROR(__xludf.DUMMYFUNCTION("""COMPUTED_VALUE"""),"22AG017")</f>
        <v>22AG017</v>
      </c>
      <c r="E8" s="98" t="str">
        <f>IFERROR(__xludf.DUMMYFUNCTION("""COMPUTED_VALUE"""),"EMERGING TECHNOLOGIES IN FOOD PROCESS ENGINEERING")</f>
        <v>EMERGING TECHNOLOGIES IN FOOD PROCESS ENGINEERING</v>
      </c>
      <c r="F8" s="31" t="str">
        <f>IFERROR(__xludf.DUMMYFUNCTION("""COMPUTED_VALUE"""),"THEORY")</f>
        <v>THEORY</v>
      </c>
      <c r="G8" s="31">
        <f>IFERROR(__xludf.DUMMYFUNCTION("""COMPUTED_VALUE"""),3)</f>
        <v>3</v>
      </c>
      <c r="H8" s="31">
        <f>IFERROR(__xludf.DUMMYFUNCTION("""COMPUTED_VALUE"""),0)</f>
        <v>0</v>
      </c>
      <c r="I8" s="31">
        <f>IFERROR(__xludf.DUMMYFUNCTION("""COMPUTED_VALUE"""),0)</f>
        <v>0</v>
      </c>
      <c r="J8" s="31">
        <f>IFERROR(__xludf.DUMMYFUNCTION("""COMPUTED_VALUE"""),3)</f>
        <v>3</v>
      </c>
      <c r="K8" s="31" t="str">
        <f>IFERROR(__xludf.DUMMYFUNCTION("""COMPUTED_VALUE"""),"AG10895")</f>
        <v>AG10895</v>
      </c>
      <c r="L8" s="31" t="str">
        <f>IFERROR(__xludf.DUMMYFUNCTION("""COMPUTED_VALUE"""),"Ms.ANANTHI D")</f>
        <v>Ms.ANANTHI D</v>
      </c>
      <c r="M8" s="31" t="str">
        <f>IFERROR(__xludf.DUMMYFUNCTION("""COMPUTED_VALUE"""),"ananthid@bitsathy.ac.in")</f>
        <v>ananthid@bitsathy.ac.in</v>
      </c>
    </row>
    <row r="9" ht="35.25" customHeight="1" spans="1:13">
      <c r="A9" s="31" t="str">
        <f>IFERROR(__xludf.DUMMYFUNCTION("""COMPUTED_VALUE"""),"AGRI")</f>
        <v>AGRI</v>
      </c>
      <c r="B9" s="31" t="str">
        <f>IFERROR(__xludf.DUMMYFUNCTION("""COMPUTED_VALUE"""),"S6")</f>
        <v>S6</v>
      </c>
      <c r="C9" s="31" t="str">
        <f>IFERROR(__xludf.DUMMYFUNCTION("""COMPUTED_VALUE"""),"ADD COURSE")</f>
        <v>ADD COURSE</v>
      </c>
      <c r="D9" s="31" t="str">
        <f>IFERROR(__xludf.DUMMYFUNCTION("""COMPUTED_VALUE"""),"22AG016")</f>
        <v>22AG016</v>
      </c>
      <c r="E9" s="98" t="str">
        <f>IFERROR(__xludf.DUMMYFUNCTION("""COMPUTED_VALUE"""),"FOOD SAFETY MANAGEMENT SYSTEMS")</f>
        <v>FOOD SAFETY MANAGEMENT SYSTEMS</v>
      </c>
      <c r="F9" s="31" t="str">
        <f>IFERROR(__xludf.DUMMYFUNCTION("""COMPUTED_VALUE"""),"THEORY")</f>
        <v>THEORY</v>
      </c>
      <c r="G9" s="31">
        <f>IFERROR(__xludf.DUMMYFUNCTION("""COMPUTED_VALUE"""),3)</f>
        <v>3</v>
      </c>
      <c r="H9" s="31">
        <f>IFERROR(__xludf.DUMMYFUNCTION("""COMPUTED_VALUE"""),0)</f>
        <v>0</v>
      </c>
      <c r="I9" s="31">
        <f>IFERROR(__xludf.DUMMYFUNCTION("""COMPUTED_VALUE"""),0)</f>
        <v>0</v>
      </c>
      <c r="J9" s="31">
        <f>IFERROR(__xludf.DUMMYFUNCTION("""COMPUTED_VALUE"""),3)</f>
        <v>3</v>
      </c>
      <c r="K9" s="31" t="str">
        <f>IFERROR(__xludf.DUMMYFUNCTION("""COMPUTED_VALUE"""),"AG11178")</f>
        <v>AG11178</v>
      </c>
      <c r="L9" s="31" t="str">
        <f>IFERROR(__xludf.DUMMYFUNCTION("""COMPUTED_VALUE"""),"Ms.SNEKHA A R")</f>
        <v>Ms.SNEKHA A R</v>
      </c>
      <c r="M9" s="31" t="str">
        <f>IFERROR(__xludf.DUMMYFUNCTION("""COMPUTED_VALUE"""),"snekhaar@bitsathy.ac.in")</f>
        <v>snekhaar@bitsathy.ac.in</v>
      </c>
    </row>
    <row r="10" ht="35.25" customHeight="1" spans="1:13">
      <c r="A10" s="31" t="str">
        <f>IFERROR(__xludf.DUMMYFUNCTION("""COMPUTED_VALUE"""),"AGRI")</f>
        <v>AGRI</v>
      </c>
      <c r="B10" s="31" t="str">
        <f>IFERROR(__xludf.DUMMYFUNCTION("""COMPUTED_VALUE"""),"S6")</f>
        <v>S6</v>
      </c>
      <c r="C10" s="31" t="str">
        <f>IFERROR(__xludf.DUMMYFUNCTION("""COMPUTED_VALUE"""),"HONOURS")</f>
        <v>HONOURS</v>
      </c>
      <c r="D10" s="31" t="str">
        <f>IFERROR(__xludf.DUMMYFUNCTION("""COMPUTED_VALUE"""),"22AGH21")</f>
        <v>22AGH21</v>
      </c>
      <c r="E10" s="98" t="str">
        <f>IFERROR(__xludf.DUMMYFUNCTION("""COMPUTED_VALUE"""),"ENERGY CONSERVATION IN AGRO-BASED INDUSTRY")</f>
        <v>ENERGY CONSERVATION IN AGRO-BASED INDUSTRY</v>
      </c>
      <c r="F10" s="31" t="str">
        <f>IFERROR(__xludf.DUMMYFUNCTION("""COMPUTED_VALUE"""),"THEORY")</f>
        <v>THEORY</v>
      </c>
      <c r="G10" s="31">
        <f>IFERROR(__xludf.DUMMYFUNCTION("""COMPUTED_VALUE"""),3)</f>
        <v>3</v>
      </c>
      <c r="H10" s="31">
        <f>IFERROR(__xludf.DUMMYFUNCTION("""COMPUTED_VALUE"""),0)</f>
        <v>0</v>
      </c>
      <c r="I10" s="31">
        <f>IFERROR(__xludf.DUMMYFUNCTION("""COMPUTED_VALUE"""),0)</f>
        <v>0</v>
      </c>
      <c r="J10" s="31">
        <f>IFERROR(__xludf.DUMMYFUNCTION("""COMPUTED_VALUE"""),3)</f>
        <v>3</v>
      </c>
      <c r="K10" s="31" t="str">
        <f>IFERROR(__xludf.DUMMYFUNCTION("""COMPUTED_VALUE"""),"AG11049")</f>
        <v>AG11049</v>
      </c>
      <c r="L10" s="31" t="str">
        <f>IFERROR(__xludf.DUMMYFUNCTION("""COMPUTED_VALUE"""),"Dr.PRAVEEN KUMAR D")</f>
        <v>Dr.PRAVEEN KUMAR D</v>
      </c>
      <c r="M10" s="31" t="str">
        <f>IFERROR(__xludf.DUMMYFUNCTION("""COMPUTED_VALUE"""),"praveenkumard@bitsathy.ac.in")</f>
        <v>praveenkumard@bitsathy.ac.in</v>
      </c>
    </row>
    <row r="11" ht="35.25" customHeight="1" spans="1:13">
      <c r="A11" s="31" t="str">
        <f>IFERROR(__xludf.DUMMYFUNCTION("""COMPUTED_VALUE"""),"AGRI")</f>
        <v>AGRI</v>
      </c>
      <c r="B11" s="31" t="str">
        <f>IFERROR(__xludf.DUMMYFUNCTION("""COMPUTED_VALUE"""),"S6")</f>
        <v>S6</v>
      </c>
      <c r="C11" s="31" t="str">
        <f>IFERROR(__xludf.DUMMYFUNCTION("""COMPUTED_VALUE"""),"HONOURS")</f>
        <v>HONOURS</v>
      </c>
      <c r="D11" s="31" t="str">
        <f>IFERROR(__xludf.DUMMYFUNCTION("""COMPUTED_VALUE"""),"22AGH22")</f>
        <v>22AGH22</v>
      </c>
      <c r="E11" s="98" t="str">
        <f>IFERROR(__xludf.DUMMYFUNCTION("""COMPUTED_VALUE"""),"COGENERATION AND WASTE HEAT RECOVERY SYSTEMS")</f>
        <v>COGENERATION AND WASTE HEAT RECOVERY SYSTEMS</v>
      </c>
      <c r="F11" s="31" t="str">
        <f>IFERROR(__xludf.DUMMYFUNCTION("""COMPUTED_VALUE"""),"THEORY")</f>
        <v>THEORY</v>
      </c>
      <c r="G11" s="31">
        <f>IFERROR(__xludf.DUMMYFUNCTION("""COMPUTED_VALUE"""),3)</f>
        <v>3</v>
      </c>
      <c r="H11" s="31">
        <f>IFERROR(__xludf.DUMMYFUNCTION("""COMPUTED_VALUE"""),0)</f>
        <v>0</v>
      </c>
      <c r="I11" s="31">
        <f>IFERROR(__xludf.DUMMYFUNCTION("""COMPUTED_VALUE"""),0)</f>
        <v>0</v>
      </c>
      <c r="J11" s="31">
        <f>IFERROR(__xludf.DUMMYFUNCTION("""COMPUTED_VALUE"""),3)</f>
        <v>3</v>
      </c>
      <c r="K11" s="31" t="str">
        <f>IFERROR(__xludf.DUMMYFUNCTION("""COMPUTED_VALUE"""),"AG11178")</f>
        <v>AG11178</v>
      </c>
      <c r="L11" s="31" t="str">
        <f>IFERROR(__xludf.DUMMYFUNCTION("""COMPUTED_VALUE"""),"Ms.SNEKHA A R")</f>
        <v>Ms.SNEKHA A R</v>
      </c>
      <c r="M11" s="31" t="str">
        <f>IFERROR(__xludf.DUMMYFUNCTION("""COMPUTED_VALUE"""),"snekhaar@bitsathy.ac.in")</f>
        <v>snekhaar@bitsathy.ac.in</v>
      </c>
    </row>
    <row r="12" ht="35.25" customHeight="1" spans="1:13">
      <c r="A12" s="31" t="str">
        <f>IFERROR(__xludf.DUMMYFUNCTION("""COMPUTED_VALUE"""),"AGRI")</f>
        <v>AGRI</v>
      </c>
      <c r="B12" s="31" t="str">
        <f>IFERROR(__xludf.DUMMYFUNCTION("""COMPUTED_VALUE"""),"S6")</f>
        <v>S6</v>
      </c>
      <c r="C12" s="31" t="str">
        <f>IFERROR(__xludf.DUMMYFUNCTION("""COMPUTED_VALUE"""),"MINI PROJECT")</f>
        <v>MINI PROJECT</v>
      </c>
      <c r="D12" s="31" t="str">
        <f>IFERROR(__xludf.DUMMYFUNCTION("""COMPUTED_VALUE"""),"22AG607")</f>
        <v>22AG607</v>
      </c>
      <c r="E12" s="98" t="str">
        <f>IFERROR(__xludf.DUMMYFUNCTION("""COMPUTED_VALUE"""),"MINI PROJECT II")</f>
        <v>MINI PROJECT II</v>
      </c>
      <c r="F12" s="31" t="str">
        <f>IFERROR(__xludf.DUMMYFUNCTION("""COMPUTED_VALUE"""),"LAB")</f>
        <v>LAB</v>
      </c>
      <c r="G12" s="31">
        <f>IFERROR(__xludf.DUMMYFUNCTION("""COMPUTED_VALUE"""),0)</f>
        <v>0</v>
      </c>
      <c r="H12" s="31">
        <f>IFERROR(__xludf.DUMMYFUNCTION("""COMPUTED_VALUE"""),0)</f>
        <v>0</v>
      </c>
      <c r="I12" s="31">
        <f>IFERROR(__xludf.DUMMYFUNCTION("""COMPUTED_VALUE"""),2)</f>
        <v>2</v>
      </c>
      <c r="J12" s="31">
        <f>IFERROR(__xludf.DUMMYFUNCTION("""COMPUTED_VALUE"""),1)</f>
        <v>1</v>
      </c>
      <c r="K12" s="31"/>
      <c r="L12" s="31"/>
      <c r="M12" s="31"/>
    </row>
    <row r="13" ht="35.25" customHeight="1" spans="1:13">
      <c r="A13" s="31" t="str">
        <f>IFERROR(__xludf.DUMMYFUNCTION("""COMPUTED_VALUE"""),"AIDS")</f>
        <v>AIDS</v>
      </c>
      <c r="B13" s="31" t="str">
        <f>IFERROR(__xludf.DUMMYFUNCTION("""COMPUTED_VALUE"""),"S6")</f>
        <v>S6</v>
      </c>
      <c r="C13" s="31" t="str">
        <f>IFERROR(__xludf.DUMMYFUNCTION("""COMPUTED_VALUE"""),"CORE")</f>
        <v>CORE</v>
      </c>
      <c r="D13" s="31" t="str">
        <f>IFERROR(__xludf.DUMMYFUNCTION("""COMPUTED_VALUE"""),"22AI601")</f>
        <v>22AI601</v>
      </c>
      <c r="E13" s="98" t="str">
        <f>IFERROR(__xludf.DUMMYFUNCTION("""COMPUTED_VALUE"""),"NATURAL LANGUAGE PROCESSING")</f>
        <v>NATURAL LANGUAGE PROCESSING</v>
      </c>
      <c r="F13" s="31" t="str">
        <f>IFERROR(__xludf.DUMMYFUNCTION("""COMPUTED_VALUE"""),"THEORY WITH LAB")</f>
        <v>THEORY WITH LAB</v>
      </c>
      <c r="G13" s="31">
        <f>IFERROR(__xludf.DUMMYFUNCTION("""COMPUTED_VALUE"""),3)</f>
        <v>3</v>
      </c>
      <c r="H13" s="31">
        <f>IFERROR(__xludf.DUMMYFUNCTION("""COMPUTED_VALUE"""),0)</f>
        <v>0</v>
      </c>
      <c r="I13" s="31">
        <f>IFERROR(__xludf.DUMMYFUNCTION("""COMPUTED_VALUE"""),2)</f>
        <v>2</v>
      </c>
      <c r="J13" s="31">
        <f>IFERROR(__xludf.DUMMYFUNCTION("""COMPUTED_VALUE"""),4)</f>
        <v>4</v>
      </c>
      <c r="K13" s="31" t="str">
        <f>IFERROR(__xludf.DUMMYFUNCTION("""COMPUTED_VALUE"""),"AD11042")</f>
        <v>AD11042</v>
      </c>
      <c r="L13" s="31" t="str">
        <f>IFERROR(__xludf.DUMMYFUNCTION("""COMPUTED_VALUE"""),"Mrs.JEEVITHA S V")</f>
        <v>Mrs.JEEVITHA S V</v>
      </c>
      <c r="M13" s="31" t="str">
        <f>IFERROR(__xludf.DUMMYFUNCTION("""COMPUTED_VALUE"""),"jeevithasv@bitsathy.ac.in")</f>
        <v>jeevithasv@bitsathy.ac.in</v>
      </c>
    </row>
    <row r="14" ht="35.25" customHeight="1" spans="1:13">
      <c r="A14" s="31" t="str">
        <f>IFERROR(__xludf.DUMMYFUNCTION("""COMPUTED_VALUE"""),"AIDS")</f>
        <v>AIDS</v>
      </c>
      <c r="B14" s="31" t="str">
        <f>IFERROR(__xludf.DUMMYFUNCTION("""COMPUTED_VALUE"""),"S6")</f>
        <v>S6</v>
      </c>
      <c r="C14" s="31" t="str">
        <f>IFERROR(__xludf.DUMMYFUNCTION("""COMPUTED_VALUE"""),"CORE")</f>
        <v>CORE</v>
      </c>
      <c r="D14" s="31" t="str">
        <f>IFERROR(__xludf.DUMMYFUNCTION("""COMPUTED_VALUE"""),"22AI601")</f>
        <v>22AI601</v>
      </c>
      <c r="E14" s="98" t="str">
        <f>IFERROR(__xludf.DUMMYFUNCTION("""COMPUTED_VALUE"""),"NATURAL LANGUAGE PROCESSING")</f>
        <v>NATURAL LANGUAGE PROCESSING</v>
      </c>
      <c r="F14" s="31" t="str">
        <f>IFERROR(__xludf.DUMMYFUNCTION("""COMPUTED_VALUE"""),"THEORY WITH LAB")</f>
        <v>THEORY WITH LAB</v>
      </c>
      <c r="G14" s="31">
        <f>IFERROR(__xludf.DUMMYFUNCTION("""COMPUTED_VALUE"""),3)</f>
        <v>3</v>
      </c>
      <c r="H14" s="31">
        <f>IFERROR(__xludf.DUMMYFUNCTION("""COMPUTED_VALUE"""),0)</f>
        <v>0</v>
      </c>
      <c r="I14" s="31">
        <f>IFERROR(__xludf.DUMMYFUNCTION("""COMPUTED_VALUE"""),2)</f>
        <v>2</v>
      </c>
      <c r="J14" s="31">
        <f>IFERROR(__xludf.DUMMYFUNCTION("""COMPUTED_VALUE"""),4)</f>
        <v>4</v>
      </c>
      <c r="K14" s="31" t="str">
        <f>IFERROR(__xludf.DUMMYFUNCTION("""COMPUTED_VALUE"""),"AD11164")</f>
        <v>AD11164</v>
      </c>
      <c r="L14" s="31" t="str">
        <f>IFERROR(__xludf.DUMMYFUNCTION("""COMPUTED_VALUE"""),"Mr.SASSON TAFFWIN MOSES S")</f>
        <v>Mr.SASSON TAFFWIN MOSES S</v>
      </c>
      <c r="M14" s="31" t="str">
        <f>IFERROR(__xludf.DUMMYFUNCTION("""COMPUTED_VALUE"""),"sassontaffwinmosess@bitsathy.ac.in")</f>
        <v>sassontaffwinmosess@bitsathy.ac.in</v>
      </c>
    </row>
    <row r="15" ht="35.25" customHeight="1" spans="1:13">
      <c r="A15" s="31" t="str">
        <f>IFERROR(__xludf.DUMMYFUNCTION("""COMPUTED_VALUE"""),"AIDS")</f>
        <v>AIDS</v>
      </c>
      <c r="B15" s="31" t="str">
        <f>IFERROR(__xludf.DUMMYFUNCTION("""COMPUTED_VALUE"""),"S6")</f>
        <v>S6</v>
      </c>
      <c r="C15" s="31" t="str">
        <f>IFERROR(__xludf.DUMMYFUNCTION("""COMPUTED_VALUE"""),"CORE")</f>
        <v>CORE</v>
      </c>
      <c r="D15" s="31" t="str">
        <f>IFERROR(__xludf.DUMMYFUNCTION("""COMPUTED_VALUE"""),"22AI601")</f>
        <v>22AI601</v>
      </c>
      <c r="E15" s="98" t="str">
        <f>IFERROR(__xludf.DUMMYFUNCTION("""COMPUTED_VALUE"""),"NATURAL LANGUAGE PROCESSING")</f>
        <v>NATURAL LANGUAGE PROCESSING</v>
      </c>
      <c r="F15" s="31" t="str">
        <f>IFERROR(__xludf.DUMMYFUNCTION("""COMPUTED_VALUE"""),"THEORY WITH LAB")</f>
        <v>THEORY WITH LAB</v>
      </c>
      <c r="G15" s="31">
        <f>IFERROR(__xludf.DUMMYFUNCTION("""COMPUTED_VALUE"""),3)</f>
        <v>3</v>
      </c>
      <c r="H15" s="31">
        <f>IFERROR(__xludf.DUMMYFUNCTION("""COMPUTED_VALUE"""),0)</f>
        <v>0</v>
      </c>
      <c r="I15" s="31">
        <f>IFERROR(__xludf.DUMMYFUNCTION("""COMPUTED_VALUE"""),2)</f>
        <v>2</v>
      </c>
      <c r="J15" s="31">
        <f>IFERROR(__xludf.DUMMYFUNCTION("""COMPUTED_VALUE"""),4)</f>
        <v>4</v>
      </c>
      <c r="K15" s="31" t="str">
        <f>IFERROR(__xludf.DUMMYFUNCTION("""COMPUTED_VALUE"""),"AD11069")</f>
        <v>AD11069</v>
      </c>
      <c r="L15" s="31" t="str">
        <f>IFERROR(__xludf.DUMMYFUNCTION("""COMPUTED_VALUE"""),"Mr.PREMKUMAR C")</f>
        <v>Mr.PREMKUMAR C</v>
      </c>
      <c r="M15" s="31" t="str">
        <f>IFERROR(__xludf.DUMMYFUNCTION("""COMPUTED_VALUE"""),"premkumar@bitsathy.ac.in")</f>
        <v>premkumar@bitsathy.ac.in</v>
      </c>
    </row>
    <row r="16" ht="35.25" customHeight="1" spans="1:13">
      <c r="A16" s="31" t="str">
        <f>IFERROR(__xludf.DUMMYFUNCTION("""COMPUTED_VALUE"""),"AIDS")</f>
        <v>AIDS</v>
      </c>
      <c r="B16" s="31" t="str">
        <f>IFERROR(__xludf.DUMMYFUNCTION("""COMPUTED_VALUE"""),"S6")</f>
        <v>S6</v>
      </c>
      <c r="C16" s="31" t="str">
        <f>IFERROR(__xludf.DUMMYFUNCTION("""COMPUTED_VALUE"""),"CORE")</f>
        <v>CORE</v>
      </c>
      <c r="D16" s="31" t="str">
        <f>IFERROR(__xludf.DUMMYFUNCTION("""COMPUTED_VALUE"""),"22AI602")</f>
        <v>22AI602</v>
      </c>
      <c r="E16" s="98" t="str">
        <f>IFERROR(__xludf.DUMMYFUNCTION("""COMPUTED_VALUE"""),"COMPUTER VISION AND DIGITAL IMAGING")</f>
        <v>COMPUTER VISION AND DIGITAL IMAGING</v>
      </c>
      <c r="F16" s="31" t="str">
        <f>IFERROR(__xludf.DUMMYFUNCTION("""COMPUTED_VALUE"""),"THEORY WITH LAB")</f>
        <v>THEORY WITH LAB</v>
      </c>
      <c r="G16" s="31">
        <f>IFERROR(__xludf.DUMMYFUNCTION("""COMPUTED_VALUE"""),3)</f>
        <v>3</v>
      </c>
      <c r="H16" s="31">
        <f>IFERROR(__xludf.DUMMYFUNCTION("""COMPUTED_VALUE"""),0)</f>
        <v>0</v>
      </c>
      <c r="I16" s="31">
        <f>IFERROR(__xludf.DUMMYFUNCTION("""COMPUTED_VALUE"""),2)</f>
        <v>2</v>
      </c>
      <c r="J16" s="31">
        <f>IFERROR(__xludf.DUMMYFUNCTION("""COMPUTED_VALUE"""),4)</f>
        <v>4</v>
      </c>
      <c r="K16" s="31" t="str">
        <f>IFERROR(__xludf.DUMMYFUNCTION("""COMPUTED_VALUE"""),"AD11009")</f>
        <v>AD11009</v>
      </c>
      <c r="L16" s="31" t="str">
        <f>IFERROR(__xludf.DUMMYFUNCTION("""COMPUTED_VALUE"""),"Mrs.DIVYABARATHI P")</f>
        <v>Mrs.DIVYABARATHI P</v>
      </c>
      <c r="M16" s="31" t="str">
        <f>IFERROR(__xludf.DUMMYFUNCTION("""COMPUTED_VALUE"""),"divyabarathip@bitsathy.ac.in")</f>
        <v>divyabarathip@bitsathy.ac.in</v>
      </c>
    </row>
    <row r="17" ht="35.25" customHeight="1" spans="1:13">
      <c r="A17" s="31" t="str">
        <f>IFERROR(__xludf.DUMMYFUNCTION("""COMPUTED_VALUE"""),"AIDS")</f>
        <v>AIDS</v>
      </c>
      <c r="B17" s="31" t="str">
        <f>IFERROR(__xludf.DUMMYFUNCTION("""COMPUTED_VALUE"""),"S6")</f>
        <v>S6</v>
      </c>
      <c r="C17" s="31" t="str">
        <f>IFERROR(__xludf.DUMMYFUNCTION("""COMPUTED_VALUE"""),"CORE")</f>
        <v>CORE</v>
      </c>
      <c r="D17" s="31" t="str">
        <f>IFERROR(__xludf.DUMMYFUNCTION("""COMPUTED_VALUE"""),"22AI602")</f>
        <v>22AI602</v>
      </c>
      <c r="E17" s="98" t="str">
        <f>IFERROR(__xludf.DUMMYFUNCTION("""COMPUTED_VALUE"""),"COMPUTER VISION AND DIGITAL IMAGING")</f>
        <v>COMPUTER VISION AND DIGITAL IMAGING</v>
      </c>
      <c r="F17" s="31" t="str">
        <f>IFERROR(__xludf.DUMMYFUNCTION("""COMPUTED_VALUE"""),"THEORY WITH LAB")</f>
        <v>THEORY WITH LAB</v>
      </c>
      <c r="G17" s="31">
        <f>IFERROR(__xludf.DUMMYFUNCTION("""COMPUTED_VALUE"""),3)</f>
        <v>3</v>
      </c>
      <c r="H17" s="31">
        <f>IFERROR(__xludf.DUMMYFUNCTION("""COMPUTED_VALUE"""),0)</f>
        <v>0</v>
      </c>
      <c r="I17" s="31">
        <f>IFERROR(__xludf.DUMMYFUNCTION("""COMPUTED_VALUE"""),2)</f>
        <v>2</v>
      </c>
      <c r="J17" s="31">
        <f>IFERROR(__xludf.DUMMYFUNCTION("""COMPUTED_VALUE"""),4)</f>
        <v>4</v>
      </c>
      <c r="K17" s="31" t="str">
        <f>IFERROR(__xludf.DUMMYFUNCTION("""COMPUTED_VALUE"""),"AD10928")</f>
        <v>AD10928</v>
      </c>
      <c r="L17" s="31" t="str">
        <f>IFERROR(__xludf.DUMMYFUNCTION("""COMPUTED_VALUE"""),"Mrs.NISHA DEVI K")</f>
        <v>Mrs.NISHA DEVI K</v>
      </c>
      <c r="M17" s="31" t="str">
        <f>IFERROR(__xludf.DUMMYFUNCTION("""COMPUTED_VALUE"""),"nishadevik@bitsathy.ac.in")</f>
        <v>nishadevik@bitsathy.ac.in</v>
      </c>
    </row>
    <row r="18" ht="35.25" customHeight="1" spans="1:13">
      <c r="A18" s="31" t="str">
        <f>IFERROR(__xludf.DUMMYFUNCTION("""COMPUTED_VALUE"""),"AIDS")</f>
        <v>AIDS</v>
      </c>
      <c r="B18" s="31" t="str">
        <f>IFERROR(__xludf.DUMMYFUNCTION("""COMPUTED_VALUE"""),"S6")</f>
        <v>S6</v>
      </c>
      <c r="C18" s="31" t="str">
        <f>IFERROR(__xludf.DUMMYFUNCTION("""COMPUTED_VALUE"""),"CORE")</f>
        <v>CORE</v>
      </c>
      <c r="D18" s="31" t="str">
        <f>IFERROR(__xludf.DUMMYFUNCTION("""COMPUTED_VALUE"""),"22AI602")</f>
        <v>22AI602</v>
      </c>
      <c r="E18" s="98" t="str">
        <f>IFERROR(__xludf.DUMMYFUNCTION("""COMPUTED_VALUE"""),"COMPUTER VISION AND DIGITAL IMAGING")</f>
        <v>COMPUTER VISION AND DIGITAL IMAGING</v>
      </c>
      <c r="F18" s="31" t="str">
        <f>IFERROR(__xludf.DUMMYFUNCTION("""COMPUTED_VALUE"""),"THEORY")</f>
        <v>THEORY</v>
      </c>
      <c r="G18" s="31">
        <f>IFERROR(__xludf.DUMMYFUNCTION("""COMPUTED_VALUE"""),3)</f>
        <v>3</v>
      </c>
      <c r="H18" s="31">
        <f>IFERROR(__xludf.DUMMYFUNCTION("""COMPUTED_VALUE"""),0)</f>
        <v>0</v>
      </c>
      <c r="I18" s="31">
        <f>IFERROR(__xludf.DUMMYFUNCTION("""COMPUTED_VALUE"""),2)</f>
        <v>2</v>
      </c>
      <c r="J18" s="31">
        <f>IFERROR(__xludf.DUMMYFUNCTION("""COMPUTED_VALUE"""),4)</f>
        <v>4</v>
      </c>
      <c r="K18" s="31" t="str">
        <f>IFERROR(__xludf.DUMMYFUNCTION("""COMPUTED_VALUE"""),"AD11026")</f>
        <v>AD11026</v>
      </c>
      <c r="L18" s="31" t="str">
        <f>IFERROR(__xludf.DUMMYFUNCTION("""COMPUTED_VALUE"""),"Mr.CHOZHARAJAN P")</f>
        <v>Mr.CHOZHARAJAN P</v>
      </c>
      <c r="M18" s="31" t="str">
        <f>IFERROR(__xludf.DUMMYFUNCTION("""COMPUTED_VALUE"""),"chozharajanp@bitsathy.ac.in")</f>
        <v>chozharajanp@bitsathy.ac.in</v>
      </c>
    </row>
    <row r="19" ht="35.25" customHeight="1" spans="1:13">
      <c r="A19" s="31" t="str">
        <f>IFERROR(__xludf.DUMMYFUNCTION("""COMPUTED_VALUE"""),"AIDS")</f>
        <v>AIDS</v>
      </c>
      <c r="B19" s="31" t="str">
        <f>IFERROR(__xludf.DUMMYFUNCTION("""COMPUTED_VALUE"""),"S6")</f>
        <v>S6</v>
      </c>
      <c r="C19" s="31" t="str">
        <f>IFERROR(__xludf.DUMMYFUNCTION("""COMPUTED_VALUE"""),"CORE")</f>
        <v>CORE</v>
      </c>
      <c r="D19" s="31" t="str">
        <f>IFERROR(__xludf.DUMMYFUNCTION("""COMPUTED_VALUE"""),"22AI602")</f>
        <v>22AI602</v>
      </c>
      <c r="E19" s="98" t="str">
        <f>IFERROR(__xludf.DUMMYFUNCTION("""COMPUTED_VALUE"""),"COMPUTER VISION AND DIGITAL IMAGING")</f>
        <v>COMPUTER VISION AND DIGITAL IMAGING</v>
      </c>
      <c r="F19" s="31" t="str">
        <f>IFERROR(__xludf.DUMMYFUNCTION("""COMPUTED_VALUE"""),"LAB")</f>
        <v>LAB</v>
      </c>
      <c r="G19" s="31">
        <f>IFERROR(__xludf.DUMMYFUNCTION("""COMPUTED_VALUE"""),3)</f>
        <v>3</v>
      </c>
      <c r="H19" s="31">
        <f>IFERROR(__xludf.DUMMYFUNCTION("""COMPUTED_VALUE"""),0)</f>
        <v>0</v>
      </c>
      <c r="I19" s="31">
        <f>IFERROR(__xludf.DUMMYFUNCTION("""COMPUTED_VALUE"""),2)</f>
        <v>2</v>
      </c>
      <c r="J19" s="31">
        <f>IFERROR(__xludf.DUMMYFUNCTION("""COMPUTED_VALUE"""),4)</f>
        <v>4</v>
      </c>
      <c r="K19" s="31" t="str">
        <f>IFERROR(__xludf.DUMMYFUNCTION("""COMPUTED_VALUE"""),"AD11116")</f>
        <v>AD11116</v>
      </c>
      <c r="L19" s="31" t="str">
        <f>IFERROR(__xludf.DUMMYFUNCTION("""COMPUTED_VALUE"""),"Ms.PRIYADHARSHNI S")</f>
        <v>Ms.PRIYADHARSHNI S</v>
      </c>
      <c r="M19" s="31" t="str">
        <f>IFERROR(__xludf.DUMMYFUNCTION("""COMPUTED_VALUE"""),"priyadharshni@bitsathy.ac.in")</f>
        <v>priyadharshni@bitsathy.ac.in</v>
      </c>
    </row>
    <row r="20" ht="35.25" customHeight="1" spans="1:13">
      <c r="A20" s="31" t="str">
        <f>IFERROR(__xludf.DUMMYFUNCTION("""COMPUTED_VALUE"""),"AIDS")</f>
        <v>AIDS</v>
      </c>
      <c r="B20" s="31" t="str">
        <f>IFERROR(__xludf.DUMMYFUNCTION("""COMPUTED_VALUE"""),"S6")</f>
        <v>S6</v>
      </c>
      <c r="C20" s="31" t="str">
        <f>IFERROR(__xludf.DUMMYFUNCTION("""COMPUTED_VALUE"""),"CORE")</f>
        <v>CORE</v>
      </c>
      <c r="D20" s="31" t="str">
        <f>IFERROR(__xludf.DUMMYFUNCTION("""COMPUTED_VALUE"""),"22AI603")</f>
        <v>22AI603</v>
      </c>
      <c r="E20" s="98" t="str">
        <f>IFERROR(__xludf.DUMMYFUNCTION("""COMPUTED_VALUE"""),"DEEP LEARNING")</f>
        <v>DEEP LEARNING</v>
      </c>
      <c r="F20" s="31" t="str">
        <f>IFERROR(__xludf.DUMMYFUNCTION("""COMPUTED_VALUE"""),"THEORY WITH LAB")</f>
        <v>THEORY WITH LAB</v>
      </c>
      <c r="G20" s="31">
        <f>IFERROR(__xludf.DUMMYFUNCTION("""COMPUTED_VALUE"""),3)</f>
        <v>3</v>
      </c>
      <c r="H20" s="31">
        <f>IFERROR(__xludf.DUMMYFUNCTION("""COMPUTED_VALUE"""),0)</f>
        <v>0</v>
      </c>
      <c r="I20" s="31">
        <f>IFERROR(__xludf.DUMMYFUNCTION("""COMPUTED_VALUE"""),2)</f>
        <v>2</v>
      </c>
      <c r="J20" s="31">
        <f>IFERROR(__xludf.DUMMYFUNCTION("""COMPUTED_VALUE"""),4)</f>
        <v>4</v>
      </c>
      <c r="K20" s="31" t="str">
        <f>IFERROR(__xludf.DUMMYFUNCTION("""COMPUTED_VALUE"""),"AD11068")</f>
        <v>AD11068</v>
      </c>
      <c r="L20" s="31" t="str">
        <f>IFERROR(__xludf.DUMMYFUNCTION("""COMPUTED_VALUE"""),"Ms.BENITA GRACIA THANGAM J")</f>
        <v>Ms.BENITA GRACIA THANGAM J</v>
      </c>
      <c r="M20" s="31" t="str">
        <f>IFERROR(__xludf.DUMMYFUNCTION("""COMPUTED_VALUE"""),"benitagraciathangam@bitsathy.ac.in")</f>
        <v>benitagraciathangam@bitsathy.ac.in</v>
      </c>
    </row>
    <row r="21" ht="35.25" customHeight="1" spans="1:13">
      <c r="A21" s="31" t="str">
        <f>IFERROR(__xludf.DUMMYFUNCTION("""COMPUTED_VALUE"""),"AIDS")</f>
        <v>AIDS</v>
      </c>
      <c r="B21" s="31" t="str">
        <f>IFERROR(__xludf.DUMMYFUNCTION("""COMPUTED_VALUE"""),"S6")</f>
        <v>S6</v>
      </c>
      <c r="C21" s="31" t="str">
        <f>IFERROR(__xludf.DUMMYFUNCTION("""COMPUTED_VALUE"""),"CORE")</f>
        <v>CORE</v>
      </c>
      <c r="D21" s="31" t="str">
        <f>IFERROR(__xludf.DUMMYFUNCTION("""COMPUTED_VALUE"""),"22AI603")</f>
        <v>22AI603</v>
      </c>
      <c r="E21" s="98" t="str">
        <f>IFERROR(__xludf.DUMMYFUNCTION("""COMPUTED_VALUE"""),"DEEP LEARNING")</f>
        <v>DEEP LEARNING</v>
      </c>
      <c r="F21" s="31" t="str">
        <f>IFERROR(__xludf.DUMMYFUNCTION("""COMPUTED_VALUE"""),"THEORY WITH LAB")</f>
        <v>THEORY WITH LAB</v>
      </c>
      <c r="G21" s="31">
        <f>IFERROR(__xludf.DUMMYFUNCTION("""COMPUTED_VALUE"""),3)</f>
        <v>3</v>
      </c>
      <c r="H21" s="31">
        <f>IFERROR(__xludf.DUMMYFUNCTION("""COMPUTED_VALUE"""),0)</f>
        <v>0</v>
      </c>
      <c r="I21" s="31">
        <f>IFERROR(__xludf.DUMMYFUNCTION("""COMPUTED_VALUE"""),2)</f>
        <v>2</v>
      </c>
      <c r="J21" s="31">
        <f>IFERROR(__xludf.DUMMYFUNCTION("""COMPUTED_VALUE"""),4)</f>
        <v>4</v>
      </c>
      <c r="K21" s="31" t="str">
        <f>IFERROR(__xludf.DUMMYFUNCTION("""COMPUTED_VALUE"""),"AD10945")</f>
        <v>AD10945</v>
      </c>
      <c r="L21" s="31" t="str">
        <f>IFERROR(__xludf.DUMMYFUNCTION("""COMPUTED_VALUE"""),"Mr.SATHEESH N P")</f>
        <v>Mr.SATHEESH N P</v>
      </c>
      <c r="M21" s="31" t="str">
        <f>IFERROR(__xludf.DUMMYFUNCTION("""COMPUTED_VALUE"""),"satheeshnp@bitsathy.ac.in")</f>
        <v>satheeshnp@bitsathy.ac.in</v>
      </c>
    </row>
    <row r="22" ht="35.25" customHeight="1" spans="1:13">
      <c r="A22" s="31" t="str">
        <f>IFERROR(__xludf.DUMMYFUNCTION("""COMPUTED_VALUE"""),"AIDS")</f>
        <v>AIDS</v>
      </c>
      <c r="B22" s="31" t="str">
        <f>IFERROR(__xludf.DUMMYFUNCTION("""COMPUTED_VALUE"""),"S6")</f>
        <v>S6</v>
      </c>
      <c r="C22" s="31" t="str">
        <f>IFERROR(__xludf.DUMMYFUNCTION("""COMPUTED_VALUE"""),"CORE")</f>
        <v>CORE</v>
      </c>
      <c r="D22" s="31" t="str">
        <f>IFERROR(__xludf.DUMMYFUNCTION("""COMPUTED_VALUE"""),"22AI603")</f>
        <v>22AI603</v>
      </c>
      <c r="E22" s="98" t="str">
        <f>IFERROR(__xludf.DUMMYFUNCTION("""COMPUTED_VALUE"""),"DEEP LEARNING")</f>
        <v>DEEP LEARNING</v>
      </c>
      <c r="F22" s="31" t="str">
        <f>IFERROR(__xludf.DUMMYFUNCTION("""COMPUTED_VALUE"""),"THEORY WITH LAB")</f>
        <v>THEORY WITH LAB</v>
      </c>
      <c r="G22" s="31">
        <f>IFERROR(__xludf.DUMMYFUNCTION("""COMPUTED_VALUE"""),3)</f>
        <v>3</v>
      </c>
      <c r="H22" s="31">
        <f>IFERROR(__xludf.DUMMYFUNCTION("""COMPUTED_VALUE"""),0)</f>
        <v>0</v>
      </c>
      <c r="I22" s="31">
        <f>IFERROR(__xludf.DUMMYFUNCTION("""COMPUTED_VALUE"""),2)</f>
        <v>2</v>
      </c>
      <c r="J22" s="31">
        <f>IFERROR(__xludf.DUMMYFUNCTION("""COMPUTED_VALUE"""),4)</f>
        <v>4</v>
      </c>
      <c r="K22" s="31" t="str">
        <f>IFERROR(__xludf.DUMMYFUNCTION("""COMPUTED_VALUE"""),"AD11112")</f>
        <v>AD11112</v>
      </c>
      <c r="L22" s="31" t="str">
        <f>IFERROR(__xludf.DUMMYFUNCTION("""COMPUTED_VALUE"""),"Mrs.HEMA PRIYA D")</f>
        <v>Mrs.HEMA PRIYA D</v>
      </c>
      <c r="M22" s="31" t="str">
        <f>IFERROR(__xludf.DUMMYFUNCTION("""COMPUTED_VALUE"""),"hemapriyad@bitsathy.ac.in")</f>
        <v>hemapriyad@bitsathy.ac.in</v>
      </c>
    </row>
    <row r="23" ht="35.25" customHeight="1" spans="1:13">
      <c r="A23" s="31" t="str">
        <f>IFERROR(__xludf.DUMMYFUNCTION("""COMPUTED_VALUE"""),"AIDS")</f>
        <v>AIDS</v>
      </c>
      <c r="B23" s="31" t="str">
        <f>IFERROR(__xludf.DUMMYFUNCTION("""COMPUTED_VALUE"""),"S6")</f>
        <v>S6</v>
      </c>
      <c r="C23" s="31" t="str">
        <f>IFERROR(__xludf.DUMMYFUNCTION("""COMPUTED_VALUE"""),"ELECTIVE 3")</f>
        <v>ELECTIVE 3</v>
      </c>
      <c r="D23" s="31" t="str">
        <f>IFERROR(__xludf.DUMMYFUNCTION("""COMPUTED_VALUE"""),"22AI020")</f>
        <v>22AI020</v>
      </c>
      <c r="E23" s="98" t="str">
        <f>IFERROR(__xludf.DUMMYFUNCTION("""COMPUTED_VALUE"""),"REINFORCEMENT LEARNING")</f>
        <v>REINFORCEMENT LEARNING</v>
      </c>
      <c r="F23" s="31" t="str">
        <f>IFERROR(__xludf.DUMMYFUNCTION("""COMPUTED_VALUE"""),"THEORY")</f>
        <v>THEORY</v>
      </c>
      <c r="G23" s="31">
        <f>IFERROR(__xludf.DUMMYFUNCTION("""COMPUTED_VALUE"""),3)</f>
        <v>3</v>
      </c>
      <c r="H23" s="31">
        <f>IFERROR(__xludf.DUMMYFUNCTION("""COMPUTED_VALUE"""),0)</f>
        <v>0</v>
      </c>
      <c r="I23" s="31">
        <f>IFERROR(__xludf.DUMMYFUNCTION("""COMPUTED_VALUE"""),0)</f>
        <v>0</v>
      </c>
      <c r="J23" s="31">
        <f>IFERROR(__xludf.DUMMYFUNCTION("""COMPUTED_VALUE"""),3)</f>
        <v>3</v>
      </c>
      <c r="K23" s="31" t="str">
        <f>IFERROR(__xludf.DUMMYFUNCTION("""COMPUTED_VALUE"""),"AD11041")</f>
        <v>AD11041</v>
      </c>
      <c r="L23" s="31" t="str">
        <f>IFERROR(__xludf.DUMMYFUNCTION("""COMPUTED_VALUE"""),"Mrs.ASHFORN HERMINA J M")</f>
        <v>Mrs.ASHFORN HERMINA J M</v>
      </c>
      <c r="M23" s="31" t="str">
        <f>IFERROR(__xludf.DUMMYFUNCTION("""COMPUTED_VALUE"""),"ashfornherminajm@bitsathy.ac.in")</f>
        <v>ashfornherminajm@bitsathy.ac.in</v>
      </c>
    </row>
    <row r="24" ht="35.25" customHeight="1" spans="1:13">
      <c r="A24" s="31" t="str">
        <f>IFERROR(__xludf.DUMMYFUNCTION("""COMPUTED_VALUE"""),"AIDS")</f>
        <v>AIDS</v>
      </c>
      <c r="B24" s="31" t="str">
        <f>IFERROR(__xludf.DUMMYFUNCTION("""COMPUTED_VALUE"""),"S6")</f>
        <v>S6</v>
      </c>
      <c r="C24" s="31" t="str">
        <f>IFERROR(__xludf.DUMMYFUNCTION("""COMPUTED_VALUE"""),"ELECTIVE 3")</f>
        <v>ELECTIVE 3</v>
      </c>
      <c r="D24" s="31" t="str">
        <f>IFERROR(__xludf.DUMMYFUNCTION("""COMPUTED_VALUE"""),"22AI049")</f>
        <v>22AI049</v>
      </c>
      <c r="E24" s="98" t="str">
        <f>IFERROR(__xludf.DUMMYFUNCTION("""COMPUTED_VALUE"""),"ETHICS IN DATA SCIENCE")</f>
        <v>ETHICS IN DATA SCIENCE</v>
      </c>
      <c r="F24" s="31" t="str">
        <f>IFERROR(__xludf.DUMMYFUNCTION("""COMPUTED_VALUE"""),"THEORY")</f>
        <v>THEORY</v>
      </c>
      <c r="G24" s="31">
        <f>IFERROR(__xludf.DUMMYFUNCTION("""COMPUTED_VALUE"""),3)</f>
        <v>3</v>
      </c>
      <c r="H24" s="31">
        <f>IFERROR(__xludf.DUMMYFUNCTION("""COMPUTED_VALUE"""),0)</f>
        <v>0</v>
      </c>
      <c r="I24" s="31">
        <f>IFERROR(__xludf.DUMMYFUNCTION("""COMPUTED_VALUE"""),0)</f>
        <v>0</v>
      </c>
      <c r="J24" s="31">
        <f>IFERROR(__xludf.DUMMYFUNCTION("""COMPUTED_VALUE"""),3)</f>
        <v>3</v>
      </c>
      <c r="K24" s="31" t="str">
        <f>IFERROR(__xludf.DUMMYFUNCTION("""COMPUTED_VALUE"""),"CB11145")</f>
        <v>CB11145</v>
      </c>
      <c r="L24" s="31" t="str">
        <f>IFERROR(__xludf.DUMMYFUNCTION("""COMPUTED_VALUE"""),"Mrs.DIVYA S")</f>
        <v>Mrs.DIVYA S</v>
      </c>
      <c r="M24" s="31" t="str">
        <f>IFERROR(__xludf.DUMMYFUNCTION("""COMPUTED_VALUE"""),"divyaks@bitsathy.ac.in")</f>
        <v>divyaks@bitsathy.ac.in</v>
      </c>
    </row>
    <row r="25" ht="35.25" customHeight="1" spans="1:13">
      <c r="A25" s="31" t="str">
        <f>IFERROR(__xludf.DUMMYFUNCTION("""COMPUTED_VALUE"""),"AIDS")</f>
        <v>AIDS</v>
      </c>
      <c r="B25" s="31" t="str">
        <f>IFERROR(__xludf.DUMMYFUNCTION("""COMPUTED_VALUE"""),"S6")</f>
        <v>S6</v>
      </c>
      <c r="C25" s="31" t="str">
        <f>IFERROR(__xludf.DUMMYFUNCTION("""COMPUTED_VALUE"""),"ELECTIVE 3")</f>
        <v>ELECTIVE 3</v>
      </c>
      <c r="D25" s="31" t="str">
        <f>IFERROR(__xludf.DUMMYFUNCTION("""COMPUTED_VALUE"""),"22AI049")</f>
        <v>22AI049</v>
      </c>
      <c r="E25" s="98" t="str">
        <f>IFERROR(__xludf.DUMMYFUNCTION("""COMPUTED_VALUE"""),"ETHICS IN DATA SCIENCE")</f>
        <v>ETHICS IN DATA SCIENCE</v>
      </c>
      <c r="F25" s="31" t="str">
        <f>IFERROR(__xludf.DUMMYFUNCTION("""COMPUTED_VALUE"""),"THEORY")</f>
        <v>THEORY</v>
      </c>
      <c r="G25" s="31">
        <f>IFERROR(__xludf.DUMMYFUNCTION("""COMPUTED_VALUE"""),3)</f>
        <v>3</v>
      </c>
      <c r="H25" s="31">
        <f>IFERROR(__xludf.DUMMYFUNCTION("""COMPUTED_VALUE"""),0)</f>
        <v>0</v>
      </c>
      <c r="I25" s="31">
        <f>IFERROR(__xludf.DUMMYFUNCTION("""COMPUTED_VALUE"""),0)</f>
        <v>0</v>
      </c>
      <c r="J25" s="31">
        <f>IFERROR(__xludf.DUMMYFUNCTION("""COMPUTED_VALUE"""),3)</f>
        <v>3</v>
      </c>
      <c r="K25" s="31" t="str">
        <f>IFERROR(__xludf.DUMMYFUNCTION("""COMPUTED_VALUE"""),"AD11169")</f>
        <v>AD11169</v>
      </c>
      <c r="L25" s="31" t="str">
        <f>IFERROR(__xludf.DUMMYFUNCTION("""COMPUTED_VALUE"""),"Mrs.MANOCHITRA A S")</f>
        <v>Mrs.MANOCHITRA A S</v>
      </c>
      <c r="M25" s="31" t="str">
        <f>IFERROR(__xludf.DUMMYFUNCTION("""COMPUTED_VALUE"""),"manochitra@bitsathy.ac.in")</f>
        <v>manochitra@bitsathy.ac.in</v>
      </c>
    </row>
    <row r="26" ht="35.25" customHeight="1" spans="1:13">
      <c r="A26" s="31" t="str">
        <f>IFERROR(__xludf.DUMMYFUNCTION("""COMPUTED_VALUE"""),"AIDS")</f>
        <v>AIDS</v>
      </c>
      <c r="B26" s="31" t="str">
        <f>IFERROR(__xludf.DUMMYFUNCTION("""COMPUTED_VALUE"""),"S6")</f>
        <v>S6</v>
      </c>
      <c r="C26" s="31" t="str">
        <f>IFERROR(__xludf.DUMMYFUNCTION("""COMPUTED_VALUE"""),"ELECTIVE 4")</f>
        <v>ELECTIVE 4</v>
      </c>
      <c r="D26" s="31" t="str">
        <f>IFERROR(__xludf.DUMMYFUNCTION("""COMPUTED_VALUE"""),"22AI025")</f>
        <v>22AI025</v>
      </c>
      <c r="E26" s="98" t="str">
        <f>IFERROR(__xludf.DUMMYFUNCTION("""COMPUTED_VALUE"""),"KNOWLEDGE ENGINEERING")</f>
        <v>KNOWLEDGE ENGINEERING</v>
      </c>
      <c r="F26" s="31" t="str">
        <f>IFERROR(__xludf.DUMMYFUNCTION("""COMPUTED_VALUE"""),"THEORY")</f>
        <v>THEORY</v>
      </c>
      <c r="G26" s="31">
        <f>IFERROR(__xludf.DUMMYFUNCTION("""COMPUTED_VALUE"""),3)</f>
        <v>3</v>
      </c>
      <c r="H26" s="31">
        <f>IFERROR(__xludf.DUMMYFUNCTION("""COMPUTED_VALUE"""),0)</f>
        <v>0</v>
      </c>
      <c r="I26" s="31">
        <f>IFERROR(__xludf.DUMMYFUNCTION("""COMPUTED_VALUE"""),0)</f>
        <v>0</v>
      </c>
      <c r="J26" s="31">
        <f>IFERROR(__xludf.DUMMYFUNCTION("""COMPUTED_VALUE"""),3)</f>
        <v>3</v>
      </c>
      <c r="K26" s="31" t="str">
        <f>IFERROR(__xludf.DUMMYFUNCTION("""COMPUTED_VALUE"""),"AD11019")</f>
        <v>AD11019</v>
      </c>
      <c r="L26" s="31" t="str">
        <f>IFERROR(__xludf.DUMMYFUNCTION("""COMPUTED_VALUE"""),"Mrs.KIRUTHIGA R")</f>
        <v>Mrs.KIRUTHIGA R</v>
      </c>
      <c r="M26" s="31" t="str">
        <f>IFERROR(__xludf.DUMMYFUNCTION("""COMPUTED_VALUE"""),"kiruthigar@bitsathy.ac.in")</f>
        <v>kiruthigar@bitsathy.ac.in</v>
      </c>
    </row>
    <row r="27" ht="35.25" customHeight="1" spans="1:13">
      <c r="A27" s="31" t="str">
        <f>IFERROR(__xludf.DUMMYFUNCTION("""COMPUTED_VALUE"""),"AIDS")</f>
        <v>AIDS</v>
      </c>
      <c r="B27" s="31" t="str">
        <f>IFERROR(__xludf.DUMMYFUNCTION("""COMPUTED_VALUE"""),"S6")</f>
        <v>S6</v>
      </c>
      <c r="C27" s="31" t="str">
        <f>IFERROR(__xludf.DUMMYFUNCTION("""COMPUTED_VALUE"""),"ELECTIVE 4")</f>
        <v>ELECTIVE 4</v>
      </c>
      <c r="D27" s="31" t="str">
        <f>IFERROR(__xludf.DUMMYFUNCTION("""COMPUTED_VALUE"""),"22AI025")</f>
        <v>22AI025</v>
      </c>
      <c r="E27" s="98" t="str">
        <f>IFERROR(__xludf.DUMMYFUNCTION("""COMPUTED_VALUE"""),"KNOWLEDGE ENGINEERING")</f>
        <v>KNOWLEDGE ENGINEERING</v>
      </c>
      <c r="F27" s="31" t="str">
        <f>IFERROR(__xludf.DUMMYFUNCTION("""COMPUTED_VALUE"""),"THEORY")</f>
        <v>THEORY</v>
      </c>
      <c r="G27" s="31">
        <f>IFERROR(__xludf.DUMMYFUNCTION("""COMPUTED_VALUE"""),3)</f>
        <v>3</v>
      </c>
      <c r="H27" s="31">
        <f>IFERROR(__xludf.DUMMYFUNCTION("""COMPUTED_VALUE"""),0)</f>
        <v>0</v>
      </c>
      <c r="I27" s="31">
        <f>IFERROR(__xludf.DUMMYFUNCTION("""COMPUTED_VALUE"""),0)</f>
        <v>0</v>
      </c>
      <c r="J27" s="31">
        <f>IFERROR(__xludf.DUMMYFUNCTION("""COMPUTED_VALUE"""),3)</f>
        <v>3</v>
      </c>
      <c r="K27" s="31" t="str">
        <f>IFERROR(__xludf.DUMMYFUNCTION("""COMPUTED_VALUE"""),"AM10971")</f>
        <v>AM10971</v>
      </c>
      <c r="L27" s="31" t="str">
        <f>IFERROR(__xludf.DUMMYFUNCTION("""COMPUTED_VALUE"""),"Mr.NITHIN P")</f>
        <v>Mr.NITHIN P</v>
      </c>
      <c r="M27" s="31" t="str">
        <f>IFERROR(__xludf.DUMMYFUNCTION("""COMPUTED_VALUE"""),"nithinp@bitsathy.ac.in")</f>
        <v>nithinp@bitsathy.ac.in</v>
      </c>
    </row>
    <row r="28" ht="35.25" customHeight="1" spans="1:13">
      <c r="A28" s="31" t="str">
        <f>IFERROR(__xludf.DUMMYFUNCTION("""COMPUTED_VALUE"""),"AIDS")</f>
        <v>AIDS</v>
      </c>
      <c r="B28" s="31" t="str">
        <f>IFERROR(__xludf.DUMMYFUNCTION("""COMPUTED_VALUE"""),"S6")</f>
        <v>S6</v>
      </c>
      <c r="C28" s="31" t="str">
        <f>IFERROR(__xludf.DUMMYFUNCTION("""COMPUTED_VALUE"""),"ELECTIVE 4")</f>
        <v>ELECTIVE 4</v>
      </c>
      <c r="D28" s="31" t="str">
        <f>IFERROR(__xludf.DUMMYFUNCTION("""COMPUTED_VALUE"""),"22AI032")</f>
        <v>22AI032</v>
      </c>
      <c r="E28" s="98" t="str">
        <f>IFERROR(__xludf.DUMMYFUNCTION("""COMPUTED_VALUE"""),"RECOMMENDER SYSTEMS")</f>
        <v>RECOMMENDER SYSTEMS</v>
      </c>
      <c r="F28" s="31" t="str">
        <f>IFERROR(__xludf.DUMMYFUNCTION("""COMPUTED_VALUE"""),"THEORY")</f>
        <v>THEORY</v>
      </c>
      <c r="G28" s="31">
        <f>IFERROR(__xludf.DUMMYFUNCTION("""COMPUTED_VALUE"""),3)</f>
        <v>3</v>
      </c>
      <c r="H28" s="31">
        <f>IFERROR(__xludf.DUMMYFUNCTION("""COMPUTED_VALUE"""),0)</f>
        <v>0</v>
      </c>
      <c r="I28" s="31">
        <f>IFERROR(__xludf.DUMMYFUNCTION("""COMPUTED_VALUE"""),0)</f>
        <v>0</v>
      </c>
      <c r="J28" s="31">
        <f>IFERROR(__xludf.DUMMYFUNCTION("""COMPUTED_VALUE"""),3)</f>
        <v>3</v>
      </c>
      <c r="K28" s="31" t="str">
        <f>IFERROR(__xludf.DUMMYFUNCTION("""COMPUTED_VALUE"""),"AD11096")</f>
        <v>AD11096</v>
      </c>
      <c r="L28" s="31" t="str">
        <f>IFERROR(__xludf.DUMMYFUNCTION("""COMPUTED_VALUE"""),"Dr.SUBBULAKSHMI M")</f>
        <v>Dr.SUBBULAKSHMI M</v>
      </c>
      <c r="M28" s="31" t="str">
        <f>IFERROR(__xludf.DUMMYFUNCTION("""COMPUTED_VALUE"""),"subbulakshmi@bitsathy.ac.in")</f>
        <v>subbulakshmi@bitsathy.ac.in</v>
      </c>
    </row>
    <row r="29" ht="35.25" customHeight="1" spans="1:13">
      <c r="A29" s="31" t="str">
        <f>IFERROR(__xludf.DUMMYFUNCTION("""COMPUTED_VALUE"""),"AIDS")</f>
        <v>AIDS</v>
      </c>
      <c r="B29" s="31" t="str">
        <f>IFERROR(__xludf.DUMMYFUNCTION("""COMPUTED_VALUE"""),"S6")</f>
        <v>S6</v>
      </c>
      <c r="C29" s="31" t="str">
        <f>IFERROR(__xludf.DUMMYFUNCTION("""COMPUTED_VALUE"""),"ELECTIVE 4")</f>
        <v>ELECTIVE 4</v>
      </c>
      <c r="D29" s="31" t="str">
        <f>IFERROR(__xludf.DUMMYFUNCTION("""COMPUTED_VALUE"""),"22AI032")</f>
        <v>22AI032</v>
      </c>
      <c r="E29" s="98" t="str">
        <f>IFERROR(__xludf.DUMMYFUNCTION("""COMPUTED_VALUE"""),"RECOMMENDER SYSTEMS")</f>
        <v>RECOMMENDER SYSTEMS</v>
      </c>
      <c r="F29" s="31" t="str">
        <f>IFERROR(__xludf.DUMMYFUNCTION("""COMPUTED_VALUE"""),"THEORY")</f>
        <v>THEORY</v>
      </c>
      <c r="G29" s="31">
        <f>IFERROR(__xludf.DUMMYFUNCTION("""COMPUTED_VALUE"""),3)</f>
        <v>3</v>
      </c>
      <c r="H29" s="31">
        <f>IFERROR(__xludf.DUMMYFUNCTION("""COMPUTED_VALUE"""),0)</f>
        <v>0</v>
      </c>
      <c r="I29" s="31">
        <f>IFERROR(__xludf.DUMMYFUNCTION("""COMPUTED_VALUE"""),0)</f>
        <v>0</v>
      </c>
      <c r="J29" s="31">
        <f>IFERROR(__xludf.DUMMYFUNCTION("""COMPUTED_VALUE"""),3)</f>
        <v>3</v>
      </c>
      <c r="K29" s="31" t="str">
        <f>IFERROR(__xludf.DUMMYFUNCTION("""COMPUTED_VALUE"""),"AD11023")</f>
        <v>AD11023</v>
      </c>
      <c r="L29" s="31" t="str">
        <f>IFERROR(__xludf.DUMMYFUNCTION("""COMPUTED_VALUE"""),"Mrs.VAANATHI S")</f>
        <v>Mrs.VAANATHI S</v>
      </c>
      <c r="M29" s="31" t="str">
        <f>IFERROR(__xludf.DUMMYFUNCTION("""COMPUTED_VALUE"""),"vaanathi@bitsathy.ac.in")</f>
        <v>vaanathi@bitsathy.ac.in</v>
      </c>
    </row>
    <row r="30" ht="35.25" customHeight="1" spans="1:13">
      <c r="A30" s="31" t="str">
        <f>IFERROR(__xludf.DUMMYFUNCTION("""COMPUTED_VALUE"""),"AIDS")</f>
        <v>AIDS</v>
      </c>
      <c r="B30" s="31" t="str">
        <f>IFERROR(__xludf.DUMMYFUNCTION("""COMPUTED_VALUE"""),"S6")</f>
        <v>S6</v>
      </c>
      <c r="C30" s="31" t="str">
        <f>IFERROR(__xludf.DUMMYFUNCTION("""COMPUTED_VALUE"""),"ELECTIVE 5")</f>
        <v>ELECTIVE 5</v>
      </c>
      <c r="D30" s="31" t="str">
        <f>IFERROR(__xludf.DUMMYFUNCTION("""COMPUTED_VALUE"""),"22AI035")</f>
        <v>22AI035</v>
      </c>
      <c r="E30" s="98" t="str">
        <f>IFERROR(__xludf.DUMMYFUNCTION("""COMPUTED_VALUE"""),"BUSINESS ANALYTICS")</f>
        <v>BUSINESS ANALYTICS</v>
      </c>
      <c r="F30" s="31" t="str">
        <f>IFERROR(__xludf.DUMMYFUNCTION("""COMPUTED_VALUE"""),"THEORY")</f>
        <v>THEORY</v>
      </c>
      <c r="G30" s="31">
        <f>IFERROR(__xludf.DUMMYFUNCTION("""COMPUTED_VALUE"""),3)</f>
        <v>3</v>
      </c>
      <c r="H30" s="31">
        <f>IFERROR(__xludf.DUMMYFUNCTION("""COMPUTED_VALUE"""),0)</f>
        <v>0</v>
      </c>
      <c r="I30" s="31">
        <f>IFERROR(__xludf.DUMMYFUNCTION("""COMPUTED_VALUE"""),0)</f>
        <v>0</v>
      </c>
      <c r="J30" s="31">
        <f>IFERROR(__xludf.DUMMYFUNCTION("""COMPUTED_VALUE"""),3)</f>
        <v>3</v>
      </c>
      <c r="K30" s="31" t="str">
        <f>IFERROR(__xludf.DUMMYFUNCTION("""COMPUTED_VALUE"""),"AD10955")</f>
        <v>AD10955</v>
      </c>
      <c r="L30" s="31" t="str">
        <f>IFERROR(__xludf.DUMMYFUNCTION("""COMPUTED_VALUE"""),"Ms.ESAKKI MADURA E")</f>
        <v>Ms.ESAKKI MADURA E</v>
      </c>
      <c r="M30" s="31" t="str">
        <f>IFERROR(__xludf.DUMMYFUNCTION("""COMPUTED_VALUE"""),"esakkimadurae@bitsathy.ac.in")</f>
        <v>esakkimadurae@bitsathy.ac.in</v>
      </c>
    </row>
    <row r="31" ht="35.25" customHeight="1" spans="1:13">
      <c r="A31" s="31" t="str">
        <f>IFERROR(__xludf.DUMMYFUNCTION("""COMPUTED_VALUE"""),"AIDS")</f>
        <v>AIDS</v>
      </c>
      <c r="B31" s="31" t="str">
        <f>IFERROR(__xludf.DUMMYFUNCTION("""COMPUTED_VALUE"""),"S6")</f>
        <v>S6</v>
      </c>
      <c r="C31" s="31" t="str">
        <f>IFERROR(__xludf.DUMMYFUNCTION("""COMPUTED_VALUE"""),"ELECTIVE 5")</f>
        <v>ELECTIVE 5</v>
      </c>
      <c r="D31" s="31" t="str">
        <f>IFERROR(__xludf.DUMMYFUNCTION("""COMPUTED_VALUE"""),"22AI036")</f>
        <v>22AI036</v>
      </c>
      <c r="E31" s="98" t="str">
        <f>IFERROR(__xludf.DUMMYFUNCTION("""COMPUTED_VALUE"""),"DIGITAL MARKETING AND MANAGEMENT")</f>
        <v>DIGITAL MARKETING AND MANAGEMENT</v>
      </c>
      <c r="F31" s="31" t="str">
        <f>IFERROR(__xludf.DUMMYFUNCTION("""COMPUTED_VALUE"""),"THEORY")</f>
        <v>THEORY</v>
      </c>
      <c r="G31" s="31">
        <f>IFERROR(__xludf.DUMMYFUNCTION("""COMPUTED_VALUE"""),3)</f>
        <v>3</v>
      </c>
      <c r="H31" s="31">
        <f>IFERROR(__xludf.DUMMYFUNCTION("""COMPUTED_VALUE"""),0)</f>
        <v>0</v>
      </c>
      <c r="I31" s="31">
        <f>IFERROR(__xludf.DUMMYFUNCTION("""COMPUTED_VALUE"""),0)</f>
        <v>0</v>
      </c>
      <c r="J31" s="31">
        <f>IFERROR(__xludf.DUMMYFUNCTION("""COMPUTED_VALUE"""),3)</f>
        <v>3</v>
      </c>
      <c r="K31" s="31" t="str">
        <f>IFERROR(__xludf.DUMMYFUNCTION("""COMPUTED_VALUE"""),"AD11042")</f>
        <v>AD11042</v>
      </c>
      <c r="L31" s="31" t="str">
        <f>IFERROR(__xludf.DUMMYFUNCTION("""COMPUTED_VALUE"""),"Mrs.JEEVITHA S V")</f>
        <v>Mrs.JEEVITHA S V</v>
      </c>
      <c r="M31" s="31" t="str">
        <f>IFERROR(__xludf.DUMMYFUNCTION("""COMPUTED_VALUE"""),"jeevithasv@bitsathy.ac.in")</f>
        <v>jeevithasv@bitsathy.ac.in</v>
      </c>
    </row>
    <row r="32" ht="35.25" customHeight="1" spans="1:13">
      <c r="A32" s="31" t="str">
        <f>IFERROR(__xludf.DUMMYFUNCTION("""COMPUTED_VALUE"""),"AIDS")</f>
        <v>AIDS</v>
      </c>
      <c r="B32" s="31" t="str">
        <f>IFERROR(__xludf.DUMMYFUNCTION("""COMPUTED_VALUE"""),"S6")</f>
        <v>S6</v>
      </c>
      <c r="C32" s="31" t="str">
        <f>IFERROR(__xludf.DUMMYFUNCTION("""COMPUTED_VALUE"""),"ADD COURSE")</f>
        <v>ADD COURSE</v>
      </c>
      <c r="D32" s="31" t="str">
        <f>IFERROR(__xludf.DUMMYFUNCTION("""COMPUTED_VALUE"""),"22AI029")</f>
        <v>22AI029</v>
      </c>
      <c r="E32" s="98" t="str">
        <f>IFERROR(__xludf.DUMMYFUNCTION("""COMPUTED_VALUE"""),"QUANTUM COMPUTING")</f>
        <v>QUANTUM COMPUTING</v>
      </c>
      <c r="F32" s="31" t="str">
        <f>IFERROR(__xludf.DUMMYFUNCTION("""COMPUTED_VALUE"""),"THEORY")</f>
        <v>THEORY</v>
      </c>
      <c r="G32" s="31">
        <f>IFERROR(__xludf.DUMMYFUNCTION("""COMPUTED_VALUE"""),3)</f>
        <v>3</v>
      </c>
      <c r="H32" s="31">
        <f>IFERROR(__xludf.DUMMYFUNCTION("""COMPUTED_VALUE"""),0)</f>
        <v>0</v>
      </c>
      <c r="I32" s="31">
        <f>IFERROR(__xludf.DUMMYFUNCTION("""COMPUTED_VALUE"""),0)</f>
        <v>0</v>
      </c>
      <c r="J32" s="31">
        <f>IFERROR(__xludf.DUMMYFUNCTION("""COMPUTED_VALUE"""),3)</f>
        <v>3</v>
      </c>
      <c r="K32" s="31" t="str">
        <f>IFERROR(__xludf.DUMMYFUNCTION("""COMPUTED_VALUE"""),"AD10955")</f>
        <v>AD10955</v>
      </c>
      <c r="L32" s="31" t="str">
        <f>IFERROR(__xludf.DUMMYFUNCTION("""COMPUTED_VALUE"""),"Ms.ESAKKI MADURA E")</f>
        <v>Ms.ESAKKI MADURA E</v>
      </c>
      <c r="M32" s="31" t="str">
        <f>IFERROR(__xludf.DUMMYFUNCTION("""COMPUTED_VALUE"""),"esakkimadurae@bitsathy.ac.in")</f>
        <v>esakkimadurae@bitsathy.ac.in</v>
      </c>
    </row>
    <row r="33" ht="35.25" customHeight="1" spans="1:13">
      <c r="A33" s="31" t="str">
        <f>IFERROR(__xludf.DUMMYFUNCTION("""COMPUTED_VALUE"""),"AIDS")</f>
        <v>AIDS</v>
      </c>
      <c r="B33" s="31" t="str">
        <f>IFERROR(__xludf.DUMMYFUNCTION("""COMPUTED_VALUE"""),"S6")</f>
        <v>S6</v>
      </c>
      <c r="C33" s="31" t="str">
        <f>IFERROR(__xludf.DUMMYFUNCTION("""COMPUTED_VALUE"""),"ADD COURSE")</f>
        <v>ADD COURSE</v>
      </c>
      <c r="D33" s="31" t="str">
        <f>IFERROR(__xludf.DUMMYFUNCTION("""COMPUTED_VALUE"""),"22AI029")</f>
        <v>22AI029</v>
      </c>
      <c r="E33" s="98" t="str">
        <f>IFERROR(__xludf.DUMMYFUNCTION("""COMPUTED_VALUE"""),"QUANTUM COMPUTING")</f>
        <v>QUANTUM COMPUTING</v>
      </c>
      <c r="F33" s="31" t="str">
        <f>IFERROR(__xludf.DUMMYFUNCTION("""COMPUTED_VALUE"""),"THEORY")</f>
        <v>THEORY</v>
      </c>
      <c r="G33" s="31">
        <f>IFERROR(__xludf.DUMMYFUNCTION("""COMPUTED_VALUE"""),3)</f>
        <v>3</v>
      </c>
      <c r="H33" s="31">
        <f>IFERROR(__xludf.DUMMYFUNCTION("""COMPUTED_VALUE"""),0)</f>
        <v>0</v>
      </c>
      <c r="I33" s="31">
        <f>IFERROR(__xludf.DUMMYFUNCTION("""COMPUTED_VALUE"""),0)</f>
        <v>0</v>
      </c>
      <c r="J33" s="31">
        <f>IFERROR(__xludf.DUMMYFUNCTION("""COMPUTED_VALUE"""),3)</f>
        <v>3</v>
      </c>
      <c r="K33" s="31" t="str">
        <f>IFERROR(__xludf.DUMMYFUNCTION("""COMPUTED_VALUE"""),"AD11019")</f>
        <v>AD11019</v>
      </c>
      <c r="L33" s="31" t="str">
        <f>IFERROR(__xludf.DUMMYFUNCTION("""COMPUTED_VALUE"""),"Mrs.KIRUTHIGA R")</f>
        <v>Mrs.KIRUTHIGA R</v>
      </c>
      <c r="M33" s="31" t="str">
        <f>IFERROR(__xludf.DUMMYFUNCTION("""COMPUTED_VALUE"""),"kiruthigar@bitsathy.ac.in")</f>
        <v>kiruthigar@bitsathy.ac.in</v>
      </c>
    </row>
    <row r="34" ht="35.25" customHeight="1" spans="1:13">
      <c r="A34" s="31" t="str">
        <f>IFERROR(__xludf.DUMMYFUNCTION("""COMPUTED_VALUE"""),"AIDS")</f>
        <v>AIDS</v>
      </c>
      <c r="B34" s="31" t="str">
        <f>IFERROR(__xludf.DUMMYFUNCTION("""COMPUTED_VALUE"""),"S6")</f>
        <v>S6</v>
      </c>
      <c r="C34" s="31" t="str">
        <f>IFERROR(__xludf.DUMMYFUNCTION("""COMPUTED_VALUE"""),"HONOURS")</f>
        <v>HONOURS</v>
      </c>
      <c r="D34" s="31" t="str">
        <f>IFERROR(__xludf.DUMMYFUNCTION("""COMPUTED_VALUE"""),"22AIH09")</f>
        <v>22AIH09</v>
      </c>
      <c r="E34" s="98" t="str">
        <f>IFERROR(__xludf.DUMMYFUNCTION("""COMPUTED_VALUE"""),"CLOUD STORAGE TECHNOLOGIES")</f>
        <v>CLOUD STORAGE TECHNOLOGIES</v>
      </c>
      <c r="F34" s="31" t="str">
        <f>IFERROR(__xludf.DUMMYFUNCTION("""COMPUTED_VALUE"""),"THEORY")</f>
        <v>THEORY</v>
      </c>
      <c r="G34" s="31">
        <f>IFERROR(__xludf.DUMMYFUNCTION("""COMPUTED_VALUE"""),3)</f>
        <v>3</v>
      </c>
      <c r="H34" s="31">
        <f>IFERROR(__xludf.DUMMYFUNCTION("""COMPUTED_VALUE"""),0)</f>
        <v>0</v>
      </c>
      <c r="I34" s="31">
        <f>IFERROR(__xludf.DUMMYFUNCTION("""COMPUTED_VALUE"""),0)</f>
        <v>0</v>
      </c>
      <c r="J34" s="31">
        <f>IFERROR(__xludf.DUMMYFUNCTION("""COMPUTED_VALUE"""),3)</f>
        <v>3</v>
      </c>
      <c r="K34" s="31" t="str">
        <f>IFERROR(__xludf.DUMMYFUNCTION("""COMPUTED_VALUE"""),"AD11016")</f>
        <v>AD11016</v>
      </c>
      <c r="L34" s="31" t="str">
        <f>IFERROR(__xludf.DUMMYFUNCTION("""COMPUTED_VALUE"""),"Mr.SATHEESHKUMAR S")</f>
        <v>Mr.SATHEESHKUMAR S</v>
      </c>
      <c r="M34" s="31" t="str">
        <f>IFERROR(__xludf.DUMMYFUNCTION("""COMPUTED_VALUE"""),"satheeshkumars@bitsathy.ac.in")</f>
        <v>satheeshkumars@bitsathy.ac.in</v>
      </c>
    </row>
    <row r="35" ht="35.25" customHeight="1" spans="1:13">
      <c r="A35" s="31" t="str">
        <f>IFERROR(__xludf.DUMMYFUNCTION("""COMPUTED_VALUE"""),"AIDS")</f>
        <v>AIDS</v>
      </c>
      <c r="B35" s="31" t="str">
        <f>IFERROR(__xludf.DUMMYFUNCTION("""COMPUTED_VALUE"""),"S6")</f>
        <v>S6</v>
      </c>
      <c r="C35" s="31" t="str">
        <f>IFERROR(__xludf.DUMMYFUNCTION("""COMPUTED_VALUE"""),"HONOURS")</f>
        <v>HONOURS</v>
      </c>
      <c r="D35" s="31" t="str">
        <f>IFERROR(__xludf.DUMMYFUNCTION("""COMPUTED_VALUE"""),"22AIH10")</f>
        <v>22AIH10</v>
      </c>
      <c r="E35" s="98" t="str">
        <f>IFERROR(__xludf.DUMMYFUNCTION("""COMPUTED_VALUE"""),"CLOUD AUTOMATION TOOLS AND APPLICATIONS")</f>
        <v>CLOUD AUTOMATION TOOLS AND APPLICATIONS</v>
      </c>
      <c r="F35" s="31" t="str">
        <f>IFERROR(__xludf.DUMMYFUNCTION("""COMPUTED_VALUE"""),"THEORY")</f>
        <v>THEORY</v>
      </c>
      <c r="G35" s="31">
        <f>IFERROR(__xludf.DUMMYFUNCTION("""COMPUTED_VALUE"""),3)</f>
        <v>3</v>
      </c>
      <c r="H35" s="31">
        <f>IFERROR(__xludf.DUMMYFUNCTION("""COMPUTED_VALUE"""),0)</f>
        <v>0</v>
      </c>
      <c r="I35" s="31">
        <f>IFERROR(__xludf.DUMMYFUNCTION("""COMPUTED_VALUE"""),0)</f>
        <v>0</v>
      </c>
      <c r="J35" s="31">
        <f>IFERROR(__xludf.DUMMYFUNCTION("""COMPUTED_VALUE"""),3)</f>
        <v>3</v>
      </c>
      <c r="K35" s="31" t="str">
        <f>IFERROR(__xludf.DUMMYFUNCTION("""COMPUTED_VALUE"""),"AD11116")</f>
        <v>AD11116</v>
      </c>
      <c r="L35" s="31" t="str">
        <f>IFERROR(__xludf.DUMMYFUNCTION("""COMPUTED_VALUE"""),"Ms.PRIYADHARSHNI S")</f>
        <v>Ms.PRIYADHARSHNI S</v>
      </c>
      <c r="M35" s="31" t="str">
        <f>IFERROR(__xludf.DUMMYFUNCTION("""COMPUTED_VALUE"""),"priyadharshni@bitsathy.ac.in")</f>
        <v>priyadharshni@bitsathy.ac.in</v>
      </c>
    </row>
    <row r="36" ht="35.25" customHeight="1" spans="1:13">
      <c r="A36" s="31" t="str">
        <f>IFERROR(__xludf.DUMMYFUNCTION("""COMPUTED_VALUE"""),"AIDS")</f>
        <v>AIDS</v>
      </c>
      <c r="B36" s="31" t="str">
        <f>IFERROR(__xludf.DUMMYFUNCTION("""COMPUTED_VALUE"""),"S6")</f>
        <v>S6</v>
      </c>
      <c r="C36" s="31" t="str">
        <f>IFERROR(__xludf.DUMMYFUNCTION("""COMPUTED_VALUE"""),"PROJECT")</f>
        <v>PROJECT</v>
      </c>
      <c r="D36" s="31" t="str">
        <f>IFERROR(__xludf.DUMMYFUNCTION("""COMPUTED_VALUE"""),"22AI607")</f>
        <v>22AI607</v>
      </c>
      <c r="E36" s="98" t="str">
        <f>IFERROR(__xludf.DUMMYFUNCTION("""COMPUTED_VALUE"""),"MINI PROJECT II")</f>
        <v>MINI PROJECT II</v>
      </c>
      <c r="F36" s="31" t="str">
        <f>IFERROR(__xludf.DUMMYFUNCTION("""COMPUTED_VALUE"""),"LAB")</f>
        <v>LAB</v>
      </c>
      <c r="G36" s="31">
        <f>IFERROR(__xludf.DUMMYFUNCTION("""COMPUTED_VALUE"""),0)</f>
        <v>0</v>
      </c>
      <c r="H36" s="31">
        <f>IFERROR(__xludf.DUMMYFUNCTION("""COMPUTED_VALUE"""),0)</f>
        <v>0</v>
      </c>
      <c r="I36" s="31">
        <f>IFERROR(__xludf.DUMMYFUNCTION("""COMPUTED_VALUE"""),2)</f>
        <v>2</v>
      </c>
      <c r="J36" s="31">
        <f>IFERROR(__xludf.DUMMYFUNCTION("""COMPUTED_VALUE"""),1)</f>
        <v>1</v>
      </c>
      <c r="K36" s="31"/>
      <c r="L36" s="31"/>
      <c r="M36" s="31"/>
    </row>
    <row r="37" ht="35.25" customHeight="1" spans="1:13">
      <c r="A37" s="31" t="str">
        <f>IFERROR(__xludf.DUMMYFUNCTION("""COMPUTED_VALUE"""),"AIML")</f>
        <v>AIML</v>
      </c>
      <c r="B37" s="31" t="str">
        <f>IFERROR(__xludf.DUMMYFUNCTION("""COMPUTED_VALUE"""),"S6")</f>
        <v>S6</v>
      </c>
      <c r="C37" s="31" t="str">
        <f>IFERROR(__xludf.DUMMYFUNCTION("""COMPUTED_VALUE"""),"CORE")</f>
        <v>CORE</v>
      </c>
      <c r="D37" s="31" t="str">
        <f>IFERROR(__xludf.DUMMYFUNCTION("""COMPUTED_VALUE"""),"22AM601")</f>
        <v>22AM601</v>
      </c>
      <c r="E37" s="98" t="str">
        <f>IFERROR(__xludf.DUMMYFUNCTION("""COMPUTED_VALUE"""),"NATURAL LANGUAGE PROCESSING")</f>
        <v>NATURAL LANGUAGE PROCESSING</v>
      </c>
      <c r="F37" s="31" t="str">
        <f>IFERROR(__xludf.DUMMYFUNCTION("""COMPUTED_VALUE"""),"THEORY WITH LAB")</f>
        <v>THEORY WITH LAB</v>
      </c>
      <c r="G37" s="31">
        <f>IFERROR(__xludf.DUMMYFUNCTION("""COMPUTED_VALUE"""),2)</f>
        <v>2</v>
      </c>
      <c r="H37" s="31">
        <f>IFERROR(__xludf.DUMMYFUNCTION("""COMPUTED_VALUE"""),0)</f>
        <v>0</v>
      </c>
      <c r="I37" s="31">
        <f>IFERROR(__xludf.DUMMYFUNCTION("""COMPUTED_VALUE"""),2)</f>
        <v>2</v>
      </c>
      <c r="J37" s="31">
        <f>IFERROR(__xludf.DUMMYFUNCTION("""COMPUTED_VALUE"""),3)</f>
        <v>3</v>
      </c>
      <c r="K37" s="31" t="str">
        <f>IFERROR(__xludf.DUMMYFUNCTION("""COMPUTED_VALUE"""),"AM2241")</f>
        <v>AM2241</v>
      </c>
      <c r="L37" s="31" t="str">
        <f>IFERROR(__xludf.DUMMYFUNCTION("""COMPUTED_VALUE"""),"Dr.KODIESWARI A")</f>
        <v>Dr.KODIESWARI A</v>
      </c>
      <c r="M37" s="31" t="str">
        <f>IFERROR(__xludf.DUMMYFUNCTION("""COMPUTED_VALUE"""),"kodieswaria@bitsathy.ac.in")</f>
        <v>kodieswaria@bitsathy.ac.in</v>
      </c>
    </row>
    <row r="38" ht="35.25" customHeight="1" spans="1:13">
      <c r="A38" s="31" t="str">
        <f>IFERROR(__xludf.DUMMYFUNCTION("""COMPUTED_VALUE"""),"AIML")</f>
        <v>AIML</v>
      </c>
      <c r="B38" s="31" t="str">
        <f>IFERROR(__xludf.DUMMYFUNCTION("""COMPUTED_VALUE"""),"S6")</f>
        <v>S6</v>
      </c>
      <c r="C38" s="31" t="str">
        <f>IFERROR(__xludf.DUMMYFUNCTION("""COMPUTED_VALUE"""),"CORE")</f>
        <v>CORE</v>
      </c>
      <c r="D38" s="31" t="str">
        <f>IFERROR(__xludf.DUMMYFUNCTION("""COMPUTED_VALUE"""),"22AM601")</f>
        <v>22AM601</v>
      </c>
      <c r="E38" s="98" t="str">
        <f>IFERROR(__xludf.DUMMYFUNCTION("""COMPUTED_VALUE"""),"NATURAL LANGUAGE PROCESSING")</f>
        <v>NATURAL LANGUAGE PROCESSING</v>
      </c>
      <c r="F38" s="31" t="str">
        <f>IFERROR(__xludf.DUMMYFUNCTION("""COMPUTED_VALUE"""),"THEORY")</f>
        <v>THEORY</v>
      </c>
      <c r="G38" s="31">
        <f>IFERROR(__xludf.DUMMYFUNCTION("""COMPUTED_VALUE"""),2)</f>
        <v>2</v>
      </c>
      <c r="H38" s="31">
        <f>IFERROR(__xludf.DUMMYFUNCTION("""COMPUTED_VALUE"""),0)</f>
        <v>0</v>
      </c>
      <c r="I38" s="31">
        <f>IFERROR(__xludf.DUMMYFUNCTION("""COMPUTED_VALUE"""),2)</f>
        <v>2</v>
      </c>
      <c r="J38" s="31">
        <f>IFERROR(__xludf.DUMMYFUNCTION("""COMPUTED_VALUE"""),3)</f>
        <v>3</v>
      </c>
      <c r="K38" s="31" t="str">
        <f>IFERROR(__xludf.DUMMYFUNCTION("""COMPUTED_VALUE"""),"AM11039")</f>
        <v>AM11039</v>
      </c>
      <c r="L38" s="31" t="str">
        <f>IFERROR(__xludf.DUMMYFUNCTION("""COMPUTED_VALUE"""),"Mrs.EUGENE BERNA I")</f>
        <v>Mrs.EUGENE BERNA I</v>
      </c>
      <c r="M38" s="31" t="str">
        <f>IFERROR(__xludf.DUMMYFUNCTION("""COMPUTED_VALUE"""),"eugenebernai@bitsathy.ac.in")</f>
        <v>eugenebernai@bitsathy.ac.in</v>
      </c>
    </row>
    <row r="39" ht="35.25" customHeight="1" spans="1:13">
      <c r="A39" s="31" t="str">
        <f>IFERROR(__xludf.DUMMYFUNCTION("""COMPUTED_VALUE"""),"AIML")</f>
        <v>AIML</v>
      </c>
      <c r="B39" s="31" t="str">
        <f>IFERROR(__xludf.DUMMYFUNCTION("""COMPUTED_VALUE"""),"S6")</f>
        <v>S6</v>
      </c>
      <c r="C39" s="31" t="str">
        <f>IFERROR(__xludf.DUMMYFUNCTION("""COMPUTED_VALUE"""),"CORE")</f>
        <v>CORE</v>
      </c>
      <c r="D39" s="31" t="str">
        <f>IFERROR(__xludf.DUMMYFUNCTION("""COMPUTED_VALUE"""),"22AM601")</f>
        <v>22AM601</v>
      </c>
      <c r="E39" s="98" t="str">
        <f>IFERROR(__xludf.DUMMYFUNCTION("""COMPUTED_VALUE"""),"NATURAL LANGUAGE PROCESSING")</f>
        <v>NATURAL LANGUAGE PROCESSING</v>
      </c>
      <c r="F39" s="31" t="str">
        <f>IFERROR(__xludf.DUMMYFUNCTION("""COMPUTED_VALUE"""),"LAB")</f>
        <v>LAB</v>
      </c>
      <c r="G39" s="31">
        <f>IFERROR(__xludf.DUMMYFUNCTION("""COMPUTED_VALUE"""),2)</f>
        <v>2</v>
      </c>
      <c r="H39" s="31">
        <f>IFERROR(__xludf.DUMMYFUNCTION("""COMPUTED_VALUE"""),0)</f>
        <v>0</v>
      </c>
      <c r="I39" s="31">
        <f>IFERROR(__xludf.DUMMYFUNCTION("""COMPUTED_VALUE"""),2)</f>
        <v>2</v>
      </c>
      <c r="J39" s="31">
        <f>IFERROR(__xludf.DUMMYFUNCTION("""COMPUTED_VALUE"""),3)</f>
        <v>3</v>
      </c>
      <c r="K39" s="31" t="str">
        <f>IFERROR(__xludf.DUMMYFUNCTION("""COMPUTED_VALUE"""),"IS1899")</f>
        <v>IS1899</v>
      </c>
      <c r="L39" s="31" t="str">
        <f>IFERROR(__xludf.DUMMYFUNCTION("""COMPUTED_VALUE"""),"Dr.ANANDAKUMAR K")</f>
        <v>Dr.ANANDAKUMAR K</v>
      </c>
      <c r="M39" s="31" t="str">
        <f>IFERROR(__xludf.DUMMYFUNCTION("""COMPUTED_VALUE"""),"anandakumark@bitsathy.ac.in")</f>
        <v>anandakumark@bitsathy.ac.in</v>
      </c>
    </row>
    <row r="40" ht="35.25" customHeight="1" spans="1:13">
      <c r="A40" s="31" t="str">
        <f>IFERROR(__xludf.DUMMYFUNCTION("""COMPUTED_VALUE"""),"AIML")</f>
        <v>AIML</v>
      </c>
      <c r="B40" s="31" t="str">
        <f>IFERROR(__xludf.DUMMYFUNCTION("""COMPUTED_VALUE"""),"S6")</f>
        <v>S6</v>
      </c>
      <c r="C40" s="31" t="str">
        <f>IFERROR(__xludf.DUMMYFUNCTION("""COMPUTED_VALUE"""),"CORE")</f>
        <v>CORE</v>
      </c>
      <c r="D40" s="31" t="str">
        <f>IFERROR(__xludf.DUMMYFUNCTION("""COMPUTED_VALUE"""),"22AM602")</f>
        <v>22AM602</v>
      </c>
      <c r="E40" s="98" t="str">
        <f>IFERROR(__xludf.DUMMYFUNCTION("""COMPUTED_VALUE"""),"COMPUTER VISION AND DIGITAL IMAGING")</f>
        <v>COMPUTER VISION AND DIGITAL IMAGING</v>
      </c>
      <c r="F40" s="31" t="str">
        <f>IFERROR(__xludf.DUMMYFUNCTION("""COMPUTED_VALUE"""),"THEORY WITH LAB")</f>
        <v>THEORY WITH LAB</v>
      </c>
      <c r="G40" s="31">
        <f>IFERROR(__xludf.DUMMYFUNCTION("""COMPUTED_VALUE"""),3)</f>
        <v>3</v>
      </c>
      <c r="H40" s="31">
        <f>IFERROR(__xludf.DUMMYFUNCTION("""COMPUTED_VALUE"""),0)</f>
        <v>0</v>
      </c>
      <c r="I40" s="31">
        <f>IFERROR(__xludf.DUMMYFUNCTION("""COMPUTED_VALUE"""),2)</f>
        <v>2</v>
      </c>
      <c r="J40" s="31">
        <f>IFERROR(__xludf.DUMMYFUNCTION("""COMPUTED_VALUE"""),4)</f>
        <v>4</v>
      </c>
      <c r="K40" s="31" t="str">
        <f>IFERROR(__xludf.DUMMYFUNCTION("""COMPUTED_VALUE"""),"AM10907")</f>
        <v>AM10907</v>
      </c>
      <c r="L40" s="31" t="str">
        <f>IFERROR(__xludf.DUMMYFUNCTION("""COMPUTED_VALUE"""),"Dr.RAJASEKAR S S")</f>
        <v>Dr.RAJASEKAR S S</v>
      </c>
      <c r="M40" s="31" t="str">
        <f>IFERROR(__xludf.DUMMYFUNCTION("""COMPUTED_VALUE"""),"rajasekarss@bitsathy.ac.in")</f>
        <v>rajasekarss@bitsathy.ac.in</v>
      </c>
    </row>
    <row r="41" ht="35.25" customHeight="1" spans="1:13">
      <c r="A41" s="31" t="str">
        <f>IFERROR(__xludf.DUMMYFUNCTION("""COMPUTED_VALUE"""),"AIML")</f>
        <v>AIML</v>
      </c>
      <c r="B41" s="31" t="str">
        <f>IFERROR(__xludf.DUMMYFUNCTION("""COMPUTED_VALUE"""),"S6")</f>
        <v>S6</v>
      </c>
      <c r="C41" s="31" t="str">
        <f>IFERROR(__xludf.DUMMYFUNCTION("""COMPUTED_VALUE"""),"CORE")</f>
        <v>CORE</v>
      </c>
      <c r="D41" s="31" t="str">
        <f>IFERROR(__xludf.DUMMYFUNCTION("""COMPUTED_VALUE"""),"22AM602")</f>
        <v>22AM602</v>
      </c>
      <c r="E41" s="98" t="str">
        <f>IFERROR(__xludf.DUMMYFUNCTION("""COMPUTED_VALUE"""),"COMPUTER VISION AND DIGITAL IMAGING")</f>
        <v>COMPUTER VISION AND DIGITAL IMAGING</v>
      </c>
      <c r="F41" s="31" t="str">
        <f>IFERROR(__xludf.DUMMYFUNCTION("""COMPUTED_VALUE"""),"THEORY WITH LAB")</f>
        <v>THEORY WITH LAB</v>
      </c>
      <c r="G41" s="31">
        <f>IFERROR(__xludf.DUMMYFUNCTION("""COMPUTED_VALUE"""),3)</f>
        <v>3</v>
      </c>
      <c r="H41" s="31">
        <f>IFERROR(__xludf.DUMMYFUNCTION("""COMPUTED_VALUE"""),0)</f>
        <v>0</v>
      </c>
      <c r="I41" s="31">
        <f>IFERROR(__xludf.DUMMYFUNCTION("""COMPUTED_VALUE"""),2)</f>
        <v>2</v>
      </c>
      <c r="J41" s="31">
        <f>IFERROR(__xludf.DUMMYFUNCTION("""COMPUTED_VALUE"""),4)</f>
        <v>4</v>
      </c>
      <c r="K41" s="31" t="str">
        <f>IFERROR(__xludf.DUMMYFUNCTION("""COMPUTED_VALUE"""),"AM10956")</f>
        <v>AM10956</v>
      </c>
      <c r="L41" s="31" t="str">
        <f>IFERROR(__xludf.DUMMYFUNCTION("""COMPUTED_VALUE"""),"Ms.KARTHIKA S")</f>
        <v>Ms.KARTHIKA S</v>
      </c>
      <c r="M41" s="31" t="str">
        <f>IFERROR(__xludf.DUMMYFUNCTION("""COMPUTED_VALUE"""),"karthikas@bitsathy.ac.in")</f>
        <v>karthikas@bitsathy.ac.in</v>
      </c>
    </row>
    <row r="42" ht="35.25" customHeight="1" spans="1:13">
      <c r="A42" s="31" t="str">
        <f>IFERROR(__xludf.DUMMYFUNCTION("""COMPUTED_VALUE"""),"AIML")</f>
        <v>AIML</v>
      </c>
      <c r="B42" s="31" t="str">
        <f>IFERROR(__xludf.DUMMYFUNCTION("""COMPUTED_VALUE"""),"S6")</f>
        <v>S6</v>
      </c>
      <c r="C42" s="31" t="str">
        <f>IFERROR(__xludf.DUMMYFUNCTION("""COMPUTED_VALUE"""),"CORE")</f>
        <v>CORE</v>
      </c>
      <c r="D42" s="31" t="str">
        <f>IFERROR(__xludf.DUMMYFUNCTION("""COMPUTED_VALUE"""),"22AM603")</f>
        <v>22AM603</v>
      </c>
      <c r="E42" s="98" t="str">
        <f>IFERROR(__xludf.DUMMYFUNCTION("""COMPUTED_VALUE"""),"DEEP LEARNING")</f>
        <v>DEEP LEARNING</v>
      </c>
      <c r="F42" s="31" t="str">
        <f>IFERROR(__xludf.DUMMYFUNCTION("""COMPUTED_VALUE"""),"THEORY WITH LAB")</f>
        <v>THEORY WITH LAB</v>
      </c>
      <c r="G42" s="31">
        <f>IFERROR(__xludf.DUMMYFUNCTION("""COMPUTED_VALUE"""),2)</f>
        <v>2</v>
      </c>
      <c r="H42" s="31">
        <f>IFERROR(__xludf.DUMMYFUNCTION("""COMPUTED_VALUE"""),0)</f>
        <v>0</v>
      </c>
      <c r="I42" s="31">
        <f>IFERROR(__xludf.DUMMYFUNCTION("""COMPUTED_VALUE"""),2)</f>
        <v>2</v>
      </c>
      <c r="J42" s="31">
        <f>IFERROR(__xludf.DUMMYFUNCTION("""COMPUTED_VALUE"""),3)</f>
        <v>3</v>
      </c>
      <c r="K42" s="31" t="str">
        <f>IFERROR(__xludf.DUMMYFUNCTION("""COMPUTED_VALUE"""),"AM10971")</f>
        <v>AM10971</v>
      </c>
      <c r="L42" s="31" t="str">
        <f>IFERROR(__xludf.DUMMYFUNCTION("""COMPUTED_VALUE"""),"Mr.NITHIN P")</f>
        <v>Mr.NITHIN P</v>
      </c>
      <c r="M42" s="31" t="str">
        <f>IFERROR(__xludf.DUMMYFUNCTION("""COMPUTED_VALUE"""),"nithinp@bitsathy.ac.in")</f>
        <v>nithinp@bitsathy.ac.in</v>
      </c>
    </row>
    <row r="43" ht="35.25" customHeight="1" spans="1:13">
      <c r="A43" s="31" t="str">
        <f>IFERROR(__xludf.DUMMYFUNCTION("""COMPUTED_VALUE"""),"AIML")</f>
        <v>AIML</v>
      </c>
      <c r="B43" s="31" t="str">
        <f>IFERROR(__xludf.DUMMYFUNCTION("""COMPUTED_VALUE"""),"S6")</f>
        <v>S6</v>
      </c>
      <c r="C43" s="31" t="str">
        <f>IFERROR(__xludf.DUMMYFUNCTION("""COMPUTED_VALUE"""),"CORE")</f>
        <v>CORE</v>
      </c>
      <c r="D43" s="31" t="str">
        <f>IFERROR(__xludf.DUMMYFUNCTION("""COMPUTED_VALUE"""),"22AM603")</f>
        <v>22AM603</v>
      </c>
      <c r="E43" s="98" t="str">
        <f>IFERROR(__xludf.DUMMYFUNCTION("""COMPUTED_VALUE"""),"DEEP LEARNING")</f>
        <v>DEEP LEARNING</v>
      </c>
      <c r="F43" s="31" t="str">
        <f>IFERROR(__xludf.DUMMYFUNCTION("""COMPUTED_VALUE"""),"THEORY")</f>
        <v>THEORY</v>
      </c>
      <c r="G43" s="31">
        <f>IFERROR(__xludf.DUMMYFUNCTION("""COMPUTED_VALUE"""),2)</f>
        <v>2</v>
      </c>
      <c r="H43" s="31">
        <f>IFERROR(__xludf.DUMMYFUNCTION("""COMPUTED_VALUE"""),0)</f>
        <v>0</v>
      </c>
      <c r="I43" s="31">
        <f>IFERROR(__xludf.DUMMYFUNCTION("""COMPUTED_VALUE"""),2)</f>
        <v>2</v>
      </c>
      <c r="J43" s="31">
        <f>IFERROR(__xludf.DUMMYFUNCTION("""COMPUTED_VALUE"""),3)</f>
        <v>3</v>
      </c>
      <c r="K43" s="31" t="str">
        <f>IFERROR(__xludf.DUMMYFUNCTION("""COMPUTED_VALUE"""),"AM11161")</f>
        <v>AM11161</v>
      </c>
      <c r="L43" s="31" t="str">
        <f>IFERROR(__xludf.DUMMYFUNCTION("""COMPUTED_VALUE"""),"Dr.KARTHIKEYAN G")</f>
        <v>Dr.KARTHIKEYAN G</v>
      </c>
      <c r="M43" s="31" t="str">
        <f>IFERROR(__xludf.DUMMYFUNCTION("""COMPUTED_VALUE"""),"karthikeyang@bitsathy.ac.in")</f>
        <v>karthikeyang@bitsathy.ac.in</v>
      </c>
    </row>
    <row r="44" ht="35.25" customHeight="1" spans="1:13">
      <c r="A44" s="31" t="str">
        <f>IFERROR(__xludf.DUMMYFUNCTION("""COMPUTED_VALUE"""),"AIML")</f>
        <v>AIML</v>
      </c>
      <c r="B44" s="31" t="str">
        <f>IFERROR(__xludf.DUMMYFUNCTION("""COMPUTED_VALUE"""),"S6")</f>
        <v>S6</v>
      </c>
      <c r="C44" s="31" t="str">
        <f>IFERROR(__xludf.DUMMYFUNCTION("""COMPUTED_VALUE"""),"CORE")</f>
        <v>CORE</v>
      </c>
      <c r="D44" s="31" t="str">
        <f>IFERROR(__xludf.DUMMYFUNCTION("""COMPUTED_VALUE"""),"22AM603")</f>
        <v>22AM603</v>
      </c>
      <c r="E44" s="98" t="str">
        <f>IFERROR(__xludf.DUMMYFUNCTION("""COMPUTED_VALUE"""),"DEEP LEARNING")</f>
        <v>DEEP LEARNING</v>
      </c>
      <c r="F44" s="31" t="str">
        <f>IFERROR(__xludf.DUMMYFUNCTION("""COMPUTED_VALUE"""),"LAB")</f>
        <v>LAB</v>
      </c>
      <c r="G44" s="31">
        <f>IFERROR(__xludf.DUMMYFUNCTION("""COMPUTED_VALUE"""),2)</f>
        <v>2</v>
      </c>
      <c r="H44" s="31">
        <f>IFERROR(__xludf.DUMMYFUNCTION("""COMPUTED_VALUE"""),0)</f>
        <v>0</v>
      </c>
      <c r="I44" s="31">
        <f>IFERROR(__xludf.DUMMYFUNCTION("""COMPUTED_VALUE"""),2)</f>
        <v>2</v>
      </c>
      <c r="J44" s="31">
        <f>IFERROR(__xludf.DUMMYFUNCTION("""COMPUTED_VALUE"""),3)</f>
        <v>3</v>
      </c>
      <c r="K44" s="31" t="str">
        <f>IFERROR(__xludf.DUMMYFUNCTION("""COMPUTED_VALUE"""),"AM11161")</f>
        <v>AM11161</v>
      </c>
      <c r="L44" s="31" t="str">
        <f>IFERROR(__xludf.DUMMYFUNCTION("""COMPUTED_VALUE"""),"Dr.KARTHIKEYAN G")</f>
        <v>Dr.KARTHIKEYAN G</v>
      </c>
      <c r="M44" s="31" t="str">
        <f>IFERROR(__xludf.DUMMYFUNCTION("""COMPUTED_VALUE"""),"karthikeyang@bitsathy.ac.in")</f>
        <v>karthikeyang@bitsathy.ac.in</v>
      </c>
    </row>
    <row r="45" ht="35.25" customHeight="1" spans="1:13">
      <c r="A45" s="31" t="str">
        <f>IFERROR(__xludf.DUMMYFUNCTION("""COMPUTED_VALUE"""),"AIML")</f>
        <v>AIML</v>
      </c>
      <c r="B45" s="31" t="str">
        <f>IFERROR(__xludf.DUMMYFUNCTION("""COMPUTED_VALUE"""),"S6")</f>
        <v>S6</v>
      </c>
      <c r="C45" s="31" t="str">
        <f>IFERROR(__xludf.DUMMYFUNCTION("""COMPUTED_VALUE"""),"ELECTIVE 3")</f>
        <v>ELECTIVE 3</v>
      </c>
      <c r="D45" s="31" t="str">
        <f>IFERROR(__xludf.DUMMYFUNCTION("""COMPUTED_VALUE"""),"22AM005")</f>
        <v>22AM005</v>
      </c>
      <c r="E45" s="98" t="str">
        <f>IFERROR(__xludf.DUMMYFUNCTION("""COMPUTED_VALUE"""),"SOFTWARE TESTING AND AUTOMATION")</f>
        <v>SOFTWARE TESTING AND AUTOMATION</v>
      </c>
      <c r="F45" s="31" t="str">
        <f>IFERROR(__xludf.DUMMYFUNCTION("""COMPUTED_VALUE"""),"THEORY")</f>
        <v>THEORY</v>
      </c>
      <c r="G45" s="31">
        <f>IFERROR(__xludf.DUMMYFUNCTION("""COMPUTED_VALUE"""),3)</f>
        <v>3</v>
      </c>
      <c r="H45" s="31">
        <f>IFERROR(__xludf.DUMMYFUNCTION("""COMPUTED_VALUE"""),0)</f>
        <v>0</v>
      </c>
      <c r="I45" s="31">
        <f>IFERROR(__xludf.DUMMYFUNCTION("""COMPUTED_VALUE"""),0)</f>
        <v>0</v>
      </c>
      <c r="J45" s="31">
        <f>IFERROR(__xludf.DUMMYFUNCTION("""COMPUTED_VALUE"""),3)</f>
        <v>3</v>
      </c>
      <c r="K45" s="31" t="str">
        <f>IFERROR(__xludf.DUMMYFUNCTION("""COMPUTED_VALUE"""),"CD11183")</f>
        <v>CD11183</v>
      </c>
      <c r="L45" s="31" t="str">
        <f>IFERROR(__xludf.DUMMYFUNCTION("""COMPUTED_VALUE"""),"Mrs.INDHUMATHI K")</f>
        <v>Mrs.INDHUMATHI K</v>
      </c>
      <c r="M45" s="31" t="str">
        <f>IFERROR(__xludf.DUMMYFUNCTION("""COMPUTED_VALUE"""),"indhumathik@bitsathy.ac.in")</f>
        <v>indhumathik@bitsathy.ac.in</v>
      </c>
    </row>
    <row r="46" ht="35.25" customHeight="1" spans="1:13">
      <c r="A46" s="31" t="str">
        <f>IFERROR(__xludf.DUMMYFUNCTION("""COMPUTED_VALUE"""),"AIML")</f>
        <v>AIML</v>
      </c>
      <c r="B46" s="31" t="str">
        <f>IFERROR(__xludf.DUMMYFUNCTION("""COMPUTED_VALUE"""),"S6")</f>
        <v>S6</v>
      </c>
      <c r="C46" s="31" t="str">
        <f>IFERROR(__xludf.DUMMYFUNCTION("""COMPUTED_VALUE"""),"ELECTIVE 3")</f>
        <v>ELECTIVE 3</v>
      </c>
      <c r="D46" s="31" t="str">
        <f>IFERROR(__xludf.DUMMYFUNCTION("""COMPUTED_VALUE"""),"22AM005")</f>
        <v>22AM005</v>
      </c>
      <c r="E46" s="98" t="str">
        <f>IFERROR(__xludf.DUMMYFUNCTION("""COMPUTED_VALUE"""),"SOFTWARE TESTING AND AUTOMATION")</f>
        <v>SOFTWARE TESTING AND AUTOMATION</v>
      </c>
      <c r="F46" s="31" t="str">
        <f>IFERROR(__xludf.DUMMYFUNCTION("""COMPUTED_VALUE"""),"THEORY")</f>
        <v>THEORY</v>
      </c>
      <c r="G46" s="31">
        <f>IFERROR(__xludf.DUMMYFUNCTION("""COMPUTED_VALUE"""),3)</f>
        <v>3</v>
      </c>
      <c r="H46" s="31">
        <f>IFERROR(__xludf.DUMMYFUNCTION("""COMPUTED_VALUE"""),0)</f>
        <v>0</v>
      </c>
      <c r="I46" s="31">
        <f>IFERROR(__xludf.DUMMYFUNCTION("""COMPUTED_VALUE"""),0)</f>
        <v>0</v>
      </c>
      <c r="J46" s="31">
        <f>IFERROR(__xludf.DUMMYFUNCTION("""COMPUTED_VALUE"""),3)</f>
        <v>3</v>
      </c>
      <c r="K46" s="31" t="str">
        <f>IFERROR(__xludf.DUMMYFUNCTION("""COMPUTED_VALUE"""),"AM11092")</f>
        <v>AM11092</v>
      </c>
      <c r="L46" s="31" t="str">
        <f>IFERROR(__xludf.DUMMYFUNCTION("""COMPUTED_VALUE"""),"Ms.KANIMOZHI A")</f>
        <v>Ms.KANIMOZHI A</v>
      </c>
      <c r="M46" s="31" t="str">
        <f>IFERROR(__xludf.DUMMYFUNCTION("""COMPUTED_VALUE"""),"kanimozhi@bitsathy.ac.in")</f>
        <v>kanimozhi@bitsathy.ac.in</v>
      </c>
    </row>
    <row r="47" ht="35.25" customHeight="1" spans="1:13">
      <c r="A47" s="31" t="str">
        <f>IFERROR(__xludf.DUMMYFUNCTION("""COMPUTED_VALUE"""),"AIML")</f>
        <v>AIML</v>
      </c>
      <c r="B47" s="31" t="str">
        <f>IFERROR(__xludf.DUMMYFUNCTION("""COMPUTED_VALUE"""),"S6")</f>
        <v>S6</v>
      </c>
      <c r="C47" s="31" t="str">
        <f>IFERROR(__xludf.DUMMYFUNCTION("""COMPUTED_VALUE"""),"ELECTIVE 4")</f>
        <v>ELECTIVE 4</v>
      </c>
      <c r="D47" s="31" t="str">
        <f>IFERROR(__xludf.DUMMYFUNCTION("""COMPUTED_VALUE"""),"22AM014")</f>
        <v>22AM014</v>
      </c>
      <c r="E47" s="98" t="str">
        <f>IFERROR(__xludf.DUMMYFUNCTION("""COMPUTED_VALUE"""),"MODERN CRYPTOGRAPHY")</f>
        <v>MODERN CRYPTOGRAPHY</v>
      </c>
      <c r="F47" s="31" t="str">
        <f>IFERROR(__xludf.DUMMYFUNCTION("""COMPUTED_VALUE"""),"THEORY")</f>
        <v>THEORY</v>
      </c>
      <c r="G47" s="31">
        <f>IFERROR(__xludf.DUMMYFUNCTION("""COMPUTED_VALUE"""),3)</f>
        <v>3</v>
      </c>
      <c r="H47" s="31">
        <f>IFERROR(__xludf.DUMMYFUNCTION("""COMPUTED_VALUE"""),0)</f>
        <v>0</v>
      </c>
      <c r="I47" s="31">
        <f>IFERROR(__xludf.DUMMYFUNCTION("""COMPUTED_VALUE"""),0)</f>
        <v>0</v>
      </c>
      <c r="J47" s="31">
        <f>IFERROR(__xludf.DUMMYFUNCTION("""COMPUTED_VALUE"""),3)</f>
        <v>3</v>
      </c>
      <c r="K47" s="31" t="str">
        <f>IFERROR(__xludf.DUMMYFUNCTION("""COMPUTED_VALUE"""),"IT11142")</f>
        <v>IT11142</v>
      </c>
      <c r="L47" s="31" t="str">
        <f>IFERROR(__xludf.DUMMYFUNCTION("""COMPUTED_VALUE"""),"Mrs.KEERTHANA K")</f>
        <v>Mrs.KEERTHANA K</v>
      </c>
      <c r="M47" s="31" t="str">
        <f>IFERROR(__xludf.DUMMYFUNCTION("""COMPUTED_VALUE"""),"keerthana@bitsathy.ac.in")</f>
        <v>keerthana@bitsathy.ac.in</v>
      </c>
    </row>
    <row r="48" ht="35.25" customHeight="1" spans="1:13">
      <c r="A48" s="31" t="str">
        <f>IFERROR(__xludf.DUMMYFUNCTION("""COMPUTED_VALUE"""),"AIML")</f>
        <v>AIML</v>
      </c>
      <c r="B48" s="31" t="str">
        <f>IFERROR(__xludf.DUMMYFUNCTION("""COMPUTED_VALUE"""),"S6")</f>
        <v>S6</v>
      </c>
      <c r="C48" s="31" t="str">
        <f>IFERROR(__xludf.DUMMYFUNCTION("""COMPUTED_VALUE"""),"ELECTIVE 4")</f>
        <v>ELECTIVE 4</v>
      </c>
      <c r="D48" s="31" t="str">
        <f>IFERROR(__xludf.DUMMYFUNCTION("""COMPUTED_VALUE"""),"22AM014")</f>
        <v>22AM014</v>
      </c>
      <c r="E48" s="98" t="str">
        <f>IFERROR(__xludf.DUMMYFUNCTION("""COMPUTED_VALUE"""),"MODERN CRYPTOGRAPHY")</f>
        <v>MODERN CRYPTOGRAPHY</v>
      </c>
      <c r="F48" s="31" t="str">
        <f>IFERROR(__xludf.DUMMYFUNCTION("""COMPUTED_VALUE"""),"THEORY")</f>
        <v>THEORY</v>
      </c>
      <c r="G48" s="31">
        <f>IFERROR(__xludf.DUMMYFUNCTION("""COMPUTED_VALUE"""),3)</f>
        <v>3</v>
      </c>
      <c r="H48" s="31">
        <f>IFERROR(__xludf.DUMMYFUNCTION("""COMPUTED_VALUE"""),0)</f>
        <v>0</v>
      </c>
      <c r="I48" s="31">
        <f>IFERROR(__xludf.DUMMYFUNCTION("""COMPUTED_VALUE"""),0)</f>
        <v>0</v>
      </c>
      <c r="J48" s="31">
        <f>IFERROR(__xludf.DUMMYFUNCTION("""COMPUTED_VALUE"""),3)</f>
        <v>3</v>
      </c>
      <c r="K48" s="31" t="str">
        <f>IFERROR(__xludf.DUMMYFUNCTION("""COMPUTED_VALUE"""),"IS10944")</f>
        <v>IS10944</v>
      </c>
      <c r="L48" s="31" t="str">
        <f>IFERROR(__xludf.DUMMYFUNCTION("""COMPUTED_VALUE"""),"Mr.SOMASUNDARAM K")</f>
        <v>Mr.SOMASUNDARAM K</v>
      </c>
      <c r="M48" s="31" t="str">
        <f>IFERROR(__xludf.DUMMYFUNCTION("""COMPUTED_VALUE"""),"somasundaramk@bitsathy.ac.in")</f>
        <v>somasundaramk@bitsathy.ac.in</v>
      </c>
    </row>
    <row r="49" ht="35.25" customHeight="1" spans="1:13">
      <c r="A49" s="31" t="str">
        <f>IFERROR(__xludf.DUMMYFUNCTION("""COMPUTED_VALUE"""),"AIML")</f>
        <v>AIML</v>
      </c>
      <c r="B49" s="31" t="str">
        <f>IFERROR(__xludf.DUMMYFUNCTION("""COMPUTED_VALUE"""),"S6")</f>
        <v>S6</v>
      </c>
      <c r="C49" s="31" t="str">
        <f>IFERROR(__xludf.DUMMYFUNCTION("""COMPUTED_VALUE"""),"ELECTIVE 5")</f>
        <v>ELECTIVE 5</v>
      </c>
      <c r="D49" s="31" t="str">
        <f>IFERROR(__xludf.DUMMYFUNCTION("""COMPUTED_VALUE"""),"22AM034")</f>
        <v>22AM034</v>
      </c>
      <c r="E49" s="98" t="str">
        <f>IFERROR(__xludf.DUMMYFUNCTION("""COMPUTED_VALUE"""),"BUSINESS INTELLIGENCE")</f>
        <v>BUSINESS INTELLIGENCE</v>
      </c>
      <c r="F49" s="31" t="str">
        <f>IFERROR(__xludf.DUMMYFUNCTION("""COMPUTED_VALUE"""),"THEORY")</f>
        <v>THEORY</v>
      </c>
      <c r="G49" s="31">
        <f>IFERROR(__xludf.DUMMYFUNCTION("""COMPUTED_VALUE"""),3)</f>
        <v>3</v>
      </c>
      <c r="H49" s="31">
        <f>IFERROR(__xludf.DUMMYFUNCTION("""COMPUTED_VALUE"""),0)</f>
        <v>0</v>
      </c>
      <c r="I49" s="31">
        <f>IFERROR(__xludf.DUMMYFUNCTION("""COMPUTED_VALUE"""),0)</f>
        <v>0</v>
      </c>
      <c r="J49" s="31">
        <f>IFERROR(__xludf.DUMMYFUNCTION("""COMPUTED_VALUE"""),3)</f>
        <v>3</v>
      </c>
      <c r="K49" s="31" t="str">
        <f>IFERROR(__xludf.DUMMYFUNCTION("""COMPUTED_VALUE"""),"AM11052")</f>
        <v>AM11052</v>
      </c>
      <c r="L49" s="31" t="str">
        <f>IFERROR(__xludf.DUMMYFUNCTION("""COMPUTED_VALUE"""),"Ms.MOHANAPRIYA K")</f>
        <v>Ms.MOHANAPRIYA K</v>
      </c>
      <c r="M49" s="31" t="str">
        <f>IFERROR(__xludf.DUMMYFUNCTION("""COMPUTED_VALUE"""),"mohanapriyak@bitsathy.ac.in")</f>
        <v>mohanapriyak@bitsathy.ac.in</v>
      </c>
    </row>
    <row r="50" ht="35.25" customHeight="1" spans="1:13">
      <c r="A50" s="31" t="str">
        <f>IFERROR(__xludf.DUMMYFUNCTION("""COMPUTED_VALUE"""),"AIML")</f>
        <v>AIML</v>
      </c>
      <c r="B50" s="31" t="str">
        <f>IFERROR(__xludf.DUMMYFUNCTION("""COMPUTED_VALUE"""),"S6")</f>
        <v>S6</v>
      </c>
      <c r="C50" s="31" t="str">
        <f>IFERROR(__xludf.DUMMYFUNCTION("""COMPUTED_VALUE"""),"ELECTIVE 5")</f>
        <v>ELECTIVE 5</v>
      </c>
      <c r="D50" s="31" t="str">
        <f>IFERROR(__xludf.DUMMYFUNCTION("""COMPUTED_VALUE"""),"22AM034")</f>
        <v>22AM034</v>
      </c>
      <c r="E50" s="98" t="str">
        <f>IFERROR(__xludf.DUMMYFUNCTION("""COMPUTED_VALUE"""),"BUSINESS INTELLIGENCE")</f>
        <v>BUSINESS INTELLIGENCE</v>
      </c>
      <c r="F50" s="31" t="str">
        <f>IFERROR(__xludf.DUMMYFUNCTION("""COMPUTED_VALUE"""),"THEORY")</f>
        <v>THEORY</v>
      </c>
      <c r="G50" s="31">
        <f>IFERROR(__xludf.DUMMYFUNCTION("""COMPUTED_VALUE"""),3)</f>
        <v>3</v>
      </c>
      <c r="H50" s="31">
        <f>IFERROR(__xludf.DUMMYFUNCTION("""COMPUTED_VALUE"""),0)</f>
        <v>0</v>
      </c>
      <c r="I50" s="31">
        <f>IFERROR(__xludf.DUMMYFUNCTION("""COMPUTED_VALUE"""),0)</f>
        <v>0</v>
      </c>
      <c r="J50" s="31">
        <f>IFERROR(__xludf.DUMMYFUNCTION("""COMPUTED_VALUE"""),3)</f>
        <v>3</v>
      </c>
      <c r="K50" s="31" t="str">
        <f>IFERROR(__xludf.DUMMYFUNCTION("""COMPUTED_VALUE"""),"AM11095")</f>
        <v>AM11095</v>
      </c>
      <c r="L50" s="31" t="str">
        <f>IFERROR(__xludf.DUMMYFUNCTION("""COMPUTED_VALUE"""),"Mrs.GAYATHRIDEVI M")</f>
        <v>Mrs.GAYATHRIDEVI M</v>
      </c>
      <c r="M50" s="31" t="str">
        <f>IFERROR(__xludf.DUMMYFUNCTION("""COMPUTED_VALUE"""),"gayathridevi@bitsathy.ac.in")</f>
        <v>gayathridevi@bitsathy.ac.in</v>
      </c>
    </row>
    <row r="51" ht="35.25" customHeight="1" spans="1:13">
      <c r="A51" s="31" t="str">
        <f>IFERROR(__xludf.DUMMYFUNCTION("""COMPUTED_VALUE"""),"AIML")</f>
        <v>AIML</v>
      </c>
      <c r="B51" s="31" t="str">
        <f>IFERROR(__xludf.DUMMYFUNCTION("""COMPUTED_VALUE"""),"S6")</f>
        <v>S6</v>
      </c>
      <c r="C51" s="31" t="str">
        <f>IFERROR(__xludf.DUMMYFUNCTION("""COMPUTED_VALUE"""),"ADD COURSE")</f>
        <v>ADD COURSE</v>
      </c>
      <c r="D51" s="31" t="str">
        <f>IFERROR(__xludf.DUMMYFUNCTION("""COMPUTED_VALUE"""),"22AM006")</f>
        <v>22AM006</v>
      </c>
      <c r="E51" s="98" t="str">
        <f>IFERROR(__xludf.DUMMYFUNCTION("""COMPUTED_VALUE"""),"DEVOPS")</f>
        <v>DEVOPS</v>
      </c>
      <c r="F51" s="31" t="str">
        <f>IFERROR(__xludf.DUMMYFUNCTION("""COMPUTED_VALUE"""),"THEORY")</f>
        <v>THEORY</v>
      </c>
      <c r="G51" s="31">
        <f>IFERROR(__xludf.DUMMYFUNCTION("""COMPUTED_VALUE"""),3)</f>
        <v>3</v>
      </c>
      <c r="H51" s="31">
        <f>IFERROR(__xludf.DUMMYFUNCTION("""COMPUTED_VALUE"""),0)</f>
        <v>0</v>
      </c>
      <c r="I51" s="31">
        <f>IFERROR(__xludf.DUMMYFUNCTION("""COMPUTED_VALUE"""),0)</f>
        <v>0</v>
      </c>
      <c r="J51" s="31">
        <f>IFERROR(__xludf.DUMMYFUNCTION("""COMPUTED_VALUE"""),3)</f>
        <v>3</v>
      </c>
      <c r="K51" s="31" t="str">
        <f>IFERROR(__xludf.DUMMYFUNCTION("""COMPUTED_VALUE"""),"IT2771")</f>
        <v>IT2771</v>
      </c>
      <c r="L51" s="31" t="str">
        <f>IFERROR(__xludf.DUMMYFUNCTION("""COMPUTED_VALUE"""),"Dr.NATARAJ N")</f>
        <v>Dr.NATARAJ N</v>
      </c>
      <c r="M51" s="31" t="str">
        <f>IFERROR(__xludf.DUMMYFUNCTION("""COMPUTED_VALUE"""),"nataraj@bitsathy.ac.in")</f>
        <v>nataraj@bitsathy.ac.in</v>
      </c>
    </row>
    <row r="52" ht="35.25" customHeight="1" spans="1:13">
      <c r="A52" s="31" t="str">
        <f>IFERROR(__xludf.DUMMYFUNCTION("""COMPUTED_VALUE"""),"AIML")</f>
        <v>AIML</v>
      </c>
      <c r="B52" s="31" t="str">
        <f>IFERROR(__xludf.DUMMYFUNCTION("""COMPUTED_VALUE"""),"S6")</f>
        <v>S6</v>
      </c>
      <c r="C52" s="31" t="str">
        <f>IFERROR(__xludf.DUMMYFUNCTION("""COMPUTED_VALUE"""),"HONOURS")</f>
        <v>HONOURS</v>
      </c>
      <c r="D52" s="31" t="str">
        <f>IFERROR(__xludf.DUMMYFUNCTION("""COMPUTED_VALUE"""),"22AMH32")</f>
        <v>22AMH32</v>
      </c>
      <c r="E52" s="98" t="str">
        <f>IFERROR(__xludf.DUMMYFUNCTION("""COMPUTED_VALUE"""),"VIDEO ANALYTICS ")</f>
        <v>VIDEO ANALYTICS </v>
      </c>
      <c r="F52" s="31" t="str">
        <f>IFERROR(__xludf.DUMMYFUNCTION("""COMPUTED_VALUE"""),"THEORY")</f>
        <v>THEORY</v>
      </c>
      <c r="G52" s="31">
        <f>IFERROR(__xludf.DUMMYFUNCTION("""COMPUTED_VALUE"""),3)</f>
        <v>3</v>
      </c>
      <c r="H52" s="31">
        <f>IFERROR(__xludf.DUMMYFUNCTION("""COMPUTED_VALUE"""),0)</f>
        <v>0</v>
      </c>
      <c r="I52" s="31">
        <f>IFERROR(__xludf.DUMMYFUNCTION("""COMPUTED_VALUE"""),0)</f>
        <v>0</v>
      </c>
      <c r="J52" s="31">
        <f>IFERROR(__xludf.DUMMYFUNCTION("""COMPUTED_VALUE"""),3)</f>
        <v>3</v>
      </c>
      <c r="K52" s="31" t="str">
        <f>IFERROR(__xludf.DUMMYFUNCTION("""COMPUTED_VALUE"""),"IS10850")</f>
        <v>IS10850</v>
      </c>
      <c r="L52" s="31" t="str">
        <f>IFERROR(__xludf.DUMMYFUNCTION("""COMPUTED_VALUE"""),"Ms.POORNIMA A")</f>
        <v>Ms.POORNIMA A</v>
      </c>
      <c r="M52" s="31" t="str">
        <f>IFERROR(__xludf.DUMMYFUNCTION("""COMPUTED_VALUE"""),"poornimaa@bitsathy.ac.in")</f>
        <v>poornimaa@bitsathy.ac.in</v>
      </c>
    </row>
    <row r="53" ht="35.25" customHeight="1" spans="1:13">
      <c r="A53" s="31" t="str">
        <f>IFERROR(__xludf.DUMMYFUNCTION("""COMPUTED_VALUE"""),"AIML")</f>
        <v>AIML</v>
      </c>
      <c r="B53" s="31" t="str">
        <f>IFERROR(__xludf.DUMMYFUNCTION("""COMPUTED_VALUE"""),"S6")</f>
        <v>S6</v>
      </c>
      <c r="C53" s="31" t="str">
        <f>IFERROR(__xludf.DUMMYFUNCTION("""COMPUTED_VALUE"""),"HONOURS")</f>
        <v>HONOURS</v>
      </c>
      <c r="D53" s="31" t="str">
        <f>IFERROR(__xludf.DUMMYFUNCTION("""COMPUTED_VALUE"""),"22AMH33")</f>
        <v>22AMH33</v>
      </c>
      <c r="E53" s="98" t="str">
        <f>IFERROR(__xludf.DUMMYFUNCTION("""COMPUTED_VALUE"""),"CYBER THREAT ANALYTICS")</f>
        <v>CYBER THREAT ANALYTICS</v>
      </c>
      <c r="F53" s="31" t="str">
        <f>IFERROR(__xludf.DUMMYFUNCTION("""COMPUTED_VALUE"""),"THEORY")</f>
        <v>THEORY</v>
      </c>
      <c r="G53" s="31">
        <f>IFERROR(__xludf.DUMMYFUNCTION("""COMPUTED_VALUE"""),3)</f>
        <v>3</v>
      </c>
      <c r="H53" s="31">
        <f>IFERROR(__xludf.DUMMYFUNCTION("""COMPUTED_VALUE"""),0)</f>
        <v>0</v>
      </c>
      <c r="I53" s="31">
        <f>IFERROR(__xludf.DUMMYFUNCTION("""COMPUTED_VALUE"""),0)</f>
        <v>0</v>
      </c>
      <c r="J53" s="31">
        <f>IFERROR(__xludf.DUMMYFUNCTION("""COMPUTED_VALUE"""),3)</f>
        <v>3</v>
      </c>
      <c r="K53" s="31" t="str">
        <f>IFERROR(__xludf.DUMMYFUNCTION("""COMPUTED_VALUE"""),"CD11183")</f>
        <v>CD11183</v>
      </c>
      <c r="L53" s="31" t="str">
        <f>IFERROR(__xludf.DUMMYFUNCTION("""COMPUTED_VALUE"""),"Mrs.INDHUMATHI K")</f>
        <v>Mrs.INDHUMATHI K</v>
      </c>
      <c r="M53" s="31" t="str">
        <f>IFERROR(__xludf.DUMMYFUNCTION("""COMPUTED_VALUE"""),"indhumathik@bitsathy.ac.in")</f>
        <v>indhumathik@bitsathy.ac.in</v>
      </c>
    </row>
    <row r="54" ht="35.25" customHeight="1" spans="1:13">
      <c r="A54" s="31" t="str">
        <f>IFERROR(__xludf.DUMMYFUNCTION("""COMPUTED_VALUE"""),"AIML")</f>
        <v>AIML</v>
      </c>
      <c r="B54" s="31" t="str">
        <f>IFERROR(__xludf.DUMMYFUNCTION("""COMPUTED_VALUE"""),"S6")</f>
        <v>S6</v>
      </c>
      <c r="C54" s="31" t="str">
        <f>IFERROR(__xludf.DUMMYFUNCTION("""COMPUTED_VALUE"""),"MINOR")</f>
        <v>MINOR</v>
      </c>
      <c r="D54" s="31" t="str">
        <f>IFERROR(__xludf.DUMMYFUNCTION("""COMPUTED_VALUE"""),"22AMM44")</f>
        <v>22AMM44</v>
      </c>
      <c r="E54" s="98" t="str">
        <f>IFERROR(__xludf.DUMMYFUNCTION("""COMPUTED_VALUE"""),"BUSINESS INTELLIGENCE AND ANALYTICS")</f>
        <v>BUSINESS INTELLIGENCE AND ANALYTICS</v>
      </c>
      <c r="F54" s="31" t="str">
        <f>IFERROR(__xludf.DUMMYFUNCTION("""COMPUTED_VALUE"""),"THEORY")</f>
        <v>THEORY</v>
      </c>
      <c r="G54" s="31">
        <f>IFERROR(__xludf.DUMMYFUNCTION("""COMPUTED_VALUE"""),3)</f>
        <v>3</v>
      </c>
      <c r="H54" s="31">
        <f>IFERROR(__xludf.DUMMYFUNCTION("""COMPUTED_VALUE"""),0)</f>
        <v>0</v>
      </c>
      <c r="I54" s="31">
        <f>IFERROR(__xludf.DUMMYFUNCTION("""COMPUTED_VALUE"""),0)</f>
        <v>0</v>
      </c>
      <c r="J54" s="31">
        <f>IFERROR(__xludf.DUMMYFUNCTION("""COMPUTED_VALUE"""),3)</f>
        <v>3</v>
      </c>
      <c r="K54" s="31" t="str">
        <f>IFERROR(__xludf.DUMMYFUNCTION("""COMPUTED_VALUE"""),"CS11185")</f>
        <v>CS11185</v>
      </c>
      <c r="L54" s="31" t="str">
        <f>IFERROR(__xludf.DUMMYFUNCTION("""COMPUTED_VALUE"""),"Mr.ASWIN JAYA SURYA M J")</f>
        <v>Mr.ASWIN JAYA SURYA M J</v>
      </c>
      <c r="M54" s="31" t="str">
        <f>IFERROR(__xludf.DUMMYFUNCTION("""COMPUTED_VALUE"""),"aswinjayasuryamj@bitsathy.ac.in")</f>
        <v>aswinjayasuryamj@bitsathy.ac.in</v>
      </c>
    </row>
    <row r="55" ht="35.25" customHeight="1" spans="1:13">
      <c r="A55" s="31" t="str">
        <f>IFERROR(__xludf.DUMMYFUNCTION("""COMPUTED_VALUE"""),"AIML")</f>
        <v>AIML</v>
      </c>
      <c r="B55" s="31" t="str">
        <f>IFERROR(__xludf.DUMMYFUNCTION("""COMPUTED_VALUE"""),"S6")</f>
        <v>S6</v>
      </c>
      <c r="C55" s="31" t="str">
        <f>IFERROR(__xludf.DUMMYFUNCTION("""COMPUTED_VALUE"""),"MINOR")</f>
        <v>MINOR</v>
      </c>
      <c r="D55" s="31" t="str">
        <f>IFERROR(__xludf.DUMMYFUNCTION("""COMPUTED_VALUE"""),"22AMM45")</f>
        <v>22AMM45</v>
      </c>
      <c r="E55" s="98" t="str">
        <f>IFERROR(__xludf.DUMMYFUNCTION("""COMPUTED_VALUE"""),"FUNDAMENTALS OF CLOUD COMPUTING")</f>
        <v>FUNDAMENTALS OF CLOUD COMPUTING</v>
      </c>
      <c r="F55" s="31" t="str">
        <f>IFERROR(__xludf.DUMMYFUNCTION("""COMPUTED_VALUE"""),"THEORY")</f>
        <v>THEORY</v>
      </c>
      <c r="G55" s="31">
        <f>IFERROR(__xludf.DUMMYFUNCTION("""COMPUTED_VALUE"""),3)</f>
        <v>3</v>
      </c>
      <c r="H55" s="31">
        <f>IFERROR(__xludf.DUMMYFUNCTION("""COMPUTED_VALUE"""),0)</f>
        <v>0</v>
      </c>
      <c r="I55" s="31">
        <f>IFERROR(__xludf.DUMMYFUNCTION("""COMPUTED_VALUE"""),0)</f>
        <v>0</v>
      </c>
      <c r="J55" s="31">
        <f>IFERROR(__xludf.DUMMYFUNCTION("""COMPUTED_VALUE"""),3)</f>
        <v>3</v>
      </c>
      <c r="K55" s="31" t="str">
        <f>IFERROR(__xludf.DUMMYFUNCTION("""COMPUTED_VALUE"""),"AM11166")</f>
        <v>AM11166</v>
      </c>
      <c r="L55" s="31" t="str">
        <f>IFERROR(__xludf.DUMMYFUNCTION("""COMPUTED_VALUE"""),"Mrs.SARANYA M K")</f>
        <v>Mrs.SARANYA M K</v>
      </c>
      <c r="M55" s="31" t="str">
        <f>IFERROR(__xludf.DUMMYFUNCTION("""COMPUTED_VALUE"""),"saranyamk@bitsathy.ac.in")</f>
        <v>saranyamk@bitsathy.ac.in</v>
      </c>
    </row>
    <row r="56" ht="35.25" customHeight="1" spans="1:13">
      <c r="A56" s="31" t="str">
        <f>IFERROR(__xludf.DUMMYFUNCTION("""COMPUTED_VALUE"""),"AIML")</f>
        <v>AIML</v>
      </c>
      <c r="B56" s="31" t="str">
        <f>IFERROR(__xludf.DUMMYFUNCTION("""COMPUTED_VALUE"""),"S6")</f>
        <v>S6</v>
      </c>
      <c r="C56" s="31" t="str">
        <f>IFERROR(__xludf.DUMMYFUNCTION("""COMPUTED_VALUE"""),"MINI PROJECT")</f>
        <v>MINI PROJECT</v>
      </c>
      <c r="D56" s="31" t="str">
        <f>IFERROR(__xludf.DUMMYFUNCTION("""COMPUTED_VALUE"""),"22AM607")</f>
        <v>22AM607</v>
      </c>
      <c r="E56" s="98" t="str">
        <f>IFERROR(__xludf.DUMMYFUNCTION("""COMPUTED_VALUE"""),"MINI PROJECT II")</f>
        <v>MINI PROJECT II</v>
      </c>
      <c r="F56" s="31" t="str">
        <f>IFERROR(__xludf.DUMMYFUNCTION("""COMPUTED_VALUE"""),"LAB")</f>
        <v>LAB</v>
      </c>
      <c r="G56" s="31">
        <f>IFERROR(__xludf.DUMMYFUNCTION("""COMPUTED_VALUE"""),0)</f>
        <v>0</v>
      </c>
      <c r="H56" s="31">
        <f>IFERROR(__xludf.DUMMYFUNCTION("""COMPUTED_VALUE"""),0)</f>
        <v>0</v>
      </c>
      <c r="I56" s="31">
        <f>IFERROR(__xludf.DUMMYFUNCTION("""COMPUTED_VALUE"""),2)</f>
        <v>2</v>
      </c>
      <c r="J56" s="31">
        <f>IFERROR(__xludf.DUMMYFUNCTION("""COMPUTED_VALUE"""),1)</f>
        <v>1</v>
      </c>
      <c r="K56" s="31"/>
      <c r="L56" s="31"/>
      <c r="M56" s="31"/>
    </row>
    <row r="57" ht="35.25" customHeight="1" spans="1:13">
      <c r="A57" s="31" t="str">
        <f>IFERROR(__xludf.DUMMYFUNCTION("""COMPUTED_VALUE"""),"BME")</f>
        <v>BME</v>
      </c>
      <c r="B57" s="31" t="str">
        <f>IFERROR(__xludf.DUMMYFUNCTION("""COMPUTED_VALUE"""),"S6")</f>
        <v>S6</v>
      </c>
      <c r="C57" s="31" t="str">
        <f>IFERROR(__xludf.DUMMYFUNCTION("""COMPUTED_VALUE"""),"CORE")</f>
        <v>CORE</v>
      </c>
      <c r="D57" s="31" t="str">
        <f>IFERROR(__xludf.DUMMYFUNCTION("""COMPUTED_VALUE"""),"22BM601")</f>
        <v>22BM601</v>
      </c>
      <c r="E57" s="98" t="str">
        <f>IFERROR(__xludf.DUMMYFUNCTION("""COMPUTED_VALUE"""),"DIAGNOSTIC AND THERAPEUTIC EQUIPMENT")</f>
        <v>DIAGNOSTIC AND THERAPEUTIC EQUIPMENT</v>
      </c>
      <c r="F57" s="31" t="str">
        <f>IFERROR(__xludf.DUMMYFUNCTION("""COMPUTED_VALUE"""),"THEORY WITH LAB")</f>
        <v>THEORY WITH LAB</v>
      </c>
      <c r="G57" s="31">
        <f>IFERROR(__xludf.DUMMYFUNCTION("""COMPUTED_VALUE"""),3)</f>
        <v>3</v>
      </c>
      <c r="H57" s="31">
        <f>IFERROR(__xludf.DUMMYFUNCTION("""COMPUTED_VALUE"""),0)</f>
        <v>0</v>
      </c>
      <c r="I57" s="31">
        <f>IFERROR(__xludf.DUMMYFUNCTION("""COMPUTED_VALUE"""),2)</f>
        <v>2</v>
      </c>
      <c r="J57" s="31">
        <f>IFERROR(__xludf.DUMMYFUNCTION("""COMPUTED_VALUE"""),4)</f>
        <v>4</v>
      </c>
      <c r="K57" s="31" t="str">
        <f>IFERROR(__xludf.DUMMYFUNCTION("""COMPUTED_VALUE"""),"BM11066")</f>
        <v>BM11066</v>
      </c>
      <c r="L57" s="31" t="str">
        <f>IFERROR(__xludf.DUMMYFUNCTION("""COMPUTED_VALUE"""),"Ms.SAAHINA S")</f>
        <v>Ms.SAAHINA S</v>
      </c>
      <c r="M57" s="31" t="str">
        <f>IFERROR(__xludf.DUMMYFUNCTION("""COMPUTED_VALUE"""),"saahina@bitsathy.ac.in")</f>
        <v>saahina@bitsathy.ac.in</v>
      </c>
    </row>
    <row r="58" ht="35.25" customHeight="1" spans="1:13">
      <c r="A58" s="31" t="str">
        <f>IFERROR(__xludf.DUMMYFUNCTION("""COMPUTED_VALUE"""),"BME")</f>
        <v>BME</v>
      </c>
      <c r="B58" s="31" t="str">
        <f>IFERROR(__xludf.DUMMYFUNCTION("""COMPUTED_VALUE"""),"S6")</f>
        <v>S6</v>
      </c>
      <c r="C58" s="31" t="str">
        <f>IFERROR(__xludf.DUMMYFUNCTION("""COMPUTED_VALUE"""),"CORE")</f>
        <v>CORE</v>
      </c>
      <c r="D58" s="31" t="str">
        <f>IFERROR(__xludf.DUMMYFUNCTION("""COMPUTED_VALUE"""),"22BM602")</f>
        <v>22BM602</v>
      </c>
      <c r="E58" s="98" t="str">
        <f>IFERROR(__xludf.DUMMYFUNCTION("""COMPUTED_VALUE"""),"BIOMECHANICS")</f>
        <v>BIOMECHANICS</v>
      </c>
      <c r="F58" s="31" t="str">
        <f>IFERROR(__xludf.DUMMYFUNCTION("""COMPUTED_VALUE"""),"THEORY WITH LAB")</f>
        <v>THEORY WITH LAB</v>
      </c>
      <c r="G58" s="31">
        <f>IFERROR(__xludf.DUMMYFUNCTION("""COMPUTED_VALUE"""),3)</f>
        <v>3</v>
      </c>
      <c r="H58" s="31">
        <f>IFERROR(__xludf.DUMMYFUNCTION("""COMPUTED_VALUE"""),0)</f>
        <v>0</v>
      </c>
      <c r="I58" s="31">
        <f>IFERROR(__xludf.DUMMYFUNCTION("""COMPUTED_VALUE"""),2)</f>
        <v>2</v>
      </c>
      <c r="J58" s="31">
        <f>IFERROR(__xludf.DUMMYFUNCTION("""COMPUTED_VALUE"""),4)</f>
        <v>4</v>
      </c>
      <c r="K58" s="31" t="str">
        <f>IFERROR(__xludf.DUMMYFUNCTION("""COMPUTED_VALUE"""),"BM11071")</f>
        <v>BM11071</v>
      </c>
      <c r="L58" s="31" t="str">
        <f>IFERROR(__xludf.DUMMYFUNCTION("""COMPUTED_VALUE"""),"Mr.SYED ALTHAF S")</f>
        <v>Mr.SYED ALTHAF S</v>
      </c>
      <c r="M58" s="31" t="str">
        <f>IFERROR(__xludf.DUMMYFUNCTION("""COMPUTED_VALUE"""),"syedalthaf@bitsathy.ac.in")</f>
        <v>syedalthaf@bitsathy.ac.in</v>
      </c>
    </row>
    <row r="59" ht="35.25" customHeight="1" spans="1:13">
      <c r="A59" s="31" t="str">
        <f>IFERROR(__xludf.DUMMYFUNCTION("""COMPUTED_VALUE"""),"BME")</f>
        <v>BME</v>
      </c>
      <c r="B59" s="31" t="str">
        <f>IFERROR(__xludf.DUMMYFUNCTION("""COMPUTED_VALUE"""),"S6")</f>
        <v>S6</v>
      </c>
      <c r="C59" s="31" t="str">
        <f>IFERROR(__xludf.DUMMYFUNCTION("""COMPUTED_VALUE"""),"CORE")</f>
        <v>CORE</v>
      </c>
      <c r="D59" s="31" t="str">
        <f>IFERROR(__xludf.DUMMYFUNCTION("""COMPUTED_VALUE"""),"22BM603")</f>
        <v>22BM603</v>
      </c>
      <c r="E59" s="98" t="str">
        <f>IFERROR(__xludf.DUMMYFUNCTION("""COMPUTED_VALUE"""),"ARTIFICIAL INTELLIGENCE AND MACHINE LEARNING")</f>
        <v>ARTIFICIAL INTELLIGENCE AND MACHINE LEARNING</v>
      </c>
      <c r="F59" s="31" t="str">
        <f>IFERROR(__xludf.DUMMYFUNCTION("""COMPUTED_VALUE"""),"THEORY WITH LAB")</f>
        <v>THEORY WITH LAB</v>
      </c>
      <c r="G59" s="31">
        <f>IFERROR(__xludf.DUMMYFUNCTION("""COMPUTED_VALUE"""),3)</f>
        <v>3</v>
      </c>
      <c r="H59" s="31">
        <f>IFERROR(__xludf.DUMMYFUNCTION("""COMPUTED_VALUE"""),0)</f>
        <v>0</v>
      </c>
      <c r="I59" s="31">
        <f>IFERROR(__xludf.DUMMYFUNCTION("""COMPUTED_VALUE"""),2)</f>
        <v>2</v>
      </c>
      <c r="J59" s="31">
        <f>IFERROR(__xludf.DUMMYFUNCTION("""COMPUTED_VALUE"""),4)</f>
        <v>4</v>
      </c>
      <c r="K59" s="31" t="str">
        <f>IFERROR(__xludf.DUMMYFUNCTION("""COMPUTED_VALUE"""),"CB11145")</f>
        <v>CB11145</v>
      </c>
      <c r="L59" s="31" t="str">
        <f>IFERROR(__xludf.DUMMYFUNCTION("""COMPUTED_VALUE"""),"Mrs.DIVYA S")</f>
        <v>Mrs.DIVYA S</v>
      </c>
      <c r="M59" s="31" t="str">
        <f>IFERROR(__xludf.DUMMYFUNCTION("""COMPUTED_VALUE"""),"divyaks@bitsathy.ac.in")</f>
        <v>divyaks@bitsathy.ac.in</v>
      </c>
    </row>
    <row r="60" ht="35.25" customHeight="1" spans="1:13">
      <c r="A60" s="31" t="str">
        <f>IFERROR(__xludf.DUMMYFUNCTION("""COMPUTED_VALUE"""),"BME")</f>
        <v>BME</v>
      </c>
      <c r="B60" s="31" t="str">
        <f>IFERROR(__xludf.DUMMYFUNCTION("""COMPUTED_VALUE"""),"S6")</f>
        <v>S6</v>
      </c>
      <c r="C60" s="31" t="str">
        <f>IFERROR(__xludf.DUMMYFUNCTION("""COMPUTED_VALUE"""),"ELECTIVE 3")</f>
        <v>ELECTIVE 3</v>
      </c>
      <c r="D60" s="31" t="str">
        <f>IFERROR(__xludf.DUMMYFUNCTION("""COMPUTED_VALUE"""),"22BM005")</f>
        <v>22BM005</v>
      </c>
      <c r="E60" s="98" t="str">
        <f>IFERROR(__xludf.DUMMYFUNCTION("""COMPUTED_VALUE"""),"ADVANCED MEDICAL IMAGE ANALYSIS")</f>
        <v>ADVANCED MEDICAL IMAGE ANALYSIS</v>
      </c>
      <c r="F60" s="31" t="str">
        <f>IFERROR(__xludf.DUMMYFUNCTION("""COMPUTED_VALUE"""),"THEORY")</f>
        <v>THEORY</v>
      </c>
      <c r="G60" s="31">
        <f>IFERROR(__xludf.DUMMYFUNCTION("""COMPUTED_VALUE"""),3)</f>
        <v>3</v>
      </c>
      <c r="H60" s="31">
        <f>IFERROR(__xludf.DUMMYFUNCTION("""COMPUTED_VALUE"""),0)</f>
        <v>0</v>
      </c>
      <c r="I60" s="31">
        <f>IFERROR(__xludf.DUMMYFUNCTION("""COMPUTED_VALUE"""),0)</f>
        <v>0</v>
      </c>
      <c r="J60" s="31">
        <f>IFERROR(__xludf.DUMMYFUNCTION("""COMPUTED_VALUE"""),3)</f>
        <v>3</v>
      </c>
      <c r="K60" s="31" t="str">
        <f>IFERROR(__xludf.DUMMYFUNCTION("""COMPUTED_VALUE"""),"BM11176")</f>
        <v>BM11176</v>
      </c>
      <c r="L60" s="31" t="str">
        <f>IFERROR(__xludf.DUMMYFUNCTION("""COMPUTED_VALUE"""),"Ms.PRATHEEBHA G")</f>
        <v>Ms.PRATHEEBHA G</v>
      </c>
      <c r="M60" s="31" t="str">
        <f>IFERROR(__xludf.DUMMYFUNCTION("""COMPUTED_VALUE"""),"pratheebhag@bitsathy.ac.in")</f>
        <v>pratheebhag@bitsathy.ac.in</v>
      </c>
    </row>
    <row r="61" ht="35.25" customHeight="1" spans="1:13">
      <c r="A61" s="31" t="str">
        <f>IFERROR(__xludf.DUMMYFUNCTION("""COMPUTED_VALUE"""),"BME")</f>
        <v>BME</v>
      </c>
      <c r="B61" s="31" t="str">
        <f>IFERROR(__xludf.DUMMYFUNCTION("""COMPUTED_VALUE"""),"S6")</f>
        <v>S6</v>
      </c>
      <c r="C61" s="31" t="str">
        <f>IFERROR(__xludf.DUMMYFUNCTION("""COMPUTED_VALUE"""),"ELECTIVE 4")</f>
        <v>ELECTIVE 4</v>
      </c>
      <c r="D61" s="31" t="str">
        <f>IFERROR(__xludf.DUMMYFUNCTION("""COMPUTED_VALUE"""),"22BM031")</f>
        <v>22BM031</v>
      </c>
      <c r="E61" s="98" t="str">
        <f>IFERROR(__xludf.DUMMYFUNCTION("""COMPUTED_VALUE"""),"MEDICAL OPTICS")</f>
        <v>MEDICAL OPTICS</v>
      </c>
      <c r="F61" s="31" t="str">
        <f>IFERROR(__xludf.DUMMYFUNCTION("""COMPUTED_VALUE"""),"THEORY")</f>
        <v>THEORY</v>
      </c>
      <c r="G61" s="31">
        <f>IFERROR(__xludf.DUMMYFUNCTION("""COMPUTED_VALUE"""),3)</f>
        <v>3</v>
      </c>
      <c r="H61" s="31">
        <f>IFERROR(__xludf.DUMMYFUNCTION("""COMPUTED_VALUE"""),0)</f>
        <v>0</v>
      </c>
      <c r="I61" s="31">
        <f>IFERROR(__xludf.DUMMYFUNCTION("""COMPUTED_VALUE"""),0)</f>
        <v>0</v>
      </c>
      <c r="J61" s="31">
        <f>IFERROR(__xludf.DUMMYFUNCTION("""COMPUTED_VALUE"""),3)</f>
        <v>3</v>
      </c>
      <c r="K61" s="31" t="str">
        <f>IFERROR(__xludf.DUMMYFUNCTION("""COMPUTED_VALUE"""),"BM10939")</f>
        <v>BM10939</v>
      </c>
      <c r="L61" s="31" t="str">
        <f>IFERROR(__xludf.DUMMYFUNCTION("""COMPUTED_VALUE"""),"Ms.CAROLINE VINNETIA S")</f>
        <v>Ms.CAROLINE VINNETIA S</v>
      </c>
      <c r="M61" s="31" t="str">
        <f>IFERROR(__xludf.DUMMYFUNCTION("""COMPUTED_VALUE"""),"carolinevinnetias@bitsathy.ac.in")</f>
        <v>carolinevinnetias@bitsathy.ac.in</v>
      </c>
    </row>
    <row r="62" ht="35.25" customHeight="1" spans="1:13">
      <c r="A62" s="31" t="str">
        <f>IFERROR(__xludf.DUMMYFUNCTION("""COMPUTED_VALUE"""),"BME")</f>
        <v>BME</v>
      </c>
      <c r="B62" s="31" t="str">
        <f>IFERROR(__xludf.DUMMYFUNCTION("""COMPUTED_VALUE"""),"S6")</f>
        <v>S6</v>
      </c>
      <c r="C62" s="31" t="str">
        <f>IFERROR(__xludf.DUMMYFUNCTION("""COMPUTED_VALUE"""),"ELECTIVE 5")</f>
        <v>ELECTIVE 5</v>
      </c>
      <c r="D62" s="31" t="str">
        <f>IFERROR(__xludf.DUMMYFUNCTION("""COMPUTED_VALUE"""),"22BM011")</f>
        <v>22BM011</v>
      </c>
      <c r="E62" s="98" t="str">
        <f>IFERROR(__xludf.DUMMYFUNCTION("""COMPUTED_VALUE"""),"REHABILITATION AND ROBOTICS ENGINEERING")</f>
        <v>REHABILITATION AND ROBOTICS ENGINEERING</v>
      </c>
      <c r="F62" s="31" t="str">
        <f>IFERROR(__xludf.DUMMYFUNCTION("""COMPUTED_VALUE"""),"THEORY")</f>
        <v>THEORY</v>
      </c>
      <c r="G62" s="31">
        <f>IFERROR(__xludf.DUMMYFUNCTION("""COMPUTED_VALUE"""),3)</f>
        <v>3</v>
      </c>
      <c r="H62" s="31">
        <f>IFERROR(__xludf.DUMMYFUNCTION("""COMPUTED_VALUE"""),0)</f>
        <v>0</v>
      </c>
      <c r="I62" s="31">
        <f>IFERROR(__xludf.DUMMYFUNCTION("""COMPUTED_VALUE"""),0)</f>
        <v>0</v>
      </c>
      <c r="J62" s="31">
        <f>IFERROR(__xludf.DUMMYFUNCTION("""COMPUTED_VALUE"""),3)</f>
        <v>3</v>
      </c>
      <c r="K62" s="31" t="str">
        <f>IFERROR(__xludf.DUMMYFUNCTION("""COMPUTED_VALUE"""),"BM11175")</f>
        <v>BM11175</v>
      </c>
      <c r="L62" s="31" t="str">
        <f>IFERROR(__xludf.DUMMYFUNCTION("""COMPUTED_VALUE"""),"Ms.SREENIVEATHA P")</f>
        <v>Ms.SREENIVEATHA P</v>
      </c>
      <c r="M62" s="31" t="str">
        <f>IFERROR(__xludf.DUMMYFUNCTION("""COMPUTED_VALUE"""),"sreeniveathap@bitsathy.ac.in")</f>
        <v>sreeniveathap@bitsathy.ac.in</v>
      </c>
    </row>
    <row r="63" ht="35.25" customHeight="1" spans="1:13">
      <c r="A63" s="31" t="str">
        <f>IFERROR(__xludf.DUMMYFUNCTION("""COMPUTED_VALUE"""),"BME")</f>
        <v>BME</v>
      </c>
      <c r="B63" s="31" t="str">
        <f>IFERROR(__xludf.DUMMYFUNCTION("""COMPUTED_VALUE"""),"S6")</f>
        <v>S6</v>
      </c>
      <c r="C63" s="31" t="str">
        <f>IFERROR(__xludf.DUMMYFUNCTION("""COMPUTED_VALUE"""),"ADD COURSE")</f>
        <v>ADD COURSE</v>
      </c>
      <c r="D63" s="31" t="str">
        <f>IFERROR(__xludf.DUMMYFUNCTION("""COMPUTED_VALUE"""),"22BM022")</f>
        <v>22BM022</v>
      </c>
      <c r="E63" s="98" t="str">
        <f>IFERROR(__xludf.DUMMYFUNCTION("""COMPUTED_VALUE"""),"PROSTHETIC AND ORTHOTIC DEVICES")</f>
        <v>PROSTHETIC AND ORTHOTIC DEVICES</v>
      </c>
      <c r="F63" s="31" t="str">
        <f>IFERROR(__xludf.DUMMYFUNCTION("""COMPUTED_VALUE"""),"THEORY")</f>
        <v>THEORY</v>
      </c>
      <c r="G63" s="31">
        <f>IFERROR(__xludf.DUMMYFUNCTION("""COMPUTED_VALUE"""),3)</f>
        <v>3</v>
      </c>
      <c r="H63" s="31">
        <f>IFERROR(__xludf.DUMMYFUNCTION("""COMPUTED_VALUE"""),0)</f>
        <v>0</v>
      </c>
      <c r="I63" s="31">
        <f>IFERROR(__xludf.DUMMYFUNCTION("""COMPUTED_VALUE"""),0)</f>
        <v>0</v>
      </c>
      <c r="J63" s="31">
        <f>IFERROR(__xludf.DUMMYFUNCTION("""COMPUTED_VALUE"""),3)</f>
        <v>3</v>
      </c>
      <c r="K63" s="31" t="str">
        <f>IFERROR(__xludf.DUMMYFUNCTION("""COMPUTED_VALUE"""),"BM11066")</f>
        <v>BM11066</v>
      </c>
      <c r="L63" s="31" t="str">
        <f>IFERROR(__xludf.DUMMYFUNCTION("""COMPUTED_VALUE"""),"Ms.SAAHINA S")</f>
        <v>Ms.SAAHINA S</v>
      </c>
      <c r="M63" s="31" t="str">
        <f>IFERROR(__xludf.DUMMYFUNCTION("""COMPUTED_VALUE"""),"saahina@bitsathy.ac.in")</f>
        <v>saahina@bitsathy.ac.in</v>
      </c>
    </row>
    <row r="64" ht="35.25" customHeight="1" spans="1:13">
      <c r="A64" s="31" t="str">
        <f>IFERROR(__xludf.DUMMYFUNCTION("""COMPUTED_VALUE"""),"BME")</f>
        <v>BME</v>
      </c>
      <c r="B64" s="31" t="str">
        <f>IFERROR(__xludf.DUMMYFUNCTION("""COMPUTED_VALUE"""),"S6")</f>
        <v>S6</v>
      </c>
      <c r="C64" s="31" t="str">
        <f>IFERROR(__xludf.DUMMYFUNCTION("""COMPUTED_VALUE"""),"OPEN ELECTIVE")</f>
        <v>OPEN ELECTIVE</v>
      </c>
      <c r="D64" s="31" t="str">
        <f>IFERROR(__xludf.DUMMYFUNCTION("""COMPUTED_VALUE"""),"22OBM01")</f>
        <v>22OBM01</v>
      </c>
      <c r="E64" s="98" t="str">
        <f>IFERROR(__xludf.DUMMYFUNCTION("""COMPUTED_VALUE"""),"OCCUPATIONAL SAFETY AND HEALTH IN PUBLIC HEALTH")</f>
        <v>OCCUPATIONAL SAFETY AND HEALTH IN PUBLIC HEALTH</v>
      </c>
      <c r="F64" s="31" t="str">
        <f>IFERROR(__xludf.DUMMYFUNCTION("""COMPUTED_VALUE"""),"THEORY")</f>
        <v>THEORY</v>
      </c>
      <c r="G64" s="31">
        <f>IFERROR(__xludf.DUMMYFUNCTION("""COMPUTED_VALUE"""),3)</f>
        <v>3</v>
      </c>
      <c r="H64" s="31">
        <f>IFERROR(__xludf.DUMMYFUNCTION("""COMPUTED_VALUE"""),0)</f>
        <v>0</v>
      </c>
      <c r="I64" s="31">
        <f>IFERROR(__xludf.DUMMYFUNCTION("""COMPUTED_VALUE"""),0)</f>
        <v>0</v>
      </c>
      <c r="J64" s="31">
        <f>IFERROR(__xludf.DUMMYFUNCTION("""COMPUTED_VALUE"""),3)</f>
        <v>3</v>
      </c>
      <c r="K64" s="31" t="str">
        <f>IFERROR(__xludf.DUMMYFUNCTION("""COMPUTED_VALUE"""),"BM11175")</f>
        <v>BM11175</v>
      </c>
      <c r="L64" s="31" t="str">
        <f>IFERROR(__xludf.DUMMYFUNCTION("""COMPUTED_VALUE"""),"Ms.SREENIVEATHA P")</f>
        <v>Ms.SREENIVEATHA P</v>
      </c>
      <c r="M64" s="31" t="str">
        <f>IFERROR(__xludf.DUMMYFUNCTION("""COMPUTED_VALUE"""),"sreeniveathap@bitsathy.ac.in")</f>
        <v>sreeniveathap@bitsathy.ac.in</v>
      </c>
    </row>
    <row r="65" ht="35.25" customHeight="1" spans="1:13">
      <c r="A65" s="31" t="str">
        <f>IFERROR(__xludf.DUMMYFUNCTION("""COMPUTED_VALUE"""),"BME")</f>
        <v>BME</v>
      </c>
      <c r="B65" s="31" t="str">
        <f>IFERROR(__xludf.DUMMYFUNCTION("""COMPUTED_VALUE"""),"S6")</f>
        <v>S6</v>
      </c>
      <c r="C65" s="31" t="str">
        <f>IFERROR(__xludf.DUMMYFUNCTION("""COMPUTED_VALUE"""),"OPEN ELECTIVE")</f>
        <v>OPEN ELECTIVE</v>
      </c>
      <c r="D65" s="31" t="str">
        <f>IFERROR(__xludf.DUMMYFUNCTION("""COMPUTED_VALUE"""),"22OBM01")</f>
        <v>22OBM01</v>
      </c>
      <c r="E65" s="98" t="str">
        <f>IFERROR(__xludf.DUMMYFUNCTION("""COMPUTED_VALUE"""),"OCCUPATIONAL SAFETY AND HEALTH IN PUBLIC HEALTH")</f>
        <v>OCCUPATIONAL SAFETY AND HEALTH IN PUBLIC HEALTH</v>
      </c>
      <c r="F65" s="31" t="str">
        <f>IFERROR(__xludf.DUMMYFUNCTION("""COMPUTED_VALUE"""),"THEORY")</f>
        <v>THEORY</v>
      </c>
      <c r="G65" s="31">
        <f>IFERROR(__xludf.DUMMYFUNCTION("""COMPUTED_VALUE"""),3)</f>
        <v>3</v>
      </c>
      <c r="H65" s="31">
        <f>IFERROR(__xludf.DUMMYFUNCTION("""COMPUTED_VALUE"""),0)</f>
        <v>0</v>
      </c>
      <c r="I65" s="31">
        <f>IFERROR(__xludf.DUMMYFUNCTION("""COMPUTED_VALUE"""),0)</f>
        <v>0</v>
      </c>
      <c r="J65" s="31">
        <f>IFERROR(__xludf.DUMMYFUNCTION("""COMPUTED_VALUE"""),3)</f>
        <v>3</v>
      </c>
      <c r="K65" s="31" t="str">
        <f>IFERROR(__xludf.DUMMYFUNCTION("""COMPUTED_VALUE"""),"BM11176")</f>
        <v>BM11176</v>
      </c>
      <c r="L65" s="31" t="str">
        <f>IFERROR(__xludf.DUMMYFUNCTION("""COMPUTED_VALUE"""),"Ms.PRATHEEBHA G")</f>
        <v>Ms.PRATHEEBHA G</v>
      </c>
      <c r="M65" s="31" t="str">
        <f>IFERROR(__xludf.DUMMYFUNCTION("""COMPUTED_VALUE"""),"pratheebhag@bitsathy.ac.in")</f>
        <v>pratheebhag@bitsathy.ac.in</v>
      </c>
    </row>
    <row r="66" ht="35.25" customHeight="1" spans="1:13">
      <c r="A66" s="31" t="str">
        <f>IFERROR(__xludf.DUMMYFUNCTION("""COMPUTED_VALUE"""),"BME")</f>
        <v>BME</v>
      </c>
      <c r="B66" s="31" t="str">
        <f>IFERROR(__xludf.DUMMYFUNCTION("""COMPUTED_VALUE"""),"S6")</f>
        <v>S6</v>
      </c>
      <c r="C66" s="31" t="str">
        <f>IFERROR(__xludf.DUMMYFUNCTION("""COMPUTED_VALUE"""),"OPEN ELECTIVE")</f>
        <v>OPEN ELECTIVE</v>
      </c>
      <c r="D66" s="31" t="str">
        <f>IFERROR(__xludf.DUMMYFUNCTION("""COMPUTED_VALUE"""),"22OBM01")</f>
        <v>22OBM01</v>
      </c>
      <c r="E66" s="98" t="str">
        <f>IFERROR(__xludf.DUMMYFUNCTION("""COMPUTED_VALUE"""),"OCCUPATIONAL SAFETY AND HEALTH IN PUBLIC HEALTH")</f>
        <v>OCCUPATIONAL SAFETY AND HEALTH IN PUBLIC HEALTH</v>
      </c>
      <c r="F66" s="31" t="str">
        <f>IFERROR(__xludf.DUMMYFUNCTION("""COMPUTED_VALUE"""),"THEORY")</f>
        <v>THEORY</v>
      </c>
      <c r="G66" s="31">
        <f>IFERROR(__xludf.DUMMYFUNCTION("""COMPUTED_VALUE"""),3)</f>
        <v>3</v>
      </c>
      <c r="H66" s="31">
        <f>IFERROR(__xludf.DUMMYFUNCTION("""COMPUTED_VALUE"""),0)</f>
        <v>0</v>
      </c>
      <c r="I66" s="31">
        <f>IFERROR(__xludf.DUMMYFUNCTION("""COMPUTED_VALUE"""),0)</f>
        <v>0</v>
      </c>
      <c r="J66" s="31">
        <f>IFERROR(__xludf.DUMMYFUNCTION("""COMPUTED_VALUE"""),3)</f>
        <v>3</v>
      </c>
      <c r="K66" s="31" t="str">
        <f>IFERROR(__xludf.DUMMYFUNCTION("""COMPUTED_VALUE"""),"BM10939")</f>
        <v>BM10939</v>
      </c>
      <c r="L66" s="31" t="str">
        <f>IFERROR(__xludf.DUMMYFUNCTION("""COMPUTED_VALUE"""),"Ms.CAROLINE VINNETIA S")</f>
        <v>Ms.CAROLINE VINNETIA S</v>
      </c>
      <c r="M66" s="31" t="str">
        <f>IFERROR(__xludf.DUMMYFUNCTION("""COMPUTED_VALUE"""),"carolinevinnetias@bitsathy.ac.in")</f>
        <v>carolinevinnetias@bitsathy.ac.in</v>
      </c>
    </row>
    <row r="67" ht="35.25" customHeight="1" spans="1:13">
      <c r="A67" s="31" t="str">
        <f>IFERROR(__xludf.DUMMYFUNCTION("""COMPUTED_VALUE"""),"BME")</f>
        <v>BME</v>
      </c>
      <c r="B67" s="31" t="str">
        <f>IFERROR(__xludf.DUMMYFUNCTION("""COMPUTED_VALUE"""),"S6")</f>
        <v>S6</v>
      </c>
      <c r="C67" s="31" t="str">
        <f>IFERROR(__xludf.DUMMYFUNCTION("""COMPUTED_VALUE"""),"HONOURS")</f>
        <v>HONOURS</v>
      </c>
      <c r="D67" s="31" t="str">
        <f>IFERROR(__xludf.DUMMYFUNCTION("""COMPUTED_VALUE"""),"22BMH34")</f>
        <v>22BMH34</v>
      </c>
      <c r="E67" s="98" t="str">
        <f>IFERROR(__xludf.DUMMYFUNCTION("""COMPUTED_VALUE"""),"PATIENT SAFETY AND STANDARDS")</f>
        <v>PATIENT SAFETY AND STANDARDS</v>
      </c>
      <c r="F67" s="31" t="str">
        <f>IFERROR(__xludf.DUMMYFUNCTION("""COMPUTED_VALUE"""),"THEORY")</f>
        <v>THEORY</v>
      </c>
      <c r="G67" s="31">
        <f>IFERROR(__xludf.DUMMYFUNCTION("""COMPUTED_VALUE"""),3)</f>
        <v>3</v>
      </c>
      <c r="H67" s="31">
        <f>IFERROR(__xludf.DUMMYFUNCTION("""COMPUTED_VALUE"""),0)</f>
        <v>0</v>
      </c>
      <c r="I67" s="31">
        <f>IFERROR(__xludf.DUMMYFUNCTION("""COMPUTED_VALUE"""),0)</f>
        <v>0</v>
      </c>
      <c r="J67" s="31">
        <f>IFERROR(__xludf.DUMMYFUNCTION("""COMPUTED_VALUE"""),3)</f>
        <v>3</v>
      </c>
      <c r="K67" s="31" t="str">
        <f>IFERROR(__xludf.DUMMYFUNCTION("""COMPUTED_VALUE"""),"BM11071")</f>
        <v>BM11071</v>
      </c>
      <c r="L67" s="31" t="str">
        <f>IFERROR(__xludf.DUMMYFUNCTION("""COMPUTED_VALUE"""),"Mr.SYED ALTHAF S")</f>
        <v>Mr.SYED ALTHAF S</v>
      </c>
      <c r="M67" s="31" t="str">
        <f>IFERROR(__xludf.DUMMYFUNCTION("""COMPUTED_VALUE"""),"syedalthaf@bitsathy.ac.in")</f>
        <v>syedalthaf@bitsathy.ac.in</v>
      </c>
    </row>
    <row r="68" ht="35.25" customHeight="1" spans="1:13">
      <c r="A68" s="31" t="str">
        <f>IFERROR(__xludf.DUMMYFUNCTION("""COMPUTED_VALUE"""),"BME")</f>
        <v>BME</v>
      </c>
      <c r="B68" s="31" t="str">
        <f>IFERROR(__xludf.DUMMYFUNCTION("""COMPUTED_VALUE"""),"S6")</f>
        <v>S6</v>
      </c>
      <c r="C68" s="31" t="str">
        <f>IFERROR(__xludf.DUMMYFUNCTION("""COMPUTED_VALUE"""),"HONOURS")</f>
        <v>HONOURS</v>
      </c>
      <c r="D68" s="31" t="str">
        <f>IFERROR(__xludf.DUMMYFUNCTION("""COMPUTED_VALUE"""),"22BMH35")</f>
        <v>22BMH35</v>
      </c>
      <c r="E68" s="98" t="str">
        <f>IFERROR(__xludf.DUMMYFUNCTION("""COMPUTED_VALUE"""),"MEDICAL DEVICE REGULATIONS")</f>
        <v>MEDICAL DEVICE REGULATIONS</v>
      </c>
      <c r="F68" s="31" t="str">
        <f>IFERROR(__xludf.DUMMYFUNCTION("""COMPUTED_VALUE"""),"THEORY")</f>
        <v>THEORY</v>
      </c>
      <c r="G68" s="31">
        <f>IFERROR(__xludf.DUMMYFUNCTION("""COMPUTED_VALUE"""),3)</f>
        <v>3</v>
      </c>
      <c r="H68" s="31">
        <f>IFERROR(__xludf.DUMMYFUNCTION("""COMPUTED_VALUE"""),0)</f>
        <v>0</v>
      </c>
      <c r="I68" s="31">
        <f>IFERROR(__xludf.DUMMYFUNCTION("""COMPUTED_VALUE"""),0)</f>
        <v>0</v>
      </c>
      <c r="J68" s="31">
        <f>IFERROR(__xludf.DUMMYFUNCTION("""COMPUTED_VALUE"""),3)</f>
        <v>3</v>
      </c>
      <c r="K68" s="31" t="str">
        <f>IFERROR(__xludf.DUMMYFUNCTION("""COMPUTED_VALUE"""),"BM10939")</f>
        <v>BM10939</v>
      </c>
      <c r="L68" s="31" t="str">
        <f>IFERROR(__xludf.DUMMYFUNCTION("""COMPUTED_VALUE"""),"Ms.CAROLINE VINNETIA S")</f>
        <v>Ms.CAROLINE VINNETIA S</v>
      </c>
      <c r="M68" s="31" t="str">
        <f>IFERROR(__xludf.DUMMYFUNCTION("""COMPUTED_VALUE"""),"carolinevinnetias@bitsathy.ac.in")</f>
        <v>carolinevinnetias@bitsathy.ac.in</v>
      </c>
    </row>
    <row r="69" ht="35.25" customHeight="1" spans="1:13">
      <c r="A69" s="31" t="str">
        <f>IFERROR(__xludf.DUMMYFUNCTION("""COMPUTED_VALUE"""),"BME")</f>
        <v>BME</v>
      </c>
      <c r="B69" s="31" t="str">
        <f>IFERROR(__xludf.DUMMYFUNCTION("""COMPUTED_VALUE"""),"S6")</f>
        <v>S6</v>
      </c>
      <c r="C69" s="31" t="str">
        <f>IFERROR(__xludf.DUMMYFUNCTION("""COMPUTED_VALUE"""),"MINI PROJECT")</f>
        <v>MINI PROJECT</v>
      </c>
      <c r="D69" s="31" t="str">
        <f>IFERROR(__xludf.DUMMYFUNCTION("""COMPUTED_VALUE"""),"22BM607")</f>
        <v>22BM607</v>
      </c>
      <c r="E69" s="98" t="str">
        <f>IFERROR(__xludf.DUMMYFUNCTION("""COMPUTED_VALUE"""),"MINI PROJECT II")</f>
        <v>MINI PROJECT II</v>
      </c>
      <c r="F69" s="31" t="str">
        <f>IFERROR(__xludf.DUMMYFUNCTION("""COMPUTED_VALUE"""),"LAB")</f>
        <v>LAB</v>
      </c>
      <c r="G69" s="31">
        <f>IFERROR(__xludf.DUMMYFUNCTION("""COMPUTED_VALUE"""),0)</f>
        <v>0</v>
      </c>
      <c r="H69" s="31">
        <f>IFERROR(__xludf.DUMMYFUNCTION("""COMPUTED_VALUE"""),0)</f>
        <v>0</v>
      </c>
      <c r="I69" s="31">
        <f>IFERROR(__xludf.DUMMYFUNCTION("""COMPUTED_VALUE"""),2)</f>
        <v>2</v>
      </c>
      <c r="J69" s="31">
        <f>IFERROR(__xludf.DUMMYFUNCTION("""COMPUTED_VALUE"""),1)</f>
        <v>1</v>
      </c>
      <c r="K69" s="31"/>
      <c r="L69" s="31"/>
      <c r="M69" s="31"/>
    </row>
    <row r="70" ht="35.25" customHeight="1" spans="1:13">
      <c r="A70" s="31" t="str">
        <f>IFERROR(__xludf.DUMMYFUNCTION("""COMPUTED_VALUE"""),"BT")</f>
        <v>BT</v>
      </c>
      <c r="B70" s="31" t="str">
        <f>IFERROR(__xludf.DUMMYFUNCTION("""COMPUTED_VALUE"""),"S6")</f>
        <v>S6</v>
      </c>
      <c r="C70" s="31" t="str">
        <f>IFERROR(__xludf.DUMMYFUNCTION("""COMPUTED_VALUE"""),"CORE")</f>
        <v>CORE</v>
      </c>
      <c r="D70" s="31" t="str">
        <f>IFERROR(__xludf.DUMMYFUNCTION("""COMPUTED_VALUE"""),"22BT601")</f>
        <v>22BT601</v>
      </c>
      <c r="E70" s="98" t="str">
        <f>IFERROR(__xludf.DUMMYFUNCTION("""COMPUTED_VALUE"""),"DOWNSTREAM PROCESSING")</f>
        <v>DOWNSTREAM PROCESSING</v>
      </c>
      <c r="F70" s="31" t="str">
        <f>IFERROR(__xludf.DUMMYFUNCTION("""COMPUTED_VALUE"""),"THEORY WITH LAB")</f>
        <v>THEORY WITH LAB</v>
      </c>
      <c r="G70" s="31">
        <f>IFERROR(__xludf.DUMMYFUNCTION("""COMPUTED_VALUE"""),3)</f>
        <v>3</v>
      </c>
      <c r="H70" s="31">
        <f>IFERROR(__xludf.DUMMYFUNCTION("""COMPUTED_VALUE"""),0)</f>
        <v>0</v>
      </c>
      <c r="I70" s="31">
        <f>IFERROR(__xludf.DUMMYFUNCTION("""COMPUTED_VALUE"""),2)</f>
        <v>2</v>
      </c>
      <c r="J70" s="31">
        <f>IFERROR(__xludf.DUMMYFUNCTION("""COMPUTED_VALUE"""),4)</f>
        <v>4</v>
      </c>
      <c r="K70" s="31" t="str">
        <f>IFERROR(__xludf.DUMMYFUNCTION("""COMPUTED_VALUE"""),"BT10375")</f>
        <v>BT10375</v>
      </c>
      <c r="L70" s="31" t="str">
        <f>IFERROR(__xludf.DUMMYFUNCTION("""COMPUTED_VALUE"""),"Dr.ASHWIN  RAJ S")</f>
        <v>Dr.ASHWIN  RAJ S</v>
      </c>
      <c r="M70" s="31" t="str">
        <f>IFERROR(__xludf.DUMMYFUNCTION("""COMPUTED_VALUE"""),"ashwinraj@bitsathy.ac.in")</f>
        <v>ashwinraj@bitsathy.ac.in</v>
      </c>
    </row>
    <row r="71" ht="35.25" customHeight="1" spans="1:13">
      <c r="A71" s="31" t="str">
        <f>IFERROR(__xludf.DUMMYFUNCTION("""COMPUTED_VALUE"""),"BT")</f>
        <v>BT</v>
      </c>
      <c r="B71" s="31" t="str">
        <f>IFERROR(__xludf.DUMMYFUNCTION("""COMPUTED_VALUE"""),"S6")</f>
        <v>S6</v>
      </c>
      <c r="C71" s="31" t="str">
        <f>IFERROR(__xludf.DUMMYFUNCTION("""COMPUTED_VALUE"""),"CORE")</f>
        <v>CORE</v>
      </c>
      <c r="D71" s="31" t="str">
        <f>IFERROR(__xludf.DUMMYFUNCTION("""COMPUTED_VALUE"""),"22BT601")</f>
        <v>22BT601</v>
      </c>
      <c r="E71" s="98" t="str">
        <f>IFERROR(__xludf.DUMMYFUNCTION("""COMPUTED_VALUE"""),"DOWNSTREAM PROCESSING")</f>
        <v>DOWNSTREAM PROCESSING</v>
      </c>
      <c r="F71" s="31" t="str">
        <f>IFERROR(__xludf.DUMMYFUNCTION("""COMPUTED_VALUE"""),"THEORY WITH LAB")</f>
        <v>THEORY WITH LAB</v>
      </c>
      <c r="G71" s="31">
        <f>IFERROR(__xludf.DUMMYFUNCTION("""COMPUTED_VALUE"""),3)</f>
        <v>3</v>
      </c>
      <c r="H71" s="31">
        <f>IFERROR(__xludf.DUMMYFUNCTION("""COMPUTED_VALUE"""),0)</f>
        <v>0</v>
      </c>
      <c r="I71" s="31">
        <f>IFERROR(__xludf.DUMMYFUNCTION("""COMPUTED_VALUE"""),2)</f>
        <v>2</v>
      </c>
      <c r="J71" s="31">
        <f>IFERROR(__xludf.DUMMYFUNCTION("""COMPUTED_VALUE"""),4)</f>
        <v>4</v>
      </c>
      <c r="K71" s="31" t="str">
        <f>IFERROR(__xludf.DUMMYFUNCTION("""COMPUTED_VALUE"""),"BT10950")</f>
        <v>BT10950</v>
      </c>
      <c r="L71" s="31" t="str">
        <f>IFERROR(__xludf.DUMMYFUNCTION("""COMPUTED_VALUE"""),"Ms.DHIVYA DHARSHINI U")</f>
        <v>Ms.DHIVYA DHARSHINI U</v>
      </c>
      <c r="M71" s="31" t="str">
        <f>IFERROR(__xludf.DUMMYFUNCTION("""COMPUTED_VALUE"""),"dhivyadharshiniu@bitsathy.ac.in")</f>
        <v>dhivyadharshiniu@bitsathy.ac.in</v>
      </c>
    </row>
    <row r="72" ht="35.25" customHeight="1" spans="1:13">
      <c r="A72" s="31" t="str">
        <f>IFERROR(__xludf.DUMMYFUNCTION("""COMPUTED_VALUE"""),"BT")</f>
        <v>BT</v>
      </c>
      <c r="B72" s="31" t="str">
        <f>IFERROR(__xludf.DUMMYFUNCTION("""COMPUTED_VALUE"""),"S6")</f>
        <v>S6</v>
      </c>
      <c r="C72" s="31" t="str">
        <f>IFERROR(__xludf.DUMMYFUNCTION("""COMPUTED_VALUE"""),"CORE")</f>
        <v>CORE</v>
      </c>
      <c r="D72" s="31" t="str">
        <f>IFERROR(__xludf.DUMMYFUNCTION("""COMPUTED_VALUE"""),"22BT602")</f>
        <v>22BT602</v>
      </c>
      <c r="E72" s="98" t="str">
        <f>IFERROR(__xludf.DUMMYFUNCTION("""COMPUTED_VALUE"""),"IMMUNOLOGY")</f>
        <v>IMMUNOLOGY</v>
      </c>
      <c r="F72" s="31" t="str">
        <f>IFERROR(__xludf.DUMMYFUNCTION("""COMPUTED_VALUE"""),"THEORY WITH LAB")</f>
        <v>THEORY WITH LAB</v>
      </c>
      <c r="G72" s="31">
        <f>IFERROR(__xludf.DUMMYFUNCTION("""COMPUTED_VALUE"""),3)</f>
        <v>3</v>
      </c>
      <c r="H72" s="31">
        <f>IFERROR(__xludf.DUMMYFUNCTION("""COMPUTED_VALUE"""),0)</f>
        <v>0</v>
      </c>
      <c r="I72" s="31">
        <f>IFERROR(__xludf.DUMMYFUNCTION("""COMPUTED_VALUE"""),2)</f>
        <v>2</v>
      </c>
      <c r="J72" s="31">
        <f>IFERROR(__xludf.DUMMYFUNCTION("""COMPUTED_VALUE"""),4)</f>
        <v>4</v>
      </c>
      <c r="K72" s="31" t="str">
        <f>IFERROR(__xludf.DUMMYFUNCTION("""COMPUTED_VALUE"""),"BT10782")</f>
        <v>BT10782</v>
      </c>
      <c r="L72" s="31" t="str">
        <f>IFERROR(__xludf.DUMMYFUNCTION("""COMPUTED_VALUE"""),"Mr.JEYAVEL KARTHICK P")</f>
        <v>Mr.JEYAVEL KARTHICK P</v>
      </c>
      <c r="M72" s="31" t="str">
        <f>IFERROR(__xludf.DUMMYFUNCTION("""COMPUTED_VALUE"""),"jeyavelkarthick@bitsathy.ac.in")</f>
        <v>jeyavelkarthick@bitsathy.ac.in</v>
      </c>
    </row>
    <row r="73" ht="35.25" customHeight="1" spans="1:13">
      <c r="A73" s="31" t="str">
        <f>IFERROR(__xludf.DUMMYFUNCTION("""COMPUTED_VALUE"""),"BT")</f>
        <v>BT</v>
      </c>
      <c r="B73" s="31" t="str">
        <f>IFERROR(__xludf.DUMMYFUNCTION("""COMPUTED_VALUE"""),"S6")</f>
        <v>S6</v>
      </c>
      <c r="C73" s="31" t="str">
        <f>IFERROR(__xludf.DUMMYFUNCTION("""COMPUTED_VALUE"""),"CORE")</f>
        <v>CORE</v>
      </c>
      <c r="D73" s="31" t="str">
        <f>IFERROR(__xludf.DUMMYFUNCTION("""COMPUTED_VALUE"""),"22BT602")</f>
        <v>22BT602</v>
      </c>
      <c r="E73" s="98" t="str">
        <f>IFERROR(__xludf.DUMMYFUNCTION("""COMPUTED_VALUE"""),"IMMUNOLOGY")</f>
        <v>IMMUNOLOGY</v>
      </c>
      <c r="F73" s="31" t="str">
        <f>IFERROR(__xludf.DUMMYFUNCTION("""COMPUTED_VALUE"""),"THEORY")</f>
        <v>THEORY</v>
      </c>
      <c r="G73" s="31">
        <f>IFERROR(__xludf.DUMMYFUNCTION("""COMPUTED_VALUE"""),3)</f>
        <v>3</v>
      </c>
      <c r="H73" s="31">
        <f>IFERROR(__xludf.DUMMYFUNCTION("""COMPUTED_VALUE"""),0)</f>
        <v>0</v>
      </c>
      <c r="I73" s="31">
        <f>IFERROR(__xludf.DUMMYFUNCTION("""COMPUTED_VALUE"""),2)</f>
        <v>2</v>
      </c>
      <c r="J73" s="31">
        <f>IFERROR(__xludf.DUMMYFUNCTION("""COMPUTED_VALUE"""),4)</f>
        <v>4</v>
      </c>
      <c r="K73" s="31" t="str">
        <f>IFERROR(__xludf.DUMMYFUNCTION("""COMPUTED_VALUE"""),"BT10991")</f>
        <v>BT10991</v>
      </c>
      <c r="L73" s="31" t="str">
        <f>IFERROR(__xludf.DUMMYFUNCTION("""COMPUTED_VALUE"""),"Mr.BALAJI S")</f>
        <v>Mr.BALAJI S</v>
      </c>
      <c r="M73" s="31" t="str">
        <f>IFERROR(__xludf.DUMMYFUNCTION("""COMPUTED_VALUE"""),"balajisadhasivam@bitsathy.ac.in")</f>
        <v>balajisadhasivam@bitsathy.ac.in</v>
      </c>
    </row>
    <row r="74" ht="35.25" customHeight="1" spans="1:13">
      <c r="A74" s="31" t="str">
        <f>IFERROR(__xludf.DUMMYFUNCTION("""COMPUTED_VALUE"""),"BT")</f>
        <v>BT</v>
      </c>
      <c r="B74" s="31" t="str">
        <f>IFERROR(__xludf.DUMMYFUNCTION("""COMPUTED_VALUE"""),"S6")</f>
        <v>S6</v>
      </c>
      <c r="C74" s="31" t="str">
        <f>IFERROR(__xludf.DUMMYFUNCTION("""COMPUTED_VALUE"""),"CORE")</f>
        <v>CORE</v>
      </c>
      <c r="D74" s="31" t="str">
        <f>IFERROR(__xludf.DUMMYFUNCTION("""COMPUTED_VALUE"""),"22BT602")</f>
        <v>22BT602</v>
      </c>
      <c r="E74" s="98" t="str">
        <f>IFERROR(__xludf.DUMMYFUNCTION("""COMPUTED_VALUE"""),"IMMUNOLOGY")</f>
        <v>IMMUNOLOGY</v>
      </c>
      <c r="F74" s="31" t="str">
        <f>IFERROR(__xludf.DUMMYFUNCTION("""COMPUTED_VALUE"""),"LAB")</f>
        <v>LAB</v>
      </c>
      <c r="G74" s="31">
        <f>IFERROR(__xludf.DUMMYFUNCTION("""COMPUTED_VALUE"""),3)</f>
        <v>3</v>
      </c>
      <c r="H74" s="31">
        <f>IFERROR(__xludf.DUMMYFUNCTION("""COMPUTED_VALUE"""),0)</f>
        <v>0</v>
      </c>
      <c r="I74" s="31">
        <f>IFERROR(__xludf.DUMMYFUNCTION("""COMPUTED_VALUE"""),2)</f>
        <v>2</v>
      </c>
      <c r="J74" s="31">
        <f>IFERROR(__xludf.DUMMYFUNCTION("""COMPUTED_VALUE"""),4)</f>
        <v>4</v>
      </c>
      <c r="K74" s="31" t="str">
        <f>IFERROR(__xludf.DUMMYFUNCTION("""COMPUTED_VALUE"""),"BT1849")</f>
        <v>BT1849</v>
      </c>
      <c r="L74" s="31" t="str">
        <f>IFERROR(__xludf.DUMMYFUNCTION("""COMPUTED_VALUE"""),"Dr.KIRUPA SANKAR M")</f>
        <v>Dr.KIRUPA SANKAR M</v>
      </c>
      <c r="M74" s="31" t="str">
        <f>IFERROR(__xludf.DUMMYFUNCTION("""COMPUTED_VALUE"""),"kirupasankarm@bitsathy.ac.in")</f>
        <v>kirupasankarm@bitsathy.ac.in</v>
      </c>
    </row>
    <row r="75" ht="35.25" customHeight="1" spans="1:13">
      <c r="A75" s="31" t="str">
        <f>IFERROR(__xludf.DUMMYFUNCTION("""COMPUTED_VALUE"""),"BT")</f>
        <v>BT</v>
      </c>
      <c r="B75" s="31" t="str">
        <f>IFERROR(__xludf.DUMMYFUNCTION("""COMPUTED_VALUE"""),"S6")</f>
        <v>S6</v>
      </c>
      <c r="C75" s="31" t="str">
        <f>IFERROR(__xludf.DUMMYFUNCTION("""COMPUTED_VALUE"""),"CORE")</f>
        <v>CORE</v>
      </c>
      <c r="D75" s="31" t="str">
        <f>IFERROR(__xludf.DUMMYFUNCTION("""COMPUTED_VALUE"""),"22BT603")</f>
        <v>22BT603</v>
      </c>
      <c r="E75" s="98" t="str">
        <f>IFERROR(__xludf.DUMMYFUNCTION("""COMPUTED_VALUE"""),"ENZYME AND PROTEIN ENGINEERING")</f>
        <v>ENZYME AND PROTEIN ENGINEERING</v>
      </c>
      <c r="F75" s="31" t="str">
        <f>IFERROR(__xludf.DUMMYFUNCTION("""COMPUTED_VALUE"""),"THEORY WITH LAB")</f>
        <v>THEORY WITH LAB</v>
      </c>
      <c r="G75" s="31">
        <f>IFERROR(__xludf.DUMMYFUNCTION("""COMPUTED_VALUE"""),3)</f>
        <v>3</v>
      </c>
      <c r="H75" s="31">
        <f>IFERROR(__xludf.DUMMYFUNCTION("""COMPUTED_VALUE"""),0)</f>
        <v>0</v>
      </c>
      <c r="I75" s="31">
        <f>IFERROR(__xludf.DUMMYFUNCTION("""COMPUTED_VALUE"""),2)</f>
        <v>2</v>
      </c>
      <c r="J75" s="31">
        <f>IFERROR(__xludf.DUMMYFUNCTION("""COMPUTED_VALUE"""),4)</f>
        <v>4</v>
      </c>
      <c r="K75" s="31" t="str">
        <f>IFERROR(__xludf.DUMMYFUNCTION("""COMPUTED_VALUE"""),"BT11134")</f>
        <v>BT11134</v>
      </c>
      <c r="L75" s="31" t="str">
        <f>IFERROR(__xludf.DUMMYFUNCTION("""COMPUTED_VALUE"""),"Dr.SARANYA S")</f>
        <v>Dr.SARANYA S</v>
      </c>
      <c r="M75" s="31" t="str">
        <f>IFERROR(__xludf.DUMMYFUNCTION("""COMPUTED_VALUE"""),"saranya@bitsathy.ac.in")</f>
        <v>saranya@bitsathy.ac.in</v>
      </c>
    </row>
    <row r="76" ht="35.25" customHeight="1" spans="1:13">
      <c r="A76" s="31" t="str">
        <f>IFERROR(__xludf.DUMMYFUNCTION("""COMPUTED_VALUE"""),"BT")</f>
        <v>BT</v>
      </c>
      <c r="B76" s="31" t="str">
        <f>IFERROR(__xludf.DUMMYFUNCTION("""COMPUTED_VALUE"""),"S6")</f>
        <v>S6</v>
      </c>
      <c r="C76" s="31" t="str">
        <f>IFERROR(__xludf.DUMMYFUNCTION("""COMPUTED_VALUE"""),"CORE")</f>
        <v>CORE</v>
      </c>
      <c r="D76" s="31" t="str">
        <f>IFERROR(__xludf.DUMMYFUNCTION("""COMPUTED_VALUE"""),"22BT603")</f>
        <v>22BT603</v>
      </c>
      <c r="E76" s="98" t="str">
        <f>IFERROR(__xludf.DUMMYFUNCTION("""COMPUTED_VALUE"""),"ENZYME AND PROTEIN ENGINEERING")</f>
        <v>ENZYME AND PROTEIN ENGINEERING</v>
      </c>
      <c r="F76" s="31" t="str">
        <f>IFERROR(__xludf.DUMMYFUNCTION("""COMPUTED_VALUE"""),"THEORY WITH LAB")</f>
        <v>THEORY WITH LAB</v>
      </c>
      <c r="G76" s="31">
        <f>IFERROR(__xludf.DUMMYFUNCTION("""COMPUTED_VALUE"""),3)</f>
        <v>3</v>
      </c>
      <c r="H76" s="31">
        <f>IFERROR(__xludf.DUMMYFUNCTION("""COMPUTED_VALUE"""),0)</f>
        <v>0</v>
      </c>
      <c r="I76" s="31">
        <f>IFERROR(__xludf.DUMMYFUNCTION("""COMPUTED_VALUE"""),2)</f>
        <v>2</v>
      </c>
      <c r="J76" s="31">
        <f>IFERROR(__xludf.DUMMYFUNCTION("""COMPUTED_VALUE"""),4)</f>
        <v>4</v>
      </c>
      <c r="K76" s="31" t="str">
        <f>IFERROR(__xludf.DUMMYFUNCTION("""COMPUTED_VALUE"""),"BT10978")</f>
        <v>BT10978</v>
      </c>
      <c r="L76" s="31" t="str">
        <f>IFERROR(__xludf.DUMMYFUNCTION("""COMPUTED_VALUE"""),"Mrs.SAKTHISHOBANA K")</f>
        <v>Mrs.SAKTHISHOBANA K</v>
      </c>
      <c r="M76" s="31" t="str">
        <f>IFERROR(__xludf.DUMMYFUNCTION("""COMPUTED_VALUE"""),"sakthishobanak@bitsathy.ac.in")</f>
        <v>sakthishobanak@bitsathy.ac.in</v>
      </c>
    </row>
    <row r="77" ht="35.25" customHeight="1" spans="1:13">
      <c r="A77" s="31" t="str">
        <f>IFERROR(__xludf.DUMMYFUNCTION("""COMPUTED_VALUE"""),"BT")</f>
        <v>BT</v>
      </c>
      <c r="B77" s="31" t="str">
        <f>IFERROR(__xludf.DUMMYFUNCTION("""COMPUTED_VALUE"""),"S6")</f>
        <v>S6</v>
      </c>
      <c r="C77" s="31" t="str">
        <f>IFERROR(__xludf.DUMMYFUNCTION("""COMPUTED_VALUE"""),"ELECTIVE 3")</f>
        <v>ELECTIVE 3</v>
      </c>
      <c r="D77" s="31" t="str">
        <f>IFERROR(__xludf.DUMMYFUNCTION("""COMPUTED_VALUE"""),"22BT036")</f>
        <v>22BT036</v>
      </c>
      <c r="E77" s="98" t="str">
        <f>IFERROR(__xludf.DUMMYFUNCTION("""COMPUTED_VALUE"""),"MOLECULAR THERAPEUTICS AND DIAGNOSTICS")</f>
        <v>MOLECULAR THERAPEUTICS AND DIAGNOSTICS</v>
      </c>
      <c r="F77" s="31" t="str">
        <f>IFERROR(__xludf.DUMMYFUNCTION("""COMPUTED_VALUE"""),"THEORY")</f>
        <v>THEORY</v>
      </c>
      <c r="G77" s="31">
        <f>IFERROR(__xludf.DUMMYFUNCTION("""COMPUTED_VALUE"""),3)</f>
        <v>3</v>
      </c>
      <c r="H77" s="31">
        <f>IFERROR(__xludf.DUMMYFUNCTION("""COMPUTED_VALUE"""),0)</f>
        <v>0</v>
      </c>
      <c r="I77" s="31">
        <f>IFERROR(__xludf.DUMMYFUNCTION("""COMPUTED_VALUE"""),0)</f>
        <v>0</v>
      </c>
      <c r="J77" s="31">
        <f>IFERROR(__xludf.DUMMYFUNCTION("""COMPUTED_VALUE"""),3)</f>
        <v>3</v>
      </c>
      <c r="K77" s="31" t="str">
        <f>IFERROR(__xludf.DUMMYFUNCTION("""COMPUTED_VALUE"""),"BT10988")</f>
        <v>BT10988</v>
      </c>
      <c r="L77" s="31" t="str">
        <f>IFERROR(__xludf.DUMMYFUNCTION("""COMPUTED_VALUE"""),"Dr.SANDHYARANI R")</f>
        <v>Dr.SANDHYARANI R</v>
      </c>
      <c r="M77" s="31" t="str">
        <f>IFERROR(__xludf.DUMMYFUNCTION("""COMPUTED_VALUE"""),"sandhyaranir@bitsathy.ac.in")</f>
        <v>sandhyaranir@bitsathy.ac.in</v>
      </c>
    </row>
    <row r="78" ht="35.25" customHeight="1" spans="1:13">
      <c r="A78" s="31" t="str">
        <f>IFERROR(__xludf.DUMMYFUNCTION("""COMPUTED_VALUE"""),"BT")</f>
        <v>BT</v>
      </c>
      <c r="B78" s="31" t="str">
        <f>IFERROR(__xludf.DUMMYFUNCTION("""COMPUTED_VALUE"""),"S6")</f>
        <v>S6</v>
      </c>
      <c r="C78" s="31" t="str">
        <f>IFERROR(__xludf.DUMMYFUNCTION("""COMPUTED_VALUE"""),"ELECTIVE 3")</f>
        <v>ELECTIVE 3</v>
      </c>
      <c r="D78" s="31" t="str">
        <f>IFERROR(__xludf.DUMMYFUNCTION("""COMPUTED_VALUE"""),"22BT042")</f>
        <v>22BT042</v>
      </c>
      <c r="E78" s="98" t="str">
        <f>IFERROR(__xludf.DUMMYFUNCTION("""COMPUTED_VALUE"""),"CLINICAL TRIALS AND HEALTHCARE POLICIES IN BIOTECHNOLOGY ")</f>
        <v>CLINICAL TRIALS AND HEALTHCARE POLICIES IN BIOTECHNOLOGY </v>
      </c>
      <c r="F78" s="31" t="str">
        <f>IFERROR(__xludf.DUMMYFUNCTION("""COMPUTED_VALUE"""),"THEORY")</f>
        <v>THEORY</v>
      </c>
      <c r="G78" s="31">
        <f>IFERROR(__xludf.DUMMYFUNCTION("""COMPUTED_VALUE"""),3)</f>
        <v>3</v>
      </c>
      <c r="H78" s="31">
        <f>IFERROR(__xludf.DUMMYFUNCTION("""COMPUTED_VALUE"""),0)</f>
        <v>0</v>
      </c>
      <c r="I78" s="31">
        <f>IFERROR(__xludf.DUMMYFUNCTION("""COMPUTED_VALUE"""),0)</f>
        <v>0</v>
      </c>
      <c r="J78" s="31">
        <f>IFERROR(__xludf.DUMMYFUNCTION("""COMPUTED_VALUE"""),3)</f>
        <v>3</v>
      </c>
      <c r="K78" s="31" t="str">
        <f>IFERROR(__xludf.DUMMYFUNCTION("""COMPUTED_VALUE"""),"BT11050")</f>
        <v>BT11050</v>
      </c>
      <c r="L78" s="31" t="str">
        <f>IFERROR(__xludf.DUMMYFUNCTION("""COMPUTED_VALUE"""),"Mrs.VINODHINI R T")</f>
        <v>Mrs.VINODHINI R T</v>
      </c>
      <c r="M78" s="31" t="str">
        <f>IFERROR(__xludf.DUMMYFUNCTION("""COMPUTED_VALUE"""),"vinodhinirt@bitsathy.ac.in")</f>
        <v>vinodhinirt@bitsathy.ac.in</v>
      </c>
    </row>
    <row r="79" ht="35.25" customHeight="1" spans="1:13">
      <c r="A79" s="31" t="str">
        <f>IFERROR(__xludf.DUMMYFUNCTION("""COMPUTED_VALUE"""),"BT")</f>
        <v>BT</v>
      </c>
      <c r="B79" s="31" t="str">
        <f>IFERROR(__xludf.DUMMYFUNCTION("""COMPUTED_VALUE"""),"S6")</f>
        <v>S6</v>
      </c>
      <c r="C79" s="31" t="str">
        <f>IFERROR(__xludf.DUMMYFUNCTION("""COMPUTED_VALUE"""),"ELECTIVE 3")</f>
        <v>ELECTIVE 3</v>
      </c>
      <c r="D79" s="31" t="str">
        <f>IFERROR(__xludf.DUMMYFUNCTION("""COMPUTED_VALUE"""),"22BT042")</f>
        <v>22BT042</v>
      </c>
      <c r="E79" s="98" t="str">
        <f>IFERROR(__xludf.DUMMYFUNCTION("""COMPUTED_VALUE"""),"CLINICAL TRIALS AND HEALTHCARE POLICIES IN BIOTECHNOLOGY ")</f>
        <v>CLINICAL TRIALS AND HEALTHCARE POLICIES IN BIOTECHNOLOGY </v>
      </c>
      <c r="F79" s="31" t="str">
        <f>IFERROR(__xludf.DUMMYFUNCTION("""COMPUTED_VALUE"""),"THEORY")</f>
        <v>THEORY</v>
      </c>
      <c r="G79" s="31">
        <f>IFERROR(__xludf.DUMMYFUNCTION("""COMPUTED_VALUE"""),3)</f>
        <v>3</v>
      </c>
      <c r="H79" s="31">
        <f>IFERROR(__xludf.DUMMYFUNCTION("""COMPUTED_VALUE"""),0)</f>
        <v>0</v>
      </c>
      <c r="I79" s="31">
        <f>IFERROR(__xludf.DUMMYFUNCTION("""COMPUTED_VALUE"""),0)</f>
        <v>0</v>
      </c>
      <c r="J79" s="31">
        <f>IFERROR(__xludf.DUMMYFUNCTION("""COMPUTED_VALUE"""),3)</f>
        <v>3</v>
      </c>
      <c r="K79" s="31" t="str">
        <f>IFERROR(__xludf.DUMMYFUNCTION("""COMPUTED_VALUE"""),"BT11035")</f>
        <v>BT11035</v>
      </c>
      <c r="L79" s="31" t="str">
        <f>IFERROR(__xludf.DUMMYFUNCTION("""COMPUTED_VALUE"""),"Ms.NANDHINI N")</f>
        <v>Ms.NANDHINI N</v>
      </c>
      <c r="M79" s="31" t="str">
        <f>IFERROR(__xludf.DUMMYFUNCTION("""COMPUTED_VALUE"""),"nandhinin@bitsathy.ac.in")</f>
        <v>nandhinin@bitsathy.ac.in</v>
      </c>
    </row>
    <row r="80" ht="35.25" customHeight="1" spans="1:13">
      <c r="A80" s="31" t="str">
        <f>IFERROR(__xludf.DUMMYFUNCTION("""COMPUTED_VALUE"""),"BT")</f>
        <v>BT</v>
      </c>
      <c r="B80" s="31" t="str">
        <f>IFERROR(__xludf.DUMMYFUNCTION("""COMPUTED_VALUE"""),"S6")</f>
        <v>S6</v>
      </c>
      <c r="C80" s="31" t="str">
        <f>IFERROR(__xludf.DUMMYFUNCTION("""COMPUTED_VALUE"""),"ELECTIVE 4")</f>
        <v>ELECTIVE 4</v>
      </c>
      <c r="D80" s="31" t="str">
        <f>IFERROR(__xludf.DUMMYFUNCTION("""COMPUTED_VALUE"""),"22BT046")</f>
        <v>22BT046</v>
      </c>
      <c r="E80" s="98" t="str">
        <f>IFERROR(__xludf.DUMMYFUNCTION("""COMPUTED_VALUE"""),"BIOSAFETY AND HAZARD MANAGEMENT")</f>
        <v>BIOSAFETY AND HAZARD MANAGEMENT</v>
      </c>
      <c r="F80" s="31" t="str">
        <f>IFERROR(__xludf.DUMMYFUNCTION("""COMPUTED_VALUE"""),"THEORY")</f>
        <v>THEORY</v>
      </c>
      <c r="G80" s="31">
        <f>IFERROR(__xludf.DUMMYFUNCTION("""COMPUTED_VALUE"""),3)</f>
        <v>3</v>
      </c>
      <c r="H80" s="31">
        <f>IFERROR(__xludf.DUMMYFUNCTION("""COMPUTED_VALUE"""),0)</f>
        <v>0</v>
      </c>
      <c r="I80" s="31">
        <f>IFERROR(__xludf.DUMMYFUNCTION("""COMPUTED_VALUE"""),0)</f>
        <v>0</v>
      </c>
      <c r="J80" s="31">
        <f>IFERROR(__xludf.DUMMYFUNCTION("""COMPUTED_VALUE"""),3)</f>
        <v>3</v>
      </c>
      <c r="K80" s="31" t="str">
        <f>IFERROR(__xludf.DUMMYFUNCTION("""COMPUTED_VALUE"""),"BT10950")</f>
        <v>BT10950</v>
      </c>
      <c r="L80" s="31" t="str">
        <f>IFERROR(__xludf.DUMMYFUNCTION("""COMPUTED_VALUE"""),"Ms.DHIVYA DHARSHINI U")</f>
        <v>Ms.DHIVYA DHARSHINI U</v>
      </c>
      <c r="M80" s="31" t="str">
        <f>IFERROR(__xludf.DUMMYFUNCTION("""COMPUTED_VALUE"""),"dhivyadharshiniu@bitsathy.ac.in")</f>
        <v>dhivyadharshiniu@bitsathy.ac.in</v>
      </c>
    </row>
    <row r="81" ht="35.25" customHeight="1" spans="1:13">
      <c r="A81" s="31" t="str">
        <f>IFERROR(__xludf.DUMMYFUNCTION("""COMPUTED_VALUE"""),"BT")</f>
        <v>BT</v>
      </c>
      <c r="B81" s="31" t="str">
        <f>IFERROR(__xludf.DUMMYFUNCTION("""COMPUTED_VALUE"""),"S6")</f>
        <v>S6</v>
      </c>
      <c r="C81" s="31" t="str">
        <f>IFERROR(__xludf.DUMMYFUNCTION("""COMPUTED_VALUE"""),"ELECTIVE 4")</f>
        <v>ELECTIVE 4</v>
      </c>
      <c r="D81" s="31" t="str">
        <f>IFERROR(__xludf.DUMMYFUNCTION("""COMPUTED_VALUE"""),"22BT046")</f>
        <v>22BT046</v>
      </c>
      <c r="E81" s="98" t="str">
        <f>IFERROR(__xludf.DUMMYFUNCTION("""COMPUTED_VALUE"""),"BIOSAFETY AND HAZARD MANAGEMENT")</f>
        <v>BIOSAFETY AND HAZARD MANAGEMENT</v>
      </c>
      <c r="F81" s="31" t="str">
        <f>IFERROR(__xludf.DUMMYFUNCTION("""COMPUTED_VALUE"""),"THEORY")</f>
        <v>THEORY</v>
      </c>
      <c r="G81" s="31">
        <f>IFERROR(__xludf.DUMMYFUNCTION("""COMPUTED_VALUE"""),3)</f>
        <v>3</v>
      </c>
      <c r="H81" s="31">
        <f>IFERROR(__xludf.DUMMYFUNCTION("""COMPUTED_VALUE"""),0)</f>
        <v>0</v>
      </c>
      <c r="I81" s="31">
        <f>IFERROR(__xludf.DUMMYFUNCTION("""COMPUTED_VALUE"""),0)</f>
        <v>0</v>
      </c>
      <c r="J81" s="31">
        <f>IFERROR(__xludf.DUMMYFUNCTION("""COMPUTED_VALUE"""),3)</f>
        <v>3</v>
      </c>
      <c r="K81" s="31" t="str">
        <f>IFERROR(__xludf.DUMMYFUNCTION("""COMPUTED_VALUE"""),"BT10733")</f>
        <v>BT10733</v>
      </c>
      <c r="L81" s="31" t="str">
        <f>IFERROR(__xludf.DUMMYFUNCTION("""COMPUTED_VALUE"""),"Ms.SWATHI G")</f>
        <v>Ms.SWATHI G</v>
      </c>
      <c r="M81" s="31" t="str">
        <f>IFERROR(__xludf.DUMMYFUNCTION("""COMPUTED_VALUE"""),"swathi@bitsathy.ac.in")</f>
        <v>swathi@bitsathy.ac.in</v>
      </c>
    </row>
    <row r="82" ht="35.25" customHeight="1" spans="1:13">
      <c r="A82" s="31" t="str">
        <f>IFERROR(__xludf.DUMMYFUNCTION("""COMPUTED_VALUE"""),"BT")</f>
        <v>BT</v>
      </c>
      <c r="B82" s="31" t="str">
        <f>IFERROR(__xludf.DUMMYFUNCTION("""COMPUTED_VALUE"""),"S6")</f>
        <v>S6</v>
      </c>
      <c r="C82" s="31" t="str">
        <f>IFERROR(__xludf.DUMMYFUNCTION("""COMPUTED_VALUE"""),"ELECTIVE 4")</f>
        <v>ELECTIVE 4</v>
      </c>
      <c r="D82" s="31" t="str">
        <f>IFERROR(__xludf.DUMMYFUNCTION("""COMPUTED_VALUE"""),"22BT004")</f>
        <v>22BT004</v>
      </c>
      <c r="E82" s="98" t="str">
        <f>IFERROR(__xludf.DUMMYFUNCTION("""COMPUTED_VALUE"""),"BIOENERGY AND BIOFUELS")</f>
        <v>BIOENERGY AND BIOFUELS</v>
      </c>
      <c r="F82" s="31" t="str">
        <f>IFERROR(__xludf.DUMMYFUNCTION("""COMPUTED_VALUE"""),"THEORY")</f>
        <v>THEORY</v>
      </c>
      <c r="G82" s="31">
        <f>IFERROR(__xludf.DUMMYFUNCTION("""COMPUTED_VALUE"""),3)</f>
        <v>3</v>
      </c>
      <c r="H82" s="31">
        <f>IFERROR(__xludf.DUMMYFUNCTION("""COMPUTED_VALUE"""),0)</f>
        <v>0</v>
      </c>
      <c r="I82" s="31">
        <f>IFERROR(__xludf.DUMMYFUNCTION("""COMPUTED_VALUE"""),0)</f>
        <v>0</v>
      </c>
      <c r="J82" s="31">
        <f>IFERROR(__xludf.DUMMYFUNCTION("""COMPUTED_VALUE"""),3)</f>
        <v>3</v>
      </c>
      <c r="K82" s="31" t="str">
        <f>IFERROR(__xludf.DUMMYFUNCTION("""COMPUTED_VALUE"""),"BT1849")</f>
        <v>BT1849</v>
      </c>
      <c r="L82" s="31" t="str">
        <f>IFERROR(__xludf.DUMMYFUNCTION("""COMPUTED_VALUE"""),"Dr.KIRUPA SANKAR M")</f>
        <v>Dr.KIRUPA SANKAR M</v>
      </c>
      <c r="M82" s="31" t="str">
        <f>IFERROR(__xludf.DUMMYFUNCTION("""COMPUTED_VALUE"""),"kirupasankarm@bitsathy.ac.in")</f>
        <v>kirupasankarm@bitsathy.ac.in</v>
      </c>
    </row>
    <row r="83" ht="35.25" customHeight="1" spans="1:13">
      <c r="A83" s="31" t="str">
        <f>IFERROR(__xludf.DUMMYFUNCTION("""COMPUTED_VALUE"""),"BT")</f>
        <v>BT</v>
      </c>
      <c r="B83" s="31" t="str">
        <f>IFERROR(__xludf.DUMMYFUNCTION("""COMPUTED_VALUE"""),"S6")</f>
        <v>S6</v>
      </c>
      <c r="C83" s="31" t="str">
        <f>IFERROR(__xludf.DUMMYFUNCTION("""COMPUTED_VALUE"""),"ELECTIVE 5")</f>
        <v>ELECTIVE 5</v>
      </c>
      <c r="D83" s="31" t="str">
        <f>IFERROR(__xludf.DUMMYFUNCTION("""COMPUTED_VALUE"""),"22BT040")</f>
        <v>22BT040</v>
      </c>
      <c r="E83" s="98" t="str">
        <f>IFERROR(__xludf.DUMMYFUNCTION("""COMPUTED_VALUE"""),"VACCINE TECHNOLOGY")</f>
        <v>VACCINE TECHNOLOGY</v>
      </c>
      <c r="F83" s="31" t="str">
        <f>IFERROR(__xludf.DUMMYFUNCTION("""COMPUTED_VALUE"""),"THEORY")</f>
        <v>THEORY</v>
      </c>
      <c r="G83" s="31">
        <f>IFERROR(__xludf.DUMMYFUNCTION("""COMPUTED_VALUE"""),3)</f>
        <v>3</v>
      </c>
      <c r="H83" s="31">
        <f>IFERROR(__xludf.DUMMYFUNCTION("""COMPUTED_VALUE"""),0)</f>
        <v>0</v>
      </c>
      <c r="I83" s="31">
        <f>IFERROR(__xludf.DUMMYFUNCTION("""COMPUTED_VALUE"""),0)</f>
        <v>0</v>
      </c>
      <c r="J83" s="31">
        <f>IFERROR(__xludf.DUMMYFUNCTION("""COMPUTED_VALUE"""),3)</f>
        <v>3</v>
      </c>
      <c r="K83" s="31" t="str">
        <f>IFERROR(__xludf.DUMMYFUNCTION("""COMPUTED_VALUE"""),"BT1930")</f>
        <v>BT1930</v>
      </c>
      <c r="L83" s="31" t="str">
        <f>IFERROR(__xludf.DUMMYFUNCTION("""COMPUTED_VALUE"""),"Dr.PAVITHRA MKS")</f>
        <v>Dr.PAVITHRA MKS</v>
      </c>
      <c r="M83" s="31" t="str">
        <f>IFERROR(__xludf.DUMMYFUNCTION("""COMPUTED_VALUE"""),"pavithramks@bitsathy.ac.in")</f>
        <v>pavithramks@bitsathy.ac.in</v>
      </c>
    </row>
    <row r="84" ht="35.25" customHeight="1" spans="1:13">
      <c r="A84" s="31" t="str">
        <f>IFERROR(__xludf.DUMMYFUNCTION("""COMPUTED_VALUE"""),"BT")</f>
        <v>BT</v>
      </c>
      <c r="B84" s="31" t="str">
        <f>IFERROR(__xludf.DUMMYFUNCTION("""COMPUTED_VALUE"""),"S6")</f>
        <v>S6</v>
      </c>
      <c r="C84" s="31" t="str">
        <f>IFERROR(__xludf.DUMMYFUNCTION("""COMPUTED_VALUE"""),"ELECTIVE 5")</f>
        <v>ELECTIVE 5</v>
      </c>
      <c r="D84" s="31" t="str">
        <f>IFERROR(__xludf.DUMMYFUNCTION("""COMPUTED_VALUE"""),"22BT010")</f>
        <v>22BT010</v>
      </c>
      <c r="E84" s="98" t="str">
        <f>IFERROR(__xludf.DUMMYFUNCTION("""COMPUTED_VALUE"""),"FOOD PROCESS &amp; TECHNOLOGY")</f>
        <v>FOOD PROCESS &amp; TECHNOLOGY</v>
      </c>
      <c r="F84" s="31" t="str">
        <f>IFERROR(__xludf.DUMMYFUNCTION("""COMPUTED_VALUE"""),"THEORY")</f>
        <v>THEORY</v>
      </c>
      <c r="G84" s="31">
        <f>IFERROR(__xludf.DUMMYFUNCTION("""COMPUTED_VALUE"""),3)</f>
        <v>3</v>
      </c>
      <c r="H84" s="31">
        <f>IFERROR(__xludf.DUMMYFUNCTION("""COMPUTED_VALUE"""),0)</f>
        <v>0</v>
      </c>
      <c r="I84" s="31">
        <f>IFERROR(__xludf.DUMMYFUNCTION("""COMPUTED_VALUE"""),0)</f>
        <v>0</v>
      </c>
      <c r="J84" s="31">
        <f>IFERROR(__xludf.DUMMYFUNCTION("""COMPUTED_VALUE"""),3)</f>
        <v>3</v>
      </c>
      <c r="K84" s="31" t="str">
        <f>IFERROR(__xludf.DUMMYFUNCTION("""COMPUTED_VALUE"""),"FD11130")</f>
        <v>FD11130</v>
      </c>
      <c r="L84" s="31" t="str">
        <f>IFERROR(__xludf.DUMMYFUNCTION("""COMPUTED_VALUE"""),"Ms.SIVARAHINI K")</f>
        <v>Ms.SIVARAHINI K</v>
      </c>
      <c r="M84" s="31" t="str">
        <f>IFERROR(__xludf.DUMMYFUNCTION("""COMPUTED_VALUE"""),"sivarahini@bitsathy.ac.in")</f>
        <v>sivarahini@bitsathy.ac.in</v>
      </c>
    </row>
    <row r="85" ht="35.25" customHeight="1" spans="1:13">
      <c r="A85" s="31" t="str">
        <f>IFERROR(__xludf.DUMMYFUNCTION("""COMPUTED_VALUE"""),"BT")</f>
        <v>BT</v>
      </c>
      <c r="B85" s="31" t="str">
        <f>IFERROR(__xludf.DUMMYFUNCTION("""COMPUTED_VALUE"""),"S6")</f>
        <v>S6</v>
      </c>
      <c r="C85" s="31" t="str">
        <f>IFERROR(__xludf.DUMMYFUNCTION("""COMPUTED_VALUE"""),"ELECTIVE 5")</f>
        <v>ELECTIVE 5</v>
      </c>
      <c r="D85" s="31" t="str">
        <f>IFERROR(__xludf.DUMMYFUNCTION("""COMPUTED_VALUE"""),"22BT010")</f>
        <v>22BT010</v>
      </c>
      <c r="E85" s="98" t="str">
        <f>IFERROR(__xludf.DUMMYFUNCTION("""COMPUTED_VALUE"""),"FOOD PROCESS &amp; TECHNOLOGY")</f>
        <v>FOOD PROCESS &amp; TECHNOLOGY</v>
      </c>
      <c r="F85" s="31" t="str">
        <f>IFERROR(__xludf.DUMMYFUNCTION("""COMPUTED_VALUE"""),"THEORY")</f>
        <v>THEORY</v>
      </c>
      <c r="G85" s="31">
        <f>IFERROR(__xludf.DUMMYFUNCTION("""COMPUTED_VALUE"""),3)</f>
        <v>3</v>
      </c>
      <c r="H85" s="31">
        <f>IFERROR(__xludf.DUMMYFUNCTION("""COMPUTED_VALUE"""),0)</f>
        <v>0</v>
      </c>
      <c r="I85" s="31">
        <f>IFERROR(__xludf.DUMMYFUNCTION("""COMPUTED_VALUE"""),0)</f>
        <v>0</v>
      </c>
      <c r="J85" s="31">
        <f>IFERROR(__xludf.DUMMYFUNCTION("""COMPUTED_VALUE"""),3)</f>
        <v>3</v>
      </c>
      <c r="K85" s="31" t="str">
        <f>IFERROR(__xludf.DUMMYFUNCTION("""COMPUTED_VALUE"""),"FD10959")</f>
        <v>FD10959</v>
      </c>
      <c r="L85" s="31" t="str">
        <f>IFERROR(__xludf.DUMMYFUNCTION("""COMPUTED_VALUE"""),"Ms.PIDATHALA SAHITYA")</f>
        <v>Ms.PIDATHALA SAHITYA</v>
      </c>
      <c r="M85" s="31" t="str">
        <f>IFERROR(__xludf.DUMMYFUNCTION("""COMPUTED_VALUE"""),"pidathalasahitya@bitsathy.ac.in")</f>
        <v>pidathalasahitya@bitsathy.ac.in</v>
      </c>
    </row>
    <row r="86" ht="35.25" customHeight="1" spans="1:13">
      <c r="A86" s="31" t="str">
        <f>IFERROR(__xludf.DUMMYFUNCTION("""COMPUTED_VALUE"""),"BT")</f>
        <v>BT</v>
      </c>
      <c r="B86" s="31" t="str">
        <f>IFERROR(__xludf.DUMMYFUNCTION("""COMPUTED_VALUE"""),"S6")</f>
        <v>S6</v>
      </c>
      <c r="C86" s="31" t="str">
        <f>IFERROR(__xludf.DUMMYFUNCTION("""COMPUTED_VALUE"""),"ADD COURSE")</f>
        <v>ADD COURSE</v>
      </c>
      <c r="D86" s="31" t="str">
        <f>IFERROR(__xludf.DUMMYFUNCTION("""COMPUTED_VALUE"""),"22BT013")</f>
        <v>22BT013</v>
      </c>
      <c r="E86" s="98" t="str">
        <f>IFERROR(__xludf.DUMMYFUNCTION("""COMPUTED_VALUE"""),"BIOSENSORS")</f>
        <v>BIOSENSORS</v>
      </c>
      <c r="F86" s="31" t="str">
        <f>IFERROR(__xludf.DUMMYFUNCTION("""COMPUTED_VALUE"""),"THEORY")</f>
        <v>THEORY</v>
      </c>
      <c r="G86" s="31">
        <f>IFERROR(__xludf.DUMMYFUNCTION("""COMPUTED_VALUE"""),3)</f>
        <v>3</v>
      </c>
      <c r="H86" s="31">
        <f>IFERROR(__xludf.DUMMYFUNCTION("""COMPUTED_VALUE"""),0)</f>
        <v>0</v>
      </c>
      <c r="I86" s="31">
        <f>IFERROR(__xludf.DUMMYFUNCTION("""COMPUTED_VALUE"""),0)</f>
        <v>0</v>
      </c>
      <c r="J86" s="31">
        <f>IFERROR(__xludf.DUMMYFUNCTION("""COMPUTED_VALUE"""),3)</f>
        <v>3</v>
      </c>
      <c r="K86" s="31" t="str">
        <f>IFERROR(__xludf.DUMMYFUNCTION("""COMPUTED_VALUE"""),"BT1606")</f>
        <v>BT1606</v>
      </c>
      <c r="L86" s="31" t="str">
        <f>IFERROR(__xludf.DUMMYFUNCTION("""COMPUTED_VALUE"""),"Dr.BALAKRISHNARAJA R")</f>
        <v>Dr.BALAKRISHNARAJA R</v>
      </c>
      <c r="M86" s="31" t="str">
        <f>IFERROR(__xludf.DUMMYFUNCTION("""COMPUTED_VALUE"""),"balakrishnarajar@bitsathy.ac.in")</f>
        <v>balakrishnarajar@bitsathy.ac.in</v>
      </c>
    </row>
    <row r="87" ht="35.25" customHeight="1" spans="1:13">
      <c r="A87" s="31" t="str">
        <f>IFERROR(__xludf.DUMMYFUNCTION("""COMPUTED_VALUE"""),"BT")</f>
        <v>BT</v>
      </c>
      <c r="B87" s="31" t="str">
        <f>IFERROR(__xludf.DUMMYFUNCTION("""COMPUTED_VALUE"""),"S6")</f>
        <v>S6</v>
      </c>
      <c r="C87" s="31" t="str">
        <f>IFERROR(__xludf.DUMMYFUNCTION("""COMPUTED_VALUE"""),"ADD COURSE")</f>
        <v>ADD COURSE</v>
      </c>
      <c r="D87" s="31" t="str">
        <f>IFERROR(__xludf.DUMMYFUNCTION("""COMPUTED_VALUE"""),"22BT013")</f>
        <v>22BT013</v>
      </c>
      <c r="E87" s="98" t="str">
        <f>IFERROR(__xludf.DUMMYFUNCTION("""COMPUTED_VALUE"""),"BIOSENSORS")</f>
        <v>BIOSENSORS</v>
      </c>
      <c r="F87" s="31" t="str">
        <f>IFERROR(__xludf.DUMMYFUNCTION("""COMPUTED_VALUE"""),"THEORY")</f>
        <v>THEORY</v>
      </c>
      <c r="G87" s="31">
        <f>IFERROR(__xludf.DUMMYFUNCTION("""COMPUTED_VALUE"""),3)</f>
        <v>3</v>
      </c>
      <c r="H87" s="31">
        <f>IFERROR(__xludf.DUMMYFUNCTION("""COMPUTED_VALUE"""),0)</f>
        <v>0</v>
      </c>
      <c r="I87" s="31">
        <f>IFERROR(__xludf.DUMMYFUNCTION("""COMPUTED_VALUE"""),0)</f>
        <v>0</v>
      </c>
      <c r="J87" s="31">
        <f>IFERROR(__xludf.DUMMYFUNCTION("""COMPUTED_VALUE"""),3)</f>
        <v>3</v>
      </c>
      <c r="K87" s="31" t="str">
        <f>IFERROR(__xludf.DUMMYFUNCTION("""COMPUTED_VALUE"""),"BT10782")</f>
        <v>BT10782</v>
      </c>
      <c r="L87" s="31" t="str">
        <f>IFERROR(__xludf.DUMMYFUNCTION("""COMPUTED_VALUE"""),"Mr.JEYAVEL KARTHICK P")</f>
        <v>Mr.JEYAVEL KARTHICK P</v>
      </c>
      <c r="M87" s="31" t="str">
        <f>IFERROR(__xludf.DUMMYFUNCTION("""COMPUTED_VALUE"""),"jeyavelkarthick@bitsathy.ac.in")</f>
        <v>jeyavelkarthick@bitsathy.ac.in</v>
      </c>
    </row>
    <row r="88" ht="35.25" customHeight="1" spans="1:13">
      <c r="A88" s="31" t="str">
        <f>IFERROR(__xludf.DUMMYFUNCTION("""COMPUTED_VALUE"""),"BT")</f>
        <v>BT</v>
      </c>
      <c r="B88" s="31" t="str">
        <f>IFERROR(__xludf.DUMMYFUNCTION("""COMPUTED_VALUE"""),"S6")</f>
        <v>S6</v>
      </c>
      <c r="C88" s="31" t="str">
        <f>IFERROR(__xludf.DUMMYFUNCTION("""COMPUTED_VALUE"""),"OPEN ELECTIVE")</f>
        <v>OPEN ELECTIVE</v>
      </c>
      <c r="D88" s="31" t="str">
        <f>IFERROR(__xludf.DUMMYFUNCTION("""COMPUTED_VALUE"""),"22OBT01")</f>
        <v>22OBT01</v>
      </c>
      <c r="E88" s="98" t="str">
        <f>IFERROR(__xludf.DUMMYFUNCTION("""COMPUTED_VALUE"""),"BIOFUELS")</f>
        <v>BIOFUELS</v>
      </c>
      <c r="F88" s="31" t="str">
        <f>IFERROR(__xludf.DUMMYFUNCTION("""COMPUTED_VALUE"""),"THEORY")</f>
        <v>THEORY</v>
      </c>
      <c r="G88" s="31">
        <f>IFERROR(__xludf.DUMMYFUNCTION("""COMPUTED_VALUE"""),3)</f>
        <v>3</v>
      </c>
      <c r="H88" s="31">
        <f>IFERROR(__xludf.DUMMYFUNCTION("""COMPUTED_VALUE"""),0)</f>
        <v>0</v>
      </c>
      <c r="I88" s="31">
        <f>IFERROR(__xludf.DUMMYFUNCTION("""COMPUTED_VALUE"""),0)</f>
        <v>0</v>
      </c>
      <c r="J88" s="31">
        <f>IFERROR(__xludf.DUMMYFUNCTION("""COMPUTED_VALUE"""),3)</f>
        <v>3</v>
      </c>
      <c r="K88" s="31" t="str">
        <f>IFERROR(__xludf.DUMMYFUNCTION("""COMPUTED_VALUE"""),"BT11033")</f>
        <v>BT11033</v>
      </c>
      <c r="L88" s="31" t="str">
        <f>IFERROR(__xludf.DUMMYFUNCTION("""COMPUTED_VALUE"""),"Dr.SURESH CHALUVADI")</f>
        <v>Dr.SURESH CHALUVADI</v>
      </c>
      <c r="M88" s="31" t="str">
        <f>IFERROR(__xludf.DUMMYFUNCTION("""COMPUTED_VALUE"""),"sureshchaluvadi@bitsathy.ac.in")</f>
        <v>sureshchaluvadi@bitsathy.ac.in</v>
      </c>
    </row>
    <row r="89" ht="35.25" customHeight="1" spans="1:13">
      <c r="A89" s="31" t="str">
        <f>IFERROR(__xludf.DUMMYFUNCTION("""COMPUTED_VALUE"""),"BT")</f>
        <v>BT</v>
      </c>
      <c r="B89" s="31" t="str">
        <f>IFERROR(__xludf.DUMMYFUNCTION("""COMPUTED_VALUE"""),"S6")</f>
        <v>S6</v>
      </c>
      <c r="C89" s="31" t="str">
        <f>IFERROR(__xludf.DUMMYFUNCTION("""COMPUTED_VALUE"""),"OPEN ELECTIVE")</f>
        <v>OPEN ELECTIVE</v>
      </c>
      <c r="D89" s="31" t="str">
        <f>IFERROR(__xludf.DUMMYFUNCTION("""COMPUTED_VALUE"""),"22OBT01")</f>
        <v>22OBT01</v>
      </c>
      <c r="E89" s="98" t="str">
        <f>IFERROR(__xludf.DUMMYFUNCTION("""COMPUTED_VALUE"""),"BIOFUELS")</f>
        <v>BIOFUELS</v>
      </c>
      <c r="F89" s="31" t="str">
        <f>IFERROR(__xludf.DUMMYFUNCTION("""COMPUTED_VALUE"""),"THEORY")</f>
        <v>THEORY</v>
      </c>
      <c r="G89" s="31">
        <f>IFERROR(__xludf.DUMMYFUNCTION("""COMPUTED_VALUE"""),3)</f>
        <v>3</v>
      </c>
      <c r="H89" s="31">
        <f>IFERROR(__xludf.DUMMYFUNCTION("""COMPUTED_VALUE"""),0)</f>
        <v>0</v>
      </c>
      <c r="I89" s="31">
        <f>IFERROR(__xludf.DUMMYFUNCTION("""COMPUTED_VALUE"""),0)</f>
        <v>0</v>
      </c>
      <c r="J89" s="31">
        <f>IFERROR(__xludf.DUMMYFUNCTION("""COMPUTED_VALUE"""),3)</f>
        <v>3</v>
      </c>
      <c r="K89" s="31" t="str">
        <f>IFERROR(__xludf.DUMMYFUNCTION("""COMPUTED_VALUE"""),"BT11035")</f>
        <v>BT11035</v>
      </c>
      <c r="L89" s="31" t="str">
        <f>IFERROR(__xludf.DUMMYFUNCTION("""COMPUTED_VALUE"""),"Ms.NANDHINI N")</f>
        <v>Ms.NANDHINI N</v>
      </c>
      <c r="M89" s="31" t="str">
        <f>IFERROR(__xludf.DUMMYFUNCTION("""COMPUTED_VALUE"""),"nandhinin@bitsathy.ac.in")</f>
        <v>nandhinin@bitsathy.ac.in</v>
      </c>
    </row>
    <row r="90" ht="35.25" customHeight="1" spans="1:13">
      <c r="A90" s="31" t="str">
        <f>IFERROR(__xludf.DUMMYFUNCTION("""COMPUTED_VALUE"""),"BT")</f>
        <v>BT</v>
      </c>
      <c r="B90" s="31" t="str">
        <f>IFERROR(__xludf.DUMMYFUNCTION("""COMPUTED_VALUE"""),"S6")</f>
        <v>S6</v>
      </c>
      <c r="C90" s="31" t="str">
        <f>IFERROR(__xludf.DUMMYFUNCTION("""COMPUTED_VALUE"""),"HONOURS")</f>
        <v>HONOURS</v>
      </c>
      <c r="D90" s="31" t="str">
        <f>IFERROR(__xludf.DUMMYFUNCTION("""COMPUTED_VALUE"""),"22BTH30")</f>
        <v>22BTH30</v>
      </c>
      <c r="E90" s="98" t="str">
        <f>IFERROR(__xludf.DUMMYFUNCTION("""COMPUTED_VALUE"""),"ANIMAL CELL CULTURETECHNIQUES")</f>
        <v>ANIMAL CELL CULTURETECHNIQUES</v>
      </c>
      <c r="F90" s="31" t="str">
        <f>IFERROR(__xludf.DUMMYFUNCTION("""COMPUTED_VALUE"""),"THEORY")</f>
        <v>THEORY</v>
      </c>
      <c r="G90" s="31">
        <f>IFERROR(__xludf.DUMMYFUNCTION("""COMPUTED_VALUE"""),3)</f>
        <v>3</v>
      </c>
      <c r="H90" s="31">
        <f>IFERROR(__xludf.DUMMYFUNCTION("""COMPUTED_VALUE"""),0)</f>
        <v>0</v>
      </c>
      <c r="I90" s="31">
        <f>IFERROR(__xludf.DUMMYFUNCTION("""COMPUTED_VALUE"""),0)</f>
        <v>0</v>
      </c>
      <c r="J90" s="31">
        <f>IFERROR(__xludf.DUMMYFUNCTION("""COMPUTED_VALUE"""),3)</f>
        <v>3</v>
      </c>
      <c r="K90" s="31" t="str">
        <f>IFERROR(__xludf.DUMMYFUNCTION("""COMPUTED_VALUE"""),"BT10984")</f>
        <v>BT10984</v>
      </c>
      <c r="L90" s="31" t="str">
        <f>IFERROR(__xludf.DUMMYFUNCTION("""COMPUTED_VALUE"""),"Mrs.MAHIMA P")</f>
        <v>Mrs.MAHIMA P</v>
      </c>
      <c r="M90" s="31" t="str">
        <f>IFERROR(__xludf.DUMMYFUNCTION("""COMPUTED_VALUE"""),"mahimap@bitsathy.ac.in")</f>
        <v>mahimap@bitsathy.ac.in</v>
      </c>
    </row>
    <row r="91" ht="35.25" customHeight="1" spans="1:13">
      <c r="A91" s="31" t="str">
        <f>IFERROR(__xludf.DUMMYFUNCTION("""COMPUTED_VALUE"""),"BT")</f>
        <v>BT</v>
      </c>
      <c r="B91" s="31" t="str">
        <f>IFERROR(__xludf.DUMMYFUNCTION("""COMPUTED_VALUE"""),"S6")</f>
        <v>S6</v>
      </c>
      <c r="C91" s="31" t="str">
        <f>IFERROR(__xludf.DUMMYFUNCTION("""COMPUTED_VALUE"""),"HONOURS")</f>
        <v>HONOURS</v>
      </c>
      <c r="D91" s="31" t="str">
        <f>IFERROR(__xludf.DUMMYFUNCTION("""COMPUTED_VALUE"""),"22BTH31")</f>
        <v>22BTH31</v>
      </c>
      <c r="E91" s="98" t="str">
        <f>IFERROR(__xludf.DUMMYFUNCTION("""COMPUTED_VALUE"""),"BIOTECHNIQUES IN ANIMAL
 BREEDING")</f>
        <v>BIOTECHNIQUES IN ANIMAL
 BREEDING</v>
      </c>
      <c r="F91" s="31" t="str">
        <f>IFERROR(__xludf.DUMMYFUNCTION("""COMPUTED_VALUE"""),"THEORY")</f>
        <v>THEORY</v>
      </c>
      <c r="G91" s="31">
        <f>IFERROR(__xludf.DUMMYFUNCTION("""COMPUTED_VALUE"""),3)</f>
        <v>3</v>
      </c>
      <c r="H91" s="31">
        <f>IFERROR(__xludf.DUMMYFUNCTION("""COMPUTED_VALUE"""),0)</f>
        <v>0</v>
      </c>
      <c r="I91" s="31">
        <f>IFERROR(__xludf.DUMMYFUNCTION("""COMPUTED_VALUE"""),0)</f>
        <v>0</v>
      </c>
      <c r="J91" s="31">
        <f>IFERROR(__xludf.DUMMYFUNCTION("""COMPUTED_VALUE"""),3)</f>
        <v>3</v>
      </c>
      <c r="K91" s="31" t="str">
        <f>IFERROR(__xludf.DUMMYFUNCTION("""COMPUTED_VALUE"""),"BT10733")</f>
        <v>BT10733</v>
      </c>
      <c r="L91" s="31" t="str">
        <f>IFERROR(__xludf.DUMMYFUNCTION("""COMPUTED_VALUE"""),"Ms.SWATHI G")</f>
        <v>Ms.SWATHI G</v>
      </c>
      <c r="M91" s="31" t="str">
        <f>IFERROR(__xludf.DUMMYFUNCTION("""COMPUTED_VALUE"""),"swathi@bitsathy.ac.in")</f>
        <v>swathi@bitsathy.ac.in</v>
      </c>
    </row>
    <row r="92" ht="35.25" customHeight="1" spans="1:13">
      <c r="A92" s="31" t="str">
        <f>IFERROR(__xludf.DUMMYFUNCTION("""COMPUTED_VALUE"""),"BT")</f>
        <v>BT</v>
      </c>
      <c r="B92" s="31" t="str">
        <f>IFERROR(__xludf.DUMMYFUNCTION("""COMPUTED_VALUE"""),"S6")</f>
        <v>S6</v>
      </c>
      <c r="C92" s="31" t="str">
        <f>IFERROR(__xludf.DUMMYFUNCTION("""COMPUTED_VALUE"""),"MINI PROJECT")</f>
        <v>MINI PROJECT</v>
      </c>
      <c r="D92" s="31" t="str">
        <f>IFERROR(__xludf.DUMMYFUNCTION("""COMPUTED_VALUE"""),"22BT607")</f>
        <v>22BT607</v>
      </c>
      <c r="E92" s="98" t="str">
        <f>IFERROR(__xludf.DUMMYFUNCTION("""COMPUTED_VALUE"""),"MINI PROJECT II")</f>
        <v>MINI PROJECT II</v>
      </c>
      <c r="F92" s="31" t="str">
        <f>IFERROR(__xludf.DUMMYFUNCTION("""COMPUTED_VALUE"""),"LAB")</f>
        <v>LAB</v>
      </c>
      <c r="G92" s="31">
        <f>IFERROR(__xludf.DUMMYFUNCTION("""COMPUTED_VALUE"""),0)</f>
        <v>0</v>
      </c>
      <c r="H92" s="31">
        <f>IFERROR(__xludf.DUMMYFUNCTION("""COMPUTED_VALUE"""),0)</f>
        <v>0</v>
      </c>
      <c r="I92" s="31">
        <f>IFERROR(__xludf.DUMMYFUNCTION("""COMPUTED_VALUE"""),2)</f>
        <v>2</v>
      </c>
      <c r="J92" s="31">
        <f>IFERROR(__xludf.DUMMYFUNCTION("""COMPUTED_VALUE"""),1)</f>
        <v>1</v>
      </c>
      <c r="K92" s="31"/>
      <c r="L92" s="31"/>
      <c r="M92" s="31"/>
    </row>
    <row r="93" ht="35.25" customHeight="1" spans="1:13">
      <c r="A93" s="31" t="str">
        <f>IFERROR(__xludf.DUMMYFUNCTION("""COMPUTED_VALUE"""),"CIVIL")</f>
        <v>CIVIL</v>
      </c>
      <c r="B93" s="31" t="str">
        <f>IFERROR(__xludf.DUMMYFUNCTION("""COMPUTED_VALUE"""),"S6")</f>
        <v>S6</v>
      </c>
      <c r="C93" s="31" t="str">
        <f>IFERROR(__xludf.DUMMYFUNCTION("""COMPUTED_VALUE"""),"CORE")</f>
        <v>CORE</v>
      </c>
      <c r="D93" s="31" t="str">
        <f>IFERROR(__xludf.DUMMYFUNCTION("""COMPUTED_VALUE"""),"22CE601")</f>
        <v>22CE601</v>
      </c>
      <c r="E93" s="98" t="str">
        <f>IFERROR(__xludf.DUMMYFUNCTION("""COMPUTED_VALUE"""),"DESIGN OF RCC STRUCTURES")</f>
        <v>DESIGN OF RCC STRUCTURES</v>
      </c>
      <c r="F93" s="31" t="str">
        <f>IFERROR(__xludf.DUMMYFUNCTION("""COMPUTED_VALUE"""),"THEORY")</f>
        <v>THEORY</v>
      </c>
      <c r="G93" s="31">
        <f>IFERROR(__xludf.DUMMYFUNCTION("""COMPUTED_VALUE"""),3)</f>
        <v>3</v>
      </c>
      <c r="H93" s="31">
        <f>IFERROR(__xludf.DUMMYFUNCTION("""COMPUTED_VALUE"""),1)</f>
        <v>1</v>
      </c>
      <c r="I93" s="31">
        <f>IFERROR(__xludf.DUMMYFUNCTION("""COMPUTED_VALUE"""),0)</f>
        <v>0</v>
      </c>
      <c r="J93" s="31">
        <f>IFERROR(__xludf.DUMMYFUNCTION("""COMPUTED_VALUE"""),4)</f>
        <v>4</v>
      </c>
      <c r="K93" s="31" t="str">
        <f>IFERROR(__xludf.DUMMYFUNCTION("""COMPUTED_VALUE"""),"CE1797")</f>
        <v>CE1797</v>
      </c>
      <c r="L93" s="31" t="str">
        <f>IFERROR(__xludf.DUMMYFUNCTION("""COMPUTED_VALUE"""),"Dr.KARTHIGA  SHENBAGAM N")</f>
        <v>Dr.KARTHIGA  SHENBAGAM N</v>
      </c>
      <c r="M93" s="31" t="str">
        <f>IFERROR(__xludf.DUMMYFUNCTION("""COMPUTED_VALUE"""),"karthigashenbagamn@bitsathy.ac.in")</f>
        <v>karthigashenbagamn@bitsathy.ac.in</v>
      </c>
    </row>
    <row r="94" ht="35.25" customHeight="1" spans="1:13">
      <c r="A94" s="31" t="str">
        <f>IFERROR(__xludf.DUMMYFUNCTION("""COMPUTED_VALUE"""),"CIVIL")</f>
        <v>CIVIL</v>
      </c>
      <c r="B94" s="31" t="str">
        <f>IFERROR(__xludf.DUMMYFUNCTION("""COMPUTED_VALUE"""),"S6")</f>
        <v>S6</v>
      </c>
      <c r="C94" s="31" t="str">
        <f>IFERROR(__xludf.DUMMYFUNCTION("""COMPUTED_VALUE"""),"CORE")</f>
        <v>CORE</v>
      </c>
      <c r="D94" s="31" t="str">
        <f>IFERROR(__xludf.DUMMYFUNCTION("""COMPUTED_VALUE"""),"22CE602")</f>
        <v>22CE602</v>
      </c>
      <c r="E94" s="98" t="str">
        <f>IFERROR(__xludf.DUMMYFUNCTION("""COMPUTED_VALUE"""),"STRUCTURAL ANALYSIS II")</f>
        <v>STRUCTURAL ANALYSIS II</v>
      </c>
      <c r="F94" s="31" t="str">
        <f>IFERROR(__xludf.DUMMYFUNCTION("""COMPUTED_VALUE"""),"THEORY")</f>
        <v>THEORY</v>
      </c>
      <c r="G94" s="31">
        <f>IFERROR(__xludf.DUMMYFUNCTION("""COMPUTED_VALUE"""),3)</f>
        <v>3</v>
      </c>
      <c r="H94" s="31">
        <f>IFERROR(__xludf.DUMMYFUNCTION("""COMPUTED_VALUE"""),1)</f>
        <v>1</v>
      </c>
      <c r="I94" s="31">
        <f>IFERROR(__xludf.DUMMYFUNCTION("""COMPUTED_VALUE"""),0)</f>
        <v>0</v>
      </c>
      <c r="J94" s="31">
        <f>IFERROR(__xludf.DUMMYFUNCTION("""COMPUTED_VALUE"""),4)</f>
        <v>4</v>
      </c>
      <c r="K94" s="31" t="str">
        <f>IFERROR(__xludf.DUMMYFUNCTION("""COMPUTED_VALUE"""),"CE1797")</f>
        <v>CE1797</v>
      </c>
      <c r="L94" s="31" t="str">
        <f>IFERROR(__xludf.DUMMYFUNCTION("""COMPUTED_VALUE"""),"Dr.KARTHIGA  SHENBAGAM N")</f>
        <v>Dr.KARTHIGA  SHENBAGAM N</v>
      </c>
      <c r="M94" s="31" t="str">
        <f>IFERROR(__xludf.DUMMYFUNCTION("""COMPUTED_VALUE"""),"karthigashenbagamn@bitsathy.ac.in")</f>
        <v>karthigashenbagamn@bitsathy.ac.in</v>
      </c>
    </row>
    <row r="95" ht="35.25" customHeight="1" spans="1:13">
      <c r="A95" s="31" t="str">
        <f>IFERROR(__xludf.DUMMYFUNCTION("""COMPUTED_VALUE"""),"CIVIL")</f>
        <v>CIVIL</v>
      </c>
      <c r="B95" s="31" t="str">
        <f>IFERROR(__xludf.DUMMYFUNCTION("""COMPUTED_VALUE"""),"S6")</f>
        <v>S6</v>
      </c>
      <c r="C95" s="31" t="str">
        <f>IFERROR(__xludf.DUMMYFUNCTION("""COMPUTED_VALUE"""),"CORE")</f>
        <v>CORE</v>
      </c>
      <c r="D95" s="31" t="str">
        <f>IFERROR(__xludf.DUMMYFUNCTION("""COMPUTED_VALUE"""),"22CE603")</f>
        <v>22CE603</v>
      </c>
      <c r="E95" s="98" t="str">
        <f>IFERROR(__xludf.DUMMYFUNCTION("""COMPUTED_VALUE"""),"DESIGN OF STEEL")</f>
        <v>DESIGN OF STEEL</v>
      </c>
      <c r="F95" s="31" t="str">
        <f>IFERROR(__xludf.DUMMYFUNCTION("""COMPUTED_VALUE"""),"THEORY WITH LAB")</f>
        <v>THEORY WITH LAB</v>
      </c>
      <c r="G95" s="31">
        <f>IFERROR(__xludf.DUMMYFUNCTION("""COMPUTED_VALUE"""),3)</f>
        <v>3</v>
      </c>
      <c r="H95" s="31">
        <f>IFERROR(__xludf.DUMMYFUNCTION("""COMPUTED_VALUE"""),0)</f>
        <v>0</v>
      </c>
      <c r="I95" s="31">
        <f>IFERROR(__xludf.DUMMYFUNCTION("""COMPUTED_VALUE"""),2)</f>
        <v>2</v>
      </c>
      <c r="J95" s="31">
        <f>IFERROR(__xludf.DUMMYFUNCTION("""COMPUTED_VALUE"""),4)</f>
        <v>4</v>
      </c>
      <c r="K95" s="31" t="str">
        <f>IFERROR(__xludf.DUMMYFUNCTION("""COMPUTED_VALUE"""),"CE1954")</f>
        <v>CE1954</v>
      </c>
      <c r="L95" s="31" t="str">
        <f>IFERROR(__xludf.DUMMYFUNCTION("""COMPUTED_VALUE"""),"Mr.RAJENDRAN M")</f>
        <v>Mr.RAJENDRAN M</v>
      </c>
      <c r="M95" s="31" t="str">
        <f>IFERROR(__xludf.DUMMYFUNCTION("""COMPUTED_VALUE"""),"rajendranm@bitsathy.ac.in")</f>
        <v>rajendranm@bitsathy.ac.in</v>
      </c>
    </row>
    <row r="96" ht="35.25" customHeight="1" spans="1:13">
      <c r="A96" s="31" t="str">
        <f>IFERROR(__xludf.DUMMYFUNCTION("""COMPUTED_VALUE"""),"CIVIL")</f>
        <v>CIVIL</v>
      </c>
      <c r="B96" s="31" t="str">
        <f>IFERROR(__xludf.DUMMYFUNCTION("""COMPUTED_VALUE"""),"S6")</f>
        <v>S6</v>
      </c>
      <c r="C96" s="31" t="str">
        <f>IFERROR(__xludf.DUMMYFUNCTION("""COMPUTED_VALUE"""),"ELECTIVE 3")</f>
        <v>ELECTIVE 3</v>
      </c>
      <c r="D96" s="31" t="str">
        <f>IFERROR(__xludf.DUMMYFUNCTION("""COMPUTED_VALUE"""),"22CE016")</f>
        <v>22CE016</v>
      </c>
      <c r="E96" s="98" t="str">
        <f>IFERROR(__xludf.DUMMYFUNCTION("""COMPUTED_VALUE"""),"PREFABRICATED STRUCTURES AND PRE-ENGINEERED BUILDING")</f>
        <v>PREFABRICATED STRUCTURES AND PRE-ENGINEERED BUILDING</v>
      </c>
      <c r="F96" s="31" t="str">
        <f>IFERROR(__xludf.DUMMYFUNCTION("""COMPUTED_VALUE"""),"THEORY")</f>
        <v>THEORY</v>
      </c>
      <c r="G96" s="31">
        <f>IFERROR(__xludf.DUMMYFUNCTION("""COMPUTED_VALUE"""),3)</f>
        <v>3</v>
      </c>
      <c r="H96" s="31">
        <f>IFERROR(__xludf.DUMMYFUNCTION("""COMPUTED_VALUE"""),0)</f>
        <v>0</v>
      </c>
      <c r="I96" s="31">
        <f>IFERROR(__xludf.DUMMYFUNCTION("""COMPUTED_VALUE"""),0)</f>
        <v>0</v>
      </c>
      <c r="J96" s="31">
        <f>IFERROR(__xludf.DUMMYFUNCTION("""COMPUTED_VALUE"""),3)</f>
        <v>3</v>
      </c>
      <c r="K96" s="31" t="str">
        <f>IFERROR(__xludf.DUMMYFUNCTION("""COMPUTED_VALUE"""),"CE1954")</f>
        <v>CE1954</v>
      </c>
      <c r="L96" s="31" t="str">
        <f>IFERROR(__xludf.DUMMYFUNCTION("""COMPUTED_VALUE"""),"Mr.RAJENDRAN M")</f>
        <v>Mr.RAJENDRAN M</v>
      </c>
      <c r="M96" s="31" t="str">
        <f>IFERROR(__xludf.DUMMYFUNCTION("""COMPUTED_VALUE"""),"rajendranm@bitsathy.ac.in")</f>
        <v>rajendranm@bitsathy.ac.in</v>
      </c>
    </row>
    <row r="97" ht="35.25" customHeight="1" spans="1:13">
      <c r="A97" s="31" t="str">
        <f>IFERROR(__xludf.DUMMYFUNCTION("""COMPUTED_VALUE"""),"CIVIL")</f>
        <v>CIVIL</v>
      </c>
      <c r="B97" s="31" t="str">
        <f>IFERROR(__xludf.DUMMYFUNCTION("""COMPUTED_VALUE"""),"S6")</f>
        <v>S6</v>
      </c>
      <c r="C97" s="31" t="str">
        <f>IFERROR(__xludf.DUMMYFUNCTION("""COMPUTED_VALUE"""),"ELECTIVE 4")</f>
        <v>ELECTIVE 4</v>
      </c>
      <c r="D97" s="31" t="str">
        <f>IFERROR(__xludf.DUMMYFUNCTION("""COMPUTED_VALUE"""),"22CE020")</f>
        <v>22CE020</v>
      </c>
      <c r="E97" s="98" t="str">
        <f>IFERROR(__xludf.DUMMYFUNCTION("""COMPUTED_VALUE"""),"GEOENVIRONMENTAL ENGINEERING")</f>
        <v>GEOENVIRONMENTAL ENGINEERING</v>
      </c>
      <c r="F97" s="31" t="str">
        <f>IFERROR(__xludf.DUMMYFUNCTION("""COMPUTED_VALUE"""),"THEORY")</f>
        <v>THEORY</v>
      </c>
      <c r="G97" s="31">
        <f>IFERROR(__xludf.DUMMYFUNCTION("""COMPUTED_VALUE"""),3)</f>
        <v>3</v>
      </c>
      <c r="H97" s="31">
        <f>IFERROR(__xludf.DUMMYFUNCTION("""COMPUTED_VALUE"""),0)</f>
        <v>0</v>
      </c>
      <c r="I97" s="31">
        <f>IFERROR(__xludf.DUMMYFUNCTION("""COMPUTED_VALUE"""),0)</f>
        <v>0</v>
      </c>
      <c r="J97" s="31">
        <f>IFERROR(__xludf.DUMMYFUNCTION("""COMPUTED_VALUE"""),3)</f>
        <v>3</v>
      </c>
      <c r="K97" s="31" t="str">
        <f>IFERROR(__xludf.DUMMYFUNCTION("""COMPUTED_VALUE"""),"CE1865")</f>
        <v>CE1865</v>
      </c>
      <c r="L97" s="31" t="str">
        <f>IFERROR(__xludf.DUMMYFUNCTION("""COMPUTED_VALUE"""),"Dr.GEETHAMANI R")</f>
        <v>Dr.GEETHAMANI R</v>
      </c>
      <c r="M97" s="31" t="str">
        <f>IFERROR(__xludf.DUMMYFUNCTION("""COMPUTED_VALUE"""),"geethamanir@bitsathy.ac.in")</f>
        <v>geethamanir@bitsathy.ac.in</v>
      </c>
    </row>
    <row r="98" ht="35.25" customHeight="1" spans="1:13">
      <c r="A98" s="31" t="str">
        <f>IFERROR(__xludf.DUMMYFUNCTION("""COMPUTED_VALUE"""),"CIVIL")</f>
        <v>CIVIL</v>
      </c>
      <c r="B98" s="31" t="str">
        <f>IFERROR(__xludf.DUMMYFUNCTION("""COMPUTED_VALUE"""),"S6")</f>
        <v>S6</v>
      </c>
      <c r="C98" s="31" t="str">
        <f>IFERROR(__xludf.DUMMYFUNCTION("""COMPUTED_VALUE"""),"ELECTIVE 5")</f>
        <v>ELECTIVE 5</v>
      </c>
      <c r="D98" s="31" t="str">
        <f>IFERROR(__xludf.DUMMYFUNCTION("""COMPUTED_VALUE"""),"22CE026")</f>
        <v>22CE026</v>
      </c>
      <c r="E98" s="98" t="str">
        <f>IFERROR(__xludf.DUMMYFUNCTION("""COMPUTED_VALUE"""),"MASS TRANSPORTATION SYSTEMS")</f>
        <v>MASS TRANSPORTATION SYSTEMS</v>
      </c>
      <c r="F98" s="31" t="str">
        <f>IFERROR(__xludf.DUMMYFUNCTION("""COMPUTED_VALUE"""),"THEORY")</f>
        <v>THEORY</v>
      </c>
      <c r="G98" s="31">
        <f>IFERROR(__xludf.DUMMYFUNCTION("""COMPUTED_VALUE"""),3)</f>
        <v>3</v>
      </c>
      <c r="H98" s="31">
        <f>IFERROR(__xludf.DUMMYFUNCTION("""COMPUTED_VALUE"""),0)</f>
        <v>0</v>
      </c>
      <c r="I98" s="31">
        <f>IFERROR(__xludf.DUMMYFUNCTION("""COMPUTED_VALUE"""),0)</f>
        <v>0</v>
      </c>
      <c r="J98" s="31">
        <f>IFERROR(__xludf.DUMMYFUNCTION("""COMPUTED_VALUE"""),3)</f>
        <v>3</v>
      </c>
      <c r="K98" s="31" t="str">
        <f>IFERROR(__xludf.DUMMYFUNCTION("""COMPUTED_VALUE"""),"CE10783")</f>
        <v>CE10783</v>
      </c>
      <c r="L98" s="31" t="str">
        <f>IFERROR(__xludf.DUMMYFUNCTION("""COMPUTED_VALUE"""),"Dr.JEYANTH B")</f>
        <v>Dr.JEYANTH B</v>
      </c>
      <c r="M98" s="31" t="str">
        <f>IFERROR(__xludf.DUMMYFUNCTION("""COMPUTED_VALUE"""),"jeyanth@bitsathy.ac.in")</f>
        <v>jeyanth@bitsathy.ac.in</v>
      </c>
    </row>
    <row r="99" ht="35.25" customHeight="1" spans="1:13">
      <c r="A99" s="31" t="str">
        <f>IFERROR(__xludf.DUMMYFUNCTION("""COMPUTED_VALUE"""),"CIVIL")</f>
        <v>CIVIL</v>
      </c>
      <c r="B99" s="31" t="str">
        <f>IFERROR(__xludf.DUMMYFUNCTION("""COMPUTED_VALUE"""),"S6")</f>
        <v>S6</v>
      </c>
      <c r="C99" s="31" t="str">
        <f>IFERROR(__xludf.DUMMYFUNCTION("""COMPUTED_VALUE"""),"ADD COURSE")</f>
        <v>ADD COURSE</v>
      </c>
      <c r="D99" s="31" t="str">
        <f>IFERROR(__xludf.DUMMYFUNCTION("""COMPUTED_VALUE"""),"22CE015")</f>
        <v>22CE015</v>
      </c>
      <c r="E99" s="98" t="str">
        <f>IFERROR(__xludf.DUMMYFUNCTION("""COMPUTED_VALUE"""),"COST EFFECTIVE CONSTRUCTION AND GREEN BUILDING")</f>
        <v>COST EFFECTIVE CONSTRUCTION AND GREEN BUILDING</v>
      </c>
      <c r="F99" s="31" t="str">
        <f>IFERROR(__xludf.DUMMYFUNCTION("""COMPUTED_VALUE"""),"THEORY")</f>
        <v>THEORY</v>
      </c>
      <c r="G99" s="31">
        <f>IFERROR(__xludf.DUMMYFUNCTION("""COMPUTED_VALUE"""),3)</f>
        <v>3</v>
      </c>
      <c r="H99" s="31">
        <f>IFERROR(__xludf.DUMMYFUNCTION("""COMPUTED_VALUE"""),0)</f>
        <v>0</v>
      </c>
      <c r="I99" s="31">
        <f>IFERROR(__xludf.DUMMYFUNCTION("""COMPUTED_VALUE"""),0)</f>
        <v>0</v>
      </c>
      <c r="J99" s="31">
        <f>IFERROR(__xludf.DUMMYFUNCTION("""COMPUTED_VALUE"""),3)</f>
        <v>3</v>
      </c>
      <c r="K99" s="31" t="str">
        <f>IFERROR(__xludf.DUMMYFUNCTION("""COMPUTED_VALUE"""),"CE10010")</f>
        <v>CE10010</v>
      </c>
      <c r="L99" s="31" t="str">
        <f>IFERROR(__xludf.DUMMYFUNCTION("""COMPUTED_VALUE"""),"Dr.MOHANRAJ A")</f>
        <v>Dr.MOHANRAJ A</v>
      </c>
      <c r="M99" s="31" t="str">
        <f>IFERROR(__xludf.DUMMYFUNCTION("""COMPUTED_VALUE"""),"mohanraja@bitsathy.ac.in")</f>
        <v>mohanraja@bitsathy.ac.in</v>
      </c>
    </row>
    <row r="100" ht="35.25" customHeight="1" spans="1:13">
      <c r="A100" s="31" t="str">
        <f>IFERROR(__xludf.DUMMYFUNCTION("""COMPUTED_VALUE"""),"CIVIL")</f>
        <v>CIVIL</v>
      </c>
      <c r="B100" s="31" t="str">
        <f>IFERROR(__xludf.DUMMYFUNCTION("""COMPUTED_VALUE"""),"S6")</f>
        <v>S6</v>
      </c>
      <c r="C100" s="31" t="str">
        <f>IFERROR(__xludf.DUMMYFUNCTION("""COMPUTED_VALUE"""),"OPEN ELECTIVE")</f>
        <v>OPEN ELECTIVE</v>
      </c>
      <c r="D100" s="31" t="str">
        <f>IFERROR(__xludf.DUMMYFUNCTION("""COMPUTED_VALUE"""),"22OCE02")</f>
        <v>22OCE02</v>
      </c>
      <c r="E100" s="98" t="str">
        <f>IFERROR(__xludf.DUMMYFUNCTION("""COMPUTED_VALUE"""),"COST MANAGEMENT OF ENGINEERING PROJECTS")</f>
        <v>COST MANAGEMENT OF ENGINEERING PROJECTS</v>
      </c>
      <c r="F100" s="31" t="str">
        <f>IFERROR(__xludf.DUMMYFUNCTION("""COMPUTED_VALUE"""),"THEORY")</f>
        <v>THEORY</v>
      </c>
      <c r="G100" s="31">
        <f>IFERROR(__xludf.DUMMYFUNCTION("""COMPUTED_VALUE"""),3)</f>
        <v>3</v>
      </c>
      <c r="H100" s="31">
        <f>IFERROR(__xludf.DUMMYFUNCTION("""COMPUTED_VALUE"""),0)</f>
        <v>0</v>
      </c>
      <c r="I100" s="31">
        <f>IFERROR(__xludf.DUMMYFUNCTION("""COMPUTED_VALUE"""),0)</f>
        <v>0</v>
      </c>
      <c r="J100" s="31">
        <f>IFERROR(__xludf.DUMMYFUNCTION("""COMPUTED_VALUE"""),3)</f>
        <v>3</v>
      </c>
      <c r="K100" s="31" t="str">
        <f>IFERROR(__xludf.DUMMYFUNCTION("""COMPUTED_VALUE"""),"CE10600")</f>
        <v>CE10600</v>
      </c>
      <c r="L100" s="31" t="str">
        <f>IFERROR(__xludf.DUMMYFUNCTION("""COMPUTED_VALUE"""),"Ms.ASHWATHI R")</f>
        <v>Ms.ASHWATHI R</v>
      </c>
      <c r="M100" s="31" t="str">
        <f>IFERROR(__xludf.DUMMYFUNCTION("""COMPUTED_VALUE"""),"ashwathi@bitsathy.ac.in")</f>
        <v>ashwathi@bitsathy.ac.in</v>
      </c>
    </row>
    <row r="101" ht="35.25" customHeight="1" spans="1:13">
      <c r="A101" s="31" t="str">
        <f>IFERROR(__xludf.DUMMYFUNCTION("""COMPUTED_VALUE"""),"CIVIL")</f>
        <v>CIVIL</v>
      </c>
      <c r="B101" s="31" t="str">
        <f>IFERROR(__xludf.DUMMYFUNCTION("""COMPUTED_VALUE"""),"S6")</f>
        <v>S6</v>
      </c>
      <c r="C101" s="31" t="str">
        <f>IFERROR(__xludf.DUMMYFUNCTION("""COMPUTED_VALUE"""),"OPEN ELECTIVE")</f>
        <v>OPEN ELECTIVE</v>
      </c>
      <c r="D101" s="31" t="str">
        <f>IFERROR(__xludf.DUMMYFUNCTION("""COMPUTED_VALUE"""),"22OCE02")</f>
        <v>22OCE02</v>
      </c>
      <c r="E101" s="98" t="str">
        <f>IFERROR(__xludf.DUMMYFUNCTION("""COMPUTED_VALUE"""),"COST MANAGEMENT OF ENGINEERING PROJECTS")</f>
        <v>COST MANAGEMENT OF ENGINEERING PROJECTS</v>
      </c>
      <c r="F101" s="31" t="str">
        <f>IFERROR(__xludf.DUMMYFUNCTION("""COMPUTED_VALUE"""),"THEORY")</f>
        <v>THEORY</v>
      </c>
      <c r="G101" s="31">
        <f>IFERROR(__xludf.DUMMYFUNCTION("""COMPUTED_VALUE"""),3)</f>
        <v>3</v>
      </c>
      <c r="H101" s="31">
        <f>IFERROR(__xludf.DUMMYFUNCTION("""COMPUTED_VALUE"""),0)</f>
        <v>0</v>
      </c>
      <c r="I101" s="31">
        <f>IFERROR(__xludf.DUMMYFUNCTION("""COMPUTED_VALUE"""),0)</f>
        <v>0</v>
      </c>
      <c r="J101" s="31">
        <f>IFERROR(__xludf.DUMMYFUNCTION("""COMPUTED_VALUE"""),3)</f>
        <v>3</v>
      </c>
      <c r="K101" s="31" t="str">
        <f>IFERROR(__xludf.DUMMYFUNCTION("""COMPUTED_VALUE"""),"CE10127")</f>
        <v>CE10127</v>
      </c>
      <c r="L101" s="31" t="str">
        <f>IFERROR(__xludf.DUMMYFUNCTION("""COMPUTED_VALUE"""),"Mr.GNANASUNDAR V M")</f>
        <v>Mr.GNANASUNDAR V M</v>
      </c>
      <c r="M101" s="31" t="str">
        <f>IFERROR(__xludf.DUMMYFUNCTION("""COMPUTED_VALUE"""),"gnanasundar@bitsathy.ac.in")</f>
        <v>gnanasundar@bitsathy.ac.in</v>
      </c>
    </row>
    <row r="102" ht="35.25" customHeight="1" spans="1:13">
      <c r="A102" s="31" t="str">
        <f>IFERROR(__xludf.DUMMYFUNCTION("""COMPUTED_VALUE"""),"CIVIL")</f>
        <v>CIVIL</v>
      </c>
      <c r="B102" s="31" t="str">
        <f>IFERROR(__xludf.DUMMYFUNCTION("""COMPUTED_VALUE"""),"S6")</f>
        <v>S6</v>
      </c>
      <c r="C102" s="31" t="str">
        <f>IFERROR(__xludf.DUMMYFUNCTION("""COMPUTED_VALUE"""),"HONOURS")</f>
        <v>HONOURS</v>
      </c>
      <c r="D102" s="31" t="str">
        <f>IFERROR(__xludf.DUMMYFUNCTION("""COMPUTED_VALUE"""),"22CEH01")</f>
        <v>22CEH01</v>
      </c>
      <c r="E102" s="98" t="str">
        <f>IFERROR(__xludf.DUMMYFUNCTION("""COMPUTED_VALUE"""),"REPAIR AND REHABILITATION OF STRUCTURE")</f>
        <v>REPAIR AND REHABILITATION OF STRUCTURE</v>
      </c>
      <c r="F102" s="31" t="str">
        <f>IFERROR(__xludf.DUMMYFUNCTION("""COMPUTED_VALUE"""),"THEORY")</f>
        <v>THEORY</v>
      </c>
      <c r="G102" s="31">
        <f>IFERROR(__xludf.DUMMYFUNCTION("""COMPUTED_VALUE"""),3)</f>
        <v>3</v>
      </c>
      <c r="H102" s="31">
        <f>IFERROR(__xludf.DUMMYFUNCTION("""COMPUTED_VALUE"""),0)</f>
        <v>0</v>
      </c>
      <c r="I102" s="31">
        <f>IFERROR(__xludf.DUMMYFUNCTION("""COMPUTED_VALUE"""),0)</f>
        <v>0</v>
      </c>
      <c r="J102" s="31">
        <f>IFERROR(__xludf.DUMMYFUNCTION("""COMPUTED_VALUE"""),3)</f>
        <v>3</v>
      </c>
      <c r="K102" s="31" t="str">
        <f>IFERROR(__xludf.DUMMYFUNCTION("""COMPUTED_VALUE"""),"CE1865")</f>
        <v>CE1865</v>
      </c>
      <c r="L102" s="31" t="str">
        <f>IFERROR(__xludf.DUMMYFUNCTION("""COMPUTED_VALUE"""),"Dr.GEETHAMANI R")</f>
        <v>Dr.GEETHAMANI R</v>
      </c>
      <c r="M102" s="31" t="str">
        <f>IFERROR(__xludf.DUMMYFUNCTION("""COMPUTED_VALUE"""),"geethamanir@bitsathy.ac.in")</f>
        <v>geethamanir@bitsathy.ac.in</v>
      </c>
    </row>
    <row r="103" ht="35.25" customHeight="1" spans="1:13">
      <c r="A103" s="31" t="str">
        <f>IFERROR(__xludf.DUMMYFUNCTION("""COMPUTED_VALUE"""),"CIVIL")</f>
        <v>CIVIL</v>
      </c>
      <c r="B103" s="31" t="str">
        <f>IFERROR(__xludf.DUMMYFUNCTION("""COMPUTED_VALUE"""),"S6")</f>
        <v>S6</v>
      </c>
      <c r="C103" s="31" t="str">
        <f>IFERROR(__xludf.DUMMYFUNCTION("""COMPUTED_VALUE"""),"HONOURS")</f>
        <v>HONOURS</v>
      </c>
      <c r="D103" s="31" t="str">
        <f>IFERROR(__xludf.DUMMYFUNCTION("""COMPUTED_VALUE"""),"22CEH06")</f>
        <v>22CEH06</v>
      </c>
      <c r="E103" s="98" t="str">
        <f>IFERROR(__xludf.DUMMYFUNCTION("""COMPUTED_VALUE"""),"STRUCTURAL HEALTH MONITORING")</f>
        <v>STRUCTURAL HEALTH MONITORING</v>
      </c>
      <c r="F103" s="31" t="str">
        <f>IFERROR(__xludf.DUMMYFUNCTION("""COMPUTED_VALUE"""),"THEORY")</f>
        <v>THEORY</v>
      </c>
      <c r="G103" s="31">
        <f>IFERROR(__xludf.DUMMYFUNCTION("""COMPUTED_VALUE"""),3)</f>
        <v>3</v>
      </c>
      <c r="H103" s="31">
        <f>IFERROR(__xludf.DUMMYFUNCTION("""COMPUTED_VALUE"""),0)</f>
        <v>0</v>
      </c>
      <c r="I103" s="31">
        <f>IFERROR(__xludf.DUMMYFUNCTION("""COMPUTED_VALUE"""),0)</f>
        <v>0</v>
      </c>
      <c r="J103" s="31">
        <f>IFERROR(__xludf.DUMMYFUNCTION("""COMPUTED_VALUE"""),3)</f>
        <v>3</v>
      </c>
      <c r="K103" s="31" t="str">
        <f>IFERROR(__xludf.DUMMYFUNCTION("""COMPUTED_VALUE"""),"CE1797")</f>
        <v>CE1797</v>
      </c>
      <c r="L103" s="31" t="str">
        <f>IFERROR(__xludf.DUMMYFUNCTION("""COMPUTED_VALUE"""),"Dr.KARTHIGA  SHENBAGAM N")</f>
        <v>Dr.KARTHIGA  SHENBAGAM N</v>
      </c>
      <c r="M103" s="31" t="str">
        <f>IFERROR(__xludf.DUMMYFUNCTION("""COMPUTED_VALUE"""),"karthigashenbagamn@bitsathy.ac.in")</f>
        <v>karthigashenbagamn@bitsathy.ac.in</v>
      </c>
    </row>
    <row r="104" ht="35.25" customHeight="1" spans="1:13">
      <c r="A104" s="31" t="str">
        <f>IFERROR(__xludf.DUMMYFUNCTION("""COMPUTED_VALUE"""),"CIVIL")</f>
        <v>CIVIL</v>
      </c>
      <c r="B104" s="31" t="str">
        <f>IFERROR(__xludf.DUMMYFUNCTION("""COMPUTED_VALUE"""),"S6")</f>
        <v>S6</v>
      </c>
      <c r="C104" s="31" t="str">
        <f>IFERROR(__xludf.DUMMYFUNCTION("""COMPUTED_VALUE"""),"CORE")</f>
        <v>CORE</v>
      </c>
      <c r="D104" s="31" t="str">
        <f>IFERROR(__xludf.DUMMYFUNCTION("""COMPUTED_VALUE"""),"22CE607")</f>
        <v>22CE607</v>
      </c>
      <c r="E104" s="98" t="str">
        <f>IFERROR(__xludf.DUMMYFUNCTION("""COMPUTED_VALUE"""),"MINI PROJECT II")</f>
        <v>MINI PROJECT II</v>
      </c>
      <c r="F104" s="31" t="str">
        <f>IFERROR(__xludf.DUMMYFUNCTION("""COMPUTED_VALUE"""),"LAB")</f>
        <v>LAB</v>
      </c>
      <c r="G104" s="31">
        <f>IFERROR(__xludf.DUMMYFUNCTION("""COMPUTED_VALUE"""),0)</f>
        <v>0</v>
      </c>
      <c r="H104" s="31">
        <f>IFERROR(__xludf.DUMMYFUNCTION("""COMPUTED_VALUE"""),0)</f>
        <v>0</v>
      </c>
      <c r="I104" s="31">
        <f>IFERROR(__xludf.DUMMYFUNCTION("""COMPUTED_VALUE"""),2)</f>
        <v>2</v>
      </c>
      <c r="J104" s="31">
        <f>IFERROR(__xludf.DUMMYFUNCTION("""COMPUTED_VALUE"""),1)</f>
        <v>1</v>
      </c>
      <c r="K104" s="31"/>
      <c r="L104" s="31"/>
      <c r="M104" s="31"/>
    </row>
    <row r="105" ht="35.25" customHeight="1" spans="1:13">
      <c r="A105" s="31" t="str">
        <f>IFERROR(__xludf.DUMMYFUNCTION("""COMPUTED_VALUE"""),"CSE")</f>
        <v>CSE</v>
      </c>
      <c r="B105" s="31" t="str">
        <f>IFERROR(__xludf.DUMMYFUNCTION("""COMPUTED_VALUE"""),"S6")</f>
        <v>S6</v>
      </c>
      <c r="C105" s="31" t="str">
        <f>IFERROR(__xludf.DUMMYFUNCTION("""COMPUTED_VALUE"""),"CORE")</f>
        <v>CORE</v>
      </c>
      <c r="D105" s="31" t="str">
        <f>IFERROR(__xludf.DUMMYFUNCTION("""COMPUTED_VALUE"""),"22CS601")</f>
        <v>22CS601</v>
      </c>
      <c r="E105" s="98" t="str">
        <f>IFERROR(__xludf.DUMMYFUNCTION("""COMPUTED_VALUE"""),"CRYPTOGRAPHY AND NETWORK SECURITY")</f>
        <v>CRYPTOGRAPHY AND NETWORK SECURITY</v>
      </c>
      <c r="F105" s="31" t="str">
        <f>IFERROR(__xludf.DUMMYFUNCTION("""COMPUTED_VALUE"""),"THEORY")</f>
        <v>THEORY</v>
      </c>
      <c r="G105" s="31">
        <f>IFERROR(__xludf.DUMMYFUNCTION("""COMPUTED_VALUE"""),3)</f>
        <v>3</v>
      </c>
      <c r="H105" s="31">
        <f>IFERROR(__xludf.DUMMYFUNCTION("""COMPUTED_VALUE"""),0)</f>
        <v>0</v>
      </c>
      <c r="I105" s="31">
        <f>IFERROR(__xludf.DUMMYFUNCTION("""COMPUTED_VALUE"""),0)</f>
        <v>0</v>
      </c>
      <c r="J105" s="31">
        <f>IFERROR(__xludf.DUMMYFUNCTION("""COMPUTED_VALUE"""),3)</f>
        <v>3</v>
      </c>
      <c r="K105" s="31" t="str">
        <f>IFERROR(__xludf.DUMMYFUNCTION("""COMPUTED_VALUE"""),"CS11080")</f>
        <v>CS11080</v>
      </c>
      <c r="L105" s="31" t="str">
        <f>IFERROR(__xludf.DUMMYFUNCTION("""COMPUTED_VALUE"""),"Mrs.AMMU V")</f>
        <v>Mrs.AMMU V</v>
      </c>
      <c r="M105" s="31" t="str">
        <f>IFERROR(__xludf.DUMMYFUNCTION("""COMPUTED_VALUE"""),"ammu@bitsathy.ac.in")</f>
        <v>ammu@bitsathy.ac.in</v>
      </c>
    </row>
    <row r="106" ht="35.25" customHeight="1" spans="1:13">
      <c r="A106" s="31" t="str">
        <f>IFERROR(__xludf.DUMMYFUNCTION("""COMPUTED_VALUE"""),"CSE")</f>
        <v>CSE</v>
      </c>
      <c r="B106" s="31" t="str">
        <f>IFERROR(__xludf.DUMMYFUNCTION("""COMPUTED_VALUE"""),"S6")</f>
        <v>S6</v>
      </c>
      <c r="C106" s="31" t="str">
        <f>IFERROR(__xludf.DUMMYFUNCTION("""COMPUTED_VALUE"""),"CORE")</f>
        <v>CORE</v>
      </c>
      <c r="D106" s="31" t="str">
        <f>IFERROR(__xludf.DUMMYFUNCTION("""COMPUTED_VALUE"""),"22CS601")</f>
        <v>22CS601</v>
      </c>
      <c r="E106" s="98" t="str">
        <f>IFERROR(__xludf.DUMMYFUNCTION("""COMPUTED_VALUE"""),"CRYPTOGRAPHY AND NETWORK SECURITY")</f>
        <v>CRYPTOGRAPHY AND NETWORK SECURITY</v>
      </c>
      <c r="F106" s="31" t="str">
        <f>IFERROR(__xludf.DUMMYFUNCTION("""COMPUTED_VALUE"""),"THEORY")</f>
        <v>THEORY</v>
      </c>
      <c r="G106" s="31">
        <f>IFERROR(__xludf.DUMMYFUNCTION("""COMPUTED_VALUE"""),3)</f>
        <v>3</v>
      </c>
      <c r="H106" s="31">
        <f>IFERROR(__xludf.DUMMYFUNCTION("""COMPUTED_VALUE"""),0)</f>
        <v>0</v>
      </c>
      <c r="I106" s="31">
        <f>IFERROR(__xludf.DUMMYFUNCTION("""COMPUTED_VALUE"""),0)</f>
        <v>0</v>
      </c>
      <c r="J106" s="31">
        <f>IFERROR(__xludf.DUMMYFUNCTION("""COMPUTED_VALUE"""),3)</f>
        <v>3</v>
      </c>
      <c r="K106" s="31" t="str">
        <f>IFERROR(__xludf.DUMMYFUNCTION("""COMPUTED_VALUE"""),"CS10843")</f>
        <v>CS10843</v>
      </c>
      <c r="L106" s="31" t="str">
        <f>IFERROR(__xludf.DUMMYFUNCTION("""COMPUTED_VALUE"""),"Mrs.NITHYA R")</f>
        <v>Mrs.NITHYA R</v>
      </c>
      <c r="M106" s="31" t="str">
        <f>IFERROR(__xludf.DUMMYFUNCTION("""COMPUTED_VALUE"""),"nithyars@bitsathy.ac.in")</f>
        <v>nithyars@bitsathy.ac.in</v>
      </c>
    </row>
    <row r="107" ht="35.25" customHeight="1" spans="1:13">
      <c r="A107" s="31" t="str">
        <f>IFERROR(__xludf.DUMMYFUNCTION("""COMPUTED_VALUE"""),"CSE")</f>
        <v>CSE</v>
      </c>
      <c r="B107" s="31" t="str">
        <f>IFERROR(__xludf.DUMMYFUNCTION("""COMPUTED_VALUE"""),"S6")</f>
        <v>S6</v>
      </c>
      <c r="C107" s="31" t="str">
        <f>IFERROR(__xludf.DUMMYFUNCTION("""COMPUTED_VALUE"""),"CORE")</f>
        <v>CORE</v>
      </c>
      <c r="D107" s="31" t="str">
        <f>IFERROR(__xludf.DUMMYFUNCTION("""COMPUTED_VALUE"""),"22CS601")</f>
        <v>22CS601</v>
      </c>
      <c r="E107" s="98" t="str">
        <f>IFERROR(__xludf.DUMMYFUNCTION("""COMPUTED_VALUE"""),"CRYPTOGRAPHY AND NETWORK SECURITY")</f>
        <v>CRYPTOGRAPHY AND NETWORK SECURITY</v>
      </c>
      <c r="F107" s="31" t="str">
        <f>IFERROR(__xludf.DUMMYFUNCTION("""COMPUTED_VALUE"""),"THEORY")</f>
        <v>THEORY</v>
      </c>
      <c r="G107" s="31">
        <f>IFERROR(__xludf.DUMMYFUNCTION("""COMPUTED_VALUE"""),3)</f>
        <v>3</v>
      </c>
      <c r="H107" s="31">
        <f>IFERROR(__xludf.DUMMYFUNCTION("""COMPUTED_VALUE"""),0)</f>
        <v>0</v>
      </c>
      <c r="I107" s="31">
        <f>IFERROR(__xludf.DUMMYFUNCTION("""COMPUTED_VALUE"""),0)</f>
        <v>0</v>
      </c>
      <c r="J107" s="31">
        <f>IFERROR(__xludf.DUMMYFUNCTION("""COMPUTED_VALUE"""),3)</f>
        <v>3</v>
      </c>
      <c r="K107" s="31" t="str">
        <f>IFERROR(__xludf.DUMMYFUNCTION("""COMPUTED_VALUE"""),"CS11185")</f>
        <v>CS11185</v>
      </c>
      <c r="L107" s="31" t="str">
        <f>IFERROR(__xludf.DUMMYFUNCTION("""COMPUTED_VALUE"""),"Mr.ASWIN JAYA SURYA M J")</f>
        <v>Mr.ASWIN JAYA SURYA M J</v>
      </c>
      <c r="M107" s="31" t="str">
        <f>IFERROR(__xludf.DUMMYFUNCTION("""COMPUTED_VALUE"""),"aswinjayasuryamj@bitsathy.ac.in")</f>
        <v>aswinjayasuryamj@bitsathy.ac.in</v>
      </c>
    </row>
    <row r="108" ht="35.25" customHeight="1" spans="1:13">
      <c r="A108" s="31" t="str">
        <f>IFERROR(__xludf.DUMMYFUNCTION("""COMPUTED_VALUE"""),"CSE")</f>
        <v>CSE</v>
      </c>
      <c r="B108" s="31" t="str">
        <f>IFERROR(__xludf.DUMMYFUNCTION("""COMPUTED_VALUE"""),"S6")</f>
        <v>S6</v>
      </c>
      <c r="C108" s="31" t="str">
        <f>IFERROR(__xludf.DUMMYFUNCTION("""COMPUTED_VALUE"""),"CORE")</f>
        <v>CORE</v>
      </c>
      <c r="D108" s="31" t="str">
        <f>IFERROR(__xludf.DUMMYFUNCTION("""COMPUTED_VALUE"""),"22CS601")</f>
        <v>22CS601</v>
      </c>
      <c r="E108" s="98" t="str">
        <f>IFERROR(__xludf.DUMMYFUNCTION("""COMPUTED_VALUE"""),"CRYPTOGRAPHY AND NETWORK SECURITY")</f>
        <v>CRYPTOGRAPHY AND NETWORK SECURITY</v>
      </c>
      <c r="F108" s="31" t="str">
        <f>IFERROR(__xludf.DUMMYFUNCTION("""COMPUTED_VALUE"""),"THEORY")</f>
        <v>THEORY</v>
      </c>
      <c r="G108" s="31">
        <f>IFERROR(__xludf.DUMMYFUNCTION("""COMPUTED_VALUE"""),3)</f>
        <v>3</v>
      </c>
      <c r="H108" s="31">
        <f>IFERROR(__xludf.DUMMYFUNCTION("""COMPUTED_VALUE"""),0)</f>
        <v>0</v>
      </c>
      <c r="I108" s="31">
        <f>IFERROR(__xludf.DUMMYFUNCTION("""COMPUTED_VALUE"""),0)</f>
        <v>0</v>
      </c>
      <c r="J108" s="31">
        <f>IFERROR(__xludf.DUMMYFUNCTION("""COMPUTED_VALUE"""),3)</f>
        <v>3</v>
      </c>
      <c r="K108" s="31" t="str">
        <f>IFERROR(__xludf.DUMMYFUNCTION("""COMPUTED_VALUE"""),"CS10268")</f>
        <v>CS10268</v>
      </c>
      <c r="L108" s="31" t="str">
        <f>IFERROR(__xludf.DUMMYFUNCTION("""COMPUTED_VALUE"""),"Mrs.GANAGAVALLI K")</f>
        <v>Mrs.GANAGAVALLI K</v>
      </c>
      <c r="M108" s="31" t="str">
        <f>IFERROR(__xludf.DUMMYFUNCTION("""COMPUTED_VALUE"""),"ganagavalli@bitsathy.ac.in")</f>
        <v>ganagavalli@bitsathy.ac.in</v>
      </c>
    </row>
    <row r="109" ht="35.25" customHeight="1" spans="1:13">
      <c r="A109" s="31" t="str">
        <f>IFERROR(__xludf.DUMMYFUNCTION("""COMPUTED_VALUE"""),"CSE")</f>
        <v>CSE</v>
      </c>
      <c r="B109" s="31" t="str">
        <f>IFERROR(__xludf.DUMMYFUNCTION("""COMPUTED_VALUE"""),"S6")</f>
        <v>S6</v>
      </c>
      <c r="C109" s="31" t="str">
        <f>IFERROR(__xludf.DUMMYFUNCTION("""COMPUTED_VALUE"""),"CORE")</f>
        <v>CORE</v>
      </c>
      <c r="D109" s="31" t="str">
        <f>IFERROR(__xludf.DUMMYFUNCTION("""COMPUTED_VALUE"""),"22CS602")</f>
        <v>22CS602</v>
      </c>
      <c r="E109" s="98" t="str">
        <f>IFERROR(__xludf.DUMMYFUNCTION("""COMPUTED_VALUE"""),"PRINCIPLES OF COMPILER DESIGN")</f>
        <v>PRINCIPLES OF COMPILER DESIGN</v>
      </c>
      <c r="F109" s="31" t="str">
        <f>IFERROR(__xludf.DUMMYFUNCTION("""COMPUTED_VALUE"""),"THEORY")</f>
        <v>THEORY</v>
      </c>
      <c r="G109" s="31">
        <f>IFERROR(__xludf.DUMMYFUNCTION("""COMPUTED_VALUE"""),3)</f>
        <v>3</v>
      </c>
      <c r="H109" s="31">
        <f>IFERROR(__xludf.DUMMYFUNCTION("""COMPUTED_VALUE"""),1)</f>
        <v>1</v>
      </c>
      <c r="I109" s="31">
        <f>IFERROR(__xludf.DUMMYFUNCTION("""COMPUTED_VALUE"""),0)</f>
        <v>0</v>
      </c>
      <c r="J109" s="31">
        <f>IFERROR(__xludf.DUMMYFUNCTION("""COMPUTED_VALUE"""),4)</f>
        <v>4</v>
      </c>
      <c r="K109" s="31" t="str">
        <f>IFERROR(__xludf.DUMMYFUNCTION("""COMPUTED_VALUE"""),"CS10239")</f>
        <v>CS10239</v>
      </c>
      <c r="L109" s="31" t="str">
        <f>IFERROR(__xludf.DUMMYFUNCTION("""COMPUTED_VALUE"""),"Dr.KARTHIGA M")</f>
        <v>Dr.KARTHIGA M</v>
      </c>
      <c r="M109" s="31" t="str">
        <f>IFERROR(__xludf.DUMMYFUNCTION("""COMPUTED_VALUE"""),"karthigam@bitsathy.ac.in")</f>
        <v>karthigam@bitsathy.ac.in</v>
      </c>
    </row>
    <row r="110" ht="35.25" customHeight="1" spans="1:13">
      <c r="A110" s="31" t="str">
        <f>IFERROR(__xludf.DUMMYFUNCTION("""COMPUTED_VALUE"""),"CSE")</f>
        <v>CSE</v>
      </c>
      <c r="B110" s="31" t="str">
        <f>IFERROR(__xludf.DUMMYFUNCTION("""COMPUTED_VALUE"""),"S6")</f>
        <v>S6</v>
      </c>
      <c r="C110" s="31" t="str">
        <f>IFERROR(__xludf.DUMMYFUNCTION("""COMPUTED_VALUE"""),"CORE")</f>
        <v>CORE</v>
      </c>
      <c r="D110" s="31" t="str">
        <f>IFERROR(__xludf.DUMMYFUNCTION("""COMPUTED_VALUE"""),"22CS602")</f>
        <v>22CS602</v>
      </c>
      <c r="E110" s="98" t="str">
        <f>IFERROR(__xludf.DUMMYFUNCTION("""COMPUTED_VALUE"""),"PRINCIPLES OF COMPILER DESIGN")</f>
        <v>PRINCIPLES OF COMPILER DESIGN</v>
      </c>
      <c r="F110" s="31" t="str">
        <f>IFERROR(__xludf.DUMMYFUNCTION("""COMPUTED_VALUE"""),"THEORY")</f>
        <v>THEORY</v>
      </c>
      <c r="G110" s="31">
        <f>IFERROR(__xludf.DUMMYFUNCTION("""COMPUTED_VALUE"""),3)</f>
        <v>3</v>
      </c>
      <c r="H110" s="31">
        <f>IFERROR(__xludf.DUMMYFUNCTION("""COMPUTED_VALUE"""),1)</f>
        <v>1</v>
      </c>
      <c r="I110" s="31">
        <f>IFERROR(__xludf.DUMMYFUNCTION("""COMPUTED_VALUE"""),0)</f>
        <v>0</v>
      </c>
      <c r="J110" s="31">
        <f>IFERROR(__xludf.DUMMYFUNCTION("""COMPUTED_VALUE"""),4)</f>
        <v>4</v>
      </c>
      <c r="K110" s="31" t="str">
        <f>IFERROR(__xludf.DUMMYFUNCTION("""COMPUTED_VALUE"""),"CS10787")</f>
        <v>CS10787</v>
      </c>
      <c r="L110" s="31" t="str">
        <f>IFERROR(__xludf.DUMMYFUNCTION("""COMPUTED_VALUE"""),"Dr.PARTHASARATHI P")</f>
        <v>Dr.PARTHASARATHI P</v>
      </c>
      <c r="M110" s="31" t="str">
        <f>IFERROR(__xludf.DUMMYFUNCTION("""COMPUTED_VALUE"""),"parthasarathip@bitsathy.ac.in")</f>
        <v>parthasarathip@bitsathy.ac.in</v>
      </c>
    </row>
    <row r="111" ht="35.25" customHeight="1" spans="1:13">
      <c r="A111" s="31" t="str">
        <f>IFERROR(__xludf.DUMMYFUNCTION("""COMPUTED_VALUE"""),"CSE")</f>
        <v>CSE</v>
      </c>
      <c r="B111" s="31" t="str">
        <f>IFERROR(__xludf.DUMMYFUNCTION("""COMPUTED_VALUE"""),"S6")</f>
        <v>S6</v>
      </c>
      <c r="C111" s="31" t="str">
        <f>IFERROR(__xludf.DUMMYFUNCTION("""COMPUTED_VALUE"""),"CORE")</f>
        <v>CORE</v>
      </c>
      <c r="D111" s="31" t="str">
        <f>IFERROR(__xludf.DUMMYFUNCTION("""COMPUTED_VALUE"""),"22CS602")</f>
        <v>22CS602</v>
      </c>
      <c r="E111" s="98" t="str">
        <f>IFERROR(__xludf.DUMMYFUNCTION("""COMPUTED_VALUE"""),"PRINCIPLES OF COMPILER DESIGN")</f>
        <v>PRINCIPLES OF COMPILER DESIGN</v>
      </c>
      <c r="F111" s="31" t="str">
        <f>IFERROR(__xludf.DUMMYFUNCTION("""COMPUTED_VALUE"""),"THEORY")</f>
        <v>THEORY</v>
      </c>
      <c r="G111" s="31">
        <f>IFERROR(__xludf.DUMMYFUNCTION("""COMPUTED_VALUE"""),3)</f>
        <v>3</v>
      </c>
      <c r="H111" s="31">
        <f>IFERROR(__xludf.DUMMYFUNCTION("""COMPUTED_VALUE"""),1)</f>
        <v>1</v>
      </c>
      <c r="I111" s="31">
        <f>IFERROR(__xludf.DUMMYFUNCTION("""COMPUTED_VALUE"""),0)</f>
        <v>0</v>
      </c>
      <c r="J111" s="31">
        <f>IFERROR(__xludf.DUMMYFUNCTION("""COMPUTED_VALUE"""),4)</f>
        <v>4</v>
      </c>
      <c r="K111" s="31" t="str">
        <f>IFERROR(__xludf.DUMMYFUNCTION("""COMPUTED_VALUE"""),"CS1618")</f>
        <v>CS1618</v>
      </c>
      <c r="L111" s="31" t="str">
        <f>IFERROR(__xludf.DUMMYFUNCTION("""COMPUTED_VALUE"""),"Dr.PREMALATHA K")</f>
        <v>Dr.PREMALATHA K</v>
      </c>
      <c r="M111" s="31" t="str">
        <f>IFERROR(__xludf.DUMMYFUNCTION("""COMPUTED_VALUE"""),"premalathak@bitsathy.ac.in")</f>
        <v>premalathak@bitsathy.ac.in</v>
      </c>
    </row>
    <row r="112" ht="35.25" customHeight="1" spans="1:13">
      <c r="A112" s="31" t="str">
        <f>IFERROR(__xludf.DUMMYFUNCTION("""COMPUTED_VALUE"""),"CSE")</f>
        <v>CSE</v>
      </c>
      <c r="B112" s="31" t="str">
        <f>IFERROR(__xludf.DUMMYFUNCTION("""COMPUTED_VALUE"""),"S6")</f>
        <v>S6</v>
      </c>
      <c r="C112" s="31" t="str">
        <f>IFERROR(__xludf.DUMMYFUNCTION("""COMPUTED_VALUE"""),"CORE")</f>
        <v>CORE</v>
      </c>
      <c r="D112" s="31" t="str">
        <f>IFERROR(__xludf.DUMMYFUNCTION("""COMPUTED_VALUE"""),"22CS602")</f>
        <v>22CS602</v>
      </c>
      <c r="E112" s="98" t="str">
        <f>IFERROR(__xludf.DUMMYFUNCTION("""COMPUTED_VALUE"""),"PRINCIPLES OF COMPILER DESIGN")</f>
        <v>PRINCIPLES OF COMPILER DESIGN</v>
      </c>
      <c r="F112" s="31" t="str">
        <f>IFERROR(__xludf.DUMMYFUNCTION("""COMPUTED_VALUE"""),"THEORY")</f>
        <v>THEORY</v>
      </c>
      <c r="G112" s="31">
        <f>IFERROR(__xludf.DUMMYFUNCTION("""COMPUTED_VALUE"""),3)</f>
        <v>3</v>
      </c>
      <c r="H112" s="31">
        <f>IFERROR(__xludf.DUMMYFUNCTION("""COMPUTED_VALUE"""),1)</f>
        <v>1</v>
      </c>
      <c r="I112" s="31">
        <f>IFERROR(__xludf.DUMMYFUNCTION("""COMPUTED_VALUE"""),0)</f>
        <v>0</v>
      </c>
      <c r="J112" s="31">
        <f>IFERROR(__xludf.DUMMYFUNCTION("""COMPUTED_VALUE"""),4)</f>
        <v>4</v>
      </c>
      <c r="K112" s="31" t="str">
        <f>IFERROR(__xludf.DUMMYFUNCTION("""COMPUTED_VALUE"""),"CS10776")</f>
        <v>CS10776</v>
      </c>
      <c r="L112" s="31" t="str">
        <f>IFERROR(__xludf.DUMMYFUNCTION("""COMPUTED_VALUE"""),"Mr.SUSEENDRAN S")</f>
        <v>Mr.SUSEENDRAN S</v>
      </c>
      <c r="M112" s="31" t="str">
        <f>IFERROR(__xludf.DUMMYFUNCTION("""COMPUTED_VALUE"""),"suseendrans@bitsathy.ac.in")</f>
        <v>suseendrans@bitsathy.ac.in</v>
      </c>
    </row>
    <row r="113" ht="35.25" customHeight="1" spans="1:13">
      <c r="A113" s="31" t="str">
        <f>IFERROR(__xludf.DUMMYFUNCTION("""COMPUTED_VALUE"""),"CSE")</f>
        <v>CSE</v>
      </c>
      <c r="B113" s="31" t="str">
        <f>IFERROR(__xludf.DUMMYFUNCTION("""COMPUTED_VALUE"""),"S6")</f>
        <v>S6</v>
      </c>
      <c r="C113" s="31" t="str">
        <f>IFERROR(__xludf.DUMMYFUNCTION("""COMPUTED_VALUE"""),"CORE")</f>
        <v>CORE</v>
      </c>
      <c r="D113" s="31" t="str">
        <f>IFERROR(__xludf.DUMMYFUNCTION("""COMPUTED_VALUE"""),"22CS603")</f>
        <v>22CS603</v>
      </c>
      <c r="E113" s="98" t="str">
        <f>IFERROR(__xludf.DUMMYFUNCTION("""COMPUTED_VALUE"""),"CLOUD COMPUTING")</f>
        <v>CLOUD COMPUTING</v>
      </c>
      <c r="F113" s="31" t="str">
        <f>IFERROR(__xludf.DUMMYFUNCTION("""COMPUTED_VALUE"""),"THEORY WITH LAB")</f>
        <v>THEORY WITH LAB</v>
      </c>
      <c r="G113" s="31">
        <f>IFERROR(__xludf.DUMMYFUNCTION("""COMPUTED_VALUE"""),3)</f>
        <v>3</v>
      </c>
      <c r="H113" s="31">
        <f>IFERROR(__xludf.DUMMYFUNCTION("""COMPUTED_VALUE"""),0)</f>
        <v>0</v>
      </c>
      <c r="I113" s="31">
        <f>IFERROR(__xludf.DUMMYFUNCTION("""COMPUTED_VALUE"""),2)</f>
        <v>2</v>
      </c>
      <c r="J113" s="31">
        <f>IFERROR(__xludf.DUMMYFUNCTION("""COMPUTED_VALUE"""),4)</f>
        <v>4</v>
      </c>
      <c r="K113" s="31" t="str">
        <f>IFERROR(__xludf.DUMMYFUNCTION("""COMPUTED_VALUE"""),"CS10974")</f>
        <v>CS10974</v>
      </c>
      <c r="L113" s="31" t="str">
        <f>IFERROR(__xludf.DUMMYFUNCTION("""COMPUTED_VALUE"""),"Mr.STEEPHAN AMALRAJ J")</f>
        <v>Mr.STEEPHAN AMALRAJ J</v>
      </c>
      <c r="M113" s="31" t="str">
        <f>IFERROR(__xludf.DUMMYFUNCTION("""COMPUTED_VALUE"""),"steephanamalrajj@bitsathy.ac.in")</f>
        <v>steephanamalrajj@bitsathy.ac.in</v>
      </c>
    </row>
    <row r="114" ht="35.25" customHeight="1" spans="1:13">
      <c r="A114" s="31" t="str">
        <f>IFERROR(__xludf.DUMMYFUNCTION("""COMPUTED_VALUE"""),"CSE")</f>
        <v>CSE</v>
      </c>
      <c r="B114" s="31" t="str">
        <f>IFERROR(__xludf.DUMMYFUNCTION("""COMPUTED_VALUE"""),"S6")</f>
        <v>S6</v>
      </c>
      <c r="C114" s="31" t="str">
        <f>IFERROR(__xludf.DUMMYFUNCTION("""COMPUTED_VALUE"""),"CORE")</f>
        <v>CORE</v>
      </c>
      <c r="D114" s="31" t="str">
        <f>IFERROR(__xludf.DUMMYFUNCTION("""COMPUTED_VALUE"""),"22CS603")</f>
        <v>22CS603</v>
      </c>
      <c r="E114" s="98" t="str">
        <f>IFERROR(__xludf.DUMMYFUNCTION("""COMPUTED_VALUE"""),"CLOUD COMPUTING")</f>
        <v>CLOUD COMPUTING</v>
      </c>
      <c r="F114" s="31" t="str">
        <f>IFERROR(__xludf.DUMMYFUNCTION("""COMPUTED_VALUE"""),"THEORY WITH LAB")</f>
        <v>THEORY WITH LAB</v>
      </c>
      <c r="G114" s="31">
        <f>IFERROR(__xludf.DUMMYFUNCTION("""COMPUTED_VALUE"""),3)</f>
        <v>3</v>
      </c>
      <c r="H114" s="31">
        <f>IFERROR(__xludf.DUMMYFUNCTION("""COMPUTED_VALUE"""),0)</f>
        <v>0</v>
      </c>
      <c r="I114" s="31">
        <f>IFERROR(__xludf.DUMMYFUNCTION("""COMPUTED_VALUE"""),2)</f>
        <v>2</v>
      </c>
      <c r="J114" s="31">
        <f>IFERROR(__xludf.DUMMYFUNCTION("""COMPUTED_VALUE"""),4)</f>
        <v>4</v>
      </c>
      <c r="K114" s="31" t="str">
        <f>IFERROR(__xludf.DUMMYFUNCTION("""COMPUTED_VALUE"""),"CS10820")</f>
        <v>CS10820</v>
      </c>
      <c r="L114" s="31" t="str">
        <f>IFERROR(__xludf.DUMMYFUNCTION("""COMPUTED_VALUE"""),"Dr.RAJESH KANNA P")</f>
        <v>Dr.RAJESH KANNA P</v>
      </c>
      <c r="M114" s="31" t="str">
        <f>IFERROR(__xludf.DUMMYFUNCTION("""COMPUTED_VALUE"""),"rajeshkannap@bitsathy.ac.in")</f>
        <v>rajeshkannap@bitsathy.ac.in</v>
      </c>
    </row>
    <row r="115" ht="35.25" customHeight="1" spans="1:13">
      <c r="A115" s="31" t="str">
        <f>IFERROR(__xludf.DUMMYFUNCTION("""COMPUTED_VALUE"""),"CSE")</f>
        <v>CSE</v>
      </c>
      <c r="B115" s="31" t="str">
        <f>IFERROR(__xludf.DUMMYFUNCTION("""COMPUTED_VALUE"""),"S6")</f>
        <v>S6</v>
      </c>
      <c r="C115" s="31" t="str">
        <f>IFERROR(__xludf.DUMMYFUNCTION("""COMPUTED_VALUE"""),"CORE")</f>
        <v>CORE</v>
      </c>
      <c r="D115" s="31" t="str">
        <f>IFERROR(__xludf.DUMMYFUNCTION("""COMPUTED_VALUE"""),"22CS603")</f>
        <v>22CS603</v>
      </c>
      <c r="E115" s="98" t="str">
        <f>IFERROR(__xludf.DUMMYFUNCTION("""COMPUTED_VALUE"""),"CLOUD COMPUTING")</f>
        <v>CLOUD COMPUTING</v>
      </c>
      <c r="F115" s="31" t="str">
        <f>IFERROR(__xludf.DUMMYFUNCTION("""COMPUTED_VALUE"""),"THEORY WITH LAB")</f>
        <v>THEORY WITH LAB</v>
      </c>
      <c r="G115" s="31">
        <f>IFERROR(__xludf.DUMMYFUNCTION("""COMPUTED_VALUE"""),3)</f>
        <v>3</v>
      </c>
      <c r="H115" s="31">
        <f>IFERROR(__xludf.DUMMYFUNCTION("""COMPUTED_VALUE"""),0)</f>
        <v>0</v>
      </c>
      <c r="I115" s="31">
        <f>IFERROR(__xludf.DUMMYFUNCTION("""COMPUTED_VALUE"""),2)</f>
        <v>2</v>
      </c>
      <c r="J115" s="31">
        <f>IFERROR(__xludf.DUMMYFUNCTION("""COMPUTED_VALUE"""),4)</f>
        <v>4</v>
      </c>
      <c r="K115" s="31" t="str">
        <f>IFERROR(__xludf.DUMMYFUNCTION("""COMPUTED_VALUE"""),"CS10538")</f>
        <v>CS10538</v>
      </c>
      <c r="L115" s="31" t="str">
        <f>IFERROR(__xludf.DUMMYFUNCTION("""COMPUTED_VALUE"""),"Dr.PRAVEEN V")</f>
        <v>Dr.PRAVEEN V</v>
      </c>
      <c r="M115" s="31" t="str">
        <f>IFERROR(__xludf.DUMMYFUNCTION("""COMPUTED_VALUE"""),"praveen@bitsathy.ac.in")</f>
        <v>praveen@bitsathy.ac.in</v>
      </c>
    </row>
    <row r="116" ht="35.25" customHeight="1" spans="1:13">
      <c r="A116" s="31" t="str">
        <f>IFERROR(__xludf.DUMMYFUNCTION("""COMPUTED_VALUE"""),"CSE")</f>
        <v>CSE</v>
      </c>
      <c r="B116" s="31" t="str">
        <f>IFERROR(__xludf.DUMMYFUNCTION("""COMPUTED_VALUE"""),"S6")</f>
        <v>S6</v>
      </c>
      <c r="C116" s="31" t="str">
        <f>IFERROR(__xludf.DUMMYFUNCTION("""COMPUTED_VALUE"""),"CORE")</f>
        <v>CORE</v>
      </c>
      <c r="D116" s="31" t="str">
        <f>IFERROR(__xludf.DUMMYFUNCTION("""COMPUTED_VALUE"""),"22CS603")</f>
        <v>22CS603</v>
      </c>
      <c r="E116" s="98" t="str">
        <f>IFERROR(__xludf.DUMMYFUNCTION("""COMPUTED_VALUE"""),"CLOUD COMPUTING")</f>
        <v>CLOUD COMPUTING</v>
      </c>
      <c r="F116" s="31" t="str">
        <f>IFERROR(__xludf.DUMMYFUNCTION("""COMPUTED_VALUE"""),"THEORY WITH LAB")</f>
        <v>THEORY WITH LAB</v>
      </c>
      <c r="G116" s="31">
        <f>IFERROR(__xludf.DUMMYFUNCTION("""COMPUTED_VALUE"""),3)</f>
        <v>3</v>
      </c>
      <c r="H116" s="31">
        <f>IFERROR(__xludf.DUMMYFUNCTION("""COMPUTED_VALUE"""),0)</f>
        <v>0</v>
      </c>
      <c r="I116" s="31">
        <f>IFERROR(__xludf.DUMMYFUNCTION("""COMPUTED_VALUE"""),2)</f>
        <v>2</v>
      </c>
      <c r="J116" s="31">
        <f>IFERROR(__xludf.DUMMYFUNCTION("""COMPUTED_VALUE"""),4)</f>
        <v>4</v>
      </c>
      <c r="K116" s="31" t="str">
        <f>IFERROR(__xludf.DUMMYFUNCTION("""COMPUTED_VALUE"""),"CS10025")</f>
        <v>CS10025</v>
      </c>
      <c r="L116" s="31" t="str">
        <f>IFERROR(__xludf.DUMMYFUNCTION("""COMPUTED_VALUE"""),"Mr.DINESH P S")</f>
        <v>Mr.DINESH P S</v>
      </c>
      <c r="M116" s="31" t="str">
        <f>IFERROR(__xludf.DUMMYFUNCTION("""COMPUTED_VALUE"""),"dineshps@bitsathy.ac.in")</f>
        <v>dineshps@bitsathy.ac.in</v>
      </c>
    </row>
    <row r="117" ht="35.25" customHeight="1" spans="1:13">
      <c r="A117" s="31" t="str">
        <f>IFERROR(__xludf.DUMMYFUNCTION("""COMPUTED_VALUE"""),"CSE")</f>
        <v>CSE</v>
      </c>
      <c r="B117" s="31" t="str">
        <f>IFERROR(__xludf.DUMMYFUNCTION("""COMPUTED_VALUE"""),"S6")</f>
        <v>S6</v>
      </c>
      <c r="C117" s="31" t="str">
        <f>IFERROR(__xludf.DUMMYFUNCTION("""COMPUTED_VALUE"""),"ELECTIVE 3")</f>
        <v>ELECTIVE 3</v>
      </c>
      <c r="D117" s="31" t="str">
        <f>IFERROR(__xludf.DUMMYFUNCTION("""COMPUTED_VALUE"""),"22CS011")</f>
        <v>22CS011</v>
      </c>
      <c r="E117" s="98" t="str">
        <f>IFERROR(__xludf.DUMMYFUNCTION("""COMPUTED_VALUE"""),"SOFTWARE TESTING AND AUTOMATION")</f>
        <v>SOFTWARE TESTING AND AUTOMATION</v>
      </c>
      <c r="F117" s="31" t="str">
        <f>IFERROR(__xludf.DUMMYFUNCTION("""COMPUTED_VALUE"""),"THEORY")</f>
        <v>THEORY</v>
      </c>
      <c r="G117" s="31">
        <f>IFERROR(__xludf.DUMMYFUNCTION("""COMPUTED_VALUE"""),3)</f>
        <v>3</v>
      </c>
      <c r="H117" s="31">
        <f>IFERROR(__xludf.DUMMYFUNCTION("""COMPUTED_VALUE"""),0)</f>
        <v>0</v>
      </c>
      <c r="I117" s="31">
        <f>IFERROR(__xludf.DUMMYFUNCTION("""COMPUTED_VALUE"""),0)</f>
        <v>0</v>
      </c>
      <c r="J117" s="31">
        <f>IFERROR(__xludf.DUMMYFUNCTION("""COMPUTED_VALUE"""),3)</f>
        <v>3</v>
      </c>
      <c r="K117" s="31" t="str">
        <f>IFERROR(__xludf.DUMMYFUNCTION("""COMPUTED_VALUE"""),"CS10906")</f>
        <v>CS10906</v>
      </c>
      <c r="L117" s="31" t="str">
        <f>IFERROR(__xludf.DUMMYFUNCTION("""COMPUTED_VALUE"""),"Dr.SARANYA K")</f>
        <v>Dr.SARANYA K</v>
      </c>
      <c r="M117" s="31" t="str">
        <f>IFERROR(__xludf.DUMMYFUNCTION("""COMPUTED_VALUE"""),"saranyaks@bitsathy.ac.in")</f>
        <v>saranyaks@bitsathy.ac.in</v>
      </c>
    </row>
    <row r="118" ht="35.25" customHeight="1" spans="1:13">
      <c r="A118" s="31" t="str">
        <f>IFERROR(__xludf.DUMMYFUNCTION("""COMPUTED_VALUE"""),"CSE")</f>
        <v>CSE</v>
      </c>
      <c r="B118" s="31" t="str">
        <f>IFERROR(__xludf.DUMMYFUNCTION("""COMPUTED_VALUE"""),"S6")</f>
        <v>S6</v>
      </c>
      <c r="C118" s="31" t="str">
        <f>IFERROR(__xludf.DUMMYFUNCTION("""COMPUTED_VALUE"""),"ELECTIVE 3")</f>
        <v>ELECTIVE 3</v>
      </c>
      <c r="D118" s="31" t="str">
        <f>IFERROR(__xludf.DUMMYFUNCTION("""COMPUTED_VALUE"""),"22CS011")</f>
        <v>22CS011</v>
      </c>
      <c r="E118" s="98" t="str">
        <f>IFERROR(__xludf.DUMMYFUNCTION("""COMPUTED_VALUE"""),"SOFTWARE TESTING AND AUTOMATION")</f>
        <v>SOFTWARE TESTING AND AUTOMATION</v>
      </c>
      <c r="F118" s="31" t="str">
        <f>IFERROR(__xludf.DUMMYFUNCTION("""COMPUTED_VALUE"""),"THEORY")</f>
        <v>THEORY</v>
      </c>
      <c r="G118" s="31">
        <f>IFERROR(__xludf.DUMMYFUNCTION("""COMPUTED_VALUE"""),3)</f>
        <v>3</v>
      </c>
      <c r="H118" s="31">
        <f>IFERROR(__xludf.DUMMYFUNCTION("""COMPUTED_VALUE"""),0)</f>
        <v>0</v>
      </c>
      <c r="I118" s="31">
        <f>IFERROR(__xludf.DUMMYFUNCTION("""COMPUTED_VALUE"""),0)</f>
        <v>0</v>
      </c>
      <c r="J118" s="31">
        <f>IFERROR(__xludf.DUMMYFUNCTION("""COMPUTED_VALUE"""),3)</f>
        <v>3</v>
      </c>
      <c r="K118" s="31" t="str">
        <f>IFERROR(__xludf.DUMMYFUNCTION("""COMPUTED_VALUE"""),"CS11157")</f>
        <v>CS11157</v>
      </c>
      <c r="L118" s="31" t="str">
        <f>IFERROR(__xludf.DUMMYFUNCTION("""COMPUTED_VALUE"""),"Ms.GAYATHIRI DEVI S")</f>
        <v>Ms.GAYATHIRI DEVI S</v>
      </c>
      <c r="M118" s="31" t="str">
        <f>IFERROR(__xludf.DUMMYFUNCTION("""COMPUTED_VALUE"""),"gayathiridevis@bitsathy.ac.in")</f>
        <v>gayathiridevis@bitsathy.ac.in</v>
      </c>
    </row>
    <row r="119" ht="35.25" customHeight="1" spans="1:13">
      <c r="A119" s="31" t="str">
        <f>IFERROR(__xludf.DUMMYFUNCTION("""COMPUTED_VALUE"""),"CSE")</f>
        <v>CSE</v>
      </c>
      <c r="B119" s="31" t="str">
        <f>IFERROR(__xludf.DUMMYFUNCTION("""COMPUTED_VALUE"""),"S6")</f>
        <v>S6</v>
      </c>
      <c r="C119" s="31" t="str">
        <f>IFERROR(__xludf.DUMMYFUNCTION("""COMPUTED_VALUE"""),"ELECTIVE 3")</f>
        <v>ELECTIVE 3</v>
      </c>
      <c r="D119" s="31" t="str">
        <f>IFERROR(__xludf.DUMMYFUNCTION("""COMPUTED_VALUE"""),"22CS035")</f>
        <v>22CS035</v>
      </c>
      <c r="E119" s="98" t="str">
        <f>IFERROR(__xludf.DUMMYFUNCTION("""COMPUTED_VALUE"""),"SOFTWARE QUALITY ASSURANCE")</f>
        <v>SOFTWARE QUALITY ASSURANCE</v>
      </c>
      <c r="F119" s="31" t="str">
        <f>IFERROR(__xludf.DUMMYFUNCTION("""COMPUTED_VALUE"""),"THEORY")</f>
        <v>THEORY</v>
      </c>
      <c r="G119" s="31">
        <f>IFERROR(__xludf.DUMMYFUNCTION("""COMPUTED_VALUE"""),3)</f>
        <v>3</v>
      </c>
      <c r="H119" s="31">
        <f>IFERROR(__xludf.DUMMYFUNCTION("""COMPUTED_VALUE"""),0)</f>
        <v>0</v>
      </c>
      <c r="I119" s="31">
        <f>IFERROR(__xludf.DUMMYFUNCTION("""COMPUTED_VALUE"""),0)</f>
        <v>0</v>
      </c>
      <c r="J119" s="31">
        <f>IFERROR(__xludf.DUMMYFUNCTION("""COMPUTED_VALUE"""),3)</f>
        <v>3</v>
      </c>
      <c r="K119" s="31" t="str">
        <f>IFERROR(__xludf.DUMMYFUNCTION("""COMPUTED_VALUE"""),"CS10876")</f>
        <v>CS10876</v>
      </c>
      <c r="L119" s="31" t="str">
        <f>IFERROR(__xludf.DUMMYFUNCTION("""COMPUTED_VALUE"""),"Mr.SATHISHKANNAN R")</f>
        <v>Mr.SATHISHKANNAN R</v>
      </c>
      <c r="M119" s="31" t="str">
        <f>IFERROR(__xludf.DUMMYFUNCTION("""COMPUTED_VALUE"""),"sathishkannanr@bitsathy.ac.in")</f>
        <v>sathishkannanr@bitsathy.ac.in</v>
      </c>
    </row>
    <row r="120" ht="35.25" customHeight="1" spans="1:13">
      <c r="A120" s="31" t="str">
        <f>IFERROR(__xludf.DUMMYFUNCTION("""COMPUTED_VALUE"""),"CSE")</f>
        <v>CSE</v>
      </c>
      <c r="B120" s="31" t="str">
        <f>IFERROR(__xludf.DUMMYFUNCTION("""COMPUTED_VALUE"""),"S6")</f>
        <v>S6</v>
      </c>
      <c r="C120" s="31" t="str">
        <f>IFERROR(__xludf.DUMMYFUNCTION("""COMPUTED_VALUE"""),"ELECTIVE 3")</f>
        <v>ELECTIVE 3</v>
      </c>
      <c r="D120" s="31" t="str">
        <f>IFERROR(__xludf.DUMMYFUNCTION("""COMPUTED_VALUE"""),"22CS035")</f>
        <v>22CS035</v>
      </c>
      <c r="E120" s="98" t="str">
        <f>IFERROR(__xludf.DUMMYFUNCTION("""COMPUTED_VALUE"""),"SOFTWARE QUALITY ASSURANCE")</f>
        <v>SOFTWARE QUALITY ASSURANCE</v>
      </c>
      <c r="F120" s="31" t="str">
        <f>IFERROR(__xludf.DUMMYFUNCTION("""COMPUTED_VALUE"""),"THEORY")</f>
        <v>THEORY</v>
      </c>
      <c r="G120" s="31">
        <f>IFERROR(__xludf.DUMMYFUNCTION("""COMPUTED_VALUE"""),3)</f>
        <v>3</v>
      </c>
      <c r="H120" s="31">
        <f>IFERROR(__xludf.DUMMYFUNCTION("""COMPUTED_VALUE"""),0)</f>
        <v>0</v>
      </c>
      <c r="I120" s="31">
        <f>IFERROR(__xludf.DUMMYFUNCTION("""COMPUTED_VALUE"""),0)</f>
        <v>0</v>
      </c>
      <c r="J120" s="31">
        <f>IFERROR(__xludf.DUMMYFUNCTION("""COMPUTED_VALUE"""),3)</f>
        <v>3</v>
      </c>
      <c r="K120" s="31" t="str">
        <f>IFERROR(__xludf.DUMMYFUNCTION("""COMPUTED_VALUE"""),"CS10963")</f>
        <v>CS10963</v>
      </c>
      <c r="L120" s="31" t="str">
        <f>IFERROR(__xludf.DUMMYFUNCTION("""COMPUTED_VALUE"""),"Dr.RAJESHKUMAR G")</f>
        <v>Dr.RAJESHKUMAR G</v>
      </c>
      <c r="M120" s="31" t="str">
        <f>IFERROR(__xludf.DUMMYFUNCTION("""COMPUTED_VALUE"""),"rajeshkumarg@bitsathy.ac.in")</f>
        <v>rajeshkumarg@bitsathy.ac.in</v>
      </c>
    </row>
    <row r="121" ht="35.25" customHeight="1" spans="1:13">
      <c r="A121" s="31" t="str">
        <f>IFERROR(__xludf.DUMMYFUNCTION("""COMPUTED_VALUE"""),"CSE")</f>
        <v>CSE</v>
      </c>
      <c r="B121" s="31" t="str">
        <f>IFERROR(__xludf.DUMMYFUNCTION("""COMPUTED_VALUE"""),"S6")</f>
        <v>S6</v>
      </c>
      <c r="C121" s="31" t="str">
        <f>IFERROR(__xludf.DUMMYFUNCTION("""COMPUTED_VALUE"""),"ELECTIVE 4")</f>
        <v>ELECTIVE 4</v>
      </c>
      <c r="D121" s="31" t="str">
        <f>IFERROR(__xludf.DUMMYFUNCTION("""COMPUTED_VALUE"""),"22CS031")</f>
        <v>22CS031</v>
      </c>
      <c r="E121" s="98" t="str">
        <f>IFERROR(__xludf.DUMMYFUNCTION("""COMPUTED_VALUE"""),"SOFT COMPUTING")</f>
        <v>SOFT COMPUTING</v>
      </c>
      <c r="F121" s="31" t="str">
        <f>IFERROR(__xludf.DUMMYFUNCTION("""COMPUTED_VALUE"""),"THEORY")</f>
        <v>THEORY</v>
      </c>
      <c r="G121" s="31">
        <f>IFERROR(__xludf.DUMMYFUNCTION("""COMPUTED_VALUE"""),3)</f>
        <v>3</v>
      </c>
      <c r="H121" s="31">
        <f>IFERROR(__xludf.DUMMYFUNCTION("""COMPUTED_VALUE"""),0)</f>
        <v>0</v>
      </c>
      <c r="I121" s="31">
        <f>IFERROR(__xludf.DUMMYFUNCTION("""COMPUTED_VALUE"""),0)</f>
        <v>0</v>
      </c>
      <c r="J121" s="31">
        <f>IFERROR(__xludf.DUMMYFUNCTION("""COMPUTED_VALUE"""),3)</f>
        <v>3</v>
      </c>
      <c r="K121" s="31" t="str">
        <f>IFERROR(__xludf.DUMMYFUNCTION("""COMPUTED_VALUE"""),"CS10560")</f>
        <v>CS10560</v>
      </c>
      <c r="L121" s="31" t="str">
        <f>IFERROR(__xludf.DUMMYFUNCTION("""COMPUTED_VALUE"""),"Dr.SWATHYPRIYADHARSINI P")</f>
        <v>Dr.SWATHYPRIYADHARSINI P</v>
      </c>
      <c r="M121" s="31" t="str">
        <f>IFERROR(__xludf.DUMMYFUNCTION("""COMPUTED_VALUE"""),"swathypriyadharsini@bitsathy.ac.in")</f>
        <v>swathypriyadharsini@bitsathy.ac.in</v>
      </c>
    </row>
    <row r="122" ht="35.25" customHeight="1" spans="1:13">
      <c r="A122" s="31" t="str">
        <f>IFERROR(__xludf.DUMMYFUNCTION("""COMPUTED_VALUE"""),"CSE")</f>
        <v>CSE</v>
      </c>
      <c r="B122" s="31" t="str">
        <f>IFERROR(__xludf.DUMMYFUNCTION("""COMPUTED_VALUE"""),"S6")</f>
        <v>S6</v>
      </c>
      <c r="C122" s="31" t="str">
        <f>IFERROR(__xludf.DUMMYFUNCTION("""COMPUTED_VALUE"""),"ELECTIVE 4")</f>
        <v>ELECTIVE 4</v>
      </c>
      <c r="D122" s="31" t="str">
        <f>IFERROR(__xludf.DUMMYFUNCTION("""COMPUTED_VALUE"""),"22CS031")</f>
        <v>22CS031</v>
      </c>
      <c r="E122" s="98" t="str">
        <f>IFERROR(__xludf.DUMMYFUNCTION("""COMPUTED_VALUE"""),"SOFT COMPUTING")</f>
        <v>SOFT COMPUTING</v>
      </c>
      <c r="F122" s="31" t="str">
        <f>IFERROR(__xludf.DUMMYFUNCTION("""COMPUTED_VALUE"""),"THEORY")</f>
        <v>THEORY</v>
      </c>
      <c r="G122" s="31">
        <f>IFERROR(__xludf.DUMMYFUNCTION("""COMPUTED_VALUE"""),3)</f>
        <v>3</v>
      </c>
      <c r="H122" s="31">
        <f>IFERROR(__xludf.DUMMYFUNCTION("""COMPUTED_VALUE"""),0)</f>
        <v>0</v>
      </c>
      <c r="I122" s="31">
        <f>IFERROR(__xludf.DUMMYFUNCTION("""COMPUTED_VALUE"""),0)</f>
        <v>0</v>
      </c>
      <c r="J122" s="31">
        <f>IFERROR(__xludf.DUMMYFUNCTION("""COMPUTED_VALUE"""),3)</f>
        <v>3</v>
      </c>
      <c r="K122" s="31" t="str">
        <f>IFERROR(__xludf.DUMMYFUNCTION("""COMPUTED_VALUE"""),"CS11088")</f>
        <v>CS11088</v>
      </c>
      <c r="L122" s="31" t="str">
        <f>IFERROR(__xludf.DUMMYFUNCTION("""COMPUTED_VALUE"""),"Ms.SATHIYA B")</f>
        <v>Ms.SATHIYA B</v>
      </c>
      <c r="M122" s="31" t="str">
        <f>IFERROR(__xludf.DUMMYFUNCTION("""COMPUTED_VALUE"""),"sathiya@bitsathy.ac.in")</f>
        <v>sathiya@bitsathy.ac.in</v>
      </c>
    </row>
    <row r="123" ht="35.25" customHeight="1" spans="1:13">
      <c r="A123" s="31" t="str">
        <f>IFERROR(__xludf.DUMMYFUNCTION("""COMPUTED_VALUE"""),"CSE")</f>
        <v>CSE</v>
      </c>
      <c r="B123" s="31" t="str">
        <f>IFERROR(__xludf.DUMMYFUNCTION("""COMPUTED_VALUE"""),"S6")</f>
        <v>S6</v>
      </c>
      <c r="C123" s="31" t="str">
        <f>IFERROR(__xludf.DUMMYFUNCTION("""COMPUTED_VALUE"""),"ELECTIVE 4")</f>
        <v>ELECTIVE 4</v>
      </c>
      <c r="D123" s="31" t="str">
        <f>IFERROR(__xludf.DUMMYFUNCTION("""COMPUTED_VALUE"""),"22CS002")</f>
        <v>22CS002</v>
      </c>
      <c r="E123" s="98" t="str">
        <f>IFERROR(__xludf.DUMMYFUNCTION("""COMPUTED_VALUE"""),"RECOMMENDER SYSTEMS")</f>
        <v>RECOMMENDER SYSTEMS</v>
      </c>
      <c r="F123" s="31" t="str">
        <f>IFERROR(__xludf.DUMMYFUNCTION("""COMPUTED_VALUE"""),"THEORY")</f>
        <v>THEORY</v>
      </c>
      <c r="G123" s="31">
        <f>IFERROR(__xludf.DUMMYFUNCTION("""COMPUTED_VALUE"""),3)</f>
        <v>3</v>
      </c>
      <c r="H123" s="31">
        <f>IFERROR(__xludf.DUMMYFUNCTION("""COMPUTED_VALUE"""),0)</f>
        <v>0</v>
      </c>
      <c r="I123" s="31">
        <f>IFERROR(__xludf.DUMMYFUNCTION("""COMPUTED_VALUE"""),0)</f>
        <v>0</v>
      </c>
      <c r="J123" s="31">
        <f>IFERROR(__xludf.DUMMYFUNCTION("""COMPUTED_VALUE"""),3)</f>
        <v>3</v>
      </c>
      <c r="K123" s="31" t="str">
        <f>IFERROR(__xludf.DUMMYFUNCTION("""COMPUTED_VALUE"""),"CS11075")</f>
        <v>CS11075</v>
      </c>
      <c r="L123" s="31" t="str">
        <f>IFERROR(__xludf.DUMMYFUNCTION("""COMPUTED_VALUE"""),"Mrs.CHITRADEVI T N")</f>
        <v>Mrs.CHITRADEVI T N</v>
      </c>
      <c r="M123" s="31" t="str">
        <f>IFERROR(__xludf.DUMMYFUNCTION("""COMPUTED_VALUE"""),"chitradevi@bitsathy.ac.in")</f>
        <v>chitradevi@bitsathy.ac.in</v>
      </c>
    </row>
    <row r="124" ht="35.25" customHeight="1" spans="1:13">
      <c r="A124" s="31" t="str">
        <f>IFERROR(__xludf.DUMMYFUNCTION("""COMPUTED_VALUE"""),"CSE")</f>
        <v>CSE</v>
      </c>
      <c r="B124" s="31" t="str">
        <f>IFERROR(__xludf.DUMMYFUNCTION("""COMPUTED_VALUE"""),"S6")</f>
        <v>S6</v>
      </c>
      <c r="C124" s="31" t="str">
        <f>IFERROR(__xludf.DUMMYFUNCTION("""COMPUTED_VALUE"""),"ELECTIVE 4")</f>
        <v>ELECTIVE 4</v>
      </c>
      <c r="D124" s="31" t="str">
        <f>IFERROR(__xludf.DUMMYFUNCTION("""COMPUTED_VALUE"""),"22CS002")</f>
        <v>22CS002</v>
      </c>
      <c r="E124" s="98" t="str">
        <f>IFERROR(__xludf.DUMMYFUNCTION("""COMPUTED_VALUE"""),"RECOMMENDER SYSTEMS")</f>
        <v>RECOMMENDER SYSTEMS</v>
      </c>
      <c r="F124" s="31" t="str">
        <f>IFERROR(__xludf.DUMMYFUNCTION("""COMPUTED_VALUE"""),"THEORY")</f>
        <v>THEORY</v>
      </c>
      <c r="G124" s="31">
        <f>IFERROR(__xludf.DUMMYFUNCTION("""COMPUTED_VALUE"""),3)</f>
        <v>3</v>
      </c>
      <c r="H124" s="31">
        <f>IFERROR(__xludf.DUMMYFUNCTION("""COMPUTED_VALUE"""),0)</f>
        <v>0</v>
      </c>
      <c r="I124" s="31">
        <f>IFERROR(__xludf.DUMMYFUNCTION("""COMPUTED_VALUE"""),0)</f>
        <v>0</v>
      </c>
      <c r="J124" s="31">
        <f>IFERROR(__xludf.DUMMYFUNCTION("""COMPUTED_VALUE"""),3)</f>
        <v>3</v>
      </c>
      <c r="K124" s="31" t="str">
        <f>IFERROR(__xludf.DUMMYFUNCTION("""COMPUTED_VALUE"""),"CS11162")</f>
        <v>CS11162</v>
      </c>
      <c r="L124" s="31" t="str">
        <f>IFERROR(__xludf.DUMMYFUNCTION("""COMPUTED_VALUE"""),"Ms.THANGATAMILSELVI S")</f>
        <v>Ms.THANGATAMILSELVI S</v>
      </c>
      <c r="M124" s="31" t="str">
        <f>IFERROR(__xludf.DUMMYFUNCTION("""COMPUTED_VALUE"""),"thangatamilselvis@bitsathy.ac.in")</f>
        <v>thangatamilselvis@bitsathy.ac.in</v>
      </c>
    </row>
    <row r="125" ht="35.25" customHeight="1" spans="1:13">
      <c r="A125" s="31" t="str">
        <f>IFERROR(__xludf.DUMMYFUNCTION("""COMPUTED_VALUE"""),"CSE")</f>
        <v>CSE</v>
      </c>
      <c r="B125" s="31" t="str">
        <f>IFERROR(__xludf.DUMMYFUNCTION("""COMPUTED_VALUE"""),"S6")</f>
        <v>S6</v>
      </c>
      <c r="C125" s="31" t="str">
        <f>IFERROR(__xludf.DUMMYFUNCTION("""COMPUTED_VALUE"""),"ELECTIVE 5")</f>
        <v>ELECTIVE 5</v>
      </c>
      <c r="D125" s="31" t="str">
        <f>IFERROR(__xludf.DUMMYFUNCTION("""COMPUTED_VALUE"""),"22CS029")</f>
        <v>22CS029</v>
      </c>
      <c r="E125" s="98" t="str">
        <f>IFERROR(__xludf.DUMMYFUNCTION("""COMPUTED_VALUE"""),"DIGITAL MARKETING")</f>
        <v>DIGITAL MARKETING</v>
      </c>
      <c r="F125" s="31" t="str">
        <f>IFERROR(__xludf.DUMMYFUNCTION("""COMPUTED_VALUE"""),"THEORY")</f>
        <v>THEORY</v>
      </c>
      <c r="G125" s="31">
        <f>IFERROR(__xludf.DUMMYFUNCTION("""COMPUTED_VALUE"""),3)</f>
        <v>3</v>
      </c>
      <c r="H125" s="31">
        <f>IFERROR(__xludf.DUMMYFUNCTION("""COMPUTED_VALUE"""),0)</f>
        <v>0</v>
      </c>
      <c r="I125" s="31">
        <f>IFERROR(__xludf.DUMMYFUNCTION("""COMPUTED_VALUE"""),0)</f>
        <v>0</v>
      </c>
      <c r="J125" s="31">
        <f>IFERROR(__xludf.DUMMYFUNCTION("""COMPUTED_VALUE"""),3)</f>
        <v>3</v>
      </c>
      <c r="K125" s="31" t="str">
        <f>IFERROR(__xludf.DUMMYFUNCTION("""COMPUTED_VALUE"""),"CS11027")</f>
        <v>CS11027</v>
      </c>
      <c r="L125" s="31" t="str">
        <f>IFERROR(__xludf.DUMMYFUNCTION("""COMPUTED_VALUE"""),"Mr.SATHYAMOORTHY J")</f>
        <v>Mr.SATHYAMOORTHY J</v>
      </c>
      <c r="M125" s="31" t="str">
        <f>IFERROR(__xludf.DUMMYFUNCTION("""COMPUTED_VALUE"""),"sathyamoorthyj@bitsathy.ac.in")</f>
        <v>sathyamoorthyj@bitsathy.ac.in</v>
      </c>
    </row>
    <row r="126" ht="35.25" customHeight="1" spans="1:13">
      <c r="A126" s="31" t="str">
        <f>IFERROR(__xludf.DUMMYFUNCTION("""COMPUTED_VALUE"""),"CSE")</f>
        <v>CSE</v>
      </c>
      <c r="B126" s="31" t="str">
        <f>IFERROR(__xludf.DUMMYFUNCTION("""COMPUTED_VALUE"""),"S6")</f>
        <v>S6</v>
      </c>
      <c r="C126" s="31" t="str">
        <f>IFERROR(__xludf.DUMMYFUNCTION("""COMPUTED_VALUE"""),"ELECTIVE 5")</f>
        <v>ELECTIVE 5</v>
      </c>
      <c r="D126" s="31" t="str">
        <f>IFERROR(__xludf.DUMMYFUNCTION("""COMPUTED_VALUE"""),"22CS029")</f>
        <v>22CS029</v>
      </c>
      <c r="E126" s="98" t="str">
        <f>IFERROR(__xludf.DUMMYFUNCTION("""COMPUTED_VALUE"""),"DIGITAL MARKETING")</f>
        <v>DIGITAL MARKETING</v>
      </c>
      <c r="F126" s="31" t="str">
        <f>IFERROR(__xludf.DUMMYFUNCTION("""COMPUTED_VALUE"""),"THEORY")</f>
        <v>THEORY</v>
      </c>
      <c r="G126" s="31">
        <f>IFERROR(__xludf.DUMMYFUNCTION("""COMPUTED_VALUE"""),3)</f>
        <v>3</v>
      </c>
      <c r="H126" s="31">
        <f>IFERROR(__xludf.DUMMYFUNCTION("""COMPUTED_VALUE"""),0)</f>
        <v>0</v>
      </c>
      <c r="I126" s="31">
        <f>IFERROR(__xludf.DUMMYFUNCTION("""COMPUTED_VALUE"""),0)</f>
        <v>0</v>
      </c>
      <c r="J126" s="31">
        <f>IFERROR(__xludf.DUMMYFUNCTION("""COMPUTED_VALUE"""),3)</f>
        <v>3</v>
      </c>
      <c r="K126" s="31" t="str">
        <f>IFERROR(__xludf.DUMMYFUNCTION("""COMPUTED_VALUE"""),"CS11180")</f>
        <v>CS11180</v>
      </c>
      <c r="L126" s="31" t="str">
        <f>IFERROR(__xludf.DUMMYFUNCTION("""COMPUTED_VALUE"""),"Mr.RANGARAJ K")</f>
        <v>Mr.RANGARAJ K</v>
      </c>
      <c r="M126" s="31" t="str">
        <f>IFERROR(__xludf.DUMMYFUNCTION("""COMPUTED_VALUE"""),"rangarajk@bitsathy.ac.in")</f>
        <v>rangarajk@bitsathy.ac.in</v>
      </c>
    </row>
    <row r="127" ht="35.25" customHeight="1" spans="1:13">
      <c r="A127" s="31" t="str">
        <f>IFERROR(__xludf.DUMMYFUNCTION("""COMPUTED_VALUE"""),"CSE")</f>
        <v>CSE</v>
      </c>
      <c r="B127" s="31" t="str">
        <f>IFERROR(__xludf.DUMMYFUNCTION("""COMPUTED_VALUE"""),"S6")</f>
        <v>S6</v>
      </c>
      <c r="C127" s="31" t="str">
        <f>IFERROR(__xludf.DUMMYFUNCTION("""COMPUTED_VALUE"""),"ELECTIVE 5")</f>
        <v>ELECTIVE 5</v>
      </c>
      <c r="D127" s="31" t="str">
        <f>IFERROR(__xludf.DUMMYFUNCTION("""COMPUTED_VALUE"""),"22CS029")</f>
        <v>22CS029</v>
      </c>
      <c r="E127" s="98" t="str">
        <f>IFERROR(__xludf.DUMMYFUNCTION("""COMPUTED_VALUE"""),"DIGITAL MARKETING")</f>
        <v>DIGITAL MARKETING</v>
      </c>
      <c r="F127" s="31" t="str">
        <f>IFERROR(__xludf.DUMMYFUNCTION("""COMPUTED_VALUE"""),"THEORY")</f>
        <v>THEORY</v>
      </c>
      <c r="G127" s="31">
        <f>IFERROR(__xludf.DUMMYFUNCTION("""COMPUTED_VALUE"""),3)</f>
        <v>3</v>
      </c>
      <c r="H127" s="31">
        <f>IFERROR(__xludf.DUMMYFUNCTION("""COMPUTED_VALUE"""),0)</f>
        <v>0</v>
      </c>
      <c r="I127" s="31">
        <f>IFERROR(__xludf.DUMMYFUNCTION("""COMPUTED_VALUE"""),0)</f>
        <v>0</v>
      </c>
      <c r="J127" s="31">
        <f>IFERROR(__xludf.DUMMYFUNCTION("""COMPUTED_VALUE"""),3)</f>
        <v>3</v>
      </c>
      <c r="K127" s="31" t="str">
        <f>IFERROR(__xludf.DUMMYFUNCTION("""COMPUTED_VALUE"""),"CS10473")</f>
        <v>CS10473</v>
      </c>
      <c r="L127" s="31" t="str">
        <f>IFERROR(__xludf.DUMMYFUNCTION("""COMPUTED_VALUE"""),"Ms.SOUNDARIYA R S")</f>
        <v>Ms.SOUNDARIYA R S</v>
      </c>
      <c r="M127" s="31" t="str">
        <f>IFERROR(__xludf.DUMMYFUNCTION("""COMPUTED_VALUE"""),"soundariya@bitsathy.ac.in")</f>
        <v>soundariya@bitsathy.ac.in</v>
      </c>
    </row>
    <row r="128" ht="35.25" customHeight="1" spans="1:13">
      <c r="A128" s="31" t="str">
        <f>IFERROR(__xludf.DUMMYFUNCTION("""COMPUTED_VALUE"""),"CSE")</f>
        <v>CSE</v>
      </c>
      <c r="B128" s="31" t="str">
        <f>IFERROR(__xludf.DUMMYFUNCTION("""COMPUTED_VALUE"""),"S6")</f>
        <v>S6</v>
      </c>
      <c r="C128" s="31" t="str">
        <f>IFERROR(__xludf.DUMMYFUNCTION("""COMPUTED_VALUE"""),"ELECTIVE 5")</f>
        <v>ELECTIVE 5</v>
      </c>
      <c r="D128" s="31" t="str">
        <f>IFERROR(__xludf.DUMMYFUNCTION("""COMPUTED_VALUE"""),"22CS040")</f>
        <v>22CS040</v>
      </c>
      <c r="E128" s="98" t="str">
        <f>IFERROR(__xludf.DUMMYFUNCTION("""COMPUTED_VALUE"""),"BUSINESS ANALYTICS")</f>
        <v>BUSINESS ANALYTICS</v>
      </c>
      <c r="F128" s="31" t="str">
        <f>IFERROR(__xludf.DUMMYFUNCTION("""COMPUTED_VALUE"""),"THEORY")</f>
        <v>THEORY</v>
      </c>
      <c r="G128" s="31">
        <f>IFERROR(__xludf.DUMMYFUNCTION("""COMPUTED_VALUE"""),3)</f>
        <v>3</v>
      </c>
      <c r="H128" s="31">
        <f>IFERROR(__xludf.DUMMYFUNCTION("""COMPUTED_VALUE"""),0)</f>
        <v>0</v>
      </c>
      <c r="I128" s="31">
        <f>IFERROR(__xludf.DUMMYFUNCTION("""COMPUTED_VALUE"""),0)</f>
        <v>0</v>
      </c>
      <c r="J128" s="31">
        <f>IFERROR(__xludf.DUMMYFUNCTION("""COMPUTED_VALUE"""),3)</f>
        <v>3</v>
      </c>
      <c r="K128" s="31" t="str">
        <f>IFERROR(__xludf.DUMMYFUNCTION("""COMPUTED_VALUE"""),"CS10983")</f>
        <v>CS10983</v>
      </c>
      <c r="L128" s="31" t="str">
        <f>IFERROR(__xludf.DUMMYFUNCTION("""COMPUTED_VALUE"""),"Mrs.KAVITHA R")</f>
        <v>Mrs.KAVITHA R</v>
      </c>
      <c r="M128" s="31" t="str">
        <f>IFERROR(__xludf.DUMMYFUNCTION("""COMPUTED_VALUE"""),"kavithar@bitsathy.ac.in")</f>
        <v>kavithar@bitsathy.ac.in</v>
      </c>
    </row>
    <row r="129" ht="35.25" customHeight="1" spans="1:13">
      <c r="A129" s="31" t="str">
        <f>IFERROR(__xludf.DUMMYFUNCTION("""COMPUTED_VALUE"""),"CSE")</f>
        <v>CSE</v>
      </c>
      <c r="B129" s="31" t="str">
        <f>IFERROR(__xludf.DUMMYFUNCTION("""COMPUTED_VALUE"""),"S6")</f>
        <v>S6</v>
      </c>
      <c r="C129" s="31" t="str">
        <f>IFERROR(__xludf.DUMMYFUNCTION("""COMPUTED_VALUE"""),"OPEN ELECTIVE")</f>
        <v>OPEN ELECTIVE</v>
      </c>
      <c r="D129" s="31" t="str">
        <f>IFERROR(__xludf.DUMMYFUNCTION("""COMPUTED_VALUE"""),"22OCS01")</f>
        <v>22OCS01</v>
      </c>
      <c r="E129" s="98" t="str">
        <f>IFERROR(__xludf.DUMMYFUNCTION("""COMPUTED_VALUE"""),"OBJECT ORIENTED PROGRAMMING")</f>
        <v>OBJECT ORIENTED PROGRAMMING</v>
      </c>
      <c r="F129" s="31" t="str">
        <f>IFERROR(__xludf.DUMMYFUNCTION("""COMPUTED_VALUE"""),"THEORY")</f>
        <v>THEORY</v>
      </c>
      <c r="G129" s="31">
        <f>IFERROR(__xludf.DUMMYFUNCTION("""COMPUTED_VALUE"""),3)</f>
        <v>3</v>
      </c>
      <c r="H129" s="31">
        <f>IFERROR(__xludf.DUMMYFUNCTION("""COMPUTED_VALUE"""),0)</f>
        <v>0</v>
      </c>
      <c r="I129" s="31">
        <f>IFERROR(__xludf.DUMMYFUNCTION("""COMPUTED_VALUE"""),0)</f>
        <v>0</v>
      </c>
      <c r="J129" s="31">
        <f>IFERROR(__xludf.DUMMYFUNCTION("""COMPUTED_VALUE"""),3)</f>
        <v>3</v>
      </c>
      <c r="K129" s="31" t="str">
        <f>IFERROR(__xludf.DUMMYFUNCTION("""COMPUTED_VALUE"""),"CS10789")</f>
        <v>CS10789</v>
      </c>
      <c r="L129" s="31" t="str">
        <f>IFERROR(__xludf.DUMMYFUNCTION("""COMPUTED_VALUE"""),"Dr.DHIVYA P")</f>
        <v>Dr.DHIVYA P</v>
      </c>
      <c r="M129" s="31" t="str">
        <f>IFERROR(__xludf.DUMMYFUNCTION("""COMPUTED_VALUE"""),"dhivyap@bitsathy.ac.in")</f>
        <v>dhivyap@bitsathy.ac.in</v>
      </c>
    </row>
    <row r="130" ht="35.25" customHeight="1" spans="1:13">
      <c r="A130" s="31" t="str">
        <f>IFERROR(__xludf.DUMMYFUNCTION("""COMPUTED_VALUE"""),"CSE")</f>
        <v>CSE</v>
      </c>
      <c r="B130" s="31" t="str">
        <f>IFERROR(__xludf.DUMMYFUNCTION("""COMPUTED_VALUE"""),"S6")</f>
        <v>S6</v>
      </c>
      <c r="C130" s="31" t="str">
        <f>IFERROR(__xludf.DUMMYFUNCTION("""COMPUTED_VALUE"""),"OPEN ELECTIVE")</f>
        <v>OPEN ELECTIVE</v>
      </c>
      <c r="D130" s="31" t="str">
        <f>IFERROR(__xludf.DUMMYFUNCTION("""COMPUTED_VALUE"""),"22OCS01")</f>
        <v>22OCS01</v>
      </c>
      <c r="E130" s="98" t="str">
        <f>IFERROR(__xludf.DUMMYFUNCTION("""COMPUTED_VALUE"""),"OBJECT ORIENTED PROGRAMMING")</f>
        <v>OBJECT ORIENTED PROGRAMMING</v>
      </c>
      <c r="F130" s="31" t="str">
        <f>IFERROR(__xludf.DUMMYFUNCTION("""COMPUTED_VALUE"""),"THEORY")</f>
        <v>THEORY</v>
      </c>
      <c r="G130" s="31">
        <f>IFERROR(__xludf.DUMMYFUNCTION("""COMPUTED_VALUE"""),3)</f>
        <v>3</v>
      </c>
      <c r="H130" s="31">
        <f>IFERROR(__xludf.DUMMYFUNCTION("""COMPUTED_VALUE"""),0)</f>
        <v>0</v>
      </c>
      <c r="I130" s="31">
        <f>IFERROR(__xludf.DUMMYFUNCTION("""COMPUTED_VALUE"""),0)</f>
        <v>0</v>
      </c>
      <c r="J130" s="31">
        <f>IFERROR(__xludf.DUMMYFUNCTION("""COMPUTED_VALUE"""),3)</f>
        <v>3</v>
      </c>
      <c r="K130" s="31" t="str">
        <f>IFERROR(__xludf.DUMMYFUNCTION("""COMPUTED_VALUE"""),"CS11084")</f>
        <v>CS11084</v>
      </c>
      <c r="L130" s="31" t="str">
        <f>IFERROR(__xludf.DUMMYFUNCTION("""COMPUTED_VALUE"""),"Mrs.GUNAVARDINI V")</f>
        <v>Mrs.GUNAVARDINI V</v>
      </c>
      <c r="M130" s="31" t="str">
        <f>IFERROR(__xludf.DUMMYFUNCTION("""COMPUTED_VALUE"""),"gunavardini@bitsathy.ac.in")</f>
        <v>gunavardini@bitsathy.ac.in</v>
      </c>
    </row>
    <row r="131" ht="35.25" customHeight="1" spans="1:13">
      <c r="A131" s="31" t="str">
        <f>IFERROR(__xludf.DUMMYFUNCTION("""COMPUTED_VALUE"""),"CSE")</f>
        <v>CSE</v>
      </c>
      <c r="B131" s="31" t="str">
        <f>IFERROR(__xludf.DUMMYFUNCTION("""COMPUTED_VALUE"""),"S6")</f>
        <v>S6</v>
      </c>
      <c r="C131" s="31" t="str">
        <f>IFERROR(__xludf.DUMMYFUNCTION("""COMPUTED_VALUE"""),"ADD COURSE")</f>
        <v>ADD COURSE</v>
      </c>
      <c r="D131" s="31" t="str">
        <f>IFERROR(__xludf.DUMMYFUNCTION("""COMPUTED_VALUE"""),"22CS034")</f>
        <v>22CS034</v>
      </c>
      <c r="E131" s="98" t="str">
        <f>IFERROR(__xludf.DUMMYFUNCTION("""COMPUTED_VALUE"""),"ETHICS AND AI")</f>
        <v>ETHICS AND AI</v>
      </c>
      <c r="F131" s="31" t="str">
        <f>IFERROR(__xludf.DUMMYFUNCTION("""COMPUTED_VALUE"""),"THEORY")</f>
        <v>THEORY</v>
      </c>
      <c r="G131" s="31">
        <f>IFERROR(__xludf.DUMMYFUNCTION("""COMPUTED_VALUE"""),3)</f>
        <v>3</v>
      </c>
      <c r="H131" s="31">
        <f>IFERROR(__xludf.DUMMYFUNCTION("""COMPUTED_VALUE"""),0)</f>
        <v>0</v>
      </c>
      <c r="I131" s="31">
        <f>IFERROR(__xludf.DUMMYFUNCTION("""COMPUTED_VALUE"""),0)</f>
        <v>0</v>
      </c>
      <c r="J131" s="31">
        <f>IFERROR(__xludf.DUMMYFUNCTION("""COMPUTED_VALUE"""),3)</f>
        <v>3</v>
      </c>
      <c r="K131" s="31" t="str">
        <f>IFERROR(__xludf.DUMMYFUNCTION("""COMPUTED_VALUE"""),"CS11119")</f>
        <v>CS11119</v>
      </c>
      <c r="L131" s="31" t="str">
        <f>IFERROR(__xludf.DUMMYFUNCTION("""COMPUTED_VALUE"""),"Ms.PARKAVI S")</f>
        <v>Ms.PARKAVI S</v>
      </c>
      <c r="M131" s="31" t="str">
        <f>IFERROR(__xludf.DUMMYFUNCTION("""COMPUTED_VALUE"""),"parkavi@bitsathy.ac.in")</f>
        <v>parkavi@bitsathy.ac.in</v>
      </c>
    </row>
    <row r="132" ht="35.25" customHeight="1" spans="1:13">
      <c r="A132" s="31" t="str">
        <f>IFERROR(__xludf.DUMMYFUNCTION("""COMPUTED_VALUE"""),"CSE")</f>
        <v>CSE</v>
      </c>
      <c r="B132" s="31" t="str">
        <f>IFERROR(__xludf.DUMMYFUNCTION("""COMPUTED_VALUE"""),"S6")</f>
        <v>S6</v>
      </c>
      <c r="C132" s="31" t="str">
        <f>IFERROR(__xludf.DUMMYFUNCTION("""COMPUTED_VALUE"""),"ADD COURSE")</f>
        <v>ADD COURSE</v>
      </c>
      <c r="D132" s="31" t="str">
        <f>IFERROR(__xludf.DUMMYFUNCTION("""COMPUTED_VALUE"""),"22CS034")</f>
        <v>22CS034</v>
      </c>
      <c r="E132" s="98" t="str">
        <f>IFERROR(__xludf.DUMMYFUNCTION("""COMPUTED_VALUE"""),"ETHICS AND AI")</f>
        <v>ETHICS AND AI</v>
      </c>
      <c r="F132" s="31" t="str">
        <f>IFERROR(__xludf.DUMMYFUNCTION("""COMPUTED_VALUE"""),"THEORY")</f>
        <v>THEORY</v>
      </c>
      <c r="G132" s="31">
        <f>IFERROR(__xludf.DUMMYFUNCTION("""COMPUTED_VALUE"""),3)</f>
        <v>3</v>
      </c>
      <c r="H132" s="31">
        <f>IFERROR(__xludf.DUMMYFUNCTION("""COMPUTED_VALUE"""),0)</f>
        <v>0</v>
      </c>
      <c r="I132" s="31">
        <f>IFERROR(__xludf.DUMMYFUNCTION("""COMPUTED_VALUE"""),0)</f>
        <v>0</v>
      </c>
      <c r="J132" s="31">
        <f>IFERROR(__xludf.DUMMYFUNCTION("""COMPUTED_VALUE"""),3)</f>
        <v>3</v>
      </c>
      <c r="K132" s="31" t="str">
        <f>IFERROR(__xludf.DUMMYFUNCTION("""COMPUTED_VALUE"""),"CS11158")</f>
        <v>CS11158</v>
      </c>
      <c r="L132" s="31" t="str">
        <f>IFERROR(__xludf.DUMMYFUNCTION("""COMPUTED_VALUE"""),"Mrs.KAYALVIZHI B")</f>
        <v>Mrs.KAYALVIZHI B</v>
      </c>
      <c r="M132" s="31" t="str">
        <f>IFERROR(__xludf.DUMMYFUNCTION("""COMPUTED_VALUE"""),"kayalvizhib@bitsathy.ac.in")</f>
        <v>kayalvizhib@bitsathy.ac.in</v>
      </c>
    </row>
    <row r="133" ht="35.25" customHeight="1" spans="1:13">
      <c r="A133" s="31" t="str">
        <f>IFERROR(__xludf.DUMMYFUNCTION("""COMPUTED_VALUE"""),"CSE")</f>
        <v>CSE</v>
      </c>
      <c r="B133" s="31" t="str">
        <f>IFERROR(__xludf.DUMMYFUNCTION("""COMPUTED_VALUE"""),"S6")</f>
        <v>S6</v>
      </c>
      <c r="C133" s="31" t="str">
        <f>IFERROR(__xludf.DUMMYFUNCTION("""COMPUTED_VALUE"""),"ADD COURSE")</f>
        <v>ADD COURSE</v>
      </c>
      <c r="D133" s="31" t="str">
        <f>IFERROR(__xludf.DUMMYFUNCTION("""COMPUTED_VALUE"""),"22CS034")</f>
        <v>22CS034</v>
      </c>
      <c r="E133" s="98" t="str">
        <f>IFERROR(__xludf.DUMMYFUNCTION("""COMPUTED_VALUE"""),"ETHICS AND AI")</f>
        <v>ETHICS AND AI</v>
      </c>
      <c r="F133" s="31" t="str">
        <f>IFERROR(__xludf.DUMMYFUNCTION("""COMPUTED_VALUE"""),"THEORY")</f>
        <v>THEORY</v>
      </c>
      <c r="G133" s="31">
        <f>IFERROR(__xludf.DUMMYFUNCTION("""COMPUTED_VALUE"""),3)</f>
        <v>3</v>
      </c>
      <c r="H133" s="31">
        <f>IFERROR(__xludf.DUMMYFUNCTION("""COMPUTED_VALUE"""),0)</f>
        <v>0</v>
      </c>
      <c r="I133" s="31">
        <f>IFERROR(__xludf.DUMMYFUNCTION("""COMPUTED_VALUE"""),0)</f>
        <v>0</v>
      </c>
      <c r="J133" s="31">
        <f>IFERROR(__xludf.DUMMYFUNCTION("""COMPUTED_VALUE"""),3)</f>
        <v>3</v>
      </c>
      <c r="K133" s="31" t="str">
        <f>IFERROR(__xludf.DUMMYFUNCTION("""COMPUTED_VALUE"""),"CS11150")</f>
        <v>CS11150</v>
      </c>
      <c r="L133" s="31" t="str">
        <f>IFERROR(__xludf.DUMMYFUNCTION("""COMPUTED_VALUE"""),"Mrs.MYTHILI G M")</f>
        <v>Mrs.MYTHILI G M</v>
      </c>
      <c r="M133" s="31" t="str">
        <f>IFERROR(__xludf.DUMMYFUNCTION("""COMPUTED_VALUE"""),"mythili@bitsathy.ac.in")</f>
        <v>mythili@bitsathy.ac.in</v>
      </c>
    </row>
    <row r="134" ht="35.25" customHeight="1" spans="1:13">
      <c r="A134" s="31" t="str">
        <f>IFERROR(__xludf.DUMMYFUNCTION("""COMPUTED_VALUE"""),"CSE")</f>
        <v>CSE</v>
      </c>
      <c r="B134" s="31" t="str">
        <f>IFERROR(__xludf.DUMMYFUNCTION("""COMPUTED_VALUE"""),"S6")</f>
        <v>S6</v>
      </c>
      <c r="C134" s="31" t="str">
        <f>IFERROR(__xludf.DUMMYFUNCTION("""COMPUTED_VALUE"""),"HONOURS")</f>
        <v>HONOURS</v>
      </c>
      <c r="D134" s="31" t="str">
        <f>IFERROR(__xludf.DUMMYFUNCTION("""COMPUTED_VALUE"""),"22CSH03/22CTH03/22ITH03/22CBH03")</f>
        <v>22CSH03/22CTH03/22ITH03/22CBH03</v>
      </c>
      <c r="E134" s="98" t="str">
        <f>IFERROR(__xludf.DUMMYFUNCTION("""COMPUTED_VALUE"""),"BIG DATA ANALYTICS")</f>
        <v>BIG DATA ANALYTICS</v>
      </c>
      <c r="F134" s="31" t="str">
        <f>IFERROR(__xludf.DUMMYFUNCTION("""COMPUTED_VALUE"""),"THEORY")</f>
        <v>THEORY</v>
      </c>
      <c r="G134" s="31">
        <f>IFERROR(__xludf.DUMMYFUNCTION("""COMPUTED_VALUE"""),3)</f>
        <v>3</v>
      </c>
      <c r="H134" s="31">
        <f>IFERROR(__xludf.DUMMYFUNCTION("""COMPUTED_VALUE"""),0)</f>
        <v>0</v>
      </c>
      <c r="I134" s="31">
        <f>IFERROR(__xludf.DUMMYFUNCTION("""COMPUTED_VALUE"""),0)</f>
        <v>0</v>
      </c>
      <c r="J134" s="31">
        <f>IFERROR(__xludf.DUMMYFUNCTION("""COMPUTED_VALUE"""),3)</f>
        <v>3</v>
      </c>
      <c r="K134" s="31" t="str">
        <f>IFERROR(__xludf.DUMMYFUNCTION("""COMPUTED_VALUE"""),"CS11163")</f>
        <v>CS11163</v>
      </c>
      <c r="L134" s="31" t="str">
        <f>IFERROR(__xludf.DUMMYFUNCTION("""COMPUTED_VALUE"""),"Ms.MAHESH S")</f>
        <v>Ms.MAHESH S</v>
      </c>
      <c r="M134" s="31" t="str">
        <f>IFERROR(__xludf.DUMMYFUNCTION("""COMPUTED_VALUE"""),"maheshs@bitsathy.ac.in")</f>
        <v>maheshs@bitsathy.ac.in</v>
      </c>
    </row>
    <row r="135" ht="35.25" customHeight="1" spans="1:13">
      <c r="A135" s="31" t="str">
        <f>IFERROR(__xludf.DUMMYFUNCTION("""COMPUTED_VALUE"""),"CSE")</f>
        <v>CSE</v>
      </c>
      <c r="B135" s="31" t="str">
        <f>IFERROR(__xludf.DUMMYFUNCTION("""COMPUTED_VALUE"""),"S6")</f>
        <v>S6</v>
      </c>
      <c r="C135" s="31" t="str">
        <f>IFERROR(__xludf.DUMMYFUNCTION("""COMPUTED_VALUE"""),"HONOURS")</f>
        <v>HONOURS</v>
      </c>
      <c r="D135" s="31" t="str">
        <f>IFERROR(__xludf.DUMMYFUNCTION("""COMPUTED_VALUE"""),"22CSH04/22CTH04/22ISH28/22ITH04/22CBH04")</f>
        <v>22CSH04/22CTH04/22ISH28/22ITH04/22CBH04</v>
      </c>
      <c r="E135" s="98" t="str">
        <f>IFERROR(__xludf.DUMMYFUNCTION("""COMPUTED_VALUE"""),"NEURAL NETWORKS AND DEEP LEARNING")</f>
        <v>NEURAL NETWORKS AND DEEP LEARNING</v>
      </c>
      <c r="F135" s="31" t="str">
        <f>IFERROR(__xludf.DUMMYFUNCTION("""COMPUTED_VALUE"""),"THEORY WITH LAB")</f>
        <v>THEORY WITH LAB</v>
      </c>
      <c r="G135" s="31">
        <f>IFERROR(__xludf.DUMMYFUNCTION("""COMPUTED_VALUE"""),2)</f>
        <v>2</v>
      </c>
      <c r="H135" s="31">
        <f>IFERROR(__xludf.DUMMYFUNCTION("""COMPUTED_VALUE"""),0)</f>
        <v>0</v>
      </c>
      <c r="I135" s="31">
        <f>IFERROR(__xludf.DUMMYFUNCTION("""COMPUTED_VALUE"""),2)</f>
        <v>2</v>
      </c>
      <c r="J135" s="31">
        <f>IFERROR(__xludf.DUMMYFUNCTION("""COMPUTED_VALUE"""),3)</f>
        <v>3</v>
      </c>
      <c r="K135" s="31" t="str">
        <f>IFERROR(__xludf.DUMMYFUNCTION("""COMPUTED_VALUE"""),"CS11094")</f>
        <v>CS11094</v>
      </c>
      <c r="L135" s="31" t="str">
        <f>IFERROR(__xludf.DUMMYFUNCTION("""COMPUTED_VALUE"""),"Ms.RATHNA S")</f>
        <v>Ms.RATHNA S</v>
      </c>
      <c r="M135" s="31" t="str">
        <f>IFERROR(__xludf.DUMMYFUNCTION("""COMPUTED_VALUE"""),"rathna@bitsathy.ac.in")</f>
        <v>rathna@bitsathy.ac.in</v>
      </c>
    </row>
    <row r="136" ht="35.25" customHeight="1" spans="1:13">
      <c r="A136" s="31" t="str">
        <f>IFERROR(__xludf.DUMMYFUNCTION("""COMPUTED_VALUE"""),"CSE")</f>
        <v>CSE</v>
      </c>
      <c r="B136" s="31" t="str">
        <f>IFERROR(__xludf.DUMMYFUNCTION("""COMPUTED_VALUE"""),"S6")</f>
        <v>S6</v>
      </c>
      <c r="C136" s="31" t="str">
        <f>IFERROR(__xludf.DUMMYFUNCTION("""COMPUTED_VALUE"""),"MINI PROJECT")</f>
        <v>MINI PROJECT</v>
      </c>
      <c r="D136" s="31" t="str">
        <f>IFERROR(__xludf.DUMMYFUNCTION("""COMPUTED_VALUE"""),"22CS607")</f>
        <v>22CS607</v>
      </c>
      <c r="E136" s="98" t="str">
        <f>IFERROR(__xludf.DUMMYFUNCTION("""COMPUTED_VALUE"""),"MINI PROJECT II")</f>
        <v>MINI PROJECT II</v>
      </c>
      <c r="F136" s="31" t="str">
        <f>IFERROR(__xludf.DUMMYFUNCTION("""COMPUTED_VALUE"""),"LAB")</f>
        <v>LAB</v>
      </c>
      <c r="G136" s="31">
        <f>IFERROR(__xludf.DUMMYFUNCTION("""COMPUTED_VALUE"""),0)</f>
        <v>0</v>
      </c>
      <c r="H136" s="31">
        <f>IFERROR(__xludf.DUMMYFUNCTION("""COMPUTED_VALUE"""),0)</f>
        <v>0</v>
      </c>
      <c r="I136" s="31">
        <f>IFERROR(__xludf.DUMMYFUNCTION("""COMPUTED_VALUE"""),2)</f>
        <v>2</v>
      </c>
      <c r="J136" s="31">
        <f>IFERROR(__xludf.DUMMYFUNCTION("""COMPUTED_VALUE"""),1)</f>
        <v>1</v>
      </c>
      <c r="K136" s="31"/>
      <c r="L136" s="31"/>
      <c r="M136" s="31"/>
    </row>
    <row r="137" ht="35.25" customHeight="1" spans="1:13">
      <c r="A137" s="31" t="str">
        <f>IFERROR(__xludf.DUMMYFUNCTION("""COMPUTED_VALUE"""),"CSBS")</f>
        <v>CSBS</v>
      </c>
      <c r="B137" s="31" t="str">
        <f>IFERROR(__xludf.DUMMYFUNCTION("""COMPUTED_VALUE"""),"S6")</f>
        <v>S6</v>
      </c>
      <c r="C137" s="31" t="str">
        <f>IFERROR(__xludf.DUMMYFUNCTION("""COMPUTED_VALUE"""),"CORE")</f>
        <v>CORE</v>
      </c>
      <c r="D137" s="31" t="str">
        <f>IFERROR(__xludf.DUMMYFUNCTION("""COMPUTED_VALUE"""),"22CB601")</f>
        <v>22CB601</v>
      </c>
      <c r="E137" s="98" t="str">
        <f>IFERROR(__xludf.DUMMYFUNCTION("""COMPUTED_VALUE"""),"COMPUTER NETWORKS")</f>
        <v>COMPUTER NETWORKS</v>
      </c>
      <c r="F137" s="31" t="str">
        <f>IFERROR(__xludf.DUMMYFUNCTION("""COMPUTED_VALUE"""),"THEORY WITH LAB")</f>
        <v>THEORY WITH LAB</v>
      </c>
      <c r="G137" s="31">
        <f>IFERROR(__xludf.DUMMYFUNCTION("""COMPUTED_VALUE"""),3)</f>
        <v>3</v>
      </c>
      <c r="H137" s="31">
        <f>IFERROR(__xludf.DUMMYFUNCTION("""COMPUTED_VALUE"""),0)</f>
        <v>0</v>
      </c>
      <c r="I137" s="31">
        <f>IFERROR(__xludf.DUMMYFUNCTION("""COMPUTED_VALUE"""),2)</f>
        <v>2</v>
      </c>
      <c r="J137" s="31">
        <f>IFERROR(__xludf.DUMMYFUNCTION("""COMPUTED_VALUE"""),4)</f>
        <v>4</v>
      </c>
      <c r="K137" s="31" t="str">
        <f>IFERROR(__xludf.DUMMYFUNCTION("""COMPUTED_VALUE"""),"CB11170")</f>
        <v>CB11170</v>
      </c>
      <c r="L137" s="31" t="str">
        <f>IFERROR(__xludf.DUMMYFUNCTION("""COMPUTED_VALUE"""),"Ms.VAISHNAVI N")</f>
        <v>Ms.VAISHNAVI N</v>
      </c>
      <c r="M137" s="31" t="str">
        <f>IFERROR(__xludf.DUMMYFUNCTION("""COMPUTED_VALUE"""),"vaishnavin@bitsathy.ac.in")</f>
        <v>vaishnavin@bitsathy.ac.in</v>
      </c>
    </row>
    <row r="138" ht="35.25" customHeight="1" spans="1:13">
      <c r="A138" s="31" t="str">
        <f>IFERROR(__xludf.DUMMYFUNCTION("""COMPUTED_VALUE"""),"CSBS")</f>
        <v>CSBS</v>
      </c>
      <c r="B138" s="31" t="str">
        <f>IFERROR(__xludf.DUMMYFUNCTION("""COMPUTED_VALUE"""),"S6")</f>
        <v>S6</v>
      </c>
      <c r="C138" s="31" t="str">
        <f>IFERROR(__xludf.DUMMYFUNCTION("""COMPUTED_VALUE"""),"CORE")</f>
        <v>CORE</v>
      </c>
      <c r="D138" s="31" t="str">
        <f>IFERROR(__xludf.DUMMYFUNCTION("""COMPUTED_VALUE"""),"22CB602")</f>
        <v>22CB602</v>
      </c>
      <c r="E138" s="98" t="str">
        <f>IFERROR(__xludf.DUMMYFUNCTION("""COMPUTED_VALUE"""),"INFORMATION SECURITY")</f>
        <v>INFORMATION SECURITY</v>
      </c>
      <c r="F138" s="31" t="str">
        <f>IFERROR(__xludf.DUMMYFUNCTION("""COMPUTED_VALUE"""),"THEORY")</f>
        <v>THEORY</v>
      </c>
      <c r="G138" s="31">
        <f>IFERROR(__xludf.DUMMYFUNCTION("""COMPUTED_VALUE"""),3)</f>
        <v>3</v>
      </c>
      <c r="H138" s="31">
        <f>IFERROR(__xludf.DUMMYFUNCTION("""COMPUTED_VALUE"""),0)</f>
        <v>0</v>
      </c>
      <c r="I138" s="31">
        <f>IFERROR(__xludf.DUMMYFUNCTION("""COMPUTED_VALUE"""),0)</f>
        <v>0</v>
      </c>
      <c r="J138" s="31">
        <f>IFERROR(__xludf.DUMMYFUNCTION("""COMPUTED_VALUE"""),3)</f>
        <v>3</v>
      </c>
      <c r="K138" s="31" t="str">
        <f>IFERROR(__xludf.DUMMYFUNCTION("""COMPUTED_VALUE"""),"CB10992")</f>
        <v>CB10992</v>
      </c>
      <c r="L138" s="31" t="str">
        <f>IFERROR(__xludf.DUMMYFUNCTION("""COMPUTED_VALUE"""),"Mrs.SARANYA N")</f>
        <v>Mrs.SARANYA N</v>
      </c>
      <c r="M138" s="31" t="str">
        <f>IFERROR(__xludf.DUMMYFUNCTION("""COMPUTED_VALUE"""),"saranyanj@bitsathy.ac.in")</f>
        <v>saranyanj@bitsathy.ac.in</v>
      </c>
    </row>
    <row r="139" ht="35.25" customHeight="1" spans="1:13">
      <c r="A139" s="31" t="str">
        <f>IFERROR(__xludf.DUMMYFUNCTION("""COMPUTED_VALUE"""),"CSBS")</f>
        <v>CSBS</v>
      </c>
      <c r="B139" s="31" t="str">
        <f>IFERROR(__xludf.DUMMYFUNCTION("""COMPUTED_VALUE"""),"S6")</f>
        <v>S6</v>
      </c>
      <c r="C139" s="31" t="str">
        <f>IFERROR(__xludf.DUMMYFUNCTION("""COMPUTED_VALUE"""),"CORE")</f>
        <v>CORE</v>
      </c>
      <c r="D139" s="31" t="str">
        <f>IFERROR(__xludf.DUMMYFUNCTION("""COMPUTED_VALUE"""),"22CB603")</f>
        <v>22CB603</v>
      </c>
      <c r="E139" s="98" t="str">
        <f>IFERROR(__xludf.DUMMYFUNCTION("""COMPUTED_VALUE"""),"ARTIFICIAL INTELLIGENCE")</f>
        <v>ARTIFICIAL INTELLIGENCE</v>
      </c>
      <c r="F139" s="31" t="str">
        <f>IFERROR(__xludf.DUMMYFUNCTION("""COMPUTED_VALUE"""),"THEORY WITH LAB")</f>
        <v>THEORY WITH LAB</v>
      </c>
      <c r="G139" s="31">
        <f>IFERROR(__xludf.DUMMYFUNCTION("""COMPUTED_VALUE"""),3)</f>
        <v>3</v>
      </c>
      <c r="H139" s="31">
        <f>IFERROR(__xludf.DUMMYFUNCTION("""COMPUTED_VALUE"""),0)</f>
        <v>0</v>
      </c>
      <c r="I139" s="31">
        <f>IFERROR(__xludf.DUMMYFUNCTION("""COMPUTED_VALUE"""),2)</f>
        <v>2</v>
      </c>
      <c r="J139" s="31">
        <f>IFERROR(__xludf.DUMMYFUNCTION("""COMPUTED_VALUE"""),4)</f>
        <v>4</v>
      </c>
      <c r="K139" s="31" t="str">
        <f>IFERROR(__xludf.DUMMYFUNCTION("""COMPUTED_VALUE"""),"AM10795")</f>
        <v>AM10795</v>
      </c>
      <c r="L139" s="31" t="str">
        <f>IFERROR(__xludf.DUMMYFUNCTION("""COMPUTED_VALUE"""),"Dr.PADMASHREE A")</f>
        <v>Dr.PADMASHREE A</v>
      </c>
      <c r="M139" s="31" t="str">
        <f>IFERROR(__xludf.DUMMYFUNCTION("""COMPUTED_VALUE"""),"padmashreea@bitsathy.ac.in")</f>
        <v>padmashreea@bitsathy.ac.in</v>
      </c>
    </row>
    <row r="140" ht="35.25" customHeight="1" spans="1:13">
      <c r="A140" s="31" t="str">
        <f>IFERROR(__xludf.DUMMYFUNCTION("""COMPUTED_VALUE"""),"CSBS")</f>
        <v>CSBS</v>
      </c>
      <c r="B140" s="31" t="str">
        <f>IFERROR(__xludf.DUMMYFUNCTION("""COMPUTED_VALUE"""),"S6")</f>
        <v>S6</v>
      </c>
      <c r="C140" s="31" t="str">
        <f>IFERROR(__xludf.DUMMYFUNCTION("""COMPUTED_VALUE"""),"CORE")</f>
        <v>CORE</v>
      </c>
      <c r="D140" s="31" t="str">
        <f>IFERROR(__xludf.DUMMYFUNCTION("""COMPUTED_VALUE"""),"22CB604")</f>
        <v>22CB604</v>
      </c>
      <c r="E140" s="98" t="str">
        <f>IFERROR(__xludf.DUMMYFUNCTION("""COMPUTED_VALUE"""),"IT WORKSHOP")</f>
        <v>IT WORKSHOP</v>
      </c>
      <c r="F140" s="31" t="str">
        <f>IFERROR(__xludf.DUMMYFUNCTION("""COMPUTED_VALUE"""),"THEORY")</f>
        <v>THEORY</v>
      </c>
      <c r="G140" s="31">
        <f>IFERROR(__xludf.DUMMYFUNCTION("""COMPUTED_VALUE"""),2)</f>
        <v>2</v>
      </c>
      <c r="H140" s="31">
        <f>IFERROR(__xludf.DUMMYFUNCTION("""COMPUTED_VALUE"""),0)</f>
        <v>0</v>
      </c>
      <c r="I140" s="31">
        <f>IFERROR(__xludf.DUMMYFUNCTION("""COMPUTED_VALUE"""),2)</f>
        <v>2</v>
      </c>
      <c r="J140" s="31">
        <f>IFERROR(__xludf.DUMMYFUNCTION("""COMPUTED_VALUE"""),3)</f>
        <v>3</v>
      </c>
      <c r="K140" s="31" t="str">
        <f>IFERROR(__xludf.DUMMYFUNCTION("""COMPUTED_VALUE"""),"CB10949")</f>
        <v>CB10949</v>
      </c>
      <c r="L140" s="31" t="str">
        <f>IFERROR(__xludf.DUMMYFUNCTION("""COMPUTED_VALUE"""),"Mrs.MADHUMITHA A")</f>
        <v>Mrs.MADHUMITHA A</v>
      </c>
      <c r="M140" s="31" t="str">
        <f>IFERROR(__xludf.DUMMYFUNCTION("""COMPUTED_VALUE"""),"madhumithaa@bitsathy.ac.in")</f>
        <v>madhumithaa@bitsathy.ac.in</v>
      </c>
    </row>
    <row r="141" ht="35.25" customHeight="1" spans="1:13">
      <c r="A141" s="31" t="str">
        <f>IFERROR(__xludf.DUMMYFUNCTION("""COMPUTED_VALUE"""),"CSBS")</f>
        <v>CSBS</v>
      </c>
      <c r="B141" s="31" t="str">
        <f>IFERROR(__xludf.DUMMYFUNCTION("""COMPUTED_VALUE"""),"S6")</f>
        <v>S6</v>
      </c>
      <c r="C141" s="31" t="str">
        <f>IFERROR(__xludf.DUMMYFUNCTION("""COMPUTED_VALUE"""),"CORE")</f>
        <v>CORE</v>
      </c>
      <c r="D141" s="31" t="str">
        <f>IFERROR(__xludf.DUMMYFUNCTION("""COMPUTED_VALUE"""),"22CB604")</f>
        <v>22CB604</v>
      </c>
      <c r="E141" s="98" t="str">
        <f>IFERROR(__xludf.DUMMYFUNCTION("""COMPUTED_VALUE"""),"IT WORKSHOP")</f>
        <v>IT WORKSHOP</v>
      </c>
      <c r="F141" s="31" t="str">
        <f>IFERROR(__xludf.DUMMYFUNCTION("""COMPUTED_VALUE"""),"LAB")</f>
        <v>LAB</v>
      </c>
      <c r="G141" s="31">
        <f>IFERROR(__xludf.DUMMYFUNCTION("""COMPUTED_VALUE"""),2)</f>
        <v>2</v>
      </c>
      <c r="H141" s="31">
        <f>IFERROR(__xludf.DUMMYFUNCTION("""COMPUTED_VALUE"""),0)</f>
        <v>0</v>
      </c>
      <c r="I141" s="31">
        <f>IFERROR(__xludf.DUMMYFUNCTION("""COMPUTED_VALUE"""),2)</f>
        <v>2</v>
      </c>
      <c r="J141" s="31">
        <f>IFERROR(__xludf.DUMMYFUNCTION("""COMPUTED_VALUE"""),3)</f>
        <v>3</v>
      </c>
      <c r="K141" s="31" t="str">
        <f>IFERROR(__xludf.DUMMYFUNCTION("""COMPUTED_VALUE"""),"CB10949")</f>
        <v>CB10949</v>
      </c>
      <c r="L141" s="31" t="str">
        <f>IFERROR(__xludf.DUMMYFUNCTION("""COMPUTED_VALUE"""),"Mrs.MADHUMITHA A")</f>
        <v>Mrs.MADHUMITHA A</v>
      </c>
      <c r="M141" s="31" t="str">
        <f>IFERROR(__xludf.DUMMYFUNCTION("""COMPUTED_VALUE"""),"madhumithaa@bitsathy.ac.in")</f>
        <v>madhumithaa@bitsathy.ac.in</v>
      </c>
    </row>
    <row r="142" ht="35.25" customHeight="1" spans="1:13">
      <c r="A142" s="31" t="str">
        <f>IFERROR(__xludf.DUMMYFUNCTION("""COMPUTED_VALUE"""),"CSBS")</f>
        <v>CSBS</v>
      </c>
      <c r="B142" s="31" t="str">
        <f>IFERROR(__xludf.DUMMYFUNCTION("""COMPUTED_VALUE"""),"S6")</f>
        <v>S6</v>
      </c>
      <c r="C142" s="31" t="str">
        <f>IFERROR(__xludf.DUMMYFUNCTION("""COMPUTED_VALUE"""),"ELECTIVE 3")</f>
        <v>ELECTIVE 3</v>
      </c>
      <c r="D142" s="31" t="str">
        <f>IFERROR(__xludf.DUMMYFUNCTION("""COMPUTED_VALUE"""),"22CB008")</f>
        <v>22CB008</v>
      </c>
      <c r="E142" s="98" t="str">
        <f>IFERROR(__xludf.DUMMYFUNCTION("""COMPUTED_VALUE"""),"MODERN WEB APPLICATIONS")</f>
        <v>MODERN WEB APPLICATIONS</v>
      </c>
      <c r="F142" s="31" t="str">
        <f>IFERROR(__xludf.DUMMYFUNCTION("""COMPUTED_VALUE"""),"THEORY")</f>
        <v>THEORY</v>
      </c>
      <c r="G142" s="31">
        <f>IFERROR(__xludf.DUMMYFUNCTION("""COMPUTED_VALUE"""),3)</f>
        <v>3</v>
      </c>
      <c r="H142" s="31">
        <f>IFERROR(__xludf.DUMMYFUNCTION("""COMPUTED_VALUE"""),0)</f>
        <v>0</v>
      </c>
      <c r="I142" s="31">
        <f>IFERROR(__xludf.DUMMYFUNCTION("""COMPUTED_VALUE"""),0)</f>
        <v>0</v>
      </c>
      <c r="J142" s="31">
        <f>IFERROR(__xludf.DUMMYFUNCTION("""COMPUTED_VALUE"""),3)</f>
        <v>3</v>
      </c>
      <c r="K142" s="31" t="str">
        <f>IFERROR(__xludf.DUMMYFUNCTION("""COMPUTED_VALUE"""),"CB10791")</f>
        <v>CB10791</v>
      </c>
      <c r="L142" s="31" t="str">
        <f>IFERROR(__xludf.DUMMYFUNCTION("""COMPUTED_VALUE"""),"Mr.CHANDRU K S")</f>
        <v>Mr.CHANDRU K S</v>
      </c>
      <c r="M142" s="31" t="str">
        <f>IFERROR(__xludf.DUMMYFUNCTION("""COMPUTED_VALUE"""),"chandruks@bitsathy.ac.in")</f>
        <v>chandruks@bitsathy.ac.in</v>
      </c>
    </row>
    <row r="143" ht="35.25" customHeight="1" spans="1:13">
      <c r="A143" s="31" t="str">
        <f>IFERROR(__xludf.DUMMYFUNCTION("""COMPUTED_VALUE"""),"CSBS")</f>
        <v>CSBS</v>
      </c>
      <c r="B143" s="31" t="str">
        <f>IFERROR(__xludf.DUMMYFUNCTION("""COMPUTED_VALUE"""),"S6")</f>
        <v>S6</v>
      </c>
      <c r="C143" s="31" t="str">
        <f>IFERROR(__xludf.DUMMYFUNCTION("""COMPUTED_VALUE"""),"ELECTIVE 4")</f>
        <v>ELECTIVE 4</v>
      </c>
      <c r="D143" s="31" t="str">
        <f>IFERROR(__xludf.DUMMYFUNCTION("""COMPUTED_VALUE"""),"22CB021")</f>
        <v>22CB021</v>
      </c>
      <c r="E143" s="98" t="str">
        <f>IFERROR(__xludf.DUMMYFUNCTION("""COMPUTED_VALUE"""),"MACHINE LEARNING")</f>
        <v>MACHINE LEARNING</v>
      </c>
      <c r="F143" s="31" t="str">
        <f>IFERROR(__xludf.DUMMYFUNCTION("""COMPUTED_VALUE"""),"THEORY")</f>
        <v>THEORY</v>
      </c>
      <c r="G143" s="31">
        <f>IFERROR(__xludf.DUMMYFUNCTION("""COMPUTED_VALUE"""),3)</f>
        <v>3</v>
      </c>
      <c r="H143" s="31">
        <f>IFERROR(__xludf.DUMMYFUNCTION("""COMPUTED_VALUE"""),0)</f>
        <v>0</v>
      </c>
      <c r="I143" s="31">
        <f>IFERROR(__xludf.DUMMYFUNCTION("""COMPUTED_VALUE"""),0)</f>
        <v>0</v>
      </c>
      <c r="J143" s="31">
        <f>IFERROR(__xludf.DUMMYFUNCTION("""COMPUTED_VALUE"""),3)</f>
        <v>3</v>
      </c>
      <c r="K143" s="31" t="str">
        <f>IFERROR(__xludf.DUMMYFUNCTION("""COMPUTED_VALUE"""),"AD11041")</f>
        <v>AD11041</v>
      </c>
      <c r="L143" s="31" t="str">
        <f>IFERROR(__xludf.DUMMYFUNCTION("""COMPUTED_VALUE"""),"Mrs.ASHFORN HERMINA J M")</f>
        <v>Mrs.ASHFORN HERMINA J M</v>
      </c>
      <c r="M143" s="31" t="str">
        <f>IFERROR(__xludf.DUMMYFUNCTION("""COMPUTED_VALUE"""),"ashfornherminajm@bitsathy.ac.in")</f>
        <v>ashfornherminajm@bitsathy.ac.in</v>
      </c>
    </row>
    <row r="144" ht="35.25" customHeight="1" spans="1:13">
      <c r="A144" s="31" t="str">
        <f>IFERROR(__xludf.DUMMYFUNCTION("""COMPUTED_VALUE"""),"CSBS")</f>
        <v>CSBS</v>
      </c>
      <c r="B144" s="31" t="str">
        <f>IFERROR(__xludf.DUMMYFUNCTION("""COMPUTED_VALUE"""),"S6")</f>
        <v>S6</v>
      </c>
      <c r="C144" s="31" t="str">
        <f>IFERROR(__xludf.DUMMYFUNCTION("""COMPUTED_VALUE"""),"ELECTIVE 5")</f>
        <v>ELECTIVE 5</v>
      </c>
      <c r="D144" s="31" t="str">
        <f>IFERROR(__xludf.DUMMYFUNCTION("""COMPUTED_VALUE"""),"22CB028")</f>
        <v>22CB028</v>
      </c>
      <c r="E144" s="98" t="str">
        <f>IFERROR(__xludf.DUMMYFUNCTION("""COMPUTED_VALUE"""),"FINANCIAL MANAGEMENT")</f>
        <v>FINANCIAL MANAGEMENT</v>
      </c>
      <c r="F144" s="31" t="str">
        <f>IFERROR(__xludf.DUMMYFUNCTION("""COMPUTED_VALUE"""),"THEORY")</f>
        <v>THEORY</v>
      </c>
      <c r="G144" s="31">
        <f>IFERROR(__xludf.DUMMYFUNCTION("""COMPUTED_VALUE"""),3)</f>
        <v>3</v>
      </c>
      <c r="H144" s="31">
        <f>IFERROR(__xludf.DUMMYFUNCTION("""COMPUTED_VALUE"""),0)</f>
        <v>0</v>
      </c>
      <c r="I144" s="31">
        <f>IFERROR(__xludf.DUMMYFUNCTION("""COMPUTED_VALUE"""),0)</f>
        <v>0</v>
      </c>
      <c r="J144" s="31">
        <f>IFERROR(__xludf.DUMMYFUNCTION("""COMPUTED_VALUE"""),3)</f>
        <v>3</v>
      </c>
      <c r="K144" s="31" t="str">
        <f>IFERROR(__xludf.DUMMYFUNCTION("""COMPUTED_VALUE"""),"SM11118")</f>
        <v>SM11118</v>
      </c>
      <c r="L144" s="31" t="str">
        <f>IFERROR(__xludf.DUMMYFUNCTION("""COMPUTED_VALUE"""),"Mrs.AISHWARIYA M R")</f>
        <v>Mrs.AISHWARIYA M R</v>
      </c>
      <c r="M144" s="31" t="str">
        <f>IFERROR(__xludf.DUMMYFUNCTION("""COMPUTED_VALUE"""),"aishwariya@bitsathy.ac.in")</f>
        <v>aishwariya@bitsathy.ac.in</v>
      </c>
    </row>
    <row r="145" ht="35.25" customHeight="1" spans="1:13">
      <c r="A145" s="31" t="str">
        <f>IFERROR(__xludf.DUMMYFUNCTION("""COMPUTED_VALUE"""),"CSBS")</f>
        <v>CSBS</v>
      </c>
      <c r="B145" s="31" t="str">
        <f>IFERROR(__xludf.DUMMYFUNCTION("""COMPUTED_VALUE"""),"S6")</f>
        <v>S6</v>
      </c>
      <c r="C145" s="31" t="str">
        <f>IFERROR(__xludf.DUMMYFUNCTION("""COMPUTED_VALUE"""),"ADD COURSE")</f>
        <v>ADD COURSE</v>
      </c>
      <c r="D145" s="31" t="str">
        <f>IFERROR(__xludf.DUMMYFUNCTION("""COMPUTED_VALUE"""),"22CB030")</f>
        <v>22CB030</v>
      </c>
      <c r="E145" s="98" t="str">
        <f>IFERROR(__xludf.DUMMYFUNCTION("""COMPUTED_VALUE"""),"IT PROJECT MANAGEMENT")</f>
        <v>IT PROJECT MANAGEMENT</v>
      </c>
      <c r="F145" s="31" t="str">
        <f>IFERROR(__xludf.DUMMYFUNCTION("""COMPUTED_VALUE"""),"THEORY")</f>
        <v>THEORY</v>
      </c>
      <c r="G145" s="31">
        <f>IFERROR(__xludf.DUMMYFUNCTION("""COMPUTED_VALUE"""),3)</f>
        <v>3</v>
      </c>
      <c r="H145" s="31">
        <f>IFERROR(__xludf.DUMMYFUNCTION("""COMPUTED_VALUE"""),0)</f>
        <v>0</v>
      </c>
      <c r="I145" s="31">
        <f>IFERROR(__xludf.DUMMYFUNCTION("""COMPUTED_VALUE"""),0)</f>
        <v>0</v>
      </c>
      <c r="J145" s="31">
        <f>IFERROR(__xludf.DUMMYFUNCTION("""COMPUTED_VALUE"""),3)</f>
        <v>3</v>
      </c>
      <c r="K145" s="31" t="str">
        <f>IFERROR(__xludf.DUMMYFUNCTION("""COMPUTED_VALUE"""),"AM11113")</f>
        <v>AM11113</v>
      </c>
      <c r="L145" s="31" t="str">
        <f>IFERROR(__xludf.DUMMYFUNCTION("""COMPUTED_VALUE"""),"Mrs.LOKESWARI P")</f>
        <v>Mrs.LOKESWARI P</v>
      </c>
      <c r="M145" s="31" t="str">
        <f>IFERROR(__xludf.DUMMYFUNCTION("""COMPUTED_VALUE"""),"lokeswari@bitsathy.ac.in")</f>
        <v>lokeswari@bitsathy.ac.in</v>
      </c>
    </row>
    <row r="146" ht="35.25" customHeight="1" spans="1:13">
      <c r="A146" s="31" t="str">
        <f>IFERROR(__xludf.DUMMYFUNCTION("""COMPUTED_VALUE"""),"CSBS")</f>
        <v>CSBS</v>
      </c>
      <c r="B146" s="31" t="str">
        <f>IFERROR(__xludf.DUMMYFUNCTION("""COMPUTED_VALUE"""),"S6")</f>
        <v>S6</v>
      </c>
      <c r="C146" s="31" t="str">
        <f>IFERROR(__xludf.DUMMYFUNCTION("""COMPUTED_VALUE"""),"MINI PROJECT")</f>
        <v>MINI PROJECT</v>
      </c>
      <c r="D146" s="31" t="str">
        <f>IFERROR(__xludf.DUMMYFUNCTION("""COMPUTED_VALUE"""),"22CB608")</f>
        <v>22CB608</v>
      </c>
      <c r="E146" s="98" t="str">
        <f>IFERROR(__xludf.DUMMYFUNCTION("""COMPUTED_VALUE"""),"MINI PROJECT II")</f>
        <v>MINI PROJECT II</v>
      </c>
      <c r="F146" s="31" t="str">
        <f>IFERROR(__xludf.DUMMYFUNCTION("""COMPUTED_VALUE"""),"LAB")</f>
        <v>LAB</v>
      </c>
      <c r="G146" s="31">
        <f>IFERROR(__xludf.DUMMYFUNCTION("""COMPUTED_VALUE"""),0)</f>
        <v>0</v>
      </c>
      <c r="H146" s="31">
        <f>IFERROR(__xludf.DUMMYFUNCTION("""COMPUTED_VALUE"""),0)</f>
        <v>0</v>
      </c>
      <c r="I146" s="31">
        <f>IFERROR(__xludf.DUMMYFUNCTION("""COMPUTED_VALUE"""),2)</f>
        <v>2</v>
      </c>
      <c r="J146" s="31">
        <f>IFERROR(__xludf.DUMMYFUNCTION("""COMPUTED_VALUE"""),1)</f>
        <v>1</v>
      </c>
      <c r="K146" s="31"/>
      <c r="L146" s="31"/>
      <c r="M146" s="31"/>
    </row>
    <row r="147" ht="35.25" customHeight="1" spans="1:13">
      <c r="A147" s="31" t="str">
        <f>IFERROR(__xludf.DUMMYFUNCTION("""COMPUTED_VALUE"""),"CSD")</f>
        <v>CSD</v>
      </c>
      <c r="B147" s="31" t="str">
        <f>IFERROR(__xludf.DUMMYFUNCTION("""COMPUTED_VALUE"""),"S6")</f>
        <v>S6</v>
      </c>
      <c r="C147" s="31" t="str">
        <f>IFERROR(__xludf.DUMMYFUNCTION("""COMPUTED_VALUE"""),"CORE")</f>
        <v>CORE</v>
      </c>
      <c r="D147" s="31" t="str">
        <f>IFERROR(__xludf.DUMMYFUNCTION("""COMPUTED_VALUE"""),"22CD601")</f>
        <v>22CD601</v>
      </c>
      <c r="E147" s="98" t="str">
        <f>IFERROR(__xludf.DUMMYFUNCTION("""COMPUTED_VALUE"""),"FOUNDATIONS OF ARTIFICIAL INTELLIGENCE")</f>
        <v>FOUNDATIONS OF ARTIFICIAL INTELLIGENCE</v>
      </c>
      <c r="F147" s="31" t="str">
        <f>IFERROR(__xludf.DUMMYFUNCTION("""COMPUTED_VALUE"""),"THEORY WITH LAB")</f>
        <v>THEORY WITH LAB</v>
      </c>
      <c r="G147" s="31">
        <f>IFERROR(__xludf.DUMMYFUNCTION("""COMPUTED_VALUE"""),3)</f>
        <v>3</v>
      </c>
      <c r="H147" s="31">
        <f>IFERROR(__xludf.DUMMYFUNCTION("""COMPUTED_VALUE"""),0)</f>
        <v>0</v>
      </c>
      <c r="I147" s="31">
        <f>IFERROR(__xludf.DUMMYFUNCTION("""COMPUTED_VALUE"""),2)</f>
        <v>2</v>
      </c>
      <c r="J147" s="31">
        <f>IFERROR(__xludf.DUMMYFUNCTION("""COMPUTED_VALUE"""),4)</f>
        <v>4</v>
      </c>
      <c r="K147" s="31" t="str">
        <f>IFERROR(__xludf.DUMMYFUNCTION("""COMPUTED_VALUE"""),"CS10820")</f>
        <v>CS10820</v>
      </c>
      <c r="L147" s="31" t="str">
        <f>IFERROR(__xludf.DUMMYFUNCTION("""COMPUTED_VALUE"""),"Dr.RAJESH KANNA P")</f>
        <v>Dr.RAJESH KANNA P</v>
      </c>
      <c r="M147" s="31" t="str">
        <f>IFERROR(__xludf.DUMMYFUNCTION("""COMPUTED_VALUE"""),"rajeshkannap@bitsathy.ac.in")</f>
        <v>rajeshkannap@bitsathy.ac.in</v>
      </c>
    </row>
    <row r="148" ht="35.25" customHeight="1" spans="1:13">
      <c r="A148" s="31" t="str">
        <f>IFERROR(__xludf.DUMMYFUNCTION("""COMPUTED_VALUE"""),"CSD")</f>
        <v>CSD</v>
      </c>
      <c r="B148" s="31" t="str">
        <f>IFERROR(__xludf.DUMMYFUNCTION("""COMPUTED_VALUE"""),"S6")</f>
        <v>S6</v>
      </c>
      <c r="C148" s="31" t="str">
        <f>IFERROR(__xludf.DUMMYFUNCTION("""COMPUTED_VALUE"""),"CORE")</f>
        <v>CORE</v>
      </c>
      <c r="D148" s="31" t="str">
        <f>IFERROR(__xludf.DUMMYFUNCTION("""COMPUTED_VALUE"""),"22CD602")</f>
        <v>22CD602</v>
      </c>
      <c r="E148" s="98" t="str">
        <f>IFERROR(__xludf.DUMMYFUNCTION("""COMPUTED_VALUE"""),"PRINCIPLES OF COMPILER DESIGN")</f>
        <v>PRINCIPLES OF COMPILER DESIGN</v>
      </c>
      <c r="F148" s="31" t="str">
        <f>IFERROR(__xludf.DUMMYFUNCTION("""COMPUTED_VALUE"""),"THEORY")</f>
        <v>THEORY</v>
      </c>
      <c r="G148" s="31">
        <f>IFERROR(__xludf.DUMMYFUNCTION("""COMPUTED_VALUE"""),3)</f>
        <v>3</v>
      </c>
      <c r="H148" s="31">
        <f>IFERROR(__xludf.DUMMYFUNCTION("""COMPUTED_VALUE"""),1)</f>
        <v>1</v>
      </c>
      <c r="I148" s="31">
        <f>IFERROR(__xludf.DUMMYFUNCTION("""COMPUTED_VALUE"""),0)</f>
        <v>0</v>
      </c>
      <c r="J148" s="31">
        <f>IFERROR(__xludf.DUMMYFUNCTION("""COMPUTED_VALUE"""),4)</f>
        <v>4</v>
      </c>
      <c r="K148" s="31" t="str">
        <f>IFERROR(__xludf.DUMMYFUNCTION("""COMPUTED_VALUE"""),"CD11179")</f>
        <v>CD11179</v>
      </c>
      <c r="L148" s="31" t="str">
        <f>IFERROR(__xludf.DUMMYFUNCTION("""COMPUTED_VALUE"""),"Mrs.SUBHASHREE P")</f>
        <v>Mrs.SUBHASHREE P</v>
      </c>
      <c r="M148" s="31" t="str">
        <f>IFERROR(__xludf.DUMMYFUNCTION("""COMPUTED_VALUE"""),"subhashreep@bitsathy.ac.in")</f>
        <v>subhashreep@bitsathy.ac.in</v>
      </c>
    </row>
    <row r="149" ht="35.25" customHeight="1" spans="1:13">
      <c r="A149" s="31" t="str">
        <f>IFERROR(__xludf.DUMMYFUNCTION("""COMPUTED_VALUE"""),"CSD")</f>
        <v>CSD</v>
      </c>
      <c r="B149" s="31" t="str">
        <f>IFERROR(__xludf.DUMMYFUNCTION("""COMPUTED_VALUE"""),"S6")</f>
        <v>S6</v>
      </c>
      <c r="C149" s="31" t="str">
        <f>IFERROR(__xludf.DUMMYFUNCTION("""COMPUTED_VALUE"""),"CORE")</f>
        <v>CORE</v>
      </c>
      <c r="D149" s="31" t="str">
        <f>IFERROR(__xludf.DUMMYFUNCTION("""COMPUTED_VALUE"""),"22CD603")</f>
        <v>22CD603</v>
      </c>
      <c r="E149" s="98" t="str">
        <f>IFERROR(__xludf.DUMMYFUNCTION("""COMPUTED_VALUE"""),"HUMAN COMPUTER INTERACTION")</f>
        <v>HUMAN COMPUTER INTERACTION</v>
      </c>
      <c r="F149" s="31" t="str">
        <f>IFERROR(__xludf.DUMMYFUNCTION("""COMPUTED_VALUE"""),"THEORY")</f>
        <v>THEORY</v>
      </c>
      <c r="G149" s="31">
        <f>IFERROR(__xludf.DUMMYFUNCTION("""COMPUTED_VALUE"""),3)</f>
        <v>3</v>
      </c>
      <c r="H149" s="31">
        <f>IFERROR(__xludf.DUMMYFUNCTION("""COMPUTED_VALUE"""),0)</f>
        <v>0</v>
      </c>
      <c r="I149" s="31">
        <f>IFERROR(__xludf.DUMMYFUNCTION("""COMPUTED_VALUE"""),0)</f>
        <v>0</v>
      </c>
      <c r="J149" s="31">
        <f>IFERROR(__xludf.DUMMYFUNCTION("""COMPUTED_VALUE"""),3)</f>
        <v>3</v>
      </c>
      <c r="K149" s="31" t="str">
        <f>IFERROR(__xludf.DUMMYFUNCTION("""COMPUTED_VALUE"""),"CD11061")</f>
        <v>CD11061</v>
      </c>
      <c r="L149" s="31" t="str">
        <f>IFERROR(__xludf.DUMMYFUNCTION("""COMPUTED_VALUE"""),"Mrs PREETHIMATHI L")</f>
        <v>Mrs PREETHIMATHI L</v>
      </c>
      <c r="M149" s="31" t="str">
        <f>IFERROR(__xludf.DUMMYFUNCTION("""COMPUTED_VALUE"""),"preethimathi@bitsathy.ac.in")</f>
        <v>preethimathi@bitsathy.ac.in</v>
      </c>
    </row>
    <row r="150" ht="35.25" customHeight="1" spans="1:13">
      <c r="A150" s="31" t="str">
        <f>IFERROR(__xludf.DUMMYFUNCTION("""COMPUTED_VALUE"""),"CSD")</f>
        <v>CSD</v>
      </c>
      <c r="B150" s="31" t="str">
        <f>IFERROR(__xludf.DUMMYFUNCTION("""COMPUTED_VALUE"""),"S6")</f>
        <v>S6</v>
      </c>
      <c r="C150" s="31" t="str">
        <f>IFERROR(__xludf.DUMMYFUNCTION("""COMPUTED_VALUE"""),"ELECTIVE 3")</f>
        <v>ELECTIVE 3</v>
      </c>
      <c r="D150" s="31" t="str">
        <f>IFERROR(__xludf.DUMMYFUNCTION("""COMPUTED_VALUE"""),"22CD023")</f>
        <v>22CD023</v>
      </c>
      <c r="E150" s="98" t="str">
        <f>IFERROR(__xludf.DUMMYFUNCTION("""COMPUTED_VALUE"""),"DIGITAL MARKETING")</f>
        <v>DIGITAL MARKETING</v>
      </c>
      <c r="F150" s="31" t="str">
        <f>IFERROR(__xludf.DUMMYFUNCTION("""COMPUTED_VALUE"""),"THEORY")</f>
        <v>THEORY</v>
      </c>
      <c r="G150" s="31">
        <f>IFERROR(__xludf.DUMMYFUNCTION("""COMPUTED_VALUE"""),3)</f>
        <v>3</v>
      </c>
      <c r="H150" s="31">
        <f>IFERROR(__xludf.DUMMYFUNCTION("""COMPUTED_VALUE"""),0)</f>
        <v>0</v>
      </c>
      <c r="I150" s="31">
        <f>IFERROR(__xludf.DUMMYFUNCTION("""COMPUTED_VALUE"""),0)</f>
        <v>0</v>
      </c>
      <c r="J150" s="31">
        <f>IFERROR(__xludf.DUMMYFUNCTION("""COMPUTED_VALUE"""),3)</f>
        <v>3</v>
      </c>
      <c r="K150" s="31" t="str">
        <f>IFERROR(__xludf.DUMMYFUNCTION("""COMPUTED_VALUE"""),"AD11116")</f>
        <v>AD11116</v>
      </c>
      <c r="L150" s="31" t="str">
        <f>IFERROR(__xludf.DUMMYFUNCTION("""COMPUTED_VALUE"""),"Ms.PRIYADHARSHNI S")</f>
        <v>Ms.PRIYADHARSHNI S</v>
      </c>
      <c r="M150" s="31" t="str">
        <f>IFERROR(__xludf.DUMMYFUNCTION("""COMPUTED_VALUE"""),"priyadharshni@bitsathy.ac.in")</f>
        <v>priyadharshni@bitsathy.ac.in</v>
      </c>
    </row>
    <row r="151" ht="35.25" customHeight="1" spans="1:13">
      <c r="A151" s="31" t="str">
        <f>IFERROR(__xludf.DUMMYFUNCTION("""COMPUTED_VALUE"""),"CSD")</f>
        <v>CSD</v>
      </c>
      <c r="B151" s="31" t="str">
        <f>IFERROR(__xludf.DUMMYFUNCTION("""COMPUTED_VALUE"""),"S6")</f>
        <v>S6</v>
      </c>
      <c r="C151" s="31" t="str">
        <f>IFERROR(__xludf.DUMMYFUNCTION("""COMPUTED_VALUE"""),"ELECTIVE 4")</f>
        <v>ELECTIVE 4</v>
      </c>
      <c r="D151" s="31" t="str">
        <f>IFERROR(__xludf.DUMMYFUNCTION("""COMPUTED_VALUE"""),"22CD019")</f>
        <v>22CD019</v>
      </c>
      <c r="E151" s="98" t="str">
        <f>IFERROR(__xludf.DUMMYFUNCTION("""COMPUTED_VALUE"""),"MULTIMEDIA AND ANIMATION")</f>
        <v>MULTIMEDIA AND ANIMATION</v>
      </c>
      <c r="F151" s="31" t="str">
        <f>IFERROR(__xludf.DUMMYFUNCTION("""COMPUTED_VALUE"""),"THEORY WITH LAB")</f>
        <v>THEORY WITH LAB</v>
      </c>
      <c r="G151" s="31">
        <f>IFERROR(__xludf.DUMMYFUNCTION("""COMPUTED_VALUE"""),2)</f>
        <v>2</v>
      </c>
      <c r="H151" s="31">
        <f>IFERROR(__xludf.DUMMYFUNCTION("""COMPUTED_VALUE"""),0)</f>
        <v>0</v>
      </c>
      <c r="I151" s="31">
        <f>IFERROR(__xludf.DUMMYFUNCTION("""COMPUTED_VALUE"""),2)</f>
        <v>2</v>
      </c>
      <c r="J151" s="31">
        <f>IFERROR(__xludf.DUMMYFUNCTION("""COMPUTED_VALUE"""),3)</f>
        <v>3</v>
      </c>
      <c r="K151" s="31" t="str">
        <f>IFERROR(__xludf.DUMMYFUNCTION("""COMPUTED_VALUE"""),"CD11174")</f>
        <v>CD11174</v>
      </c>
      <c r="L151" s="31" t="str">
        <f>IFERROR(__xludf.DUMMYFUNCTION("""COMPUTED_VALUE"""),"Ms.KIRUTHIKA S")</f>
        <v>Ms.KIRUTHIKA S</v>
      </c>
      <c r="M151" s="31" t="str">
        <f>IFERROR(__xludf.DUMMYFUNCTION("""COMPUTED_VALUE"""),"kiruthikas@bitsathy.ac.in")</f>
        <v>kiruthikas@bitsathy.ac.in</v>
      </c>
    </row>
    <row r="152" ht="35.25" customHeight="1" spans="1:13">
      <c r="A152" s="31" t="str">
        <f>IFERROR(__xludf.DUMMYFUNCTION("""COMPUTED_VALUE"""),"CSD")</f>
        <v>CSD</v>
      </c>
      <c r="B152" s="31" t="str">
        <f>IFERROR(__xludf.DUMMYFUNCTION("""COMPUTED_VALUE"""),"S6")</f>
        <v>S6</v>
      </c>
      <c r="C152" s="31" t="str">
        <f>IFERROR(__xludf.DUMMYFUNCTION("""COMPUTED_VALUE"""),"ELECTIVE 5")</f>
        <v>ELECTIVE 5</v>
      </c>
      <c r="D152" s="31" t="str">
        <f>IFERROR(__xludf.DUMMYFUNCTION("""COMPUTED_VALUE"""),"22CD014")</f>
        <v>22CD014</v>
      </c>
      <c r="E152" s="98" t="str">
        <f>IFERROR(__xludf.DUMMYFUNCTION("""COMPUTED_VALUE"""),"CLOUD SERVICES AND DATA MANAGEMENT")</f>
        <v>CLOUD SERVICES AND DATA MANAGEMENT</v>
      </c>
      <c r="F152" s="31" t="str">
        <f>IFERROR(__xludf.DUMMYFUNCTION("""COMPUTED_VALUE"""),"THEORY")</f>
        <v>THEORY</v>
      </c>
      <c r="G152" s="31">
        <f>IFERROR(__xludf.DUMMYFUNCTION("""COMPUTED_VALUE"""),3)</f>
        <v>3</v>
      </c>
      <c r="H152" s="31">
        <f>IFERROR(__xludf.DUMMYFUNCTION("""COMPUTED_VALUE"""),0)</f>
        <v>0</v>
      </c>
      <c r="I152" s="31">
        <f>IFERROR(__xludf.DUMMYFUNCTION("""COMPUTED_VALUE"""),0)</f>
        <v>0</v>
      </c>
      <c r="J152" s="31">
        <f>IFERROR(__xludf.DUMMYFUNCTION("""COMPUTED_VALUE"""),3)</f>
        <v>3</v>
      </c>
      <c r="K152" s="31" t="str">
        <f>IFERROR(__xludf.DUMMYFUNCTION("""COMPUTED_VALUE"""),"CS10974")</f>
        <v>CS10974</v>
      </c>
      <c r="L152" s="31" t="str">
        <f>IFERROR(__xludf.DUMMYFUNCTION("""COMPUTED_VALUE"""),"Mr.STEEPHAN AMALRAJ J")</f>
        <v>Mr.STEEPHAN AMALRAJ J</v>
      </c>
      <c r="M152" s="31" t="str">
        <f>IFERROR(__xludf.DUMMYFUNCTION("""COMPUTED_VALUE"""),"steephanamalrajj@bitsathy.ac.in")</f>
        <v>steephanamalrajj@bitsathy.ac.in</v>
      </c>
    </row>
    <row r="153" ht="35.25" customHeight="1" spans="1:13">
      <c r="A153" s="31" t="str">
        <f>IFERROR(__xludf.DUMMYFUNCTION("""COMPUTED_VALUE"""),"CSD")</f>
        <v>CSD</v>
      </c>
      <c r="B153" s="31" t="str">
        <f>IFERROR(__xludf.DUMMYFUNCTION("""COMPUTED_VALUE"""),"S6")</f>
        <v>S6</v>
      </c>
      <c r="C153" s="31" t="str">
        <f>IFERROR(__xludf.DUMMYFUNCTION("""COMPUTED_VALUE"""),"ADD COURSE")</f>
        <v>ADD COURSE</v>
      </c>
      <c r="D153" s="31" t="str">
        <f>IFERROR(__xludf.DUMMYFUNCTION("""COMPUTED_VALUE"""),"22CD022")</f>
        <v>22CD022</v>
      </c>
      <c r="E153" s="98" t="str">
        <f>IFERROR(__xludf.DUMMYFUNCTION("""COMPUTED_VALUE"""),"VIDEO CREATION AND EDITING")</f>
        <v>VIDEO CREATION AND EDITING</v>
      </c>
      <c r="F153" s="31" t="str">
        <f>IFERROR(__xludf.DUMMYFUNCTION("""COMPUTED_VALUE"""),"THEORY WITH LAB")</f>
        <v>THEORY WITH LAB</v>
      </c>
      <c r="G153" s="31">
        <f>IFERROR(__xludf.DUMMYFUNCTION("""COMPUTED_VALUE"""),2)</f>
        <v>2</v>
      </c>
      <c r="H153" s="31">
        <f>IFERROR(__xludf.DUMMYFUNCTION("""COMPUTED_VALUE"""),0)</f>
        <v>0</v>
      </c>
      <c r="I153" s="31">
        <f>IFERROR(__xludf.DUMMYFUNCTION("""COMPUTED_VALUE"""),2)</f>
        <v>2</v>
      </c>
      <c r="J153" s="31">
        <f>IFERROR(__xludf.DUMMYFUNCTION("""COMPUTED_VALUE"""),3)</f>
        <v>3</v>
      </c>
      <c r="K153" s="31" t="str">
        <f>IFERROR(__xludf.DUMMYFUNCTION("""COMPUTED_VALUE"""),"AM11113")</f>
        <v>AM11113</v>
      </c>
      <c r="L153" s="31" t="str">
        <f>IFERROR(__xludf.DUMMYFUNCTION("""COMPUTED_VALUE"""),"Mrs.LOKESWARI P")</f>
        <v>Mrs.LOKESWARI P</v>
      </c>
      <c r="M153" s="31" t="str">
        <f>IFERROR(__xludf.DUMMYFUNCTION("""COMPUTED_VALUE"""),"lokeswari@bitsathy.ac.in")</f>
        <v>lokeswari@bitsathy.ac.in</v>
      </c>
    </row>
    <row r="154" ht="35.25" customHeight="1" spans="1:13">
      <c r="A154" s="31" t="str">
        <f>IFERROR(__xludf.DUMMYFUNCTION("""COMPUTED_VALUE"""),"CSD")</f>
        <v>CSD</v>
      </c>
      <c r="B154" s="31" t="str">
        <f>IFERROR(__xludf.DUMMYFUNCTION("""COMPUTED_VALUE"""),"S6")</f>
        <v>S6</v>
      </c>
      <c r="C154" s="31" t="str">
        <f>IFERROR(__xludf.DUMMYFUNCTION("""COMPUTED_VALUE"""),"HONOURS")</f>
        <v>HONOURS</v>
      </c>
      <c r="D154" s="31" t="str">
        <f>IFERROR(__xludf.DUMMYFUNCTION("""COMPUTED_VALUE"""),"22CDH31")</f>
        <v>22CDH31</v>
      </c>
      <c r="E154" s="98" t="str">
        <f>IFERROR(__xludf.DUMMYFUNCTION("""COMPUTED_VALUE"""),"METAVERSE")</f>
        <v>METAVERSE</v>
      </c>
      <c r="F154" s="31" t="str">
        <f>IFERROR(__xludf.DUMMYFUNCTION("""COMPUTED_VALUE"""),"THEORY WITH LAB")</f>
        <v>THEORY WITH LAB</v>
      </c>
      <c r="G154" s="31">
        <f>IFERROR(__xludf.DUMMYFUNCTION("""COMPUTED_VALUE"""),2)</f>
        <v>2</v>
      </c>
      <c r="H154" s="31">
        <f>IFERROR(__xludf.DUMMYFUNCTION("""COMPUTED_VALUE"""),0)</f>
        <v>0</v>
      </c>
      <c r="I154" s="31">
        <f>IFERROR(__xludf.DUMMYFUNCTION("""COMPUTED_VALUE"""),2)</f>
        <v>2</v>
      </c>
      <c r="J154" s="31">
        <f>IFERROR(__xludf.DUMMYFUNCTION("""COMPUTED_VALUE"""),3)</f>
        <v>3</v>
      </c>
      <c r="K154" s="31" t="str">
        <f>IFERROR(__xludf.DUMMYFUNCTION("""COMPUTED_VALUE"""),"AD11111")</f>
        <v>AD11111</v>
      </c>
      <c r="L154" s="31" t="str">
        <f>IFERROR(__xludf.DUMMYFUNCTION("""COMPUTED_VALUE"""),"Ms.SURIYA V")</f>
        <v>Ms.SURIYA V</v>
      </c>
      <c r="M154" s="31" t="str">
        <f>IFERROR(__xludf.DUMMYFUNCTION("""COMPUTED_VALUE"""),"suriya@bitsathy.ac.in")</f>
        <v>suriya@bitsathy.ac.in</v>
      </c>
    </row>
    <row r="155" ht="35.25" customHeight="1" spans="1:13">
      <c r="A155" s="31" t="str">
        <f>IFERROR(__xludf.DUMMYFUNCTION("""COMPUTED_VALUE"""),"CSD")</f>
        <v>CSD</v>
      </c>
      <c r="B155" s="31" t="str">
        <f>IFERROR(__xludf.DUMMYFUNCTION("""COMPUTED_VALUE"""),"S6")</f>
        <v>S6</v>
      </c>
      <c r="C155" s="31" t="str">
        <f>IFERROR(__xludf.DUMMYFUNCTION("""COMPUTED_VALUE"""),"HONOURS")</f>
        <v>HONOURS</v>
      </c>
      <c r="D155" s="31" t="str">
        <f>IFERROR(__xludf.DUMMYFUNCTION("""COMPUTED_VALUE"""),"22CDH32")</f>
        <v>22CDH32</v>
      </c>
      <c r="E155" s="98" t="str">
        <f>IFERROR(__xludf.DUMMYFUNCTION("""COMPUTED_VALUE"""),"IMAGE AND VIDEO ANALYTICS")</f>
        <v>IMAGE AND VIDEO ANALYTICS</v>
      </c>
      <c r="F155" s="31" t="str">
        <f>IFERROR(__xludf.DUMMYFUNCTION("""COMPUTED_VALUE"""),"THEORY")</f>
        <v>THEORY</v>
      </c>
      <c r="G155" s="31">
        <f>IFERROR(__xludf.DUMMYFUNCTION("""COMPUTED_VALUE"""),3)</f>
        <v>3</v>
      </c>
      <c r="H155" s="31">
        <f>IFERROR(__xludf.DUMMYFUNCTION("""COMPUTED_VALUE"""),0)</f>
        <v>0</v>
      </c>
      <c r="I155" s="31">
        <f>IFERROR(__xludf.DUMMYFUNCTION("""COMPUTED_VALUE"""),0)</f>
        <v>0</v>
      </c>
      <c r="J155" s="31">
        <f>IFERROR(__xludf.DUMMYFUNCTION("""COMPUTED_VALUE"""),3)</f>
        <v>3</v>
      </c>
      <c r="K155" s="31" t="str">
        <f>IFERROR(__xludf.DUMMYFUNCTION("""COMPUTED_VALUE"""),"CS10820")</f>
        <v>CS10820</v>
      </c>
      <c r="L155" s="31" t="str">
        <f>IFERROR(__xludf.DUMMYFUNCTION("""COMPUTED_VALUE"""),"Dr.RAJESH KANNA P")</f>
        <v>Dr.RAJESH KANNA P</v>
      </c>
      <c r="M155" s="31" t="str">
        <f>IFERROR(__xludf.DUMMYFUNCTION("""COMPUTED_VALUE"""),"rajeshkannap@bitsathy.ac.in")</f>
        <v>rajeshkannap@bitsathy.ac.in</v>
      </c>
    </row>
    <row r="156" ht="35.25" customHeight="1" spans="1:13">
      <c r="A156" s="31" t="str">
        <f>IFERROR(__xludf.DUMMYFUNCTION("""COMPUTED_VALUE"""),"CSD")</f>
        <v>CSD</v>
      </c>
      <c r="B156" s="31" t="str">
        <f>IFERROR(__xludf.DUMMYFUNCTION("""COMPUTED_VALUE"""),"S6")</f>
        <v>S6</v>
      </c>
      <c r="C156" s="31" t="str">
        <f>IFERROR(__xludf.DUMMYFUNCTION("""COMPUTED_VALUE"""),"MINI PROJECT")</f>
        <v>MINI PROJECT</v>
      </c>
      <c r="D156" s="31" t="str">
        <f>IFERROR(__xludf.DUMMYFUNCTION("""COMPUTED_VALUE"""),"22CD607")</f>
        <v>22CD607</v>
      </c>
      <c r="E156" s="98" t="str">
        <f>IFERROR(__xludf.DUMMYFUNCTION("""COMPUTED_VALUE"""),"MINI PROJECT II")</f>
        <v>MINI PROJECT II</v>
      </c>
      <c r="F156" s="31" t="str">
        <f>IFERROR(__xludf.DUMMYFUNCTION("""COMPUTED_VALUE"""),"LAB")</f>
        <v>LAB</v>
      </c>
      <c r="G156" s="31">
        <f>IFERROR(__xludf.DUMMYFUNCTION("""COMPUTED_VALUE"""),0)</f>
        <v>0</v>
      </c>
      <c r="H156" s="31">
        <f>IFERROR(__xludf.DUMMYFUNCTION("""COMPUTED_VALUE"""),0)</f>
        <v>0</v>
      </c>
      <c r="I156" s="31">
        <f>IFERROR(__xludf.DUMMYFUNCTION("""COMPUTED_VALUE"""),2)</f>
        <v>2</v>
      </c>
      <c r="J156" s="31">
        <f>IFERROR(__xludf.DUMMYFUNCTION("""COMPUTED_VALUE"""),1)</f>
        <v>1</v>
      </c>
      <c r="K156" s="31"/>
      <c r="L156" s="31"/>
      <c r="M156" s="31"/>
    </row>
    <row r="157" ht="35.25" customHeight="1" spans="1:13">
      <c r="A157" s="31" t="str">
        <f>IFERROR(__xludf.DUMMYFUNCTION("""COMPUTED_VALUE"""),"CT")</f>
        <v>CT</v>
      </c>
      <c r="B157" s="31" t="str">
        <f>IFERROR(__xludf.DUMMYFUNCTION("""COMPUTED_VALUE"""),"S6")</f>
        <v>S6</v>
      </c>
      <c r="C157" s="31" t="str">
        <f>IFERROR(__xludf.DUMMYFUNCTION("""COMPUTED_VALUE"""),"CORE")</f>
        <v>CORE</v>
      </c>
      <c r="D157" s="31" t="str">
        <f>IFERROR(__xludf.DUMMYFUNCTION("""COMPUTED_VALUE"""),"22CT601")</f>
        <v>22CT601</v>
      </c>
      <c r="E157" s="98" t="str">
        <f>IFERROR(__xludf.DUMMYFUNCTION("""COMPUTED_VALUE"""),"DISTRIBUTED COMPUTING")</f>
        <v>DISTRIBUTED COMPUTING</v>
      </c>
      <c r="F157" s="31" t="str">
        <f>IFERROR(__xludf.DUMMYFUNCTION("""COMPUTED_VALUE"""),"THEORY")</f>
        <v>THEORY</v>
      </c>
      <c r="G157" s="31">
        <f>IFERROR(__xludf.DUMMYFUNCTION("""COMPUTED_VALUE"""),3)</f>
        <v>3</v>
      </c>
      <c r="H157" s="31">
        <f>IFERROR(__xludf.DUMMYFUNCTION("""COMPUTED_VALUE"""),0)</f>
        <v>0</v>
      </c>
      <c r="I157" s="31">
        <f>IFERROR(__xludf.DUMMYFUNCTION("""COMPUTED_VALUE"""),0)</f>
        <v>0</v>
      </c>
      <c r="J157" s="31">
        <f>IFERROR(__xludf.DUMMYFUNCTION("""COMPUTED_VALUE"""),3)</f>
        <v>3</v>
      </c>
      <c r="K157" s="31" t="str">
        <f>IFERROR(__xludf.DUMMYFUNCTION("""COMPUTED_VALUE"""),"CT11030")</f>
        <v>CT11030</v>
      </c>
      <c r="L157" s="31" t="str">
        <f>IFERROR(__xludf.DUMMYFUNCTION("""COMPUTED_VALUE"""),"Mrs.SAVEETHA R")</f>
        <v>Mrs.SAVEETHA R</v>
      </c>
      <c r="M157" s="31" t="str">
        <f>IFERROR(__xludf.DUMMYFUNCTION("""COMPUTED_VALUE"""),"saveethar@bitsathy.ac.in")</f>
        <v>saveethar@bitsathy.ac.in</v>
      </c>
    </row>
    <row r="158" ht="35.25" customHeight="1" spans="1:13">
      <c r="A158" s="31" t="str">
        <f>IFERROR(__xludf.DUMMYFUNCTION("""COMPUTED_VALUE"""),"CT")</f>
        <v>CT</v>
      </c>
      <c r="B158" s="31" t="str">
        <f>IFERROR(__xludf.DUMMYFUNCTION("""COMPUTED_VALUE"""),"S6")</f>
        <v>S6</v>
      </c>
      <c r="C158" s="31" t="str">
        <f>IFERROR(__xludf.DUMMYFUNCTION("""COMPUTED_VALUE"""),"CORE")</f>
        <v>CORE</v>
      </c>
      <c r="D158" s="31" t="str">
        <f>IFERROR(__xludf.DUMMYFUNCTION("""COMPUTED_VALUE"""),"22CT602")</f>
        <v>22CT602</v>
      </c>
      <c r="E158" s="98" t="str">
        <f>IFERROR(__xludf.DUMMYFUNCTION("""COMPUTED_VALUE"""),"MACHINE LEARNING ESSENTIALS")</f>
        <v>MACHINE LEARNING ESSENTIALS</v>
      </c>
      <c r="F158" s="31" t="str">
        <f>IFERROR(__xludf.DUMMYFUNCTION("""COMPUTED_VALUE"""),"THEORY")</f>
        <v>THEORY</v>
      </c>
      <c r="G158" s="31">
        <f>IFERROR(__xludf.DUMMYFUNCTION("""COMPUTED_VALUE"""),3)</f>
        <v>3</v>
      </c>
      <c r="H158" s="31">
        <f>IFERROR(__xludf.DUMMYFUNCTION("""COMPUTED_VALUE"""),0)</f>
        <v>0</v>
      </c>
      <c r="I158" s="31">
        <f>IFERROR(__xludf.DUMMYFUNCTION("""COMPUTED_VALUE"""),2)</f>
        <v>2</v>
      </c>
      <c r="J158" s="31">
        <f>IFERROR(__xludf.DUMMYFUNCTION("""COMPUTED_VALUE"""),4)</f>
        <v>4</v>
      </c>
      <c r="K158" s="31" t="str">
        <f>IFERROR(__xludf.DUMMYFUNCTION("""COMPUTED_VALUE"""),"CT10659")</f>
        <v>CT10659</v>
      </c>
      <c r="L158" s="31" t="str">
        <f>IFERROR(__xludf.DUMMYFUNCTION("""COMPUTED_VALUE"""),"Dr.THANGA PARVATHI B")</f>
        <v>Dr.THANGA PARVATHI B</v>
      </c>
      <c r="M158" s="31" t="str">
        <f>IFERROR(__xludf.DUMMYFUNCTION("""COMPUTED_VALUE"""),"btparvathi@bitsathy.ac.in")</f>
        <v>btparvathi@bitsathy.ac.in</v>
      </c>
    </row>
    <row r="159" ht="35.25" customHeight="1" spans="1:13">
      <c r="A159" s="31" t="str">
        <f>IFERROR(__xludf.DUMMYFUNCTION("""COMPUTED_VALUE"""),"CT")</f>
        <v>CT</v>
      </c>
      <c r="B159" s="31" t="str">
        <f>IFERROR(__xludf.DUMMYFUNCTION("""COMPUTED_VALUE"""),"S6")</f>
        <v>S6</v>
      </c>
      <c r="C159" s="31" t="str">
        <f>IFERROR(__xludf.DUMMYFUNCTION("""COMPUTED_VALUE"""),"CORE")</f>
        <v>CORE</v>
      </c>
      <c r="D159" s="31" t="str">
        <f>IFERROR(__xludf.DUMMYFUNCTION("""COMPUTED_VALUE"""),"22CT602")</f>
        <v>22CT602</v>
      </c>
      <c r="E159" s="98" t="str">
        <f>IFERROR(__xludf.DUMMYFUNCTION("""COMPUTED_VALUE"""),"MACHINE LEARNING ESSENTIALS")</f>
        <v>MACHINE LEARNING ESSENTIALS</v>
      </c>
      <c r="F159" s="31" t="str">
        <f>IFERROR(__xludf.DUMMYFUNCTION("""COMPUTED_VALUE"""),"LAB")</f>
        <v>LAB</v>
      </c>
      <c r="G159" s="31">
        <f>IFERROR(__xludf.DUMMYFUNCTION("""COMPUTED_VALUE"""),3)</f>
        <v>3</v>
      </c>
      <c r="H159" s="31">
        <f>IFERROR(__xludf.DUMMYFUNCTION("""COMPUTED_VALUE"""),0)</f>
        <v>0</v>
      </c>
      <c r="I159" s="31">
        <f>IFERROR(__xludf.DUMMYFUNCTION("""COMPUTED_VALUE"""),2)</f>
        <v>2</v>
      </c>
      <c r="J159" s="31">
        <f>IFERROR(__xludf.DUMMYFUNCTION("""COMPUTED_VALUE"""),4)</f>
        <v>4</v>
      </c>
      <c r="K159" s="31" t="str">
        <f>IFERROR(__xludf.DUMMYFUNCTION("""COMPUTED_VALUE"""),"CT10933")</f>
        <v>CT10933</v>
      </c>
      <c r="L159" s="31" t="str">
        <f>IFERROR(__xludf.DUMMYFUNCTION("""COMPUTED_VALUE"""),"Mrs.SWEETY PRASANNA KIRUBA G")</f>
        <v>Mrs.SWEETY PRASANNA KIRUBA G</v>
      </c>
      <c r="M159" s="31" t="str">
        <f>IFERROR(__xludf.DUMMYFUNCTION("""COMPUTED_VALUE"""),"prasannakiruba@bitsathy.ac.in")</f>
        <v>prasannakiruba@bitsathy.ac.in</v>
      </c>
    </row>
    <row r="160" ht="35.25" customHeight="1" spans="1:13">
      <c r="A160" s="31" t="str">
        <f>IFERROR(__xludf.DUMMYFUNCTION("""COMPUTED_VALUE"""),"CT")</f>
        <v>CT</v>
      </c>
      <c r="B160" s="31" t="str">
        <f>IFERROR(__xludf.DUMMYFUNCTION("""COMPUTED_VALUE"""),"S6")</f>
        <v>S6</v>
      </c>
      <c r="C160" s="31" t="str">
        <f>IFERROR(__xludf.DUMMYFUNCTION("""COMPUTED_VALUE"""),"CORE")</f>
        <v>CORE</v>
      </c>
      <c r="D160" s="31" t="str">
        <f>IFERROR(__xludf.DUMMYFUNCTION("""COMPUTED_VALUE"""),"22CT603")</f>
        <v>22CT603</v>
      </c>
      <c r="E160" s="98" t="str">
        <f>IFERROR(__xludf.DUMMYFUNCTION("""COMPUTED_VALUE"""),"CLOUD COMPUTING")</f>
        <v>CLOUD COMPUTING</v>
      </c>
      <c r="F160" s="31" t="str">
        <f>IFERROR(__xludf.DUMMYFUNCTION("""COMPUTED_VALUE"""),"THEORY WITH LAB")</f>
        <v>THEORY WITH LAB</v>
      </c>
      <c r="G160" s="31">
        <f>IFERROR(__xludf.DUMMYFUNCTION("""COMPUTED_VALUE"""),3)</f>
        <v>3</v>
      </c>
      <c r="H160" s="31">
        <f>IFERROR(__xludf.DUMMYFUNCTION("""COMPUTED_VALUE"""),0)</f>
        <v>0</v>
      </c>
      <c r="I160" s="31">
        <f>IFERROR(__xludf.DUMMYFUNCTION("""COMPUTED_VALUE"""),2)</f>
        <v>2</v>
      </c>
      <c r="J160" s="31">
        <f>IFERROR(__xludf.DUMMYFUNCTION("""COMPUTED_VALUE"""),4)</f>
        <v>4</v>
      </c>
      <c r="K160" s="31" t="str">
        <f>IFERROR(__xludf.DUMMYFUNCTION("""COMPUTED_VALUE"""),"CT10965")</f>
        <v>CT10965</v>
      </c>
      <c r="L160" s="31" t="str">
        <f>IFERROR(__xludf.DUMMYFUNCTION("""COMPUTED_VALUE"""),"Mr.GUNALAN K")</f>
        <v>Mr.GUNALAN K</v>
      </c>
      <c r="M160" s="31" t="str">
        <f>IFERROR(__xludf.DUMMYFUNCTION("""COMPUTED_VALUE"""),"gunalank@bitsathy.ac.in")</f>
        <v>gunalank@bitsathy.ac.in</v>
      </c>
    </row>
    <row r="161" ht="35.25" customHeight="1" spans="1:13">
      <c r="A161" s="31" t="str">
        <f>IFERROR(__xludf.DUMMYFUNCTION("""COMPUTED_VALUE"""),"CT")</f>
        <v>CT</v>
      </c>
      <c r="B161" s="31" t="str">
        <f>IFERROR(__xludf.DUMMYFUNCTION("""COMPUTED_VALUE"""),"S6")</f>
        <v>S6</v>
      </c>
      <c r="C161" s="31" t="str">
        <f>IFERROR(__xludf.DUMMYFUNCTION("""COMPUTED_VALUE"""),"ELECTIVE 3")</f>
        <v>ELECTIVE 3</v>
      </c>
      <c r="D161" s="31" t="str">
        <f>IFERROR(__xludf.DUMMYFUNCTION("""COMPUTED_VALUE"""),"22CT019")</f>
        <v>22CT019</v>
      </c>
      <c r="E161" s="98" t="str">
        <f>IFERROR(__xludf.DUMMYFUNCTION("""COMPUTED_VALUE"""),"CYBER SECURITY")</f>
        <v>CYBER SECURITY</v>
      </c>
      <c r="F161" s="31" t="str">
        <f>IFERROR(__xludf.DUMMYFUNCTION("""COMPUTED_VALUE"""),"THEORY")</f>
        <v>THEORY</v>
      </c>
      <c r="G161" s="31">
        <f>IFERROR(__xludf.DUMMYFUNCTION("""COMPUTED_VALUE"""),3)</f>
        <v>3</v>
      </c>
      <c r="H161" s="31">
        <f>IFERROR(__xludf.DUMMYFUNCTION("""COMPUTED_VALUE"""),0)</f>
        <v>0</v>
      </c>
      <c r="I161" s="31">
        <f>IFERROR(__xludf.DUMMYFUNCTION("""COMPUTED_VALUE"""),0)</f>
        <v>0</v>
      </c>
      <c r="J161" s="31">
        <f>IFERROR(__xludf.DUMMYFUNCTION("""COMPUTED_VALUE"""),3)</f>
        <v>3</v>
      </c>
      <c r="K161" s="31" t="str">
        <f>IFERROR(__xludf.DUMMYFUNCTION("""COMPUTED_VALUE"""),"CT1349")</f>
        <v>CT1349</v>
      </c>
      <c r="L161" s="31" t="str">
        <f>IFERROR(__xludf.DUMMYFUNCTION("""COMPUTED_VALUE"""),"Dr.MURUGESAN P")</f>
        <v>Dr.MURUGESAN P</v>
      </c>
      <c r="M161" s="31" t="str">
        <f>IFERROR(__xludf.DUMMYFUNCTION("""COMPUTED_VALUE"""),"murugesanp@bitsathy.ac.in")</f>
        <v>murugesanp@bitsathy.ac.in</v>
      </c>
    </row>
    <row r="162" ht="35.25" customHeight="1" spans="1:13">
      <c r="A162" s="31" t="str">
        <f>IFERROR(__xludf.DUMMYFUNCTION("""COMPUTED_VALUE"""),"CT")</f>
        <v>CT</v>
      </c>
      <c r="B162" s="31" t="str">
        <f>IFERROR(__xludf.DUMMYFUNCTION("""COMPUTED_VALUE"""),"S6")</f>
        <v>S6</v>
      </c>
      <c r="C162" s="31" t="str">
        <f>IFERROR(__xludf.DUMMYFUNCTION("""COMPUTED_VALUE"""),"ELECTIVE 4")</f>
        <v>ELECTIVE 4</v>
      </c>
      <c r="D162" s="31" t="str">
        <f>IFERROR(__xludf.DUMMYFUNCTION("""COMPUTED_VALUE"""),"22CT025")</f>
        <v>22CT025</v>
      </c>
      <c r="E162" s="98" t="str">
        <f>IFERROR(__xludf.DUMMYFUNCTION("""COMPUTED_VALUE"""),"MULTIMEDIA AND ANIMATION")</f>
        <v>MULTIMEDIA AND ANIMATION</v>
      </c>
      <c r="F162" s="31" t="str">
        <f>IFERROR(__xludf.DUMMYFUNCTION("""COMPUTED_VALUE"""),"THEORY WITH LAB")</f>
        <v>THEORY WITH LAB</v>
      </c>
      <c r="G162" s="31">
        <f>IFERROR(__xludf.DUMMYFUNCTION("""COMPUTED_VALUE"""),2)</f>
        <v>2</v>
      </c>
      <c r="H162" s="31">
        <f>IFERROR(__xludf.DUMMYFUNCTION("""COMPUTED_VALUE"""),0)</f>
        <v>0</v>
      </c>
      <c r="I162" s="31">
        <f>IFERROR(__xludf.DUMMYFUNCTION("""COMPUTED_VALUE"""),2)</f>
        <v>2</v>
      </c>
      <c r="J162" s="31">
        <f>IFERROR(__xludf.DUMMYFUNCTION("""COMPUTED_VALUE"""),3)</f>
        <v>3</v>
      </c>
      <c r="K162" s="31" t="str">
        <f>IFERROR(__xludf.DUMMYFUNCTION("""COMPUTED_VALUE"""),"CT10935")</f>
        <v>CT10935</v>
      </c>
      <c r="L162" s="31" t="str">
        <f>IFERROR(__xludf.DUMMYFUNCTION("""COMPUTED_VALUE"""),"Ms.NITHYA M")</f>
        <v>Ms.NITHYA M</v>
      </c>
      <c r="M162" s="31" t="str">
        <f>IFERROR(__xludf.DUMMYFUNCTION("""COMPUTED_VALUE"""),"nithyam@bitsathy.ac.in")</f>
        <v>nithyam@bitsathy.ac.in</v>
      </c>
    </row>
    <row r="163" ht="35.25" customHeight="1" spans="1:13">
      <c r="A163" s="31" t="str">
        <f>IFERROR(__xludf.DUMMYFUNCTION("""COMPUTED_VALUE"""),"CT")</f>
        <v>CT</v>
      </c>
      <c r="B163" s="31" t="str">
        <f>IFERROR(__xludf.DUMMYFUNCTION("""COMPUTED_VALUE"""),"S6")</f>
        <v>S6</v>
      </c>
      <c r="C163" s="31" t="str">
        <f>IFERROR(__xludf.DUMMYFUNCTION("""COMPUTED_VALUE"""),"ELECTIVE 5")</f>
        <v>ELECTIVE 5</v>
      </c>
      <c r="D163" s="31" t="str">
        <f>IFERROR(__xludf.DUMMYFUNCTION("""COMPUTED_VALUE"""),"22CT040")</f>
        <v>22CT040</v>
      </c>
      <c r="E163" s="98" t="str">
        <f>IFERROR(__xludf.DUMMYFUNCTION("""COMPUTED_VALUE"""),"BUSINESS ANALYTICS")</f>
        <v>BUSINESS ANALYTICS</v>
      </c>
      <c r="F163" s="31" t="str">
        <f>IFERROR(__xludf.DUMMYFUNCTION("""COMPUTED_VALUE"""),"THEORY")</f>
        <v>THEORY</v>
      </c>
      <c r="G163" s="31">
        <f>IFERROR(__xludf.DUMMYFUNCTION("""COMPUTED_VALUE"""),3)</f>
        <v>3</v>
      </c>
      <c r="H163" s="31">
        <f>IFERROR(__xludf.DUMMYFUNCTION("""COMPUTED_VALUE"""),0)</f>
        <v>0</v>
      </c>
      <c r="I163" s="31">
        <f>IFERROR(__xludf.DUMMYFUNCTION("""COMPUTED_VALUE"""),0)</f>
        <v>0</v>
      </c>
      <c r="J163" s="31">
        <f>IFERROR(__xludf.DUMMYFUNCTION("""COMPUTED_VALUE"""),3)</f>
        <v>3</v>
      </c>
      <c r="K163" s="31" t="str">
        <f>IFERROR(__xludf.DUMMYFUNCTION("""COMPUTED_VALUE"""),"CT11020")</f>
        <v>CT11020</v>
      </c>
      <c r="L163" s="31" t="str">
        <f>IFERROR(__xludf.DUMMYFUNCTION("""COMPUTED_VALUE"""),"Mr.ANANDAN P")</f>
        <v>Mr.ANANDAN P</v>
      </c>
      <c r="M163" s="31" t="str">
        <f>IFERROR(__xludf.DUMMYFUNCTION("""COMPUTED_VALUE"""),"anandan@bitsathy.ac.in")</f>
        <v>anandan@bitsathy.ac.in</v>
      </c>
    </row>
    <row r="164" ht="35.25" customHeight="1" spans="1:13">
      <c r="A164" s="31" t="str">
        <f>IFERROR(__xludf.DUMMYFUNCTION("""COMPUTED_VALUE"""),"CT")</f>
        <v>CT</v>
      </c>
      <c r="B164" s="31" t="str">
        <f>IFERROR(__xludf.DUMMYFUNCTION("""COMPUTED_VALUE"""),"S6")</f>
        <v>S6</v>
      </c>
      <c r="C164" s="31" t="str">
        <f>IFERROR(__xludf.DUMMYFUNCTION("""COMPUTED_VALUE"""),"ADD COURSE")</f>
        <v>ADD COURSE</v>
      </c>
      <c r="D164" s="31" t="str">
        <f>IFERROR(__xludf.DUMMYFUNCTION("""COMPUTED_VALUE"""),"22CT038")</f>
        <v>22CT038</v>
      </c>
      <c r="E164" s="98" t="str">
        <f>IFERROR(__xludf.DUMMYFUNCTION("""COMPUTED_VALUE"""),"HUMAN COMPUTER INTERACTION")</f>
        <v>HUMAN COMPUTER INTERACTION</v>
      </c>
      <c r="F164" s="31" t="str">
        <f>IFERROR(__xludf.DUMMYFUNCTION("""COMPUTED_VALUE"""),"THEORY")</f>
        <v>THEORY</v>
      </c>
      <c r="G164" s="31">
        <f>IFERROR(__xludf.DUMMYFUNCTION("""COMPUTED_VALUE"""),3)</f>
        <v>3</v>
      </c>
      <c r="H164" s="31">
        <f>IFERROR(__xludf.DUMMYFUNCTION("""COMPUTED_VALUE"""),0)</f>
        <v>0</v>
      </c>
      <c r="I164" s="31">
        <f>IFERROR(__xludf.DUMMYFUNCTION("""COMPUTED_VALUE"""),0)</f>
        <v>0</v>
      </c>
      <c r="J164" s="31">
        <f>IFERROR(__xludf.DUMMYFUNCTION("""COMPUTED_VALUE"""),3)</f>
        <v>3</v>
      </c>
      <c r="K164" s="31" t="str">
        <f>IFERROR(__xludf.DUMMYFUNCTION("""COMPUTED_VALUE"""),"CT10933")</f>
        <v>CT10933</v>
      </c>
      <c r="L164" s="31" t="str">
        <f>IFERROR(__xludf.DUMMYFUNCTION("""COMPUTED_VALUE"""),"Mrs.SWEETY PRASANNA KIRUBA G")</f>
        <v>Mrs.SWEETY PRASANNA KIRUBA G</v>
      </c>
      <c r="M164" s="31" t="str">
        <f>IFERROR(__xludf.DUMMYFUNCTION("""COMPUTED_VALUE"""),"prasannakiruba@bitsathy.ac.in")</f>
        <v>prasannakiruba@bitsathy.ac.in</v>
      </c>
    </row>
    <row r="165" ht="35.25" customHeight="1" spans="1:13">
      <c r="A165" s="31" t="str">
        <f>IFERROR(__xludf.DUMMYFUNCTION("""COMPUTED_VALUE"""),"CT")</f>
        <v>CT</v>
      </c>
      <c r="B165" s="31" t="str">
        <f>IFERROR(__xludf.DUMMYFUNCTION("""COMPUTED_VALUE"""),"S6")</f>
        <v>S6</v>
      </c>
      <c r="C165" s="31" t="str">
        <f>IFERROR(__xludf.DUMMYFUNCTION("""COMPUTED_VALUE"""),"CORE")</f>
        <v>CORE</v>
      </c>
      <c r="D165" s="31" t="str">
        <f>IFERROR(__xludf.DUMMYFUNCTION("""COMPUTED_VALUE"""),"22CT607")</f>
        <v>22CT607</v>
      </c>
      <c r="E165" s="98" t="str">
        <f>IFERROR(__xludf.DUMMYFUNCTION("""COMPUTED_VALUE"""),"MINI PROJECT II")</f>
        <v>MINI PROJECT II</v>
      </c>
      <c r="F165" s="31" t="str">
        <f>IFERROR(__xludf.DUMMYFUNCTION("""COMPUTED_VALUE"""),"LAB")</f>
        <v>LAB</v>
      </c>
      <c r="G165" s="31">
        <f>IFERROR(__xludf.DUMMYFUNCTION("""COMPUTED_VALUE"""),0)</f>
        <v>0</v>
      </c>
      <c r="H165" s="31">
        <f>IFERROR(__xludf.DUMMYFUNCTION("""COMPUTED_VALUE"""),0)</f>
        <v>0</v>
      </c>
      <c r="I165" s="31">
        <f>IFERROR(__xludf.DUMMYFUNCTION("""COMPUTED_VALUE"""),2)</f>
        <v>2</v>
      </c>
      <c r="J165" s="31">
        <f>IFERROR(__xludf.DUMMYFUNCTION("""COMPUTED_VALUE"""),1)</f>
        <v>1</v>
      </c>
      <c r="K165" s="31"/>
      <c r="L165" s="31"/>
      <c r="M165" s="31"/>
    </row>
    <row r="166" ht="35.25" customHeight="1" spans="1:13">
      <c r="A166" s="31" t="str">
        <f>IFERROR(__xludf.DUMMYFUNCTION("""COMPUTED_VALUE"""),"EEE")</f>
        <v>EEE</v>
      </c>
      <c r="B166" s="31" t="str">
        <f>IFERROR(__xludf.DUMMYFUNCTION("""COMPUTED_VALUE"""),"S6")</f>
        <v>S6</v>
      </c>
      <c r="C166" s="31" t="str">
        <f>IFERROR(__xludf.DUMMYFUNCTION("""COMPUTED_VALUE"""),"CORE")</f>
        <v>CORE</v>
      </c>
      <c r="D166" s="31" t="str">
        <f>IFERROR(__xludf.DUMMYFUNCTION("""COMPUTED_VALUE"""),"22EE601")</f>
        <v>22EE601</v>
      </c>
      <c r="E166" s="98" t="str">
        <f>IFERROR(__xludf.DUMMYFUNCTION("""COMPUTED_VALUE"""),"POWER SYSTEMS PROTECTION AND SWITCHGEAR")</f>
        <v>POWER SYSTEMS PROTECTION AND SWITCHGEAR</v>
      </c>
      <c r="F166" s="31" t="str">
        <f>IFERROR(__xludf.DUMMYFUNCTION("""COMPUTED_VALUE"""),"THEORY")</f>
        <v>THEORY</v>
      </c>
      <c r="G166" s="31">
        <f>IFERROR(__xludf.DUMMYFUNCTION("""COMPUTED_VALUE"""),3)</f>
        <v>3</v>
      </c>
      <c r="H166" s="31">
        <f>IFERROR(__xludf.DUMMYFUNCTION("""COMPUTED_VALUE"""),0)</f>
        <v>0</v>
      </c>
      <c r="I166" s="31">
        <f>IFERROR(__xludf.DUMMYFUNCTION("""COMPUTED_VALUE"""),0)</f>
        <v>0</v>
      </c>
      <c r="J166" s="31">
        <f>IFERROR(__xludf.DUMMYFUNCTION("""COMPUTED_VALUE"""),3)</f>
        <v>3</v>
      </c>
      <c r="K166" s="31" t="str">
        <f>IFERROR(__xludf.DUMMYFUNCTION("""COMPUTED_VALUE"""),"EE1695")</f>
        <v>EE1695</v>
      </c>
      <c r="L166" s="31" t="str">
        <f>IFERROR(__xludf.DUMMYFUNCTION("""COMPUTED_VALUE"""),"Dr.NANDHAKUMAR A")</f>
        <v>Dr.NANDHAKUMAR A</v>
      </c>
      <c r="M166" s="31" t="str">
        <f>IFERROR(__xludf.DUMMYFUNCTION("""COMPUTED_VALUE"""),"nandhakumara@bitsathy.ac.in")</f>
        <v>nandhakumara@bitsathy.ac.in</v>
      </c>
    </row>
    <row r="167" ht="35.25" customHeight="1" spans="1:13">
      <c r="A167" s="31" t="str">
        <f>IFERROR(__xludf.DUMMYFUNCTION("""COMPUTED_VALUE"""),"EEE")</f>
        <v>EEE</v>
      </c>
      <c r="B167" s="31" t="str">
        <f>IFERROR(__xludf.DUMMYFUNCTION("""COMPUTED_VALUE"""),"S6")</f>
        <v>S6</v>
      </c>
      <c r="C167" s="31" t="str">
        <f>IFERROR(__xludf.DUMMYFUNCTION("""COMPUTED_VALUE"""),"CORE")</f>
        <v>CORE</v>
      </c>
      <c r="D167" s="31" t="str">
        <f>IFERROR(__xludf.DUMMYFUNCTION("""COMPUTED_VALUE"""),"22EE602")</f>
        <v>22EE602</v>
      </c>
      <c r="E167" s="98" t="str">
        <f>IFERROR(__xludf.DUMMYFUNCTION("""COMPUTED_VALUE"""),"DIGITAL SIGNAL PROCESSING")</f>
        <v>DIGITAL SIGNAL PROCESSING</v>
      </c>
      <c r="F167" s="31" t="str">
        <f>IFERROR(__xludf.DUMMYFUNCTION("""COMPUTED_VALUE"""),"THEORY")</f>
        <v>THEORY</v>
      </c>
      <c r="G167" s="31">
        <f>IFERROR(__xludf.DUMMYFUNCTION("""COMPUTED_VALUE"""),3)</f>
        <v>3</v>
      </c>
      <c r="H167" s="31">
        <f>IFERROR(__xludf.DUMMYFUNCTION("""COMPUTED_VALUE"""),1)</f>
        <v>1</v>
      </c>
      <c r="I167" s="31">
        <f>IFERROR(__xludf.DUMMYFUNCTION("""COMPUTED_VALUE"""),0)</f>
        <v>0</v>
      </c>
      <c r="J167" s="31">
        <f>IFERROR(__xludf.DUMMYFUNCTION("""COMPUTED_VALUE"""),4)</f>
        <v>4</v>
      </c>
      <c r="K167" s="31" t="str">
        <f>IFERROR(__xludf.DUMMYFUNCTION("""COMPUTED_VALUE"""),"EE1325")</f>
        <v>EE1325</v>
      </c>
      <c r="L167" s="31" t="str">
        <f>IFERROR(__xludf.DUMMYFUNCTION("""COMPUTED_VALUE"""),"Dr.RAJALASHMI K")</f>
        <v>Dr.RAJALASHMI K</v>
      </c>
      <c r="M167" s="31" t="str">
        <f>IFERROR(__xludf.DUMMYFUNCTION("""COMPUTED_VALUE"""),"rajalashmik@bitsathy.ac.in")</f>
        <v>rajalashmik@bitsathy.ac.in</v>
      </c>
    </row>
    <row r="168" ht="35.25" customHeight="1" spans="1:13">
      <c r="A168" s="31" t="str">
        <f>IFERROR(__xludf.DUMMYFUNCTION("""COMPUTED_VALUE"""),"EEE")</f>
        <v>EEE</v>
      </c>
      <c r="B168" s="31" t="str">
        <f>IFERROR(__xludf.DUMMYFUNCTION("""COMPUTED_VALUE"""),"S6")</f>
        <v>S6</v>
      </c>
      <c r="C168" s="31" t="str">
        <f>IFERROR(__xludf.DUMMYFUNCTION("""COMPUTED_VALUE"""),"CORE")</f>
        <v>CORE</v>
      </c>
      <c r="D168" s="31" t="str">
        <f>IFERROR(__xludf.DUMMYFUNCTION("""COMPUTED_VALUE"""),"22EE603")</f>
        <v>22EE603</v>
      </c>
      <c r="E168" s="98" t="str">
        <f>IFERROR(__xludf.DUMMYFUNCTION("""COMPUTED_VALUE"""),"RENEWABLE AND DISTRIBUTED ENERGY SOURCES")</f>
        <v>RENEWABLE AND DISTRIBUTED ENERGY SOURCES</v>
      </c>
      <c r="F168" s="31" t="str">
        <f>IFERROR(__xludf.DUMMYFUNCTION("""COMPUTED_VALUE"""),"THEORY WITH LAB")</f>
        <v>THEORY WITH LAB</v>
      </c>
      <c r="G168" s="31">
        <f>IFERROR(__xludf.DUMMYFUNCTION("""COMPUTED_VALUE"""),2)</f>
        <v>2</v>
      </c>
      <c r="H168" s="31">
        <f>IFERROR(__xludf.DUMMYFUNCTION("""COMPUTED_VALUE"""),0)</f>
        <v>0</v>
      </c>
      <c r="I168" s="31">
        <f>IFERROR(__xludf.DUMMYFUNCTION("""COMPUTED_VALUE"""),2)</f>
        <v>2</v>
      </c>
      <c r="J168" s="31">
        <f>IFERROR(__xludf.DUMMYFUNCTION("""COMPUTED_VALUE"""),3)</f>
        <v>3</v>
      </c>
      <c r="K168" s="31" t="str">
        <f>IFERROR(__xludf.DUMMYFUNCTION("""COMPUTED_VALUE"""),"EE10883")</f>
        <v>EE10883</v>
      </c>
      <c r="L168" s="31" t="str">
        <f>IFERROR(__xludf.DUMMYFUNCTION("""COMPUTED_VALUE"""),"Dr.GOLDVIN SUGIRTHA DHAS B")</f>
        <v>Dr.GOLDVIN SUGIRTHA DHAS B</v>
      </c>
      <c r="M168" s="31" t="str">
        <f>IFERROR(__xludf.DUMMYFUNCTION("""COMPUTED_VALUE"""),"goldvinsugirthadhasb@bitsathy.ac.in")</f>
        <v>goldvinsugirthadhasb@bitsathy.ac.in</v>
      </c>
    </row>
    <row r="169" ht="35.25" customHeight="1" spans="1:13">
      <c r="A169" s="31" t="str">
        <f>IFERROR(__xludf.DUMMYFUNCTION("""COMPUTED_VALUE"""),"EEE")</f>
        <v>EEE</v>
      </c>
      <c r="B169" s="31" t="str">
        <f>IFERROR(__xludf.DUMMYFUNCTION("""COMPUTED_VALUE"""),"S6")</f>
        <v>S6</v>
      </c>
      <c r="C169" s="31" t="str">
        <f>IFERROR(__xludf.DUMMYFUNCTION("""COMPUTED_VALUE"""),"ELECTIVE 3")</f>
        <v>ELECTIVE 3</v>
      </c>
      <c r="D169" s="31" t="str">
        <f>IFERROR(__xludf.DUMMYFUNCTION("""COMPUTED_VALUE"""),"22EE020")</f>
        <v>22EE020</v>
      </c>
      <c r="E169" s="98" t="str">
        <f>IFERROR(__xludf.DUMMYFUNCTION("""COMPUTED_VALUE"""),"WIND POWER TECHNOLOGY")</f>
        <v>WIND POWER TECHNOLOGY</v>
      </c>
      <c r="F169" s="31" t="str">
        <f>IFERROR(__xludf.DUMMYFUNCTION("""COMPUTED_VALUE"""),"THEORY")</f>
        <v>THEORY</v>
      </c>
      <c r="G169" s="31">
        <f>IFERROR(__xludf.DUMMYFUNCTION("""COMPUTED_VALUE"""),3)</f>
        <v>3</v>
      </c>
      <c r="H169" s="31">
        <f>IFERROR(__xludf.DUMMYFUNCTION("""COMPUTED_VALUE"""),0)</f>
        <v>0</v>
      </c>
      <c r="I169" s="31">
        <f>IFERROR(__xludf.DUMMYFUNCTION("""COMPUTED_VALUE"""),0)</f>
        <v>0</v>
      </c>
      <c r="J169" s="31">
        <f>IFERROR(__xludf.DUMMYFUNCTION("""COMPUTED_VALUE"""),3)</f>
        <v>3</v>
      </c>
      <c r="K169" s="31" t="str">
        <f>IFERROR(__xludf.DUMMYFUNCTION("""COMPUTED_VALUE"""),"EE10155")</f>
        <v>EE10155</v>
      </c>
      <c r="L169" s="31" t="str">
        <f>IFERROR(__xludf.DUMMYFUNCTION("""COMPUTED_VALUE"""),"Dr.ALEX STANLEY RAJA T")</f>
        <v>Dr.ALEX STANLEY RAJA T</v>
      </c>
      <c r="M169" s="31" t="str">
        <f>IFERROR(__xludf.DUMMYFUNCTION("""COMPUTED_VALUE"""),"alexstanleyraja@bitsathy.ac.in")</f>
        <v>alexstanleyraja@bitsathy.ac.in</v>
      </c>
    </row>
    <row r="170" ht="35.25" customHeight="1" spans="1:13">
      <c r="A170" s="31" t="str">
        <f>IFERROR(__xludf.DUMMYFUNCTION("""COMPUTED_VALUE"""),"EEE")</f>
        <v>EEE</v>
      </c>
      <c r="B170" s="31" t="str">
        <f>IFERROR(__xludf.DUMMYFUNCTION("""COMPUTED_VALUE"""),"S6")</f>
        <v>S6</v>
      </c>
      <c r="C170" s="31" t="str">
        <f>IFERROR(__xludf.DUMMYFUNCTION("""COMPUTED_VALUE"""),"ELECTIVE 4")</f>
        <v>ELECTIVE 4</v>
      </c>
      <c r="D170" s="31" t="str">
        <f>IFERROR(__xludf.DUMMYFUNCTION("""COMPUTED_VALUE"""),"22EE035")</f>
        <v>22EE035</v>
      </c>
      <c r="E170" s="98" t="str">
        <f>IFERROR(__xludf.DUMMYFUNCTION("""COMPUTED_VALUE"""),"ENERGY AUDITING AND MANAGEMENT")</f>
        <v>ENERGY AUDITING AND MANAGEMENT</v>
      </c>
      <c r="F170" s="31" t="str">
        <f>IFERROR(__xludf.DUMMYFUNCTION("""COMPUTED_VALUE"""),"THEORY")</f>
        <v>THEORY</v>
      </c>
      <c r="G170" s="31">
        <f>IFERROR(__xludf.DUMMYFUNCTION("""COMPUTED_VALUE"""),3)</f>
        <v>3</v>
      </c>
      <c r="H170" s="31">
        <f>IFERROR(__xludf.DUMMYFUNCTION("""COMPUTED_VALUE"""),0)</f>
        <v>0</v>
      </c>
      <c r="I170" s="31">
        <f>IFERROR(__xludf.DUMMYFUNCTION("""COMPUTED_VALUE"""),0)</f>
        <v>0</v>
      </c>
      <c r="J170" s="31">
        <f>IFERROR(__xludf.DUMMYFUNCTION("""COMPUTED_VALUE"""),3)</f>
        <v>3</v>
      </c>
      <c r="K170" s="31" t="str">
        <f>IFERROR(__xludf.DUMMYFUNCTION("""COMPUTED_VALUE"""),"EE1329")</f>
        <v>EE1329</v>
      </c>
      <c r="L170" s="31" t="str">
        <f>IFERROR(__xludf.DUMMYFUNCTION("""COMPUTED_VALUE"""),"Dr.SIVARAMAN P")</f>
        <v>Dr.SIVARAMAN P</v>
      </c>
      <c r="M170" s="31" t="str">
        <f>IFERROR(__xludf.DUMMYFUNCTION("""COMPUTED_VALUE"""),"sivaramanpsr@bitsathy.ac.in")</f>
        <v>sivaramanpsr@bitsathy.ac.in</v>
      </c>
    </row>
    <row r="171" ht="35.25" customHeight="1" spans="1:13">
      <c r="A171" s="31" t="str">
        <f>IFERROR(__xludf.DUMMYFUNCTION("""COMPUTED_VALUE"""),"EEE")</f>
        <v>EEE</v>
      </c>
      <c r="B171" s="31" t="str">
        <f>IFERROR(__xludf.DUMMYFUNCTION("""COMPUTED_VALUE"""),"S6")</f>
        <v>S6</v>
      </c>
      <c r="C171" s="31" t="str">
        <f>IFERROR(__xludf.DUMMYFUNCTION("""COMPUTED_VALUE"""),"ADD COURSE")</f>
        <v>ADD COURSE</v>
      </c>
      <c r="D171" s="31" t="str">
        <f>IFERROR(__xludf.DUMMYFUNCTION("""COMPUTED_VALUE"""),"22EE011")</f>
        <v>22EE011</v>
      </c>
      <c r="E171" s="98" t="str">
        <f>IFERROR(__xludf.DUMMYFUNCTION("""COMPUTED_VALUE"""),"ELECTRIC DRIVES AND CONTROL")</f>
        <v>ELECTRIC DRIVES AND CONTROL</v>
      </c>
      <c r="F171" s="31" t="str">
        <f>IFERROR(__xludf.DUMMYFUNCTION("""COMPUTED_VALUE"""),"THEORY")</f>
        <v>THEORY</v>
      </c>
      <c r="G171" s="31">
        <f>IFERROR(__xludf.DUMMYFUNCTION("""COMPUTED_VALUE"""),3)</f>
        <v>3</v>
      </c>
      <c r="H171" s="31">
        <f>IFERROR(__xludf.DUMMYFUNCTION("""COMPUTED_VALUE"""),0)</f>
        <v>0</v>
      </c>
      <c r="I171" s="31">
        <f>IFERROR(__xludf.DUMMYFUNCTION("""COMPUTED_VALUE"""),0)</f>
        <v>0</v>
      </c>
      <c r="J171" s="31">
        <f>IFERROR(__xludf.DUMMYFUNCTION("""COMPUTED_VALUE"""),3)</f>
        <v>3</v>
      </c>
      <c r="K171" s="31" t="str">
        <f>IFERROR(__xludf.DUMMYFUNCTION("""COMPUTED_VALUE"""),"EE1682")</f>
        <v>EE1682</v>
      </c>
      <c r="L171" s="31" t="str">
        <f>IFERROR(__xludf.DUMMYFUNCTION("""COMPUTED_VALUE"""),"Dr.MAHESWARI K T")</f>
        <v>Dr.MAHESWARI K T</v>
      </c>
      <c r="M171" s="31" t="str">
        <f>IFERROR(__xludf.DUMMYFUNCTION("""COMPUTED_VALUE"""),"maheswarikt@bitsathy.ac.in")</f>
        <v>maheswarikt@bitsathy.ac.in</v>
      </c>
    </row>
    <row r="172" ht="35.25" customHeight="1" spans="1:13">
      <c r="A172" s="31" t="str">
        <f>IFERROR(__xludf.DUMMYFUNCTION("""COMPUTED_VALUE"""),"EEE")</f>
        <v>EEE</v>
      </c>
      <c r="B172" s="31" t="str">
        <f>IFERROR(__xludf.DUMMYFUNCTION("""COMPUTED_VALUE"""),"S6")</f>
        <v>S6</v>
      </c>
      <c r="C172" s="31" t="str">
        <f>IFERROR(__xludf.DUMMYFUNCTION("""COMPUTED_VALUE"""),"OPEN ELECTIVE")</f>
        <v>OPEN ELECTIVE</v>
      </c>
      <c r="D172" s="31" t="str">
        <f>IFERROR(__xludf.DUMMYFUNCTION("""COMPUTED_VALUE"""),"22OEE01")</f>
        <v>22OEE01</v>
      </c>
      <c r="E172" s="98" t="str">
        <f>IFERROR(__xludf.DUMMYFUNCTION("""COMPUTED_VALUE"""),"VALUE ENGINEERING")</f>
        <v>VALUE ENGINEERING</v>
      </c>
      <c r="F172" s="31" t="str">
        <f>IFERROR(__xludf.DUMMYFUNCTION("""COMPUTED_VALUE"""),"THEORY")</f>
        <v>THEORY</v>
      </c>
      <c r="G172" s="31">
        <f>IFERROR(__xludf.DUMMYFUNCTION("""COMPUTED_VALUE"""),3)</f>
        <v>3</v>
      </c>
      <c r="H172" s="31">
        <f>IFERROR(__xludf.DUMMYFUNCTION("""COMPUTED_VALUE"""),0)</f>
        <v>0</v>
      </c>
      <c r="I172" s="31">
        <f>IFERROR(__xludf.DUMMYFUNCTION("""COMPUTED_VALUE"""),0)</f>
        <v>0</v>
      </c>
      <c r="J172" s="31">
        <f>IFERROR(__xludf.DUMMYFUNCTION("""COMPUTED_VALUE"""),3)</f>
        <v>3</v>
      </c>
      <c r="K172" s="31" t="str">
        <f>IFERROR(__xludf.DUMMYFUNCTION("""COMPUTED_VALUE"""),"EE10647")</f>
        <v>EE10647</v>
      </c>
      <c r="L172" s="31" t="str">
        <f>IFERROR(__xludf.DUMMYFUNCTION("""COMPUTED_VALUE"""),"Dr.SENTHIL KUMAR J")</f>
        <v>Dr.SENTHIL KUMAR J</v>
      </c>
      <c r="M172" s="31" t="str">
        <f>IFERROR(__xludf.DUMMYFUNCTION("""COMPUTED_VALUE"""),"senthilkumarj@bitsathy.ac.in")</f>
        <v>senthilkumarj@bitsathy.ac.in</v>
      </c>
    </row>
    <row r="173" ht="35.25" customHeight="1" spans="1:13">
      <c r="A173" s="31" t="str">
        <f>IFERROR(__xludf.DUMMYFUNCTION("""COMPUTED_VALUE"""),"EEE")</f>
        <v>EEE</v>
      </c>
      <c r="B173" s="31" t="str">
        <f>IFERROR(__xludf.DUMMYFUNCTION("""COMPUTED_VALUE"""),"S6")</f>
        <v>S6</v>
      </c>
      <c r="C173" s="31" t="str">
        <f>IFERROR(__xludf.DUMMYFUNCTION("""COMPUTED_VALUE"""),"HONOURS")</f>
        <v>HONOURS</v>
      </c>
      <c r="D173" s="31" t="str">
        <f>IFERROR(__xludf.DUMMYFUNCTION("""COMPUTED_VALUE"""),"22EEH15")</f>
        <v>22EEH15</v>
      </c>
      <c r="E173" s="98" t="str">
        <f>IFERROR(__xludf.DUMMYFUNCTION("""COMPUTED_VALUE"""),"ELECTRIC VEHICLE DESIGN, MECHANICS AND CONTROL")</f>
        <v>ELECTRIC VEHICLE DESIGN, MECHANICS AND CONTROL</v>
      </c>
      <c r="F173" s="31" t="str">
        <f>IFERROR(__xludf.DUMMYFUNCTION("""COMPUTED_VALUE"""),"THEORY")</f>
        <v>THEORY</v>
      </c>
      <c r="G173" s="31">
        <f>IFERROR(__xludf.DUMMYFUNCTION("""COMPUTED_VALUE"""),3)</f>
        <v>3</v>
      </c>
      <c r="H173" s="31">
        <f>IFERROR(__xludf.DUMMYFUNCTION("""COMPUTED_VALUE"""),0)</f>
        <v>0</v>
      </c>
      <c r="I173" s="31">
        <f>IFERROR(__xludf.DUMMYFUNCTION("""COMPUTED_VALUE"""),0)</f>
        <v>0</v>
      </c>
      <c r="J173" s="31">
        <f>IFERROR(__xludf.DUMMYFUNCTION("""COMPUTED_VALUE"""),3)</f>
        <v>3</v>
      </c>
      <c r="K173" s="31" t="str">
        <f>IFERROR(__xludf.DUMMYFUNCTION("""COMPUTED_VALUE"""),"EE10397")</f>
        <v>EE10397</v>
      </c>
      <c r="L173" s="31" t="str">
        <f>IFERROR(__xludf.DUMMYFUNCTION("""COMPUTED_VALUE"""),"Dr.SATHISHKUMAR S")</f>
        <v>Dr.SATHISHKUMAR S</v>
      </c>
      <c r="M173" s="31" t="str">
        <f>IFERROR(__xludf.DUMMYFUNCTION("""COMPUTED_VALUE"""),"sathishkumars@bitsathy.ac.in")</f>
        <v>sathishkumars@bitsathy.ac.in</v>
      </c>
    </row>
    <row r="174" ht="35.25" customHeight="1" spans="1:13">
      <c r="A174" s="31" t="str">
        <f>IFERROR(__xludf.DUMMYFUNCTION("""COMPUTED_VALUE"""),"EEE")</f>
        <v>EEE</v>
      </c>
      <c r="B174" s="31" t="str">
        <f>IFERROR(__xludf.DUMMYFUNCTION("""COMPUTED_VALUE"""),"S6")</f>
        <v>S6</v>
      </c>
      <c r="C174" s="31" t="str">
        <f>IFERROR(__xludf.DUMMYFUNCTION("""COMPUTED_VALUE"""),"HONOURS")</f>
        <v>HONOURS</v>
      </c>
      <c r="D174" s="31" t="str">
        <f>IFERROR(__xludf.DUMMYFUNCTION("""COMPUTED_VALUE"""),"22EEH16")</f>
        <v>22EEH16</v>
      </c>
      <c r="E174" s="98" t="str">
        <f>IFERROR(__xludf.DUMMYFUNCTION("""COMPUTED_VALUE"""),"DESIGN OF ELECTRIC VEHICLE CHARGING SYSTEM")</f>
        <v>DESIGN OF ELECTRIC VEHICLE CHARGING SYSTEM</v>
      </c>
      <c r="F174" s="31" t="str">
        <f>IFERROR(__xludf.DUMMYFUNCTION("""COMPUTED_VALUE"""),"THEORY")</f>
        <v>THEORY</v>
      </c>
      <c r="G174" s="31">
        <f>IFERROR(__xludf.DUMMYFUNCTION("""COMPUTED_VALUE"""),3)</f>
        <v>3</v>
      </c>
      <c r="H174" s="31">
        <f>IFERROR(__xludf.DUMMYFUNCTION("""COMPUTED_VALUE"""),0)</f>
        <v>0</v>
      </c>
      <c r="I174" s="31">
        <f>IFERROR(__xludf.DUMMYFUNCTION("""COMPUTED_VALUE"""),0)</f>
        <v>0</v>
      </c>
      <c r="J174" s="31">
        <f>IFERROR(__xludf.DUMMYFUNCTION("""COMPUTED_VALUE"""),3)</f>
        <v>3</v>
      </c>
      <c r="K174" s="31" t="str">
        <f>IFERROR(__xludf.DUMMYFUNCTION("""COMPUTED_VALUE"""),"EE10317")</f>
        <v>EE10317</v>
      </c>
      <c r="L174" s="31" t="str">
        <f>IFERROR(__xludf.DUMMYFUNCTION("""COMPUTED_VALUE"""),"Mr.ARUN CHENDHURAN R")</f>
        <v>Mr.ARUN CHENDHURAN R</v>
      </c>
      <c r="M174" s="31" t="str">
        <f>IFERROR(__xludf.DUMMYFUNCTION("""COMPUTED_VALUE"""),"arunchendhuran@bitsathy.ac.in")</f>
        <v>arunchendhuran@bitsathy.ac.in</v>
      </c>
    </row>
    <row r="175" ht="35.25" customHeight="1" spans="1:13">
      <c r="A175" s="31" t="str">
        <f>IFERROR(__xludf.DUMMYFUNCTION("""COMPUTED_VALUE"""),"EEE")</f>
        <v>EEE</v>
      </c>
      <c r="B175" s="31" t="str">
        <f>IFERROR(__xludf.DUMMYFUNCTION("""COMPUTED_VALUE"""),"S6")</f>
        <v>S6</v>
      </c>
      <c r="C175" s="31" t="str">
        <f>IFERROR(__xludf.DUMMYFUNCTION("""COMPUTED_VALUE"""),"MINI PROJECT")</f>
        <v>MINI PROJECT</v>
      </c>
      <c r="D175" s="31" t="str">
        <f>IFERROR(__xludf.DUMMYFUNCTION("""COMPUTED_VALUE"""),"22EE607")</f>
        <v>22EE607</v>
      </c>
      <c r="E175" s="98" t="str">
        <f>IFERROR(__xludf.DUMMYFUNCTION("""COMPUTED_VALUE"""),"MINI PROJECT II")</f>
        <v>MINI PROJECT II</v>
      </c>
      <c r="F175" s="31" t="str">
        <f>IFERROR(__xludf.DUMMYFUNCTION("""COMPUTED_VALUE"""),"LAB")</f>
        <v>LAB</v>
      </c>
      <c r="G175" s="31">
        <f>IFERROR(__xludf.DUMMYFUNCTION("""COMPUTED_VALUE"""),0)</f>
        <v>0</v>
      </c>
      <c r="H175" s="31">
        <f>IFERROR(__xludf.DUMMYFUNCTION("""COMPUTED_VALUE"""),0)</f>
        <v>0</v>
      </c>
      <c r="I175" s="31">
        <f>IFERROR(__xludf.DUMMYFUNCTION("""COMPUTED_VALUE"""),2)</f>
        <v>2</v>
      </c>
      <c r="J175" s="31">
        <f>IFERROR(__xludf.DUMMYFUNCTION("""COMPUTED_VALUE"""),1)</f>
        <v>1</v>
      </c>
      <c r="K175" s="31"/>
      <c r="L175" s="31"/>
      <c r="M175" s="31"/>
    </row>
    <row r="176" ht="35.25" customHeight="1" spans="1:13">
      <c r="A176" s="31" t="str">
        <f>IFERROR(__xludf.DUMMYFUNCTION("""COMPUTED_VALUE"""),"ECE")</f>
        <v>ECE</v>
      </c>
      <c r="B176" s="31" t="str">
        <f>IFERROR(__xludf.DUMMYFUNCTION("""COMPUTED_VALUE"""),"S6")</f>
        <v>S6</v>
      </c>
      <c r="C176" s="31" t="str">
        <f>IFERROR(__xludf.DUMMYFUNCTION("""COMPUTED_VALUE"""),"CORE")</f>
        <v>CORE</v>
      </c>
      <c r="D176" s="31" t="str">
        <f>IFERROR(__xludf.DUMMYFUNCTION("""COMPUTED_VALUE"""),"22EC601")</f>
        <v>22EC601</v>
      </c>
      <c r="E176" s="98" t="str">
        <f>IFERROR(__xludf.DUMMYFUNCTION("""COMPUTED_VALUE"""),"COMPUTER NETWORKS ANDPROTOCOLS")</f>
        <v>COMPUTER NETWORKS ANDPROTOCOLS</v>
      </c>
      <c r="F176" s="31" t="str">
        <f>IFERROR(__xludf.DUMMYFUNCTION("""COMPUTED_VALUE"""),"THEORY")</f>
        <v>THEORY</v>
      </c>
      <c r="G176" s="31">
        <f>IFERROR(__xludf.DUMMYFUNCTION("""COMPUTED_VALUE"""),3)</f>
        <v>3</v>
      </c>
      <c r="H176" s="31">
        <f>IFERROR(__xludf.DUMMYFUNCTION("""COMPUTED_VALUE"""),0)</f>
        <v>0</v>
      </c>
      <c r="I176" s="31">
        <f>IFERROR(__xludf.DUMMYFUNCTION("""COMPUTED_VALUE"""),0)</f>
        <v>0</v>
      </c>
      <c r="J176" s="31">
        <f>IFERROR(__xludf.DUMMYFUNCTION("""COMPUTED_VALUE"""),3)</f>
        <v>3</v>
      </c>
      <c r="K176" s="31" t="str">
        <f>IFERROR(__xludf.DUMMYFUNCTION("""COMPUTED_VALUE"""),"EC10229")</f>
        <v>EC10229</v>
      </c>
      <c r="L176" s="31" t="str">
        <f>IFERROR(__xludf.DUMMYFUNCTION("""COMPUTED_VALUE"""),"Mrs.SARANYA N")</f>
        <v>Mrs.SARANYA N</v>
      </c>
      <c r="M176" s="31" t="str">
        <f>IFERROR(__xludf.DUMMYFUNCTION("""COMPUTED_VALUE"""),"saranyan@bitsathy.ac.in")</f>
        <v>saranyan@bitsathy.ac.in</v>
      </c>
    </row>
    <row r="177" ht="35.25" customHeight="1" spans="1:13">
      <c r="A177" s="31" t="str">
        <f>IFERROR(__xludf.DUMMYFUNCTION("""COMPUTED_VALUE"""),"ECE")</f>
        <v>ECE</v>
      </c>
      <c r="B177" s="31" t="str">
        <f>IFERROR(__xludf.DUMMYFUNCTION("""COMPUTED_VALUE"""),"S6")</f>
        <v>S6</v>
      </c>
      <c r="C177" s="31" t="str">
        <f>IFERROR(__xludf.DUMMYFUNCTION("""COMPUTED_VALUE"""),"CORE")</f>
        <v>CORE</v>
      </c>
      <c r="D177" s="31" t="str">
        <f>IFERROR(__xludf.DUMMYFUNCTION("""COMPUTED_VALUE"""),"22EC601")</f>
        <v>22EC601</v>
      </c>
      <c r="E177" s="98" t="str">
        <f>IFERROR(__xludf.DUMMYFUNCTION("""COMPUTED_VALUE"""),"COMPUTER NETWORKS ANDPROTOCOLS")</f>
        <v>COMPUTER NETWORKS ANDPROTOCOLS</v>
      </c>
      <c r="F177" s="31" t="str">
        <f>IFERROR(__xludf.DUMMYFUNCTION("""COMPUTED_VALUE"""),"THEORY")</f>
        <v>THEORY</v>
      </c>
      <c r="G177" s="31">
        <f>IFERROR(__xludf.DUMMYFUNCTION("""COMPUTED_VALUE"""),3)</f>
        <v>3</v>
      </c>
      <c r="H177" s="31">
        <f>IFERROR(__xludf.DUMMYFUNCTION("""COMPUTED_VALUE"""),0)</f>
        <v>0</v>
      </c>
      <c r="I177" s="31">
        <f>IFERROR(__xludf.DUMMYFUNCTION("""COMPUTED_VALUE"""),0)</f>
        <v>0</v>
      </c>
      <c r="J177" s="31">
        <f>IFERROR(__xludf.DUMMYFUNCTION("""COMPUTED_VALUE"""),3)</f>
        <v>3</v>
      </c>
      <c r="K177" s="31" t="str">
        <f>IFERROR(__xludf.DUMMYFUNCTION("""COMPUTED_VALUE"""),"EC11045")</f>
        <v>EC11045</v>
      </c>
      <c r="L177" s="31" t="str">
        <f>IFERROR(__xludf.DUMMYFUNCTION("""COMPUTED_VALUE"""),"Mrs.DHANALAKSHMI S")</f>
        <v>Mrs.DHANALAKSHMI S</v>
      </c>
      <c r="M177" s="31" t="str">
        <f>IFERROR(__xludf.DUMMYFUNCTION("""COMPUTED_VALUE"""),"dhanalakshmis@bitsathy.ac.in")</f>
        <v>dhanalakshmis@bitsathy.ac.in</v>
      </c>
    </row>
    <row r="178" ht="35.25" customHeight="1" spans="1:13">
      <c r="A178" s="31" t="str">
        <f>IFERROR(__xludf.DUMMYFUNCTION("""COMPUTED_VALUE"""),"ECE")</f>
        <v>ECE</v>
      </c>
      <c r="B178" s="31" t="str">
        <f>IFERROR(__xludf.DUMMYFUNCTION("""COMPUTED_VALUE"""),"S6")</f>
        <v>S6</v>
      </c>
      <c r="C178" s="31" t="str">
        <f>IFERROR(__xludf.DUMMYFUNCTION("""COMPUTED_VALUE"""),"CORE")</f>
        <v>CORE</v>
      </c>
      <c r="D178" s="31" t="str">
        <f>IFERROR(__xludf.DUMMYFUNCTION("""COMPUTED_VALUE"""),"22EC601")</f>
        <v>22EC601</v>
      </c>
      <c r="E178" s="98" t="str">
        <f>IFERROR(__xludf.DUMMYFUNCTION("""COMPUTED_VALUE"""),"COMPUTER NETWORKS ANDPROTOCOLS")</f>
        <v>COMPUTER NETWORKS ANDPROTOCOLS</v>
      </c>
      <c r="F178" s="31" t="str">
        <f>IFERROR(__xludf.DUMMYFUNCTION("""COMPUTED_VALUE"""),"THEORY")</f>
        <v>THEORY</v>
      </c>
      <c r="G178" s="31">
        <f>IFERROR(__xludf.DUMMYFUNCTION("""COMPUTED_VALUE"""),3)</f>
        <v>3</v>
      </c>
      <c r="H178" s="31">
        <f>IFERROR(__xludf.DUMMYFUNCTION("""COMPUTED_VALUE"""),0)</f>
        <v>0</v>
      </c>
      <c r="I178" s="31">
        <f>IFERROR(__xludf.DUMMYFUNCTION("""COMPUTED_VALUE"""),0)</f>
        <v>0</v>
      </c>
      <c r="J178" s="31">
        <f>IFERROR(__xludf.DUMMYFUNCTION("""COMPUTED_VALUE"""),3)</f>
        <v>3</v>
      </c>
      <c r="K178" s="31" t="str">
        <f>IFERROR(__xludf.DUMMYFUNCTION("""COMPUTED_VALUE"""),"EC10775")</f>
        <v>EC10775</v>
      </c>
      <c r="L178" s="31" t="str">
        <f>IFERROR(__xludf.DUMMYFUNCTION("""COMPUTED_VALUE"""),"Mrs.MYTHILI S")</f>
        <v>Mrs.MYTHILI S</v>
      </c>
      <c r="M178" s="31" t="str">
        <f>IFERROR(__xludf.DUMMYFUNCTION("""COMPUTED_VALUE"""),"mythilis@bitsathy.ac.in")</f>
        <v>mythilis@bitsathy.ac.in</v>
      </c>
    </row>
    <row r="179" ht="35.25" customHeight="1" spans="1:13">
      <c r="A179" s="31" t="str">
        <f>IFERROR(__xludf.DUMMYFUNCTION("""COMPUTED_VALUE"""),"ECE")</f>
        <v>ECE</v>
      </c>
      <c r="B179" s="31" t="str">
        <f>IFERROR(__xludf.DUMMYFUNCTION("""COMPUTED_VALUE"""),"S6")</f>
        <v>S6</v>
      </c>
      <c r="C179" s="31" t="str">
        <f>IFERROR(__xludf.DUMMYFUNCTION("""COMPUTED_VALUE"""),"CORE")</f>
        <v>CORE</v>
      </c>
      <c r="D179" s="31" t="str">
        <f>IFERROR(__xludf.DUMMYFUNCTION("""COMPUTED_VALUE"""),"22EC601")</f>
        <v>22EC601</v>
      </c>
      <c r="E179" s="98" t="str">
        <f>IFERROR(__xludf.DUMMYFUNCTION("""COMPUTED_VALUE"""),"COMPUTER NETWORKS ANDPROTOCOLS")</f>
        <v>COMPUTER NETWORKS ANDPROTOCOLS</v>
      </c>
      <c r="F179" s="31" t="str">
        <f>IFERROR(__xludf.DUMMYFUNCTION("""COMPUTED_VALUE"""),"THEORY")</f>
        <v>THEORY</v>
      </c>
      <c r="G179" s="31">
        <f>IFERROR(__xludf.DUMMYFUNCTION("""COMPUTED_VALUE"""),3)</f>
        <v>3</v>
      </c>
      <c r="H179" s="31">
        <f>IFERROR(__xludf.DUMMYFUNCTION("""COMPUTED_VALUE"""),0)</f>
        <v>0</v>
      </c>
      <c r="I179" s="31">
        <f>IFERROR(__xludf.DUMMYFUNCTION("""COMPUTED_VALUE"""),0)</f>
        <v>0</v>
      </c>
      <c r="J179" s="31">
        <f>IFERROR(__xludf.DUMMYFUNCTION("""COMPUTED_VALUE"""),3)</f>
        <v>3</v>
      </c>
      <c r="K179" s="31" t="str">
        <f>IFERROR(__xludf.DUMMYFUNCTION("""COMPUTED_VALUE"""),"EC10186")</f>
        <v>EC10186</v>
      </c>
      <c r="L179" s="31" t="str">
        <f>IFERROR(__xludf.DUMMYFUNCTION("""COMPUTED_VALUE"""),"Dr.SAMPOORNAM K P")</f>
        <v>Dr.SAMPOORNAM K P</v>
      </c>
      <c r="M179" s="31" t="str">
        <f>IFERROR(__xludf.DUMMYFUNCTION("""COMPUTED_VALUE"""),"sampoornam@bitsathy.ac.in")</f>
        <v>sampoornam@bitsathy.ac.in</v>
      </c>
    </row>
    <row r="180" ht="35.25" customHeight="1" spans="1:13">
      <c r="A180" s="31" t="str">
        <f>IFERROR(__xludf.DUMMYFUNCTION("""COMPUTED_VALUE"""),"ECE")</f>
        <v>ECE</v>
      </c>
      <c r="B180" s="31" t="str">
        <f>IFERROR(__xludf.DUMMYFUNCTION("""COMPUTED_VALUE"""),"S6")</f>
        <v>S6</v>
      </c>
      <c r="C180" s="31" t="str">
        <f>IFERROR(__xludf.DUMMYFUNCTION("""COMPUTED_VALUE"""),"CORE")</f>
        <v>CORE</v>
      </c>
      <c r="D180" s="31" t="str">
        <f>IFERROR(__xludf.DUMMYFUNCTION("""COMPUTED_VALUE"""),"22EC602")</f>
        <v>22EC602</v>
      </c>
      <c r="E180" s="98" t="str">
        <f>IFERROR(__xludf.DUMMYFUNCTION("""COMPUTED_VALUE"""),"DIGITAL SYSTEM DESIGN WITHFPGA")</f>
        <v>DIGITAL SYSTEM DESIGN WITHFPGA</v>
      </c>
      <c r="F180" s="31" t="str">
        <f>IFERROR(__xludf.DUMMYFUNCTION("""COMPUTED_VALUE"""),"THEORY WITH LAB")</f>
        <v>THEORY WITH LAB</v>
      </c>
      <c r="G180" s="31">
        <f>IFERROR(__xludf.DUMMYFUNCTION("""COMPUTED_VALUE"""),3)</f>
        <v>3</v>
      </c>
      <c r="H180" s="31">
        <f>IFERROR(__xludf.DUMMYFUNCTION("""COMPUTED_VALUE"""),0)</f>
        <v>0</v>
      </c>
      <c r="I180" s="31">
        <f>IFERROR(__xludf.DUMMYFUNCTION("""COMPUTED_VALUE"""),2)</f>
        <v>2</v>
      </c>
      <c r="J180" s="31">
        <f>IFERROR(__xludf.DUMMYFUNCTION("""COMPUTED_VALUE"""),4)</f>
        <v>4</v>
      </c>
      <c r="K180" s="31" t="str">
        <f>IFERROR(__xludf.DUMMYFUNCTION("""COMPUTED_VALUE"""),"EC1537")</f>
        <v>EC1537</v>
      </c>
      <c r="L180" s="31" t="str">
        <f>IFERROR(__xludf.DUMMYFUNCTION("""COMPUTED_VALUE"""),"Dr.PUSHPAVALLI M")</f>
        <v>Dr.PUSHPAVALLI M</v>
      </c>
      <c r="M180" s="31" t="str">
        <f>IFERROR(__xludf.DUMMYFUNCTION("""COMPUTED_VALUE"""),"pushpavallim@bitsathy.ac.in")</f>
        <v>pushpavallim@bitsathy.ac.in</v>
      </c>
    </row>
    <row r="181" ht="35.25" customHeight="1" spans="1:13">
      <c r="A181" s="31" t="str">
        <f>IFERROR(__xludf.DUMMYFUNCTION("""COMPUTED_VALUE"""),"ECE")</f>
        <v>ECE</v>
      </c>
      <c r="B181" s="31" t="str">
        <f>IFERROR(__xludf.DUMMYFUNCTION("""COMPUTED_VALUE"""),"S6")</f>
        <v>S6</v>
      </c>
      <c r="C181" s="31" t="str">
        <f>IFERROR(__xludf.DUMMYFUNCTION("""COMPUTED_VALUE"""),"CORE")</f>
        <v>CORE</v>
      </c>
      <c r="D181" s="31" t="str">
        <f>IFERROR(__xludf.DUMMYFUNCTION("""COMPUTED_VALUE"""),"22EC602")</f>
        <v>22EC602</v>
      </c>
      <c r="E181" s="98" t="str">
        <f>IFERROR(__xludf.DUMMYFUNCTION("""COMPUTED_VALUE"""),"DIGITAL SYSTEM DESIGN WITHFPGA")</f>
        <v>DIGITAL SYSTEM DESIGN WITHFPGA</v>
      </c>
      <c r="F181" s="31" t="str">
        <f>IFERROR(__xludf.DUMMYFUNCTION("""COMPUTED_VALUE"""),"THEORY WITH LAB")</f>
        <v>THEORY WITH LAB</v>
      </c>
      <c r="G181" s="31">
        <f>IFERROR(__xludf.DUMMYFUNCTION("""COMPUTED_VALUE"""),3)</f>
        <v>3</v>
      </c>
      <c r="H181" s="31">
        <f>IFERROR(__xludf.DUMMYFUNCTION("""COMPUTED_VALUE"""),0)</f>
        <v>0</v>
      </c>
      <c r="I181" s="31">
        <f>IFERROR(__xludf.DUMMYFUNCTION("""COMPUTED_VALUE"""),2)</f>
        <v>2</v>
      </c>
      <c r="J181" s="31">
        <f>IFERROR(__xludf.DUMMYFUNCTION("""COMPUTED_VALUE"""),4)</f>
        <v>4</v>
      </c>
      <c r="K181" s="31" t="str">
        <f>IFERROR(__xludf.DUMMYFUNCTION("""COMPUTED_VALUE"""),"EC10581")</f>
        <v>EC10581</v>
      </c>
      <c r="L181" s="31" t="str">
        <f>IFERROR(__xludf.DUMMYFUNCTION("""COMPUTED_VALUE"""),"Mr.TAMILSELVAN S")</f>
        <v>Mr.TAMILSELVAN S</v>
      </c>
      <c r="M181" s="31" t="str">
        <f>IFERROR(__xludf.DUMMYFUNCTION("""COMPUTED_VALUE"""),"tamilselvans@bitsathy.ac.in")</f>
        <v>tamilselvans@bitsathy.ac.in</v>
      </c>
    </row>
    <row r="182" ht="35.25" customHeight="1" spans="1:13">
      <c r="A182" s="31" t="str">
        <f>IFERROR(__xludf.DUMMYFUNCTION("""COMPUTED_VALUE"""),"ECE")</f>
        <v>ECE</v>
      </c>
      <c r="B182" s="31" t="str">
        <f>IFERROR(__xludf.DUMMYFUNCTION("""COMPUTED_VALUE"""),"S6")</f>
        <v>S6</v>
      </c>
      <c r="C182" s="31" t="str">
        <f>IFERROR(__xludf.DUMMYFUNCTION("""COMPUTED_VALUE"""),"CORE")</f>
        <v>CORE</v>
      </c>
      <c r="D182" s="31" t="str">
        <f>IFERROR(__xludf.DUMMYFUNCTION("""COMPUTED_VALUE"""),"22EC602")</f>
        <v>22EC602</v>
      </c>
      <c r="E182" s="98" t="str">
        <f>IFERROR(__xludf.DUMMYFUNCTION("""COMPUTED_VALUE"""),"DIGITAL SYSTEM DESIGN WITHFPGA")</f>
        <v>DIGITAL SYSTEM DESIGN WITHFPGA</v>
      </c>
      <c r="F182" s="31" t="str">
        <f>IFERROR(__xludf.DUMMYFUNCTION("""COMPUTED_VALUE"""),"THEORY WITH LAB")</f>
        <v>THEORY WITH LAB</v>
      </c>
      <c r="G182" s="31">
        <f>IFERROR(__xludf.DUMMYFUNCTION("""COMPUTED_VALUE"""),3)</f>
        <v>3</v>
      </c>
      <c r="H182" s="31">
        <f>IFERROR(__xludf.DUMMYFUNCTION("""COMPUTED_VALUE"""),0)</f>
        <v>0</v>
      </c>
      <c r="I182" s="31">
        <f>IFERROR(__xludf.DUMMYFUNCTION("""COMPUTED_VALUE"""),2)</f>
        <v>2</v>
      </c>
      <c r="J182" s="31">
        <f>IFERROR(__xludf.DUMMYFUNCTION("""COMPUTED_VALUE"""),4)</f>
        <v>4</v>
      </c>
      <c r="K182" s="31" t="str">
        <f>IFERROR(__xludf.DUMMYFUNCTION("""COMPUTED_VALUE"""),"EC10827")</f>
        <v>EC10827</v>
      </c>
      <c r="L182" s="31" t="str">
        <f>IFERROR(__xludf.DUMMYFUNCTION("""COMPUTED_VALUE"""),"Dr.MURUGAN K")</f>
        <v>Dr.MURUGAN K</v>
      </c>
      <c r="M182" s="31" t="str">
        <f>IFERROR(__xludf.DUMMYFUNCTION("""COMPUTED_VALUE"""),"murugank@bitsathy.ac.in")</f>
        <v>murugank@bitsathy.ac.in</v>
      </c>
    </row>
    <row r="183" ht="35.25" customHeight="1" spans="1:13">
      <c r="A183" s="31" t="str">
        <f>IFERROR(__xludf.DUMMYFUNCTION("""COMPUTED_VALUE"""),"ECE")</f>
        <v>ECE</v>
      </c>
      <c r="B183" s="31" t="str">
        <f>IFERROR(__xludf.DUMMYFUNCTION("""COMPUTED_VALUE"""),"S6")</f>
        <v>S6</v>
      </c>
      <c r="C183" s="31" t="str">
        <f>IFERROR(__xludf.DUMMYFUNCTION("""COMPUTED_VALUE"""),"CORE")</f>
        <v>CORE</v>
      </c>
      <c r="D183" s="31" t="str">
        <f>IFERROR(__xludf.DUMMYFUNCTION("""COMPUTED_VALUE"""),"22EC602")</f>
        <v>22EC602</v>
      </c>
      <c r="E183" s="98" t="str">
        <f>IFERROR(__xludf.DUMMYFUNCTION("""COMPUTED_VALUE"""),"DIGITAL SYSTEM DESIGN WITHFPGA")</f>
        <v>DIGITAL SYSTEM DESIGN WITHFPGA</v>
      </c>
      <c r="F183" s="31" t="str">
        <f>IFERROR(__xludf.DUMMYFUNCTION("""COMPUTED_VALUE"""),"THEORY")</f>
        <v>THEORY</v>
      </c>
      <c r="G183" s="31">
        <f>IFERROR(__xludf.DUMMYFUNCTION("""COMPUTED_VALUE"""),3)</f>
        <v>3</v>
      </c>
      <c r="H183" s="31">
        <f>IFERROR(__xludf.DUMMYFUNCTION("""COMPUTED_VALUE"""),0)</f>
        <v>0</v>
      </c>
      <c r="I183" s="31">
        <f>IFERROR(__xludf.DUMMYFUNCTION("""COMPUTED_VALUE"""),2)</f>
        <v>2</v>
      </c>
      <c r="J183" s="31">
        <f>IFERROR(__xludf.DUMMYFUNCTION("""COMPUTED_VALUE"""),4)</f>
        <v>4</v>
      </c>
      <c r="K183" s="31" t="str">
        <f>IFERROR(__xludf.DUMMYFUNCTION("""COMPUTED_VALUE"""),"EC1893")</f>
        <v>EC1893</v>
      </c>
      <c r="L183" s="31" t="str">
        <f>IFERROR(__xludf.DUMMYFUNCTION("""COMPUTED_VALUE"""),"Dr.ELANGO S")</f>
        <v>Dr.ELANGO S</v>
      </c>
      <c r="M183" s="31" t="str">
        <f>IFERROR(__xludf.DUMMYFUNCTION("""COMPUTED_VALUE"""),"elangos@bitsathy.ac.in")</f>
        <v>elangos@bitsathy.ac.in</v>
      </c>
    </row>
    <row r="184" ht="35.25" customHeight="1" spans="1:13">
      <c r="A184" s="31" t="str">
        <f>IFERROR(__xludf.DUMMYFUNCTION("""COMPUTED_VALUE"""),"ECE")</f>
        <v>ECE</v>
      </c>
      <c r="B184" s="31" t="str">
        <f>IFERROR(__xludf.DUMMYFUNCTION("""COMPUTED_VALUE"""),"S6")</f>
        <v>S6</v>
      </c>
      <c r="C184" s="31" t="str">
        <f>IFERROR(__xludf.DUMMYFUNCTION("""COMPUTED_VALUE"""),"CORE")</f>
        <v>CORE</v>
      </c>
      <c r="D184" s="31" t="str">
        <f>IFERROR(__xludf.DUMMYFUNCTION("""COMPUTED_VALUE"""),"22EC602")</f>
        <v>22EC602</v>
      </c>
      <c r="E184" s="98" t="str">
        <f>IFERROR(__xludf.DUMMYFUNCTION("""COMPUTED_VALUE"""),"DIGITAL SYSTEM DESIGN WITHFPGA")</f>
        <v>DIGITAL SYSTEM DESIGN WITHFPGA</v>
      </c>
      <c r="F184" s="31" t="str">
        <f>IFERROR(__xludf.DUMMYFUNCTION("""COMPUTED_VALUE"""),"LAB")</f>
        <v>LAB</v>
      </c>
      <c r="G184" s="31">
        <f>IFERROR(__xludf.DUMMYFUNCTION("""COMPUTED_VALUE"""),3)</f>
        <v>3</v>
      </c>
      <c r="H184" s="31">
        <f>IFERROR(__xludf.DUMMYFUNCTION("""COMPUTED_VALUE"""),0)</f>
        <v>0</v>
      </c>
      <c r="I184" s="31">
        <f>IFERROR(__xludf.DUMMYFUNCTION("""COMPUTED_VALUE"""),2)</f>
        <v>2</v>
      </c>
      <c r="J184" s="31">
        <f>IFERROR(__xludf.DUMMYFUNCTION("""COMPUTED_VALUE"""),4)</f>
        <v>4</v>
      </c>
      <c r="K184" s="31" t="str">
        <f>IFERROR(__xludf.DUMMYFUNCTION("""COMPUTED_VALUE"""),"EC11010")</f>
        <v>EC11010</v>
      </c>
      <c r="L184" s="31" t="str">
        <f>IFERROR(__xludf.DUMMYFUNCTION("""COMPUTED_VALUE"""),"Mrs.MARIAAMUTHA R")</f>
        <v>Mrs.MARIAAMUTHA R</v>
      </c>
      <c r="M184" s="31" t="str">
        <f>IFERROR(__xludf.DUMMYFUNCTION("""COMPUTED_VALUE"""),"mariaamuthar@bitsathy.ac.in")</f>
        <v>mariaamuthar@bitsathy.ac.in</v>
      </c>
    </row>
    <row r="185" ht="35.25" customHeight="1" spans="1:13">
      <c r="A185" s="31" t="str">
        <f>IFERROR(__xludf.DUMMYFUNCTION("""COMPUTED_VALUE"""),"ECE")</f>
        <v>ECE</v>
      </c>
      <c r="B185" s="31" t="str">
        <f>IFERROR(__xludf.DUMMYFUNCTION("""COMPUTED_VALUE"""),"S6")</f>
        <v>S6</v>
      </c>
      <c r="C185" s="31" t="str">
        <f>IFERROR(__xludf.DUMMYFUNCTION("""COMPUTED_VALUE"""),"CORE")</f>
        <v>CORE</v>
      </c>
      <c r="D185" s="31" t="str">
        <f>IFERROR(__xludf.DUMMYFUNCTION("""COMPUTED_VALUE"""),"22EC603")</f>
        <v>22EC603</v>
      </c>
      <c r="E185" s="98" t="str">
        <f>IFERROR(__xludf.DUMMYFUNCTION("""COMPUTED_VALUE"""),"ARTIFICIAL INTELLIGENCE AND MACHINE LEARNING")</f>
        <v>ARTIFICIAL INTELLIGENCE AND MACHINE LEARNING</v>
      </c>
      <c r="F185" s="31" t="str">
        <f>IFERROR(__xludf.DUMMYFUNCTION("""COMPUTED_VALUE"""),"THEORY")</f>
        <v>THEORY</v>
      </c>
      <c r="G185" s="31">
        <f>IFERROR(__xludf.DUMMYFUNCTION("""COMPUTED_VALUE"""),3)</f>
        <v>3</v>
      </c>
      <c r="H185" s="31">
        <f>IFERROR(__xludf.DUMMYFUNCTION("""COMPUTED_VALUE"""),0)</f>
        <v>0</v>
      </c>
      <c r="I185" s="31">
        <f>IFERROR(__xludf.DUMMYFUNCTION("""COMPUTED_VALUE"""),2)</f>
        <v>2</v>
      </c>
      <c r="J185" s="31">
        <f>IFERROR(__xludf.DUMMYFUNCTION("""COMPUTED_VALUE"""),4)</f>
        <v>4</v>
      </c>
      <c r="K185" s="31" t="str">
        <f>IFERROR(__xludf.DUMMYFUNCTION("""COMPUTED_VALUE"""),"EC10194")</f>
        <v>EC10194</v>
      </c>
      <c r="L185" s="31" t="str">
        <f>IFERROR(__xludf.DUMMYFUNCTION("""COMPUTED_VALUE"""),"Mr.KARTHIKEYAN S")</f>
        <v>Mr.KARTHIKEYAN S</v>
      </c>
      <c r="M185" s="31" t="str">
        <f>IFERROR(__xludf.DUMMYFUNCTION("""COMPUTED_VALUE"""),"karthikeyan@bitsathy.ac.in")</f>
        <v>karthikeyan@bitsathy.ac.in</v>
      </c>
    </row>
    <row r="186" ht="35.25" customHeight="1" spans="1:13">
      <c r="A186" s="31" t="str">
        <f>IFERROR(__xludf.DUMMYFUNCTION("""COMPUTED_VALUE"""),"ECE")</f>
        <v>ECE</v>
      </c>
      <c r="B186" s="31" t="str">
        <f>IFERROR(__xludf.DUMMYFUNCTION("""COMPUTED_VALUE"""),"S6")</f>
        <v>S6</v>
      </c>
      <c r="C186" s="31" t="str">
        <f>IFERROR(__xludf.DUMMYFUNCTION("""COMPUTED_VALUE"""),"CORE")</f>
        <v>CORE</v>
      </c>
      <c r="D186" s="31" t="str">
        <f>IFERROR(__xludf.DUMMYFUNCTION("""COMPUTED_VALUE"""),"22EC603")</f>
        <v>22EC603</v>
      </c>
      <c r="E186" s="98" t="str">
        <f>IFERROR(__xludf.DUMMYFUNCTION("""COMPUTED_VALUE"""),"ARTIFICIAL INTELLIGENCE AND MACHINE LEARNING")</f>
        <v>ARTIFICIAL INTELLIGENCE AND MACHINE LEARNING</v>
      </c>
      <c r="F186" s="31" t="str">
        <f>IFERROR(__xludf.DUMMYFUNCTION("""COMPUTED_VALUE"""),"LAB")</f>
        <v>LAB</v>
      </c>
      <c r="G186" s="31">
        <f>IFERROR(__xludf.DUMMYFUNCTION("""COMPUTED_VALUE"""),3)</f>
        <v>3</v>
      </c>
      <c r="H186" s="31">
        <f>IFERROR(__xludf.DUMMYFUNCTION("""COMPUTED_VALUE"""),0)</f>
        <v>0</v>
      </c>
      <c r="I186" s="31">
        <f>IFERROR(__xludf.DUMMYFUNCTION("""COMPUTED_VALUE"""),2)</f>
        <v>2</v>
      </c>
      <c r="J186" s="31">
        <f>IFERROR(__xludf.DUMMYFUNCTION("""COMPUTED_VALUE"""),4)</f>
        <v>4</v>
      </c>
      <c r="K186" s="31"/>
      <c r="L186" s="31"/>
      <c r="M186" s="31"/>
    </row>
    <row r="187" ht="35.25" customHeight="1" spans="1:13">
      <c r="A187" s="31" t="str">
        <f>IFERROR(__xludf.DUMMYFUNCTION("""COMPUTED_VALUE"""),"ECE")</f>
        <v>ECE</v>
      </c>
      <c r="B187" s="31" t="str">
        <f>IFERROR(__xludf.DUMMYFUNCTION("""COMPUTED_VALUE"""),"S6")</f>
        <v>S6</v>
      </c>
      <c r="C187" s="31" t="str">
        <f>IFERROR(__xludf.DUMMYFUNCTION("""COMPUTED_VALUE"""),"CORE")</f>
        <v>CORE</v>
      </c>
      <c r="D187" s="31" t="str">
        <f>IFERROR(__xludf.DUMMYFUNCTION("""COMPUTED_VALUE"""),"22EC603")</f>
        <v>22EC603</v>
      </c>
      <c r="E187" s="98" t="str">
        <f>IFERROR(__xludf.DUMMYFUNCTION("""COMPUTED_VALUE"""),"ARTIFICIAL INTELLIGENCE AND MACHINE LEARNING")</f>
        <v>ARTIFICIAL INTELLIGENCE AND MACHINE LEARNING</v>
      </c>
      <c r="F187" s="31" t="str">
        <f>IFERROR(__xludf.DUMMYFUNCTION("""COMPUTED_VALUE"""),"THEORY WITH LAB")</f>
        <v>THEORY WITH LAB</v>
      </c>
      <c r="G187" s="31">
        <f>IFERROR(__xludf.DUMMYFUNCTION("""COMPUTED_VALUE"""),3)</f>
        <v>3</v>
      </c>
      <c r="H187" s="31">
        <f>IFERROR(__xludf.DUMMYFUNCTION("""COMPUTED_VALUE"""),0)</f>
        <v>0</v>
      </c>
      <c r="I187" s="31">
        <f>IFERROR(__xludf.DUMMYFUNCTION("""COMPUTED_VALUE"""),2)</f>
        <v>2</v>
      </c>
      <c r="J187" s="31">
        <f>IFERROR(__xludf.DUMMYFUNCTION("""COMPUTED_VALUE"""),4)</f>
        <v>4</v>
      </c>
      <c r="K187" s="31" t="str">
        <f>IFERROR(__xludf.DUMMYFUNCTION("""COMPUTED_VALUE"""),"EC10915")</f>
        <v>EC10915</v>
      </c>
      <c r="L187" s="31" t="str">
        <f>IFERROR(__xludf.DUMMYFUNCTION("""COMPUTED_VALUE"""),"Dr.STEPHEN SAGAYARAJ A")</f>
        <v>Dr.STEPHEN SAGAYARAJ A</v>
      </c>
      <c r="M187" s="31" t="str">
        <f>IFERROR(__xludf.DUMMYFUNCTION("""COMPUTED_VALUE"""),"stephensagayaraja@bitsathy.ac.in")</f>
        <v>stephensagayaraja@bitsathy.ac.in</v>
      </c>
    </row>
    <row r="188" ht="35.25" customHeight="1" spans="1:13">
      <c r="A188" s="31" t="str">
        <f>IFERROR(__xludf.DUMMYFUNCTION("""COMPUTED_VALUE"""),"ECE")</f>
        <v>ECE</v>
      </c>
      <c r="B188" s="31" t="str">
        <f>IFERROR(__xludf.DUMMYFUNCTION("""COMPUTED_VALUE"""),"S6")</f>
        <v>S6</v>
      </c>
      <c r="C188" s="31" t="str">
        <f>IFERROR(__xludf.DUMMYFUNCTION("""COMPUTED_VALUE"""),"CORE")</f>
        <v>CORE</v>
      </c>
      <c r="D188" s="31" t="str">
        <f>IFERROR(__xludf.DUMMYFUNCTION("""COMPUTED_VALUE"""),"22EC603")</f>
        <v>22EC603</v>
      </c>
      <c r="E188" s="98" t="str">
        <f>IFERROR(__xludf.DUMMYFUNCTION("""COMPUTED_VALUE"""),"ARTIFICIAL INTELLIGENCE AND MACHINE LEARNING")</f>
        <v>ARTIFICIAL INTELLIGENCE AND MACHINE LEARNING</v>
      </c>
      <c r="F188" s="31" t="str">
        <f>IFERROR(__xludf.DUMMYFUNCTION("""COMPUTED_VALUE"""),"THEORY WITH LAB")</f>
        <v>THEORY WITH LAB</v>
      </c>
      <c r="G188" s="31">
        <f>IFERROR(__xludf.DUMMYFUNCTION("""COMPUTED_VALUE"""),3)</f>
        <v>3</v>
      </c>
      <c r="H188" s="31">
        <f>IFERROR(__xludf.DUMMYFUNCTION("""COMPUTED_VALUE"""),0)</f>
        <v>0</v>
      </c>
      <c r="I188" s="31">
        <f>IFERROR(__xludf.DUMMYFUNCTION("""COMPUTED_VALUE"""),2)</f>
        <v>2</v>
      </c>
      <c r="J188" s="31">
        <f>IFERROR(__xludf.DUMMYFUNCTION("""COMPUTED_VALUE"""),4)</f>
        <v>4</v>
      </c>
      <c r="K188" s="31" t="str">
        <f>IFERROR(__xludf.DUMMYFUNCTION("""COMPUTED_VALUE"""),"EC10764")</f>
        <v>EC10764</v>
      </c>
      <c r="L188" s="31" t="str">
        <f>IFERROR(__xludf.DUMMYFUNCTION("""COMPUTED_VALUE"""),"Mrs.SOUNDARYA B")</f>
        <v>Mrs.SOUNDARYA B</v>
      </c>
      <c r="M188" s="31" t="str">
        <f>IFERROR(__xludf.DUMMYFUNCTION("""COMPUTED_VALUE"""),"soundarya@bitsathy.ac.in")</f>
        <v>soundarya@bitsathy.ac.in</v>
      </c>
    </row>
    <row r="189" ht="35.25" customHeight="1" spans="1:13">
      <c r="A189" s="31" t="str">
        <f>IFERROR(__xludf.DUMMYFUNCTION("""COMPUTED_VALUE"""),"ECE")</f>
        <v>ECE</v>
      </c>
      <c r="B189" s="31" t="str">
        <f>IFERROR(__xludf.DUMMYFUNCTION("""COMPUTED_VALUE"""),"S6")</f>
        <v>S6</v>
      </c>
      <c r="C189" s="31" t="str">
        <f>IFERROR(__xludf.DUMMYFUNCTION("""COMPUTED_VALUE"""),"CORE")</f>
        <v>CORE</v>
      </c>
      <c r="D189" s="31" t="str">
        <f>IFERROR(__xludf.DUMMYFUNCTION("""COMPUTED_VALUE"""),"22EC603")</f>
        <v>22EC603</v>
      </c>
      <c r="E189" s="98" t="str">
        <f>IFERROR(__xludf.DUMMYFUNCTION("""COMPUTED_VALUE"""),"ARTIFICIAL INTELLIGENCE AND MACHINE LEARNING")</f>
        <v>ARTIFICIAL INTELLIGENCE AND MACHINE LEARNING</v>
      </c>
      <c r="F189" s="31" t="str">
        <f>IFERROR(__xludf.DUMMYFUNCTION("""COMPUTED_VALUE"""),"THEORY")</f>
        <v>THEORY</v>
      </c>
      <c r="G189" s="31">
        <f>IFERROR(__xludf.DUMMYFUNCTION("""COMPUTED_VALUE"""),3)</f>
        <v>3</v>
      </c>
      <c r="H189" s="31">
        <f>IFERROR(__xludf.DUMMYFUNCTION("""COMPUTED_VALUE"""),0)</f>
        <v>0</v>
      </c>
      <c r="I189" s="31">
        <f>IFERROR(__xludf.DUMMYFUNCTION("""COMPUTED_VALUE"""),2)</f>
        <v>2</v>
      </c>
      <c r="J189" s="31">
        <f>IFERROR(__xludf.DUMMYFUNCTION("""COMPUTED_VALUE"""),4)</f>
        <v>4</v>
      </c>
      <c r="K189" s="31" t="str">
        <f>IFERROR(__xludf.DUMMYFUNCTION("""COMPUTED_VALUE"""),"EC10678")</f>
        <v>EC10678</v>
      </c>
      <c r="L189" s="31" t="str">
        <f>IFERROR(__xludf.DUMMYFUNCTION("""COMPUTED_VALUE"""),"Dr.LEEBAN MOSES M")</f>
        <v>Dr.LEEBAN MOSES M</v>
      </c>
      <c r="M189" s="31" t="str">
        <f>IFERROR(__xludf.DUMMYFUNCTION("""COMPUTED_VALUE"""),"leebanmoses@bitsathy.ac.in")</f>
        <v>leebanmoses@bitsathy.ac.in</v>
      </c>
    </row>
    <row r="190" ht="35.25" customHeight="1" spans="1:13">
      <c r="A190" s="31" t="str">
        <f>IFERROR(__xludf.DUMMYFUNCTION("""COMPUTED_VALUE"""),"ECE")</f>
        <v>ECE</v>
      </c>
      <c r="B190" s="31" t="str">
        <f>IFERROR(__xludf.DUMMYFUNCTION("""COMPUTED_VALUE"""),"S6")</f>
        <v>S6</v>
      </c>
      <c r="C190" s="31" t="str">
        <f>IFERROR(__xludf.DUMMYFUNCTION("""COMPUTED_VALUE"""),"CORE")</f>
        <v>CORE</v>
      </c>
      <c r="D190" s="31" t="str">
        <f>IFERROR(__xludf.DUMMYFUNCTION("""COMPUTED_VALUE"""),"22EC603")</f>
        <v>22EC603</v>
      </c>
      <c r="E190" s="98" t="str">
        <f>IFERROR(__xludf.DUMMYFUNCTION("""COMPUTED_VALUE"""),"ARTIFICIAL INTELLIGENCE AND MACHINE LEARNING")</f>
        <v>ARTIFICIAL INTELLIGENCE AND MACHINE LEARNING</v>
      </c>
      <c r="F190" s="31" t="str">
        <f>IFERROR(__xludf.DUMMYFUNCTION("""COMPUTED_VALUE"""),"LAB")</f>
        <v>LAB</v>
      </c>
      <c r="G190" s="31">
        <f>IFERROR(__xludf.DUMMYFUNCTION("""COMPUTED_VALUE"""),3)</f>
        <v>3</v>
      </c>
      <c r="H190" s="31">
        <f>IFERROR(__xludf.DUMMYFUNCTION("""COMPUTED_VALUE"""),0)</f>
        <v>0</v>
      </c>
      <c r="I190" s="31">
        <f>IFERROR(__xludf.DUMMYFUNCTION("""COMPUTED_VALUE"""),2)</f>
        <v>2</v>
      </c>
      <c r="J190" s="31">
        <f>IFERROR(__xludf.DUMMYFUNCTION("""COMPUTED_VALUE"""),4)</f>
        <v>4</v>
      </c>
      <c r="K190" s="31"/>
      <c r="L190" s="31"/>
      <c r="M190" s="31"/>
    </row>
    <row r="191" ht="35.25" customHeight="1" spans="1:13">
      <c r="A191" s="31" t="str">
        <f>IFERROR(__xludf.DUMMYFUNCTION("""COMPUTED_VALUE"""),"ECE")</f>
        <v>ECE</v>
      </c>
      <c r="B191" s="31" t="str">
        <f>IFERROR(__xludf.DUMMYFUNCTION("""COMPUTED_VALUE"""),"S6")</f>
        <v>S6</v>
      </c>
      <c r="C191" s="31" t="str">
        <f>IFERROR(__xludf.DUMMYFUNCTION("""COMPUTED_VALUE"""),"ELECTIVE 3")</f>
        <v>ELECTIVE 3</v>
      </c>
      <c r="D191" s="31" t="str">
        <f>IFERROR(__xludf.DUMMYFUNCTION("""COMPUTED_VALUE"""),"22EC046")</f>
        <v>22EC046</v>
      </c>
      <c r="E191" s="98" t="str">
        <f>IFERROR(__xludf.DUMMYFUNCTION("""COMPUTED_VALUE"""),"AUTOMOTIVE ELECTRONICS AND NETWORKING")</f>
        <v>AUTOMOTIVE ELECTRONICS AND NETWORKING</v>
      </c>
      <c r="F191" s="31" t="str">
        <f>IFERROR(__xludf.DUMMYFUNCTION("""COMPUTED_VALUE"""),"THEORY")</f>
        <v>THEORY</v>
      </c>
      <c r="G191" s="31">
        <f>IFERROR(__xludf.DUMMYFUNCTION("""COMPUTED_VALUE"""),3)</f>
        <v>3</v>
      </c>
      <c r="H191" s="31">
        <f>IFERROR(__xludf.DUMMYFUNCTION("""COMPUTED_VALUE"""),0)</f>
        <v>0</v>
      </c>
      <c r="I191" s="31">
        <f>IFERROR(__xludf.DUMMYFUNCTION("""COMPUTED_VALUE"""),0)</f>
        <v>0</v>
      </c>
      <c r="J191" s="31">
        <f>IFERROR(__xludf.DUMMYFUNCTION("""COMPUTED_VALUE"""),3)</f>
        <v>3</v>
      </c>
      <c r="K191" s="31" t="str">
        <f>IFERROR(__xludf.DUMMYFUNCTION("""COMPUTED_VALUE"""),"EC10186")</f>
        <v>EC10186</v>
      </c>
      <c r="L191" s="31" t="str">
        <f>IFERROR(__xludf.DUMMYFUNCTION("""COMPUTED_VALUE"""),"Dr.SAMPOORNAM K P")</f>
        <v>Dr.SAMPOORNAM K P</v>
      </c>
      <c r="M191" s="31" t="str">
        <f>IFERROR(__xludf.DUMMYFUNCTION("""COMPUTED_VALUE"""),"sampoornam@bitsathy.ac.in")</f>
        <v>sampoornam@bitsathy.ac.in</v>
      </c>
    </row>
    <row r="192" ht="35.25" customHeight="1" spans="1:13">
      <c r="A192" s="31" t="str">
        <f>IFERROR(__xludf.DUMMYFUNCTION("""COMPUTED_VALUE"""),"ECE")</f>
        <v>ECE</v>
      </c>
      <c r="B192" s="31" t="str">
        <f>IFERROR(__xludf.DUMMYFUNCTION("""COMPUTED_VALUE"""),"S6")</f>
        <v>S6</v>
      </c>
      <c r="C192" s="31" t="str">
        <f>IFERROR(__xludf.DUMMYFUNCTION("""COMPUTED_VALUE"""),"ELECTIVE 3")</f>
        <v>ELECTIVE 3</v>
      </c>
      <c r="D192" s="31" t="str">
        <f>IFERROR(__xludf.DUMMYFUNCTION("""COMPUTED_VALUE"""),"22EC046")</f>
        <v>22EC046</v>
      </c>
      <c r="E192" s="98" t="str">
        <f>IFERROR(__xludf.DUMMYFUNCTION("""COMPUTED_VALUE"""),"AUTOMOTIVE ELECTRONICS AND NETWORKING")</f>
        <v>AUTOMOTIVE ELECTRONICS AND NETWORKING</v>
      </c>
      <c r="F192" s="31" t="str">
        <f>IFERROR(__xludf.DUMMYFUNCTION("""COMPUTED_VALUE"""),"THEORY")</f>
        <v>THEORY</v>
      </c>
      <c r="G192" s="31">
        <f>IFERROR(__xludf.DUMMYFUNCTION("""COMPUTED_VALUE"""),3)</f>
        <v>3</v>
      </c>
      <c r="H192" s="31">
        <f>IFERROR(__xludf.DUMMYFUNCTION("""COMPUTED_VALUE"""),0)</f>
        <v>0</v>
      </c>
      <c r="I192" s="31">
        <f>IFERROR(__xludf.DUMMYFUNCTION("""COMPUTED_VALUE"""),0)</f>
        <v>0</v>
      </c>
      <c r="J192" s="31">
        <f>IFERROR(__xludf.DUMMYFUNCTION("""COMPUTED_VALUE"""),3)</f>
        <v>3</v>
      </c>
      <c r="K192" s="31" t="str">
        <f>IFERROR(__xludf.DUMMYFUNCTION("""COMPUTED_VALUE"""),"EC11021")</f>
        <v>EC11021</v>
      </c>
      <c r="L192" s="31" t="str">
        <f>IFERROR(__xludf.DUMMYFUNCTION("""COMPUTED_VALUE"""),"Dr.SATHIYAMURTHI P")</f>
        <v>Dr.SATHIYAMURTHI P</v>
      </c>
      <c r="M192" s="31" t="str">
        <f>IFERROR(__xludf.DUMMYFUNCTION("""COMPUTED_VALUE"""),"sathiyamurthi@bitsathy.ac.in")</f>
        <v>sathiyamurthi@bitsathy.ac.in</v>
      </c>
    </row>
    <row r="193" ht="35.25" customHeight="1" spans="1:13">
      <c r="A193" s="31" t="str">
        <f>IFERROR(__xludf.DUMMYFUNCTION("""COMPUTED_VALUE"""),"ECE")</f>
        <v>ECE</v>
      </c>
      <c r="B193" s="31" t="str">
        <f>IFERROR(__xludf.DUMMYFUNCTION("""COMPUTED_VALUE"""),"S6")</f>
        <v>S6</v>
      </c>
      <c r="C193" s="31" t="str">
        <f>IFERROR(__xludf.DUMMYFUNCTION("""COMPUTED_VALUE"""),"ELECTIVE 3")</f>
        <v>ELECTIVE 3</v>
      </c>
      <c r="D193" s="31" t="str">
        <f>IFERROR(__xludf.DUMMYFUNCTION("""COMPUTED_VALUE"""),"22EC046")</f>
        <v>22EC046</v>
      </c>
      <c r="E193" s="98" t="str">
        <f>IFERROR(__xludf.DUMMYFUNCTION("""COMPUTED_VALUE"""),"AUTOMOTIVE ELECTRONICS AND NETWORKING")</f>
        <v>AUTOMOTIVE ELECTRONICS AND NETWORKING</v>
      </c>
      <c r="F193" s="31" t="str">
        <f>IFERROR(__xludf.DUMMYFUNCTION("""COMPUTED_VALUE"""),"THEORY")</f>
        <v>THEORY</v>
      </c>
      <c r="G193" s="31">
        <f>IFERROR(__xludf.DUMMYFUNCTION("""COMPUTED_VALUE"""),3)</f>
        <v>3</v>
      </c>
      <c r="H193" s="31">
        <f>IFERROR(__xludf.DUMMYFUNCTION("""COMPUTED_VALUE"""),0)</f>
        <v>0</v>
      </c>
      <c r="I193" s="31">
        <f>IFERROR(__xludf.DUMMYFUNCTION("""COMPUTED_VALUE"""),0)</f>
        <v>0</v>
      </c>
      <c r="J193" s="31">
        <f>IFERROR(__xludf.DUMMYFUNCTION("""COMPUTED_VALUE"""),3)</f>
        <v>3</v>
      </c>
      <c r="K193" s="31" t="str">
        <f>IFERROR(__xludf.DUMMYFUNCTION("""COMPUTED_VALUE"""),"AU10440")</f>
        <v>AU10440</v>
      </c>
      <c r="L193" s="31" t="str">
        <f>IFERROR(__xludf.DUMMYFUNCTION("""COMPUTED_VALUE"""),"Mr.TAMILSELVAN A")</f>
        <v>Mr.TAMILSELVAN A</v>
      </c>
      <c r="M193" s="31" t="str">
        <f>IFERROR(__xludf.DUMMYFUNCTION("""COMPUTED_VALUE"""),"tamilselvan@bitsathy.ac.in")</f>
        <v>tamilselvan@bitsathy.ac.in</v>
      </c>
    </row>
    <row r="194" ht="35.25" customHeight="1" spans="1:13">
      <c r="A194" s="31" t="str">
        <f>IFERROR(__xludf.DUMMYFUNCTION("""COMPUTED_VALUE"""),"ECE")</f>
        <v>ECE</v>
      </c>
      <c r="B194" s="31" t="str">
        <f>IFERROR(__xludf.DUMMYFUNCTION("""COMPUTED_VALUE"""),"S6")</f>
        <v>S6</v>
      </c>
      <c r="C194" s="31" t="str">
        <f>IFERROR(__xludf.DUMMYFUNCTION("""COMPUTED_VALUE"""),"ELECTIVE 3")</f>
        <v>ELECTIVE 3</v>
      </c>
      <c r="D194" s="31" t="str">
        <f>IFERROR(__xludf.DUMMYFUNCTION("""COMPUTED_VALUE"""),"22EC015")</f>
        <v>22EC015</v>
      </c>
      <c r="E194" s="98" t="str">
        <f>IFERROR(__xludf.DUMMYFUNCTION("""COMPUTED_VALUE"""),"ASIC DESIGN")</f>
        <v>ASIC DESIGN</v>
      </c>
      <c r="F194" s="31" t="str">
        <f>IFERROR(__xludf.DUMMYFUNCTION("""COMPUTED_VALUE"""),"THEORY")</f>
        <v>THEORY</v>
      </c>
      <c r="G194" s="31">
        <f>IFERROR(__xludf.DUMMYFUNCTION("""COMPUTED_VALUE"""),3)</f>
        <v>3</v>
      </c>
      <c r="H194" s="31">
        <f>IFERROR(__xludf.DUMMYFUNCTION("""COMPUTED_VALUE"""),0)</f>
        <v>0</v>
      </c>
      <c r="I194" s="31">
        <f>IFERROR(__xludf.DUMMYFUNCTION("""COMPUTED_VALUE"""),0)</f>
        <v>0</v>
      </c>
      <c r="J194" s="31">
        <f>IFERROR(__xludf.DUMMYFUNCTION("""COMPUTED_VALUE"""),3)</f>
        <v>3</v>
      </c>
      <c r="K194" s="31" t="str">
        <f>IFERROR(__xludf.DUMMYFUNCTION("""COMPUTED_VALUE"""),"EC10603")</f>
        <v>EC10603</v>
      </c>
      <c r="L194" s="31" t="str">
        <f>IFERROR(__xludf.DUMMYFUNCTION("""COMPUTED_VALUE"""),"Mr.RAJA SEKAR S")</f>
        <v>Mr.RAJA SEKAR S</v>
      </c>
      <c r="M194" s="31" t="str">
        <f>IFERROR(__xludf.DUMMYFUNCTION("""COMPUTED_VALUE"""),"rajasekar@bitsathy.ac.in")</f>
        <v>rajasekar@bitsathy.ac.in</v>
      </c>
    </row>
    <row r="195" ht="35.25" customHeight="1" spans="1:13">
      <c r="A195" s="31" t="str">
        <f>IFERROR(__xludf.DUMMYFUNCTION("""COMPUTED_VALUE"""),"ECE")</f>
        <v>ECE</v>
      </c>
      <c r="B195" s="31" t="str">
        <f>IFERROR(__xludf.DUMMYFUNCTION("""COMPUTED_VALUE"""),"S6")</f>
        <v>S6</v>
      </c>
      <c r="C195" s="31" t="str">
        <f>IFERROR(__xludf.DUMMYFUNCTION("""COMPUTED_VALUE"""),"ELECTIVE 3")</f>
        <v>ELECTIVE 3</v>
      </c>
      <c r="D195" s="31" t="str">
        <f>IFERROR(__xludf.DUMMYFUNCTION("""COMPUTED_VALUE"""),"22EC015")</f>
        <v>22EC015</v>
      </c>
      <c r="E195" s="98" t="str">
        <f>IFERROR(__xludf.DUMMYFUNCTION("""COMPUTED_VALUE"""),"ASIC DESIGN")</f>
        <v>ASIC DESIGN</v>
      </c>
      <c r="F195" s="31" t="str">
        <f>IFERROR(__xludf.DUMMYFUNCTION("""COMPUTED_VALUE"""),"THEORY")</f>
        <v>THEORY</v>
      </c>
      <c r="G195" s="31">
        <f>IFERROR(__xludf.DUMMYFUNCTION("""COMPUTED_VALUE"""),3)</f>
        <v>3</v>
      </c>
      <c r="H195" s="31">
        <f>IFERROR(__xludf.DUMMYFUNCTION("""COMPUTED_VALUE"""),0)</f>
        <v>0</v>
      </c>
      <c r="I195" s="31">
        <f>IFERROR(__xludf.DUMMYFUNCTION("""COMPUTED_VALUE"""),0)</f>
        <v>0</v>
      </c>
      <c r="J195" s="31">
        <f>IFERROR(__xludf.DUMMYFUNCTION("""COMPUTED_VALUE"""),3)</f>
        <v>3</v>
      </c>
      <c r="K195" s="31" t="str">
        <f>IFERROR(__xludf.DUMMYFUNCTION("""COMPUTED_VALUE"""),"EC1537")</f>
        <v>EC1537</v>
      </c>
      <c r="L195" s="31" t="str">
        <f>IFERROR(__xludf.DUMMYFUNCTION("""COMPUTED_VALUE"""),"Dr.PUSHPAVALLI M")</f>
        <v>Dr.PUSHPAVALLI M</v>
      </c>
      <c r="M195" s="31" t="str">
        <f>IFERROR(__xludf.DUMMYFUNCTION("""COMPUTED_VALUE"""),"pushpavallim@bitsathy.ac.in")</f>
        <v>pushpavallim@bitsathy.ac.in</v>
      </c>
    </row>
    <row r="196" ht="35.25" customHeight="1" spans="1:13">
      <c r="A196" s="31" t="str">
        <f>IFERROR(__xludf.DUMMYFUNCTION("""COMPUTED_VALUE"""),"ECE")</f>
        <v>ECE</v>
      </c>
      <c r="B196" s="31" t="str">
        <f>IFERROR(__xludf.DUMMYFUNCTION("""COMPUTED_VALUE"""),"S6")</f>
        <v>S6</v>
      </c>
      <c r="C196" s="31" t="str">
        <f>IFERROR(__xludf.DUMMYFUNCTION("""COMPUTED_VALUE"""),"ELECTIVE 4")</f>
        <v>ELECTIVE 4</v>
      </c>
      <c r="D196" s="31" t="str">
        <f>IFERROR(__xludf.DUMMYFUNCTION("""COMPUTED_VALUE"""),"22EC006")</f>
        <v>22EC006</v>
      </c>
      <c r="E196" s="98" t="str">
        <f>IFERROR(__xludf.DUMMYFUNCTION("""COMPUTED_VALUE"""),"VIRTUAL INSTRUMENTATION IN EMBEDDED SYSTEMS")</f>
        <v>VIRTUAL INSTRUMENTATION IN EMBEDDED SYSTEMS</v>
      </c>
      <c r="F196" s="31" t="str">
        <f>IFERROR(__xludf.DUMMYFUNCTION("""COMPUTED_VALUE"""),"THEORY")</f>
        <v>THEORY</v>
      </c>
      <c r="G196" s="31">
        <f>IFERROR(__xludf.DUMMYFUNCTION("""COMPUTED_VALUE"""),3)</f>
        <v>3</v>
      </c>
      <c r="H196" s="31">
        <f>IFERROR(__xludf.DUMMYFUNCTION("""COMPUTED_VALUE"""),0)</f>
        <v>0</v>
      </c>
      <c r="I196" s="31">
        <f>IFERROR(__xludf.DUMMYFUNCTION("""COMPUTED_VALUE"""),0)</f>
        <v>0</v>
      </c>
      <c r="J196" s="31">
        <f>IFERROR(__xludf.DUMMYFUNCTION("""COMPUTED_VALUE"""),3)</f>
        <v>3</v>
      </c>
      <c r="K196" s="31" t="str">
        <f>IFERROR(__xludf.DUMMYFUNCTION("""COMPUTED_VALUE"""),"EC11010")</f>
        <v>EC11010</v>
      </c>
      <c r="L196" s="31" t="str">
        <f>IFERROR(__xludf.DUMMYFUNCTION("""COMPUTED_VALUE"""),"Mrs.MARIAAMUTHA R")</f>
        <v>Mrs.MARIAAMUTHA R</v>
      </c>
      <c r="M196" s="31" t="str">
        <f>IFERROR(__xludf.DUMMYFUNCTION("""COMPUTED_VALUE"""),"mariaamuthar@bitsathy.ac.in")</f>
        <v>mariaamuthar@bitsathy.ac.in</v>
      </c>
    </row>
    <row r="197" ht="35.25" customHeight="1" spans="1:13">
      <c r="A197" s="31" t="str">
        <f>IFERROR(__xludf.DUMMYFUNCTION("""COMPUTED_VALUE"""),"ECE")</f>
        <v>ECE</v>
      </c>
      <c r="B197" s="31" t="str">
        <f>IFERROR(__xludf.DUMMYFUNCTION("""COMPUTED_VALUE"""),"S6")</f>
        <v>S6</v>
      </c>
      <c r="C197" s="31" t="str">
        <f>IFERROR(__xludf.DUMMYFUNCTION("""COMPUTED_VALUE"""),"ELECTIVE 4")</f>
        <v>ELECTIVE 4</v>
      </c>
      <c r="D197" s="31" t="str">
        <f>IFERROR(__xludf.DUMMYFUNCTION("""COMPUTED_VALUE"""),"22EC004")</f>
        <v>22EC004</v>
      </c>
      <c r="E197" s="98" t="str">
        <f>IFERROR(__xludf.DUMMYFUNCTION("""COMPUTED_VALUE"""),"REAL-TIME OPERATING SYSTEMS")</f>
        <v>REAL-TIME OPERATING SYSTEMS</v>
      </c>
      <c r="F197" s="31" t="str">
        <f>IFERROR(__xludf.DUMMYFUNCTION("""COMPUTED_VALUE"""),"THEORY")</f>
        <v>THEORY</v>
      </c>
      <c r="G197" s="31">
        <f>IFERROR(__xludf.DUMMYFUNCTION("""COMPUTED_VALUE"""),3)</f>
        <v>3</v>
      </c>
      <c r="H197" s="31">
        <f>IFERROR(__xludf.DUMMYFUNCTION("""COMPUTED_VALUE"""),0)</f>
        <v>0</v>
      </c>
      <c r="I197" s="31">
        <f>IFERROR(__xludf.DUMMYFUNCTION("""COMPUTED_VALUE"""),0)</f>
        <v>0</v>
      </c>
      <c r="J197" s="31">
        <f>IFERROR(__xludf.DUMMYFUNCTION("""COMPUTED_VALUE"""),3)</f>
        <v>3</v>
      </c>
      <c r="K197" s="31" t="str">
        <f>IFERROR(__xludf.DUMMYFUNCTION("""COMPUTED_VALUE"""),"EC1938")</f>
        <v>EC1938</v>
      </c>
      <c r="L197" s="31" t="str">
        <f>IFERROR(__xludf.DUMMYFUNCTION("""COMPUTED_VALUE"""),"Dr.RAMKUMAR R")</f>
        <v>Dr.RAMKUMAR R</v>
      </c>
      <c r="M197" s="31" t="str">
        <f>IFERROR(__xludf.DUMMYFUNCTION("""COMPUTED_VALUE"""),"ramkumarr@bitsathy.ac.in")</f>
        <v>ramkumarr@bitsathy.ac.in</v>
      </c>
    </row>
    <row r="198" ht="35.25" customHeight="1" spans="1:13">
      <c r="A198" s="31" t="str">
        <f>IFERROR(__xludf.DUMMYFUNCTION("""COMPUTED_VALUE"""),"ECE")</f>
        <v>ECE</v>
      </c>
      <c r="B198" s="31" t="str">
        <f>IFERROR(__xludf.DUMMYFUNCTION("""COMPUTED_VALUE"""),"S6")</f>
        <v>S6</v>
      </c>
      <c r="C198" s="31" t="str">
        <f>IFERROR(__xludf.DUMMYFUNCTION("""COMPUTED_VALUE"""),"ELECTIVE 4")</f>
        <v>ELECTIVE 4</v>
      </c>
      <c r="D198" s="31" t="str">
        <f>IFERROR(__xludf.DUMMYFUNCTION("""COMPUTED_VALUE"""),"22EC004")</f>
        <v>22EC004</v>
      </c>
      <c r="E198" s="98" t="str">
        <f>IFERROR(__xludf.DUMMYFUNCTION("""COMPUTED_VALUE"""),"REAL-TIME OPERATING SYSTEMS")</f>
        <v>REAL-TIME OPERATING SYSTEMS</v>
      </c>
      <c r="F198" s="31" t="str">
        <f>IFERROR(__xludf.DUMMYFUNCTION("""COMPUTED_VALUE"""),"THEORY")</f>
        <v>THEORY</v>
      </c>
      <c r="G198" s="31">
        <f>IFERROR(__xludf.DUMMYFUNCTION("""COMPUTED_VALUE"""),3)</f>
        <v>3</v>
      </c>
      <c r="H198" s="31">
        <f>IFERROR(__xludf.DUMMYFUNCTION("""COMPUTED_VALUE"""),0)</f>
        <v>0</v>
      </c>
      <c r="I198" s="31">
        <f>IFERROR(__xludf.DUMMYFUNCTION("""COMPUTED_VALUE"""),0)</f>
        <v>0</v>
      </c>
      <c r="J198" s="31">
        <f>IFERROR(__xludf.DUMMYFUNCTION("""COMPUTED_VALUE"""),3)</f>
        <v>3</v>
      </c>
      <c r="K198" s="31" t="str">
        <f>IFERROR(__xludf.DUMMYFUNCTION("""COMPUTED_VALUE"""),"EC11043")</f>
        <v>EC11043</v>
      </c>
      <c r="L198" s="31" t="str">
        <f>IFERROR(__xludf.DUMMYFUNCTION("""COMPUTED_VALUE"""),"Mrs.NIVETHA G")</f>
        <v>Mrs.NIVETHA G</v>
      </c>
      <c r="M198" s="31" t="str">
        <f>IFERROR(__xludf.DUMMYFUNCTION("""COMPUTED_VALUE"""),"nivethag@bitsathy.ac.in")</f>
        <v>nivethag@bitsathy.ac.in</v>
      </c>
    </row>
    <row r="199" ht="35.25" customHeight="1" spans="1:13">
      <c r="A199" s="31" t="str">
        <f>IFERROR(__xludf.DUMMYFUNCTION("""COMPUTED_VALUE"""),"ECE")</f>
        <v>ECE</v>
      </c>
      <c r="B199" s="31" t="str">
        <f>IFERROR(__xludf.DUMMYFUNCTION("""COMPUTED_VALUE"""),"S6")</f>
        <v>S6</v>
      </c>
      <c r="C199" s="31" t="str">
        <f>IFERROR(__xludf.DUMMYFUNCTION("""COMPUTED_VALUE"""),"ELECTIVE 4")</f>
        <v>ELECTIVE 4</v>
      </c>
      <c r="D199" s="31" t="str">
        <f>IFERROR(__xludf.DUMMYFUNCTION("""COMPUTED_VALUE"""),"22EC004")</f>
        <v>22EC004</v>
      </c>
      <c r="E199" s="98" t="str">
        <f>IFERROR(__xludf.DUMMYFUNCTION("""COMPUTED_VALUE"""),"REAL-TIME OPERATING SYSTEMS")</f>
        <v>REAL-TIME OPERATING SYSTEMS</v>
      </c>
      <c r="F199" s="31" t="str">
        <f>IFERROR(__xludf.DUMMYFUNCTION("""COMPUTED_VALUE"""),"THEORY")</f>
        <v>THEORY</v>
      </c>
      <c r="G199" s="31">
        <f>IFERROR(__xludf.DUMMYFUNCTION("""COMPUTED_VALUE"""),3)</f>
        <v>3</v>
      </c>
      <c r="H199" s="31">
        <f>IFERROR(__xludf.DUMMYFUNCTION("""COMPUTED_VALUE"""),0)</f>
        <v>0</v>
      </c>
      <c r="I199" s="31">
        <f>IFERROR(__xludf.DUMMYFUNCTION("""COMPUTED_VALUE"""),0)</f>
        <v>0</v>
      </c>
      <c r="J199" s="31">
        <f>IFERROR(__xludf.DUMMYFUNCTION("""COMPUTED_VALUE"""),3)</f>
        <v>3</v>
      </c>
      <c r="K199" s="31"/>
      <c r="L199" s="31"/>
      <c r="M199" s="31"/>
    </row>
    <row r="200" ht="35.25" customHeight="1" spans="1:13">
      <c r="A200" s="31" t="str">
        <f>IFERROR(__xludf.DUMMYFUNCTION("""COMPUTED_VALUE"""),"ECE")</f>
        <v>ECE</v>
      </c>
      <c r="B200" s="31" t="str">
        <f>IFERROR(__xludf.DUMMYFUNCTION("""COMPUTED_VALUE"""),"S6")</f>
        <v>S6</v>
      </c>
      <c r="C200" s="31" t="str">
        <f>IFERROR(__xludf.DUMMYFUNCTION("""COMPUTED_VALUE"""),"ELECTIVE 4")</f>
        <v>ELECTIVE 4</v>
      </c>
      <c r="D200" s="31" t="str">
        <f>IFERROR(__xludf.DUMMYFUNCTION("""COMPUTED_VALUE"""),"22EC004")</f>
        <v>22EC004</v>
      </c>
      <c r="E200" s="98" t="str">
        <f>IFERROR(__xludf.DUMMYFUNCTION("""COMPUTED_VALUE"""),"REAL-TIME OPERATING SYSTEMS")</f>
        <v>REAL-TIME OPERATING SYSTEMS</v>
      </c>
      <c r="F200" s="31" t="str">
        <f>IFERROR(__xludf.DUMMYFUNCTION("""COMPUTED_VALUE"""),"THEORY")</f>
        <v>THEORY</v>
      </c>
      <c r="G200" s="31">
        <f>IFERROR(__xludf.DUMMYFUNCTION("""COMPUTED_VALUE"""),3)</f>
        <v>3</v>
      </c>
      <c r="H200" s="31">
        <f>IFERROR(__xludf.DUMMYFUNCTION("""COMPUTED_VALUE"""),0)</f>
        <v>0</v>
      </c>
      <c r="I200" s="31">
        <f>IFERROR(__xludf.DUMMYFUNCTION("""COMPUTED_VALUE"""),0)</f>
        <v>0</v>
      </c>
      <c r="J200" s="31">
        <f>IFERROR(__xludf.DUMMYFUNCTION("""COMPUTED_VALUE"""),3)</f>
        <v>3</v>
      </c>
      <c r="K200" s="31" t="str">
        <f>IFERROR(__xludf.DUMMYFUNCTION("""COMPUTED_VALUE"""),"EC1911")</f>
        <v>EC1911</v>
      </c>
      <c r="L200" s="31" t="str">
        <f>IFERROR(__xludf.DUMMYFUNCTION("""COMPUTED_VALUE"""),"Dr.DANIEL RAJ A")</f>
        <v>Dr.DANIEL RAJ A</v>
      </c>
      <c r="M200" s="31" t="str">
        <f>IFERROR(__xludf.DUMMYFUNCTION("""COMPUTED_VALUE"""),"danielraja@bitsathy.ac.in")</f>
        <v>danielraja@bitsathy.ac.in</v>
      </c>
    </row>
    <row r="201" ht="35.25" customHeight="1" spans="1:13">
      <c r="A201" s="31" t="str">
        <f>IFERROR(__xludf.DUMMYFUNCTION("""COMPUTED_VALUE"""),"ECE")</f>
        <v>ECE</v>
      </c>
      <c r="B201" s="31" t="str">
        <f>IFERROR(__xludf.DUMMYFUNCTION("""COMPUTED_VALUE"""),"S6")</f>
        <v>S6</v>
      </c>
      <c r="C201" s="31" t="str">
        <f>IFERROR(__xludf.DUMMYFUNCTION("""COMPUTED_VALUE"""),"ADD COURSE")</f>
        <v>ADD COURSE</v>
      </c>
      <c r="D201" s="31" t="str">
        <f>IFERROR(__xludf.DUMMYFUNCTION("""COMPUTED_VALUE"""),"22EC003")</f>
        <v>22EC003</v>
      </c>
      <c r="E201" s="98" t="str">
        <f>IFERROR(__xludf.DUMMYFUNCTION("""COMPUTED_VALUE"""),"EMBEDDED C PROGRAMMING")</f>
        <v>EMBEDDED C PROGRAMMING</v>
      </c>
      <c r="F201" s="31" t="str">
        <f>IFERROR(__xludf.DUMMYFUNCTION("""COMPUTED_VALUE"""),"THEORY")</f>
        <v>THEORY</v>
      </c>
      <c r="G201" s="31">
        <f>IFERROR(__xludf.DUMMYFUNCTION("""COMPUTED_VALUE"""),3)</f>
        <v>3</v>
      </c>
      <c r="H201" s="31">
        <f>IFERROR(__xludf.DUMMYFUNCTION("""COMPUTED_VALUE"""),0)</f>
        <v>0</v>
      </c>
      <c r="I201" s="31">
        <f>IFERROR(__xludf.DUMMYFUNCTION("""COMPUTED_VALUE"""),0)</f>
        <v>0</v>
      </c>
      <c r="J201" s="31">
        <f>IFERROR(__xludf.DUMMYFUNCTION("""COMPUTED_VALUE"""),3)</f>
        <v>3</v>
      </c>
      <c r="K201" s="31" t="str">
        <f>IFERROR(__xludf.DUMMYFUNCTION("""COMPUTED_VALUE"""),"EC1834")</f>
        <v>EC1834</v>
      </c>
      <c r="L201" s="31" t="str">
        <f>IFERROR(__xludf.DUMMYFUNCTION("""COMPUTED_VALUE"""),"Dr.SANJOY DEB")</f>
        <v>Dr.SANJOY DEB</v>
      </c>
      <c r="M201" s="31" t="str">
        <f>IFERROR(__xludf.DUMMYFUNCTION("""COMPUTED_VALUE"""),"sanjoydeb@bitsathy.ac.in")</f>
        <v>sanjoydeb@bitsathy.ac.in</v>
      </c>
    </row>
    <row r="202" ht="35.25" customHeight="1" spans="1:13">
      <c r="A202" s="31" t="str">
        <f>IFERROR(__xludf.DUMMYFUNCTION("""COMPUTED_VALUE"""),"ECE")</f>
        <v>ECE</v>
      </c>
      <c r="B202" s="31" t="str">
        <f>IFERROR(__xludf.DUMMYFUNCTION("""COMPUTED_VALUE"""),"S6")</f>
        <v>S6</v>
      </c>
      <c r="C202" s="31" t="str">
        <f>IFERROR(__xludf.DUMMYFUNCTION("""COMPUTED_VALUE"""),"ADD COURSE")</f>
        <v>ADD COURSE</v>
      </c>
      <c r="D202" s="31" t="str">
        <f>IFERROR(__xludf.DUMMYFUNCTION("""COMPUTED_VALUE"""),"22EC003")</f>
        <v>22EC003</v>
      </c>
      <c r="E202" s="98" t="str">
        <f>IFERROR(__xludf.DUMMYFUNCTION("""COMPUTED_VALUE"""),"EMBEDDED C PROGRAMMING")</f>
        <v>EMBEDDED C PROGRAMMING</v>
      </c>
      <c r="F202" s="31" t="str">
        <f>IFERROR(__xludf.DUMMYFUNCTION("""COMPUTED_VALUE"""),"THEORY")</f>
        <v>THEORY</v>
      </c>
      <c r="G202" s="31">
        <f>IFERROR(__xludf.DUMMYFUNCTION("""COMPUTED_VALUE"""),3)</f>
        <v>3</v>
      </c>
      <c r="H202" s="31">
        <f>IFERROR(__xludf.DUMMYFUNCTION("""COMPUTED_VALUE"""),0)</f>
        <v>0</v>
      </c>
      <c r="I202" s="31">
        <f>IFERROR(__xludf.DUMMYFUNCTION("""COMPUTED_VALUE"""),0)</f>
        <v>0</v>
      </c>
      <c r="J202" s="31">
        <f>IFERROR(__xludf.DUMMYFUNCTION("""COMPUTED_VALUE"""),3)</f>
        <v>3</v>
      </c>
      <c r="K202" s="31" t="str">
        <f>IFERROR(__xludf.DUMMYFUNCTION("""COMPUTED_VALUE"""),"EC10813")</f>
        <v>EC10813</v>
      </c>
      <c r="L202" s="31" t="str">
        <f>IFERROR(__xludf.DUMMYFUNCTION("""COMPUTED_VALUE"""),"Ms.SHARMILA A")</f>
        <v>Ms.SHARMILA A</v>
      </c>
      <c r="M202" s="31" t="str">
        <f>IFERROR(__xludf.DUMMYFUNCTION("""COMPUTED_VALUE"""),"sharmilaa@bitsathy.ac.in")</f>
        <v>sharmilaa@bitsathy.ac.in</v>
      </c>
    </row>
    <row r="203" ht="35.25" customHeight="1" spans="1:13">
      <c r="A203" s="31" t="str">
        <f>IFERROR(__xludf.DUMMYFUNCTION("""COMPUTED_VALUE"""),"ECE")</f>
        <v>ECE</v>
      </c>
      <c r="B203" s="31" t="str">
        <f>IFERROR(__xludf.DUMMYFUNCTION("""COMPUTED_VALUE"""),"S6")</f>
        <v>S6</v>
      </c>
      <c r="C203" s="31" t="str">
        <f>IFERROR(__xludf.DUMMYFUNCTION("""COMPUTED_VALUE"""),"ADD COURSE")</f>
        <v>ADD COURSE</v>
      </c>
      <c r="D203" s="31" t="str">
        <f>IFERROR(__xludf.DUMMYFUNCTION("""COMPUTED_VALUE"""),"22EC003")</f>
        <v>22EC003</v>
      </c>
      <c r="E203" s="98" t="str">
        <f>IFERROR(__xludf.DUMMYFUNCTION("""COMPUTED_VALUE"""),"EMBEDDED C PROGRAMMING")</f>
        <v>EMBEDDED C PROGRAMMING</v>
      </c>
      <c r="F203" s="31" t="str">
        <f>IFERROR(__xludf.DUMMYFUNCTION("""COMPUTED_VALUE"""),"THEORY")</f>
        <v>THEORY</v>
      </c>
      <c r="G203" s="31">
        <f>IFERROR(__xludf.DUMMYFUNCTION("""COMPUTED_VALUE"""),3)</f>
        <v>3</v>
      </c>
      <c r="H203" s="31">
        <f>IFERROR(__xludf.DUMMYFUNCTION("""COMPUTED_VALUE"""),0)</f>
        <v>0</v>
      </c>
      <c r="I203" s="31">
        <f>IFERROR(__xludf.DUMMYFUNCTION("""COMPUTED_VALUE"""),0)</f>
        <v>0</v>
      </c>
      <c r="J203" s="31">
        <f>IFERROR(__xludf.DUMMYFUNCTION("""COMPUTED_VALUE"""),3)</f>
        <v>3</v>
      </c>
      <c r="K203" s="31" t="str">
        <f>IFERROR(__xludf.DUMMYFUNCTION("""COMPUTED_VALUE"""),"EC11047")</f>
        <v>EC11047</v>
      </c>
      <c r="L203" s="31" t="str">
        <f>IFERROR(__xludf.DUMMYFUNCTION("""COMPUTED_VALUE"""),"Mr.RAMESH R")</f>
        <v>Mr.RAMESH R</v>
      </c>
      <c r="M203" s="31" t="str">
        <f>IFERROR(__xludf.DUMMYFUNCTION("""COMPUTED_VALUE"""),"rameshr@bitsathy.ac.in")</f>
        <v>rameshr@bitsathy.ac.in</v>
      </c>
    </row>
    <row r="204" ht="35.25" customHeight="1" spans="1:13">
      <c r="A204" s="31" t="str">
        <f>IFERROR(__xludf.DUMMYFUNCTION("""COMPUTED_VALUE"""),"ECE")</f>
        <v>ECE</v>
      </c>
      <c r="B204" s="31" t="str">
        <f>IFERROR(__xludf.DUMMYFUNCTION("""COMPUTED_VALUE"""),"S6")</f>
        <v>S6</v>
      </c>
      <c r="C204" s="31" t="str">
        <f>IFERROR(__xludf.DUMMYFUNCTION("""COMPUTED_VALUE"""),"OPEN ELECTIVE")</f>
        <v>OPEN ELECTIVE</v>
      </c>
      <c r="D204" s="31" t="str">
        <f>IFERROR(__xludf.DUMMYFUNCTION("""COMPUTED_VALUE"""),"22OEC03")</f>
        <v>22OEC03</v>
      </c>
      <c r="E204" s="98" t="str">
        <f>IFERROR(__xludf.DUMMYFUNCTION("""COMPUTED_VALUE"""),"PRINCIPLES OF COMMUNICATION SYSTEMS")</f>
        <v>PRINCIPLES OF COMMUNICATION SYSTEMS</v>
      </c>
      <c r="F204" s="31" t="str">
        <f>IFERROR(__xludf.DUMMYFUNCTION("""COMPUTED_VALUE"""),"THEORY")</f>
        <v>THEORY</v>
      </c>
      <c r="G204" s="31">
        <f>IFERROR(__xludf.DUMMYFUNCTION("""COMPUTED_VALUE"""),3)</f>
        <v>3</v>
      </c>
      <c r="H204" s="31">
        <f>IFERROR(__xludf.DUMMYFUNCTION("""COMPUTED_VALUE"""),0)</f>
        <v>0</v>
      </c>
      <c r="I204" s="31">
        <f>IFERROR(__xludf.DUMMYFUNCTION("""COMPUTED_VALUE"""),0)</f>
        <v>0</v>
      </c>
      <c r="J204" s="31">
        <f>IFERROR(__xludf.DUMMYFUNCTION("""COMPUTED_VALUE"""),3)</f>
        <v>3</v>
      </c>
      <c r="K204" s="31" t="str">
        <f>IFERROR(__xludf.DUMMYFUNCTION("""COMPUTED_VALUE"""),"EC10443")</f>
        <v>EC10443</v>
      </c>
      <c r="L204" s="31" t="str">
        <f>IFERROR(__xludf.DUMMYFUNCTION("""COMPUTED_VALUE"""),"Mr.BARANIDHARAN V")</f>
        <v>Mr.BARANIDHARAN V</v>
      </c>
      <c r="M204" s="31" t="str">
        <f>IFERROR(__xludf.DUMMYFUNCTION("""COMPUTED_VALUE"""),"baranidharan@bitsathy.ac.in")</f>
        <v>baranidharan@bitsathy.ac.in</v>
      </c>
    </row>
    <row r="205" ht="35.25" customHeight="1" spans="1:13">
      <c r="A205" s="31" t="str">
        <f>IFERROR(__xludf.DUMMYFUNCTION("""COMPUTED_VALUE"""),"ECE")</f>
        <v>ECE</v>
      </c>
      <c r="B205" s="31" t="str">
        <f>IFERROR(__xludf.DUMMYFUNCTION("""COMPUTED_VALUE"""),"S6")</f>
        <v>S6</v>
      </c>
      <c r="C205" s="31" t="str">
        <f>IFERROR(__xludf.DUMMYFUNCTION("""COMPUTED_VALUE"""),"HONOURS")</f>
        <v>HONOURS</v>
      </c>
      <c r="D205" s="31" t="str">
        <f>IFERROR(__xludf.DUMMYFUNCTION("""COMPUTED_VALUE"""),"22ECH09/22EIH04")</f>
        <v>22ECH09/22EIH04</v>
      </c>
      <c r="E205" s="98" t="str">
        <f>IFERROR(__xludf.DUMMYFUNCTION("""COMPUTED_VALUE"""),"IoT SYSTEM DESIGN")</f>
        <v>IoT SYSTEM DESIGN</v>
      </c>
      <c r="F205" s="31" t="str">
        <f>IFERROR(__xludf.DUMMYFUNCTION("""COMPUTED_VALUE"""),"THEORY")</f>
        <v>THEORY</v>
      </c>
      <c r="G205" s="31">
        <f>IFERROR(__xludf.DUMMYFUNCTION("""COMPUTED_VALUE"""),3)</f>
        <v>3</v>
      </c>
      <c r="H205" s="31">
        <f>IFERROR(__xludf.DUMMYFUNCTION("""COMPUTED_VALUE"""),0)</f>
        <v>0</v>
      </c>
      <c r="I205" s="31">
        <f>IFERROR(__xludf.DUMMYFUNCTION("""COMPUTED_VALUE"""),0)</f>
        <v>0</v>
      </c>
      <c r="J205" s="31">
        <f>IFERROR(__xludf.DUMMYFUNCTION("""COMPUTED_VALUE"""),3)</f>
        <v>3</v>
      </c>
      <c r="K205" s="31" t="str">
        <f>IFERROR(__xludf.DUMMYFUNCTION("""COMPUTED_VALUE"""),"EC11047")</f>
        <v>EC11047</v>
      </c>
      <c r="L205" s="31" t="str">
        <f>IFERROR(__xludf.DUMMYFUNCTION("""COMPUTED_VALUE"""),"Mr.RAMESH R")</f>
        <v>Mr.RAMESH R</v>
      </c>
      <c r="M205" s="31" t="str">
        <f>IFERROR(__xludf.DUMMYFUNCTION("""COMPUTED_VALUE"""),"rameshr@bitsathy.ac.in")</f>
        <v>rameshr@bitsathy.ac.in</v>
      </c>
    </row>
    <row r="206" ht="35.25" customHeight="1" spans="1:13">
      <c r="A206" s="31" t="str">
        <f>IFERROR(__xludf.DUMMYFUNCTION("""COMPUTED_VALUE"""),"ECE")</f>
        <v>ECE</v>
      </c>
      <c r="B206" s="31" t="str">
        <f>IFERROR(__xludf.DUMMYFUNCTION("""COMPUTED_VALUE"""),"S6")</f>
        <v>S6</v>
      </c>
      <c r="C206" s="31" t="str">
        <f>IFERROR(__xludf.DUMMYFUNCTION("""COMPUTED_VALUE"""),"HONOURS")</f>
        <v>HONOURS</v>
      </c>
      <c r="D206" s="31" t="str">
        <f>IFERROR(__xludf.DUMMYFUNCTION("""COMPUTED_VALUE"""),"22ECH10/22EIH05")</f>
        <v>22ECH10/22EIH05</v>
      </c>
      <c r="E206" s="98" t="str">
        <f>IFERROR(__xludf.DUMMYFUNCTION("""COMPUTED_VALUE"""),"WIRELESS SENSOR NETWORK DESIGN")</f>
        <v>WIRELESS SENSOR NETWORK DESIGN</v>
      </c>
      <c r="F206" s="31" t="str">
        <f>IFERROR(__xludf.DUMMYFUNCTION("""COMPUTED_VALUE"""),"THEORY")</f>
        <v>THEORY</v>
      </c>
      <c r="G206" s="31">
        <f>IFERROR(__xludf.DUMMYFUNCTION("""COMPUTED_VALUE"""),3)</f>
        <v>3</v>
      </c>
      <c r="H206" s="31">
        <f>IFERROR(__xludf.DUMMYFUNCTION("""COMPUTED_VALUE"""),0)</f>
        <v>0</v>
      </c>
      <c r="I206" s="31">
        <f>IFERROR(__xludf.DUMMYFUNCTION("""COMPUTED_VALUE"""),0)</f>
        <v>0</v>
      </c>
      <c r="J206" s="31">
        <f>IFERROR(__xludf.DUMMYFUNCTION("""COMPUTED_VALUE"""),3)</f>
        <v>3</v>
      </c>
      <c r="K206" s="31" t="str">
        <f>IFERROR(__xludf.DUMMYFUNCTION("""COMPUTED_VALUE"""),"EC10775")</f>
        <v>EC10775</v>
      </c>
      <c r="L206" s="31" t="str">
        <f>IFERROR(__xludf.DUMMYFUNCTION("""COMPUTED_VALUE"""),"Mrs.MYTHILI S")</f>
        <v>Mrs.MYTHILI S</v>
      </c>
      <c r="M206" s="31" t="str">
        <f>IFERROR(__xludf.DUMMYFUNCTION("""COMPUTED_VALUE"""),"mythilis@bitsathy.ac.in")</f>
        <v>mythilis@bitsathy.ac.in</v>
      </c>
    </row>
    <row r="207" ht="35.25" customHeight="1" spans="1:13">
      <c r="A207" s="31" t="str">
        <f>IFERROR(__xludf.DUMMYFUNCTION("""COMPUTED_VALUE"""),"ECE")</f>
        <v>ECE</v>
      </c>
      <c r="B207" s="31" t="str">
        <f>IFERROR(__xludf.DUMMYFUNCTION("""COMPUTED_VALUE"""),"S6")</f>
        <v>S6</v>
      </c>
      <c r="C207" s="31" t="str">
        <f>IFERROR(__xludf.DUMMYFUNCTION("""COMPUTED_VALUE"""),"MINI PROJECT")</f>
        <v>MINI PROJECT</v>
      </c>
      <c r="D207" s="31" t="str">
        <f>IFERROR(__xludf.DUMMYFUNCTION("""COMPUTED_VALUE"""),"22EC607")</f>
        <v>22EC607</v>
      </c>
      <c r="E207" s="98" t="str">
        <f>IFERROR(__xludf.DUMMYFUNCTION("""COMPUTED_VALUE"""),"MINI PROJECT II")</f>
        <v>MINI PROJECT II</v>
      </c>
      <c r="F207" s="31" t="str">
        <f>IFERROR(__xludf.DUMMYFUNCTION("""COMPUTED_VALUE"""),"LAB")</f>
        <v>LAB</v>
      </c>
      <c r="G207" s="31">
        <f>IFERROR(__xludf.DUMMYFUNCTION("""COMPUTED_VALUE"""),0)</f>
        <v>0</v>
      </c>
      <c r="H207" s="31">
        <f>IFERROR(__xludf.DUMMYFUNCTION("""COMPUTED_VALUE"""),0)</f>
        <v>0</v>
      </c>
      <c r="I207" s="31">
        <f>IFERROR(__xludf.DUMMYFUNCTION("""COMPUTED_VALUE"""),2)</f>
        <v>2</v>
      </c>
      <c r="J207" s="31">
        <f>IFERROR(__xludf.DUMMYFUNCTION("""COMPUTED_VALUE"""),1)</f>
        <v>1</v>
      </c>
      <c r="K207" s="31"/>
      <c r="L207" s="31"/>
      <c r="M207" s="31"/>
    </row>
    <row r="208" ht="35.25" customHeight="1" spans="1:13">
      <c r="A208" s="31" t="str">
        <f>IFERROR(__xludf.DUMMYFUNCTION("""COMPUTED_VALUE"""),"EIE")</f>
        <v>EIE</v>
      </c>
      <c r="B208" s="31" t="str">
        <f>IFERROR(__xludf.DUMMYFUNCTION("""COMPUTED_VALUE"""),"S6")</f>
        <v>S6</v>
      </c>
      <c r="C208" s="31" t="str">
        <f>IFERROR(__xludf.DUMMYFUNCTION("""COMPUTED_VALUE"""),"CORE")</f>
        <v>CORE</v>
      </c>
      <c r="D208" s="31" t="str">
        <f>IFERROR(__xludf.DUMMYFUNCTION("""COMPUTED_VALUE"""),"22EI601")</f>
        <v>22EI601</v>
      </c>
      <c r="E208" s="98" t="str">
        <f>IFERROR(__xludf.DUMMYFUNCTION("""COMPUTED_VALUE"""),"PROCESS CONTROL")</f>
        <v>PROCESS CONTROL</v>
      </c>
      <c r="F208" s="31" t="str">
        <f>IFERROR(__xludf.DUMMYFUNCTION("""COMPUTED_VALUE"""),"THEORY")</f>
        <v>THEORY</v>
      </c>
      <c r="G208" s="31">
        <f>IFERROR(__xludf.DUMMYFUNCTION("""COMPUTED_VALUE"""),3)</f>
        <v>3</v>
      </c>
      <c r="H208" s="31">
        <f>IFERROR(__xludf.DUMMYFUNCTION("""COMPUTED_VALUE"""),0)</f>
        <v>0</v>
      </c>
      <c r="I208" s="31">
        <f>IFERROR(__xludf.DUMMYFUNCTION("""COMPUTED_VALUE"""),2)</f>
        <v>2</v>
      </c>
      <c r="J208" s="31">
        <f>IFERROR(__xludf.DUMMYFUNCTION("""COMPUTED_VALUE"""),4)</f>
        <v>4</v>
      </c>
      <c r="K208" s="31" t="str">
        <f>IFERROR(__xludf.DUMMYFUNCTION("""COMPUTED_VALUE"""),"EI1438")</f>
        <v>EI1438</v>
      </c>
      <c r="L208" s="31" t="str">
        <f>IFERROR(__xludf.DUMMYFUNCTION("""COMPUTED_VALUE"""),"Dr.VAIRAVEL K S")</f>
        <v>Dr.VAIRAVEL K S</v>
      </c>
      <c r="M208" s="31" t="str">
        <f>IFERROR(__xludf.DUMMYFUNCTION("""COMPUTED_VALUE"""),"vairavelks@bitsathy.ac.in")</f>
        <v>vairavelks@bitsathy.ac.in</v>
      </c>
    </row>
    <row r="209" ht="35.25" customHeight="1" spans="1:13">
      <c r="A209" s="31" t="str">
        <f>IFERROR(__xludf.DUMMYFUNCTION("""COMPUTED_VALUE"""),"EIE")</f>
        <v>EIE</v>
      </c>
      <c r="B209" s="31" t="str">
        <f>IFERROR(__xludf.DUMMYFUNCTION("""COMPUTED_VALUE"""),"S6")</f>
        <v>S6</v>
      </c>
      <c r="C209" s="31" t="str">
        <f>IFERROR(__xludf.DUMMYFUNCTION("""COMPUTED_VALUE"""),"CORE")</f>
        <v>CORE</v>
      </c>
      <c r="D209" s="31" t="str">
        <f>IFERROR(__xludf.DUMMYFUNCTION("""COMPUTED_VALUE"""),"22EI601")</f>
        <v>22EI601</v>
      </c>
      <c r="E209" s="98" t="str">
        <f>IFERROR(__xludf.DUMMYFUNCTION("""COMPUTED_VALUE"""),"PROCESS CONTROL")</f>
        <v>PROCESS CONTROL</v>
      </c>
      <c r="F209" s="31" t="str">
        <f>IFERROR(__xludf.DUMMYFUNCTION("""COMPUTED_VALUE"""),"LAB")</f>
        <v>LAB</v>
      </c>
      <c r="G209" s="31">
        <f>IFERROR(__xludf.DUMMYFUNCTION("""COMPUTED_VALUE"""),3)</f>
        <v>3</v>
      </c>
      <c r="H209" s="31">
        <f>IFERROR(__xludf.DUMMYFUNCTION("""COMPUTED_VALUE"""),0)</f>
        <v>0</v>
      </c>
      <c r="I209" s="31">
        <f>IFERROR(__xludf.DUMMYFUNCTION("""COMPUTED_VALUE"""),2)</f>
        <v>2</v>
      </c>
      <c r="J209" s="31">
        <f>IFERROR(__xludf.DUMMYFUNCTION("""COMPUTED_VALUE"""),4)</f>
        <v>4</v>
      </c>
      <c r="K209" s="31" t="str">
        <f>IFERROR(__xludf.DUMMYFUNCTION("""COMPUTED_VALUE"""),"EI10459")</f>
        <v>EI10459</v>
      </c>
      <c r="L209" s="31" t="str">
        <f>IFERROR(__xludf.DUMMYFUNCTION("""COMPUTED_VALUE"""),"Mr.PRAVIN SAVARIDASS M")</f>
        <v>Mr.PRAVIN SAVARIDASS M</v>
      </c>
      <c r="M209" s="31" t="str">
        <f>IFERROR(__xludf.DUMMYFUNCTION("""COMPUTED_VALUE"""),"pravinsavaridass@bitsathy.ac.in")</f>
        <v>pravinsavaridass@bitsathy.ac.in</v>
      </c>
    </row>
    <row r="210" ht="35.25" customHeight="1" spans="1:13">
      <c r="A210" s="31" t="str">
        <f>IFERROR(__xludf.DUMMYFUNCTION("""COMPUTED_VALUE"""),"EIE")</f>
        <v>EIE</v>
      </c>
      <c r="B210" s="31" t="str">
        <f>IFERROR(__xludf.DUMMYFUNCTION("""COMPUTED_VALUE"""),"S6")</f>
        <v>S6</v>
      </c>
      <c r="C210" s="31" t="str">
        <f>IFERROR(__xludf.DUMMYFUNCTION("""COMPUTED_VALUE"""),"CORE")</f>
        <v>CORE</v>
      </c>
      <c r="D210" s="31" t="str">
        <f>IFERROR(__xludf.DUMMYFUNCTION("""COMPUTED_VALUE"""),"22EI602")</f>
        <v>22EI602</v>
      </c>
      <c r="E210" s="98" t="str">
        <f>IFERROR(__xludf.DUMMYFUNCTION("""COMPUTED_VALUE"""),"DIGITAL SIGNAL PROCESSING")</f>
        <v>DIGITAL SIGNAL PROCESSING</v>
      </c>
      <c r="F210" s="31" t="str">
        <f>IFERROR(__xludf.DUMMYFUNCTION("""COMPUTED_VALUE"""),"THEORY")</f>
        <v>THEORY</v>
      </c>
      <c r="G210" s="31">
        <f>IFERROR(__xludf.DUMMYFUNCTION("""COMPUTED_VALUE"""),3)</f>
        <v>3</v>
      </c>
      <c r="H210" s="31">
        <f>IFERROR(__xludf.DUMMYFUNCTION("""COMPUTED_VALUE"""),1)</f>
        <v>1</v>
      </c>
      <c r="I210" s="31">
        <f>IFERROR(__xludf.DUMMYFUNCTION("""COMPUTED_VALUE"""),0)</f>
        <v>0</v>
      </c>
      <c r="J210" s="31">
        <f>IFERROR(__xludf.DUMMYFUNCTION("""COMPUTED_VALUE"""),4)</f>
        <v>4</v>
      </c>
      <c r="K210" s="31" t="str">
        <f>IFERROR(__xludf.DUMMYFUNCTION("""COMPUTED_VALUE"""),"EI1688")</f>
        <v>EI1688</v>
      </c>
      <c r="L210" s="31" t="str">
        <f>IFERROR(__xludf.DUMMYFUNCTION("""COMPUTED_VALUE"""),"Dr.SUDHAHAR S")</f>
        <v>Dr.SUDHAHAR S</v>
      </c>
      <c r="M210" s="31" t="str">
        <f>IFERROR(__xludf.DUMMYFUNCTION("""COMPUTED_VALUE"""),"sudhahars@bitsathy.ac.in")</f>
        <v>sudhahars@bitsathy.ac.in</v>
      </c>
    </row>
    <row r="211" ht="35.25" customHeight="1" spans="1:13">
      <c r="A211" s="31" t="str">
        <f>IFERROR(__xludf.DUMMYFUNCTION("""COMPUTED_VALUE"""),"EIE")</f>
        <v>EIE</v>
      </c>
      <c r="B211" s="31" t="str">
        <f>IFERROR(__xludf.DUMMYFUNCTION("""COMPUTED_VALUE"""),"S6")</f>
        <v>S6</v>
      </c>
      <c r="C211" s="31" t="str">
        <f>IFERROR(__xludf.DUMMYFUNCTION("""COMPUTED_VALUE"""),"CORE")</f>
        <v>CORE</v>
      </c>
      <c r="D211" s="31" t="str">
        <f>IFERROR(__xludf.DUMMYFUNCTION("""COMPUTED_VALUE"""),"22EI603")</f>
        <v>22EI603</v>
      </c>
      <c r="E211" s="98" t="str">
        <f>IFERROR(__xludf.DUMMYFUNCTION("""COMPUTED_VALUE"""),"ARTIFICIAL INTELLIGENCE AND MACHINE LEARNING")</f>
        <v>ARTIFICIAL INTELLIGENCE AND MACHINE LEARNING</v>
      </c>
      <c r="F211" s="31" t="str">
        <f>IFERROR(__xludf.DUMMYFUNCTION("""COMPUTED_VALUE"""),"THEORY")</f>
        <v>THEORY</v>
      </c>
      <c r="G211" s="31">
        <f>IFERROR(__xludf.DUMMYFUNCTION("""COMPUTED_VALUE"""),3)</f>
        <v>3</v>
      </c>
      <c r="H211" s="31">
        <f>IFERROR(__xludf.DUMMYFUNCTION("""COMPUTED_VALUE"""),0)</f>
        <v>0</v>
      </c>
      <c r="I211" s="31">
        <f>IFERROR(__xludf.DUMMYFUNCTION("""COMPUTED_VALUE"""),2)</f>
        <v>2</v>
      </c>
      <c r="J211" s="31">
        <f>IFERROR(__xludf.DUMMYFUNCTION("""COMPUTED_VALUE"""),4)</f>
        <v>4</v>
      </c>
      <c r="K211" s="31" t="str">
        <f>IFERROR(__xludf.DUMMYFUNCTION("""COMPUTED_VALUE"""),"EI10187")</f>
        <v>EI10187</v>
      </c>
      <c r="L211" s="31" t="str">
        <f>IFERROR(__xludf.DUMMYFUNCTION("""COMPUTED_VALUE"""),"Dr.BALAMURUGAN V T")</f>
        <v>Dr.BALAMURUGAN V T</v>
      </c>
      <c r="M211" s="31" t="str">
        <f>IFERROR(__xludf.DUMMYFUNCTION("""COMPUTED_VALUE"""),"balamurugan@bitsathy.ac.in")</f>
        <v>balamurugan@bitsathy.ac.in</v>
      </c>
    </row>
    <row r="212" ht="35.25" customHeight="1" spans="1:13">
      <c r="A212" s="31" t="str">
        <f>IFERROR(__xludf.DUMMYFUNCTION("""COMPUTED_VALUE"""),"EIE")</f>
        <v>EIE</v>
      </c>
      <c r="B212" s="31" t="str">
        <f>IFERROR(__xludf.DUMMYFUNCTION("""COMPUTED_VALUE"""),"S6")</f>
        <v>S6</v>
      </c>
      <c r="C212" s="31" t="str">
        <f>IFERROR(__xludf.DUMMYFUNCTION("""COMPUTED_VALUE"""),"CORE")</f>
        <v>CORE</v>
      </c>
      <c r="D212" s="31" t="str">
        <f>IFERROR(__xludf.DUMMYFUNCTION("""COMPUTED_VALUE"""),"22EI603")</f>
        <v>22EI603</v>
      </c>
      <c r="E212" s="98" t="str">
        <f>IFERROR(__xludf.DUMMYFUNCTION("""COMPUTED_VALUE"""),"ARTIFICIAL INTELLIGENCE AND MACHINE LEARNING")</f>
        <v>ARTIFICIAL INTELLIGENCE AND MACHINE LEARNING</v>
      </c>
      <c r="F212" s="31" t="str">
        <f>IFERROR(__xludf.DUMMYFUNCTION("""COMPUTED_VALUE"""),"LAB")</f>
        <v>LAB</v>
      </c>
      <c r="G212" s="31">
        <f>IFERROR(__xludf.DUMMYFUNCTION("""COMPUTED_VALUE"""),3)</f>
        <v>3</v>
      </c>
      <c r="H212" s="31">
        <f>IFERROR(__xludf.DUMMYFUNCTION("""COMPUTED_VALUE"""),0)</f>
        <v>0</v>
      </c>
      <c r="I212" s="31">
        <f>IFERROR(__xludf.DUMMYFUNCTION("""COMPUTED_VALUE"""),2)</f>
        <v>2</v>
      </c>
      <c r="J212" s="31">
        <f>IFERROR(__xludf.DUMMYFUNCTION("""COMPUTED_VALUE"""),4)</f>
        <v>4</v>
      </c>
      <c r="K212" s="31" t="str">
        <f>IFERROR(__xludf.DUMMYFUNCTION("""COMPUTED_VALUE"""),"AD11169")</f>
        <v>AD11169</v>
      </c>
      <c r="L212" s="31" t="str">
        <f>IFERROR(__xludf.DUMMYFUNCTION("""COMPUTED_VALUE"""),"Mrs.MANOCHITRA A S")</f>
        <v>Mrs.MANOCHITRA A S</v>
      </c>
      <c r="M212" s="31" t="str">
        <f>IFERROR(__xludf.DUMMYFUNCTION("""COMPUTED_VALUE"""),"manochitra@bitsathy.ac.in")</f>
        <v>manochitra@bitsathy.ac.in</v>
      </c>
    </row>
    <row r="213" ht="35.25" customHeight="1" spans="1:13">
      <c r="A213" s="31" t="str">
        <f>IFERROR(__xludf.DUMMYFUNCTION("""COMPUTED_VALUE"""),"EIE")</f>
        <v>EIE</v>
      </c>
      <c r="B213" s="31" t="str">
        <f>IFERROR(__xludf.DUMMYFUNCTION("""COMPUTED_VALUE"""),"S6")</f>
        <v>S6</v>
      </c>
      <c r="C213" s="31" t="str">
        <f>IFERROR(__xludf.DUMMYFUNCTION("""COMPUTED_VALUE"""),"ELECTIVE 3")</f>
        <v>ELECTIVE 3</v>
      </c>
      <c r="D213" s="31" t="str">
        <f>IFERROR(__xludf.DUMMYFUNCTION("""COMPUTED_VALUE"""),"22EI016")</f>
        <v>22EI016</v>
      </c>
      <c r="E213" s="98" t="str">
        <f>IFERROR(__xludf.DUMMYFUNCTION("""COMPUTED_VALUE"""),"INSTRUMENTATION IN PETROCHEMICAL INDUSTRIES")</f>
        <v>INSTRUMENTATION IN PETROCHEMICAL INDUSTRIES</v>
      </c>
      <c r="F213" s="31" t="str">
        <f>IFERROR(__xludf.DUMMYFUNCTION("""COMPUTED_VALUE"""),"THEORY")</f>
        <v>THEORY</v>
      </c>
      <c r="G213" s="31">
        <f>IFERROR(__xludf.DUMMYFUNCTION("""COMPUTED_VALUE"""),3)</f>
        <v>3</v>
      </c>
      <c r="H213" s="31">
        <f>IFERROR(__xludf.DUMMYFUNCTION("""COMPUTED_VALUE"""),0)</f>
        <v>0</v>
      </c>
      <c r="I213" s="31">
        <f>IFERROR(__xludf.DUMMYFUNCTION("""COMPUTED_VALUE"""),0)</f>
        <v>0</v>
      </c>
      <c r="J213" s="31">
        <f>IFERROR(__xludf.DUMMYFUNCTION("""COMPUTED_VALUE"""),3)</f>
        <v>3</v>
      </c>
      <c r="K213" s="31" t="str">
        <f>IFERROR(__xludf.DUMMYFUNCTION("""COMPUTED_VALUE"""),"EI10670")</f>
        <v>EI10670</v>
      </c>
      <c r="L213" s="31" t="str">
        <f>IFERROR(__xludf.DUMMYFUNCTION("""COMPUTED_VALUE"""),"Mr.PRATHAP M R")</f>
        <v>Mr.PRATHAP M R</v>
      </c>
      <c r="M213" s="31" t="str">
        <f>IFERROR(__xludf.DUMMYFUNCTION("""COMPUTED_VALUE"""),"prathap@bitsathy.ac.in")</f>
        <v>prathap@bitsathy.ac.in</v>
      </c>
    </row>
    <row r="214" ht="35.25" customHeight="1" spans="1:13">
      <c r="A214" s="31" t="str">
        <f>IFERROR(__xludf.DUMMYFUNCTION("""COMPUTED_VALUE"""),"EIE")</f>
        <v>EIE</v>
      </c>
      <c r="B214" s="31" t="str">
        <f>IFERROR(__xludf.DUMMYFUNCTION("""COMPUTED_VALUE"""),"S6")</f>
        <v>S6</v>
      </c>
      <c r="C214" s="31" t="str">
        <f>IFERROR(__xludf.DUMMYFUNCTION("""COMPUTED_VALUE"""),"ELECTIVE 4")</f>
        <v>ELECTIVE 4</v>
      </c>
      <c r="D214" s="31" t="str">
        <f>IFERROR(__xludf.DUMMYFUNCTION("""COMPUTED_VALUE"""),"22EI017")</f>
        <v>22EI017</v>
      </c>
      <c r="E214" s="98" t="str">
        <f>IFERROR(__xludf.DUMMYFUNCTION("""COMPUTED_VALUE"""),"FIBER OPTICS AND LASER INSTRUMENTATION")</f>
        <v>FIBER OPTICS AND LASER INSTRUMENTATION</v>
      </c>
      <c r="F214" s="31" t="str">
        <f>IFERROR(__xludf.DUMMYFUNCTION("""COMPUTED_VALUE"""),"THEORY")</f>
        <v>THEORY</v>
      </c>
      <c r="G214" s="31">
        <f>IFERROR(__xludf.DUMMYFUNCTION("""COMPUTED_VALUE"""),3)</f>
        <v>3</v>
      </c>
      <c r="H214" s="31">
        <f>IFERROR(__xludf.DUMMYFUNCTION("""COMPUTED_VALUE"""),0)</f>
        <v>0</v>
      </c>
      <c r="I214" s="31">
        <f>IFERROR(__xludf.DUMMYFUNCTION("""COMPUTED_VALUE"""),0)</f>
        <v>0</v>
      </c>
      <c r="J214" s="31">
        <f>IFERROR(__xludf.DUMMYFUNCTION("""COMPUTED_VALUE"""),3)</f>
        <v>3</v>
      </c>
      <c r="K214" s="31" t="str">
        <f>IFERROR(__xludf.DUMMYFUNCTION("""COMPUTED_VALUE"""),"EI1688")</f>
        <v>EI1688</v>
      </c>
      <c r="L214" s="31" t="str">
        <f>IFERROR(__xludf.DUMMYFUNCTION("""COMPUTED_VALUE"""),"Dr.SUDHAHAR S")</f>
        <v>Dr.SUDHAHAR S</v>
      </c>
      <c r="M214" s="31" t="str">
        <f>IFERROR(__xludf.DUMMYFUNCTION("""COMPUTED_VALUE"""),"sudhahars@bitsathy.ac.in")</f>
        <v>sudhahars@bitsathy.ac.in</v>
      </c>
    </row>
    <row r="215" ht="35.25" customHeight="1" spans="1:13">
      <c r="A215" s="31" t="str">
        <f>IFERROR(__xludf.DUMMYFUNCTION("""COMPUTED_VALUE"""),"EIE")</f>
        <v>EIE</v>
      </c>
      <c r="B215" s="31" t="str">
        <f>IFERROR(__xludf.DUMMYFUNCTION("""COMPUTED_VALUE"""),"S6")</f>
        <v>S6</v>
      </c>
      <c r="C215" s="31" t="str">
        <f>IFERROR(__xludf.DUMMYFUNCTION("""COMPUTED_VALUE"""),"ELECTIVE 5")</f>
        <v>ELECTIVE 5</v>
      </c>
      <c r="D215" s="31" t="str">
        <f>IFERROR(__xludf.DUMMYFUNCTION("""COMPUTED_VALUE"""),"22EI018")</f>
        <v>22EI018</v>
      </c>
      <c r="E215" s="98" t="str">
        <f>IFERROR(__xludf.DUMMYFUNCTION("""COMPUTED_VALUE"""),"POWER PLANT INSTRUMENTATION AND CONTROL")</f>
        <v>POWER PLANT INSTRUMENTATION AND CONTROL</v>
      </c>
      <c r="F215" s="31" t="str">
        <f>IFERROR(__xludf.DUMMYFUNCTION("""COMPUTED_VALUE"""),"THEORY")</f>
        <v>THEORY</v>
      </c>
      <c r="G215" s="31">
        <f>IFERROR(__xludf.DUMMYFUNCTION("""COMPUTED_VALUE"""),3)</f>
        <v>3</v>
      </c>
      <c r="H215" s="31">
        <f>IFERROR(__xludf.DUMMYFUNCTION("""COMPUTED_VALUE"""),0)</f>
        <v>0</v>
      </c>
      <c r="I215" s="31">
        <f>IFERROR(__xludf.DUMMYFUNCTION("""COMPUTED_VALUE"""),0)</f>
        <v>0</v>
      </c>
      <c r="J215" s="31">
        <f>IFERROR(__xludf.DUMMYFUNCTION("""COMPUTED_VALUE"""),3)</f>
        <v>3</v>
      </c>
      <c r="K215" s="31" t="str">
        <f>IFERROR(__xludf.DUMMYFUNCTION("""COMPUTED_VALUE"""),"EI11048")</f>
        <v>EI11048</v>
      </c>
      <c r="L215" s="31" t="str">
        <f>IFERROR(__xludf.DUMMYFUNCTION("""COMPUTED_VALUE"""),"Mr.KUMARESAN K")</f>
        <v>Mr.KUMARESAN K</v>
      </c>
      <c r="M215" s="31" t="str">
        <f>IFERROR(__xludf.DUMMYFUNCTION("""COMPUTED_VALUE"""),"kumaresank@bitsathy.ac.in")</f>
        <v>kumaresank@bitsathy.ac.in</v>
      </c>
    </row>
    <row r="216" ht="35.25" customHeight="1" spans="1:13">
      <c r="A216" s="31" t="str">
        <f>IFERROR(__xludf.DUMMYFUNCTION("""COMPUTED_VALUE"""),"EIE")</f>
        <v>EIE</v>
      </c>
      <c r="B216" s="31" t="str">
        <f>IFERROR(__xludf.DUMMYFUNCTION("""COMPUTED_VALUE"""),"S6")</f>
        <v>S6</v>
      </c>
      <c r="C216" s="31" t="str">
        <f>IFERROR(__xludf.DUMMYFUNCTION("""COMPUTED_VALUE"""),"ADD COURSE")</f>
        <v>ADD COURSE</v>
      </c>
      <c r="D216" s="31" t="str">
        <f>IFERROR(__xludf.DUMMYFUNCTION("""COMPUTED_VALUE"""),"22EI009")</f>
        <v>22EI009</v>
      </c>
      <c r="E216" s="98" t="str">
        <f>IFERROR(__xludf.DUMMYFUNCTION("""COMPUTED_VALUE"""),"BUILDING AUTOMATION")</f>
        <v>BUILDING AUTOMATION</v>
      </c>
      <c r="F216" s="31" t="str">
        <f>IFERROR(__xludf.DUMMYFUNCTION("""COMPUTED_VALUE"""),"THEORY")</f>
        <v>THEORY</v>
      </c>
      <c r="G216" s="31">
        <f>IFERROR(__xludf.DUMMYFUNCTION("""COMPUTED_VALUE"""),3)</f>
        <v>3</v>
      </c>
      <c r="H216" s="31">
        <f>IFERROR(__xludf.DUMMYFUNCTION("""COMPUTED_VALUE"""),0)</f>
        <v>0</v>
      </c>
      <c r="I216" s="31">
        <f>IFERROR(__xludf.DUMMYFUNCTION("""COMPUTED_VALUE"""),0)</f>
        <v>0</v>
      </c>
      <c r="J216" s="31">
        <f>IFERROR(__xludf.DUMMYFUNCTION("""COMPUTED_VALUE"""),3)</f>
        <v>3</v>
      </c>
      <c r="K216" s="31" t="str">
        <f>IFERROR(__xludf.DUMMYFUNCTION("""COMPUTED_VALUE"""),"EI10670")</f>
        <v>EI10670</v>
      </c>
      <c r="L216" s="31" t="str">
        <f>IFERROR(__xludf.DUMMYFUNCTION("""COMPUTED_VALUE"""),"Mr.PRATHAP M R")</f>
        <v>Mr.PRATHAP M R</v>
      </c>
      <c r="M216" s="31" t="str">
        <f>IFERROR(__xludf.DUMMYFUNCTION("""COMPUTED_VALUE"""),"prathap@bitsathy.ac.in")</f>
        <v>prathap@bitsathy.ac.in</v>
      </c>
    </row>
    <row r="217" ht="35.25" customHeight="1" spans="1:13">
      <c r="A217" s="31" t="str">
        <f>IFERROR(__xludf.DUMMYFUNCTION("""COMPUTED_VALUE"""),"EIE")</f>
        <v>EIE</v>
      </c>
      <c r="B217" s="31" t="str">
        <f>IFERROR(__xludf.DUMMYFUNCTION("""COMPUTED_VALUE"""),"S6")</f>
        <v>S6</v>
      </c>
      <c r="C217" s="31" t="str">
        <f>IFERROR(__xludf.DUMMYFUNCTION("""COMPUTED_VALUE"""),"OPEN ELECTIVE")</f>
        <v>OPEN ELECTIVE</v>
      </c>
      <c r="D217" s="31" t="str">
        <f>IFERROR(__xludf.DUMMYFUNCTION("""COMPUTED_VALUE"""),"22OEI01")</f>
        <v>22OEI01</v>
      </c>
      <c r="E217" s="98" t="str">
        <f>IFERROR(__xludf.DUMMYFUNCTION("""COMPUTED_VALUE"""),"PROGRAMMABLE LOGIC CONTROLLER")</f>
        <v>PROGRAMMABLE LOGIC CONTROLLER</v>
      </c>
      <c r="F217" s="31" t="str">
        <f>IFERROR(__xludf.DUMMYFUNCTION("""COMPUTED_VALUE"""),"THEORY")</f>
        <v>THEORY</v>
      </c>
      <c r="G217" s="31">
        <f>IFERROR(__xludf.DUMMYFUNCTION("""COMPUTED_VALUE"""),3)</f>
        <v>3</v>
      </c>
      <c r="H217" s="31">
        <f>IFERROR(__xludf.DUMMYFUNCTION("""COMPUTED_VALUE"""),0)</f>
        <v>0</v>
      </c>
      <c r="I217" s="31">
        <f>IFERROR(__xludf.DUMMYFUNCTION("""COMPUTED_VALUE"""),0)</f>
        <v>0</v>
      </c>
      <c r="J217" s="31">
        <f>IFERROR(__xludf.DUMMYFUNCTION("""COMPUTED_VALUE"""),3)</f>
        <v>3</v>
      </c>
      <c r="K217" s="31" t="str">
        <f>IFERROR(__xludf.DUMMYFUNCTION("""COMPUTED_VALUE"""),"EI10459")</f>
        <v>EI10459</v>
      </c>
      <c r="L217" s="31" t="str">
        <f>IFERROR(__xludf.DUMMYFUNCTION("""COMPUTED_VALUE"""),"Mr.PRAVIN SAVARIDASS M")</f>
        <v>Mr.PRAVIN SAVARIDASS M</v>
      </c>
      <c r="M217" s="31" t="str">
        <f>IFERROR(__xludf.DUMMYFUNCTION("""COMPUTED_VALUE"""),"pravinsavaridass@bitsathy.ac.in")</f>
        <v>pravinsavaridass@bitsathy.ac.in</v>
      </c>
    </row>
    <row r="218" ht="35.25" customHeight="1" spans="1:13">
      <c r="A218" s="31" t="str">
        <f>IFERROR(__xludf.DUMMYFUNCTION("""COMPUTED_VALUE"""),"EIE")</f>
        <v>EIE</v>
      </c>
      <c r="B218" s="31" t="str">
        <f>IFERROR(__xludf.DUMMYFUNCTION("""COMPUTED_VALUE"""),"S6")</f>
        <v>S6</v>
      </c>
      <c r="C218" s="31" t="str">
        <f>IFERROR(__xludf.DUMMYFUNCTION("""COMPUTED_VALUE"""),"MINI PROJECT")</f>
        <v>MINI PROJECT</v>
      </c>
      <c r="D218" s="31" t="str">
        <f>IFERROR(__xludf.DUMMYFUNCTION("""COMPUTED_VALUE"""),"22EI607")</f>
        <v>22EI607</v>
      </c>
      <c r="E218" s="98" t="str">
        <f>IFERROR(__xludf.DUMMYFUNCTION("""COMPUTED_VALUE"""),"MINI PROJECT II")</f>
        <v>MINI PROJECT II</v>
      </c>
      <c r="F218" s="31" t="str">
        <f>IFERROR(__xludf.DUMMYFUNCTION("""COMPUTED_VALUE"""),"LAB")</f>
        <v>LAB</v>
      </c>
      <c r="G218" s="31">
        <f>IFERROR(__xludf.DUMMYFUNCTION("""COMPUTED_VALUE"""),0)</f>
        <v>0</v>
      </c>
      <c r="H218" s="31">
        <f>IFERROR(__xludf.DUMMYFUNCTION("""COMPUTED_VALUE"""),0)</f>
        <v>0</v>
      </c>
      <c r="I218" s="31">
        <f>IFERROR(__xludf.DUMMYFUNCTION("""COMPUTED_VALUE"""),2)</f>
        <v>2</v>
      </c>
      <c r="J218" s="31">
        <f>IFERROR(__xludf.DUMMYFUNCTION("""COMPUTED_VALUE"""),1)</f>
        <v>1</v>
      </c>
      <c r="K218" s="31"/>
      <c r="L218" s="31"/>
      <c r="M218" s="31"/>
    </row>
    <row r="219" ht="35.25" customHeight="1" spans="1:13">
      <c r="A219" s="31" t="str">
        <f>IFERROR(__xludf.DUMMYFUNCTION("""COMPUTED_VALUE"""),"FT")</f>
        <v>FT</v>
      </c>
      <c r="B219" s="31" t="str">
        <f>IFERROR(__xludf.DUMMYFUNCTION("""COMPUTED_VALUE"""),"S6")</f>
        <v>S6</v>
      </c>
      <c r="C219" s="31" t="str">
        <f>IFERROR(__xludf.DUMMYFUNCTION("""COMPUTED_VALUE"""),"CORE")</f>
        <v>CORE</v>
      </c>
      <c r="D219" s="31" t="str">
        <f>IFERROR(__xludf.DUMMYFUNCTION("""COMPUTED_VALUE"""),"22FT601")</f>
        <v>22FT601</v>
      </c>
      <c r="E219" s="98" t="str">
        <f>IFERROR(__xludf.DUMMYFUNCTION("""COMPUTED_VALUE"""),"APPAREL PRODUCTION PLANNING AND CONTROL")</f>
        <v>APPAREL PRODUCTION PLANNING AND CONTROL</v>
      </c>
      <c r="F219" s="31" t="str">
        <f>IFERROR(__xludf.DUMMYFUNCTION("""COMPUTED_VALUE"""),"THEORY")</f>
        <v>THEORY</v>
      </c>
      <c r="G219" s="31">
        <f>IFERROR(__xludf.DUMMYFUNCTION("""COMPUTED_VALUE"""),3)</f>
        <v>3</v>
      </c>
      <c r="H219" s="31">
        <f>IFERROR(__xludf.DUMMYFUNCTION("""COMPUTED_VALUE"""),0)</f>
        <v>0</v>
      </c>
      <c r="I219" s="31">
        <f>IFERROR(__xludf.DUMMYFUNCTION("""COMPUTED_VALUE"""),0)</f>
        <v>0</v>
      </c>
      <c r="J219" s="31">
        <f>IFERROR(__xludf.DUMMYFUNCTION("""COMPUTED_VALUE"""),3)</f>
        <v>3</v>
      </c>
      <c r="K219" s="31" t="str">
        <f>IFERROR(__xludf.DUMMYFUNCTION("""COMPUTED_VALUE"""),"FT10224")</f>
        <v>FT10224</v>
      </c>
      <c r="L219" s="31" t="str">
        <f>IFERROR(__xludf.DUMMYFUNCTION("""COMPUTED_VALUE"""),"Mrs.SARANYA D V")</f>
        <v>Mrs.SARANYA D V</v>
      </c>
      <c r="M219" s="31" t="str">
        <f>IFERROR(__xludf.DUMMYFUNCTION("""COMPUTED_VALUE"""),"saranyadv@bitsathy.ac.in")</f>
        <v>saranyadv@bitsathy.ac.in</v>
      </c>
    </row>
    <row r="220" ht="35.25" customHeight="1" spans="1:13">
      <c r="A220" s="31" t="str">
        <f>IFERROR(__xludf.DUMMYFUNCTION("""COMPUTED_VALUE"""),"FT")</f>
        <v>FT</v>
      </c>
      <c r="B220" s="31" t="str">
        <f>IFERROR(__xludf.DUMMYFUNCTION("""COMPUTED_VALUE"""),"S6")</f>
        <v>S6</v>
      </c>
      <c r="C220" s="31" t="str">
        <f>IFERROR(__xludf.DUMMYFUNCTION("""COMPUTED_VALUE"""),"CORE")</f>
        <v>CORE</v>
      </c>
      <c r="D220" s="31" t="str">
        <f>IFERROR(__xludf.DUMMYFUNCTION("""COMPUTED_VALUE"""),"22FT602")</f>
        <v>22FT602</v>
      </c>
      <c r="E220" s="98" t="str">
        <f>IFERROR(__xludf.DUMMYFUNCTION("""COMPUTED_VALUE"""),"FASHION RETAIL MANAGEMENT")</f>
        <v>FASHION RETAIL MANAGEMENT</v>
      </c>
      <c r="F220" s="31" t="str">
        <f>IFERROR(__xludf.DUMMYFUNCTION("""COMPUTED_VALUE"""),"THEORY")</f>
        <v>THEORY</v>
      </c>
      <c r="G220" s="31">
        <f>IFERROR(__xludf.DUMMYFUNCTION("""COMPUTED_VALUE"""),3)</f>
        <v>3</v>
      </c>
      <c r="H220" s="31">
        <f>IFERROR(__xludf.DUMMYFUNCTION("""COMPUTED_VALUE"""),0)</f>
        <v>0</v>
      </c>
      <c r="I220" s="31">
        <f>IFERROR(__xludf.DUMMYFUNCTION("""COMPUTED_VALUE"""),0)</f>
        <v>0</v>
      </c>
      <c r="J220" s="31">
        <f>IFERROR(__xludf.DUMMYFUNCTION("""COMPUTED_VALUE"""),3)</f>
        <v>3</v>
      </c>
      <c r="K220" s="31" t="str">
        <f>IFERROR(__xludf.DUMMYFUNCTION("""COMPUTED_VALUE"""),"TT10607")</f>
        <v>TT10607</v>
      </c>
      <c r="L220" s="31" t="str">
        <f>IFERROR(__xludf.DUMMYFUNCTION("""COMPUTED_VALUE"""),"Dr.JANARTHANAN M")</f>
        <v>Dr.JANARTHANAN M</v>
      </c>
      <c r="M220" s="31" t="str">
        <f>IFERROR(__xludf.DUMMYFUNCTION("""COMPUTED_VALUE"""),"janarthanan@bitsathy.ac.in")</f>
        <v>janarthanan@bitsathy.ac.in</v>
      </c>
    </row>
    <row r="221" ht="35.25" customHeight="1" spans="1:13">
      <c r="A221" s="31" t="str">
        <f>IFERROR(__xludf.DUMMYFUNCTION("""COMPUTED_VALUE"""),"FT")</f>
        <v>FT</v>
      </c>
      <c r="B221" s="31" t="str">
        <f>IFERROR(__xludf.DUMMYFUNCTION("""COMPUTED_VALUE"""),"S6")</f>
        <v>S6</v>
      </c>
      <c r="C221" s="31" t="str">
        <f>IFERROR(__xludf.DUMMYFUNCTION("""COMPUTED_VALUE"""),"CORE")</f>
        <v>CORE</v>
      </c>
      <c r="D221" s="31" t="str">
        <f>IFERROR(__xludf.DUMMYFUNCTION("""COMPUTED_VALUE"""),"22FT603")</f>
        <v>22FT603</v>
      </c>
      <c r="E221" s="98" t="str">
        <f>IFERROR(__xludf.DUMMYFUNCTION("""COMPUTED_VALUE"""),"QUALITY ASSURANCE IN GARMENT PRODUCTION")</f>
        <v>QUALITY ASSURANCE IN GARMENT PRODUCTION</v>
      </c>
      <c r="F221" s="31" t="str">
        <f>IFERROR(__xludf.DUMMYFUNCTION("""COMPUTED_VALUE"""),"THEORY")</f>
        <v>THEORY</v>
      </c>
      <c r="G221" s="31">
        <f>IFERROR(__xludf.DUMMYFUNCTION("""COMPUTED_VALUE"""),3)</f>
        <v>3</v>
      </c>
      <c r="H221" s="31">
        <f>IFERROR(__xludf.DUMMYFUNCTION("""COMPUTED_VALUE"""),1)</f>
        <v>1</v>
      </c>
      <c r="I221" s="31">
        <f>IFERROR(__xludf.DUMMYFUNCTION("""COMPUTED_VALUE"""),0)</f>
        <v>0</v>
      </c>
      <c r="J221" s="31">
        <f>IFERROR(__xludf.DUMMYFUNCTION("""COMPUTED_VALUE"""),4)</f>
        <v>4</v>
      </c>
      <c r="K221" s="31" t="str">
        <f>IFERROR(__xludf.DUMMYFUNCTION("""COMPUTED_VALUE"""),"TT11184")</f>
        <v>TT11184</v>
      </c>
      <c r="L221" s="31" t="str">
        <f>IFERROR(__xludf.DUMMYFUNCTION("""COMPUTED_VALUE"""),"Mrs.GAYATHRI R")</f>
        <v>Mrs.GAYATHRI R</v>
      </c>
      <c r="M221" s="31" t="str">
        <f>IFERROR(__xludf.DUMMYFUNCTION("""COMPUTED_VALUE"""),"gayathrirtxt@bitsathy.ac.in")</f>
        <v>gayathrirtxt@bitsathy.ac.in</v>
      </c>
    </row>
    <row r="222" ht="35.25" customHeight="1" spans="1:13">
      <c r="A222" s="31" t="str">
        <f>IFERROR(__xludf.DUMMYFUNCTION("""COMPUTED_VALUE"""),"FT")</f>
        <v>FT</v>
      </c>
      <c r="B222" s="31" t="str">
        <f>IFERROR(__xludf.DUMMYFUNCTION("""COMPUTED_VALUE"""),"S6")</f>
        <v>S6</v>
      </c>
      <c r="C222" s="31" t="str">
        <f>IFERROR(__xludf.DUMMYFUNCTION("""COMPUTED_VALUE"""),"ELECTIVE 3")</f>
        <v>ELECTIVE 3</v>
      </c>
      <c r="D222" s="31" t="str">
        <f>IFERROR(__xludf.DUMMYFUNCTION("""COMPUTED_VALUE"""),"22FT007")</f>
        <v>22FT007</v>
      </c>
      <c r="E222" s="98" t="str">
        <f>IFERROR(__xludf.DUMMYFUNCTION("""COMPUTED_VALUE"""),"KNIT WEAR DEVELOPMENT")</f>
        <v>KNIT WEAR DEVELOPMENT</v>
      </c>
      <c r="F222" s="31" t="str">
        <f>IFERROR(__xludf.DUMMYFUNCTION("""COMPUTED_VALUE"""),"THEORY")</f>
        <v>THEORY</v>
      </c>
      <c r="G222" s="31">
        <f>IFERROR(__xludf.DUMMYFUNCTION("""COMPUTED_VALUE"""),3)</f>
        <v>3</v>
      </c>
      <c r="H222" s="31">
        <f>IFERROR(__xludf.DUMMYFUNCTION("""COMPUTED_VALUE"""),0)</f>
        <v>0</v>
      </c>
      <c r="I222" s="31">
        <f>IFERROR(__xludf.DUMMYFUNCTION("""COMPUTED_VALUE"""),0)</f>
        <v>0</v>
      </c>
      <c r="J222" s="31">
        <f>IFERROR(__xludf.DUMMYFUNCTION("""COMPUTED_VALUE"""),3)</f>
        <v>3</v>
      </c>
      <c r="K222" s="31" t="str">
        <f>IFERROR(__xludf.DUMMYFUNCTION("""COMPUTED_VALUE"""),"TT10938")</f>
        <v>TT10938</v>
      </c>
      <c r="L222" s="31" t="str">
        <f>IFERROR(__xludf.DUMMYFUNCTION("""COMPUTED_VALUE"""),"Mrs.MOUNIKA S")</f>
        <v>Mrs.MOUNIKA S</v>
      </c>
      <c r="M222" s="31" t="str">
        <f>IFERROR(__xludf.DUMMYFUNCTION("""COMPUTED_VALUE"""),"mounikas@bitsathy.ac.in")</f>
        <v>mounikas@bitsathy.ac.in</v>
      </c>
    </row>
    <row r="223" ht="35.25" customHeight="1" spans="1:13">
      <c r="A223" s="31" t="str">
        <f>IFERROR(__xludf.DUMMYFUNCTION("""COMPUTED_VALUE"""),"FT")</f>
        <v>FT</v>
      </c>
      <c r="B223" s="31" t="str">
        <f>IFERROR(__xludf.DUMMYFUNCTION("""COMPUTED_VALUE"""),"S6")</f>
        <v>S6</v>
      </c>
      <c r="C223" s="31" t="str">
        <f>IFERROR(__xludf.DUMMYFUNCTION("""COMPUTED_VALUE"""),"ELECTIVE 4")</f>
        <v>ELECTIVE 4</v>
      </c>
      <c r="D223" s="31" t="str">
        <f>IFERROR(__xludf.DUMMYFUNCTION("""COMPUTED_VALUE"""),"22FT022")</f>
        <v>22FT022</v>
      </c>
      <c r="E223" s="98" t="str">
        <f>IFERROR(__xludf.DUMMYFUNCTION("""COMPUTED_VALUE"""),"INTERNATIONAL BUSINESS IN APPAREL INDUSTRY")</f>
        <v>INTERNATIONAL BUSINESS IN APPAREL INDUSTRY</v>
      </c>
      <c r="F223" s="31" t="str">
        <f>IFERROR(__xludf.DUMMYFUNCTION("""COMPUTED_VALUE"""),"THEORY")</f>
        <v>THEORY</v>
      </c>
      <c r="G223" s="31">
        <f>IFERROR(__xludf.DUMMYFUNCTION("""COMPUTED_VALUE"""),3)</f>
        <v>3</v>
      </c>
      <c r="H223" s="31">
        <f>IFERROR(__xludf.DUMMYFUNCTION("""COMPUTED_VALUE"""),0)</f>
        <v>0</v>
      </c>
      <c r="I223" s="31">
        <f>IFERROR(__xludf.DUMMYFUNCTION("""COMPUTED_VALUE"""),0)</f>
        <v>0</v>
      </c>
      <c r="J223" s="31">
        <f>IFERROR(__xludf.DUMMYFUNCTION("""COMPUTED_VALUE"""),3)</f>
        <v>3</v>
      </c>
      <c r="K223" s="31" t="str">
        <f>IFERROR(__xludf.DUMMYFUNCTION("""COMPUTED_VALUE"""),"FT10809")</f>
        <v>FT10809</v>
      </c>
      <c r="L223" s="31" t="str">
        <f>IFERROR(__xludf.DUMMYFUNCTION("""COMPUTED_VALUE"""),"Dr.MOHAN BHARATHI C")</f>
        <v>Dr.MOHAN BHARATHI C</v>
      </c>
      <c r="M223" s="31" t="str">
        <f>IFERROR(__xludf.DUMMYFUNCTION("""COMPUTED_VALUE"""),"mohanbharathic@bitsathy.ac.in")</f>
        <v>mohanbharathic@bitsathy.ac.in</v>
      </c>
    </row>
    <row r="224" ht="35.25" customHeight="1" spans="1:13">
      <c r="A224" s="31" t="str">
        <f>IFERROR(__xludf.DUMMYFUNCTION("""COMPUTED_VALUE"""),"FT")</f>
        <v>FT</v>
      </c>
      <c r="B224" s="31" t="str">
        <f>IFERROR(__xludf.DUMMYFUNCTION("""COMPUTED_VALUE"""),"S6")</f>
        <v>S6</v>
      </c>
      <c r="C224" s="31" t="str">
        <f>IFERROR(__xludf.DUMMYFUNCTION("""COMPUTED_VALUE"""),"ELECTIVE 5")</f>
        <v>ELECTIVE 5</v>
      </c>
      <c r="D224" s="31" t="str">
        <f>IFERROR(__xludf.DUMMYFUNCTION("""COMPUTED_VALUE"""),"22FT028")</f>
        <v>22FT028</v>
      </c>
      <c r="E224" s="98" t="str">
        <f>IFERROR(__xludf.DUMMYFUNCTION("""COMPUTED_VALUE"""),"INTIMATE APPARELS")</f>
        <v>INTIMATE APPARELS</v>
      </c>
      <c r="F224" s="31" t="str">
        <f>IFERROR(__xludf.DUMMYFUNCTION("""COMPUTED_VALUE"""),"THEORY")</f>
        <v>THEORY</v>
      </c>
      <c r="G224" s="31">
        <f>IFERROR(__xludf.DUMMYFUNCTION("""COMPUTED_VALUE"""),3)</f>
        <v>3</v>
      </c>
      <c r="H224" s="31">
        <f>IFERROR(__xludf.DUMMYFUNCTION("""COMPUTED_VALUE"""),0)</f>
        <v>0</v>
      </c>
      <c r="I224" s="31">
        <f>IFERROR(__xludf.DUMMYFUNCTION("""COMPUTED_VALUE"""),0)</f>
        <v>0</v>
      </c>
      <c r="J224" s="31">
        <f>IFERROR(__xludf.DUMMYFUNCTION("""COMPUTED_VALUE"""),3)</f>
        <v>3</v>
      </c>
      <c r="K224" s="31" t="str">
        <f>IFERROR(__xludf.DUMMYFUNCTION("""COMPUTED_VALUE"""),"FT10427")</f>
        <v>FT10427</v>
      </c>
      <c r="L224" s="31" t="str">
        <f>IFERROR(__xludf.DUMMYFUNCTION("""COMPUTED_VALUE"""),"Mrs.MEKALA N")</f>
        <v>Mrs.MEKALA N</v>
      </c>
      <c r="M224" s="31" t="str">
        <f>IFERROR(__xludf.DUMMYFUNCTION("""COMPUTED_VALUE"""),"mekalan@bitsathy.ac.in")</f>
        <v>mekalan@bitsathy.ac.in</v>
      </c>
    </row>
    <row r="225" ht="35.25" customHeight="1" spans="1:13">
      <c r="A225" s="31" t="str">
        <f>IFERROR(__xludf.DUMMYFUNCTION("""COMPUTED_VALUE"""),"FT")</f>
        <v>FT</v>
      </c>
      <c r="B225" s="31" t="str">
        <f>IFERROR(__xludf.DUMMYFUNCTION("""COMPUTED_VALUE"""),"S6")</f>
        <v>S6</v>
      </c>
      <c r="C225" s="31" t="str">
        <f>IFERROR(__xludf.DUMMYFUNCTION("""COMPUTED_VALUE"""),"HONOURS")</f>
        <v>HONOURS</v>
      </c>
      <c r="D225" s="31" t="str">
        <f>IFERROR(__xludf.DUMMYFUNCTION("""COMPUTED_VALUE"""),"22FTH15")</f>
        <v>22FTH15</v>
      </c>
      <c r="E225" s="98" t="str">
        <f>IFERROR(__xludf.DUMMYFUNCTION("""COMPUTED_VALUE"""),"LEAN MANUFACTURING")</f>
        <v>LEAN MANUFACTURING</v>
      </c>
      <c r="F225" s="31" t="str">
        <f>IFERROR(__xludf.DUMMYFUNCTION("""COMPUTED_VALUE"""),"THEORY")</f>
        <v>THEORY</v>
      </c>
      <c r="G225" s="31">
        <f>IFERROR(__xludf.DUMMYFUNCTION("""COMPUTED_VALUE"""),3)</f>
        <v>3</v>
      </c>
      <c r="H225" s="31">
        <f>IFERROR(__xludf.DUMMYFUNCTION("""COMPUTED_VALUE"""),0)</f>
        <v>0</v>
      </c>
      <c r="I225" s="31">
        <f>IFERROR(__xludf.DUMMYFUNCTION("""COMPUTED_VALUE"""),0)</f>
        <v>0</v>
      </c>
      <c r="J225" s="31">
        <f>IFERROR(__xludf.DUMMYFUNCTION("""COMPUTED_VALUE"""),3)</f>
        <v>3</v>
      </c>
      <c r="K225" s="31" t="str">
        <f>IFERROR(__xludf.DUMMYFUNCTION("""COMPUTED_VALUE"""),"FT10427")</f>
        <v>FT10427</v>
      </c>
      <c r="L225" s="31" t="str">
        <f>IFERROR(__xludf.DUMMYFUNCTION("""COMPUTED_VALUE"""),"Mrs.MEKALA N")</f>
        <v>Mrs.MEKALA N</v>
      </c>
      <c r="M225" s="31" t="str">
        <f>IFERROR(__xludf.DUMMYFUNCTION("""COMPUTED_VALUE"""),"mekalan@bitsathy.ac.in")</f>
        <v>mekalan@bitsathy.ac.in</v>
      </c>
    </row>
    <row r="226" ht="35.25" customHeight="1" spans="1:13">
      <c r="A226" s="31" t="str">
        <f>IFERROR(__xludf.DUMMYFUNCTION("""COMPUTED_VALUE"""),"FT")</f>
        <v>FT</v>
      </c>
      <c r="B226" s="31" t="str">
        <f>IFERROR(__xludf.DUMMYFUNCTION("""COMPUTED_VALUE"""),"S6")</f>
        <v>S6</v>
      </c>
      <c r="C226" s="31" t="str">
        <f>IFERROR(__xludf.DUMMYFUNCTION("""COMPUTED_VALUE"""),"HONOURS")</f>
        <v>HONOURS</v>
      </c>
      <c r="D226" s="31" t="str">
        <f>IFERROR(__xludf.DUMMYFUNCTION("""COMPUTED_VALUE"""),"22FTH16")</f>
        <v>22FTH16</v>
      </c>
      <c r="E226" s="98" t="str">
        <f>IFERROR(__xludf.DUMMYFUNCTION("""COMPUTED_VALUE"""),"SOCIAL COMPLIANCES AND QUALITY ASSURANCE IN APPAREL INDUSTRY")</f>
        <v>SOCIAL COMPLIANCES AND QUALITY ASSURANCE IN APPAREL INDUSTRY</v>
      </c>
      <c r="F226" s="31" t="str">
        <f>IFERROR(__xludf.DUMMYFUNCTION("""COMPUTED_VALUE"""),"THEORY")</f>
        <v>THEORY</v>
      </c>
      <c r="G226" s="31">
        <f>IFERROR(__xludf.DUMMYFUNCTION("""COMPUTED_VALUE"""),3)</f>
        <v>3</v>
      </c>
      <c r="H226" s="31">
        <f>IFERROR(__xludf.DUMMYFUNCTION("""COMPUTED_VALUE"""),0)</f>
        <v>0</v>
      </c>
      <c r="I226" s="31">
        <f>IFERROR(__xludf.DUMMYFUNCTION("""COMPUTED_VALUE"""),0)</f>
        <v>0</v>
      </c>
      <c r="J226" s="31">
        <f>IFERROR(__xludf.DUMMYFUNCTION("""COMPUTED_VALUE"""),3)</f>
        <v>3</v>
      </c>
      <c r="K226" s="31" t="str">
        <f>IFERROR(__xludf.DUMMYFUNCTION("""COMPUTED_VALUE"""),"FT10809")</f>
        <v>FT10809</v>
      </c>
      <c r="L226" s="31" t="str">
        <f>IFERROR(__xludf.DUMMYFUNCTION("""COMPUTED_VALUE"""),"Dr.MOHAN BHARATHI C")</f>
        <v>Dr.MOHAN BHARATHI C</v>
      </c>
      <c r="M226" s="31" t="str">
        <f>IFERROR(__xludf.DUMMYFUNCTION("""COMPUTED_VALUE"""),"mohanbharathic@bitsathy.ac.in")</f>
        <v>mohanbharathic@bitsathy.ac.in</v>
      </c>
    </row>
    <row r="227" ht="35.25" customHeight="1" spans="1:13">
      <c r="A227" s="31" t="str">
        <f>IFERROR(__xludf.DUMMYFUNCTION("""COMPUTED_VALUE"""),"FT")</f>
        <v>FT</v>
      </c>
      <c r="B227" s="31" t="str">
        <f>IFERROR(__xludf.DUMMYFUNCTION("""COMPUTED_VALUE"""),"S6")</f>
        <v>S6</v>
      </c>
      <c r="C227" s="31" t="str">
        <f>IFERROR(__xludf.DUMMYFUNCTION("""COMPUTED_VALUE"""),"MINI PROJECT")</f>
        <v>MINI PROJECT</v>
      </c>
      <c r="D227" s="31" t="str">
        <f>IFERROR(__xludf.DUMMYFUNCTION("""COMPUTED_VALUE"""),"22FT607 ")</f>
        <v>22FT607 </v>
      </c>
      <c r="E227" s="98" t="str">
        <f>IFERROR(__xludf.DUMMYFUNCTION("""COMPUTED_VALUE"""),"MINI PROJECT II")</f>
        <v>MINI PROJECT II</v>
      </c>
      <c r="F227" s="31" t="str">
        <f>IFERROR(__xludf.DUMMYFUNCTION("""COMPUTED_VALUE"""),"LAB")</f>
        <v>LAB</v>
      </c>
      <c r="G227" s="31">
        <f>IFERROR(__xludf.DUMMYFUNCTION("""COMPUTED_VALUE"""),0)</f>
        <v>0</v>
      </c>
      <c r="H227" s="31">
        <f>IFERROR(__xludf.DUMMYFUNCTION("""COMPUTED_VALUE"""),0)</f>
        <v>0</v>
      </c>
      <c r="I227" s="31">
        <f>IFERROR(__xludf.DUMMYFUNCTION("""COMPUTED_VALUE"""),2)</f>
        <v>2</v>
      </c>
      <c r="J227" s="31">
        <f>IFERROR(__xludf.DUMMYFUNCTION("""COMPUTED_VALUE"""),1)</f>
        <v>1</v>
      </c>
      <c r="K227" s="31"/>
      <c r="L227" s="31"/>
      <c r="M227" s="31"/>
    </row>
    <row r="228" ht="35.25" customHeight="1" spans="1:13">
      <c r="A228" s="31" t="str">
        <f>IFERROR(__xludf.DUMMYFUNCTION("""COMPUTED_VALUE"""),"FD")</f>
        <v>FD</v>
      </c>
      <c r="B228" s="31" t="str">
        <f>IFERROR(__xludf.DUMMYFUNCTION("""COMPUTED_VALUE"""),"S6")</f>
        <v>S6</v>
      </c>
      <c r="C228" s="31" t="str">
        <f>IFERROR(__xludf.DUMMYFUNCTION("""COMPUTED_VALUE"""),"CORE")</f>
        <v>CORE</v>
      </c>
      <c r="D228" s="31" t="str">
        <f>IFERROR(__xludf.DUMMYFUNCTION("""COMPUTED_VALUE"""),"22FD601")</f>
        <v>22FD601</v>
      </c>
      <c r="E228" s="98" t="str">
        <f>IFERROR(__xludf.DUMMYFUNCTION("""COMPUTED_VALUE"""),"FOOD PROCESSING PLANT DESIGN ANDLAYOUT")</f>
        <v>FOOD PROCESSING PLANT DESIGN ANDLAYOUT</v>
      </c>
      <c r="F228" s="31" t="str">
        <f>IFERROR(__xludf.DUMMYFUNCTION("""COMPUTED_VALUE"""),"THEORY WITH LAB")</f>
        <v>THEORY WITH LAB</v>
      </c>
      <c r="G228" s="31">
        <f>IFERROR(__xludf.DUMMYFUNCTION("""COMPUTED_VALUE"""),3)</f>
        <v>3</v>
      </c>
      <c r="H228" s="31">
        <f>IFERROR(__xludf.DUMMYFUNCTION("""COMPUTED_VALUE"""),0)</f>
        <v>0</v>
      </c>
      <c r="I228" s="31">
        <f>IFERROR(__xludf.DUMMYFUNCTION("""COMPUTED_VALUE"""),2)</f>
        <v>2</v>
      </c>
      <c r="J228" s="31">
        <f>IFERROR(__xludf.DUMMYFUNCTION("""COMPUTED_VALUE"""),4)</f>
        <v>4</v>
      </c>
      <c r="K228" s="31" t="str">
        <f>IFERROR(__xludf.DUMMYFUNCTION("""COMPUTED_VALUE"""),"FD11137")</f>
        <v>FD11137</v>
      </c>
      <c r="L228" s="31" t="str">
        <f>IFERROR(__xludf.DUMMYFUNCTION("""COMPUTED_VALUE"""),"Mr.EDAMAKANTI RAMANJI REDDY")</f>
        <v>Mr.EDAMAKANTI RAMANJI REDDY</v>
      </c>
      <c r="M228" s="31" t="str">
        <f>IFERROR(__xludf.DUMMYFUNCTION("""COMPUTED_VALUE"""),"edamakantiramanjireddy@bitsathy.ac.in")</f>
        <v>edamakantiramanjireddy@bitsathy.ac.in</v>
      </c>
    </row>
    <row r="229" ht="35.25" customHeight="1" spans="1:13">
      <c r="A229" s="31" t="str">
        <f>IFERROR(__xludf.DUMMYFUNCTION("""COMPUTED_VALUE"""),"FD")</f>
        <v>FD</v>
      </c>
      <c r="B229" s="31" t="str">
        <f>IFERROR(__xludf.DUMMYFUNCTION("""COMPUTED_VALUE"""),"S6")</f>
        <v>S6</v>
      </c>
      <c r="C229" s="31" t="str">
        <f>IFERROR(__xludf.DUMMYFUNCTION("""COMPUTED_VALUE"""),"CORE")</f>
        <v>CORE</v>
      </c>
      <c r="D229" s="31" t="str">
        <f>IFERROR(__xludf.DUMMYFUNCTION("""COMPUTED_VALUE"""),"22FD602")</f>
        <v>22FD602</v>
      </c>
      <c r="E229" s="98" t="str">
        <f>IFERROR(__xludf.DUMMYFUNCTION("""COMPUTED_VALUE"""),"FOOD EQUIPMENT DESIGN")</f>
        <v>FOOD EQUIPMENT DESIGN</v>
      </c>
      <c r="F229" s="31" t="str">
        <f>IFERROR(__xludf.DUMMYFUNCTION("""COMPUTED_VALUE"""),"THEORY")</f>
        <v>THEORY</v>
      </c>
      <c r="G229" s="31">
        <f>IFERROR(__xludf.DUMMYFUNCTION("""COMPUTED_VALUE"""),3)</f>
        <v>3</v>
      </c>
      <c r="H229" s="31">
        <f>IFERROR(__xludf.DUMMYFUNCTION("""COMPUTED_VALUE"""),1)</f>
        <v>1</v>
      </c>
      <c r="I229" s="31">
        <f>IFERROR(__xludf.DUMMYFUNCTION("""COMPUTED_VALUE"""),0)</f>
        <v>0</v>
      </c>
      <c r="J229" s="31">
        <f>IFERROR(__xludf.DUMMYFUNCTION("""COMPUTED_VALUE"""),4)</f>
        <v>4</v>
      </c>
      <c r="K229" s="31" t="str">
        <f>IFERROR(__xludf.DUMMYFUNCTION("""COMPUTED_VALUE"""),"FD10999")</f>
        <v>FD10999</v>
      </c>
      <c r="L229" s="31" t="str">
        <f>IFERROR(__xludf.DUMMYFUNCTION("""COMPUTED_VALUE"""),"Dr.ARUNASREE TNA")</f>
        <v>Dr.ARUNASREE TNA</v>
      </c>
      <c r="M229" s="31" t="str">
        <f>IFERROR(__xludf.DUMMYFUNCTION("""COMPUTED_VALUE"""),"arunasreetna@bitsathy.ac.in")</f>
        <v>arunasreetna@bitsathy.ac.in</v>
      </c>
    </row>
    <row r="230" ht="35.25" customHeight="1" spans="1:13">
      <c r="A230" s="31" t="str">
        <f>IFERROR(__xludf.DUMMYFUNCTION("""COMPUTED_VALUE"""),"FD")</f>
        <v>FD</v>
      </c>
      <c r="B230" s="31" t="str">
        <f>IFERROR(__xludf.DUMMYFUNCTION("""COMPUTED_VALUE"""),"S6")</f>
        <v>S6</v>
      </c>
      <c r="C230" s="31" t="str">
        <f>IFERROR(__xludf.DUMMYFUNCTION("""COMPUTED_VALUE"""),"CORE")</f>
        <v>CORE</v>
      </c>
      <c r="D230" s="31" t="str">
        <f>IFERROR(__xludf.DUMMYFUNCTION("""COMPUTED_VALUE"""),"22FD603")</f>
        <v>22FD603</v>
      </c>
      <c r="E230" s="98" t="str">
        <f>IFERROR(__xludf.DUMMYFUNCTION("""COMPUTED_VALUE"""),"FOOD INSTRUMENTATION AND ANALYSIS")</f>
        <v>FOOD INSTRUMENTATION AND ANALYSIS</v>
      </c>
      <c r="F230" s="31" t="str">
        <f>IFERROR(__xludf.DUMMYFUNCTION("""COMPUTED_VALUE"""),"THEORY")</f>
        <v>THEORY</v>
      </c>
      <c r="G230" s="31">
        <f>IFERROR(__xludf.DUMMYFUNCTION("""COMPUTED_VALUE"""),3)</f>
        <v>3</v>
      </c>
      <c r="H230" s="31">
        <f>IFERROR(__xludf.DUMMYFUNCTION("""COMPUTED_VALUE"""),0)</f>
        <v>0</v>
      </c>
      <c r="I230" s="31">
        <f>IFERROR(__xludf.DUMMYFUNCTION("""COMPUTED_VALUE"""),2)</f>
        <v>2</v>
      </c>
      <c r="J230" s="31">
        <f>IFERROR(__xludf.DUMMYFUNCTION("""COMPUTED_VALUE"""),4)</f>
        <v>4</v>
      </c>
      <c r="K230" s="31" t="str">
        <f>IFERROR(__xludf.DUMMYFUNCTION("""COMPUTED_VALUE"""),"FD10755")</f>
        <v>FD10755</v>
      </c>
      <c r="L230" s="31" t="str">
        <f>IFERROR(__xludf.DUMMYFUNCTION("""COMPUTED_VALUE"""),"Mr.GOWRISHANKAR L")</f>
        <v>Mr.GOWRISHANKAR L</v>
      </c>
      <c r="M230" s="31" t="str">
        <f>IFERROR(__xludf.DUMMYFUNCTION("""COMPUTED_VALUE"""),"gowrishankar@bitsathy.ac.in")</f>
        <v>gowrishankar@bitsathy.ac.in</v>
      </c>
    </row>
    <row r="231" ht="35.25" customHeight="1" spans="1:13">
      <c r="A231" s="31" t="str">
        <f>IFERROR(__xludf.DUMMYFUNCTION("""COMPUTED_VALUE"""),"FD")</f>
        <v>FD</v>
      </c>
      <c r="B231" s="31" t="str">
        <f>IFERROR(__xludf.DUMMYFUNCTION("""COMPUTED_VALUE"""),"S6")</f>
        <v>S6</v>
      </c>
      <c r="C231" s="31" t="str">
        <f>IFERROR(__xludf.DUMMYFUNCTION("""COMPUTED_VALUE"""),"CORE")</f>
        <v>CORE</v>
      </c>
      <c r="D231" s="31" t="str">
        <f>IFERROR(__xludf.DUMMYFUNCTION("""COMPUTED_VALUE"""),"22FD603")</f>
        <v>22FD603</v>
      </c>
      <c r="E231" s="98" t="str">
        <f>IFERROR(__xludf.DUMMYFUNCTION("""COMPUTED_VALUE"""),"FOOD INSTRUMENTATION AND ANALYSIS")</f>
        <v>FOOD INSTRUMENTATION AND ANALYSIS</v>
      </c>
      <c r="F231" s="31" t="str">
        <f>IFERROR(__xludf.DUMMYFUNCTION("""COMPUTED_VALUE"""),"LAB")</f>
        <v>LAB</v>
      </c>
      <c r="G231" s="31">
        <f>IFERROR(__xludf.DUMMYFUNCTION("""COMPUTED_VALUE"""),3)</f>
        <v>3</v>
      </c>
      <c r="H231" s="31">
        <f>IFERROR(__xludf.DUMMYFUNCTION("""COMPUTED_VALUE"""),0)</f>
        <v>0</v>
      </c>
      <c r="I231" s="31">
        <f>IFERROR(__xludf.DUMMYFUNCTION("""COMPUTED_VALUE"""),2)</f>
        <v>2</v>
      </c>
      <c r="J231" s="31">
        <f>IFERROR(__xludf.DUMMYFUNCTION("""COMPUTED_VALUE"""),4)</f>
        <v>4</v>
      </c>
      <c r="K231" s="31" t="str">
        <f>IFERROR(__xludf.DUMMYFUNCTION("""COMPUTED_VALUE"""),"FD10966")</f>
        <v>FD10966</v>
      </c>
      <c r="L231" s="31" t="str">
        <f>IFERROR(__xludf.DUMMYFUNCTION("""COMPUTED_VALUE"""),"Ms.NITHIYA PRIYA B T")</f>
        <v>Ms.NITHIYA PRIYA B T</v>
      </c>
      <c r="M231" s="31" t="str">
        <f>IFERROR(__xludf.DUMMYFUNCTION("""COMPUTED_VALUE"""),"nithiyapriyabt@bitsathy.ac.in")</f>
        <v>nithiyapriyabt@bitsathy.ac.in</v>
      </c>
    </row>
    <row r="232" ht="35.25" customHeight="1" spans="1:13">
      <c r="A232" s="31" t="str">
        <f>IFERROR(__xludf.DUMMYFUNCTION("""COMPUTED_VALUE"""),"FD")</f>
        <v>FD</v>
      </c>
      <c r="B232" s="31" t="str">
        <f>IFERROR(__xludf.DUMMYFUNCTION("""COMPUTED_VALUE"""),"S6")</f>
        <v>S6</v>
      </c>
      <c r="C232" s="31" t="str">
        <f>IFERROR(__xludf.DUMMYFUNCTION("""COMPUTED_VALUE"""),"ELECTIVE 3")</f>
        <v>ELECTIVE 3</v>
      </c>
      <c r="D232" s="31" t="str">
        <f>IFERROR(__xludf.DUMMYFUNCTION("""COMPUTED_VALUE"""),"22FD040")</f>
        <v>22FD040</v>
      </c>
      <c r="E232" s="98" t="str">
        <f>IFERROR(__xludf.DUMMYFUNCTION("""COMPUTED_VALUE""")," BEVERAGE TECHNOLOGY")</f>
        <v> BEVERAGE TECHNOLOGY</v>
      </c>
      <c r="F232" s="31" t="str">
        <f>IFERROR(__xludf.DUMMYFUNCTION("""COMPUTED_VALUE"""),"THEORY")</f>
        <v>THEORY</v>
      </c>
      <c r="G232" s="31">
        <f>IFERROR(__xludf.DUMMYFUNCTION("""COMPUTED_VALUE"""),3)</f>
        <v>3</v>
      </c>
      <c r="H232" s="31">
        <f>IFERROR(__xludf.DUMMYFUNCTION("""COMPUTED_VALUE"""),0)</f>
        <v>0</v>
      </c>
      <c r="I232" s="31">
        <f>IFERROR(__xludf.DUMMYFUNCTION("""COMPUTED_VALUE"""),0)</f>
        <v>0</v>
      </c>
      <c r="J232" s="31">
        <f>IFERROR(__xludf.DUMMYFUNCTION("""COMPUTED_VALUE"""),3)</f>
        <v>3</v>
      </c>
      <c r="K232" s="31" t="str">
        <f>IFERROR(__xludf.DUMMYFUNCTION("""COMPUTED_VALUE"""),"FD10959")</f>
        <v>FD10959</v>
      </c>
      <c r="L232" s="31" t="str">
        <f>IFERROR(__xludf.DUMMYFUNCTION("""COMPUTED_VALUE"""),"Ms.PIDATHALA SAHITYA")</f>
        <v>Ms.PIDATHALA SAHITYA</v>
      </c>
      <c r="M232" s="31" t="str">
        <f>IFERROR(__xludf.DUMMYFUNCTION("""COMPUTED_VALUE"""),"pidathalasahitya@bitsathy.ac.in")</f>
        <v>pidathalasahitya@bitsathy.ac.in</v>
      </c>
    </row>
    <row r="233" ht="35.25" customHeight="1" spans="1:13">
      <c r="A233" s="31" t="str">
        <f>IFERROR(__xludf.DUMMYFUNCTION("""COMPUTED_VALUE"""),"FD")</f>
        <v>FD</v>
      </c>
      <c r="B233" s="31" t="str">
        <f>IFERROR(__xludf.DUMMYFUNCTION("""COMPUTED_VALUE"""),"S6")</f>
        <v>S6</v>
      </c>
      <c r="C233" s="31" t="str">
        <f>IFERROR(__xludf.DUMMYFUNCTION("""COMPUTED_VALUE"""),"ELECTIVE 5")</f>
        <v>ELECTIVE 5</v>
      </c>
      <c r="D233" s="31" t="str">
        <f>IFERROR(__xludf.DUMMYFUNCTION("""COMPUTED_VALUE"""),"22FD008")</f>
        <v>22FD008</v>
      </c>
      <c r="E233" s="98" t="str">
        <f>IFERROR(__xludf.DUMMYFUNCTION("""COMPUTED_VALUE"""),"NON THERMAL PROCESSING TECHNIQUES")</f>
        <v>NON THERMAL PROCESSING TECHNIQUES</v>
      </c>
      <c r="F233" s="31" t="str">
        <f>IFERROR(__xludf.DUMMYFUNCTION("""COMPUTED_VALUE"""),"THEORY")</f>
        <v>THEORY</v>
      </c>
      <c r="G233" s="31">
        <f>IFERROR(__xludf.DUMMYFUNCTION("""COMPUTED_VALUE"""),3)</f>
        <v>3</v>
      </c>
      <c r="H233" s="31">
        <f>IFERROR(__xludf.DUMMYFUNCTION("""COMPUTED_VALUE"""),0)</f>
        <v>0</v>
      </c>
      <c r="I233" s="31">
        <f>IFERROR(__xludf.DUMMYFUNCTION("""COMPUTED_VALUE"""),0)</f>
        <v>0</v>
      </c>
      <c r="J233" s="31">
        <f>IFERROR(__xludf.DUMMYFUNCTION("""COMPUTED_VALUE"""),3)</f>
        <v>3</v>
      </c>
      <c r="K233" s="31" t="str">
        <f>IFERROR(__xludf.DUMMYFUNCTION("""COMPUTED_VALUE"""),"FD10966")</f>
        <v>FD10966</v>
      </c>
      <c r="L233" s="31" t="str">
        <f>IFERROR(__xludf.DUMMYFUNCTION("""COMPUTED_VALUE"""),"Ms.NITHIYA PRIYA B T")</f>
        <v>Ms.NITHIYA PRIYA B T</v>
      </c>
      <c r="M233" s="31" t="str">
        <f>IFERROR(__xludf.DUMMYFUNCTION("""COMPUTED_VALUE"""),"nithiyapriyabt@bitsathy.ac.in")</f>
        <v>nithiyapriyabt@bitsathy.ac.in</v>
      </c>
    </row>
    <row r="234" ht="35.25" customHeight="1" spans="1:13">
      <c r="A234" s="31" t="str">
        <f>IFERROR(__xludf.DUMMYFUNCTION("""COMPUTED_VALUE"""),"FD")</f>
        <v>FD</v>
      </c>
      <c r="B234" s="31" t="str">
        <f>IFERROR(__xludf.DUMMYFUNCTION("""COMPUTED_VALUE"""),"S6")</f>
        <v>S6</v>
      </c>
      <c r="C234" s="31" t="str">
        <f>IFERROR(__xludf.DUMMYFUNCTION("""COMPUTED_VALUE"""),"ELECTIVE 4")</f>
        <v>ELECTIVE 4</v>
      </c>
      <c r="D234" s="31" t="str">
        <f>IFERROR(__xludf.DUMMYFUNCTION("""COMPUTED_VALUE"""),"22FD009")</f>
        <v>22FD009</v>
      </c>
      <c r="E234" s="98" t="str">
        <f>IFERROR(__xludf.DUMMYFUNCTION("""COMPUTED_VALUE"""),"THERMAL PROCESSING TECHNIQUES")</f>
        <v>THERMAL PROCESSING TECHNIQUES</v>
      </c>
      <c r="F234" s="31" t="str">
        <f>IFERROR(__xludf.DUMMYFUNCTION("""COMPUTED_VALUE"""),"THEORY")</f>
        <v>THEORY</v>
      </c>
      <c r="G234" s="31">
        <f>IFERROR(__xludf.DUMMYFUNCTION("""COMPUTED_VALUE"""),3)</f>
        <v>3</v>
      </c>
      <c r="H234" s="31">
        <f>IFERROR(__xludf.DUMMYFUNCTION("""COMPUTED_VALUE"""),0)</f>
        <v>0</v>
      </c>
      <c r="I234" s="31">
        <f>IFERROR(__xludf.DUMMYFUNCTION("""COMPUTED_VALUE"""),0)</f>
        <v>0</v>
      </c>
      <c r="J234" s="31">
        <f>IFERROR(__xludf.DUMMYFUNCTION("""COMPUTED_VALUE"""),3)</f>
        <v>3</v>
      </c>
      <c r="K234" s="31" t="str">
        <f>IFERROR(__xludf.DUMMYFUNCTION("""COMPUTED_VALUE"""),"FD10959")</f>
        <v>FD10959</v>
      </c>
      <c r="L234" s="31" t="str">
        <f>IFERROR(__xludf.DUMMYFUNCTION("""COMPUTED_VALUE"""),"Ms.PIDATHALA SAHITYA")</f>
        <v>Ms.PIDATHALA SAHITYA</v>
      </c>
      <c r="M234" s="31" t="str">
        <f>IFERROR(__xludf.DUMMYFUNCTION("""COMPUTED_VALUE"""),"pidathalasahitya@bitsathy.ac.in")</f>
        <v>pidathalasahitya@bitsathy.ac.in</v>
      </c>
    </row>
    <row r="235" ht="35.25" customHeight="1" spans="1:13">
      <c r="A235" s="31" t="str">
        <f>IFERROR(__xludf.DUMMYFUNCTION("""COMPUTED_VALUE"""),"FD")</f>
        <v>FD</v>
      </c>
      <c r="B235" s="31" t="str">
        <f>IFERROR(__xludf.DUMMYFUNCTION("""COMPUTED_VALUE"""),"S6")</f>
        <v>S6</v>
      </c>
      <c r="C235" s="31" t="str">
        <f>IFERROR(__xludf.DUMMYFUNCTION("""COMPUTED_VALUE"""),"ADD COURSE")</f>
        <v>ADD COURSE</v>
      </c>
      <c r="D235" s="31" t="str">
        <f>IFERROR(__xludf.DUMMYFUNCTION("""COMPUTED_VALUE"""),"22FD035")</f>
        <v>22FD035</v>
      </c>
      <c r="E235" s="98" t="str">
        <f>IFERROR(__xludf.DUMMYFUNCTION("""COMPUTED_VALUE"""),"FOOD FERMENTATION TECHNOLOGY")</f>
        <v>FOOD FERMENTATION TECHNOLOGY</v>
      </c>
      <c r="F235" s="31" t="str">
        <f>IFERROR(__xludf.DUMMYFUNCTION("""COMPUTED_VALUE"""),"THEORY")</f>
        <v>THEORY</v>
      </c>
      <c r="G235" s="31">
        <f>IFERROR(__xludf.DUMMYFUNCTION("""COMPUTED_VALUE"""),3)</f>
        <v>3</v>
      </c>
      <c r="H235" s="31">
        <f>IFERROR(__xludf.DUMMYFUNCTION("""COMPUTED_VALUE"""),0)</f>
        <v>0</v>
      </c>
      <c r="I235" s="31">
        <f>IFERROR(__xludf.DUMMYFUNCTION("""COMPUTED_VALUE"""),0)</f>
        <v>0</v>
      </c>
      <c r="J235" s="31">
        <f>IFERROR(__xludf.DUMMYFUNCTION("""COMPUTED_VALUE"""),3)</f>
        <v>3</v>
      </c>
      <c r="K235" s="31" t="str">
        <f>IFERROR(__xludf.DUMMYFUNCTION("""COMPUTED_VALUE"""),"FD11130")</f>
        <v>FD11130</v>
      </c>
      <c r="L235" s="31" t="str">
        <f>IFERROR(__xludf.DUMMYFUNCTION("""COMPUTED_VALUE"""),"Ms.SIVARAHINI K")</f>
        <v>Ms.SIVARAHINI K</v>
      </c>
      <c r="M235" s="31" t="str">
        <f>IFERROR(__xludf.DUMMYFUNCTION("""COMPUTED_VALUE"""),"sivarahini@bitsathy.ac.in")</f>
        <v>sivarahini@bitsathy.ac.in</v>
      </c>
    </row>
    <row r="236" ht="35.25" customHeight="1" spans="1:13">
      <c r="A236" s="31" t="str">
        <f>IFERROR(__xludf.DUMMYFUNCTION("""COMPUTED_VALUE"""),"FD")</f>
        <v>FD</v>
      </c>
      <c r="B236" s="31" t="str">
        <f>IFERROR(__xludf.DUMMYFUNCTION("""COMPUTED_VALUE"""),"S6")</f>
        <v>S6</v>
      </c>
      <c r="C236" s="31" t="str">
        <f>IFERROR(__xludf.DUMMYFUNCTION("""COMPUTED_VALUE"""),"HONOURS")</f>
        <v>HONOURS</v>
      </c>
      <c r="D236" s="31" t="str">
        <f>IFERROR(__xludf.DUMMYFUNCTION("""COMPUTED_VALUE"""),"22FDH03")</f>
        <v>22FDH03</v>
      </c>
      <c r="E236" s="98" t="str">
        <f>IFERROR(__xludf.DUMMYFUNCTION("""COMPUTED_VALUE"""),"DIVERSE MATERIALS IN FOOD PACKAGING")</f>
        <v>DIVERSE MATERIALS IN FOOD PACKAGING</v>
      </c>
      <c r="F236" s="31" t="str">
        <f>IFERROR(__xludf.DUMMYFUNCTION("""COMPUTED_VALUE"""),"THEORY")</f>
        <v>THEORY</v>
      </c>
      <c r="G236" s="31">
        <f>IFERROR(__xludf.DUMMYFUNCTION("""COMPUTED_VALUE"""),3)</f>
        <v>3</v>
      </c>
      <c r="H236" s="31">
        <f>IFERROR(__xludf.DUMMYFUNCTION("""COMPUTED_VALUE"""),0)</f>
        <v>0</v>
      </c>
      <c r="I236" s="31">
        <f>IFERROR(__xludf.DUMMYFUNCTION("""COMPUTED_VALUE"""),0)</f>
        <v>0</v>
      </c>
      <c r="J236" s="31">
        <f>IFERROR(__xludf.DUMMYFUNCTION("""COMPUTED_VALUE"""),3)</f>
        <v>3</v>
      </c>
      <c r="K236" s="31" t="str">
        <f>IFERROR(__xludf.DUMMYFUNCTION("""COMPUTED_VALUE"""),"FD11130")</f>
        <v>FD11130</v>
      </c>
      <c r="L236" s="31" t="str">
        <f>IFERROR(__xludf.DUMMYFUNCTION("""COMPUTED_VALUE"""),"Ms.SIVARAHINI K")</f>
        <v>Ms.SIVARAHINI K</v>
      </c>
      <c r="M236" s="31" t="str">
        <f>IFERROR(__xludf.DUMMYFUNCTION("""COMPUTED_VALUE"""),"sivarahini@bitsathy.ac.in")</f>
        <v>sivarahini@bitsathy.ac.in</v>
      </c>
    </row>
    <row r="237" ht="35.25" customHeight="1" spans="1:13">
      <c r="A237" s="31" t="str">
        <f>IFERROR(__xludf.DUMMYFUNCTION("""COMPUTED_VALUE"""),"FD")</f>
        <v>FD</v>
      </c>
      <c r="B237" s="31" t="str">
        <f>IFERROR(__xludf.DUMMYFUNCTION("""COMPUTED_VALUE"""),"S6")</f>
        <v>S6</v>
      </c>
      <c r="C237" s="31" t="str">
        <f>IFERROR(__xludf.DUMMYFUNCTION("""COMPUTED_VALUE"""),"HONOURS")</f>
        <v>HONOURS</v>
      </c>
      <c r="D237" s="31" t="str">
        <f>IFERROR(__xludf.DUMMYFUNCTION("""COMPUTED_VALUE"""),"22FDH04")</f>
        <v>22FDH04</v>
      </c>
      <c r="E237" s="98" t="str">
        <f>IFERROR(__xludf.DUMMYFUNCTION("""COMPUTED_VALUE"""),"EMERGING TRENDS AND INNOVATION IN PACKAGING TECHNOLOGY")</f>
        <v>EMERGING TRENDS AND INNOVATION IN PACKAGING TECHNOLOGY</v>
      </c>
      <c r="F237" s="31" t="str">
        <f>IFERROR(__xludf.DUMMYFUNCTION("""COMPUTED_VALUE"""),"THEORY")</f>
        <v>THEORY</v>
      </c>
      <c r="G237" s="31">
        <f>IFERROR(__xludf.DUMMYFUNCTION("""COMPUTED_VALUE"""),3)</f>
        <v>3</v>
      </c>
      <c r="H237" s="31">
        <f>IFERROR(__xludf.DUMMYFUNCTION("""COMPUTED_VALUE"""),0)</f>
        <v>0</v>
      </c>
      <c r="I237" s="31">
        <f>IFERROR(__xludf.DUMMYFUNCTION("""COMPUTED_VALUE"""),0)</f>
        <v>0</v>
      </c>
      <c r="J237" s="31">
        <f>IFERROR(__xludf.DUMMYFUNCTION("""COMPUTED_VALUE"""),3)</f>
        <v>3</v>
      </c>
      <c r="K237" s="31" t="str">
        <f>IFERROR(__xludf.DUMMYFUNCTION("""COMPUTED_VALUE"""),"FD10966")</f>
        <v>FD10966</v>
      </c>
      <c r="L237" s="31" t="str">
        <f>IFERROR(__xludf.DUMMYFUNCTION("""COMPUTED_VALUE"""),"Ms.NITHIYA PRIYA B T")</f>
        <v>Ms.NITHIYA PRIYA B T</v>
      </c>
      <c r="M237" s="31" t="str">
        <f>IFERROR(__xludf.DUMMYFUNCTION("""COMPUTED_VALUE"""),"nithiyapriyabt@bitsathy.ac.in")</f>
        <v>nithiyapriyabt@bitsathy.ac.in</v>
      </c>
    </row>
    <row r="238" ht="35.25" customHeight="1" spans="1:13">
      <c r="A238" s="31" t="str">
        <f>IFERROR(__xludf.DUMMYFUNCTION("""COMPUTED_VALUE"""),"FD")</f>
        <v>FD</v>
      </c>
      <c r="B238" s="31" t="str">
        <f>IFERROR(__xludf.DUMMYFUNCTION("""COMPUTED_VALUE"""),"S6")</f>
        <v>S6</v>
      </c>
      <c r="C238" s="31" t="str">
        <f>IFERROR(__xludf.DUMMYFUNCTION("""COMPUTED_VALUE"""),"CORE")</f>
        <v>CORE</v>
      </c>
      <c r="D238" s="31" t="str">
        <f>IFERROR(__xludf.DUMMYFUNCTION("""COMPUTED_VALUE"""),"22FD607")</f>
        <v>22FD607</v>
      </c>
      <c r="E238" s="98" t="str">
        <f>IFERROR(__xludf.DUMMYFUNCTION("""COMPUTED_VALUE"""),"MINI PROJECT II")</f>
        <v>MINI PROJECT II</v>
      </c>
      <c r="F238" s="31" t="str">
        <f>IFERROR(__xludf.DUMMYFUNCTION("""COMPUTED_VALUE"""),"LAB")</f>
        <v>LAB</v>
      </c>
      <c r="G238" s="31">
        <f>IFERROR(__xludf.DUMMYFUNCTION("""COMPUTED_VALUE"""),0)</f>
        <v>0</v>
      </c>
      <c r="H238" s="31">
        <f>IFERROR(__xludf.DUMMYFUNCTION("""COMPUTED_VALUE"""),0)</f>
        <v>0</v>
      </c>
      <c r="I238" s="31">
        <f>IFERROR(__xludf.DUMMYFUNCTION("""COMPUTED_VALUE"""),2)</f>
        <v>2</v>
      </c>
      <c r="J238" s="31">
        <f>IFERROR(__xludf.DUMMYFUNCTION("""COMPUTED_VALUE"""),1)</f>
        <v>1</v>
      </c>
      <c r="K238" s="31"/>
      <c r="L238" s="31"/>
      <c r="M238" s="31"/>
    </row>
    <row r="239" ht="35.25" customHeight="1" spans="1:13">
      <c r="A239" s="31" t="str">
        <f>IFERROR(__xludf.DUMMYFUNCTION("""COMPUTED_VALUE"""),"ISE")</f>
        <v>ISE</v>
      </c>
      <c r="B239" s="31" t="str">
        <f>IFERROR(__xludf.DUMMYFUNCTION("""COMPUTED_VALUE"""),"S6")</f>
        <v>S6</v>
      </c>
      <c r="C239" s="31" t="str">
        <f>IFERROR(__xludf.DUMMYFUNCTION("""COMPUTED_VALUE"""),"CORE")</f>
        <v>CORE</v>
      </c>
      <c r="D239" s="31" t="str">
        <f>IFERROR(__xludf.DUMMYFUNCTION("""COMPUTED_VALUE"""),"22IS601")</f>
        <v>22IS601</v>
      </c>
      <c r="E239" s="98" t="str">
        <f>IFERROR(__xludf.DUMMYFUNCTION("""COMPUTED_VALUE"""),"NATURAL LANGUAGE PROCESSING TECHNIQUES")</f>
        <v>NATURAL LANGUAGE PROCESSING TECHNIQUES</v>
      </c>
      <c r="F239" s="31" t="str">
        <f>IFERROR(__xludf.DUMMYFUNCTION("""COMPUTED_VALUE"""),"THEORY")</f>
        <v>THEORY</v>
      </c>
      <c r="G239" s="31">
        <f>IFERROR(__xludf.DUMMYFUNCTION("""COMPUTED_VALUE"""),3)</f>
        <v>3</v>
      </c>
      <c r="H239" s="31">
        <f>IFERROR(__xludf.DUMMYFUNCTION("""COMPUTED_VALUE"""),0)</f>
        <v>0</v>
      </c>
      <c r="I239" s="31">
        <f>IFERROR(__xludf.DUMMYFUNCTION("""COMPUTED_VALUE"""),0)</f>
        <v>0</v>
      </c>
      <c r="J239" s="31">
        <f>IFERROR(__xludf.DUMMYFUNCTION("""COMPUTED_VALUE"""),3)</f>
        <v>3</v>
      </c>
      <c r="K239" s="31" t="str">
        <f>IFERROR(__xludf.DUMMYFUNCTION("""COMPUTED_VALUE"""),"CD11177")</f>
        <v>CD11177</v>
      </c>
      <c r="L239" s="31" t="str">
        <f>IFERROR(__xludf.DUMMYFUNCTION("""COMPUTED_VALUE"""),"Ms.MADHUMATHI S")</f>
        <v>Ms.MADHUMATHI S</v>
      </c>
      <c r="M239" s="31" t="str">
        <f>IFERROR(__xludf.DUMMYFUNCTION("""COMPUTED_VALUE"""),"madhumathis@bitsathy.ac.in")</f>
        <v>madhumathis@bitsathy.ac.in</v>
      </c>
    </row>
    <row r="240" ht="35.25" customHeight="1" spans="1:13">
      <c r="A240" s="31" t="str">
        <f>IFERROR(__xludf.DUMMYFUNCTION("""COMPUTED_VALUE"""),"ISE")</f>
        <v>ISE</v>
      </c>
      <c r="B240" s="31" t="str">
        <f>IFERROR(__xludf.DUMMYFUNCTION("""COMPUTED_VALUE"""),"S6")</f>
        <v>S6</v>
      </c>
      <c r="C240" s="31" t="str">
        <f>IFERROR(__xludf.DUMMYFUNCTION("""COMPUTED_VALUE"""),"CORE")</f>
        <v>CORE</v>
      </c>
      <c r="D240" s="31" t="str">
        <f>IFERROR(__xludf.DUMMYFUNCTION("""COMPUTED_VALUE"""),"22IS602")</f>
        <v>22IS602</v>
      </c>
      <c r="E240" s="98" t="str">
        <f>IFERROR(__xludf.DUMMYFUNCTION("""COMPUTED_VALUE"""),"CRYPTOGRAPHY AND INFORMATION SECURITY")</f>
        <v>CRYPTOGRAPHY AND INFORMATION SECURITY</v>
      </c>
      <c r="F240" s="31" t="str">
        <f>IFERROR(__xludf.DUMMYFUNCTION("""COMPUTED_VALUE"""),"THEORY")</f>
        <v>THEORY</v>
      </c>
      <c r="G240" s="31">
        <f>IFERROR(__xludf.DUMMYFUNCTION("""COMPUTED_VALUE"""),3)</f>
        <v>3</v>
      </c>
      <c r="H240" s="31">
        <f>IFERROR(__xludf.DUMMYFUNCTION("""COMPUTED_VALUE"""),0)</f>
        <v>0</v>
      </c>
      <c r="I240" s="31">
        <f>IFERROR(__xludf.DUMMYFUNCTION("""COMPUTED_VALUE"""),0)</f>
        <v>0</v>
      </c>
      <c r="J240" s="31">
        <f>IFERROR(__xludf.DUMMYFUNCTION("""COMPUTED_VALUE"""),3)</f>
        <v>3</v>
      </c>
      <c r="K240" s="31" t="str">
        <f>IFERROR(__xludf.DUMMYFUNCTION("""COMPUTED_VALUE"""),"CT10935")</f>
        <v>CT10935</v>
      </c>
      <c r="L240" s="31" t="str">
        <f>IFERROR(__xludf.DUMMYFUNCTION("""COMPUTED_VALUE"""),"Ms.NITHYA M")</f>
        <v>Ms.NITHYA M</v>
      </c>
      <c r="M240" s="31" t="str">
        <f>IFERROR(__xludf.DUMMYFUNCTION("""COMPUTED_VALUE"""),"nithyam@bitsathy.ac.in")</f>
        <v>nithyam@bitsathy.ac.in</v>
      </c>
    </row>
    <row r="241" ht="35.25" customHeight="1" spans="1:13">
      <c r="A241" s="31" t="str">
        <f>IFERROR(__xludf.DUMMYFUNCTION("""COMPUTED_VALUE"""),"ISE")</f>
        <v>ISE</v>
      </c>
      <c r="B241" s="31" t="str">
        <f>IFERROR(__xludf.DUMMYFUNCTION("""COMPUTED_VALUE"""),"S6")</f>
        <v>S6</v>
      </c>
      <c r="C241" s="31" t="str">
        <f>IFERROR(__xludf.DUMMYFUNCTION("""COMPUTED_VALUE"""),"CORE")</f>
        <v>CORE</v>
      </c>
      <c r="D241" s="31" t="str">
        <f>IFERROR(__xludf.DUMMYFUNCTION("""COMPUTED_VALUE"""),"22IS603")</f>
        <v>22IS603</v>
      </c>
      <c r="E241" s="98" t="str">
        <f>IFERROR(__xludf.DUMMYFUNCTION("""COMPUTED_VALUE"""),"INFORMATION CODING TECHNIQUES")</f>
        <v>INFORMATION CODING TECHNIQUES</v>
      </c>
      <c r="F241" s="31" t="str">
        <f>IFERROR(__xludf.DUMMYFUNCTION("""COMPUTED_VALUE"""),"THEORY")</f>
        <v>THEORY</v>
      </c>
      <c r="G241" s="31">
        <f>IFERROR(__xludf.DUMMYFUNCTION("""COMPUTED_VALUE"""),3)</f>
        <v>3</v>
      </c>
      <c r="H241" s="31">
        <f>IFERROR(__xludf.DUMMYFUNCTION("""COMPUTED_VALUE"""),1)</f>
        <v>1</v>
      </c>
      <c r="I241" s="31">
        <f>IFERROR(__xludf.DUMMYFUNCTION("""COMPUTED_VALUE"""),0)</f>
        <v>0</v>
      </c>
      <c r="J241" s="31">
        <f>IFERROR(__xludf.DUMMYFUNCTION("""COMPUTED_VALUE"""),4)</f>
        <v>4</v>
      </c>
      <c r="K241" s="31" t="str">
        <f>IFERROR(__xludf.DUMMYFUNCTION("""COMPUTED_VALUE"""),"CS11086")</f>
        <v>CS11086</v>
      </c>
      <c r="L241" s="31" t="str">
        <f>IFERROR(__xludf.DUMMYFUNCTION("""COMPUTED_VALUE"""),"Mrs.GAYATHRI S")</f>
        <v>Mrs.GAYATHRI S</v>
      </c>
      <c r="M241" s="31" t="str">
        <f>IFERROR(__xludf.DUMMYFUNCTION("""COMPUTED_VALUE"""),"gayathris@bitsathy.ac.in")</f>
        <v>gayathris@bitsathy.ac.in</v>
      </c>
    </row>
    <row r="242" ht="35.25" customHeight="1" spans="1:13">
      <c r="A242" s="31" t="str">
        <f>IFERROR(__xludf.DUMMYFUNCTION("""COMPUTED_VALUE"""),"ISE")</f>
        <v>ISE</v>
      </c>
      <c r="B242" s="31" t="str">
        <f>IFERROR(__xludf.DUMMYFUNCTION("""COMPUTED_VALUE"""),"S6")</f>
        <v>S6</v>
      </c>
      <c r="C242" s="31" t="str">
        <f>IFERROR(__xludf.DUMMYFUNCTION("""COMPUTED_VALUE"""),"ELECTIVE 3")</f>
        <v>ELECTIVE 3</v>
      </c>
      <c r="D242" s="31" t="str">
        <f>IFERROR(__xludf.DUMMYFUNCTION("""COMPUTED_VALUE"""),"22IS013")</f>
        <v>22IS013</v>
      </c>
      <c r="E242" s="98" t="str">
        <f>IFERROR(__xludf.DUMMYFUNCTION("""COMPUTED_VALUE"""),"CYBER SECURITY")</f>
        <v>CYBER SECURITY</v>
      </c>
      <c r="F242" s="31" t="str">
        <f>IFERROR(__xludf.DUMMYFUNCTION("""COMPUTED_VALUE"""),"THEORY")</f>
        <v>THEORY</v>
      </c>
      <c r="G242" s="31">
        <f>IFERROR(__xludf.DUMMYFUNCTION("""COMPUTED_VALUE"""),3)</f>
        <v>3</v>
      </c>
      <c r="H242" s="31">
        <f>IFERROR(__xludf.DUMMYFUNCTION("""COMPUTED_VALUE"""),0)</f>
        <v>0</v>
      </c>
      <c r="I242" s="31">
        <f>IFERROR(__xludf.DUMMYFUNCTION("""COMPUTED_VALUE"""),0)</f>
        <v>0</v>
      </c>
      <c r="J242" s="31">
        <f>IFERROR(__xludf.DUMMYFUNCTION("""COMPUTED_VALUE"""),3)</f>
        <v>3</v>
      </c>
      <c r="K242" s="31" t="str">
        <f>IFERROR(__xludf.DUMMYFUNCTION("""COMPUTED_VALUE"""),"CS11171")</f>
        <v>CS11171</v>
      </c>
      <c r="L242" s="31" t="str">
        <f>IFERROR(__xludf.DUMMYFUNCTION("""COMPUTED_VALUE"""),"Mr.JACKSON J")</f>
        <v>Mr.JACKSON J</v>
      </c>
      <c r="M242" s="31" t="str">
        <f>IFERROR(__xludf.DUMMYFUNCTION("""COMPUTED_VALUE"""),"jacksonj@bitsathy.ac.in")</f>
        <v>jacksonj@bitsathy.ac.in</v>
      </c>
    </row>
    <row r="243" ht="35.25" customHeight="1" spans="1:13">
      <c r="A243" s="31" t="str">
        <f>IFERROR(__xludf.DUMMYFUNCTION("""COMPUTED_VALUE"""),"ISE")</f>
        <v>ISE</v>
      </c>
      <c r="B243" s="31" t="str">
        <f>IFERROR(__xludf.DUMMYFUNCTION("""COMPUTED_VALUE"""),"S6")</f>
        <v>S6</v>
      </c>
      <c r="C243" s="31" t="str">
        <f>IFERROR(__xludf.DUMMYFUNCTION("""COMPUTED_VALUE"""),"ELECTIVE 4")</f>
        <v>ELECTIVE 4</v>
      </c>
      <c r="D243" s="31" t="str">
        <f>IFERROR(__xludf.DUMMYFUNCTION("""COMPUTED_VALUE"""),"22IS001")</f>
        <v>22IS001</v>
      </c>
      <c r="E243" s="98" t="str">
        <f>IFERROR(__xludf.DUMMYFUNCTION("""COMPUTED_VALUE"""),"INFORMATION STORAGE AND MANAGEMENT")</f>
        <v>INFORMATION STORAGE AND MANAGEMENT</v>
      </c>
      <c r="F243" s="31" t="str">
        <f>IFERROR(__xludf.DUMMYFUNCTION("""COMPUTED_VALUE"""),"THEORY")</f>
        <v>THEORY</v>
      </c>
      <c r="G243" s="31">
        <f>IFERROR(__xludf.DUMMYFUNCTION("""COMPUTED_VALUE"""),3)</f>
        <v>3</v>
      </c>
      <c r="H243" s="31">
        <f>IFERROR(__xludf.DUMMYFUNCTION("""COMPUTED_VALUE"""),0)</f>
        <v>0</v>
      </c>
      <c r="I243" s="31">
        <f>IFERROR(__xludf.DUMMYFUNCTION("""COMPUTED_VALUE"""),0)</f>
        <v>0</v>
      </c>
      <c r="J243" s="31">
        <f>IFERROR(__xludf.DUMMYFUNCTION("""COMPUTED_VALUE"""),3)</f>
        <v>3</v>
      </c>
      <c r="K243" s="31" t="str">
        <f>IFERROR(__xludf.DUMMYFUNCTION("""COMPUTED_VALUE"""),"CS10880")</f>
        <v>CS10880</v>
      </c>
      <c r="L243" s="31" t="str">
        <f>IFERROR(__xludf.DUMMYFUNCTION("""COMPUTED_VALUE"""),"Mrs.KALAIVANI E")</f>
        <v>Mrs.KALAIVANI E</v>
      </c>
      <c r="M243" s="31" t="str">
        <f>IFERROR(__xludf.DUMMYFUNCTION("""COMPUTED_VALUE"""),"kalaivanie@bitsathy.ac.in")</f>
        <v>kalaivanie@bitsathy.ac.in</v>
      </c>
    </row>
    <row r="244" ht="35.25" customHeight="1" spans="1:13">
      <c r="A244" s="31" t="str">
        <f>IFERROR(__xludf.DUMMYFUNCTION("""COMPUTED_VALUE"""),"ISE")</f>
        <v>ISE</v>
      </c>
      <c r="B244" s="31" t="str">
        <f>IFERROR(__xludf.DUMMYFUNCTION("""COMPUTED_VALUE"""),"S6")</f>
        <v>S6</v>
      </c>
      <c r="C244" s="31" t="str">
        <f>IFERROR(__xludf.DUMMYFUNCTION("""COMPUTED_VALUE"""),"ELECTIVE 5")</f>
        <v>ELECTIVE 5</v>
      </c>
      <c r="D244" s="31" t="str">
        <f>IFERROR(__xludf.DUMMYFUNCTION("""COMPUTED_VALUE"""),"22IS006")</f>
        <v>22IS006</v>
      </c>
      <c r="E244" s="98" t="str">
        <f>IFERROR(__xludf.DUMMYFUNCTION("""COMPUTED_VALUE"""),"BUSINESS INTELLIGENCE")</f>
        <v>BUSINESS INTELLIGENCE</v>
      </c>
      <c r="F244" s="31" t="str">
        <f>IFERROR(__xludf.DUMMYFUNCTION("""COMPUTED_VALUE"""),"THEORY")</f>
        <v>THEORY</v>
      </c>
      <c r="G244" s="31">
        <f>IFERROR(__xludf.DUMMYFUNCTION("""COMPUTED_VALUE"""),3)</f>
        <v>3</v>
      </c>
      <c r="H244" s="31">
        <f>IFERROR(__xludf.DUMMYFUNCTION("""COMPUTED_VALUE"""),0)</f>
        <v>0</v>
      </c>
      <c r="I244" s="31">
        <f>IFERROR(__xludf.DUMMYFUNCTION("""COMPUTED_VALUE"""),0)</f>
        <v>0</v>
      </c>
      <c r="J244" s="31">
        <f>IFERROR(__xludf.DUMMYFUNCTION("""COMPUTED_VALUE"""),3)</f>
        <v>3</v>
      </c>
      <c r="K244" s="31" t="str">
        <f>IFERROR(__xludf.DUMMYFUNCTION("""COMPUTED_VALUE"""),"AD10838")</f>
        <v>AD10838</v>
      </c>
      <c r="L244" s="31" t="str">
        <f>IFERROR(__xludf.DUMMYFUNCTION("""COMPUTED_VALUE"""),"Mrs.NITHYAPRIYA S")</f>
        <v>Mrs.NITHYAPRIYA S</v>
      </c>
      <c r="M244" s="31" t="str">
        <f>IFERROR(__xludf.DUMMYFUNCTION("""COMPUTED_VALUE"""),"nithyapriyas@bitsathy.ac.in")</f>
        <v>nithyapriyas@bitsathy.ac.in</v>
      </c>
    </row>
    <row r="245" ht="35.25" customHeight="1" spans="1:13">
      <c r="A245" s="31" t="str">
        <f>IFERROR(__xludf.DUMMYFUNCTION("""COMPUTED_VALUE"""),"ISE")</f>
        <v>ISE</v>
      </c>
      <c r="B245" s="31" t="str">
        <f>IFERROR(__xludf.DUMMYFUNCTION("""COMPUTED_VALUE"""),"S6")</f>
        <v>S6</v>
      </c>
      <c r="C245" s="31" t="str">
        <f>IFERROR(__xludf.DUMMYFUNCTION("""COMPUTED_VALUE"""),"ADD COURSE")</f>
        <v>ADD COURSE</v>
      </c>
      <c r="D245" s="31" t="str">
        <f>IFERROR(__xludf.DUMMYFUNCTION("""COMPUTED_VALUE"""),"22IS041")</f>
        <v>22IS041</v>
      </c>
      <c r="E245" s="98" t="str">
        <f>IFERROR(__xludf.DUMMYFUNCTION("""COMPUTED_VALUE"""),"INTERNET MARKETING")</f>
        <v>INTERNET MARKETING</v>
      </c>
      <c r="F245" s="31" t="str">
        <f>IFERROR(__xludf.DUMMYFUNCTION("""COMPUTED_VALUE"""),"THEORY")</f>
        <v>THEORY</v>
      </c>
      <c r="G245" s="31">
        <f>IFERROR(__xludf.DUMMYFUNCTION("""COMPUTED_VALUE"""),3)</f>
        <v>3</v>
      </c>
      <c r="H245" s="31">
        <f>IFERROR(__xludf.DUMMYFUNCTION("""COMPUTED_VALUE"""),0)</f>
        <v>0</v>
      </c>
      <c r="I245" s="31">
        <f>IFERROR(__xludf.DUMMYFUNCTION("""COMPUTED_VALUE"""),0)</f>
        <v>0</v>
      </c>
      <c r="J245" s="31">
        <f>IFERROR(__xludf.DUMMYFUNCTION("""COMPUTED_VALUE"""),3)</f>
        <v>3</v>
      </c>
      <c r="K245" s="31" t="str">
        <f>IFERROR(__xludf.DUMMYFUNCTION("""COMPUTED_VALUE"""),"IS10829")</f>
        <v>IS10829</v>
      </c>
      <c r="L245" s="31" t="str">
        <f>IFERROR(__xludf.DUMMYFUNCTION("""COMPUTED_VALUE"""),"Mr.PANDIYAN M")</f>
        <v>Mr.PANDIYAN M</v>
      </c>
      <c r="M245" s="31" t="str">
        <f>IFERROR(__xludf.DUMMYFUNCTION("""COMPUTED_VALUE"""),"pandiyanm@bitsathy.ac.in")</f>
        <v>pandiyanm@bitsathy.ac.in</v>
      </c>
    </row>
    <row r="246" ht="35.25" customHeight="1" spans="1:13">
      <c r="A246" s="31" t="str">
        <f>IFERROR(__xludf.DUMMYFUNCTION("""COMPUTED_VALUE"""),"ISE")</f>
        <v>ISE</v>
      </c>
      <c r="B246" s="31" t="str">
        <f>IFERROR(__xludf.DUMMYFUNCTION("""COMPUTED_VALUE"""),"S6")</f>
        <v>S6</v>
      </c>
      <c r="C246" s="31" t="str">
        <f>IFERROR(__xludf.DUMMYFUNCTION("""COMPUTED_VALUE"""),"HONOURS")</f>
        <v>HONOURS</v>
      </c>
      <c r="D246" s="31" t="str">
        <f>IFERROR(__xludf.DUMMYFUNCTION("""COMPUTED_VALUE"""),"22ISH27")</f>
        <v>22ISH27</v>
      </c>
      <c r="E246" s="98" t="str">
        <f>IFERROR(__xludf.DUMMYFUNCTION("""COMPUTED_VALUE"""),"DATA MINING")</f>
        <v>DATA MINING</v>
      </c>
      <c r="F246" s="31" t="str">
        <f>IFERROR(__xludf.DUMMYFUNCTION("""COMPUTED_VALUE"""),"THEORY")</f>
        <v>THEORY</v>
      </c>
      <c r="G246" s="31">
        <f>IFERROR(__xludf.DUMMYFUNCTION("""COMPUTED_VALUE"""),3)</f>
        <v>3</v>
      </c>
      <c r="H246" s="31">
        <f>IFERROR(__xludf.DUMMYFUNCTION("""COMPUTED_VALUE"""),0)</f>
        <v>0</v>
      </c>
      <c r="I246" s="31">
        <f>IFERROR(__xludf.DUMMYFUNCTION("""COMPUTED_VALUE"""),0)</f>
        <v>0</v>
      </c>
      <c r="J246" s="31">
        <f>IFERROR(__xludf.DUMMYFUNCTION("""COMPUTED_VALUE"""),3)</f>
        <v>3</v>
      </c>
      <c r="K246" s="31" t="str">
        <f>IFERROR(__xludf.DUMMYFUNCTION("""COMPUTED_VALUE"""),"IS1899")</f>
        <v>IS1899</v>
      </c>
      <c r="L246" s="31" t="str">
        <f>IFERROR(__xludf.DUMMYFUNCTION("""COMPUTED_VALUE"""),"Dr.ANANDAKUMAR K")</f>
        <v>Dr.ANANDAKUMAR K</v>
      </c>
      <c r="M246" s="31" t="str">
        <f>IFERROR(__xludf.DUMMYFUNCTION("""COMPUTED_VALUE"""),"anandakumark@bitsathy.ac.in")</f>
        <v>anandakumark@bitsathy.ac.in</v>
      </c>
    </row>
    <row r="247" ht="35.25" customHeight="1" spans="1:13">
      <c r="A247" s="31" t="str">
        <f>IFERROR(__xludf.DUMMYFUNCTION("""COMPUTED_VALUE"""),"ISE")</f>
        <v>ISE</v>
      </c>
      <c r="B247" s="31" t="str">
        <f>IFERROR(__xludf.DUMMYFUNCTION("""COMPUTED_VALUE"""),"S6")</f>
        <v>S6</v>
      </c>
      <c r="C247" s="31" t="str">
        <f>IFERROR(__xludf.DUMMYFUNCTION("""COMPUTED_VALUE"""),"MINI PROJECT")</f>
        <v>MINI PROJECT</v>
      </c>
      <c r="D247" s="31" t="str">
        <f>IFERROR(__xludf.DUMMYFUNCTION("""COMPUTED_VALUE"""),"22IS607")</f>
        <v>22IS607</v>
      </c>
      <c r="E247" s="98" t="str">
        <f>IFERROR(__xludf.DUMMYFUNCTION("""COMPUTED_VALUE"""),"MINI PROJECT II")</f>
        <v>MINI PROJECT II</v>
      </c>
      <c r="F247" s="31" t="str">
        <f>IFERROR(__xludf.DUMMYFUNCTION("""COMPUTED_VALUE"""),"LAB")</f>
        <v>LAB</v>
      </c>
      <c r="G247" s="31">
        <f>IFERROR(__xludf.DUMMYFUNCTION("""COMPUTED_VALUE"""),0)</f>
        <v>0</v>
      </c>
      <c r="H247" s="31">
        <f>IFERROR(__xludf.DUMMYFUNCTION("""COMPUTED_VALUE"""),0)</f>
        <v>0</v>
      </c>
      <c r="I247" s="31">
        <f>IFERROR(__xludf.DUMMYFUNCTION("""COMPUTED_VALUE"""),2)</f>
        <v>2</v>
      </c>
      <c r="J247" s="31">
        <f>IFERROR(__xludf.DUMMYFUNCTION("""COMPUTED_VALUE"""),1)</f>
        <v>1</v>
      </c>
      <c r="K247" s="31"/>
      <c r="L247" s="31"/>
      <c r="M247" s="31"/>
    </row>
    <row r="248" ht="35.25" customHeight="1" spans="1:13">
      <c r="A248" s="31" t="str">
        <f>IFERROR(__xludf.DUMMYFUNCTION("""COMPUTED_VALUE"""),"IT")</f>
        <v>IT</v>
      </c>
      <c r="B248" s="31" t="str">
        <f>IFERROR(__xludf.DUMMYFUNCTION("""COMPUTED_VALUE"""),"S6")</f>
        <v>S6</v>
      </c>
      <c r="C248" s="31" t="str">
        <f>IFERROR(__xludf.DUMMYFUNCTION("""COMPUTED_VALUE"""),"CORE")</f>
        <v>CORE</v>
      </c>
      <c r="D248" s="31" t="str">
        <f>IFERROR(__xludf.DUMMYFUNCTION("""COMPUTED_VALUE"""),"22IT601")</f>
        <v>22IT601</v>
      </c>
      <c r="E248" s="98" t="str">
        <f>IFERROR(__xludf.DUMMYFUNCTION("""COMPUTED_VALUE"""),"DATA MINING AND WAREHOUSING")</f>
        <v>DATA MINING AND WAREHOUSING</v>
      </c>
      <c r="F248" s="31" t="str">
        <f>IFERROR(__xludf.DUMMYFUNCTION("""COMPUTED_VALUE"""),"THEORY WITH LAB")</f>
        <v>THEORY WITH LAB</v>
      </c>
      <c r="G248" s="31">
        <f>IFERROR(__xludf.DUMMYFUNCTION("""COMPUTED_VALUE"""),3)</f>
        <v>3</v>
      </c>
      <c r="H248" s="31">
        <f>IFERROR(__xludf.DUMMYFUNCTION("""COMPUTED_VALUE"""),0)</f>
        <v>0</v>
      </c>
      <c r="I248" s="31">
        <f>IFERROR(__xludf.DUMMYFUNCTION("""COMPUTED_VALUE"""),2)</f>
        <v>2</v>
      </c>
      <c r="J248" s="31">
        <f>IFERROR(__xludf.DUMMYFUNCTION("""COMPUTED_VALUE"""),4)</f>
        <v>4</v>
      </c>
      <c r="K248" s="31" t="str">
        <f>IFERROR(__xludf.DUMMYFUNCTION("""COMPUTED_VALUE"""),"IT10395")</f>
        <v>IT10395</v>
      </c>
      <c r="L248" s="31" t="str">
        <f>IFERROR(__xludf.DUMMYFUNCTION("""COMPUTED_VALUE"""),"Dr.SRI VINITHA V")</f>
        <v>Dr.SRI VINITHA V</v>
      </c>
      <c r="M248" s="31" t="str">
        <f>IFERROR(__xludf.DUMMYFUNCTION("""COMPUTED_VALUE"""),"srivinitha@bitsathy.ac.in")</f>
        <v>srivinitha@bitsathy.ac.in</v>
      </c>
    </row>
    <row r="249" ht="35.25" customHeight="1" spans="1:13">
      <c r="A249" s="31" t="str">
        <f>IFERROR(__xludf.DUMMYFUNCTION("""COMPUTED_VALUE"""),"IT")</f>
        <v>IT</v>
      </c>
      <c r="B249" s="31" t="str">
        <f>IFERROR(__xludf.DUMMYFUNCTION("""COMPUTED_VALUE"""),"S6")</f>
        <v>S6</v>
      </c>
      <c r="C249" s="31" t="str">
        <f>IFERROR(__xludf.DUMMYFUNCTION("""COMPUTED_VALUE"""),"CORE")</f>
        <v>CORE</v>
      </c>
      <c r="D249" s="31" t="str">
        <f>IFERROR(__xludf.DUMMYFUNCTION("""COMPUTED_VALUE"""),"22IT601")</f>
        <v>22IT601</v>
      </c>
      <c r="E249" s="98" t="str">
        <f>IFERROR(__xludf.DUMMYFUNCTION("""COMPUTED_VALUE"""),"DATA MINING AND WAREHOUSING")</f>
        <v>DATA MINING AND WAREHOUSING</v>
      </c>
      <c r="F249" s="31" t="str">
        <f>IFERROR(__xludf.DUMMYFUNCTION("""COMPUTED_VALUE"""),"THEORY WITH LAB")</f>
        <v>THEORY WITH LAB</v>
      </c>
      <c r="G249" s="31">
        <f>IFERROR(__xludf.DUMMYFUNCTION("""COMPUTED_VALUE"""),3)</f>
        <v>3</v>
      </c>
      <c r="H249" s="31">
        <f>IFERROR(__xludf.DUMMYFUNCTION("""COMPUTED_VALUE"""),0)</f>
        <v>0</v>
      </c>
      <c r="I249" s="31">
        <f>IFERROR(__xludf.DUMMYFUNCTION("""COMPUTED_VALUE"""),2)</f>
        <v>2</v>
      </c>
      <c r="J249" s="31">
        <f>IFERROR(__xludf.DUMMYFUNCTION("""COMPUTED_VALUE"""),4)</f>
        <v>4</v>
      </c>
      <c r="K249" s="31" t="str">
        <f>IFERROR(__xludf.DUMMYFUNCTION("""COMPUTED_VALUE"""),"IT11140")</f>
        <v>IT11140</v>
      </c>
      <c r="L249" s="31" t="str">
        <f>IFERROR(__xludf.DUMMYFUNCTION("""COMPUTED_VALUE"""),"Mrs.PRIYA A")</f>
        <v>Mrs.PRIYA A</v>
      </c>
      <c r="M249" s="31" t="str">
        <f>IFERROR(__xludf.DUMMYFUNCTION("""COMPUTED_VALUE"""),"priyaa@bitsathy.ac.in")</f>
        <v>priyaa@bitsathy.ac.in</v>
      </c>
    </row>
    <row r="250" ht="35.25" customHeight="1" spans="1:13">
      <c r="A250" s="31" t="str">
        <f>IFERROR(__xludf.DUMMYFUNCTION("""COMPUTED_VALUE"""),"IT")</f>
        <v>IT</v>
      </c>
      <c r="B250" s="31" t="str">
        <f>IFERROR(__xludf.DUMMYFUNCTION("""COMPUTED_VALUE"""),"S6")</f>
        <v>S6</v>
      </c>
      <c r="C250" s="31" t="str">
        <f>IFERROR(__xludf.DUMMYFUNCTION("""COMPUTED_VALUE"""),"CORE")</f>
        <v>CORE</v>
      </c>
      <c r="D250" s="31" t="str">
        <f>IFERROR(__xludf.DUMMYFUNCTION("""COMPUTED_VALUE"""),"22IT601")</f>
        <v>22IT601</v>
      </c>
      <c r="E250" s="98" t="str">
        <f>IFERROR(__xludf.DUMMYFUNCTION("""COMPUTED_VALUE"""),"DATA MINING AND WAREHOUSING")</f>
        <v>DATA MINING AND WAREHOUSING</v>
      </c>
      <c r="F250" s="31" t="str">
        <f>IFERROR(__xludf.DUMMYFUNCTION("""COMPUTED_VALUE"""),"THEORY WITH LAB")</f>
        <v>THEORY WITH LAB</v>
      </c>
      <c r="G250" s="31">
        <f>IFERROR(__xludf.DUMMYFUNCTION("""COMPUTED_VALUE"""),3)</f>
        <v>3</v>
      </c>
      <c r="H250" s="31">
        <f>IFERROR(__xludf.DUMMYFUNCTION("""COMPUTED_VALUE"""),0)</f>
        <v>0</v>
      </c>
      <c r="I250" s="31">
        <f>IFERROR(__xludf.DUMMYFUNCTION("""COMPUTED_VALUE"""),2)</f>
        <v>2</v>
      </c>
      <c r="J250" s="31">
        <f>IFERROR(__xludf.DUMMYFUNCTION("""COMPUTED_VALUE"""),4)</f>
        <v>4</v>
      </c>
      <c r="K250" s="31" t="str">
        <f>IFERROR(__xludf.DUMMYFUNCTION("""COMPUTED_VALUE"""),"IT11144")</f>
        <v>IT11144</v>
      </c>
      <c r="L250" s="31" t="str">
        <f>IFERROR(__xludf.DUMMYFUNCTION("""COMPUTED_VALUE"""),"Mrs.SHANGARA NARAYANEE N P")</f>
        <v>Mrs.SHANGARA NARAYANEE N P</v>
      </c>
      <c r="M250" s="31" t="str">
        <f>IFERROR(__xludf.DUMMYFUNCTION("""COMPUTED_VALUE"""),"shangaranarayanee@bitsathy.ac.in")</f>
        <v>shangaranarayanee@bitsathy.ac.in</v>
      </c>
    </row>
    <row r="251" ht="35.25" customHeight="1" spans="1:13">
      <c r="A251" s="31" t="str">
        <f>IFERROR(__xludf.DUMMYFUNCTION("""COMPUTED_VALUE"""),"IT")</f>
        <v>IT</v>
      </c>
      <c r="B251" s="31" t="str">
        <f>IFERROR(__xludf.DUMMYFUNCTION("""COMPUTED_VALUE"""),"S6")</f>
        <v>S6</v>
      </c>
      <c r="C251" s="31" t="str">
        <f>IFERROR(__xludf.DUMMYFUNCTION("""COMPUTED_VALUE"""),"CORE")</f>
        <v>CORE</v>
      </c>
      <c r="D251" s="31" t="str">
        <f>IFERROR(__xludf.DUMMYFUNCTION("""COMPUTED_VALUE"""),"22IT602")</f>
        <v>22IT602</v>
      </c>
      <c r="E251" s="98" t="str">
        <f>IFERROR(__xludf.DUMMYFUNCTION("""COMPUTED_VALUE"""),"PRINCIPLES OF COMPILER DESIGN")</f>
        <v>PRINCIPLES OF COMPILER DESIGN</v>
      </c>
      <c r="F251" s="31" t="str">
        <f>IFERROR(__xludf.DUMMYFUNCTION("""COMPUTED_VALUE"""),"THEORY")</f>
        <v>THEORY</v>
      </c>
      <c r="G251" s="31">
        <f>IFERROR(__xludf.DUMMYFUNCTION("""COMPUTED_VALUE"""),3)</f>
        <v>3</v>
      </c>
      <c r="H251" s="31">
        <f>IFERROR(__xludf.DUMMYFUNCTION("""COMPUTED_VALUE"""),1)</f>
        <v>1</v>
      </c>
      <c r="I251" s="31">
        <f>IFERROR(__xludf.DUMMYFUNCTION("""COMPUTED_VALUE"""),0)</f>
        <v>0</v>
      </c>
      <c r="J251" s="31">
        <f>IFERROR(__xludf.DUMMYFUNCTION("""COMPUTED_VALUE"""),4)</f>
        <v>4</v>
      </c>
      <c r="K251" s="31" t="str">
        <f>IFERROR(__xludf.DUMMYFUNCTION("""COMPUTED_VALUE"""),"IT10845")</f>
        <v>IT10845</v>
      </c>
      <c r="L251" s="31" t="str">
        <f>IFERROR(__xludf.DUMMYFUNCTION("""COMPUTED_VALUE"""),"Dr.VENKATESAN R")</f>
        <v>Dr.VENKATESAN R</v>
      </c>
      <c r="M251" s="31" t="str">
        <f>IFERROR(__xludf.DUMMYFUNCTION("""COMPUTED_VALUE"""),"venkatesanr@bitsathy.ac.in")</f>
        <v>venkatesanr@bitsathy.ac.in</v>
      </c>
    </row>
    <row r="252" ht="35.25" customHeight="1" spans="1:13">
      <c r="A252" s="31" t="str">
        <f>IFERROR(__xludf.DUMMYFUNCTION("""COMPUTED_VALUE"""),"IT")</f>
        <v>IT</v>
      </c>
      <c r="B252" s="31" t="str">
        <f>IFERROR(__xludf.DUMMYFUNCTION("""COMPUTED_VALUE"""),"S6")</f>
        <v>S6</v>
      </c>
      <c r="C252" s="31" t="str">
        <f>IFERROR(__xludf.DUMMYFUNCTION("""COMPUTED_VALUE"""),"CORE")</f>
        <v>CORE</v>
      </c>
      <c r="D252" s="31" t="str">
        <f>IFERROR(__xludf.DUMMYFUNCTION("""COMPUTED_VALUE"""),"22IT602")</f>
        <v>22IT602</v>
      </c>
      <c r="E252" s="98" t="str">
        <f>IFERROR(__xludf.DUMMYFUNCTION("""COMPUTED_VALUE"""),"PRINCIPLES OF COMPILER DESIGN")</f>
        <v>PRINCIPLES OF COMPILER DESIGN</v>
      </c>
      <c r="F252" s="31" t="str">
        <f>IFERROR(__xludf.DUMMYFUNCTION("""COMPUTED_VALUE"""),"THEORY")</f>
        <v>THEORY</v>
      </c>
      <c r="G252" s="31">
        <f>IFERROR(__xludf.DUMMYFUNCTION("""COMPUTED_VALUE"""),3)</f>
        <v>3</v>
      </c>
      <c r="H252" s="31">
        <f>IFERROR(__xludf.DUMMYFUNCTION("""COMPUTED_VALUE"""),1)</f>
        <v>1</v>
      </c>
      <c r="I252" s="31">
        <f>IFERROR(__xludf.DUMMYFUNCTION("""COMPUTED_VALUE"""),0)</f>
        <v>0</v>
      </c>
      <c r="J252" s="31">
        <f>IFERROR(__xludf.DUMMYFUNCTION("""COMPUTED_VALUE"""),4)</f>
        <v>4</v>
      </c>
      <c r="K252" s="31" t="str">
        <f>IFERROR(__xludf.DUMMYFUNCTION("""COMPUTED_VALUE"""),"IT10846")</f>
        <v>IT10846</v>
      </c>
      <c r="L252" s="31" t="str">
        <f>IFERROR(__xludf.DUMMYFUNCTION("""COMPUTED_VALUE"""),"Mr.SELVAKUMAR M")</f>
        <v>Mr.SELVAKUMAR M</v>
      </c>
      <c r="M252" s="31" t="str">
        <f>IFERROR(__xludf.DUMMYFUNCTION("""COMPUTED_VALUE"""),"selvakumarm@bitsathy.ac.in")</f>
        <v>selvakumarm@bitsathy.ac.in</v>
      </c>
    </row>
    <row r="253" ht="35.25" customHeight="1" spans="1:13">
      <c r="A253" s="31" t="str">
        <f>IFERROR(__xludf.DUMMYFUNCTION("""COMPUTED_VALUE"""),"IT")</f>
        <v>IT</v>
      </c>
      <c r="B253" s="31" t="str">
        <f>IFERROR(__xludf.DUMMYFUNCTION("""COMPUTED_VALUE"""),"S6")</f>
        <v>S6</v>
      </c>
      <c r="C253" s="31" t="str">
        <f>IFERROR(__xludf.DUMMYFUNCTION("""COMPUTED_VALUE"""),"CORE")</f>
        <v>CORE</v>
      </c>
      <c r="D253" s="31" t="str">
        <f>IFERROR(__xludf.DUMMYFUNCTION("""COMPUTED_VALUE"""),"22IT602")</f>
        <v>22IT602</v>
      </c>
      <c r="E253" s="98" t="str">
        <f>IFERROR(__xludf.DUMMYFUNCTION("""COMPUTED_VALUE"""),"PRINCIPLES OF COMPILER DESIGN")</f>
        <v>PRINCIPLES OF COMPILER DESIGN</v>
      </c>
      <c r="F253" s="31" t="str">
        <f>IFERROR(__xludf.DUMMYFUNCTION("""COMPUTED_VALUE"""),"THEORY")</f>
        <v>THEORY</v>
      </c>
      <c r="G253" s="31">
        <f>IFERROR(__xludf.DUMMYFUNCTION("""COMPUTED_VALUE"""),3)</f>
        <v>3</v>
      </c>
      <c r="H253" s="31">
        <f>IFERROR(__xludf.DUMMYFUNCTION("""COMPUTED_VALUE"""),1)</f>
        <v>1</v>
      </c>
      <c r="I253" s="31">
        <f>IFERROR(__xludf.DUMMYFUNCTION("""COMPUTED_VALUE"""),0)</f>
        <v>0</v>
      </c>
      <c r="J253" s="31">
        <f>IFERROR(__xludf.DUMMYFUNCTION("""COMPUTED_VALUE"""),4)</f>
        <v>4</v>
      </c>
      <c r="K253" s="31" t="str">
        <f>IFERROR(__xludf.DUMMYFUNCTION("""COMPUTED_VALUE"""),"AM11110")</f>
        <v>AM11110</v>
      </c>
      <c r="L253" s="31" t="str">
        <f>IFERROR(__xludf.DUMMYFUNCTION("""COMPUTED_VALUE"""),"Ms.SASITHRA S")</f>
        <v>Ms.SASITHRA S</v>
      </c>
      <c r="M253" s="31" t="str">
        <f>IFERROR(__xludf.DUMMYFUNCTION("""COMPUTED_VALUE"""),"sasithra@bitsathy.ac.in")</f>
        <v>sasithra@bitsathy.ac.in</v>
      </c>
    </row>
    <row r="254" ht="35.25" customHeight="1" spans="1:13">
      <c r="A254" s="31" t="str">
        <f>IFERROR(__xludf.DUMMYFUNCTION("""COMPUTED_VALUE"""),"IT")</f>
        <v>IT</v>
      </c>
      <c r="B254" s="31" t="str">
        <f>IFERROR(__xludf.DUMMYFUNCTION("""COMPUTED_VALUE"""),"S6")</f>
        <v>S6</v>
      </c>
      <c r="C254" s="31" t="str">
        <f>IFERROR(__xludf.DUMMYFUNCTION("""COMPUTED_VALUE"""),"CORE")</f>
        <v>CORE</v>
      </c>
      <c r="D254" s="31" t="str">
        <f>IFERROR(__xludf.DUMMYFUNCTION("""COMPUTED_VALUE"""),"22IT603")</f>
        <v>22IT603</v>
      </c>
      <c r="E254" s="98" t="str">
        <f>IFERROR(__xludf.DUMMYFUNCTION("""COMPUTED_VALUE"""),"CLOUD COMPUTING")</f>
        <v>CLOUD COMPUTING</v>
      </c>
      <c r="F254" s="31" t="str">
        <f>IFERROR(__xludf.DUMMYFUNCTION("""COMPUTED_VALUE"""),"THEORY WITH LAB")</f>
        <v>THEORY WITH LAB</v>
      </c>
      <c r="G254" s="31">
        <f>IFERROR(__xludf.DUMMYFUNCTION("""COMPUTED_VALUE"""),3)</f>
        <v>3</v>
      </c>
      <c r="H254" s="31">
        <f>IFERROR(__xludf.DUMMYFUNCTION("""COMPUTED_VALUE"""),0)</f>
        <v>0</v>
      </c>
      <c r="I254" s="31">
        <f>IFERROR(__xludf.DUMMYFUNCTION("""COMPUTED_VALUE"""),2)</f>
        <v>2</v>
      </c>
      <c r="J254" s="31">
        <f>IFERROR(__xludf.DUMMYFUNCTION("""COMPUTED_VALUE"""),4)</f>
        <v>4</v>
      </c>
      <c r="K254" s="31" t="str">
        <f>IFERROR(__xludf.DUMMYFUNCTION("""COMPUTED_VALUE"""),"IT11129")</f>
        <v>IT11129</v>
      </c>
      <c r="L254" s="31" t="str">
        <f>IFERROR(__xludf.DUMMYFUNCTION("""COMPUTED_VALUE"""),"Dr.NIVEDHA S")</f>
        <v>Dr.NIVEDHA S</v>
      </c>
      <c r="M254" s="31" t="str">
        <f>IFERROR(__xludf.DUMMYFUNCTION("""COMPUTED_VALUE"""),"nivedha@bitsathy.ac.in")</f>
        <v>nivedha@bitsathy.ac.in</v>
      </c>
    </row>
    <row r="255" ht="35.25" customHeight="1" spans="1:13">
      <c r="A255" s="31" t="str">
        <f>IFERROR(__xludf.DUMMYFUNCTION("""COMPUTED_VALUE"""),"IT")</f>
        <v>IT</v>
      </c>
      <c r="B255" s="31" t="str">
        <f>IFERROR(__xludf.DUMMYFUNCTION("""COMPUTED_VALUE"""),"S6")</f>
        <v>S6</v>
      </c>
      <c r="C255" s="31" t="str">
        <f>IFERROR(__xludf.DUMMYFUNCTION("""COMPUTED_VALUE"""),"CORE")</f>
        <v>CORE</v>
      </c>
      <c r="D255" s="31" t="str">
        <f>IFERROR(__xludf.DUMMYFUNCTION("""COMPUTED_VALUE"""),"22IT603")</f>
        <v>22IT603</v>
      </c>
      <c r="E255" s="98" t="str">
        <f>IFERROR(__xludf.DUMMYFUNCTION("""COMPUTED_VALUE"""),"CLOUD COMPUTING")</f>
        <v>CLOUD COMPUTING</v>
      </c>
      <c r="F255" s="31" t="str">
        <f>IFERROR(__xludf.DUMMYFUNCTION("""COMPUTED_VALUE"""),"THEORY WITH LAB")</f>
        <v>THEORY WITH LAB</v>
      </c>
      <c r="G255" s="31">
        <f>IFERROR(__xludf.DUMMYFUNCTION("""COMPUTED_VALUE"""),3)</f>
        <v>3</v>
      </c>
      <c r="H255" s="31">
        <f>IFERROR(__xludf.DUMMYFUNCTION("""COMPUTED_VALUE"""),0)</f>
        <v>0</v>
      </c>
      <c r="I255" s="31">
        <f>IFERROR(__xludf.DUMMYFUNCTION("""COMPUTED_VALUE"""),2)</f>
        <v>2</v>
      </c>
      <c r="J255" s="31">
        <f>IFERROR(__xludf.DUMMYFUNCTION("""COMPUTED_VALUE"""),4)</f>
        <v>4</v>
      </c>
      <c r="K255" s="31" t="str">
        <f>IFERROR(__xludf.DUMMYFUNCTION("""COMPUTED_VALUE"""),"IT11148")</f>
        <v>IT11148</v>
      </c>
      <c r="L255" s="31" t="str">
        <f>IFERROR(__xludf.DUMMYFUNCTION("""COMPUTED_VALUE"""),"Mr.MOHEMMED YOUSUF")</f>
        <v>Mr.MOHEMMED YOUSUF</v>
      </c>
      <c r="M255" s="31" t="str">
        <f>IFERROR(__xludf.DUMMYFUNCTION("""COMPUTED_VALUE"""),"mohemmedyousuf@bitsathy.ac.in")</f>
        <v>mohemmedyousuf@bitsathy.ac.in</v>
      </c>
    </row>
    <row r="256" ht="35.25" customHeight="1" spans="1:13">
      <c r="A256" s="31" t="str">
        <f>IFERROR(__xludf.DUMMYFUNCTION("""COMPUTED_VALUE"""),"IT")</f>
        <v>IT</v>
      </c>
      <c r="B256" s="31" t="str">
        <f>IFERROR(__xludf.DUMMYFUNCTION("""COMPUTED_VALUE"""),"S6")</f>
        <v>S6</v>
      </c>
      <c r="C256" s="31" t="str">
        <f>IFERROR(__xludf.DUMMYFUNCTION("""COMPUTED_VALUE"""),"CORE")</f>
        <v>CORE</v>
      </c>
      <c r="D256" s="31" t="str">
        <f>IFERROR(__xludf.DUMMYFUNCTION("""COMPUTED_VALUE"""),"22IT603")</f>
        <v>22IT603</v>
      </c>
      <c r="E256" s="98" t="str">
        <f>IFERROR(__xludf.DUMMYFUNCTION("""COMPUTED_VALUE"""),"CLOUD COMPUTING")</f>
        <v>CLOUD COMPUTING</v>
      </c>
      <c r="F256" s="31" t="str">
        <f>IFERROR(__xludf.DUMMYFUNCTION("""COMPUTED_VALUE"""),"THEORY WITH LAB")</f>
        <v>THEORY WITH LAB</v>
      </c>
      <c r="G256" s="31">
        <f>IFERROR(__xludf.DUMMYFUNCTION("""COMPUTED_VALUE"""),3)</f>
        <v>3</v>
      </c>
      <c r="H256" s="31">
        <f>IFERROR(__xludf.DUMMYFUNCTION("""COMPUTED_VALUE"""),0)</f>
        <v>0</v>
      </c>
      <c r="I256" s="31">
        <f>IFERROR(__xludf.DUMMYFUNCTION("""COMPUTED_VALUE"""),2)</f>
        <v>2</v>
      </c>
      <c r="J256" s="31">
        <f>IFERROR(__xludf.DUMMYFUNCTION("""COMPUTED_VALUE"""),4)</f>
        <v>4</v>
      </c>
      <c r="K256" s="31" t="str">
        <f>IFERROR(__xludf.DUMMYFUNCTION("""COMPUTED_VALUE"""),"IT11149")</f>
        <v>IT11149</v>
      </c>
      <c r="L256" s="31" t="str">
        <f>IFERROR(__xludf.DUMMYFUNCTION("""COMPUTED_VALUE"""),"Mr.SENTHILNATHAN S")</f>
        <v>Mr.SENTHILNATHAN S</v>
      </c>
      <c r="M256" s="31" t="str">
        <f>IFERROR(__xludf.DUMMYFUNCTION("""COMPUTED_VALUE"""),"senthilnathans@bitsathy.ac.in")</f>
        <v>senthilnathans@bitsathy.ac.in</v>
      </c>
    </row>
    <row r="257" ht="35.25" customHeight="1" spans="1:13">
      <c r="A257" s="31" t="str">
        <f>IFERROR(__xludf.DUMMYFUNCTION("""COMPUTED_VALUE"""),"IT")</f>
        <v>IT</v>
      </c>
      <c r="B257" s="31" t="str">
        <f>IFERROR(__xludf.DUMMYFUNCTION("""COMPUTED_VALUE"""),"S6")</f>
        <v>S6</v>
      </c>
      <c r="C257" s="31" t="str">
        <f>IFERROR(__xludf.DUMMYFUNCTION("""COMPUTED_VALUE"""),"ELECTIVE 3")</f>
        <v>ELECTIVE 3</v>
      </c>
      <c r="D257" s="31" t="str">
        <f>IFERROR(__xludf.DUMMYFUNCTION("""COMPUTED_VALUE"""),"22IT011")</f>
        <v>22IT011</v>
      </c>
      <c r="E257" s="98" t="str">
        <f>IFERROR(__xludf.DUMMYFUNCTION("""COMPUTED_VALUE"""),"SOFTWARE TESTING AND AUTOMATION")</f>
        <v>SOFTWARE TESTING AND AUTOMATION</v>
      </c>
      <c r="F257" s="31" t="str">
        <f>IFERROR(__xludf.DUMMYFUNCTION("""COMPUTED_VALUE"""),"THEORY")</f>
        <v>THEORY</v>
      </c>
      <c r="G257" s="31">
        <f>IFERROR(__xludf.DUMMYFUNCTION("""COMPUTED_VALUE"""),3)</f>
        <v>3</v>
      </c>
      <c r="H257" s="31">
        <f>IFERROR(__xludf.DUMMYFUNCTION("""COMPUTED_VALUE"""),0)</f>
        <v>0</v>
      </c>
      <c r="I257" s="31">
        <f>IFERROR(__xludf.DUMMYFUNCTION("""COMPUTED_VALUE"""),0)</f>
        <v>0</v>
      </c>
      <c r="J257" s="31">
        <f>IFERROR(__xludf.DUMMYFUNCTION("""COMPUTED_VALUE"""),3)</f>
        <v>3</v>
      </c>
      <c r="K257" s="31" t="str">
        <f>IFERROR(__xludf.DUMMYFUNCTION("""COMPUTED_VALUE"""),"IT10571")</f>
        <v>IT10571</v>
      </c>
      <c r="L257" s="31" t="str">
        <f>IFERROR(__xludf.DUMMYFUNCTION("""COMPUTED_VALUE"""),"Mrs.SOBIYAA P")</f>
        <v>Mrs.SOBIYAA P</v>
      </c>
      <c r="M257" s="31" t="str">
        <f>IFERROR(__xludf.DUMMYFUNCTION("""COMPUTED_VALUE"""),"sobiyaa@bitsathy.ac.in")</f>
        <v>sobiyaa@bitsathy.ac.in</v>
      </c>
    </row>
    <row r="258" ht="35.25" customHeight="1" spans="1:13">
      <c r="A258" s="31" t="str">
        <f>IFERROR(__xludf.DUMMYFUNCTION("""COMPUTED_VALUE"""),"IT")</f>
        <v>IT</v>
      </c>
      <c r="B258" s="31" t="str">
        <f>IFERROR(__xludf.DUMMYFUNCTION("""COMPUTED_VALUE"""),"S6")</f>
        <v>S6</v>
      </c>
      <c r="C258" s="31" t="str">
        <f>IFERROR(__xludf.DUMMYFUNCTION("""COMPUTED_VALUE"""),"ELECTIVE 3")</f>
        <v>ELECTIVE 3</v>
      </c>
      <c r="D258" s="31" t="str">
        <f>IFERROR(__xludf.DUMMYFUNCTION("""COMPUTED_VALUE"""),"22IT011")</f>
        <v>22IT011</v>
      </c>
      <c r="E258" s="98" t="str">
        <f>IFERROR(__xludf.DUMMYFUNCTION("""COMPUTED_VALUE"""),"SOFTWARE TESTING AND AUTOMATION")</f>
        <v>SOFTWARE TESTING AND AUTOMATION</v>
      </c>
      <c r="F258" s="31" t="str">
        <f>IFERROR(__xludf.DUMMYFUNCTION("""COMPUTED_VALUE"""),"THEORY")</f>
        <v>THEORY</v>
      </c>
      <c r="G258" s="31">
        <f>IFERROR(__xludf.DUMMYFUNCTION("""COMPUTED_VALUE"""),3)</f>
        <v>3</v>
      </c>
      <c r="H258" s="31">
        <f>IFERROR(__xludf.DUMMYFUNCTION("""COMPUTED_VALUE"""),0)</f>
        <v>0</v>
      </c>
      <c r="I258" s="31">
        <f>IFERROR(__xludf.DUMMYFUNCTION("""COMPUTED_VALUE"""),0)</f>
        <v>0</v>
      </c>
      <c r="J258" s="31">
        <f>IFERROR(__xludf.DUMMYFUNCTION("""COMPUTED_VALUE"""),3)</f>
        <v>3</v>
      </c>
      <c r="K258" s="31" t="str">
        <f>IFERROR(__xludf.DUMMYFUNCTION("""COMPUTED_VALUE"""),"IT10941")</f>
        <v>IT10941</v>
      </c>
      <c r="L258" s="31" t="str">
        <f>IFERROR(__xludf.DUMMYFUNCTION("""COMPUTED_VALUE"""),"Ms.NIKITHA M")</f>
        <v>Ms.NIKITHA M</v>
      </c>
      <c r="M258" s="31" t="str">
        <f>IFERROR(__xludf.DUMMYFUNCTION("""COMPUTED_VALUE"""),"nikitham@bitsathy.ac.in")</f>
        <v>nikitham@bitsathy.ac.in</v>
      </c>
    </row>
    <row r="259" ht="35.25" customHeight="1" spans="1:13">
      <c r="A259" s="31" t="str">
        <f>IFERROR(__xludf.DUMMYFUNCTION("""COMPUTED_VALUE"""),"IT")</f>
        <v>IT</v>
      </c>
      <c r="B259" s="31" t="str">
        <f>IFERROR(__xludf.DUMMYFUNCTION("""COMPUTED_VALUE"""),"S6")</f>
        <v>S6</v>
      </c>
      <c r="C259" s="31" t="str">
        <f>IFERROR(__xludf.DUMMYFUNCTION("""COMPUTED_VALUE"""),"ELECTIVE 3")</f>
        <v>ELECTIVE 3</v>
      </c>
      <c r="D259" s="31" t="str">
        <f>IFERROR(__xludf.DUMMYFUNCTION("""COMPUTED_VALUE"""),"22IT019")</f>
        <v>22IT019</v>
      </c>
      <c r="E259" s="98" t="str">
        <f>IFERROR(__xludf.DUMMYFUNCTION("""COMPUTED_VALUE"""),"CYBER SECURITY")</f>
        <v>CYBER SECURITY</v>
      </c>
      <c r="F259" s="31" t="str">
        <f>IFERROR(__xludf.DUMMYFUNCTION("""COMPUTED_VALUE"""),"THEORY")</f>
        <v>THEORY</v>
      </c>
      <c r="G259" s="31">
        <f>IFERROR(__xludf.DUMMYFUNCTION("""COMPUTED_VALUE"""),3)</f>
        <v>3</v>
      </c>
      <c r="H259" s="31">
        <f>IFERROR(__xludf.DUMMYFUNCTION("""COMPUTED_VALUE"""),0)</f>
        <v>0</v>
      </c>
      <c r="I259" s="31">
        <f>IFERROR(__xludf.DUMMYFUNCTION("""COMPUTED_VALUE"""),0)</f>
        <v>0</v>
      </c>
      <c r="J259" s="31">
        <f>IFERROR(__xludf.DUMMYFUNCTION("""COMPUTED_VALUE"""),3)</f>
        <v>3</v>
      </c>
      <c r="K259" s="31" t="str">
        <f>IFERROR(__xludf.DUMMYFUNCTION("""COMPUTED_VALUE"""),"IT11040")</f>
        <v>IT11040</v>
      </c>
      <c r="L259" s="31" t="str">
        <f>IFERROR(__xludf.DUMMYFUNCTION("""COMPUTED_VALUE"""),"Dr.PRIYA J")</f>
        <v>Dr.PRIYA J</v>
      </c>
      <c r="M259" s="31" t="str">
        <f>IFERROR(__xludf.DUMMYFUNCTION("""COMPUTED_VALUE"""),"priyajn@bitsathy.ac.in")</f>
        <v>priyajn@bitsathy.ac.in</v>
      </c>
    </row>
    <row r="260" ht="35.25" customHeight="1" spans="1:13">
      <c r="A260" s="31" t="str">
        <f>IFERROR(__xludf.DUMMYFUNCTION("""COMPUTED_VALUE"""),"IT")</f>
        <v>IT</v>
      </c>
      <c r="B260" s="31" t="str">
        <f>IFERROR(__xludf.DUMMYFUNCTION("""COMPUTED_VALUE"""),"S6")</f>
        <v>S6</v>
      </c>
      <c r="C260" s="31" t="str">
        <f>IFERROR(__xludf.DUMMYFUNCTION("""COMPUTED_VALUE"""),"ELECTIVE 3")</f>
        <v>ELECTIVE 3</v>
      </c>
      <c r="D260" s="31" t="str">
        <f>IFERROR(__xludf.DUMMYFUNCTION("""COMPUTED_VALUE"""),"22IT019")</f>
        <v>22IT019</v>
      </c>
      <c r="E260" s="98" t="str">
        <f>IFERROR(__xludf.DUMMYFUNCTION("""COMPUTED_VALUE"""),"CYBER SECURITY")</f>
        <v>CYBER SECURITY</v>
      </c>
      <c r="F260" s="31" t="str">
        <f>IFERROR(__xludf.DUMMYFUNCTION("""COMPUTED_VALUE"""),"THEORY")</f>
        <v>THEORY</v>
      </c>
      <c r="G260" s="31">
        <f>IFERROR(__xludf.DUMMYFUNCTION("""COMPUTED_VALUE"""),3)</f>
        <v>3</v>
      </c>
      <c r="H260" s="31">
        <f>IFERROR(__xludf.DUMMYFUNCTION("""COMPUTED_VALUE"""),0)</f>
        <v>0</v>
      </c>
      <c r="I260" s="31">
        <f>IFERROR(__xludf.DUMMYFUNCTION("""COMPUTED_VALUE"""),0)</f>
        <v>0</v>
      </c>
      <c r="J260" s="31">
        <f>IFERROR(__xludf.DUMMYFUNCTION("""COMPUTED_VALUE"""),3)</f>
        <v>3</v>
      </c>
      <c r="K260" s="31" t="str">
        <f>IFERROR(__xludf.DUMMYFUNCTION("""COMPUTED_VALUE"""),"IT10824")</f>
        <v>IT10824</v>
      </c>
      <c r="L260" s="31" t="str">
        <f>IFERROR(__xludf.DUMMYFUNCTION("""COMPUTED_VALUE"""),"Dr.CHANDRAPRABHA K")</f>
        <v>Dr.CHANDRAPRABHA K</v>
      </c>
      <c r="M260" s="31" t="str">
        <f>IFERROR(__xludf.DUMMYFUNCTION("""COMPUTED_VALUE"""),"chandraprabhak@bitsathy.ac.in")</f>
        <v>chandraprabhak@bitsathy.ac.in</v>
      </c>
    </row>
    <row r="261" ht="35.25" customHeight="1" spans="1:13">
      <c r="A261" s="31" t="str">
        <f>IFERROR(__xludf.DUMMYFUNCTION("""COMPUTED_VALUE"""),"IT")</f>
        <v>IT</v>
      </c>
      <c r="B261" s="31" t="str">
        <f>IFERROR(__xludf.DUMMYFUNCTION("""COMPUTED_VALUE"""),"S6")</f>
        <v>S6</v>
      </c>
      <c r="C261" s="31" t="str">
        <f>IFERROR(__xludf.DUMMYFUNCTION("""COMPUTED_VALUE"""),"ELECTIVE 4")</f>
        <v>ELECTIVE 4</v>
      </c>
      <c r="D261" s="31" t="str">
        <f>IFERROR(__xludf.DUMMYFUNCTION("""COMPUTED_VALUE"""),"22IT002")</f>
        <v>22IT002</v>
      </c>
      <c r="E261" s="98" t="str">
        <f>IFERROR(__xludf.DUMMYFUNCTION("""COMPUTED_VALUE"""),"RECOMMENDER SYSTEMS")</f>
        <v>RECOMMENDER SYSTEMS</v>
      </c>
      <c r="F261" s="31" t="str">
        <f>IFERROR(__xludf.DUMMYFUNCTION("""COMPUTED_VALUE"""),"THEORY")</f>
        <v>THEORY</v>
      </c>
      <c r="G261" s="31">
        <f>IFERROR(__xludf.DUMMYFUNCTION("""COMPUTED_VALUE"""),3)</f>
        <v>3</v>
      </c>
      <c r="H261" s="31">
        <f>IFERROR(__xludf.DUMMYFUNCTION("""COMPUTED_VALUE"""),0)</f>
        <v>0</v>
      </c>
      <c r="I261" s="31">
        <f>IFERROR(__xludf.DUMMYFUNCTION("""COMPUTED_VALUE"""),0)</f>
        <v>0</v>
      </c>
      <c r="J261" s="31">
        <f>IFERROR(__xludf.DUMMYFUNCTION("""COMPUTED_VALUE"""),3)</f>
        <v>3</v>
      </c>
      <c r="K261" s="31" t="str">
        <f>IFERROR(__xludf.DUMMYFUNCTION("""COMPUTED_VALUE"""),"IT11160")</f>
        <v>IT11160</v>
      </c>
      <c r="L261" s="31" t="str">
        <f>IFERROR(__xludf.DUMMYFUNCTION("""COMPUTED_VALUE"""),"Mrs.ELAVARASI T")</f>
        <v>Mrs.ELAVARASI T</v>
      </c>
      <c r="M261" s="31" t="str">
        <f>IFERROR(__xludf.DUMMYFUNCTION("""COMPUTED_VALUE"""),"elavarasit@bitsathy.ac.in")</f>
        <v>elavarasit@bitsathy.ac.in</v>
      </c>
    </row>
    <row r="262" ht="35.25" customHeight="1" spans="1:13">
      <c r="A262" s="31" t="str">
        <f>IFERROR(__xludf.DUMMYFUNCTION("""COMPUTED_VALUE"""),"IT")</f>
        <v>IT</v>
      </c>
      <c r="B262" s="31" t="str">
        <f>IFERROR(__xludf.DUMMYFUNCTION("""COMPUTED_VALUE"""),"S6")</f>
        <v>S6</v>
      </c>
      <c r="C262" s="31" t="str">
        <f>IFERROR(__xludf.DUMMYFUNCTION("""COMPUTED_VALUE"""),"ELECTIVE 4")</f>
        <v>ELECTIVE 4</v>
      </c>
      <c r="D262" s="31" t="str">
        <f>IFERROR(__xludf.DUMMYFUNCTION("""COMPUTED_VALUE"""),"22IT002")</f>
        <v>22IT002</v>
      </c>
      <c r="E262" s="98" t="str">
        <f>IFERROR(__xludf.DUMMYFUNCTION("""COMPUTED_VALUE"""),"RECOMMENDER SYSTEMS")</f>
        <v>RECOMMENDER SYSTEMS</v>
      </c>
      <c r="F262" s="31" t="str">
        <f>IFERROR(__xludf.DUMMYFUNCTION("""COMPUTED_VALUE"""),"THEORY")</f>
        <v>THEORY</v>
      </c>
      <c r="G262" s="31">
        <f>IFERROR(__xludf.DUMMYFUNCTION("""COMPUTED_VALUE"""),3)</f>
        <v>3</v>
      </c>
      <c r="H262" s="31">
        <f>IFERROR(__xludf.DUMMYFUNCTION("""COMPUTED_VALUE"""),0)</f>
        <v>0</v>
      </c>
      <c r="I262" s="31">
        <f>IFERROR(__xludf.DUMMYFUNCTION("""COMPUTED_VALUE"""),0)</f>
        <v>0</v>
      </c>
      <c r="J262" s="31">
        <f>IFERROR(__xludf.DUMMYFUNCTION("""COMPUTED_VALUE"""),3)</f>
        <v>3</v>
      </c>
      <c r="K262" s="31" t="str">
        <f>IFERROR(__xludf.DUMMYFUNCTION("""COMPUTED_VALUE"""),"IT2078")</f>
        <v>IT2078</v>
      </c>
      <c r="L262" s="31" t="str">
        <f>IFERROR(__xludf.DUMMYFUNCTION("""COMPUTED_VALUE"""),"Mr.PRABHU P S")</f>
        <v>Mr.PRABHU P S</v>
      </c>
      <c r="M262" s="31" t="str">
        <f>IFERROR(__xludf.DUMMYFUNCTION("""COMPUTED_VALUE"""),"prabhups@bitsathy.ac.in")</f>
        <v>prabhups@bitsathy.ac.in</v>
      </c>
    </row>
    <row r="263" ht="35.25" customHeight="1" spans="1:13">
      <c r="A263" s="31" t="str">
        <f>IFERROR(__xludf.DUMMYFUNCTION("""COMPUTED_VALUE"""),"IT")</f>
        <v>IT</v>
      </c>
      <c r="B263" s="31" t="str">
        <f>IFERROR(__xludf.DUMMYFUNCTION("""COMPUTED_VALUE"""),"S6")</f>
        <v>S6</v>
      </c>
      <c r="C263" s="31" t="str">
        <f>IFERROR(__xludf.DUMMYFUNCTION("""COMPUTED_VALUE"""),"ELECTIVE 4")</f>
        <v>ELECTIVE 4</v>
      </c>
      <c r="D263" s="31" t="str">
        <f>IFERROR(__xludf.DUMMYFUNCTION("""COMPUTED_VALUE"""),"22IT002")</f>
        <v>22IT002</v>
      </c>
      <c r="E263" s="98" t="str">
        <f>IFERROR(__xludf.DUMMYFUNCTION("""COMPUTED_VALUE"""),"RECOMMENDER SYSTEMS")</f>
        <v>RECOMMENDER SYSTEMS</v>
      </c>
      <c r="F263" s="31" t="str">
        <f>IFERROR(__xludf.DUMMYFUNCTION("""COMPUTED_VALUE"""),"THEORY")</f>
        <v>THEORY</v>
      </c>
      <c r="G263" s="31">
        <f>IFERROR(__xludf.DUMMYFUNCTION("""COMPUTED_VALUE"""),3)</f>
        <v>3</v>
      </c>
      <c r="H263" s="31">
        <f>IFERROR(__xludf.DUMMYFUNCTION("""COMPUTED_VALUE"""),0)</f>
        <v>0</v>
      </c>
      <c r="I263" s="31">
        <f>IFERROR(__xludf.DUMMYFUNCTION("""COMPUTED_VALUE"""),0)</f>
        <v>0</v>
      </c>
      <c r="J263" s="31">
        <f>IFERROR(__xludf.DUMMYFUNCTION("""COMPUTED_VALUE"""),3)</f>
        <v>3</v>
      </c>
      <c r="K263" s="31" t="str">
        <f>IFERROR(__xludf.DUMMYFUNCTION("""COMPUTED_VALUE"""),"AD11104")</f>
        <v>AD11104</v>
      </c>
      <c r="L263" s="31" t="str">
        <f>IFERROR(__xludf.DUMMYFUNCTION("""COMPUTED_VALUE"""),"Mrs.KALPANA R")</f>
        <v>Mrs.KALPANA R</v>
      </c>
      <c r="M263" s="31" t="str">
        <f>IFERROR(__xludf.DUMMYFUNCTION("""COMPUTED_VALUE"""),"kalpana@bitsathy.ac.in")</f>
        <v>kalpana@bitsathy.ac.in</v>
      </c>
    </row>
    <row r="264" ht="35.25" customHeight="1" spans="1:13">
      <c r="A264" s="31" t="str">
        <f>IFERROR(__xludf.DUMMYFUNCTION("""COMPUTED_VALUE"""),"IT")</f>
        <v>IT</v>
      </c>
      <c r="B264" s="31" t="str">
        <f>IFERROR(__xludf.DUMMYFUNCTION("""COMPUTED_VALUE"""),"S6")</f>
        <v>S6</v>
      </c>
      <c r="C264" s="31" t="str">
        <f>IFERROR(__xludf.DUMMYFUNCTION("""COMPUTED_VALUE"""),"ELECTIVE 4")</f>
        <v>ELECTIVE 4</v>
      </c>
      <c r="D264" s="31" t="str">
        <f>IFERROR(__xludf.DUMMYFUNCTION("""COMPUTED_VALUE"""),"22IT020")</f>
        <v>22IT020</v>
      </c>
      <c r="E264" s="98" t="str">
        <f>IFERROR(__xludf.DUMMYFUNCTION("""COMPUTED_VALUE"""),"MODERN CRYPTOGRAPHY")</f>
        <v>MODERN CRYPTOGRAPHY</v>
      </c>
      <c r="F264" s="31" t="str">
        <f>IFERROR(__xludf.DUMMYFUNCTION("""COMPUTED_VALUE"""),"THEORY")</f>
        <v>THEORY</v>
      </c>
      <c r="G264" s="31">
        <f>IFERROR(__xludf.DUMMYFUNCTION("""COMPUTED_VALUE"""),3)</f>
        <v>3</v>
      </c>
      <c r="H264" s="31">
        <f>IFERROR(__xludf.DUMMYFUNCTION("""COMPUTED_VALUE"""),0)</f>
        <v>0</v>
      </c>
      <c r="I264" s="31">
        <f>IFERROR(__xludf.DUMMYFUNCTION("""COMPUTED_VALUE"""),0)</f>
        <v>0</v>
      </c>
      <c r="J264" s="31">
        <f>IFERROR(__xludf.DUMMYFUNCTION("""COMPUTED_VALUE"""),3)</f>
        <v>3</v>
      </c>
      <c r="K264" s="31" t="str">
        <f>IFERROR(__xludf.DUMMYFUNCTION("""COMPUTED_VALUE"""),"IT11132")</f>
        <v>IT11132</v>
      </c>
      <c r="L264" s="31" t="str">
        <f>IFERROR(__xludf.DUMMYFUNCTION("""COMPUTED_VALUE"""),"Mrs.KAVITHA V")</f>
        <v>Mrs.KAVITHA V</v>
      </c>
      <c r="M264" s="31" t="str">
        <f>IFERROR(__xludf.DUMMYFUNCTION("""COMPUTED_VALUE"""),"kavitha@bitsathy.ac.in")</f>
        <v>kavitha@bitsathy.ac.in</v>
      </c>
    </row>
    <row r="265" ht="35.25" customHeight="1" spans="1:13">
      <c r="A265" s="31" t="str">
        <f>IFERROR(__xludf.DUMMYFUNCTION("""COMPUTED_VALUE"""),"IT")</f>
        <v>IT</v>
      </c>
      <c r="B265" s="31" t="str">
        <f>IFERROR(__xludf.DUMMYFUNCTION("""COMPUTED_VALUE"""),"S6")</f>
        <v>S6</v>
      </c>
      <c r="C265" s="31" t="str">
        <f>IFERROR(__xludf.DUMMYFUNCTION("""COMPUTED_VALUE"""),"ELECTIVE 4")</f>
        <v>ELECTIVE 4</v>
      </c>
      <c r="D265" s="31" t="str">
        <f>IFERROR(__xludf.DUMMYFUNCTION("""COMPUTED_VALUE"""),"22IT020")</f>
        <v>22IT020</v>
      </c>
      <c r="E265" s="98" t="str">
        <f>IFERROR(__xludf.DUMMYFUNCTION("""COMPUTED_VALUE"""),"MODERN CRYPTOGRAPHY")</f>
        <v>MODERN CRYPTOGRAPHY</v>
      </c>
      <c r="F265" s="31" t="str">
        <f>IFERROR(__xludf.DUMMYFUNCTION("""COMPUTED_VALUE"""),"THEORY WITH LAB")</f>
        <v>THEORY WITH LAB</v>
      </c>
      <c r="G265" s="31">
        <f>IFERROR(__xludf.DUMMYFUNCTION("""COMPUTED_VALUE"""),2)</f>
        <v>2</v>
      </c>
      <c r="H265" s="31">
        <f>IFERROR(__xludf.DUMMYFUNCTION("""COMPUTED_VALUE"""),0)</f>
        <v>0</v>
      </c>
      <c r="I265" s="31">
        <f>IFERROR(__xludf.DUMMYFUNCTION("""COMPUTED_VALUE"""),2)</f>
        <v>2</v>
      </c>
      <c r="J265" s="31">
        <f>IFERROR(__xludf.DUMMYFUNCTION("""COMPUTED_VALUE"""),3)</f>
        <v>3</v>
      </c>
      <c r="K265" s="31" t="str">
        <f>IFERROR(__xludf.DUMMYFUNCTION("""COMPUTED_VALUE"""),"IT11140")</f>
        <v>IT11140</v>
      </c>
      <c r="L265" s="31" t="str">
        <f>IFERROR(__xludf.DUMMYFUNCTION("""COMPUTED_VALUE"""),"Mrs.PRIYA A")</f>
        <v>Mrs.PRIYA A</v>
      </c>
      <c r="M265" s="31" t="str">
        <f>IFERROR(__xludf.DUMMYFUNCTION("""COMPUTED_VALUE"""),"priyaa@bitsathy.ac.in")</f>
        <v>priyaa@bitsathy.ac.in</v>
      </c>
    </row>
    <row r="266" ht="35.25" customHeight="1" spans="1:13">
      <c r="A266" s="31" t="str">
        <f>IFERROR(__xludf.DUMMYFUNCTION("""COMPUTED_VALUE"""),"IT")</f>
        <v>IT</v>
      </c>
      <c r="B266" s="31" t="str">
        <f>IFERROR(__xludf.DUMMYFUNCTION("""COMPUTED_VALUE"""),"S6")</f>
        <v>S6</v>
      </c>
      <c r="C266" s="31" t="str">
        <f>IFERROR(__xludf.DUMMYFUNCTION("""COMPUTED_VALUE"""),"ELECTIVE 5")</f>
        <v>ELECTIVE 5</v>
      </c>
      <c r="D266" s="31" t="str">
        <f>IFERROR(__xludf.DUMMYFUNCTION("""COMPUTED_VALUE"""),"22IT050")</f>
        <v>22IT050</v>
      </c>
      <c r="E266" s="98" t="str">
        <f>IFERROR(__xludf.DUMMYFUNCTION("""COMPUTED_VALUE"""),"IT INFRASTRUCTURE DESIGN")</f>
        <v>IT INFRASTRUCTURE DESIGN</v>
      </c>
      <c r="F266" s="31" t="str">
        <f>IFERROR(__xludf.DUMMYFUNCTION("""COMPUTED_VALUE"""),"THEORY")</f>
        <v>THEORY</v>
      </c>
      <c r="G266" s="31">
        <f>IFERROR(__xludf.DUMMYFUNCTION("""COMPUTED_VALUE"""),3)</f>
        <v>3</v>
      </c>
      <c r="H266" s="31">
        <f>IFERROR(__xludf.DUMMYFUNCTION("""COMPUTED_VALUE"""),0)</f>
        <v>0</v>
      </c>
      <c r="I266" s="31">
        <f>IFERROR(__xludf.DUMMYFUNCTION("""COMPUTED_VALUE"""),0)</f>
        <v>0</v>
      </c>
      <c r="J266" s="31">
        <f>IFERROR(__xludf.DUMMYFUNCTION("""COMPUTED_VALUE"""),3)</f>
        <v>3</v>
      </c>
      <c r="K266" s="31" t="str">
        <f>IFERROR(__xludf.DUMMYFUNCTION("""COMPUTED_VALUE"""),"IT11149")</f>
        <v>IT11149</v>
      </c>
      <c r="L266" s="31" t="str">
        <f>IFERROR(__xludf.DUMMYFUNCTION("""COMPUTED_VALUE"""),"Mr.SENTHILNATHAN S")</f>
        <v>Mr.SENTHILNATHAN S</v>
      </c>
      <c r="M266" s="31" t="str">
        <f>IFERROR(__xludf.DUMMYFUNCTION("""COMPUTED_VALUE"""),"senthilnathans@bitsathy.ac.in")</f>
        <v>senthilnathans@bitsathy.ac.in</v>
      </c>
    </row>
    <row r="267" ht="35.25" customHeight="1" spans="1:13">
      <c r="A267" s="31" t="str">
        <f>IFERROR(__xludf.DUMMYFUNCTION("""COMPUTED_VALUE"""),"IT")</f>
        <v>IT</v>
      </c>
      <c r="B267" s="31" t="str">
        <f>IFERROR(__xludf.DUMMYFUNCTION("""COMPUTED_VALUE"""),"S6")</f>
        <v>S6</v>
      </c>
      <c r="C267" s="31" t="str">
        <f>IFERROR(__xludf.DUMMYFUNCTION("""COMPUTED_VALUE"""),"ELECTIVE 5")</f>
        <v>ELECTIVE 5</v>
      </c>
      <c r="D267" s="31" t="str">
        <f>IFERROR(__xludf.DUMMYFUNCTION("""COMPUTED_VALUE"""),"22IT029")</f>
        <v>22IT029</v>
      </c>
      <c r="E267" s="98" t="str">
        <f>IFERROR(__xludf.DUMMYFUNCTION("""COMPUTED_VALUE"""),"DIGITAL MARKETING")</f>
        <v>DIGITAL MARKETING</v>
      </c>
      <c r="F267" s="31" t="str">
        <f>IFERROR(__xludf.DUMMYFUNCTION("""COMPUTED_VALUE"""),"THEORY")</f>
        <v>THEORY</v>
      </c>
      <c r="G267" s="31">
        <f>IFERROR(__xludf.DUMMYFUNCTION("""COMPUTED_VALUE"""),3)</f>
        <v>3</v>
      </c>
      <c r="H267" s="31">
        <f>IFERROR(__xludf.DUMMYFUNCTION("""COMPUTED_VALUE"""),0)</f>
        <v>0</v>
      </c>
      <c r="I267" s="31">
        <f>IFERROR(__xludf.DUMMYFUNCTION("""COMPUTED_VALUE"""),0)</f>
        <v>0</v>
      </c>
      <c r="J267" s="31">
        <f>IFERROR(__xludf.DUMMYFUNCTION("""COMPUTED_VALUE"""),3)</f>
        <v>3</v>
      </c>
      <c r="K267" s="31" t="str">
        <f>IFERROR(__xludf.DUMMYFUNCTION("""COMPUTED_VALUE"""),"IT11148")</f>
        <v>IT11148</v>
      </c>
      <c r="L267" s="31" t="str">
        <f>IFERROR(__xludf.DUMMYFUNCTION("""COMPUTED_VALUE"""),"Mr.MOHEMMED YOUSUF")</f>
        <v>Mr.MOHEMMED YOUSUF</v>
      </c>
      <c r="M267" s="31" t="str">
        <f>IFERROR(__xludf.DUMMYFUNCTION("""COMPUTED_VALUE"""),"mohemmedyousuf@bitsathy.ac.in")</f>
        <v>mohemmedyousuf@bitsathy.ac.in</v>
      </c>
    </row>
    <row r="268" ht="35.25" customHeight="1" spans="1:13">
      <c r="A268" s="31" t="str">
        <f>IFERROR(__xludf.DUMMYFUNCTION("""COMPUTED_VALUE"""),"IT")</f>
        <v>IT</v>
      </c>
      <c r="B268" s="31" t="str">
        <f>IFERROR(__xludf.DUMMYFUNCTION("""COMPUTED_VALUE"""),"S6")</f>
        <v>S6</v>
      </c>
      <c r="C268" s="31" t="str">
        <f>IFERROR(__xludf.DUMMYFUNCTION("""COMPUTED_VALUE"""),"ELECTIVE 5")</f>
        <v>ELECTIVE 5</v>
      </c>
      <c r="D268" s="31" t="str">
        <f>IFERROR(__xludf.DUMMYFUNCTION("""COMPUTED_VALUE"""),"22IT029")</f>
        <v>22IT029</v>
      </c>
      <c r="E268" s="98" t="str">
        <f>IFERROR(__xludf.DUMMYFUNCTION("""COMPUTED_VALUE"""),"DIGITAL MARKETING")</f>
        <v>DIGITAL MARKETING</v>
      </c>
      <c r="F268" s="31" t="str">
        <f>IFERROR(__xludf.DUMMYFUNCTION("""COMPUTED_VALUE"""),"THEORY")</f>
        <v>THEORY</v>
      </c>
      <c r="G268" s="31">
        <f>IFERROR(__xludf.DUMMYFUNCTION("""COMPUTED_VALUE"""),3)</f>
        <v>3</v>
      </c>
      <c r="H268" s="31">
        <f>IFERROR(__xludf.DUMMYFUNCTION("""COMPUTED_VALUE"""),0)</f>
        <v>0</v>
      </c>
      <c r="I268" s="31">
        <f>IFERROR(__xludf.DUMMYFUNCTION("""COMPUTED_VALUE"""),0)</f>
        <v>0</v>
      </c>
      <c r="J268" s="31">
        <f>IFERROR(__xludf.DUMMYFUNCTION("""COMPUTED_VALUE"""),3)</f>
        <v>3</v>
      </c>
      <c r="K268" s="31" t="str">
        <f>IFERROR(__xludf.DUMMYFUNCTION("""COMPUTED_VALUE"""),"IT10736")</f>
        <v>IT10736</v>
      </c>
      <c r="L268" s="31" t="str">
        <f>IFERROR(__xludf.DUMMYFUNCTION("""COMPUTED_VALUE"""),"Mrs.JANANI T")</f>
        <v>Mrs.JANANI T</v>
      </c>
      <c r="M268" s="31" t="str">
        <f>IFERROR(__xludf.DUMMYFUNCTION("""COMPUTED_VALUE"""),"jananit@bitsathy.ac.in")</f>
        <v>jananit@bitsathy.ac.in</v>
      </c>
    </row>
    <row r="269" ht="35.25" customHeight="1" spans="1:13">
      <c r="A269" s="31" t="str">
        <f>IFERROR(__xludf.DUMMYFUNCTION("""COMPUTED_VALUE"""),"IT")</f>
        <v>IT</v>
      </c>
      <c r="B269" s="31" t="str">
        <f>IFERROR(__xludf.DUMMYFUNCTION("""COMPUTED_VALUE"""),"S6")</f>
        <v>S6</v>
      </c>
      <c r="C269" s="31" t="str">
        <f>IFERROR(__xludf.DUMMYFUNCTION("""COMPUTED_VALUE"""),"ADD COURSE")</f>
        <v>ADD COURSE</v>
      </c>
      <c r="D269" s="31" t="str">
        <f>IFERROR(__xludf.DUMMYFUNCTION("""COMPUTED_VALUE"""),"22IT039")</f>
        <v>22IT039</v>
      </c>
      <c r="E269" s="98" t="str">
        <f>IFERROR(__xludf.DUMMYFUNCTION("""COMPUTED_VALUE"""),"HUMAN COMPUTER INTERACTION")</f>
        <v>HUMAN COMPUTER INTERACTION</v>
      </c>
      <c r="F269" s="31" t="str">
        <f>IFERROR(__xludf.DUMMYFUNCTION("""COMPUTED_VALUE"""),"THEORY")</f>
        <v>THEORY</v>
      </c>
      <c r="G269" s="31">
        <f>IFERROR(__xludf.DUMMYFUNCTION("""COMPUTED_VALUE"""),3)</f>
        <v>3</v>
      </c>
      <c r="H269" s="31">
        <f>IFERROR(__xludf.DUMMYFUNCTION("""COMPUTED_VALUE"""),0)</f>
        <v>0</v>
      </c>
      <c r="I269" s="31">
        <f>IFERROR(__xludf.DUMMYFUNCTION("""COMPUTED_VALUE"""),0)</f>
        <v>0</v>
      </c>
      <c r="J269" s="31">
        <f>IFERROR(__xludf.DUMMYFUNCTION("""COMPUTED_VALUE"""),3)</f>
        <v>3</v>
      </c>
      <c r="K269" s="31" t="str">
        <f>IFERROR(__xludf.DUMMYFUNCTION("""COMPUTED_VALUE"""),"IT11128")</f>
        <v>IT11128</v>
      </c>
      <c r="L269" s="31" t="str">
        <f>IFERROR(__xludf.DUMMYFUNCTION("""COMPUTED_VALUE"""),"Dr.TAMILTHENDRAL M")</f>
        <v>Dr.TAMILTHENDRAL M</v>
      </c>
      <c r="M269" s="31" t="str">
        <f>IFERROR(__xludf.DUMMYFUNCTION("""COMPUTED_VALUE"""),"tamilthendral@bitsathy.ac.in")</f>
        <v>tamilthendral@bitsathy.ac.in</v>
      </c>
    </row>
    <row r="270" ht="35.25" customHeight="1" spans="1:13">
      <c r="A270" s="31" t="str">
        <f>IFERROR(__xludf.DUMMYFUNCTION("""COMPUTED_VALUE"""),"IT")</f>
        <v>IT</v>
      </c>
      <c r="B270" s="31" t="str">
        <f>IFERROR(__xludf.DUMMYFUNCTION("""COMPUTED_VALUE"""),"S6")</f>
        <v>S6</v>
      </c>
      <c r="C270" s="31" t="str">
        <f>IFERROR(__xludf.DUMMYFUNCTION("""COMPUTED_VALUE"""),"ADD COURSE")</f>
        <v>ADD COURSE</v>
      </c>
      <c r="D270" s="31" t="str">
        <f>IFERROR(__xludf.DUMMYFUNCTION("""COMPUTED_VALUE"""),"22IT039")</f>
        <v>22IT039</v>
      </c>
      <c r="E270" s="98" t="str">
        <f>IFERROR(__xludf.DUMMYFUNCTION("""COMPUTED_VALUE"""),"HUMAN COMPUTER INTERACTION")</f>
        <v>HUMAN COMPUTER INTERACTION</v>
      </c>
      <c r="F270" s="31" t="str">
        <f>IFERROR(__xludf.DUMMYFUNCTION("""COMPUTED_VALUE"""),"THEORY")</f>
        <v>THEORY</v>
      </c>
      <c r="G270" s="31">
        <f>IFERROR(__xludf.DUMMYFUNCTION("""COMPUTED_VALUE"""),3)</f>
        <v>3</v>
      </c>
      <c r="H270" s="31">
        <f>IFERROR(__xludf.DUMMYFUNCTION("""COMPUTED_VALUE"""),0)</f>
        <v>0</v>
      </c>
      <c r="I270" s="31">
        <f>IFERROR(__xludf.DUMMYFUNCTION("""COMPUTED_VALUE"""),0)</f>
        <v>0</v>
      </c>
      <c r="J270" s="31">
        <f>IFERROR(__xludf.DUMMYFUNCTION("""COMPUTED_VALUE"""),3)</f>
        <v>3</v>
      </c>
      <c r="K270" s="31" t="str">
        <f>IFERROR(__xludf.DUMMYFUNCTION("""COMPUTED_VALUE"""),"AM10954")</f>
        <v>AM10954</v>
      </c>
      <c r="L270" s="31" t="str">
        <f>IFERROR(__xludf.DUMMYFUNCTION("""COMPUTED_VALUE"""),"Mrs.HARI PRIYA R")</f>
        <v>Mrs.HARI PRIYA R</v>
      </c>
      <c r="M270" s="31" t="str">
        <f>IFERROR(__xludf.DUMMYFUNCTION("""COMPUTED_VALUE"""),"haripriyar@bitsathy.ac.in")</f>
        <v>haripriyar@bitsathy.ac.in</v>
      </c>
    </row>
    <row r="271" ht="35.25" customHeight="1" spans="1:13">
      <c r="A271" s="31" t="str">
        <f>IFERROR(__xludf.DUMMYFUNCTION("""COMPUTED_VALUE"""),"IT")</f>
        <v>IT</v>
      </c>
      <c r="B271" s="31" t="str">
        <f>IFERROR(__xludf.DUMMYFUNCTION("""COMPUTED_VALUE"""),"S6")</f>
        <v>S6</v>
      </c>
      <c r="C271" s="31" t="str">
        <f>IFERROR(__xludf.DUMMYFUNCTION("""COMPUTED_VALUE"""),"MINOR")</f>
        <v>MINOR</v>
      </c>
      <c r="D271" s="31" t="str">
        <f>IFERROR(__xludf.DUMMYFUNCTION("""COMPUTED_VALUE"""),"22ITM48")</f>
        <v>22ITM48</v>
      </c>
      <c r="E271" s="98" t="str">
        <f>IFERROR(__xludf.DUMMYFUNCTION("""COMPUTED_VALUE"""),"DATA ANALYSIS USING PYTHON")</f>
        <v>DATA ANALYSIS USING PYTHON</v>
      </c>
      <c r="F271" s="31" t="str">
        <f>IFERROR(__xludf.DUMMYFUNCTION("""COMPUTED_VALUE"""),"THEORY WITH LAB")</f>
        <v>THEORY WITH LAB</v>
      </c>
      <c r="G271" s="31">
        <f>IFERROR(__xludf.DUMMYFUNCTION("""COMPUTED_VALUE"""),2)</f>
        <v>2</v>
      </c>
      <c r="H271" s="31">
        <f>IFERROR(__xludf.DUMMYFUNCTION("""COMPUTED_VALUE"""),0)</f>
        <v>0</v>
      </c>
      <c r="I271" s="31">
        <f>IFERROR(__xludf.DUMMYFUNCTION("""COMPUTED_VALUE"""),2)</f>
        <v>2</v>
      </c>
      <c r="J271" s="31">
        <f>IFERROR(__xludf.DUMMYFUNCTION("""COMPUTED_VALUE"""),3)</f>
        <v>3</v>
      </c>
      <c r="K271" s="31" t="str">
        <f>IFERROR(__xludf.DUMMYFUNCTION("""COMPUTED_VALUE"""),"IT11128")</f>
        <v>IT11128</v>
      </c>
      <c r="L271" s="31" t="str">
        <f>IFERROR(__xludf.DUMMYFUNCTION("""COMPUTED_VALUE"""),"Dr.TAMILTHENDRAL M")</f>
        <v>Dr.TAMILTHENDRAL M</v>
      </c>
      <c r="M271" s="31" t="str">
        <f>IFERROR(__xludf.DUMMYFUNCTION("""COMPUTED_VALUE"""),"tamilthendral@bitsathy.ac.in")</f>
        <v>tamilthendral@bitsathy.ac.in</v>
      </c>
    </row>
    <row r="272" ht="35.25" customHeight="1" spans="1:13">
      <c r="A272" s="31" t="str">
        <f>IFERROR(__xludf.DUMMYFUNCTION("""COMPUTED_VALUE"""),"IT")</f>
        <v>IT</v>
      </c>
      <c r="B272" s="31" t="str">
        <f>IFERROR(__xludf.DUMMYFUNCTION("""COMPUTED_VALUE"""),"S6")</f>
        <v>S6</v>
      </c>
      <c r="C272" s="31" t="str">
        <f>IFERROR(__xludf.DUMMYFUNCTION("""COMPUTED_VALUE"""),"MINOR")</f>
        <v>MINOR</v>
      </c>
      <c r="D272" s="31" t="str">
        <f>IFERROR(__xludf.DUMMYFUNCTION("""COMPUTED_VALUE"""),"22ITM49")</f>
        <v>22ITM49</v>
      </c>
      <c r="E272" s="98" t="str">
        <f>IFERROR(__xludf.DUMMYFUNCTION("""COMPUTED_VALUE"""),"SOFTWARE ENGINEERING METHODOLOGIES")</f>
        <v>SOFTWARE ENGINEERING METHODOLOGIES</v>
      </c>
      <c r="F272" s="31" t="str">
        <f>IFERROR(__xludf.DUMMYFUNCTION("""COMPUTED_VALUE"""),"THEORY WITH LAB")</f>
        <v>THEORY WITH LAB</v>
      </c>
      <c r="G272" s="31">
        <f>IFERROR(__xludf.DUMMYFUNCTION("""COMPUTED_VALUE"""),2)</f>
        <v>2</v>
      </c>
      <c r="H272" s="31">
        <f>IFERROR(__xludf.DUMMYFUNCTION("""COMPUTED_VALUE"""),0)</f>
        <v>0</v>
      </c>
      <c r="I272" s="31">
        <f>IFERROR(__xludf.DUMMYFUNCTION("""COMPUTED_VALUE"""),2)</f>
        <v>2</v>
      </c>
      <c r="J272" s="31">
        <f>IFERROR(__xludf.DUMMYFUNCTION("""COMPUTED_VALUE"""),3)</f>
        <v>3</v>
      </c>
      <c r="K272" s="31" t="str">
        <f>IFERROR(__xludf.DUMMYFUNCTION("""COMPUTED_VALUE"""),"IT11105")</f>
        <v>IT11105</v>
      </c>
      <c r="L272" s="31" t="str">
        <f>IFERROR(__xludf.DUMMYFUNCTION("""COMPUTED_VALUE"""),"Mrs.SANTHIYA B")</f>
        <v>Mrs.SANTHIYA B</v>
      </c>
      <c r="M272" s="31" t="str">
        <f>IFERROR(__xludf.DUMMYFUNCTION("""COMPUTED_VALUE"""),"santhiyab@bitsathy.ac.in")</f>
        <v>santhiyab@bitsathy.ac.in</v>
      </c>
    </row>
    <row r="273" ht="35.25" customHeight="1" spans="1:13">
      <c r="A273" s="31" t="str">
        <f>IFERROR(__xludf.DUMMYFUNCTION("""COMPUTED_VALUE"""),"IT")</f>
        <v>IT</v>
      </c>
      <c r="B273" s="31" t="str">
        <f>IFERROR(__xludf.DUMMYFUNCTION("""COMPUTED_VALUE"""),"S6")</f>
        <v>S6</v>
      </c>
      <c r="C273" s="31" t="str">
        <f>IFERROR(__xludf.DUMMYFUNCTION("""COMPUTED_VALUE"""),"MINI PROJECT")</f>
        <v>MINI PROJECT</v>
      </c>
      <c r="D273" s="31" t="str">
        <f>IFERROR(__xludf.DUMMYFUNCTION("""COMPUTED_VALUE"""),"22IT607")</f>
        <v>22IT607</v>
      </c>
      <c r="E273" s="98" t="str">
        <f>IFERROR(__xludf.DUMMYFUNCTION("""COMPUTED_VALUE"""),"MINI PROJECT II")</f>
        <v>MINI PROJECT II</v>
      </c>
      <c r="F273" s="31" t="str">
        <f>IFERROR(__xludf.DUMMYFUNCTION("""COMPUTED_VALUE"""),"LAB")</f>
        <v>LAB</v>
      </c>
      <c r="G273" s="31">
        <f>IFERROR(__xludf.DUMMYFUNCTION("""COMPUTED_VALUE"""),0)</f>
        <v>0</v>
      </c>
      <c r="H273" s="31">
        <f>IFERROR(__xludf.DUMMYFUNCTION("""COMPUTED_VALUE"""),0)</f>
        <v>0</v>
      </c>
      <c r="I273" s="31">
        <f>IFERROR(__xludf.DUMMYFUNCTION("""COMPUTED_VALUE"""),2)</f>
        <v>2</v>
      </c>
      <c r="J273" s="31">
        <f>IFERROR(__xludf.DUMMYFUNCTION("""COMPUTED_VALUE"""),1)</f>
        <v>1</v>
      </c>
      <c r="K273" s="31"/>
      <c r="L273" s="31"/>
      <c r="M273" s="31"/>
    </row>
    <row r="274" ht="35.25" customHeight="1" spans="1:13">
      <c r="A274" s="31" t="str">
        <f>IFERROR(__xludf.DUMMYFUNCTION("""COMPUTED_VALUE"""),"MECH")</f>
        <v>MECH</v>
      </c>
      <c r="B274" s="31" t="str">
        <f>IFERROR(__xludf.DUMMYFUNCTION("""COMPUTED_VALUE"""),"S6")</f>
        <v>S6</v>
      </c>
      <c r="C274" s="31" t="str">
        <f>IFERROR(__xludf.DUMMYFUNCTION("""COMPUTED_VALUE"""),"CORE")</f>
        <v>CORE</v>
      </c>
      <c r="D274" s="31" t="str">
        <f>IFERROR(__xludf.DUMMYFUNCTION("""COMPUTED_VALUE"""),"22ME601")</f>
        <v>22ME601</v>
      </c>
      <c r="E274" s="98" t="str">
        <f>IFERROR(__xludf.DUMMYFUNCTION("""COMPUTED_VALUE"""),"HEAT AND MASS TRANSFER")</f>
        <v>HEAT AND MASS TRANSFER</v>
      </c>
      <c r="F274" s="31" t="str">
        <f>IFERROR(__xludf.DUMMYFUNCTION("""COMPUTED_VALUE"""),"THEORY")</f>
        <v>THEORY</v>
      </c>
      <c r="G274" s="31">
        <f>IFERROR(__xludf.DUMMYFUNCTION("""COMPUTED_VALUE"""),2)</f>
        <v>2</v>
      </c>
      <c r="H274" s="31">
        <f>IFERROR(__xludf.DUMMYFUNCTION("""COMPUTED_VALUE"""),1)</f>
        <v>1</v>
      </c>
      <c r="I274" s="31">
        <f>IFERROR(__xludf.DUMMYFUNCTION("""COMPUTED_VALUE"""),2)</f>
        <v>2</v>
      </c>
      <c r="J274" s="31">
        <f>IFERROR(__xludf.DUMMYFUNCTION("""COMPUTED_VALUE"""),4)</f>
        <v>4</v>
      </c>
      <c r="K274" s="31" t="str">
        <f>IFERROR(__xludf.DUMMYFUNCTION("""COMPUTED_VALUE"""),"ME1093")</f>
        <v>ME1093</v>
      </c>
      <c r="L274" s="31" t="str">
        <f>IFERROR(__xludf.DUMMYFUNCTION("""COMPUTED_VALUE"""),"Dr.RAVI KUMAR M")</f>
        <v>Dr.RAVI KUMAR M</v>
      </c>
      <c r="M274" s="31" t="str">
        <f>IFERROR(__xludf.DUMMYFUNCTION("""COMPUTED_VALUE"""),"ravikumarm@bitsathy.ac.in")</f>
        <v>ravikumarm@bitsathy.ac.in</v>
      </c>
    </row>
    <row r="275" ht="35.25" customHeight="1" spans="1:13">
      <c r="A275" s="31" t="str">
        <f>IFERROR(__xludf.DUMMYFUNCTION("""COMPUTED_VALUE"""),"MECH")</f>
        <v>MECH</v>
      </c>
      <c r="B275" s="31" t="str">
        <f>IFERROR(__xludf.DUMMYFUNCTION("""COMPUTED_VALUE"""),"S6")</f>
        <v>S6</v>
      </c>
      <c r="C275" s="31" t="str">
        <f>IFERROR(__xludf.DUMMYFUNCTION("""COMPUTED_VALUE"""),"CORE")</f>
        <v>CORE</v>
      </c>
      <c r="D275" s="31" t="str">
        <f>IFERROR(__xludf.DUMMYFUNCTION("""COMPUTED_VALUE"""),"22ME601")</f>
        <v>22ME601</v>
      </c>
      <c r="E275" s="98" t="str">
        <f>IFERROR(__xludf.DUMMYFUNCTION("""COMPUTED_VALUE"""),"HEAT AND MASS TRANSFER")</f>
        <v>HEAT AND MASS TRANSFER</v>
      </c>
      <c r="F275" s="31" t="str">
        <f>IFERROR(__xludf.DUMMYFUNCTION("""COMPUTED_VALUE"""),"LAB")</f>
        <v>LAB</v>
      </c>
      <c r="G275" s="31">
        <f>IFERROR(__xludf.DUMMYFUNCTION("""COMPUTED_VALUE"""),2)</f>
        <v>2</v>
      </c>
      <c r="H275" s="31">
        <f>IFERROR(__xludf.DUMMYFUNCTION("""COMPUTED_VALUE"""),1)</f>
        <v>1</v>
      </c>
      <c r="I275" s="31">
        <f>IFERROR(__xludf.DUMMYFUNCTION("""COMPUTED_VALUE"""),2)</f>
        <v>2</v>
      </c>
      <c r="J275" s="31">
        <f>IFERROR(__xludf.DUMMYFUNCTION("""COMPUTED_VALUE"""),4)</f>
        <v>4</v>
      </c>
      <c r="K275" s="31" t="str">
        <f>IFERROR(__xludf.DUMMYFUNCTION("""COMPUTED_VALUE"""),"MC1878")</f>
        <v>MC1878</v>
      </c>
      <c r="L275" s="31" t="str">
        <f>IFERROR(__xludf.DUMMYFUNCTION("""COMPUTED_VALUE"""),"Dr.JEGADHEESWARAN S")</f>
        <v>Dr.JEGADHEESWARAN S</v>
      </c>
      <c r="M275" s="31" t="str">
        <f>IFERROR(__xludf.DUMMYFUNCTION("""COMPUTED_VALUE"""),"jegadheeswarans@bitsathy.ac.in")</f>
        <v>jegadheeswarans@bitsathy.ac.in</v>
      </c>
    </row>
    <row r="276" ht="35.25" customHeight="1" spans="1:13">
      <c r="A276" s="31" t="str">
        <f>IFERROR(__xludf.DUMMYFUNCTION("""COMPUTED_VALUE"""),"MECH")</f>
        <v>MECH</v>
      </c>
      <c r="B276" s="31" t="str">
        <f>IFERROR(__xludf.DUMMYFUNCTION("""COMPUTED_VALUE"""),"S6")</f>
        <v>S6</v>
      </c>
      <c r="C276" s="31" t="str">
        <f>IFERROR(__xludf.DUMMYFUNCTION("""COMPUTED_VALUE"""),"CORE")</f>
        <v>CORE</v>
      </c>
      <c r="D276" s="31" t="str">
        <f>IFERROR(__xludf.DUMMYFUNCTION("""COMPUTED_VALUE"""),"22ME602")</f>
        <v>22ME602</v>
      </c>
      <c r="E276" s="98" t="str">
        <f>IFERROR(__xludf.DUMMYFUNCTION("""COMPUTED_VALUE"""),"FINITE ELEMENT ANALYSIS")</f>
        <v>FINITE ELEMENT ANALYSIS</v>
      </c>
      <c r="F276" s="31" t="str">
        <f>IFERROR(__xludf.DUMMYFUNCTION("""COMPUTED_VALUE"""),"THEORY")</f>
        <v>THEORY</v>
      </c>
      <c r="G276" s="31">
        <f>IFERROR(__xludf.DUMMYFUNCTION("""COMPUTED_VALUE"""),2)</f>
        <v>2</v>
      </c>
      <c r="H276" s="31">
        <f>IFERROR(__xludf.DUMMYFUNCTION("""COMPUTED_VALUE"""),1)</f>
        <v>1</v>
      </c>
      <c r="I276" s="31">
        <f>IFERROR(__xludf.DUMMYFUNCTION("""COMPUTED_VALUE"""),2)</f>
        <v>2</v>
      </c>
      <c r="J276" s="31">
        <f>IFERROR(__xludf.DUMMYFUNCTION("""COMPUTED_VALUE"""),4)</f>
        <v>4</v>
      </c>
      <c r="K276" s="31" t="str">
        <f>IFERROR(__xludf.DUMMYFUNCTION("""COMPUTED_VALUE"""),"ME1970")</f>
        <v>ME1970</v>
      </c>
      <c r="L276" s="31" t="str">
        <f>IFERROR(__xludf.DUMMYFUNCTION("""COMPUTED_VALUE"""),"Mr.RAMAKRISHNAN A")</f>
        <v>Mr.RAMAKRISHNAN A</v>
      </c>
      <c r="M276" s="31" t="str">
        <f>IFERROR(__xludf.DUMMYFUNCTION("""COMPUTED_VALUE"""),"ramakrishnana@bitsathy.ac.in")</f>
        <v>ramakrishnana@bitsathy.ac.in</v>
      </c>
    </row>
    <row r="277" ht="13.8" spans="1:13">
      <c r="A277" s="100" t="str">
        <f>IFERROR(__xludf.DUMMYFUNCTION("""COMPUTED_VALUE"""),"MECH")</f>
        <v>MECH</v>
      </c>
      <c r="B277" s="100" t="str">
        <f>IFERROR(__xludf.DUMMYFUNCTION("""COMPUTED_VALUE"""),"S6")</f>
        <v>S6</v>
      </c>
      <c r="C277" s="100" t="str">
        <f>IFERROR(__xludf.DUMMYFUNCTION("""COMPUTED_VALUE"""),"CORE")</f>
        <v>CORE</v>
      </c>
      <c r="D277" s="100" t="str">
        <f>IFERROR(__xludf.DUMMYFUNCTION("""COMPUTED_VALUE"""),"22ME602")</f>
        <v>22ME602</v>
      </c>
      <c r="E277" s="101" t="str">
        <f>IFERROR(__xludf.DUMMYFUNCTION("""COMPUTED_VALUE"""),"FINITE ELEMENT ANALYSIS")</f>
        <v>FINITE ELEMENT ANALYSIS</v>
      </c>
      <c r="F277" s="100" t="str">
        <f>IFERROR(__xludf.DUMMYFUNCTION("""COMPUTED_VALUE"""),"LAB")</f>
        <v>LAB</v>
      </c>
      <c r="G277" s="100">
        <f>IFERROR(__xludf.DUMMYFUNCTION("""COMPUTED_VALUE"""),2)</f>
        <v>2</v>
      </c>
      <c r="H277" s="100">
        <f>IFERROR(__xludf.DUMMYFUNCTION("""COMPUTED_VALUE"""),1)</f>
        <v>1</v>
      </c>
      <c r="I277" s="100">
        <f>IFERROR(__xludf.DUMMYFUNCTION("""COMPUTED_VALUE"""),2)</f>
        <v>2</v>
      </c>
      <c r="J277" s="100">
        <f>IFERROR(__xludf.DUMMYFUNCTION("""COMPUTED_VALUE"""),4)</f>
        <v>4</v>
      </c>
      <c r="K277" s="100" t="str">
        <f>IFERROR(__xludf.DUMMYFUNCTION("""COMPUTED_VALUE"""),"ME1970")</f>
        <v>ME1970</v>
      </c>
      <c r="L277" s="100" t="str">
        <f>IFERROR(__xludf.DUMMYFUNCTION("""COMPUTED_VALUE"""),"Mr.RAMAKRISHNAN A")</f>
        <v>Mr.RAMAKRISHNAN A</v>
      </c>
      <c r="M277" s="100" t="str">
        <f>IFERROR(__xludf.DUMMYFUNCTION("""COMPUTED_VALUE"""),"ramakrishnana@bitsathy.ac.in")</f>
        <v>ramakrishnana@bitsathy.ac.in</v>
      </c>
    </row>
    <row r="278" ht="27.6" spans="1:13">
      <c r="A278" s="100" t="str">
        <f>IFERROR(__xludf.DUMMYFUNCTION("""COMPUTED_VALUE"""),"MECH")</f>
        <v>MECH</v>
      </c>
      <c r="B278" s="100" t="str">
        <f>IFERROR(__xludf.DUMMYFUNCTION("""COMPUTED_VALUE"""),"S6")</f>
        <v>S6</v>
      </c>
      <c r="C278" s="100" t="str">
        <f>IFERROR(__xludf.DUMMYFUNCTION("""COMPUTED_VALUE"""),"CORE")</f>
        <v>CORE</v>
      </c>
      <c r="D278" s="100" t="str">
        <f>IFERROR(__xludf.DUMMYFUNCTION("""COMPUTED_VALUE"""),"22ME603")</f>
        <v>22ME603</v>
      </c>
      <c r="E278" s="101" t="str">
        <f>IFERROR(__xludf.DUMMYFUNCTION("""COMPUTED_VALUE"""),"COMPUTER AIDED MANUFACTURING")</f>
        <v>COMPUTER AIDED MANUFACTURING</v>
      </c>
      <c r="F278" s="100" t="str">
        <f>IFERROR(__xludf.DUMMYFUNCTION("""COMPUTED_VALUE"""),"THEORY")</f>
        <v>THEORY</v>
      </c>
      <c r="G278" s="100">
        <f>IFERROR(__xludf.DUMMYFUNCTION("""COMPUTED_VALUE"""),2)</f>
        <v>2</v>
      </c>
      <c r="H278" s="100">
        <f>IFERROR(__xludf.DUMMYFUNCTION("""COMPUTED_VALUE"""),0)</f>
        <v>0</v>
      </c>
      <c r="I278" s="100">
        <f>IFERROR(__xludf.DUMMYFUNCTION("""COMPUTED_VALUE"""),2)</f>
        <v>2</v>
      </c>
      <c r="J278" s="100">
        <f>IFERROR(__xludf.DUMMYFUNCTION("""COMPUTED_VALUE"""),3)</f>
        <v>3</v>
      </c>
      <c r="K278" s="100" t="str">
        <f>IFERROR(__xludf.DUMMYFUNCTION("""COMPUTED_VALUE"""),"ME10328")</f>
        <v>ME10328</v>
      </c>
      <c r="L278" s="100" t="str">
        <f>IFERROR(__xludf.DUMMYFUNCTION("""COMPUTED_VALUE"""),"Mr.RAMACHANDRA RAJU K")</f>
        <v>Mr.RAMACHANDRA RAJU K</v>
      </c>
      <c r="M278" s="100" t="str">
        <f>IFERROR(__xludf.DUMMYFUNCTION("""COMPUTED_VALUE"""),"ramachandraraju@bitsathy.ac.in")</f>
        <v>ramachandraraju@bitsathy.ac.in</v>
      </c>
    </row>
    <row r="279" ht="27.6" spans="1:13">
      <c r="A279" s="100" t="str">
        <f>IFERROR(__xludf.DUMMYFUNCTION("""COMPUTED_VALUE"""),"MECH")</f>
        <v>MECH</v>
      </c>
      <c r="B279" s="100" t="str">
        <f>IFERROR(__xludf.DUMMYFUNCTION("""COMPUTED_VALUE"""),"S6")</f>
        <v>S6</v>
      </c>
      <c r="C279" s="100" t="str">
        <f>IFERROR(__xludf.DUMMYFUNCTION("""COMPUTED_VALUE"""),"CORE")</f>
        <v>CORE</v>
      </c>
      <c r="D279" s="100" t="str">
        <f>IFERROR(__xludf.DUMMYFUNCTION("""COMPUTED_VALUE"""),"22ME603")</f>
        <v>22ME603</v>
      </c>
      <c r="E279" s="101" t="str">
        <f>IFERROR(__xludf.DUMMYFUNCTION("""COMPUTED_VALUE"""),"COMPUTER AIDED MANUFACTURING")</f>
        <v>COMPUTER AIDED MANUFACTURING</v>
      </c>
      <c r="F279" s="100" t="str">
        <f>IFERROR(__xludf.DUMMYFUNCTION("""COMPUTED_VALUE"""),"LAB")</f>
        <v>LAB</v>
      </c>
      <c r="G279" s="100">
        <f>IFERROR(__xludf.DUMMYFUNCTION("""COMPUTED_VALUE"""),2)</f>
        <v>2</v>
      </c>
      <c r="H279" s="100">
        <f>IFERROR(__xludf.DUMMYFUNCTION("""COMPUTED_VALUE"""),0)</f>
        <v>0</v>
      </c>
      <c r="I279" s="100">
        <f>IFERROR(__xludf.DUMMYFUNCTION("""COMPUTED_VALUE"""),2)</f>
        <v>2</v>
      </c>
      <c r="J279" s="100">
        <f>IFERROR(__xludf.DUMMYFUNCTION("""COMPUTED_VALUE"""),3)</f>
        <v>3</v>
      </c>
      <c r="K279" s="100" t="str">
        <f>IFERROR(__xludf.DUMMYFUNCTION("""COMPUTED_VALUE"""),"ME10328")</f>
        <v>ME10328</v>
      </c>
      <c r="L279" s="100" t="str">
        <f>IFERROR(__xludf.DUMMYFUNCTION("""COMPUTED_VALUE"""),"Mr.RAMACHANDRA RAJU K")</f>
        <v>Mr.RAMACHANDRA RAJU K</v>
      </c>
      <c r="M279" s="100" t="str">
        <f>IFERROR(__xludf.DUMMYFUNCTION("""COMPUTED_VALUE"""),"ramachandraraju@bitsathy.ac.in")</f>
        <v>ramachandraraju@bitsathy.ac.in</v>
      </c>
    </row>
    <row r="280" ht="13.8" spans="1:13">
      <c r="A280" s="100" t="str">
        <f>IFERROR(__xludf.DUMMYFUNCTION("""COMPUTED_VALUE"""),"MECH")</f>
        <v>MECH</v>
      </c>
      <c r="B280" s="100" t="str">
        <f>IFERROR(__xludf.DUMMYFUNCTION("""COMPUTED_VALUE"""),"S6")</f>
        <v>S6</v>
      </c>
      <c r="C280" s="100" t="str">
        <f>IFERROR(__xludf.DUMMYFUNCTION("""COMPUTED_VALUE"""),"ELECTIVE 3")</f>
        <v>ELECTIVE 3</v>
      </c>
      <c r="D280" s="100" t="str">
        <f>IFERROR(__xludf.DUMMYFUNCTION("""COMPUTED_VALUE"""),"22ME010")</f>
        <v>22ME010</v>
      </c>
      <c r="E280" s="101" t="str">
        <f>IFERROR(__xludf.DUMMYFUNCTION("""COMPUTED_VALUE"""),"ADVANCED CASTING AND FORMING PROCESSES")</f>
        <v>ADVANCED CASTING AND FORMING PROCESSES</v>
      </c>
      <c r="F280" s="100" t="str">
        <f>IFERROR(__xludf.DUMMYFUNCTION("""COMPUTED_VALUE"""),"THEORY")</f>
        <v>THEORY</v>
      </c>
      <c r="G280" s="100">
        <f>IFERROR(__xludf.DUMMYFUNCTION("""COMPUTED_VALUE"""),3)</f>
        <v>3</v>
      </c>
      <c r="H280" s="100">
        <f>IFERROR(__xludf.DUMMYFUNCTION("""COMPUTED_VALUE"""),0)</f>
        <v>0</v>
      </c>
      <c r="I280" s="100">
        <f>IFERROR(__xludf.DUMMYFUNCTION("""COMPUTED_VALUE"""),0)</f>
        <v>0</v>
      </c>
      <c r="J280" s="100">
        <f>IFERROR(__xludf.DUMMYFUNCTION("""COMPUTED_VALUE"""),3)</f>
        <v>3</v>
      </c>
      <c r="K280" s="100" t="str">
        <f>IFERROR(__xludf.DUMMYFUNCTION("""COMPUTED_VALUE"""),"ME1957")</f>
        <v>ME1957</v>
      </c>
      <c r="L280" s="100" t="str">
        <f>IFERROR(__xludf.DUMMYFUNCTION("""COMPUTED_VALUE"""),"Dr.SUNDARRAJU G")</f>
        <v>Dr.SUNDARRAJU G</v>
      </c>
      <c r="M280" s="100" t="str">
        <f>IFERROR(__xludf.DUMMYFUNCTION("""COMPUTED_VALUE"""),"sundarrajug@bitsathy.ac.in")</f>
        <v>sundarrajug@bitsathy.ac.in</v>
      </c>
    </row>
    <row r="281" ht="13.8" spans="1:13">
      <c r="A281" s="100" t="str">
        <f>IFERROR(__xludf.DUMMYFUNCTION("""COMPUTED_VALUE"""),"MECH")</f>
        <v>MECH</v>
      </c>
      <c r="B281" s="100" t="str">
        <f>IFERROR(__xludf.DUMMYFUNCTION("""COMPUTED_VALUE"""),"S6")</f>
        <v>S6</v>
      </c>
      <c r="C281" s="100" t="str">
        <f>IFERROR(__xludf.DUMMYFUNCTION("""COMPUTED_VALUE"""),"ELECTIVE 4")</f>
        <v>ELECTIVE 4</v>
      </c>
      <c r="D281" s="100" t="str">
        <f>IFERROR(__xludf.DUMMYFUNCTION("""COMPUTED_VALUE"""),"22ME013")</f>
        <v>22ME013</v>
      </c>
      <c r="E281" s="101" t="str">
        <f>IFERROR(__xludf.DUMMYFUNCTION("""COMPUTED_VALUE"""),"PROCESS PLANNING AND COST ESTIMATION")</f>
        <v>PROCESS PLANNING AND COST ESTIMATION</v>
      </c>
      <c r="F281" s="100" t="str">
        <f>IFERROR(__xludf.DUMMYFUNCTION("""COMPUTED_VALUE"""),"THEORY")</f>
        <v>THEORY</v>
      </c>
      <c r="G281" s="100">
        <f>IFERROR(__xludf.DUMMYFUNCTION("""COMPUTED_VALUE"""),3)</f>
        <v>3</v>
      </c>
      <c r="H281" s="100">
        <f>IFERROR(__xludf.DUMMYFUNCTION("""COMPUTED_VALUE"""),0)</f>
        <v>0</v>
      </c>
      <c r="I281" s="100">
        <f>IFERROR(__xludf.DUMMYFUNCTION("""COMPUTED_VALUE"""),0)</f>
        <v>0</v>
      </c>
      <c r="J281" s="100">
        <f>IFERROR(__xludf.DUMMYFUNCTION("""COMPUTED_VALUE"""),3)</f>
        <v>3</v>
      </c>
      <c r="K281" s="100" t="str">
        <f>IFERROR(__xludf.DUMMYFUNCTION("""COMPUTED_VALUE"""),"ME10416")</f>
        <v>ME10416</v>
      </c>
      <c r="L281" s="100" t="str">
        <f>IFERROR(__xludf.DUMMYFUNCTION("""COMPUTED_VALUE"""),"Mr.KAMAL BASHA K")</f>
        <v>Mr.KAMAL BASHA K</v>
      </c>
      <c r="M281" s="100" t="str">
        <f>IFERROR(__xludf.DUMMYFUNCTION("""COMPUTED_VALUE"""),"kamalbasha@bitsathy.ac.in")</f>
        <v>kamalbasha@bitsathy.ac.in</v>
      </c>
    </row>
    <row r="282" ht="13.8" spans="1:13">
      <c r="A282" s="100" t="str">
        <f>IFERROR(__xludf.DUMMYFUNCTION("""COMPUTED_VALUE"""),"MECH")</f>
        <v>MECH</v>
      </c>
      <c r="B282" s="100" t="str">
        <f>IFERROR(__xludf.DUMMYFUNCTION("""COMPUTED_VALUE"""),"S6")</f>
        <v>S6</v>
      </c>
      <c r="C282" s="100" t="str">
        <f>IFERROR(__xludf.DUMMYFUNCTION("""COMPUTED_VALUE"""),"ELECTIVE 4")</f>
        <v>ELECTIVE 4</v>
      </c>
      <c r="D282" s="100" t="str">
        <f>IFERROR(__xludf.DUMMYFUNCTION("""COMPUTED_VALUE"""),"22ME058")</f>
        <v>22ME058</v>
      </c>
      <c r="E282" s="101" t="str">
        <f>IFERROR(__xludf.DUMMYFUNCTION("""COMPUTED_VALUE"""),"VEHICLE MAINTENANCE")</f>
        <v>VEHICLE MAINTENANCE</v>
      </c>
      <c r="F282" s="100" t="str">
        <f>IFERROR(__xludf.DUMMYFUNCTION("""COMPUTED_VALUE"""),"THEORY")</f>
        <v>THEORY</v>
      </c>
      <c r="G282" s="100">
        <f>IFERROR(__xludf.DUMMYFUNCTION("""COMPUTED_VALUE"""),3)</f>
        <v>3</v>
      </c>
      <c r="H282" s="100">
        <f>IFERROR(__xludf.DUMMYFUNCTION("""COMPUTED_VALUE"""),0)</f>
        <v>0</v>
      </c>
      <c r="I282" s="100">
        <f>IFERROR(__xludf.DUMMYFUNCTION("""COMPUTED_VALUE"""),0)</f>
        <v>0</v>
      </c>
      <c r="J282" s="100">
        <f>IFERROR(__xludf.DUMMYFUNCTION("""COMPUTED_VALUE"""),3)</f>
        <v>3</v>
      </c>
      <c r="K282" s="100" t="str">
        <f>IFERROR(__xludf.DUMMYFUNCTION("""COMPUTED_VALUE"""),"ME10174")</f>
        <v>ME10174</v>
      </c>
      <c r="L282" s="100" t="str">
        <f>IFERROR(__xludf.DUMMYFUNCTION("""COMPUTED_VALUE"""),"Dr.MADHESWARAN S")</f>
        <v>Dr.MADHESWARAN S</v>
      </c>
      <c r="M282" s="100" t="str">
        <f>IFERROR(__xludf.DUMMYFUNCTION("""COMPUTED_VALUE"""),"madheswaran@bitsathy.ac.in")</f>
        <v>madheswaran@bitsathy.ac.in</v>
      </c>
    </row>
    <row r="283" ht="13.8" spans="1:13">
      <c r="A283" s="100" t="str">
        <f>IFERROR(__xludf.DUMMYFUNCTION("""COMPUTED_VALUE"""),"MECH")</f>
        <v>MECH</v>
      </c>
      <c r="B283" s="100" t="str">
        <f>IFERROR(__xludf.DUMMYFUNCTION("""COMPUTED_VALUE"""),"S6")</f>
        <v>S6</v>
      </c>
      <c r="C283" s="100" t="str">
        <f>IFERROR(__xludf.DUMMYFUNCTION("""COMPUTED_VALUE"""),"ELECTIVE 5")</f>
        <v>ELECTIVE 5</v>
      </c>
      <c r="D283" s="100" t="str">
        <f>IFERROR(__xludf.DUMMYFUNCTION("""COMPUTED_VALUE"""),"22ME028")</f>
        <v>22ME028</v>
      </c>
      <c r="E283" s="101" t="str">
        <f>IFERROR(__xludf.DUMMYFUNCTION("""COMPUTED_VALUE"""),"REFRIGERATION AND AIR CONDITIONING")</f>
        <v>REFRIGERATION AND AIR CONDITIONING</v>
      </c>
      <c r="F283" s="100" t="str">
        <f>IFERROR(__xludf.DUMMYFUNCTION("""COMPUTED_VALUE"""),"THEORY")</f>
        <v>THEORY</v>
      </c>
      <c r="G283" s="100">
        <f>IFERROR(__xludf.DUMMYFUNCTION("""COMPUTED_VALUE"""),3)</f>
        <v>3</v>
      </c>
      <c r="H283" s="100">
        <f>IFERROR(__xludf.DUMMYFUNCTION("""COMPUTED_VALUE"""),0)</f>
        <v>0</v>
      </c>
      <c r="I283" s="100">
        <f>IFERROR(__xludf.DUMMYFUNCTION("""COMPUTED_VALUE"""),0)</f>
        <v>0</v>
      </c>
      <c r="J283" s="100">
        <f>IFERROR(__xludf.DUMMYFUNCTION("""COMPUTED_VALUE"""),3)</f>
        <v>3</v>
      </c>
      <c r="K283" s="100" t="str">
        <f>IFERROR(__xludf.DUMMYFUNCTION("""COMPUTED_VALUE"""),"ME10081")</f>
        <v>ME10081</v>
      </c>
      <c r="L283" s="100" t="str">
        <f>IFERROR(__xludf.DUMMYFUNCTION("""COMPUTED_VALUE"""),"Dr.KUMARESAN G")</f>
        <v>Dr.KUMARESAN G</v>
      </c>
      <c r="M283" s="100" t="str">
        <f>IFERROR(__xludf.DUMMYFUNCTION("""COMPUTED_VALUE"""),"kumaresan@bitsathy.ac.in")</f>
        <v>kumaresan@bitsathy.ac.in</v>
      </c>
    </row>
    <row r="284" ht="27.6" spans="1:13">
      <c r="A284" s="100" t="str">
        <f>IFERROR(__xludf.DUMMYFUNCTION("""COMPUTED_VALUE"""),"MECH")</f>
        <v>MECH</v>
      </c>
      <c r="B284" s="100" t="str">
        <f>IFERROR(__xludf.DUMMYFUNCTION("""COMPUTED_VALUE"""),"S6")</f>
        <v>S6</v>
      </c>
      <c r="C284" s="100" t="str">
        <f>IFERROR(__xludf.DUMMYFUNCTION("""COMPUTED_VALUE"""),"ELECTIVE 5")</f>
        <v>ELECTIVE 5</v>
      </c>
      <c r="D284" s="100" t="str">
        <f>IFERROR(__xludf.DUMMYFUNCTION("""COMPUTED_VALUE"""),"22ME021")</f>
        <v>22ME021</v>
      </c>
      <c r="E284" s="101" t="str">
        <f>IFERROR(__xludf.DUMMYFUNCTION("""COMPUTED_VALUE"""),"LEAN MANUFACTURING")</f>
        <v>LEAN MANUFACTURING</v>
      </c>
      <c r="F284" s="100" t="str">
        <f>IFERROR(__xludf.DUMMYFUNCTION("""COMPUTED_VALUE"""),"THEORY")</f>
        <v>THEORY</v>
      </c>
      <c r="G284" s="100">
        <f>IFERROR(__xludf.DUMMYFUNCTION("""COMPUTED_VALUE"""),3)</f>
        <v>3</v>
      </c>
      <c r="H284" s="100">
        <f>IFERROR(__xludf.DUMMYFUNCTION("""COMPUTED_VALUE"""),0)</f>
        <v>0</v>
      </c>
      <c r="I284" s="100">
        <f>IFERROR(__xludf.DUMMYFUNCTION("""COMPUTED_VALUE"""),0)</f>
        <v>0</v>
      </c>
      <c r="J284" s="100">
        <f>IFERROR(__xludf.DUMMYFUNCTION("""COMPUTED_VALUE"""),3)</f>
        <v>3</v>
      </c>
      <c r="K284" s="100" t="str">
        <f>IFERROR(__xludf.DUMMYFUNCTION("""COMPUTED_VALUE"""),"ME1543")</f>
        <v>ME1543</v>
      </c>
      <c r="L284" s="100" t="str">
        <f>IFERROR(__xludf.DUMMYFUNCTION("""COMPUTED_VALUE"""),"Dr.ANANDHA MOORTHY A")</f>
        <v>Dr.ANANDHA MOORTHY A</v>
      </c>
      <c r="M284" s="100" t="str">
        <f>IFERROR(__xludf.DUMMYFUNCTION("""COMPUTED_VALUE"""),"anandhamoorthya@bitsathy.ac.in")</f>
        <v>anandhamoorthya@bitsathy.ac.in</v>
      </c>
    </row>
    <row r="285" ht="13.8" spans="1:13">
      <c r="A285" s="100" t="str">
        <f>IFERROR(__xludf.DUMMYFUNCTION("""COMPUTED_VALUE"""),"MECH")</f>
        <v>MECH</v>
      </c>
      <c r="B285" s="100" t="str">
        <f>IFERROR(__xludf.DUMMYFUNCTION("""COMPUTED_VALUE"""),"S6")</f>
        <v>S6</v>
      </c>
      <c r="C285" s="100" t="str">
        <f>IFERROR(__xludf.DUMMYFUNCTION("""COMPUTED_VALUE"""),"ADD COURSE")</f>
        <v>ADD COURSE</v>
      </c>
      <c r="D285" s="100" t="str">
        <f>IFERROR(__xludf.DUMMYFUNCTION("""COMPUTED_VALUE"""),"22ME020")</f>
        <v>22ME020</v>
      </c>
      <c r="E285" s="101" t="str">
        <f>IFERROR(__xludf.DUMMYFUNCTION("""COMPUTED_VALUE"""),"TOTAL QUALITY MANAGEMENT")</f>
        <v>TOTAL QUALITY MANAGEMENT</v>
      </c>
      <c r="F285" s="100" t="str">
        <f>IFERROR(__xludf.DUMMYFUNCTION("""COMPUTED_VALUE"""),"THEORY")</f>
        <v>THEORY</v>
      </c>
      <c r="G285" s="100">
        <f>IFERROR(__xludf.DUMMYFUNCTION("""COMPUTED_VALUE"""),3)</f>
        <v>3</v>
      </c>
      <c r="H285" s="100">
        <f>IFERROR(__xludf.DUMMYFUNCTION("""COMPUTED_VALUE"""),0)</f>
        <v>0</v>
      </c>
      <c r="I285" s="100">
        <f>IFERROR(__xludf.DUMMYFUNCTION("""COMPUTED_VALUE"""),0)</f>
        <v>0</v>
      </c>
      <c r="J285" s="100">
        <f>IFERROR(__xludf.DUMMYFUNCTION("""COMPUTED_VALUE"""),3)</f>
        <v>3</v>
      </c>
      <c r="K285" s="100" t="str">
        <f>IFERROR(__xludf.DUMMYFUNCTION("""COMPUTED_VALUE"""),"SM11120")</f>
        <v>SM11120</v>
      </c>
      <c r="L285" s="100" t="str">
        <f>IFERROR(__xludf.DUMMYFUNCTION("""COMPUTED_VALUE"""),"Dr.VIDHYA S")</f>
        <v>Dr.VIDHYA S</v>
      </c>
      <c r="M285" s="100" t="str">
        <f>IFERROR(__xludf.DUMMYFUNCTION("""COMPUTED_VALUE"""),"vidhyas@bitsathy.ac.in")</f>
        <v>vidhyas@bitsathy.ac.in</v>
      </c>
    </row>
    <row r="286" ht="13.8" spans="1:13">
      <c r="A286" s="100" t="str">
        <f>IFERROR(__xludf.DUMMYFUNCTION("""COMPUTED_VALUE"""),"MECH")</f>
        <v>MECH</v>
      </c>
      <c r="B286" s="100" t="str">
        <f>IFERROR(__xludf.DUMMYFUNCTION("""COMPUTED_VALUE"""),"S6")</f>
        <v>S6</v>
      </c>
      <c r="C286" s="100" t="str">
        <f>IFERROR(__xludf.DUMMYFUNCTION("""COMPUTED_VALUE"""),"ADD COURSE")</f>
        <v>ADD COURSE</v>
      </c>
      <c r="D286" s="100" t="str">
        <f>IFERROR(__xludf.DUMMYFUNCTION("""COMPUTED_VALUE"""),"22ME027")</f>
        <v>22ME027</v>
      </c>
      <c r="E286" s="101" t="str">
        <f>IFERROR(__xludf.DUMMYFUNCTION("""COMPUTED_VALUE"""),"POWER PLANT ENGINEERING")</f>
        <v>POWER PLANT ENGINEERING</v>
      </c>
      <c r="F286" s="100" t="str">
        <f>IFERROR(__xludf.DUMMYFUNCTION("""COMPUTED_VALUE"""),"THEORY")</f>
        <v>THEORY</v>
      </c>
      <c r="G286" s="100">
        <f>IFERROR(__xludf.DUMMYFUNCTION("""COMPUTED_VALUE"""),3)</f>
        <v>3</v>
      </c>
      <c r="H286" s="100">
        <f>IFERROR(__xludf.DUMMYFUNCTION("""COMPUTED_VALUE"""),0)</f>
        <v>0</v>
      </c>
      <c r="I286" s="100">
        <f>IFERROR(__xludf.DUMMYFUNCTION("""COMPUTED_VALUE"""),0)</f>
        <v>0</v>
      </c>
      <c r="J286" s="100">
        <f>IFERROR(__xludf.DUMMYFUNCTION("""COMPUTED_VALUE"""),3)</f>
        <v>3</v>
      </c>
      <c r="K286" s="100" t="str">
        <f>IFERROR(__xludf.DUMMYFUNCTION("""COMPUTED_VALUE"""),"ME10714")</f>
        <v>ME10714</v>
      </c>
      <c r="L286" s="100" t="str">
        <f>IFERROR(__xludf.DUMMYFUNCTION("""COMPUTED_VALUE"""),"Mr.CHANDRASEKARAN M")</f>
        <v>Mr.CHANDRASEKARAN M</v>
      </c>
      <c r="M286" s="100" t="str">
        <f>IFERROR(__xludf.DUMMYFUNCTION("""COMPUTED_VALUE"""),"chandrasekaran@bitsathy.ac.in")</f>
        <v>chandrasekaran@bitsathy.ac.in</v>
      </c>
    </row>
    <row r="287" ht="27.6" spans="1:13">
      <c r="A287" s="100" t="str">
        <f>IFERROR(__xludf.DUMMYFUNCTION("""COMPUTED_VALUE"""),"MECH")</f>
        <v>MECH</v>
      </c>
      <c r="B287" s="100" t="str">
        <f>IFERROR(__xludf.DUMMYFUNCTION("""COMPUTED_VALUE"""),"S6")</f>
        <v>S6</v>
      </c>
      <c r="C287" s="100" t="str">
        <f>IFERROR(__xludf.DUMMYFUNCTION("""COMPUTED_VALUE"""),"OPEN ELECTIVE")</f>
        <v>OPEN ELECTIVE</v>
      </c>
      <c r="D287" s="100" t="str">
        <f>IFERROR(__xludf.DUMMYFUNCTION("""COMPUTED_VALUE"""),"22OME03")</f>
        <v>22OME03</v>
      </c>
      <c r="E287" s="101" t="str">
        <f>IFERROR(__xludf.DUMMYFUNCTION("""COMPUTED_VALUE"""),"MAINTENANCE ENGINEERING")</f>
        <v>MAINTENANCE ENGINEERING</v>
      </c>
      <c r="F287" s="100" t="str">
        <f>IFERROR(__xludf.DUMMYFUNCTION("""COMPUTED_VALUE"""),"THEORY")</f>
        <v>THEORY</v>
      </c>
      <c r="G287" s="100">
        <f>IFERROR(__xludf.DUMMYFUNCTION("""COMPUTED_VALUE"""),3)</f>
        <v>3</v>
      </c>
      <c r="H287" s="100">
        <f>IFERROR(__xludf.DUMMYFUNCTION("""COMPUTED_VALUE"""),0)</f>
        <v>0</v>
      </c>
      <c r="I287" s="100">
        <f>IFERROR(__xludf.DUMMYFUNCTION("""COMPUTED_VALUE"""),0)</f>
        <v>0</v>
      </c>
      <c r="J287" s="100">
        <f>IFERROR(__xludf.DUMMYFUNCTION("""COMPUTED_VALUE"""),3)</f>
        <v>3</v>
      </c>
      <c r="K287" s="100" t="str">
        <f>IFERROR(__xludf.DUMMYFUNCTION("""COMPUTED_VALUE"""),"ME1869")</f>
        <v>ME1869</v>
      </c>
      <c r="L287" s="100" t="str">
        <f>IFERROR(__xludf.DUMMYFUNCTION("""COMPUTED_VALUE"""),"Dr.VELMURUGAN S")</f>
        <v>Dr.VELMURUGAN S</v>
      </c>
      <c r="M287" s="100" t="str">
        <f>IFERROR(__xludf.DUMMYFUNCTION("""COMPUTED_VALUE"""),"velmurugans@bitsathy.ac.in")</f>
        <v>velmurugans@bitsathy.ac.in</v>
      </c>
    </row>
    <row r="288" ht="27.6" spans="1:13">
      <c r="A288" s="100" t="str">
        <f>IFERROR(__xludf.DUMMYFUNCTION("""COMPUTED_VALUE"""),"MECH")</f>
        <v>MECH</v>
      </c>
      <c r="B288" s="100" t="str">
        <f>IFERROR(__xludf.DUMMYFUNCTION("""COMPUTED_VALUE"""),"S6")</f>
        <v>S6</v>
      </c>
      <c r="C288" s="100" t="str">
        <f>IFERROR(__xludf.DUMMYFUNCTION("""COMPUTED_VALUE"""),"OPEN ELECTIVE")</f>
        <v>OPEN ELECTIVE</v>
      </c>
      <c r="D288" s="100" t="str">
        <f>IFERROR(__xludf.DUMMYFUNCTION("""COMPUTED_VALUE"""),"22OME04")</f>
        <v>22OME04</v>
      </c>
      <c r="E288" s="101" t="str">
        <f>IFERROR(__xludf.DUMMYFUNCTION("""COMPUTED_VALUE"""),"SAFETY ENGINEERING")</f>
        <v>SAFETY ENGINEERING</v>
      </c>
      <c r="F288" s="100" t="str">
        <f>IFERROR(__xludf.DUMMYFUNCTION("""COMPUTED_VALUE"""),"THEORY")</f>
        <v>THEORY</v>
      </c>
      <c r="G288" s="100">
        <f>IFERROR(__xludf.DUMMYFUNCTION("""COMPUTED_VALUE"""),3)</f>
        <v>3</v>
      </c>
      <c r="H288" s="100">
        <f>IFERROR(__xludf.DUMMYFUNCTION("""COMPUTED_VALUE"""),0)</f>
        <v>0</v>
      </c>
      <c r="I288" s="100">
        <f>IFERROR(__xludf.DUMMYFUNCTION("""COMPUTED_VALUE"""),0)</f>
        <v>0</v>
      </c>
      <c r="J288" s="100">
        <f>IFERROR(__xludf.DUMMYFUNCTION("""COMPUTED_VALUE"""),3)</f>
        <v>3</v>
      </c>
      <c r="K288" s="100" t="str">
        <f>IFERROR(__xludf.DUMMYFUNCTION("""COMPUTED_VALUE"""),"ME1880")</f>
        <v>ME1880</v>
      </c>
      <c r="L288" s="100" t="str">
        <f>IFERROR(__xludf.DUMMYFUNCTION("""COMPUTED_VALUE"""),"Dr.SURESHKUMAR M")</f>
        <v>Dr.SURESHKUMAR M</v>
      </c>
      <c r="M288" s="100" t="str">
        <f>IFERROR(__xludf.DUMMYFUNCTION("""COMPUTED_VALUE"""),"sureshkumarm@bitsathy.ac.in")</f>
        <v>sureshkumarm@bitsathy.ac.in</v>
      </c>
    </row>
    <row r="289" ht="27.6" spans="1:13">
      <c r="A289" s="100" t="str">
        <f>IFERROR(__xludf.DUMMYFUNCTION("""COMPUTED_VALUE"""),"MECH")</f>
        <v>MECH</v>
      </c>
      <c r="B289" s="100" t="str">
        <f>IFERROR(__xludf.DUMMYFUNCTION("""COMPUTED_VALUE"""),"S6")</f>
        <v>S6</v>
      </c>
      <c r="C289" s="100" t="str">
        <f>IFERROR(__xludf.DUMMYFUNCTION("""COMPUTED_VALUE"""),"OPEN ELECTIVE")</f>
        <v>OPEN ELECTIVE</v>
      </c>
      <c r="D289" s="100" t="str">
        <f>IFERROR(__xludf.DUMMYFUNCTION("""COMPUTED_VALUE"""),"22OME04")</f>
        <v>22OME04</v>
      </c>
      <c r="E289" s="101" t="str">
        <f>IFERROR(__xludf.DUMMYFUNCTION("""COMPUTED_VALUE"""),"SAFETY ENGINEERING")</f>
        <v>SAFETY ENGINEERING</v>
      </c>
      <c r="F289" s="100" t="str">
        <f>IFERROR(__xludf.DUMMYFUNCTION("""COMPUTED_VALUE"""),"THEORY")</f>
        <v>THEORY</v>
      </c>
      <c r="G289" s="100">
        <f>IFERROR(__xludf.DUMMYFUNCTION("""COMPUTED_VALUE"""),3)</f>
        <v>3</v>
      </c>
      <c r="H289" s="100">
        <f>IFERROR(__xludf.DUMMYFUNCTION("""COMPUTED_VALUE"""),0)</f>
        <v>0</v>
      </c>
      <c r="I289" s="100">
        <f>IFERROR(__xludf.DUMMYFUNCTION("""COMPUTED_VALUE"""),0)</f>
        <v>0</v>
      </c>
      <c r="J289" s="100">
        <f>IFERROR(__xludf.DUMMYFUNCTION("""COMPUTED_VALUE"""),3)</f>
        <v>3</v>
      </c>
      <c r="K289" s="100" t="str">
        <f>IFERROR(__xludf.DUMMYFUNCTION("""COMPUTED_VALUE"""),"ME10673")</f>
        <v>ME10673</v>
      </c>
      <c r="L289" s="100" t="str">
        <f>IFERROR(__xludf.DUMMYFUNCTION("""COMPUTED_VALUE"""),"Mr.BOOPATHIRAJA K P")</f>
        <v>Mr.BOOPATHIRAJA K P</v>
      </c>
      <c r="M289" s="100" t="str">
        <f>IFERROR(__xludf.DUMMYFUNCTION("""COMPUTED_VALUE"""),"boopathiraja@bitsathy.ac.in")</f>
        <v>boopathiraja@bitsathy.ac.in</v>
      </c>
    </row>
    <row r="290" ht="27.6" spans="1:13">
      <c r="A290" s="100" t="str">
        <f>IFERROR(__xludf.DUMMYFUNCTION("""COMPUTED_VALUE"""),"MECH")</f>
        <v>MECH</v>
      </c>
      <c r="B290" s="100" t="str">
        <f>IFERROR(__xludf.DUMMYFUNCTION("""COMPUTED_VALUE"""),"S6")</f>
        <v>S6</v>
      </c>
      <c r="C290" s="100" t="str">
        <f>IFERROR(__xludf.DUMMYFUNCTION("""COMPUTED_VALUE"""),"OPEN ELECTIVE")</f>
        <v>OPEN ELECTIVE</v>
      </c>
      <c r="D290" s="100" t="str">
        <f>IFERROR(__xludf.DUMMYFUNCTION("""COMPUTED_VALUE"""),"22OME04")</f>
        <v>22OME04</v>
      </c>
      <c r="E290" s="101" t="str">
        <f>IFERROR(__xludf.DUMMYFUNCTION("""COMPUTED_VALUE"""),"SAFETY ENGINEERING")</f>
        <v>SAFETY ENGINEERING</v>
      </c>
      <c r="F290" s="100" t="str">
        <f>IFERROR(__xludf.DUMMYFUNCTION("""COMPUTED_VALUE"""),"THEORY")</f>
        <v>THEORY</v>
      </c>
      <c r="G290" s="100">
        <f>IFERROR(__xludf.DUMMYFUNCTION("""COMPUTED_VALUE"""),3)</f>
        <v>3</v>
      </c>
      <c r="H290" s="100">
        <f>IFERROR(__xludf.DUMMYFUNCTION("""COMPUTED_VALUE"""),0)</f>
        <v>0</v>
      </c>
      <c r="I290" s="100">
        <f>IFERROR(__xludf.DUMMYFUNCTION("""COMPUTED_VALUE"""),0)</f>
        <v>0</v>
      </c>
      <c r="J290" s="100">
        <f>IFERROR(__xludf.DUMMYFUNCTION("""COMPUTED_VALUE"""),3)</f>
        <v>3</v>
      </c>
      <c r="K290" s="100" t="str">
        <f>IFERROR(__xludf.DUMMYFUNCTION("""COMPUTED_VALUE"""),"ME1975")</f>
        <v>ME1975</v>
      </c>
      <c r="L290" s="100" t="str">
        <f>IFERROR(__xludf.DUMMYFUNCTION("""COMPUTED_VALUE"""),"Dr.TAJDEEN A")</f>
        <v>Dr.TAJDEEN A</v>
      </c>
      <c r="M290" s="100" t="str">
        <f>IFERROR(__xludf.DUMMYFUNCTION("""COMPUTED_VALUE"""),"tajdeena@bitsathy.ac.in")</f>
        <v>tajdeena@bitsathy.ac.in</v>
      </c>
    </row>
    <row r="291" ht="13.8" spans="1:13">
      <c r="A291" s="100" t="str">
        <f>IFERROR(__xludf.DUMMYFUNCTION("""COMPUTED_VALUE"""),"MECH")</f>
        <v>MECH</v>
      </c>
      <c r="B291" s="100" t="str">
        <f>IFERROR(__xludf.DUMMYFUNCTION("""COMPUTED_VALUE"""),"S6")</f>
        <v>S6</v>
      </c>
      <c r="C291" s="100" t="str">
        <f>IFERROR(__xludf.DUMMYFUNCTION("""COMPUTED_VALUE"""),"HONOURS")</f>
        <v>HONOURS</v>
      </c>
      <c r="D291" s="100" t="str">
        <f>IFERROR(__xludf.DUMMYFUNCTION("""COMPUTED_VALUE"""),"22MEH38")</f>
        <v>22MEH38</v>
      </c>
      <c r="E291" s="101" t="str">
        <f>IFERROR(__xludf.DUMMYFUNCTION("""COMPUTED_VALUE"""),"ERGONOMICS")</f>
        <v>ERGONOMICS</v>
      </c>
      <c r="F291" s="100" t="str">
        <f>IFERROR(__xludf.DUMMYFUNCTION("""COMPUTED_VALUE"""),"THEORY")</f>
        <v>THEORY</v>
      </c>
      <c r="G291" s="100">
        <f>IFERROR(__xludf.DUMMYFUNCTION("""COMPUTED_VALUE"""),3)</f>
        <v>3</v>
      </c>
      <c r="H291" s="100">
        <f>IFERROR(__xludf.DUMMYFUNCTION("""COMPUTED_VALUE"""),0)</f>
        <v>0</v>
      </c>
      <c r="I291" s="100">
        <f>IFERROR(__xludf.DUMMYFUNCTION("""COMPUTED_VALUE"""),0)</f>
        <v>0</v>
      </c>
      <c r="J291" s="100">
        <f>IFERROR(__xludf.DUMMYFUNCTION("""COMPUTED_VALUE"""),3)</f>
        <v>3</v>
      </c>
      <c r="K291" s="100" t="str">
        <f>IFERROR(__xludf.DUMMYFUNCTION("""COMPUTED_VALUE"""),"ME1970")</f>
        <v>ME1970</v>
      </c>
      <c r="L291" s="100" t="str">
        <f>IFERROR(__xludf.DUMMYFUNCTION("""COMPUTED_VALUE"""),"Mr.RAMAKRISHNAN A")</f>
        <v>Mr.RAMAKRISHNAN A</v>
      </c>
      <c r="M291" s="100" t="str">
        <f>IFERROR(__xludf.DUMMYFUNCTION("""COMPUTED_VALUE"""),"ramakrishnana@bitsathy.ac.in")</f>
        <v>ramakrishnana@bitsathy.ac.in</v>
      </c>
    </row>
    <row r="292" ht="13.8" spans="1:13">
      <c r="A292" s="100" t="str">
        <f>IFERROR(__xludf.DUMMYFUNCTION("""COMPUTED_VALUE"""),"MECH")</f>
        <v>MECH</v>
      </c>
      <c r="B292" s="100" t="str">
        <f>IFERROR(__xludf.DUMMYFUNCTION("""COMPUTED_VALUE"""),"S6")</f>
        <v>S6</v>
      </c>
      <c r="C292" s="100" t="str">
        <f>IFERROR(__xludf.DUMMYFUNCTION("""COMPUTED_VALUE"""),"HONOURS")</f>
        <v>HONOURS</v>
      </c>
      <c r="D292" s="100" t="str">
        <f>IFERROR(__xludf.DUMMYFUNCTION("""COMPUTED_VALUE"""),"22MEH39")</f>
        <v>22MEH39</v>
      </c>
      <c r="E292" s="101" t="str">
        <f>IFERROR(__xludf.DUMMYFUNCTION("""COMPUTED_VALUE"""),"PRODUCT DATA AND LIFE CYCLE MANAGEMENT")</f>
        <v>PRODUCT DATA AND LIFE CYCLE MANAGEMENT</v>
      </c>
      <c r="F292" s="100" t="str">
        <f>IFERROR(__xludf.DUMMYFUNCTION("""COMPUTED_VALUE"""),"THEORY")</f>
        <v>THEORY</v>
      </c>
      <c r="G292" s="100">
        <f>IFERROR(__xludf.DUMMYFUNCTION("""COMPUTED_VALUE"""),3)</f>
        <v>3</v>
      </c>
      <c r="H292" s="100">
        <f>IFERROR(__xludf.DUMMYFUNCTION("""COMPUTED_VALUE"""),0)</f>
        <v>0</v>
      </c>
      <c r="I292" s="100">
        <f>IFERROR(__xludf.DUMMYFUNCTION("""COMPUTED_VALUE"""),0)</f>
        <v>0</v>
      </c>
      <c r="J292" s="100">
        <f>IFERROR(__xludf.DUMMYFUNCTION("""COMPUTED_VALUE"""),3)</f>
        <v>3</v>
      </c>
      <c r="K292" s="100" t="str">
        <f>IFERROR(__xludf.DUMMYFUNCTION("""COMPUTED_VALUE"""),"ME1880")</f>
        <v>ME1880</v>
      </c>
      <c r="L292" s="100" t="str">
        <f>IFERROR(__xludf.DUMMYFUNCTION("""COMPUTED_VALUE"""),"Dr.SURESHKUMAR M")</f>
        <v>Dr.SURESHKUMAR M</v>
      </c>
      <c r="M292" s="100" t="str">
        <f>IFERROR(__xludf.DUMMYFUNCTION("""COMPUTED_VALUE"""),"sureshkumarm@bitsathy.ac.in")</f>
        <v>sureshkumarm@bitsathy.ac.in</v>
      </c>
    </row>
    <row r="293" ht="13.8" spans="1:13">
      <c r="A293" s="100" t="str">
        <f>IFERROR(__xludf.DUMMYFUNCTION("""COMPUTED_VALUE"""),"MECH")</f>
        <v>MECH</v>
      </c>
      <c r="B293" s="100" t="str">
        <f>IFERROR(__xludf.DUMMYFUNCTION("""COMPUTED_VALUE"""),"S6")</f>
        <v>S6</v>
      </c>
      <c r="C293" s="100" t="str">
        <f>IFERROR(__xludf.DUMMYFUNCTION("""COMPUTED_VALUE"""),"CORE")</f>
        <v>CORE</v>
      </c>
      <c r="D293" s="100" t="str">
        <f>IFERROR(__xludf.DUMMYFUNCTION("""COMPUTED_VALUE"""),"22ME607")</f>
        <v>22ME607</v>
      </c>
      <c r="E293" s="101" t="str">
        <f>IFERROR(__xludf.DUMMYFUNCTION("""COMPUTED_VALUE"""),"MINI PROJECT II")</f>
        <v>MINI PROJECT II</v>
      </c>
      <c r="F293" s="100" t="str">
        <f>IFERROR(__xludf.DUMMYFUNCTION("""COMPUTED_VALUE"""),"LAB")</f>
        <v>LAB</v>
      </c>
      <c r="G293" s="100">
        <f>IFERROR(__xludf.DUMMYFUNCTION("""COMPUTED_VALUE"""),0)</f>
        <v>0</v>
      </c>
      <c r="H293" s="100">
        <f>IFERROR(__xludf.DUMMYFUNCTION("""COMPUTED_VALUE"""),0)</f>
        <v>0</v>
      </c>
      <c r="I293" s="100">
        <f>IFERROR(__xludf.DUMMYFUNCTION("""COMPUTED_VALUE"""),2)</f>
        <v>2</v>
      </c>
      <c r="J293" s="100">
        <f>IFERROR(__xludf.DUMMYFUNCTION("""COMPUTED_VALUE"""),1)</f>
        <v>1</v>
      </c>
      <c r="K293" s="100"/>
      <c r="L293" s="100"/>
      <c r="M293" s="100"/>
    </row>
    <row r="294" ht="13.8" spans="1:13">
      <c r="A294" s="100" t="str">
        <f>IFERROR(__xludf.DUMMYFUNCTION("""COMPUTED_VALUE"""),"MTRS")</f>
        <v>MTRS</v>
      </c>
      <c r="B294" s="100" t="str">
        <f>IFERROR(__xludf.DUMMYFUNCTION("""COMPUTED_VALUE"""),"S6")</f>
        <v>S6</v>
      </c>
      <c r="C294" s="100" t="str">
        <f>IFERROR(__xludf.DUMMYFUNCTION("""COMPUTED_VALUE"""),"CORE")</f>
        <v>CORE</v>
      </c>
      <c r="D294" s="100" t="str">
        <f>IFERROR(__xludf.DUMMYFUNCTION("""COMPUTED_VALUE"""),"22MC601")</f>
        <v>22MC601</v>
      </c>
      <c r="E294" s="101" t="str">
        <f>IFERROR(__xludf.DUMMYFUNCTION("""COMPUTED_VALUE"""),"INDUSTRIAL AUTOMATION AND IOT")</f>
        <v>INDUSTRIAL AUTOMATION AND IOT</v>
      </c>
      <c r="F294" s="100" t="str">
        <f>IFERROR(__xludf.DUMMYFUNCTION("""COMPUTED_VALUE"""),"THEORY")</f>
        <v>THEORY</v>
      </c>
      <c r="G294" s="100">
        <f>IFERROR(__xludf.DUMMYFUNCTION("""COMPUTED_VALUE"""),3)</f>
        <v>3</v>
      </c>
      <c r="H294" s="100">
        <f>IFERROR(__xludf.DUMMYFUNCTION("""COMPUTED_VALUE"""),0)</f>
        <v>0</v>
      </c>
      <c r="I294" s="100">
        <f>IFERROR(__xludf.DUMMYFUNCTION("""COMPUTED_VALUE"""),2)</f>
        <v>2</v>
      </c>
      <c r="J294" s="100">
        <f>IFERROR(__xludf.DUMMYFUNCTION("""COMPUTED_VALUE"""),4)</f>
        <v>4</v>
      </c>
      <c r="K294" s="100" t="str">
        <f>IFERROR(__xludf.DUMMYFUNCTION("""COMPUTED_VALUE"""),"MC1627")</f>
        <v>MC1627</v>
      </c>
      <c r="L294" s="100" t="str">
        <f>IFERROR(__xludf.DUMMYFUNCTION("""COMPUTED_VALUE"""),"Dr.RAJIEV R")</f>
        <v>Dr.RAJIEV R</v>
      </c>
      <c r="M294" s="100" t="str">
        <f>IFERROR(__xludf.DUMMYFUNCTION("""COMPUTED_VALUE"""),"rajievr@bitsathy.ac.in")</f>
        <v>rajievr@bitsathy.ac.in</v>
      </c>
    </row>
    <row r="295" ht="13.8" spans="1:13">
      <c r="A295" s="100" t="str">
        <f>IFERROR(__xludf.DUMMYFUNCTION("""COMPUTED_VALUE"""),"MTRS")</f>
        <v>MTRS</v>
      </c>
      <c r="B295" s="100" t="str">
        <f>IFERROR(__xludf.DUMMYFUNCTION("""COMPUTED_VALUE"""),"S6")</f>
        <v>S6</v>
      </c>
      <c r="C295" s="100" t="str">
        <f>IFERROR(__xludf.DUMMYFUNCTION("""COMPUTED_VALUE"""),"CORE")</f>
        <v>CORE</v>
      </c>
      <c r="D295" s="100" t="str">
        <f>IFERROR(__xludf.DUMMYFUNCTION("""COMPUTED_VALUE"""),"22MC601")</f>
        <v>22MC601</v>
      </c>
      <c r="E295" s="101" t="str">
        <f>IFERROR(__xludf.DUMMYFUNCTION("""COMPUTED_VALUE"""),"INDUSTRIAL AUTOMATION AND IOT")</f>
        <v>INDUSTRIAL AUTOMATION AND IOT</v>
      </c>
      <c r="F295" s="100" t="str">
        <f>IFERROR(__xludf.DUMMYFUNCTION("""COMPUTED_VALUE"""),"LAB")</f>
        <v>LAB</v>
      </c>
      <c r="G295" s="100">
        <f>IFERROR(__xludf.DUMMYFUNCTION("""COMPUTED_VALUE"""),3)</f>
        <v>3</v>
      </c>
      <c r="H295" s="100">
        <f>IFERROR(__xludf.DUMMYFUNCTION("""COMPUTED_VALUE"""),0)</f>
        <v>0</v>
      </c>
      <c r="I295" s="100">
        <f>IFERROR(__xludf.DUMMYFUNCTION("""COMPUTED_VALUE"""),2)</f>
        <v>2</v>
      </c>
      <c r="J295" s="100">
        <f>IFERROR(__xludf.DUMMYFUNCTION("""COMPUTED_VALUE"""),4)</f>
        <v>4</v>
      </c>
      <c r="K295" s="100" t="str">
        <f>IFERROR(__xludf.DUMMYFUNCTION("""COMPUTED_VALUE"""),"MC1843")</f>
        <v>MC1843</v>
      </c>
      <c r="L295" s="100" t="str">
        <f>IFERROR(__xludf.DUMMYFUNCTION("""COMPUTED_VALUE"""),"Dr.SENTHILKUMAR P")</f>
        <v>Dr.SENTHILKUMAR P</v>
      </c>
      <c r="M295" s="100" t="str">
        <f>IFERROR(__xludf.DUMMYFUNCTION("""COMPUTED_VALUE"""),"senthilkumarp@bitsathy.ac.in")</f>
        <v>senthilkumarp@bitsathy.ac.in</v>
      </c>
    </row>
    <row r="296" ht="27.6" spans="1:13">
      <c r="A296" s="100" t="str">
        <f>IFERROR(__xludf.DUMMYFUNCTION("""COMPUTED_VALUE"""),"MTRS")</f>
        <v>MTRS</v>
      </c>
      <c r="B296" s="100" t="str">
        <f>IFERROR(__xludf.DUMMYFUNCTION("""COMPUTED_VALUE"""),"S6")</f>
        <v>S6</v>
      </c>
      <c r="C296" s="100" t="str">
        <f>IFERROR(__xludf.DUMMYFUNCTION("""COMPUTED_VALUE"""),"CORE")</f>
        <v>CORE</v>
      </c>
      <c r="D296" s="100" t="str">
        <f>IFERROR(__xludf.DUMMYFUNCTION("""COMPUTED_VALUE"""),"22MC602")</f>
        <v>22MC602</v>
      </c>
      <c r="E296" s="101" t="str">
        <f>IFERROR(__xludf.DUMMYFUNCTION("""COMPUTED_VALUE"""),"POWER ELECTRONICS AND DRIVES")</f>
        <v>POWER ELECTRONICS AND DRIVES</v>
      </c>
      <c r="F296" s="100" t="str">
        <f>IFERROR(__xludf.DUMMYFUNCTION("""COMPUTED_VALUE"""),"THEORY")</f>
        <v>THEORY</v>
      </c>
      <c r="G296" s="100">
        <f>IFERROR(__xludf.DUMMYFUNCTION("""COMPUTED_VALUE"""),3)</f>
        <v>3</v>
      </c>
      <c r="H296" s="100">
        <f>IFERROR(__xludf.DUMMYFUNCTION("""COMPUTED_VALUE"""),0)</f>
        <v>0</v>
      </c>
      <c r="I296" s="100">
        <f>IFERROR(__xludf.DUMMYFUNCTION("""COMPUTED_VALUE"""),2)</f>
        <v>2</v>
      </c>
      <c r="J296" s="100">
        <f>IFERROR(__xludf.DUMMYFUNCTION("""COMPUTED_VALUE"""),4)</f>
        <v>4</v>
      </c>
      <c r="K296" s="100" t="str">
        <f>IFERROR(__xludf.DUMMYFUNCTION("""COMPUTED_VALUE"""),"MC10149")</f>
        <v>MC10149</v>
      </c>
      <c r="L296" s="100" t="str">
        <f>IFERROR(__xludf.DUMMYFUNCTION("""COMPUTED_VALUE"""),"Dr.SIVABALAKRISHNAN R")</f>
        <v>Dr.SIVABALAKRISHNAN R</v>
      </c>
      <c r="M296" s="100" t="str">
        <f>IFERROR(__xludf.DUMMYFUNCTION("""COMPUTED_VALUE"""),"sivabalakrishnan@bitsathy.ac.in")</f>
        <v>sivabalakrishnan@bitsathy.ac.in</v>
      </c>
    </row>
    <row r="297" ht="27.6" spans="1:13">
      <c r="A297" s="100" t="str">
        <f>IFERROR(__xludf.DUMMYFUNCTION("""COMPUTED_VALUE"""),"MTRS")</f>
        <v>MTRS</v>
      </c>
      <c r="B297" s="100" t="str">
        <f>IFERROR(__xludf.DUMMYFUNCTION("""COMPUTED_VALUE"""),"S6")</f>
        <v>S6</v>
      </c>
      <c r="C297" s="100" t="str">
        <f>IFERROR(__xludf.DUMMYFUNCTION("""COMPUTED_VALUE"""),"CORE")</f>
        <v>CORE</v>
      </c>
      <c r="D297" s="100" t="str">
        <f>IFERROR(__xludf.DUMMYFUNCTION("""COMPUTED_VALUE"""),"22MC602")</f>
        <v>22MC602</v>
      </c>
      <c r="E297" s="101" t="str">
        <f>IFERROR(__xludf.DUMMYFUNCTION("""COMPUTED_VALUE"""),"POWER ELECTRONICS AND DRIVES")</f>
        <v>POWER ELECTRONICS AND DRIVES</v>
      </c>
      <c r="F297" s="100" t="str">
        <f>IFERROR(__xludf.DUMMYFUNCTION("""COMPUTED_VALUE"""),"LAB")</f>
        <v>LAB</v>
      </c>
      <c r="G297" s="100">
        <f>IFERROR(__xludf.DUMMYFUNCTION("""COMPUTED_VALUE"""),3)</f>
        <v>3</v>
      </c>
      <c r="H297" s="100">
        <f>IFERROR(__xludf.DUMMYFUNCTION("""COMPUTED_VALUE"""),0)</f>
        <v>0</v>
      </c>
      <c r="I297" s="100">
        <f>IFERROR(__xludf.DUMMYFUNCTION("""COMPUTED_VALUE"""),2)</f>
        <v>2</v>
      </c>
      <c r="J297" s="100">
        <f>IFERROR(__xludf.DUMMYFUNCTION("""COMPUTED_VALUE"""),4)</f>
        <v>4</v>
      </c>
      <c r="K297" s="100" t="str">
        <f>IFERROR(__xludf.DUMMYFUNCTION("""COMPUTED_VALUE"""),"MC10149")</f>
        <v>MC10149</v>
      </c>
      <c r="L297" s="100" t="str">
        <f>IFERROR(__xludf.DUMMYFUNCTION("""COMPUTED_VALUE"""),"Dr.SIVABALAKRISHNAN R")</f>
        <v>Dr.SIVABALAKRISHNAN R</v>
      </c>
      <c r="M297" s="100" t="str">
        <f>IFERROR(__xludf.DUMMYFUNCTION("""COMPUTED_VALUE"""),"sivabalakrishnan@bitsathy.ac.in")</f>
        <v>sivabalakrishnan@bitsathy.ac.in</v>
      </c>
    </row>
    <row r="298" ht="13.8" spans="1:13">
      <c r="A298" s="100" t="str">
        <f>IFERROR(__xludf.DUMMYFUNCTION("""COMPUTED_VALUE"""),"MTRS")</f>
        <v>MTRS</v>
      </c>
      <c r="B298" s="100" t="str">
        <f>IFERROR(__xludf.DUMMYFUNCTION("""COMPUTED_VALUE"""),"S6")</f>
        <v>S6</v>
      </c>
      <c r="C298" s="100" t="str">
        <f>IFERROR(__xludf.DUMMYFUNCTION("""COMPUTED_VALUE"""),"CORE")</f>
        <v>CORE</v>
      </c>
      <c r="D298" s="100" t="str">
        <f>IFERROR(__xludf.DUMMYFUNCTION("""COMPUTED_VALUE"""),"22MC603")</f>
        <v>22MC603</v>
      </c>
      <c r="E298" s="101" t="str">
        <f>IFERROR(__xludf.DUMMYFUNCTION("""COMPUTED_VALUE"""),"FLUID POWER SYSTEM")</f>
        <v>FLUID POWER SYSTEM</v>
      </c>
      <c r="F298" s="100" t="str">
        <f>IFERROR(__xludf.DUMMYFUNCTION("""COMPUTED_VALUE"""),"THEORY")</f>
        <v>THEORY</v>
      </c>
      <c r="G298" s="100">
        <f>IFERROR(__xludf.DUMMYFUNCTION("""COMPUTED_VALUE"""),2)</f>
        <v>2</v>
      </c>
      <c r="H298" s="100">
        <f>IFERROR(__xludf.DUMMYFUNCTION("""COMPUTED_VALUE"""),1)</f>
        <v>1</v>
      </c>
      <c r="I298" s="100">
        <f>IFERROR(__xludf.DUMMYFUNCTION("""COMPUTED_VALUE"""),2)</f>
        <v>2</v>
      </c>
      <c r="J298" s="100">
        <f>IFERROR(__xludf.DUMMYFUNCTION("""COMPUTED_VALUE"""),4)</f>
        <v>4</v>
      </c>
      <c r="K298" s="100" t="str">
        <f>IFERROR(__xludf.DUMMYFUNCTION("""COMPUTED_VALUE"""),"MC1071")</f>
        <v>MC1071</v>
      </c>
      <c r="L298" s="100" t="str">
        <f>IFERROR(__xludf.DUMMYFUNCTION("""COMPUTED_VALUE"""),"Dr.SENTHIL KUMAR K L")</f>
        <v>Dr.SENTHIL KUMAR K L</v>
      </c>
      <c r="M298" s="100" t="str">
        <f>IFERROR(__xludf.DUMMYFUNCTION("""COMPUTED_VALUE"""),"senthilkumarkl@bitsathy.ac.in")</f>
        <v>senthilkumarkl@bitsathy.ac.in</v>
      </c>
    </row>
    <row r="299" ht="27.6" spans="1:13">
      <c r="A299" s="100" t="str">
        <f>IFERROR(__xludf.DUMMYFUNCTION("""COMPUTED_VALUE"""),"MTRS")</f>
        <v>MTRS</v>
      </c>
      <c r="B299" s="100" t="str">
        <f>IFERROR(__xludf.DUMMYFUNCTION("""COMPUTED_VALUE"""),"S6")</f>
        <v>S6</v>
      </c>
      <c r="C299" s="100" t="str">
        <f>IFERROR(__xludf.DUMMYFUNCTION("""COMPUTED_VALUE"""),"CORE")</f>
        <v>CORE</v>
      </c>
      <c r="D299" s="100" t="str">
        <f>IFERROR(__xludf.DUMMYFUNCTION("""COMPUTED_VALUE"""),"22MC603")</f>
        <v>22MC603</v>
      </c>
      <c r="E299" s="101" t="str">
        <f>IFERROR(__xludf.DUMMYFUNCTION("""COMPUTED_VALUE"""),"FLUID POWER SYSTEM")</f>
        <v>FLUID POWER SYSTEM</v>
      </c>
      <c r="F299" s="100" t="str">
        <f>IFERROR(__xludf.DUMMYFUNCTION("""COMPUTED_VALUE"""),"LAB")</f>
        <v>LAB</v>
      </c>
      <c r="G299" s="100">
        <f>IFERROR(__xludf.DUMMYFUNCTION("""COMPUTED_VALUE"""),2)</f>
        <v>2</v>
      </c>
      <c r="H299" s="100">
        <f>IFERROR(__xludf.DUMMYFUNCTION("""COMPUTED_VALUE"""),1)</f>
        <v>1</v>
      </c>
      <c r="I299" s="100">
        <f>IFERROR(__xludf.DUMMYFUNCTION("""COMPUTED_VALUE"""),2)</f>
        <v>2</v>
      </c>
      <c r="J299" s="100">
        <f>IFERROR(__xludf.DUMMYFUNCTION("""COMPUTED_VALUE"""),4)</f>
        <v>4</v>
      </c>
      <c r="K299" s="100" t="str">
        <f>IFERROR(__xludf.DUMMYFUNCTION("""COMPUTED_VALUE"""),"MC10597")</f>
        <v>MC10597</v>
      </c>
      <c r="L299" s="100" t="str">
        <f>IFERROR(__xludf.DUMMYFUNCTION("""COMPUTED_VALUE"""),"Dr.RAGHAVENDRA PRABHU S")</f>
        <v>Dr.RAGHAVENDRA PRABHU S</v>
      </c>
      <c r="M299" s="100" t="str">
        <f>IFERROR(__xludf.DUMMYFUNCTION("""COMPUTED_VALUE"""),"raghavendraprabhu@bitsathy.ac.in")</f>
        <v>raghavendraprabhu@bitsathy.ac.in</v>
      </c>
    </row>
    <row r="300" ht="13.8" spans="1:13">
      <c r="A300" s="100" t="str">
        <f>IFERROR(__xludf.DUMMYFUNCTION("""COMPUTED_VALUE"""),"MTRS")</f>
        <v>MTRS</v>
      </c>
      <c r="B300" s="100" t="str">
        <f>IFERROR(__xludf.DUMMYFUNCTION("""COMPUTED_VALUE"""),"S6")</f>
        <v>S6</v>
      </c>
      <c r="C300" s="100" t="str">
        <f>IFERROR(__xludf.DUMMYFUNCTION("""COMPUTED_VALUE"""),"ELECTIVE 3")</f>
        <v>ELECTIVE 3</v>
      </c>
      <c r="D300" s="100" t="str">
        <f>IFERROR(__xludf.DUMMYFUNCTION("""COMPUTED_VALUE"""),"22MC007")</f>
        <v>22MC007</v>
      </c>
      <c r="E300" s="101" t="str">
        <f>IFERROR(__xludf.DUMMYFUNCTION("""COMPUTED_VALUE"""),"CNC TECHNOLOGY")</f>
        <v>CNC TECHNOLOGY</v>
      </c>
      <c r="F300" s="100" t="str">
        <f>IFERROR(__xludf.DUMMYFUNCTION("""COMPUTED_VALUE"""),"THEORY")</f>
        <v>THEORY</v>
      </c>
      <c r="G300" s="100">
        <f>IFERROR(__xludf.DUMMYFUNCTION("""COMPUTED_VALUE"""),3)</f>
        <v>3</v>
      </c>
      <c r="H300" s="100">
        <f>IFERROR(__xludf.DUMMYFUNCTION("""COMPUTED_VALUE"""),0)</f>
        <v>0</v>
      </c>
      <c r="I300" s="100">
        <f>IFERROR(__xludf.DUMMYFUNCTION("""COMPUTED_VALUE"""),0)</f>
        <v>0</v>
      </c>
      <c r="J300" s="100">
        <f>IFERROR(__xludf.DUMMYFUNCTION("""COMPUTED_VALUE"""),3)</f>
        <v>3</v>
      </c>
      <c r="K300" s="100" t="str">
        <f>IFERROR(__xludf.DUMMYFUNCTION("""COMPUTED_VALUE"""),"MC10664")</f>
        <v>MC10664</v>
      </c>
      <c r="L300" s="100" t="str">
        <f>IFERROR(__xludf.DUMMYFUNCTION("""COMPUTED_VALUE"""),"Dr.SIDDHARTHAN B")</f>
        <v>Dr.SIDDHARTHAN B</v>
      </c>
      <c r="M300" s="100" t="str">
        <f>IFERROR(__xludf.DUMMYFUNCTION("""COMPUTED_VALUE"""),"siddharthan@bitsathy.ac.in")</f>
        <v>siddharthan@bitsathy.ac.in</v>
      </c>
    </row>
    <row r="301" ht="27.6" spans="1:13">
      <c r="A301" s="100" t="str">
        <f>IFERROR(__xludf.DUMMYFUNCTION("""COMPUTED_VALUE"""),"MTRS")</f>
        <v>MTRS</v>
      </c>
      <c r="B301" s="100" t="str">
        <f>IFERROR(__xludf.DUMMYFUNCTION("""COMPUTED_VALUE"""),"S6")</f>
        <v>S6</v>
      </c>
      <c r="C301" s="100" t="str">
        <f>IFERROR(__xludf.DUMMYFUNCTION("""COMPUTED_VALUE"""),"ELECTIVE 4")</f>
        <v>ELECTIVE 4</v>
      </c>
      <c r="D301" s="100" t="str">
        <f>IFERROR(__xludf.DUMMYFUNCTION("""COMPUTED_VALUE"""),"22MC026")</f>
        <v>22MC026</v>
      </c>
      <c r="E301" s="101" t="str">
        <f>IFERROR(__xludf.DUMMYFUNCTION("""COMPUTED_VALUE"""),"VIRTUAL INSTRUMENTATION")</f>
        <v>VIRTUAL INSTRUMENTATION</v>
      </c>
      <c r="F301" s="100" t="str">
        <f>IFERROR(__xludf.DUMMYFUNCTION("""COMPUTED_VALUE"""),"THEORY")</f>
        <v>THEORY</v>
      </c>
      <c r="G301" s="100">
        <f>IFERROR(__xludf.DUMMYFUNCTION("""COMPUTED_VALUE"""),3)</f>
        <v>3</v>
      </c>
      <c r="H301" s="100">
        <f>IFERROR(__xludf.DUMMYFUNCTION("""COMPUTED_VALUE"""),0)</f>
        <v>0</v>
      </c>
      <c r="I301" s="100">
        <f>IFERROR(__xludf.DUMMYFUNCTION("""COMPUTED_VALUE"""),0)</f>
        <v>0</v>
      </c>
      <c r="J301" s="100">
        <f>IFERROR(__xludf.DUMMYFUNCTION("""COMPUTED_VALUE"""),3)</f>
        <v>3</v>
      </c>
      <c r="K301" s="100" t="str">
        <f>IFERROR(__xludf.DUMMYFUNCTION("""COMPUTED_VALUE"""),"MC10597")</f>
        <v>MC10597</v>
      </c>
      <c r="L301" s="100" t="str">
        <f>IFERROR(__xludf.DUMMYFUNCTION("""COMPUTED_VALUE"""),"Dr.RAGHAVENDRA PRABHU S")</f>
        <v>Dr.RAGHAVENDRA PRABHU S</v>
      </c>
      <c r="M301" s="100" t="str">
        <f>IFERROR(__xludf.DUMMYFUNCTION("""COMPUTED_VALUE"""),"raghavendraprabhu@bitsathy.ac.in")</f>
        <v>raghavendraprabhu@bitsathy.ac.in</v>
      </c>
    </row>
    <row r="302" ht="13.8" spans="1:13">
      <c r="A302" s="100" t="str">
        <f>IFERROR(__xludf.DUMMYFUNCTION("""COMPUTED_VALUE"""),"MTRS")</f>
        <v>MTRS</v>
      </c>
      <c r="B302" s="100" t="str">
        <f>IFERROR(__xludf.DUMMYFUNCTION("""COMPUTED_VALUE"""),"S6")</f>
        <v>S6</v>
      </c>
      <c r="C302" s="100" t="str">
        <f>IFERROR(__xludf.DUMMYFUNCTION("""COMPUTED_VALUE"""),"ELECTIVE 5")</f>
        <v>ELECTIVE 5</v>
      </c>
      <c r="D302" s="100" t="str">
        <f>IFERROR(__xludf.DUMMYFUNCTION("""COMPUTED_VALUE"""),"22MC011")</f>
        <v>22MC011</v>
      </c>
      <c r="E302" s="101" t="str">
        <f>IFERROR(__xludf.DUMMYFUNCTION("""COMPUTED_VALUE"""),"DESIGN FOR MANUFACTURING AND ASSEMBLY")</f>
        <v>DESIGN FOR MANUFACTURING AND ASSEMBLY</v>
      </c>
      <c r="F302" s="100" t="str">
        <f>IFERROR(__xludf.DUMMYFUNCTION("""COMPUTED_VALUE"""),"THEORY")</f>
        <v>THEORY</v>
      </c>
      <c r="G302" s="100">
        <f>IFERROR(__xludf.DUMMYFUNCTION("""COMPUTED_VALUE"""),3)</f>
        <v>3</v>
      </c>
      <c r="H302" s="100">
        <f>IFERROR(__xludf.DUMMYFUNCTION("""COMPUTED_VALUE"""),0)</f>
        <v>0</v>
      </c>
      <c r="I302" s="100">
        <f>IFERROR(__xludf.DUMMYFUNCTION("""COMPUTED_VALUE"""),0)</f>
        <v>0</v>
      </c>
      <c r="J302" s="100">
        <f>IFERROR(__xludf.DUMMYFUNCTION("""COMPUTED_VALUE"""),3)</f>
        <v>3</v>
      </c>
      <c r="K302" s="100" t="str">
        <f>IFERROR(__xludf.DUMMYFUNCTION("""COMPUTED_VALUE"""),"MC10299")</f>
        <v>MC10299</v>
      </c>
      <c r="L302" s="100" t="str">
        <f>IFERROR(__xludf.DUMMYFUNCTION("""COMPUTED_VALUE"""),"Mr.VIGNESH S")</f>
        <v>Mr.VIGNESH S</v>
      </c>
      <c r="M302" s="100" t="str">
        <f>IFERROR(__xludf.DUMMYFUNCTION("""COMPUTED_VALUE"""),"vignesh@bitsathy.ac.in")</f>
        <v>vignesh@bitsathy.ac.in</v>
      </c>
    </row>
    <row r="303" ht="13.8" spans="1:13">
      <c r="A303" s="100" t="str">
        <f>IFERROR(__xludf.DUMMYFUNCTION("""COMPUTED_VALUE"""),"MTRS")</f>
        <v>MTRS</v>
      </c>
      <c r="B303" s="100" t="str">
        <f>IFERROR(__xludf.DUMMYFUNCTION("""COMPUTED_VALUE"""),"S6")</f>
        <v>S6</v>
      </c>
      <c r="C303" s="100" t="str">
        <f>IFERROR(__xludf.DUMMYFUNCTION("""COMPUTED_VALUE"""),"ADD COURSE")</f>
        <v>ADD COURSE</v>
      </c>
      <c r="D303" s="100" t="str">
        <f>IFERROR(__xludf.DUMMYFUNCTION("""COMPUTED_VALUE"""),"22MC027")</f>
        <v>22MC027</v>
      </c>
      <c r="E303" s="101" t="str">
        <f>IFERROR(__xludf.DUMMYFUNCTION("""COMPUTED_VALUE"""),"INDUSTRIAL DRIVES AND CONTROL")</f>
        <v>INDUSTRIAL DRIVES AND CONTROL</v>
      </c>
      <c r="F303" s="100" t="str">
        <f>IFERROR(__xludf.DUMMYFUNCTION("""COMPUTED_VALUE"""),"THEORY")</f>
        <v>THEORY</v>
      </c>
      <c r="G303" s="100">
        <f>IFERROR(__xludf.DUMMYFUNCTION("""COMPUTED_VALUE"""),3)</f>
        <v>3</v>
      </c>
      <c r="H303" s="100">
        <f>IFERROR(__xludf.DUMMYFUNCTION("""COMPUTED_VALUE"""),0)</f>
        <v>0</v>
      </c>
      <c r="I303" s="100">
        <f>IFERROR(__xludf.DUMMYFUNCTION("""COMPUTED_VALUE"""),0)</f>
        <v>0</v>
      </c>
      <c r="J303" s="100">
        <f>IFERROR(__xludf.DUMMYFUNCTION("""COMPUTED_VALUE"""),3)</f>
        <v>3</v>
      </c>
      <c r="K303" s="100" t="str">
        <f>IFERROR(__xludf.DUMMYFUNCTION("""COMPUTED_VALUE"""),"MC10412")</f>
        <v>MC10412</v>
      </c>
      <c r="L303" s="100" t="str">
        <f>IFERROR(__xludf.DUMMYFUNCTION("""COMPUTED_VALUE"""),"Mr.RAGHUNATH M")</f>
        <v>Mr.RAGHUNATH M</v>
      </c>
      <c r="M303" s="100" t="str">
        <f>IFERROR(__xludf.DUMMYFUNCTION("""COMPUTED_VALUE"""),"raghunath@bitsathy.ac.in")</f>
        <v>raghunath@bitsathy.ac.in</v>
      </c>
    </row>
    <row r="304" ht="13.8" spans="1:13">
      <c r="A304" s="100" t="str">
        <f>IFERROR(__xludf.DUMMYFUNCTION("""COMPUTED_VALUE"""),"MTRS")</f>
        <v>MTRS</v>
      </c>
      <c r="B304" s="100" t="str">
        <f>IFERROR(__xludf.DUMMYFUNCTION("""COMPUTED_VALUE"""),"S6")</f>
        <v>S6</v>
      </c>
      <c r="C304" s="100" t="str">
        <f>IFERROR(__xludf.DUMMYFUNCTION("""COMPUTED_VALUE"""),"HONOURS")</f>
        <v>HONOURS</v>
      </c>
      <c r="D304" s="100" t="str">
        <f>IFERROR(__xludf.DUMMYFUNCTION("""COMPUTED_VALUE"""),"22MCH03")</f>
        <v>22MCH03</v>
      </c>
      <c r="E304" s="101" t="str">
        <f>IFERROR(__xludf.DUMMYFUNCTION("""COMPUTED_VALUE"""),"DRONE TECHNOLOGY")</f>
        <v>DRONE TECHNOLOGY</v>
      </c>
      <c r="F304" s="100" t="str">
        <f>IFERROR(__xludf.DUMMYFUNCTION("""COMPUTED_VALUE"""),"THEORY")</f>
        <v>THEORY</v>
      </c>
      <c r="G304" s="100">
        <f>IFERROR(__xludf.DUMMYFUNCTION("""COMPUTED_VALUE"""),3)</f>
        <v>3</v>
      </c>
      <c r="H304" s="100">
        <f>IFERROR(__xludf.DUMMYFUNCTION("""COMPUTED_VALUE"""),0)</f>
        <v>0</v>
      </c>
      <c r="I304" s="100">
        <f>IFERROR(__xludf.DUMMYFUNCTION("""COMPUTED_VALUE"""),0)</f>
        <v>0</v>
      </c>
      <c r="J304" s="100">
        <f>IFERROR(__xludf.DUMMYFUNCTION("""COMPUTED_VALUE"""),3)</f>
        <v>3</v>
      </c>
      <c r="K304" s="100" t="str">
        <f>IFERROR(__xludf.DUMMYFUNCTION("""COMPUTED_VALUE"""),"MC10369")</f>
        <v>MC10369</v>
      </c>
      <c r="L304" s="100" t="str">
        <f>IFERROR(__xludf.DUMMYFUNCTION("""COMPUTED_VALUE"""),"Dr.NIJANDHAN K")</f>
        <v>Dr.NIJANDHAN K</v>
      </c>
      <c r="M304" s="100" t="str">
        <f>IFERROR(__xludf.DUMMYFUNCTION("""COMPUTED_VALUE"""),"nijandhan@bitsathy.ac.in")</f>
        <v>nijandhan@bitsathy.ac.in</v>
      </c>
    </row>
    <row r="305" ht="13.8" spans="1:13">
      <c r="A305" s="100" t="str">
        <f>IFERROR(__xludf.DUMMYFUNCTION("""COMPUTED_VALUE"""),"MTRS")</f>
        <v>MTRS</v>
      </c>
      <c r="B305" s="100" t="str">
        <f>IFERROR(__xludf.DUMMYFUNCTION("""COMPUTED_VALUE"""),"S6")</f>
        <v>S6</v>
      </c>
      <c r="C305" s="100" t="str">
        <f>IFERROR(__xludf.DUMMYFUNCTION("""COMPUTED_VALUE"""),"HONOURS")</f>
        <v>HONOURS</v>
      </c>
      <c r="D305" s="100" t="str">
        <f>IFERROR(__xludf.DUMMYFUNCTION("""COMPUTED_VALUE"""),"22MCH04")</f>
        <v>22MCH04</v>
      </c>
      <c r="E305" s="101" t="str">
        <f>IFERROR(__xludf.DUMMYFUNCTION("""COMPUTED_VALUE"""),"ROBOTIC VISION")</f>
        <v>ROBOTIC VISION</v>
      </c>
      <c r="F305" s="100" t="str">
        <f>IFERROR(__xludf.DUMMYFUNCTION("""COMPUTED_VALUE"""),"THEORY")</f>
        <v>THEORY</v>
      </c>
      <c r="G305" s="100">
        <f>IFERROR(__xludf.DUMMYFUNCTION("""COMPUTED_VALUE"""),3)</f>
        <v>3</v>
      </c>
      <c r="H305" s="100">
        <f>IFERROR(__xludf.DUMMYFUNCTION("""COMPUTED_VALUE"""),0)</f>
        <v>0</v>
      </c>
      <c r="I305" s="100">
        <f>IFERROR(__xludf.DUMMYFUNCTION("""COMPUTED_VALUE"""),0)</f>
        <v>0</v>
      </c>
      <c r="J305" s="100">
        <f>IFERROR(__xludf.DUMMYFUNCTION("""COMPUTED_VALUE"""),3)</f>
        <v>3</v>
      </c>
      <c r="K305" s="100" t="str">
        <f>IFERROR(__xludf.DUMMYFUNCTION("""COMPUTED_VALUE"""),"MC10729")</f>
        <v>MC10729</v>
      </c>
      <c r="L305" s="100" t="str">
        <f>IFERROR(__xludf.DUMMYFUNCTION("""COMPUTED_VALUE"""),"Dr.NAGARAJAN P")</f>
        <v>Dr.NAGARAJAN P</v>
      </c>
      <c r="M305" s="100" t="str">
        <f>IFERROR(__xludf.DUMMYFUNCTION("""COMPUTED_VALUE"""),"nagarajanp@bitsathy.ac.in")</f>
        <v>nagarajanp@bitsathy.ac.in</v>
      </c>
    </row>
    <row r="306" ht="13.2" spans="1:13">
      <c r="A306" s="95" t="str">
        <f>IFERROR(__xludf.DUMMYFUNCTION("""COMPUTED_VALUE"""),"MTRS")</f>
        <v>MTRS</v>
      </c>
      <c r="B306" s="95" t="str">
        <f>IFERROR(__xludf.DUMMYFUNCTION("""COMPUTED_VALUE"""),"S6")</f>
        <v>S6</v>
      </c>
      <c r="C306" s="95" t="str">
        <f>IFERROR(__xludf.DUMMYFUNCTION("""COMPUTED_VALUE"""),"MINI PROJECT")</f>
        <v>MINI PROJECT</v>
      </c>
      <c r="D306" s="95" t="str">
        <f>IFERROR(__xludf.DUMMYFUNCTION("""COMPUTED_VALUE"""),"22MC607")</f>
        <v>22MC607</v>
      </c>
      <c r="E306" s="102" t="str">
        <f>IFERROR(__xludf.DUMMYFUNCTION("""COMPUTED_VALUE"""),"MINI PROJECT II")</f>
        <v>MINI PROJECT II</v>
      </c>
      <c r="F306" s="95" t="str">
        <f>IFERROR(__xludf.DUMMYFUNCTION("""COMPUTED_VALUE"""),"LAB")</f>
        <v>LAB</v>
      </c>
      <c r="G306" s="103">
        <f>IFERROR(__xludf.DUMMYFUNCTION("""COMPUTED_VALUE"""),0)</f>
        <v>0</v>
      </c>
      <c r="H306" s="103">
        <f>IFERROR(__xludf.DUMMYFUNCTION("""COMPUTED_VALUE"""),0)</f>
        <v>0</v>
      </c>
      <c r="I306" s="103">
        <f>IFERROR(__xludf.DUMMYFUNCTION("""COMPUTED_VALUE"""),2)</f>
        <v>2</v>
      </c>
      <c r="J306" s="103">
        <f>IFERROR(__xludf.DUMMYFUNCTION("""COMPUTED_VALUE"""),1)</f>
        <v>1</v>
      </c>
      <c r="K306" s="95"/>
      <c r="L306" s="95"/>
      <c r="M306" s="95"/>
    </row>
    <row r="307" ht="13.2" spans="5:10">
      <c r="E307" s="102"/>
      <c r="G307" s="103"/>
      <c r="H307" s="103"/>
      <c r="I307" s="103"/>
      <c r="J307" s="103"/>
    </row>
    <row r="308" ht="13.2" spans="5:10">
      <c r="E308" s="102"/>
      <c r="G308" s="103"/>
      <c r="H308" s="103"/>
      <c r="I308" s="103"/>
      <c r="J308" s="103"/>
    </row>
    <row r="309" ht="13.2" spans="5:10">
      <c r="E309" s="102"/>
      <c r="G309" s="103"/>
      <c r="H309" s="103"/>
      <c r="I309" s="103"/>
      <c r="J309" s="103"/>
    </row>
    <row r="310" ht="13.2" spans="5:10">
      <c r="E310" s="102"/>
      <c r="G310" s="103"/>
      <c r="H310" s="103"/>
      <c r="I310" s="103"/>
      <c r="J310" s="103"/>
    </row>
    <row r="311" ht="13.2" spans="5:10">
      <c r="E311" s="102"/>
      <c r="G311" s="103"/>
      <c r="H311" s="103"/>
      <c r="I311" s="103"/>
      <c r="J311" s="103"/>
    </row>
    <row r="312" ht="13.2" spans="5:10">
      <c r="E312" s="102"/>
      <c r="G312" s="103"/>
      <c r="H312" s="103"/>
      <c r="I312" s="103"/>
      <c r="J312" s="103"/>
    </row>
    <row r="313" ht="13.2" spans="5:10">
      <c r="E313" s="102"/>
      <c r="G313" s="103"/>
      <c r="H313" s="103"/>
      <c r="I313" s="103"/>
      <c r="J313" s="103"/>
    </row>
    <row r="314" ht="13.2" spans="5:10">
      <c r="E314" s="102"/>
      <c r="G314" s="103"/>
      <c r="H314" s="103"/>
      <c r="I314" s="103"/>
      <c r="J314" s="103"/>
    </row>
    <row r="315" ht="13.2" spans="5:10">
      <c r="E315" s="102"/>
      <c r="G315" s="103"/>
      <c r="H315" s="103"/>
      <c r="I315" s="103"/>
      <c r="J315" s="103"/>
    </row>
    <row r="316" ht="13.2" spans="5:10">
      <c r="E316" s="102"/>
      <c r="G316" s="103"/>
      <c r="H316" s="103"/>
      <c r="I316" s="103"/>
      <c r="J316" s="103"/>
    </row>
    <row r="317" ht="13.2" spans="5:10">
      <c r="E317" s="102"/>
      <c r="G317" s="103"/>
      <c r="H317" s="103"/>
      <c r="I317" s="103"/>
      <c r="J317" s="103"/>
    </row>
    <row r="318" ht="13.2" spans="5:10">
      <c r="E318" s="102"/>
      <c r="G318" s="103"/>
      <c r="H318" s="103"/>
      <c r="I318" s="103"/>
      <c r="J318" s="103"/>
    </row>
    <row r="319" ht="13.2" spans="5:10">
      <c r="E319" s="102"/>
      <c r="G319" s="103"/>
      <c r="H319" s="103"/>
      <c r="I319" s="103"/>
      <c r="J319" s="103"/>
    </row>
    <row r="320" ht="13.2" spans="5:10">
      <c r="E320" s="102"/>
      <c r="G320" s="103"/>
      <c r="H320" s="103"/>
      <c r="I320" s="103"/>
      <c r="J320" s="103"/>
    </row>
    <row r="321" ht="13.2" spans="5:10">
      <c r="E321" s="102"/>
      <c r="G321" s="103"/>
      <c r="H321" s="103"/>
      <c r="I321" s="103"/>
      <c r="J321" s="103"/>
    </row>
    <row r="322" ht="13.2" spans="5:10">
      <c r="E322" s="102"/>
      <c r="G322" s="103"/>
      <c r="H322" s="103"/>
      <c r="I322" s="103"/>
      <c r="J322" s="103"/>
    </row>
    <row r="323" ht="13.2" spans="5:10">
      <c r="E323" s="102"/>
      <c r="G323" s="103"/>
      <c r="H323" s="103"/>
      <c r="I323" s="103"/>
      <c r="J323" s="103"/>
    </row>
    <row r="324" ht="13.2" spans="5:10">
      <c r="E324" s="102"/>
      <c r="G324" s="103"/>
      <c r="H324" s="103"/>
      <c r="I324" s="103"/>
      <c r="J324" s="103"/>
    </row>
    <row r="325" ht="13.2" spans="5:10">
      <c r="E325" s="102"/>
      <c r="G325" s="103"/>
      <c r="H325" s="103"/>
      <c r="I325" s="103"/>
      <c r="J325" s="103"/>
    </row>
    <row r="326" ht="13.2" spans="5:10">
      <c r="E326" s="102"/>
      <c r="G326" s="103"/>
      <c r="H326" s="103"/>
      <c r="I326" s="103"/>
      <c r="J326" s="103"/>
    </row>
    <row r="327" ht="13.2" spans="5:10">
      <c r="E327" s="102"/>
      <c r="G327" s="103"/>
      <c r="H327" s="103"/>
      <c r="I327" s="103"/>
      <c r="J327" s="103"/>
    </row>
    <row r="328" ht="13.2" spans="5:10">
      <c r="E328" s="102"/>
      <c r="G328" s="103"/>
      <c r="H328" s="103"/>
      <c r="I328" s="103"/>
      <c r="J328" s="103"/>
    </row>
    <row r="329" ht="13.2" spans="5:10">
      <c r="E329" s="102"/>
      <c r="G329" s="103"/>
      <c r="H329" s="103"/>
      <c r="I329" s="103"/>
      <c r="J329" s="103"/>
    </row>
    <row r="330" ht="13.2" spans="5:10">
      <c r="E330" s="102"/>
      <c r="G330" s="103"/>
      <c r="H330" s="103"/>
      <c r="I330" s="103"/>
      <c r="J330" s="103"/>
    </row>
    <row r="331" ht="13.2" spans="5:10">
      <c r="E331" s="102"/>
      <c r="G331" s="103"/>
      <c r="H331" s="103"/>
      <c r="I331" s="103"/>
      <c r="J331" s="103"/>
    </row>
    <row r="332" ht="13.2" spans="5:10">
      <c r="E332" s="102"/>
      <c r="G332" s="103"/>
      <c r="H332" s="103"/>
      <c r="I332" s="103"/>
      <c r="J332" s="103"/>
    </row>
    <row r="333" ht="13.2" spans="5:10">
      <c r="E333" s="102"/>
      <c r="G333" s="103"/>
      <c r="H333" s="103"/>
      <c r="I333" s="103"/>
      <c r="J333" s="103"/>
    </row>
    <row r="334" ht="13.2" spans="5:10">
      <c r="E334" s="102"/>
      <c r="G334" s="103"/>
      <c r="H334" s="103"/>
      <c r="I334" s="103"/>
      <c r="J334" s="103"/>
    </row>
    <row r="335" ht="13.2" spans="5:10">
      <c r="E335" s="102"/>
      <c r="G335" s="103"/>
      <c r="H335" s="103"/>
      <c r="I335" s="103"/>
      <c r="J335" s="103"/>
    </row>
    <row r="336" ht="13.2" spans="5:10">
      <c r="E336" s="102"/>
      <c r="G336" s="103"/>
      <c r="H336" s="103"/>
      <c r="I336" s="103"/>
      <c r="J336" s="103"/>
    </row>
    <row r="337" ht="13.2" spans="5:10">
      <c r="E337" s="102"/>
      <c r="G337" s="103"/>
      <c r="H337" s="103"/>
      <c r="I337" s="103"/>
      <c r="J337" s="103"/>
    </row>
    <row r="338" ht="13.2" spans="5:10">
      <c r="E338" s="102"/>
      <c r="G338" s="103"/>
      <c r="H338" s="103"/>
      <c r="I338" s="103"/>
      <c r="J338" s="103"/>
    </row>
    <row r="339" ht="13.2" spans="5:10">
      <c r="E339" s="102"/>
      <c r="G339" s="103"/>
      <c r="H339" s="103"/>
      <c r="I339" s="103"/>
      <c r="J339" s="103"/>
    </row>
    <row r="340" ht="13.2" spans="5:10">
      <c r="E340" s="102"/>
      <c r="G340" s="103"/>
      <c r="H340" s="103"/>
      <c r="I340" s="103"/>
      <c r="J340" s="103"/>
    </row>
    <row r="341" ht="13.2" spans="5:10">
      <c r="E341" s="102"/>
      <c r="G341" s="103"/>
      <c r="H341" s="103"/>
      <c r="I341" s="103"/>
      <c r="J341" s="103"/>
    </row>
    <row r="342" ht="13.2" spans="5:10">
      <c r="E342" s="102"/>
      <c r="G342" s="103"/>
      <c r="H342" s="103"/>
      <c r="I342" s="103"/>
      <c r="J342" s="103"/>
    </row>
    <row r="343" ht="13.2" spans="5:10">
      <c r="E343" s="102"/>
      <c r="G343" s="103"/>
      <c r="H343" s="103"/>
      <c r="I343" s="103"/>
      <c r="J343" s="103"/>
    </row>
    <row r="344" ht="13.2" spans="5:10">
      <c r="E344" s="102"/>
      <c r="G344" s="103"/>
      <c r="H344" s="103"/>
      <c r="I344" s="103"/>
      <c r="J344" s="103"/>
    </row>
    <row r="345" ht="13.2" spans="5:10">
      <c r="E345" s="102"/>
      <c r="G345" s="103"/>
      <c r="H345" s="103"/>
      <c r="I345" s="103"/>
      <c r="J345" s="103"/>
    </row>
    <row r="346" ht="13.2" spans="5:10">
      <c r="E346" s="102"/>
      <c r="G346" s="103"/>
      <c r="H346" s="103"/>
      <c r="I346" s="103"/>
      <c r="J346" s="103"/>
    </row>
    <row r="347" ht="13.2" spans="5:10">
      <c r="E347" s="102"/>
      <c r="G347" s="103"/>
      <c r="H347" s="103"/>
      <c r="I347" s="103"/>
      <c r="J347" s="103"/>
    </row>
    <row r="348" ht="13.2" spans="5:10">
      <c r="E348" s="102"/>
      <c r="G348" s="103"/>
      <c r="H348" s="103"/>
      <c r="I348" s="103"/>
      <c r="J348" s="103"/>
    </row>
    <row r="349" ht="13.2" spans="5:10">
      <c r="E349" s="102"/>
      <c r="G349" s="103"/>
      <c r="H349" s="103"/>
      <c r="I349" s="103"/>
      <c r="J349" s="103"/>
    </row>
    <row r="350" ht="13.2" spans="5:10">
      <c r="E350" s="102"/>
      <c r="G350" s="103"/>
      <c r="H350" s="103"/>
      <c r="I350" s="103"/>
      <c r="J350" s="103"/>
    </row>
    <row r="351" ht="13.2" spans="5:10">
      <c r="E351" s="102"/>
      <c r="G351" s="103"/>
      <c r="H351" s="103"/>
      <c r="I351" s="103"/>
      <c r="J351" s="103"/>
    </row>
    <row r="352" ht="13.2" spans="5:10">
      <c r="E352" s="102"/>
      <c r="G352" s="103"/>
      <c r="H352" s="103"/>
      <c r="I352" s="103"/>
      <c r="J352" s="103"/>
    </row>
    <row r="353" ht="13.2" spans="5:10">
      <c r="E353" s="102"/>
      <c r="G353" s="103"/>
      <c r="H353" s="103"/>
      <c r="I353" s="103"/>
      <c r="J353" s="103"/>
    </row>
    <row r="354" ht="13.2" spans="5:10">
      <c r="E354" s="102"/>
      <c r="G354" s="103"/>
      <c r="H354" s="103"/>
      <c r="I354" s="103"/>
      <c r="J354" s="103"/>
    </row>
    <row r="355" ht="13.2" spans="5:10">
      <c r="E355" s="102"/>
      <c r="G355" s="103"/>
      <c r="H355" s="103"/>
      <c r="I355" s="103"/>
      <c r="J355" s="103"/>
    </row>
    <row r="356" ht="13.2" spans="5:10">
      <c r="E356" s="102"/>
      <c r="G356" s="103"/>
      <c r="H356" s="103"/>
      <c r="I356" s="103"/>
      <c r="J356" s="103"/>
    </row>
    <row r="357" ht="13.2" spans="5:10">
      <c r="E357" s="102"/>
      <c r="G357" s="103"/>
      <c r="H357" s="103"/>
      <c r="I357" s="103"/>
      <c r="J357" s="103"/>
    </row>
    <row r="358" ht="13.2" spans="5:10">
      <c r="E358" s="102"/>
      <c r="G358" s="103"/>
      <c r="H358" s="103"/>
      <c r="I358" s="103"/>
      <c r="J358" s="103"/>
    </row>
    <row r="359" ht="13.2" spans="5:10">
      <c r="E359" s="102"/>
      <c r="G359" s="103"/>
      <c r="H359" s="103"/>
      <c r="I359" s="103"/>
      <c r="J359" s="103"/>
    </row>
    <row r="360" ht="13.2" spans="5:10">
      <c r="E360" s="102"/>
      <c r="G360" s="103"/>
      <c r="H360" s="103"/>
      <c r="I360" s="103"/>
      <c r="J360" s="103"/>
    </row>
    <row r="361" ht="13.2" spans="5:10">
      <c r="E361" s="102"/>
      <c r="G361" s="103"/>
      <c r="H361" s="103"/>
      <c r="I361" s="103"/>
      <c r="J361" s="103"/>
    </row>
    <row r="362" ht="13.2" spans="5:10">
      <c r="E362" s="102"/>
      <c r="G362" s="103"/>
      <c r="H362" s="103"/>
      <c r="I362" s="103"/>
      <c r="J362" s="103"/>
    </row>
    <row r="363" ht="13.2" spans="5:10">
      <c r="E363" s="102"/>
      <c r="G363" s="103"/>
      <c r="H363" s="103"/>
      <c r="I363" s="103"/>
      <c r="J363" s="103"/>
    </row>
    <row r="364" ht="13.2" spans="5:10">
      <c r="E364" s="102"/>
      <c r="G364" s="103"/>
      <c r="H364" s="103"/>
      <c r="I364" s="103"/>
      <c r="J364" s="103"/>
    </row>
    <row r="365" ht="13.2" spans="5:10">
      <c r="E365" s="102"/>
      <c r="G365" s="103"/>
      <c r="H365" s="103"/>
      <c r="I365" s="103"/>
      <c r="J365" s="103"/>
    </row>
    <row r="366" ht="13.2" spans="5:10">
      <c r="E366" s="102"/>
      <c r="G366" s="103"/>
      <c r="H366" s="103"/>
      <c r="I366" s="103"/>
      <c r="J366" s="103"/>
    </row>
    <row r="367" ht="13.2" spans="5:10">
      <c r="E367" s="102"/>
      <c r="G367" s="103"/>
      <c r="H367" s="103"/>
      <c r="I367" s="103"/>
      <c r="J367" s="103"/>
    </row>
    <row r="368" ht="13.2" spans="5:10">
      <c r="E368" s="102"/>
      <c r="G368" s="103"/>
      <c r="H368" s="103"/>
      <c r="I368" s="103"/>
      <c r="J368" s="103"/>
    </row>
    <row r="369" ht="13.2" spans="5:10">
      <c r="E369" s="102"/>
      <c r="G369" s="103"/>
      <c r="H369" s="103"/>
      <c r="I369" s="103"/>
      <c r="J369" s="103"/>
    </row>
    <row r="370" ht="13.2" spans="5:10">
      <c r="E370" s="102"/>
      <c r="G370" s="103"/>
      <c r="H370" s="103"/>
      <c r="I370" s="103"/>
      <c r="J370" s="103"/>
    </row>
    <row r="371" ht="13.2" spans="5:10">
      <c r="E371" s="102"/>
      <c r="G371" s="103"/>
      <c r="H371" s="103"/>
      <c r="I371" s="103"/>
      <c r="J371" s="103"/>
    </row>
    <row r="372" ht="13.2" spans="5:10">
      <c r="E372" s="102"/>
      <c r="G372" s="103"/>
      <c r="H372" s="103"/>
      <c r="I372" s="103"/>
      <c r="J372" s="103"/>
    </row>
    <row r="373" ht="13.2" spans="5:10">
      <c r="E373" s="102"/>
      <c r="G373" s="103"/>
      <c r="H373" s="103"/>
      <c r="I373" s="103"/>
      <c r="J373" s="103"/>
    </row>
    <row r="374" ht="13.2" spans="5:10">
      <c r="E374" s="102"/>
      <c r="G374" s="103"/>
      <c r="H374" s="103"/>
      <c r="I374" s="103"/>
      <c r="J374" s="103"/>
    </row>
    <row r="375" ht="13.2" spans="5:10">
      <c r="E375" s="102"/>
      <c r="G375" s="103"/>
      <c r="H375" s="103"/>
      <c r="I375" s="103"/>
      <c r="J375" s="103"/>
    </row>
    <row r="376" ht="13.2" spans="5:10">
      <c r="E376" s="102"/>
      <c r="G376" s="103"/>
      <c r="H376" s="103"/>
      <c r="I376" s="103"/>
      <c r="J376" s="103"/>
    </row>
    <row r="377" ht="13.2" spans="5:10">
      <c r="E377" s="102"/>
      <c r="G377" s="103"/>
      <c r="H377" s="103"/>
      <c r="I377" s="103"/>
      <c r="J377" s="103"/>
    </row>
    <row r="378" ht="13.2" spans="5:10">
      <c r="E378" s="102"/>
      <c r="G378" s="103"/>
      <c r="H378" s="103"/>
      <c r="I378" s="103"/>
      <c r="J378" s="103"/>
    </row>
    <row r="379" ht="13.2" spans="5:10">
      <c r="E379" s="102"/>
      <c r="G379" s="103"/>
      <c r="H379" s="103"/>
      <c r="I379" s="103"/>
      <c r="J379" s="103"/>
    </row>
    <row r="380" ht="13.2" spans="5:10">
      <c r="E380" s="102"/>
      <c r="G380" s="103"/>
      <c r="H380" s="103"/>
      <c r="I380" s="103"/>
      <c r="J380" s="103"/>
    </row>
    <row r="381" ht="13.2" spans="5:10">
      <c r="E381" s="102"/>
      <c r="G381" s="103"/>
      <c r="H381" s="103"/>
      <c r="I381" s="103"/>
      <c r="J381" s="103"/>
    </row>
    <row r="382" ht="13.2" spans="5:10">
      <c r="E382" s="102"/>
      <c r="G382" s="103"/>
      <c r="H382" s="103"/>
      <c r="I382" s="103"/>
      <c r="J382" s="103"/>
    </row>
    <row r="383" ht="13.2" spans="5:10">
      <c r="E383" s="102"/>
      <c r="G383" s="103"/>
      <c r="H383" s="103"/>
      <c r="I383" s="103"/>
      <c r="J383" s="103"/>
    </row>
    <row r="384" ht="13.2" spans="5:10">
      <c r="E384" s="102"/>
      <c r="G384" s="103"/>
      <c r="H384" s="103"/>
      <c r="I384" s="103"/>
      <c r="J384" s="103"/>
    </row>
    <row r="385" ht="13.2" spans="5:10">
      <c r="E385" s="102"/>
      <c r="G385" s="103"/>
      <c r="H385" s="103"/>
      <c r="I385" s="103"/>
      <c r="J385" s="103"/>
    </row>
    <row r="386" ht="13.2" spans="5:10">
      <c r="E386" s="102"/>
      <c r="G386" s="103"/>
      <c r="H386" s="103"/>
      <c r="I386" s="103"/>
      <c r="J386" s="103"/>
    </row>
    <row r="387" ht="13.2" spans="5:10">
      <c r="E387" s="102"/>
      <c r="G387" s="103"/>
      <c r="H387" s="103"/>
      <c r="I387" s="103"/>
      <c r="J387" s="103"/>
    </row>
    <row r="388" ht="13.2" spans="5:10">
      <c r="E388" s="102"/>
      <c r="G388" s="103"/>
      <c r="H388" s="103"/>
      <c r="I388" s="103"/>
      <c r="J388" s="103"/>
    </row>
    <row r="389" ht="13.2" spans="5:10">
      <c r="E389" s="102"/>
      <c r="G389" s="103"/>
      <c r="H389" s="103"/>
      <c r="I389" s="103"/>
      <c r="J389" s="103"/>
    </row>
    <row r="390" ht="13.2" spans="5:10">
      <c r="E390" s="102"/>
      <c r="G390" s="103"/>
      <c r="H390" s="103"/>
      <c r="I390" s="103"/>
      <c r="J390" s="103"/>
    </row>
    <row r="391" ht="13.2" spans="5:10">
      <c r="E391" s="102"/>
      <c r="G391" s="103"/>
      <c r="H391" s="103"/>
      <c r="I391" s="103"/>
      <c r="J391" s="103"/>
    </row>
    <row r="392" ht="13.2" spans="5:10">
      <c r="E392" s="102"/>
      <c r="G392" s="103"/>
      <c r="H392" s="103"/>
      <c r="I392" s="103"/>
      <c r="J392" s="103"/>
    </row>
    <row r="393" ht="13.2" spans="5:10">
      <c r="E393" s="102"/>
      <c r="G393" s="103"/>
      <c r="H393" s="103"/>
      <c r="I393" s="103"/>
      <c r="J393" s="103"/>
    </row>
    <row r="394" ht="13.2" spans="5:10">
      <c r="E394" s="102"/>
      <c r="G394" s="103"/>
      <c r="H394" s="103"/>
      <c r="I394" s="103"/>
      <c r="J394" s="103"/>
    </row>
    <row r="395" ht="13.2" spans="5:10">
      <c r="E395" s="102"/>
      <c r="G395" s="103"/>
      <c r="H395" s="103"/>
      <c r="I395" s="103"/>
      <c r="J395" s="103"/>
    </row>
    <row r="396" ht="13.2" spans="5:10">
      <c r="E396" s="102"/>
      <c r="G396" s="103"/>
      <c r="H396" s="103"/>
      <c r="I396" s="103"/>
      <c r="J396" s="103"/>
    </row>
    <row r="397" ht="13.2" spans="5:10">
      <c r="E397" s="102"/>
      <c r="G397" s="103"/>
      <c r="H397" s="103"/>
      <c r="I397" s="103"/>
      <c r="J397" s="103"/>
    </row>
    <row r="398" ht="13.2" spans="5:10">
      <c r="E398" s="102"/>
      <c r="G398" s="103"/>
      <c r="H398" s="103"/>
      <c r="I398" s="103"/>
      <c r="J398" s="103"/>
    </row>
    <row r="399" ht="13.2" spans="5:10">
      <c r="E399" s="102"/>
      <c r="G399" s="103"/>
      <c r="H399" s="103"/>
      <c r="I399" s="103"/>
      <c r="J399" s="103"/>
    </row>
    <row r="400" ht="13.2" spans="5:10">
      <c r="E400" s="102"/>
      <c r="G400" s="103"/>
      <c r="H400" s="103"/>
      <c r="I400" s="103"/>
      <c r="J400" s="103"/>
    </row>
    <row r="401" ht="13.2" spans="5:10">
      <c r="E401" s="102"/>
      <c r="G401" s="103"/>
      <c r="H401" s="103"/>
      <c r="I401" s="103"/>
      <c r="J401" s="103"/>
    </row>
    <row r="402" ht="13.2" spans="5:10">
      <c r="E402" s="102"/>
      <c r="G402" s="103"/>
      <c r="H402" s="103"/>
      <c r="I402" s="103"/>
      <c r="J402" s="103"/>
    </row>
    <row r="403" ht="13.2" spans="5:10">
      <c r="E403" s="102"/>
      <c r="G403" s="103"/>
      <c r="H403" s="103"/>
      <c r="I403" s="103"/>
      <c r="J403" s="103"/>
    </row>
    <row r="404" ht="13.2" spans="5:10">
      <c r="E404" s="102"/>
      <c r="G404" s="103"/>
      <c r="H404" s="103"/>
      <c r="I404" s="103"/>
      <c r="J404" s="103"/>
    </row>
    <row r="405" ht="13.2" spans="5:10">
      <c r="E405" s="102"/>
      <c r="G405" s="103"/>
      <c r="H405" s="103"/>
      <c r="I405" s="103"/>
      <c r="J405" s="103"/>
    </row>
    <row r="406" ht="13.2" spans="5:10">
      <c r="E406" s="102"/>
      <c r="G406" s="103"/>
      <c r="H406" s="103"/>
      <c r="I406" s="103"/>
      <c r="J406" s="103"/>
    </row>
    <row r="407" ht="13.2" spans="5:10">
      <c r="E407" s="102"/>
      <c r="G407" s="103"/>
      <c r="H407" s="103"/>
      <c r="I407" s="103"/>
      <c r="J407" s="103"/>
    </row>
    <row r="408" ht="13.2" spans="5:10">
      <c r="E408" s="102"/>
      <c r="G408" s="103"/>
      <c r="H408" s="103"/>
      <c r="I408" s="103"/>
      <c r="J408" s="103"/>
    </row>
    <row r="409" ht="13.2" spans="5:10">
      <c r="E409" s="102"/>
      <c r="G409" s="103"/>
      <c r="H409" s="103"/>
      <c r="I409" s="103"/>
      <c r="J409" s="103"/>
    </row>
    <row r="410" ht="13.2" spans="5:10">
      <c r="E410" s="102"/>
      <c r="G410" s="103"/>
      <c r="H410" s="103"/>
      <c r="I410" s="103"/>
      <c r="J410" s="103"/>
    </row>
    <row r="411" ht="13.2" spans="5:10">
      <c r="E411" s="102"/>
      <c r="G411" s="103"/>
      <c r="H411" s="103"/>
      <c r="I411" s="103"/>
      <c r="J411" s="103"/>
    </row>
    <row r="412" ht="13.2" spans="5:10">
      <c r="E412" s="102"/>
      <c r="G412" s="103"/>
      <c r="H412" s="103"/>
      <c r="I412" s="103"/>
      <c r="J412" s="103"/>
    </row>
    <row r="413" ht="13.2" spans="5:10">
      <c r="E413" s="102"/>
      <c r="G413" s="103"/>
      <c r="H413" s="103"/>
      <c r="I413" s="103"/>
      <c r="J413" s="103"/>
    </row>
    <row r="414" ht="13.2" spans="5:10">
      <c r="E414" s="102"/>
      <c r="G414" s="103"/>
      <c r="H414" s="103"/>
      <c r="I414" s="103"/>
      <c r="J414" s="103"/>
    </row>
    <row r="415" ht="13.2" spans="5:10">
      <c r="E415" s="102"/>
      <c r="G415" s="103"/>
      <c r="H415" s="103"/>
      <c r="I415" s="103"/>
      <c r="J415" s="103"/>
    </row>
    <row r="416" ht="13.2" spans="5:10">
      <c r="E416" s="102"/>
      <c r="G416" s="103"/>
      <c r="H416" s="103"/>
      <c r="I416" s="103"/>
      <c r="J416" s="103"/>
    </row>
    <row r="417" ht="13.2" spans="5:10">
      <c r="E417" s="102"/>
      <c r="G417" s="103"/>
      <c r="H417" s="103"/>
      <c r="I417" s="103"/>
      <c r="J417" s="103"/>
    </row>
    <row r="418" ht="13.2" spans="5:10">
      <c r="E418" s="102"/>
      <c r="G418" s="103"/>
      <c r="H418" s="103"/>
      <c r="I418" s="103"/>
      <c r="J418" s="103"/>
    </row>
    <row r="419" ht="13.2" spans="5:10">
      <c r="E419" s="102"/>
      <c r="G419" s="103"/>
      <c r="H419" s="103"/>
      <c r="I419" s="103"/>
      <c r="J419" s="103"/>
    </row>
    <row r="420" ht="13.2" spans="5:10">
      <c r="E420" s="102"/>
      <c r="G420" s="103"/>
      <c r="H420" s="103"/>
      <c r="I420" s="103"/>
      <c r="J420" s="103"/>
    </row>
    <row r="421" ht="13.2" spans="5:10">
      <c r="E421" s="102"/>
      <c r="G421" s="103"/>
      <c r="H421" s="103"/>
      <c r="I421" s="103"/>
      <c r="J421" s="103"/>
    </row>
    <row r="422" ht="13.2" spans="5:10">
      <c r="E422" s="102"/>
      <c r="G422" s="103"/>
      <c r="H422" s="103"/>
      <c r="I422" s="103"/>
      <c r="J422" s="103"/>
    </row>
    <row r="423" ht="13.2" spans="5:10">
      <c r="E423" s="102"/>
      <c r="G423" s="103"/>
      <c r="H423" s="103"/>
      <c r="I423" s="103"/>
      <c r="J423" s="103"/>
    </row>
    <row r="424" ht="13.2" spans="5:10">
      <c r="E424" s="102"/>
      <c r="G424" s="103"/>
      <c r="H424" s="103"/>
      <c r="I424" s="103"/>
      <c r="J424" s="103"/>
    </row>
    <row r="425" ht="13.2" spans="5:10">
      <c r="E425" s="102"/>
      <c r="G425" s="103"/>
      <c r="H425" s="103"/>
      <c r="I425" s="103"/>
      <c r="J425" s="103"/>
    </row>
    <row r="426" ht="13.2" spans="5:10">
      <c r="E426" s="102"/>
      <c r="G426" s="103"/>
      <c r="H426" s="103"/>
      <c r="I426" s="103"/>
      <c r="J426" s="103"/>
    </row>
    <row r="427" ht="13.2" spans="5:10">
      <c r="E427" s="102"/>
      <c r="G427" s="103"/>
      <c r="H427" s="103"/>
      <c r="I427" s="103"/>
      <c r="J427" s="103"/>
    </row>
    <row r="428" ht="13.2" spans="5:10">
      <c r="E428" s="102"/>
      <c r="G428" s="103"/>
      <c r="H428" s="103"/>
      <c r="I428" s="103"/>
      <c r="J428" s="103"/>
    </row>
    <row r="429" ht="13.2" spans="5:10">
      <c r="E429" s="102"/>
      <c r="G429" s="103"/>
      <c r="H429" s="103"/>
      <c r="I429" s="103"/>
      <c r="J429" s="103"/>
    </row>
    <row r="430" ht="13.2" spans="5:10">
      <c r="E430" s="102"/>
      <c r="G430" s="103"/>
      <c r="H430" s="103"/>
      <c r="I430" s="103"/>
      <c r="J430" s="103"/>
    </row>
    <row r="431" ht="13.2" spans="5:10">
      <c r="E431" s="102"/>
      <c r="G431" s="103"/>
      <c r="H431" s="103"/>
      <c r="I431" s="103"/>
      <c r="J431" s="103"/>
    </row>
    <row r="432" ht="13.2" spans="5:10">
      <c r="E432" s="102"/>
      <c r="G432" s="103"/>
      <c r="H432" s="103"/>
      <c r="I432" s="103"/>
      <c r="J432" s="103"/>
    </row>
    <row r="433" ht="13.2" spans="5:10">
      <c r="E433" s="102"/>
      <c r="G433" s="103"/>
      <c r="H433" s="103"/>
      <c r="I433" s="103"/>
      <c r="J433" s="103"/>
    </row>
    <row r="434" ht="13.2" spans="5:10">
      <c r="E434" s="102"/>
      <c r="G434" s="103"/>
      <c r="H434" s="103"/>
      <c r="I434" s="103"/>
      <c r="J434" s="103"/>
    </row>
    <row r="435" ht="13.2" spans="5:10">
      <c r="E435" s="102"/>
      <c r="G435" s="103"/>
      <c r="H435" s="103"/>
      <c r="I435" s="103"/>
      <c r="J435" s="103"/>
    </row>
    <row r="436" ht="13.2" spans="5:10">
      <c r="E436" s="102"/>
      <c r="G436" s="103"/>
      <c r="H436" s="103"/>
      <c r="I436" s="103"/>
      <c r="J436" s="103"/>
    </row>
    <row r="437" ht="13.2" spans="5:10">
      <c r="E437" s="102"/>
      <c r="G437" s="103"/>
      <c r="H437" s="103"/>
      <c r="I437" s="103"/>
      <c r="J437" s="103"/>
    </row>
    <row r="438" ht="13.2" spans="5:10">
      <c r="E438" s="102"/>
      <c r="G438" s="103"/>
      <c r="H438" s="103"/>
      <c r="I438" s="103"/>
      <c r="J438" s="103"/>
    </row>
    <row r="439" ht="13.2" spans="5:10">
      <c r="E439" s="102"/>
      <c r="G439" s="103"/>
      <c r="H439" s="103"/>
      <c r="I439" s="103"/>
      <c r="J439" s="103"/>
    </row>
    <row r="440" ht="13.2" spans="5:10">
      <c r="E440" s="102"/>
      <c r="G440" s="103"/>
      <c r="H440" s="103"/>
      <c r="I440" s="103"/>
      <c r="J440" s="103"/>
    </row>
    <row r="441" ht="13.2" spans="5:10">
      <c r="E441" s="102"/>
      <c r="G441" s="103"/>
      <c r="H441" s="103"/>
      <c r="I441" s="103"/>
      <c r="J441" s="103"/>
    </row>
    <row r="442" ht="13.2" spans="5:10">
      <c r="E442" s="102"/>
      <c r="G442" s="103"/>
      <c r="H442" s="103"/>
      <c r="I442" s="103"/>
      <c r="J442" s="103"/>
    </row>
    <row r="443" ht="13.2" spans="5:10">
      <c r="E443" s="102"/>
      <c r="G443" s="103"/>
      <c r="H443" s="103"/>
      <c r="I443" s="103"/>
      <c r="J443" s="103"/>
    </row>
    <row r="444" ht="13.2" spans="5:10">
      <c r="E444" s="102"/>
      <c r="G444" s="103"/>
      <c r="H444" s="103"/>
      <c r="I444" s="103"/>
      <c r="J444" s="103"/>
    </row>
    <row r="445" ht="13.2" spans="5:10">
      <c r="E445" s="102"/>
      <c r="G445" s="103"/>
      <c r="H445" s="103"/>
      <c r="I445" s="103"/>
      <c r="J445" s="103"/>
    </row>
    <row r="446" ht="13.2" spans="5:10">
      <c r="E446" s="102"/>
      <c r="G446" s="103"/>
      <c r="H446" s="103"/>
      <c r="I446" s="103"/>
      <c r="J446" s="103"/>
    </row>
    <row r="447" ht="13.2" spans="5:10">
      <c r="E447" s="102"/>
      <c r="G447" s="103"/>
      <c r="H447" s="103"/>
      <c r="I447" s="103"/>
      <c r="J447" s="103"/>
    </row>
    <row r="448" ht="13.2" spans="5:10">
      <c r="E448" s="102"/>
      <c r="G448" s="103"/>
      <c r="H448" s="103"/>
      <c r="I448" s="103"/>
      <c r="J448" s="103"/>
    </row>
    <row r="449" ht="13.2" spans="5:10">
      <c r="E449" s="102"/>
      <c r="G449" s="103"/>
      <c r="H449" s="103"/>
      <c r="I449" s="103"/>
      <c r="J449" s="103"/>
    </row>
    <row r="450" ht="13.2" spans="5:10">
      <c r="E450" s="102"/>
      <c r="G450" s="103"/>
      <c r="H450" s="103"/>
      <c r="I450" s="103"/>
      <c r="J450" s="103"/>
    </row>
    <row r="451" ht="13.2" spans="5:10">
      <c r="E451" s="102"/>
      <c r="G451" s="103"/>
      <c r="H451" s="103"/>
      <c r="I451" s="103"/>
      <c r="J451" s="103"/>
    </row>
    <row r="452" ht="13.2" spans="5:10">
      <c r="E452" s="102"/>
      <c r="G452" s="103"/>
      <c r="H452" s="103"/>
      <c r="I452" s="103"/>
      <c r="J452" s="103"/>
    </row>
    <row r="453" ht="13.2" spans="5:10">
      <c r="E453" s="102"/>
      <c r="G453" s="103"/>
      <c r="H453" s="103"/>
      <c r="I453" s="103"/>
      <c r="J453" s="103"/>
    </row>
    <row r="454" ht="13.2" spans="5:10">
      <c r="E454" s="102"/>
      <c r="G454" s="103"/>
      <c r="H454" s="103"/>
      <c r="I454" s="103"/>
      <c r="J454" s="103"/>
    </row>
    <row r="455" ht="13.2" spans="5:10">
      <c r="E455" s="102"/>
      <c r="G455" s="103"/>
      <c r="H455" s="103"/>
      <c r="I455" s="103"/>
      <c r="J455" s="103"/>
    </row>
    <row r="456" ht="13.2" spans="5:10">
      <c r="E456" s="102"/>
      <c r="G456" s="103"/>
      <c r="H456" s="103"/>
      <c r="I456" s="103"/>
      <c r="J456" s="103"/>
    </row>
    <row r="457" ht="13.2" spans="5:10">
      <c r="E457" s="102"/>
      <c r="G457" s="103"/>
      <c r="H457" s="103"/>
      <c r="I457" s="103"/>
      <c r="J457" s="103"/>
    </row>
    <row r="458" ht="13.2" spans="5:10">
      <c r="E458" s="102"/>
      <c r="G458" s="103"/>
      <c r="H458" s="103"/>
      <c r="I458" s="103"/>
      <c r="J458" s="103"/>
    </row>
    <row r="459" ht="13.2" spans="5:10">
      <c r="E459" s="102"/>
      <c r="G459" s="103"/>
      <c r="H459" s="103"/>
      <c r="I459" s="103"/>
      <c r="J459" s="103"/>
    </row>
    <row r="460" ht="13.2" spans="5:10">
      <c r="E460" s="102"/>
      <c r="G460" s="103"/>
      <c r="H460" s="103"/>
      <c r="I460" s="103"/>
      <c r="J460" s="103"/>
    </row>
    <row r="461" ht="13.2" spans="5:10">
      <c r="E461" s="102"/>
      <c r="G461" s="103"/>
      <c r="H461" s="103"/>
      <c r="I461" s="103"/>
      <c r="J461" s="103"/>
    </row>
    <row r="462" ht="13.2" spans="5:10">
      <c r="E462" s="102"/>
      <c r="G462" s="103"/>
      <c r="H462" s="103"/>
      <c r="I462" s="103"/>
      <c r="J462" s="103"/>
    </row>
    <row r="463" ht="13.2" spans="5:10">
      <c r="E463" s="102"/>
      <c r="G463" s="103"/>
      <c r="H463" s="103"/>
      <c r="I463" s="103"/>
      <c r="J463" s="103"/>
    </row>
    <row r="464" ht="13.2" spans="5:10">
      <c r="E464" s="102"/>
      <c r="G464" s="103"/>
      <c r="H464" s="103"/>
      <c r="I464" s="103"/>
      <c r="J464" s="103"/>
    </row>
    <row r="465" ht="13.2" spans="5:10">
      <c r="E465" s="102"/>
      <c r="G465" s="103"/>
      <c r="H465" s="103"/>
      <c r="I465" s="103"/>
      <c r="J465" s="103"/>
    </row>
    <row r="466" ht="13.2" spans="5:10">
      <c r="E466" s="102"/>
      <c r="G466" s="103"/>
      <c r="H466" s="103"/>
      <c r="I466" s="103"/>
      <c r="J466" s="103"/>
    </row>
    <row r="467" ht="13.2" spans="5:10">
      <c r="E467" s="102"/>
      <c r="G467" s="103"/>
      <c r="H467" s="103"/>
      <c r="I467" s="103"/>
      <c r="J467" s="103"/>
    </row>
    <row r="468" ht="13.2" spans="5:10">
      <c r="E468" s="102"/>
      <c r="G468" s="103"/>
      <c r="H468" s="103"/>
      <c r="I468" s="103"/>
      <c r="J468" s="103"/>
    </row>
    <row r="469" ht="13.2" spans="5:10">
      <c r="E469" s="102"/>
      <c r="G469" s="103"/>
      <c r="H469" s="103"/>
      <c r="I469" s="103"/>
      <c r="J469" s="103"/>
    </row>
    <row r="470" ht="13.2" spans="5:10">
      <c r="E470" s="102"/>
      <c r="G470" s="103"/>
      <c r="H470" s="103"/>
      <c r="I470" s="103"/>
      <c r="J470" s="103"/>
    </row>
    <row r="471" ht="13.2" spans="5:10">
      <c r="E471" s="102"/>
      <c r="G471" s="103"/>
      <c r="H471" s="103"/>
      <c r="I471" s="103"/>
      <c r="J471" s="103"/>
    </row>
    <row r="472" ht="13.2" spans="5:10">
      <c r="E472" s="102"/>
      <c r="G472" s="103"/>
      <c r="H472" s="103"/>
      <c r="I472" s="103"/>
      <c r="J472" s="103"/>
    </row>
    <row r="473" ht="13.2" spans="5:10">
      <c r="E473" s="102"/>
      <c r="G473" s="103"/>
      <c r="H473" s="103"/>
      <c r="I473" s="103"/>
      <c r="J473" s="103"/>
    </row>
    <row r="474" ht="13.2" spans="5:10">
      <c r="E474" s="102"/>
      <c r="G474" s="103"/>
      <c r="H474" s="103"/>
      <c r="I474" s="103"/>
      <c r="J474" s="103"/>
    </row>
    <row r="475" ht="13.2" spans="5:10">
      <c r="E475" s="102"/>
      <c r="G475" s="103"/>
      <c r="H475" s="103"/>
      <c r="I475" s="103"/>
      <c r="J475" s="103"/>
    </row>
    <row r="476" ht="13.2" spans="5:10">
      <c r="E476" s="102"/>
      <c r="G476" s="103"/>
      <c r="H476" s="103"/>
      <c r="I476" s="103"/>
      <c r="J476" s="103"/>
    </row>
    <row r="477" ht="13.2" spans="5:10">
      <c r="E477" s="102"/>
      <c r="G477" s="103"/>
      <c r="H477" s="103"/>
      <c r="I477" s="103"/>
      <c r="J477" s="103"/>
    </row>
    <row r="478" ht="13.2" spans="5:10">
      <c r="E478" s="102"/>
      <c r="G478" s="103"/>
      <c r="H478" s="103"/>
      <c r="I478" s="103"/>
      <c r="J478" s="103"/>
    </row>
    <row r="479" ht="13.2" spans="5:10">
      <c r="E479" s="102"/>
      <c r="G479" s="103"/>
      <c r="H479" s="103"/>
      <c r="I479" s="103"/>
      <c r="J479" s="103"/>
    </row>
    <row r="480" ht="13.2" spans="5:10">
      <c r="E480" s="102"/>
      <c r="G480" s="103"/>
      <c r="H480" s="103"/>
      <c r="I480" s="103"/>
      <c r="J480" s="103"/>
    </row>
    <row r="481" ht="13.2" spans="5:10">
      <c r="E481" s="102"/>
      <c r="G481" s="103"/>
      <c r="H481" s="103"/>
      <c r="I481" s="103"/>
      <c r="J481" s="103"/>
    </row>
    <row r="482" ht="13.2" spans="5:10">
      <c r="E482" s="102"/>
      <c r="G482" s="103"/>
      <c r="H482" s="103"/>
      <c r="I482" s="103"/>
      <c r="J482" s="103"/>
    </row>
    <row r="483" ht="13.2" spans="5:10">
      <c r="E483" s="102"/>
      <c r="G483" s="103"/>
      <c r="H483" s="103"/>
      <c r="I483" s="103"/>
      <c r="J483" s="103"/>
    </row>
    <row r="484" ht="13.2" spans="5:10">
      <c r="E484" s="102"/>
      <c r="G484" s="103"/>
      <c r="H484" s="103"/>
      <c r="I484" s="103"/>
      <c r="J484" s="103"/>
    </row>
    <row r="485" ht="13.2" spans="5:10">
      <c r="E485" s="102"/>
      <c r="G485" s="103"/>
      <c r="H485" s="103"/>
      <c r="I485" s="103"/>
      <c r="J485" s="103"/>
    </row>
    <row r="486" ht="13.2" spans="5:10">
      <c r="E486" s="102"/>
      <c r="G486" s="103"/>
      <c r="H486" s="103"/>
      <c r="I486" s="103"/>
      <c r="J486" s="103"/>
    </row>
    <row r="487" ht="13.2" spans="5:10">
      <c r="E487" s="102"/>
      <c r="G487" s="103"/>
      <c r="H487" s="103"/>
      <c r="I487" s="103"/>
      <c r="J487" s="103"/>
    </row>
    <row r="488" ht="13.2" spans="5:10">
      <c r="E488" s="102"/>
      <c r="G488" s="103"/>
      <c r="H488" s="103"/>
      <c r="I488" s="103"/>
      <c r="J488" s="103"/>
    </row>
    <row r="489" ht="13.2" spans="5:10">
      <c r="E489" s="102"/>
      <c r="G489" s="103"/>
      <c r="H489" s="103"/>
      <c r="I489" s="103"/>
      <c r="J489" s="103"/>
    </row>
    <row r="490" ht="13.2" spans="5:10">
      <c r="E490" s="102"/>
      <c r="G490" s="103"/>
      <c r="H490" s="103"/>
      <c r="I490" s="103"/>
      <c r="J490" s="103"/>
    </row>
    <row r="491" ht="13.2" spans="5:10">
      <c r="E491" s="102"/>
      <c r="G491" s="103"/>
      <c r="H491" s="103"/>
      <c r="I491" s="103"/>
      <c r="J491" s="103"/>
    </row>
    <row r="492" ht="13.2" spans="5:10">
      <c r="E492" s="102"/>
      <c r="G492" s="103"/>
      <c r="H492" s="103"/>
      <c r="I492" s="103"/>
      <c r="J492" s="103"/>
    </row>
    <row r="493" ht="13.2" spans="5:10">
      <c r="E493" s="102"/>
      <c r="G493" s="103"/>
      <c r="H493" s="103"/>
      <c r="I493" s="103"/>
      <c r="J493" s="103"/>
    </row>
    <row r="494" ht="13.2" spans="5:10">
      <c r="E494" s="102"/>
      <c r="G494" s="103"/>
      <c r="H494" s="103"/>
      <c r="I494" s="103"/>
      <c r="J494" s="103"/>
    </row>
    <row r="495" ht="13.2" spans="5:10">
      <c r="E495" s="102"/>
      <c r="G495" s="103"/>
      <c r="H495" s="103"/>
      <c r="I495" s="103"/>
      <c r="J495" s="103"/>
    </row>
    <row r="496" ht="13.2" spans="5:10">
      <c r="E496" s="102"/>
      <c r="G496" s="103"/>
      <c r="H496" s="103"/>
      <c r="I496" s="103"/>
      <c r="J496" s="103"/>
    </row>
    <row r="497" ht="13.2" spans="5:10">
      <c r="E497" s="102"/>
      <c r="G497" s="103"/>
      <c r="H497" s="103"/>
      <c r="I497" s="103"/>
      <c r="J497" s="103"/>
    </row>
    <row r="498" ht="13.2" spans="5:10">
      <c r="E498" s="102"/>
      <c r="G498" s="103"/>
      <c r="H498" s="103"/>
      <c r="I498" s="103"/>
      <c r="J498" s="103"/>
    </row>
    <row r="499" ht="13.2" spans="5:10">
      <c r="E499" s="102"/>
      <c r="G499" s="103"/>
      <c r="H499" s="103"/>
      <c r="I499" s="103"/>
      <c r="J499" s="103"/>
    </row>
    <row r="500" ht="13.2" spans="5:10">
      <c r="E500" s="102"/>
      <c r="G500" s="103"/>
      <c r="H500" s="103"/>
      <c r="I500" s="103"/>
      <c r="J500" s="103"/>
    </row>
    <row r="501" ht="13.2" spans="5:10">
      <c r="E501" s="102"/>
      <c r="G501" s="103"/>
      <c r="H501" s="103"/>
      <c r="I501" s="103"/>
      <c r="J501" s="103"/>
    </row>
    <row r="502" ht="13.2" spans="5:10">
      <c r="E502" s="102"/>
      <c r="G502" s="103"/>
      <c r="H502" s="103"/>
      <c r="I502" s="103"/>
      <c r="J502" s="103"/>
    </row>
    <row r="503" ht="13.2" spans="5:10">
      <c r="E503" s="102"/>
      <c r="G503" s="103"/>
      <c r="H503" s="103"/>
      <c r="I503" s="103"/>
      <c r="J503" s="103"/>
    </row>
    <row r="504" ht="13.2" spans="5:10">
      <c r="E504" s="102"/>
      <c r="G504" s="103"/>
      <c r="H504" s="103"/>
      <c r="I504" s="103"/>
      <c r="J504" s="103"/>
    </row>
    <row r="505" ht="13.2" spans="5:10">
      <c r="E505" s="102"/>
      <c r="G505" s="103"/>
      <c r="H505" s="103"/>
      <c r="I505" s="103"/>
      <c r="J505" s="103"/>
    </row>
    <row r="506" ht="13.2" spans="5:10">
      <c r="E506" s="102"/>
      <c r="G506" s="103"/>
      <c r="H506" s="103"/>
      <c r="I506" s="103"/>
      <c r="J506" s="103"/>
    </row>
    <row r="507" ht="13.2" spans="5:10">
      <c r="E507" s="102"/>
      <c r="G507" s="103"/>
      <c r="H507" s="103"/>
      <c r="I507" s="103"/>
      <c r="J507" s="103"/>
    </row>
    <row r="508" ht="13.2" spans="5:10">
      <c r="E508" s="102"/>
      <c r="G508" s="103"/>
      <c r="H508" s="103"/>
      <c r="I508" s="103"/>
      <c r="J508" s="103"/>
    </row>
    <row r="509" ht="13.2" spans="5:10">
      <c r="E509" s="102"/>
      <c r="G509" s="103"/>
      <c r="H509" s="103"/>
      <c r="I509" s="103"/>
      <c r="J509" s="103"/>
    </row>
    <row r="510" ht="13.2" spans="5:10">
      <c r="E510" s="102"/>
      <c r="G510" s="103"/>
      <c r="H510" s="103"/>
      <c r="I510" s="103"/>
      <c r="J510" s="103"/>
    </row>
    <row r="511" ht="13.2" spans="5:10">
      <c r="E511" s="102"/>
      <c r="G511" s="103"/>
      <c r="H511" s="103"/>
      <c r="I511" s="103"/>
      <c r="J511" s="103"/>
    </row>
    <row r="512" ht="13.2" spans="5:10">
      <c r="E512" s="102"/>
      <c r="G512" s="103"/>
      <c r="H512" s="103"/>
      <c r="I512" s="103"/>
      <c r="J512" s="103"/>
    </row>
    <row r="513" ht="13.2" spans="5:10">
      <c r="E513" s="102"/>
      <c r="G513" s="103"/>
      <c r="H513" s="103"/>
      <c r="I513" s="103"/>
      <c r="J513" s="103"/>
    </row>
    <row r="514" ht="13.2" spans="5:10">
      <c r="E514" s="102"/>
      <c r="G514" s="103"/>
      <c r="H514" s="103"/>
      <c r="I514" s="103"/>
      <c r="J514" s="103"/>
    </row>
    <row r="515" ht="13.2" spans="5:10">
      <c r="E515" s="102"/>
      <c r="G515" s="103"/>
      <c r="H515" s="103"/>
      <c r="I515" s="103"/>
      <c r="J515" s="103"/>
    </row>
    <row r="516" ht="13.2" spans="5:10">
      <c r="E516" s="102"/>
      <c r="G516" s="103"/>
      <c r="H516" s="103"/>
      <c r="I516" s="103"/>
      <c r="J516" s="103"/>
    </row>
    <row r="517" ht="13.2" spans="5:10">
      <c r="E517" s="102"/>
      <c r="G517" s="103"/>
      <c r="H517" s="103"/>
      <c r="I517" s="103"/>
      <c r="J517" s="103"/>
    </row>
    <row r="518" ht="13.2" spans="5:10">
      <c r="E518" s="102"/>
      <c r="G518" s="103"/>
      <c r="H518" s="103"/>
      <c r="I518" s="103"/>
      <c r="J518" s="103"/>
    </row>
    <row r="519" ht="13.2" spans="5:10">
      <c r="E519" s="102"/>
      <c r="G519" s="103"/>
      <c r="H519" s="103"/>
      <c r="I519" s="103"/>
      <c r="J519" s="103"/>
    </row>
    <row r="520" ht="13.2" spans="5:10">
      <c r="E520" s="102"/>
      <c r="G520" s="103"/>
      <c r="H520" s="103"/>
      <c r="I520" s="103"/>
      <c r="J520" s="103"/>
    </row>
    <row r="521" ht="13.2" spans="5:10">
      <c r="E521" s="102"/>
      <c r="G521" s="103"/>
      <c r="H521" s="103"/>
      <c r="I521" s="103"/>
      <c r="J521" s="103"/>
    </row>
    <row r="522" ht="13.2" spans="5:10">
      <c r="E522" s="102"/>
      <c r="G522" s="103"/>
      <c r="H522" s="103"/>
      <c r="I522" s="103"/>
      <c r="J522" s="103"/>
    </row>
    <row r="523" ht="13.2" spans="5:10">
      <c r="E523" s="102"/>
      <c r="G523" s="103"/>
      <c r="H523" s="103"/>
      <c r="I523" s="103"/>
      <c r="J523" s="103"/>
    </row>
    <row r="524" ht="13.2" spans="5:10">
      <c r="E524" s="102"/>
      <c r="G524" s="103"/>
      <c r="H524" s="103"/>
      <c r="I524" s="103"/>
      <c r="J524" s="103"/>
    </row>
    <row r="525" ht="13.2" spans="5:10">
      <c r="E525" s="102"/>
      <c r="G525" s="103"/>
      <c r="H525" s="103"/>
      <c r="I525" s="103"/>
      <c r="J525" s="103"/>
    </row>
    <row r="526" ht="13.2" spans="5:10">
      <c r="E526" s="102"/>
      <c r="G526" s="103"/>
      <c r="H526" s="103"/>
      <c r="I526" s="103"/>
      <c r="J526" s="103"/>
    </row>
    <row r="527" ht="13.2" spans="5:10">
      <c r="E527" s="102"/>
      <c r="G527" s="103"/>
      <c r="H527" s="103"/>
      <c r="I527" s="103"/>
      <c r="J527" s="103"/>
    </row>
    <row r="528" ht="13.2" spans="5:10">
      <c r="E528" s="102"/>
      <c r="G528" s="103"/>
      <c r="H528" s="103"/>
      <c r="I528" s="103"/>
      <c r="J528" s="103"/>
    </row>
    <row r="529" ht="13.2" spans="5:10">
      <c r="E529" s="102"/>
      <c r="G529" s="103"/>
      <c r="H529" s="103"/>
      <c r="I529" s="103"/>
      <c r="J529" s="103"/>
    </row>
    <row r="530" ht="13.2" spans="5:10">
      <c r="E530" s="102"/>
      <c r="G530" s="103"/>
      <c r="H530" s="103"/>
      <c r="I530" s="103"/>
      <c r="J530" s="103"/>
    </row>
    <row r="531" ht="13.2" spans="5:10">
      <c r="E531" s="102"/>
      <c r="G531" s="103"/>
      <c r="H531" s="103"/>
      <c r="I531" s="103"/>
      <c r="J531" s="103"/>
    </row>
    <row r="532" ht="13.2" spans="5:10">
      <c r="E532" s="102"/>
      <c r="G532" s="103"/>
      <c r="H532" s="103"/>
      <c r="I532" s="103"/>
      <c r="J532" s="103"/>
    </row>
    <row r="533" ht="13.2" spans="5:10">
      <c r="E533" s="102"/>
      <c r="G533" s="103"/>
      <c r="H533" s="103"/>
      <c r="I533" s="103"/>
      <c r="J533" s="103"/>
    </row>
    <row r="534" ht="13.2" spans="5:10">
      <c r="E534" s="102"/>
      <c r="G534" s="103"/>
      <c r="H534" s="103"/>
      <c r="I534" s="103"/>
      <c r="J534" s="103"/>
    </row>
    <row r="535" ht="13.2" spans="5:10">
      <c r="E535" s="102"/>
      <c r="G535" s="103"/>
      <c r="H535" s="103"/>
      <c r="I535" s="103"/>
      <c r="J535" s="103"/>
    </row>
    <row r="536" ht="13.2" spans="5:10">
      <c r="E536" s="102"/>
      <c r="G536" s="103"/>
      <c r="H536" s="103"/>
      <c r="I536" s="103"/>
      <c r="J536" s="103"/>
    </row>
    <row r="537" ht="13.2" spans="5:10">
      <c r="E537" s="102"/>
      <c r="G537" s="103"/>
      <c r="H537" s="103"/>
      <c r="I537" s="103"/>
      <c r="J537" s="103"/>
    </row>
    <row r="538" ht="13.2" spans="5:10">
      <c r="E538" s="102"/>
      <c r="G538" s="103"/>
      <c r="H538" s="103"/>
      <c r="I538" s="103"/>
      <c r="J538" s="103"/>
    </row>
    <row r="539" ht="13.2" spans="5:10">
      <c r="E539" s="102"/>
      <c r="G539" s="103"/>
      <c r="H539" s="103"/>
      <c r="I539" s="103"/>
      <c r="J539" s="103"/>
    </row>
    <row r="540" ht="13.2" spans="5:10">
      <c r="E540" s="102"/>
      <c r="G540" s="103"/>
      <c r="H540" s="103"/>
      <c r="I540" s="103"/>
      <c r="J540" s="103"/>
    </row>
    <row r="541" ht="13.2" spans="5:10">
      <c r="E541" s="102"/>
      <c r="G541" s="103"/>
      <c r="H541" s="103"/>
      <c r="I541" s="103"/>
      <c r="J541" s="103"/>
    </row>
    <row r="542" ht="13.2" spans="5:10">
      <c r="E542" s="102"/>
      <c r="G542" s="103"/>
      <c r="H542" s="103"/>
      <c r="I542" s="103"/>
      <c r="J542" s="103"/>
    </row>
    <row r="543" ht="13.2" spans="5:10">
      <c r="E543" s="102"/>
      <c r="G543" s="103"/>
      <c r="H543" s="103"/>
      <c r="I543" s="103"/>
      <c r="J543" s="103"/>
    </row>
    <row r="544" ht="13.2" spans="5:10">
      <c r="E544" s="102"/>
      <c r="G544" s="103"/>
      <c r="H544" s="103"/>
      <c r="I544" s="103"/>
      <c r="J544" s="103"/>
    </row>
    <row r="545" ht="13.2" spans="5:10">
      <c r="E545" s="102"/>
      <c r="G545" s="103"/>
      <c r="H545" s="103"/>
      <c r="I545" s="103"/>
      <c r="J545" s="103"/>
    </row>
    <row r="546" ht="13.2" spans="5:10">
      <c r="E546" s="102"/>
      <c r="G546" s="103"/>
      <c r="H546" s="103"/>
      <c r="I546" s="103"/>
      <c r="J546" s="103"/>
    </row>
    <row r="547" ht="13.2" spans="5:10">
      <c r="E547" s="102"/>
      <c r="G547" s="103"/>
      <c r="H547" s="103"/>
      <c r="I547" s="103"/>
      <c r="J547" s="103"/>
    </row>
    <row r="548" ht="13.2" spans="5:10">
      <c r="E548" s="102"/>
      <c r="G548" s="103"/>
      <c r="H548" s="103"/>
      <c r="I548" s="103"/>
      <c r="J548" s="103"/>
    </row>
    <row r="549" ht="13.2" spans="5:10">
      <c r="E549" s="102"/>
      <c r="G549" s="103"/>
      <c r="H549" s="103"/>
      <c r="I549" s="103"/>
      <c r="J549" s="103"/>
    </row>
    <row r="550" ht="13.2" spans="5:10">
      <c r="E550" s="102"/>
      <c r="G550" s="103"/>
      <c r="H550" s="103"/>
      <c r="I550" s="103"/>
      <c r="J550" s="103"/>
    </row>
    <row r="551" ht="13.2" spans="5:10">
      <c r="E551" s="102"/>
      <c r="G551" s="103"/>
      <c r="H551" s="103"/>
      <c r="I551" s="103"/>
      <c r="J551" s="103"/>
    </row>
    <row r="552" ht="13.2" spans="5:10">
      <c r="E552" s="102"/>
      <c r="G552" s="103"/>
      <c r="H552" s="103"/>
      <c r="I552" s="103"/>
      <c r="J552" s="103"/>
    </row>
    <row r="553" ht="13.2" spans="5:10">
      <c r="E553" s="102"/>
      <c r="G553" s="103"/>
      <c r="H553" s="103"/>
      <c r="I553" s="103"/>
      <c r="J553" s="103"/>
    </row>
    <row r="554" ht="13.2" spans="5:10">
      <c r="E554" s="102"/>
      <c r="G554" s="103"/>
      <c r="H554" s="103"/>
      <c r="I554" s="103"/>
      <c r="J554" s="103"/>
    </row>
    <row r="555" ht="13.2" spans="5:10">
      <c r="E555" s="102"/>
      <c r="G555" s="103"/>
      <c r="H555" s="103"/>
      <c r="I555" s="103"/>
      <c r="J555" s="103"/>
    </row>
    <row r="556" ht="13.2" spans="5:10">
      <c r="E556" s="102"/>
      <c r="G556" s="103"/>
      <c r="H556" s="103"/>
      <c r="I556" s="103"/>
      <c r="J556" s="103"/>
    </row>
    <row r="557" ht="13.2" spans="5:10">
      <c r="E557" s="102"/>
      <c r="G557" s="103"/>
      <c r="H557" s="103"/>
      <c r="I557" s="103"/>
      <c r="J557" s="103"/>
    </row>
    <row r="558" ht="13.2" spans="5:10">
      <c r="E558" s="102"/>
      <c r="G558" s="103"/>
      <c r="H558" s="103"/>
      <c r="I558" s="103"/>
      <c r="J558" s="103"/>
    </row>
    <row r="559" ht="13.2" spans="5:10">
      <c r="E559" s="102"/>
      <c r="G559" s="103"/>
      <c r="H559" s="103"/>
      <c r="I559" s="103"/>
      <c r="J559" s="103"/>
    </row>
    <row r="560" ht="13.2" spans="5:10">
      <c r="E560" s="102"/>
      <c r="G560" s="103"/>
      <c r="H560" s="103"/>
      <c r="I560" s="103"/>
      <c r="J560" s="103"/>
    </row>
    <row r="561" ht="13.2" spans="5:10">
      <c r="E561" s="102"/>
      <c r="G561" s="103"/>
      <c r="H561" s="103"/>
      <c r="I561" s="103"/>
      <c r="J561" s="103"/>
    </row>
    <row r="562" ht="13.2" spans="5:10">
      <c r="E562" s="102"/>
      <c r="G562" s="103"/>
      <c r="H562" s="103"/>
      <c r="I562" s="103"/>
      <c r="J562" s="103"/>
    </row>
    <row r="563" ht="13.2" spans="5:10">
      <c r="E563" s="102"/>
      <c r="G563" s="103"/>
      <c r="H563" s="103"/>
      <c r="I563" s="103"/>
      <c r="J563" s="103"/>
    </row>
    <row r="564" ht="13.2" spans="5:10">
      <c r="E564" s="102"/>
      <c r="G564" s="103"/>
      <c r="H564" s="103"/>
      <c r="I564" s="103"/>
      <c r="J564" s="103"/>
    </row>
    <row r="565" ht="13.2" spans="5:10">
      <c r="E565" s="102"/>
      <c r="G565" s="103"/>
      <c r="H565" s="103"/>
      <c r="I565" s="103"/>
      <c r="J565" s="103"/>
    </row>
    <row r="566" ht="13.2" spans="5:10">
      <c r="E566" s="102"/>
      <c r="G566" s="103"/>
      <c r="H566" s="103"/>
      <c r="I566" s="103"/>
      <c r="J566" s="103"/>
    </row>
    <row r="567" ht="13.2" spans="5:10">
      <c r="E567" s="102"/>
      <c r="G567" s="103"/>
      <c r="H567" s="103"/>
      <c r="I567" s="103"/>
      <c r="J567" s="103"/>
    </row>
    <row r="568" ht="13.2" spans="5:10">
      <c r="E568" s="102"/>
      <c r="G568" s="103"/>
      <c r="H568" s="103"/>
      <c r="I568" s="103"/>
      <c r="J568" s="103"/>
    </row>
    <row r="569" ht="13.2" spans="5:10">
      <c r="E569" s="102"/>
      <c r="G569" s="103"/>
      <c r="H569" s="103"/>
      <c r="I569" s="103"/>
      <c r="J569" s="103"/>
    </row>
    <row r="570" ht="13.2" spans="5:10">
      <c r="E570" s="102"/>
      <c r="G570" s="103"/>
      <c r="H570" s="103"/>
      <c r="I570" s="103"/>
      <c r="J570" s="103"/>
    </row>
    <row r="571" ht="13.2" spans="5:10">
      <c r="E571" s="102"/>
      <c r="G571" s="103"/>
      <c r="H571" s="103"/>
      <c r="I571" s="103"/>
      <c r="J571" s="103"/>
    </row>
    <row r="572" ht="13.2" spans="5:10">
      <c r="E572" s="102"/>
      <c r="G572" s="103"/>
      <c r="H572" s="103"/>
      <c r="I572" s="103"/>
      <c r="J572" s="103"/>
    </row>
    <row r="573" ht="13.2" spans="5:10">
      <c r="E573" s="102"/>
      <c r="G573" s="103"/>
      <c r="H573" s="103"/>
      <c r="I573" s="103"/>
      <c r="J573" s="103"/>
    </row>
    <row r="574" ht="13.2" spans="5:10">
      <c r="E574" s="102"/>
      <c r="G574" s="103"/>
      <c r="H574" s="103"/>
      <c r="I574" s="103"/>
      <c r="J574" s="103"/>
    </row>
    <row r="575" ht="13.2" spans="5:10">
      <c r="E575" s="102"/>
      <c r="G575" s="103"/>
      <c r="H575" s="103"/>
      <c r="I575" s="103"/>
      <c r="J575" s="103"/>
    </row>
    <row r="576" ht="13.2" spans="5:10">
      <c r="E576" s="102"/>
      <c r="G576" s="103"/>
      <c r="H576" s="103"/>
      <c r="I576" s="103"/>
      <c r="J576" s="103"/>
    </row>
    <row r="577" ht="13.2" spans="5:10">
      <c r="E577" s="102"/>
      <c r="G577" s="103"/>
      <c r="H577" s="103"/>
      <c r="I577" s="103"/>
      <c r="J577" s="103"/>
    </row>
    <row r="578" ht="13.2" spans="5:10">
      <c r="E578" s="102"/>
      <c r="G578" s="103"/>
      <c r="H578" s="103"/>
      <c r="I578" s="103"/>
      <c r="J578" s="103"/>
    </row>
    <row r="579" ht="13.2" spans="5:10">
      <c r="E579" s="102"/>
      <c r="G579" s="103"/>
      <c r="H579" s="103"/>
      <c r="I579" s="103"/>
      <c r="J579" s="103"/>
    </row>
    <row r="580" ht="13.2" spans="5:10">
      <c r="E580" s="102"/>
      <c r="G580" s="103"/>
      <c r="H580" s="103"/>
      <c r="I580" s="103"/>
      <c r="J580" s="103"/>
    </row>
    <row r="581" ht="13.2" spans="5:10">
      <c r="E581" s="102"/>
      <c r="G581" s="103"/>
      <c r="H581" s="103"/>
      <c r="I581" s="103"/>
      <c r="J581" s="103"/>
    </row>
    <row r="582" ht="13.2" spans="5:10">
      <c r="E582" s="102"/>
      <c r="G582" s="103"/>
      <c r="H582" s="103"/>
      <c r="I582" s="103"/>
      <c r="J582" s="103"/>
    </row>
    <row r="583" ht="13.2" spans="5:10">
      <c r="E583" s="102"/>
      <c r="G583" s="103"/>
      <c r="H583" s="103"/>
      <c r="I583" s="103"/>
      <c r="J583" s="103"/>
    </row>
    <row r="584" ht="13.2" spans="5:10">
      <c r="E584" s="102"/>
      <c r="G584" s="103"/>
      <c r="H584" s="103"/>
      <c r="I584" s="103"/>
      <c r="J584" s="103"/>
    </row>
    <row r="585" ht="13.2" spans="5:10">
      <c r="E585" s="102"/>
      <c r="G585" s="103"/>
      <c r="H585" s="103"/>
      <c r="I585" s="103"/>
      <c r="J585" s="103"/>
    </row>
    <row r="586" ht="13.2" spans="5:10">
      <c r="E586" s="102"/>
      <c r="G586" s="103"/>
      <c r="H586" s="103"/>
      <c r="I586" s="103"/>
      <c r="J586" s="103"/>
    </row>
    <row r="587" ht="13.2" spans="5:10">
      <c r="E587" s="102"/>
      <c r="G587" s="103"/>
      <c r="H587" s="103"/>
      <c r="I587" s="103"/>
      <c r="J587" s="103"/>
    </row>
    <row r="588" ht="13.2" spans="5:10">
      <c r="E588" s="102"/>
      <c r="G588" s="103"/>
      <c r="H588" s="103"/>
      <c r="I588" s="103"/>
      <c r="J588" s="103"/>
    </row>
    <row r="589" ht="13.2" spans="5:10">
      <c r="E589" s="102"/>
      <c r="G589" s="103"/>
      <c r="H589" s="103"/>
      <c r="I589" s="103"/>
      <c r="J589" s="103"/>
    </row>
    <row r="590" ht="13.2" spans="5:10">
      <c r="E590" s="102"/>
      <c r="G590" s="103"/>
      <c r="H590" s="103"/>
      <c r="I590" s="103"/>
      <c r="J590" s="103"/>
    </row>
    <row r="591" ht="13.2" spans="5:10">
      <c r="E591" s="102"/>
      <c r="G591" s="103"/>
      <c r="H591" s="103"/>
      <c r="I591" s="103"/>
      <c r="J591" s="103"/>
    </row>
    <row r="592" ht="13.2" spans="5:10">
      <c r="E592" s="102"/>
      <c r="G592" s="103"/>
      <c r="H592" s="103"/>
      <c r="I592" s="103"/>
      <c r="J592" s="103"/>
    </row>
    <row r="593" ht="13.2" spans="5:10">
      <c r="E593" s="102"/>
      <c r="G593" s="103"/>
      <c r="H593" s="103"/>
      <c r="I593" s="103"/>
      <c r="J593" s="103"/>
    </row>
    <row r="594" ht="13.2" spans="5:10">
      <c r="E594" s="102"/>
      <c r="G594" s="103"/>
      <c r="H594" s="103"/>
      <c r="I594" s="103"/>
      <c r="J594" s="103"/>
    </row>
    <row r="595" ht="13.2" spans="5:10">
      <c r="E595" s="102"/>
      <c r="G595" s="103"/>
      <c r="H595" s="103"/>
      <c r="I595" s="103"/>
      <c r="J595" s="103"/>
    </row>
    <row r="596" ht="13.2" spans="5:10">
      <c r="E596" s="102"/>
      <c r="G596" s="103"/>
      <c r="H596" s="103"/>
      <c r="I596" s="103"/>
      <c r="J596" s="103"/>
    </row>
    <row r="597" ht="13.2" spans="5:10">
      <c r="E597" s="102"/>
      <c r="G597" s="103"/>
      <c r="H597" s="103"/>
      <c r="I597" s="103"/>
      <c r="J597" s="103"/>
    </row>
    <row r="598" ht="13.2" spans="5:10">
      <c r="E598" s="102"/>
      <c r="G598" s="103"/>
      <c r="H598" s="103"/>
      <c r="I598" s="103"/>
      <c r="J598" s="103"/>
    </row>
    <row r="599" ht="13.2" spans="5:10">
      <c r="E599" s="102"/>
      <c r="G599" s="103"/>
      <c r="H599" s="103"/>
      <c r="I599" s="103"/>
      <c r="J599" s="103"/>
    </row>
    <row r="600" ht="13.2" spans="5:10">
      <c r="E600" s="102"/>
      <c r="G600" s="103"/>
      <c r="H600" s="103"/>
      <c r="I600" s="103"/>
      <c r="J600" s="103"/>
    </row>
    <row r="601" ht="13.2" spans="5:10">
      <c r="E601" s="102"/>
      <c r="G601" s="103"/>
      <c r="H601" s="103"/>
      <c r="I601" s="103"/>
      <c r="J601" s="103"/>
    </row>
    <row r="602" ht="13.2" spans="5:10">
      <c r="E602" s="102"/>
      <c r="G602" s="103"/>
      <c r="H602" s="103"/>
      <c r="I602" s="103"/>
      <c r="J602" s="103"/>
    </row>
    <row r="603" ht="13.2" spans="5:10">
      <c r="E603" s="102"/>
      <c r="G603" s="103"/>
      <c r="H603" s="103"/>
      <c r="I603" s="103"/>
      <c r="J603" s="103"/>
    </row>
    <row r="604" ht="13.2" spans="5:10">
      <c r="E604" s="102"/>
      <c r="G604" s="103"/>
      <c r="H604" s="103"/>
      <c r="I604" s="103"/>
      <c r="J604" s="103"/>
    </row>
    <row r="605" ht="13.2" spans="5:10">
      <c r="E605" s="102"/>
      <c r="G605" s="103"/>
      <c r="H605" s="103"/>
      <c r="I605" s="103"/>
      <c r="J605" s="103"/>
    </row>
    <row r="606" ht="13.2" spans="5:10">
      <c r="E606" s="102"/>
      <c r="G606" s="103"/>
      <c r="H606" s="103"/>
      <c r="I606" s="103"/>
      <c r="J606" s="103"/>
    </row>
    <row r="607" ht="13.2" spans="5:10">
      <c r="E607" s="102"/>
      <c r="G607" s="103"/>
      <c r="H607" s="103"/>
      <c r="I607" s="103"/>
      <c r="J607" s="103"/>
    </row>
    <row r="608" ht="13.2" spans="5:10">
      <c r="E608" s="102"/>
      <c r="G608" s="103"/>
      <c r="H608" s="103"/>
      <c r="I608" s="103"/>
      <c r="J608" s="103"/>
    </row>
    <row r="609" ht="13.2" spans="5:10">
      <c r="E609" s="102"/>
      <c r="G609" s="103"/>
      <c r="H609" s="103"/>
      <c r="I609" s="103"/>
      <c r="J609" s="103"/>
    </row>
    <row r="610" ht="13.2" spans="5:10">
      <c r="E610" s="102"/>
      <c r="G610" s="103"/>
      <c r="H610" s="103"/>
      <c r="I610" s="103"/>
      <c r="J610" s="103"/>
    </row>
    <row r="611" ht="13.2" spans="5:10">
      <c r="E611" s="102"/>
      <c r="G611" s="103"/>
      <c r="H611" s="103"/>
      <c r="I611" s="103"/>
      <c r="J611" s="103"/>
    </row>
    <row r="612" ht="13.2" spans="5:10">
      <c r="E612" s="102"/>
      <c r="G612" s="103"/>
      <c r="H612" s="103"/>
      <c r="I612" s="103"/>
      <c r="J612" s="103"/>
    </row>
    <row r="613" ht="13.2" spans="5:10">
      <c r="E613" s="102"/>
      <c r="G613" s="103"/>
      <c r="H613" s="103"/>
      <c r="I613" s="103"/>
      <c r="J613" s="103"/>
    </row>
    <row r="614" ht="13.2" spans="5:10">
      <c r="E614" s="102"/>
      <c r="G614" s="103"/>
      <c r="H614" s="103"/>
      <c r="I614" s="103"/>
      <c r="J614" s="103"/>
    </row>
    <row r="615" ht="13.2" spans="5:10">
      <c r="E615" s="102"/>
      <c r="G615" s="103"/>
      <c r="H615" s="103"/>
      <c r="I615" s="103"/>
      <c r="J615" s="103"/>
    </row>
    <row r="616" ht="13.2" spans="5:10">
      <c r="E616" s="102"/>
      <c r="G616" s="103"/>
      <c r="H616" s="103"/>
      <c r="I616" s="103"/>
      <c r="J616" s="103"/>
    </row>
    <row r="617" ht="13.2" spans="5:10">
      <c r="E617" s="102"/>
      <c r="G617" s="103"/>
      <c r="H617" s="103"/>
      <c r="I617" s="103"/>
      <c r="J617" s="103"/>
    </row>
    <row r="618" ht="13.2" spans="5:10">
      <c r="E618" s="102"/>
      <c r="G618" s="103"/>
      <c r="H618" s="103"/>
      <c r="I618" s="103"/>
      <c r="J618" s="103"/>
    </row>
    <row r="619" ht="13.2" spans="5:10">
      <c r="E619" s="102"/>
      <c r="G619" s="103"/>
      <c r="H619" s="103"/>
      <c r="I619" s="103"/>
      <c r="J619" s="103"/>
    </row>
    <row r="620" ht="13.2" spans="5:10">
      <c r="E620" s="102"/>
      <c r="G620" s="103"/>
      <c r="H620" s="103"/>
      <c r="I620" s="103"/>
      <c r="J620" s="103"/>
    </row>
    <row r="621" ht="13.2" spans="5:10">
      <c r="E621" s="102"/>
      <c r="G621" s="103"/>
      <c r="H621" s="103"/>
      <c r="I621" s="103"/>
      <c r="J621" s="103"/>
    </row>
    <row r="622" ht="13.2" spans="5:10">
      <c r="E622" s="102"/>
      <c r="G622" s="103"/>
      <c r="H622" s="103"/>
      <c r="I622" s="103"/>
      <c r="J622" s="103"/>
    </row>
    <row r="623" ht="13.2" spans="5:10">
      <c r="E623" s="102"/>
      <c r="G623" s="103"/>
      <c r="H623" s="103"/>
      <c r="I623" s="103"/>
      <c r="J623" s="103"/>
    </row>
    <row r="624" ht="13.2" spans="5:10">
      <c r="E624" s="102"/>
      <c r="G624" s="103"/>
      <c r="H624" s="103"/>
      <c r="I624" s="103"/>
      <c r="J624" s="103"/>
    </row>
    <row r="625" ht="13.2" spans="5:10">
      <c r="E625" s="102"/>
      <c r="G625" s="103"/>
      <c r="H625" s="103"/>
      <c r="I625" s="103"/>
      <c r="J625" s="103"/>
    </row>
    <row r="626" ht="13.2" spans="5:10">
      <c r="E626" s="102"/>
      <c r="G626" s="103"/>
      <c r="H626" s="103"/>
      <c r="I626" s="103"/>
      <c r="J626" s="103"/>
    </row>
    <row r="627" ht="13.2" spans="5:10">
      <c r="E627" s="102"/>
      <c r="G627" s="103"/>
      <c r="H627" s="103"/>
      <c r="I627" s="103"/>
      <c r="J627" s="103"/>
    </row>
    <row r="628" ht="13.2" spans="5:10">
      <c r="E628" s="102"/>
      <c r="G628" s="103"/>
      <c r="H628" s="103"/>
      <c r="I628" s="103"/>
      <c r="J628" s="103"/>
    </row>
    <row r="629" ht="13.2" spans="5:10">
      <c r="E629" s="102"/>
      <c r="G629" s="103"/>
      <c r="H629" s="103"/>
      <c r="I629" s="103"/>
      <c r="J629" s="103"/>
    </row>
    <row r="630" ht="13.2" spans="5:10">
      <c r="E630" s="102"/>
      <c r="G630" s="103"/>
      <c r="H630" s="103"/>
      <c r="I630" s="103"/>
      <c r="J630" s="103"/>
    </row>
    <row r="631" ht="13.2" spans="5:10">
      <c r="E631" s="102"/>
      <c r="G631" s="103"/>
      <c r="H631" s="103"/>
      <c r="I631" s="103"/>
      <c r="J631" s="103"/>
    </row>
    <row r="632" ht="13.2" spans="5:10">
      <c r="E632" s="102"/>
      <c r="G632" s="103"/>
      <c r="H632" s="103"/>
      <c r="I632" s="103"/>
      <c r="J632" s="103"/>
    </row>
    <row r="633" ht="13.2" spans="5:10">
      <c r="E633" s="102"/>
      <c r="G633" s="103"/>
      <c r="H633" s="103"/>
      <c r="I633" s="103"/>
      <c r="J633" s="103"/>
    </row>
    <row r="634" ht="13.2" spans="5:10">
      <c r="E634" s="102"/>
      <c r="G634" s="103"/>
      <c r="H634" s="103"/>
      <c r="I634" s="103"/>
      <c r="J634" s="103"/>
    </row>
    <row r="635" ht="13.2" spans="5:10">
      <c r="E635" s="102"/>
      <c r="G635" s="103"/>
      <c r="H635" s="103"/>
      <c r="I635" s="103"/>
      <c r="J635" s="103"/>
    </row>
    <row r="636" ht="13.2" spans="5:10">
      <c r="E636" s="102"/>
      <c r="G636" s="103"/>
      <c r="H636" s="103"/>
      <c r="I636" s="103"/>
      <c r="J636" s="103"/>
    </row>
    <row r="637" ht="13.2" spans="5:10">
      <c r="E637" s="102"/>
      <c r="G637" s="103"/>
      <c r="H637" s="103"/>
      <c r="I637" s="103"/>
      <c r="J637" s="103"/>
    </row>
    <row r="638" ht="13.2" spans="5:10">
      <c r="E638" s="102"/>
      <c r="G638" s="103"/>
      <c r="H638" s="103"/>
      <c r="I638" s="103"/>
      <c r="J638" s="103"/>
    </row>
    <row r="639" ht="13.2" spans="5:10">
      <c r="E639" s="102"/>
      <c r="G639" s="103"/>
      <c r="H639" s="103"/>
      <c r="I639" s="103"/>
      <c r="J639" s="103"/>
    </row>
    <row r="640" ht="13.2" spans="5:10">
      <c r="E640" s="102"/>
      <c r="G640" s="103"/>
      <c r="H640" s="103"/>
      <c r="I640" s="103"/>
      <c r="J640" s="103"/>
    </row>
    <row r="641" ht="13.2" spans="5:10">
      <c r="E641" s="102"/>
      <c r="G641" s="103"/>
      <c r="H641" s="103"/>
      <c r="I641" s="103"/>
      <c r="J641" s="103"/>
    </row>
    <row r="642" ht="13.2" spans="5:10">
      <c r="E642" s="102"/>
      <c r="G642" s="103"/>
      <c r="H642" s="103"/>
      <c r="I642" s="103"/>
      <c r="J642" s="103"/>
    </row>
    <row r="643" ht="13.2" spans="5:10">
      <c r="E643" s="102"/>
      <c r="G643" s="103"/>
      <c r="H643" s="103"/>
      <c r="I643" s="103"/>
      <c r="J643" s="103"/>
    </row>
    <row r="644" ht="13.2" spans="5:10">
      <c r="E644" s="102"/>
      <c r="G644" s="103"/>
      <c r="H644" s="103"/>
      <c r="I644" s="103"/>
      <c r="J644" s="103"/>
    </row>
    <row r="645" ht="13.2" spans="5:10">
      <c r="E645" s="102"/>
      <c r="G645" s="103"/>
      <c r="H645" s="103"/>
      <c r="I645" s="103"/>
      <c r="J645" s="103"/>
    </row>
    <row r="646" ht="13.2" spans="5:10">
      <c r="E646" s="102"/>
      <c r="G646" s="103"/>
      <c r="H646" s="103"/>
      <c r="I646" s="103"/>
      <c r="J646" s="103"/>
    </row>
    <row r="647" ht="13.2" spans="5:10">
      <c r="E647" s="102"/>
      <c r="G647" s="103"/>
      <c r="H647" s="103"/>
      <c r="I647" s="103"/>
      <c r="J647" s="103"/>
    </row>
    <row r="648" ht="13.2" spans="5:10">
      <c r="E648" s="102"/>
      <c r="G648" s="103"/>
      <c r="H648" s="103"/>
      <c r="I648" s="103"/>
      <c r="J648" s="103"/>
    </row>
    <row r="649" ht="13.2" spans="5:10">
      <c r="E649" s="102"/>
      <c r="G649" s="103"/>
      <c r="H649" s="103"/>
      <c r="I649" s="103"/>
      <c r="J649" s="103"/>
    </row>
    <row r="650" ht="13.2" spans="5:10">
      <c r="E650" s="102"/>
      <c r="G650" s="103"/>
      <c r="H650" s="103"/>
      <c r="I650" s="103"/>
      <c r="J650" s="103"/>
    </row>
    <row r="651" ht="13.2" spans="5:10">
      <c r="E651" s="102"/>
      <c r="G651" s="103"/>
      <c r="H651" s="103"/>
      <c r="I651" s="103"/>
      <c r="J651" s="103"/>
    </row>
    <row r="652" ht="13.2" spans="5:10">
      <c r="E652" s="102"/>
      <c r="G652" s="103"/>
      <c r="H652" s="103"/>
      <c r="I652" s="103"/>
      <c r="J652" s="103"/>
    </row>
    <row r="653" ht="13.2" spans="5:10">
      <c r="E653" s="102"/>
      <c r="G653" s="103"/>
      <c r="H653" s="103"/>
      <c r="I653" s="103"/>
      <c r="J653" s="103"/>
    </row>
    <row r="654" ht="13.2" spans="5:10">
      <c r="E654" s="102"/>
      <c r="G654" s="103"/>
      <c r="H654" s="103"/>
      <c r="I654" s="103"/>
      <c r="J654" s="103"/>
    </row>
    <row r="655" ht="13.2" spans="5:10">
      <c r="E655" s="102"/>
      <c r="G655" s="103"/>
      <c r="H655" s="103"/>
      <c r="I655" s="103"/>
      <c r="J655" s="103"/>
    </row>
    <row r="656" ht="13.2" spans="5:10">
      <c r="E656" s="102"/>
      <c r="G656" s="103"/>
      <c r="H656" s="103"/>
      <c r="I656" s="103"/>
      <c r="J656" s="103"/>
    </row>
    <row r="657" ht="13.2" spans="5:10">
      <c r="E657" s="102"/>
      <c r="G657" s="103"/>
      <c r="H657" s="103"/>
      <c r="I657" s="103"/>
      <c r="J657" s="103"/>
    </row>
    <row r="658" ht="13.2" spans="5:10">
      <c r="E658" s="102"/>
      <c r="G658" s="103"/>
      <c r="H658" s="103"/>
      <c r="I658" s="103"/>
      <c r="J658" s="103"/>
    </row>
    <row r="659" ht="13.2" spans="5:10">
      <c r="E659" s="102"/>
      <c r="G659" s="103"/>
      <c r="H659" s="103"/>
      <c r="I659" s="103"/>
      <c r="J659" s="103"/>
    </row>
    <row r="660" ht="13.2" spans="5:10">
      <c r="E660" s="102"/>
      <c r="G660" s="103"/>
      <c r="H660" s="103"/>
      <c r="I660" s="103"/>
      <c r="J660" s="103"/>
    </row>
    <row r="661" ht="13.2" spans="5:10">
      <c r="E661" s="102"/>
      <c r="G661" s="103"/>
      <c r="H661" s="103"/>
      <c r="I661" s="103"/>
      <c r="J661" s="103"/>
    </row>
    <row r="662" ht="13.2" spans="5:10">
      <c r="E662" s="102"/>
      <c r="G662" s="103"/>
      <c r="H662" s="103"/>
      <c r="I662" s="103"/>
      <c r="J662" s="103"/>
    </row>
    <row r="663" ht="13.2" spans="5:10">
      <c r="E663" s="102"/>
      <c r="G663" s="103"/>
      <c r="H663" s="103"/>
      <c r="I663" s="103"/>
      <c r="J663" s="103"/>
    </row>
    <row r="664" ht="13.2" spans="5:10">
      <c r="E664" s="102"/>
      <c r="G664" s="103"/>
      <c r="H664" s="103"/>
      <c r="I664" s="103"/>
      <c r="J664" s="103"/>
    </row>
    <row r="665" ht="13.2" spans="5:10">
      <c r="E665" s="102"/>
      <c r="G665" s="103"/>
      <c r="H665" s="103"/>
      <c r="I665" s="103"/>
      <c r="J665" s="103"/>
    </row>
    <row r="666" ht="13.2" spans="5:10">
      <c r="E666" s="102"/>
      <c r="G666" s="103"/>
      <c r="H666" s="103"/>
      <c r="I666" s="103"/>
      <c r="J666" s="103"/>
    </row>
    <row r="667" ht="13.2" spans="5:10">
      <c r="E667" s="102"/>
      <c r="G667" s="103"/>
      <c r="H667" s="103"/>
      <c r="I667" s="103"/>
      <c r="J667" s="103"/>
    </row>
    <row r="668" ht="13.2" spans="5:10">
      <c r="E668" s="102"/>
      <c r="G668" s="103"/>
      <c r="H668" s="103"/>
      <c r="I668" s="103"/>
      <c r="J668" s="103"/>
    </row>
    <row r="669" ht="13.2" spans="5:10">
      <c r="E669" s="102"/>
      <c r="G669" s="103"/>
      <c r="H669" s="103"/>
      <c r="I669" s="103"/>
      <c r="J669" s="103"/>
    </row>
    <row r="670" ht="13.2" spans="5:10">
      <c r="E670" s="102"/>
      <c r="G670" s="103"/>
      <c r="H670" s="103"/>
      <c r="I670" s="103"/>
      <c r="J670" s="103"/>
    </row>
    <row r="671" ht="13.2" spans="5:10">
      <c r="E671" s="102"/>
      <c r="G671" s="103"/>
      <c r="H671" s="103"/>
      <c r="I671" s="103"/>
      <c r="J671" s="103"/>
    </row>
    <row r="672" ht="13.2" spans="5:10">
      <c r="E672" s="102"/>
      <c r="G672" s="103"/>
      <c r="H672" s="103"/>
      <c r="I672" s="103"/>
      <c r="J672" s="103"/>
    </row>
    <row r="673" ht="13.2" spans="5:10">
      <c r="E673" s="102"/>
      <c r="G673" s="103"/>
      <c r="H673" s="103"/>
      <c r="I673" s="103"/>
      <c r="J673" s="103"/>
    </row>
    <row r="674" ht="13.2" spans="5:10">
      <c r="E674" s="102"/>
      <c r="G674" s="103"/>
      <c r="H674" s="103"/>
      <c r="I674" s="103"/>
      <c r="J674" s="103"/>
    </row>
    <row r="675" ht="13.2" spans="5:10">
      <c r="E675" s="102"/>
      <c r="G675" s="103"/>
      <c r="H675" s="103"/>
      <c r="I675" s="103"/>
      <c r="J675" s="103"/>
    </row>
    <row r="676" ht="13.2" spans="5:10">
      <c r="E676" s="102"/>
      <c r="G676" s="103"/>
      <c r="H676" s="103"/>
      <c r="I676" s="103"/>
      <c r="J676" s="103"/>
    </row>
    <row r="677" ht="13.2" spans="5:10">
      <c r="E677" s="102"/>
      <c r="G677" s="103"/>
      <c r="H677" s="103"/>
      <c r="I677" s="103"/>
      <c r="J677" s="103"/>
    </row>
    <row r="678" ht="13.2" spans="5:10">
      <c r="E678" s="102"/>
      <c r="G678" s="103"/>
      <c r="H678" s="103"/>
      <c r="I678" s="103"/>
      <c r="J678" s="103"/>
    </row>
    <row r="679" ht="13.2" spans="5:10">
      <c r="E679" s="102"/>
      <c r="G679" s="103"/>
      <c r="H679" s="103"/>
      <c r="I679" s="103"/>
      <c r="J679" s="103"/>
    </row>
    <row r="680" ht="13.2" spans="5:10">
      <c r="E680" s="102"/>
      <c r="G680" s="103"/>
      <c r="H680" s="103"/>
      <c r="I680" s="103"/>
      <c r="J680" s="103"/>
    </row>
    <row r="681" ht="13.2" spans="5:10">
      <c r="E681" s="102"/>
      <c r="G681" s="103"/>
      <c r="H681" s="103"/>
      <c r="I681" s="103"/>
      <c r="J681" s="103"/>
    </row>
    <row r="682" ht="13.2" spans="5:10">
      <c r="E682" s="102"/>
      <c r="G682" s="103"/>
      <c r="H682" s="103"/>
      <c r="I682" s="103"/>
      <c r="J682" s="103"/>
    </row>
    <row r="683" ht="13.2" spans="5:10">
      <c r="E683" s="102"/>
      <c r="G683" s="103"/>
      <c r="H683" s="103"/>
      <c r="I683" s="103"/>
      <c r="J683" s="103"/>
    </row>
    <row r="684" ht="13.2" spans="5:10">
      <c r="E684" s="102"/>
      <c r="G684" s="103"/>
      <c r="H684" s="103"/>
      <c r="I684" s="103"/>
      <c r="J684" s="103"/>
    </row>
    <row r="685" ht="13.2" spans="5:10">
      <c r="E685" s="102"/>
      <c r="G685" s="103"/>
      <c r="H685" s="103"/>
      <c r="I685" s="103"/>
      <c r="J685" s="103"/>
    </row>
    <row r="686" ht="13.2" spans="5:10">
      <c r="E686" s="102"/>
      <c r="G686" s="103"/>
      <c r="H686" s="103"/>
      <c r="I686" s="103"/>
      <c r="J686" s="103"/>
    </row>
    <row r="687" ht="13.2" spans="5:10">
      <c r="E687" s="102"/>
      <c r="G687" s="103"/>
      <c r="H687" s="103"/>
      <c r="I687" s="103"/>
      <c r="J687" s="103"/>
    </row>
    <row r="688" ht="13.2" spans="5:10">
      <c r="E688" s="102"/>
      <c r="G688" s="103"/>
      <c r="H688" s="103"/>
      <c r="I688" s="103"/>
      <c r="J688" s="103"/>
    </row>
    <row r="689" ht="13.2" spans="5:10">
      <c r="E689" s="102"/>
      <c r="G689" s="103"/>
      <c r="H689" s="103"/>
      <c r="I689" s="103"/>
      <c r="J689" s="103"/>
    </row>
    <row r="690" ht="13.2" spans="5:10">
      <c r="E690" s="102"/>
      <c r="G690" s="103"/>
      <c r="H690" s="103"/>
      <c r="I690" s="103"/>
      <c r="J690" s="103"/>
    </row>
    <row r="691" ht="13.2" spans="5:10">
      <c r="E691" s="102"/>
      <c r="G691" s="103"/>
      <c r="H691" s="103"/>
      <c r="I691" s="103"/>
      <c r="J691" s="103"/>
    </row>
    <row r="692" ht="13.2" spans="5:10">
      <c r="E692" s="102"/>
      <c r="G692" s="103"/>
      <c r="H692" s="103"/>
      <c r="I692" s="103"/>
      <c r="J692" s="103"/>
    </row>
    <row r="693" ht="13.2" spans="5:10">
      <c r="E693" s="102"/>
      <c r="G693" s="103"/>
      <c r="H693" s="103"/>
      <c r="I693" s="103"/>
      <c r="J693" s="103"/>
    </row>
    <row r="694" ht="13.2" spans="5:10">
      <c r="E694" s="102"/>
      <c r="G694" s="103"/>
      <c r="H694" s="103"/>
      <c r="I694" s="103"/>
      <c r="J694" s="103"/>
    </row>
    <row r="695" ht="13.2" spans="5:10">
      <c r="E695" s="102"/>
      <c r="G695" s="103"/>
      <c r="H695" s="103"/>
      <c r="I695" s="103"/>
      <c r="J695" s="103"/>
    </row>
    <row r="696" ht="13.2" spans="5:10">
      <c r="E696" s="102"/>
      <c r="G696" s="103"/>
      <c r="H696" s="103"/>
      <c r="I696" s="103"/>
      <c r="J696" s="103"/>
    </row>
    <row r="697" ht="13.2" spans="5:10">
      <c r="E697" s="102"/>
      <c r="G697" s="103"/>
      <c r="H697" s="103"/>
      <c r="I697" s="103"/>
      <c r="J697" s="103"/>
    </row>
    <row r="698" ht="13.2" spans="5:10">
      <c r="E698" s="102"/>
      <c r="G698" s="103"/>
      <c r="H698" s="103"/>
      <c r="I698" s="103"/>
      <c r="J698" s="103"/>
    </row>
    <row r="699" ht="13.2" spans="5:10">
      <c r="E699" s="102"/>
      <c r="G699" s="103"/>
      <c r="H699" s="103"/>
      <c r="I699" s="103"/>
      <c r="J699" s="103"/>
    </row>
    <row r="700" ht="13.2" spans="5:10">
      <c r="E700" s="102"/>
      <c r="G700" s="103"/>
      <c r="H700" s="103"/>
      <c r="I700" s="103"/>
      <c r="J700" s="103"/>
    </row>
    <row r="701" ht="13.2" spans="5:10">
      <c r="E701" s="102"/>
      <c r="G701" s="103"/>
      <c r="H701" s="103"/>
      <c r="I701" s="103"/>
      <c r="J701" s="103"/>
    </row>
    <row r="702" ht="13.2" spans="5:10">
      <c r="E702" s="102"/>
      <c r="G702" s="103"/>
      <c r="H702" s="103"/>
      <c r="I702" s="103"/>
      <c r="J702" s="103"/>
    </row>
    <row r="703" ht="13.2" spans="5:10">
      <c r="E703" s="102"/>
      <c r="G703" s="103"/>
      <c r="H703" s="103"/>
      <c r="I703" s="103"/>
      <c r="J703" s="103"/>
    </row>
    <row r="704" ht="13.2" spans="5:10">
      <c r="E704" s="102"/>
      <c r="G704" s="103"/>
      <c r="H704" s="103"/>
      <c r="I704" s="103"/>
      <c r="J704" s="103"/>
    </row>
    <row r="705" ht="13.2" spans="5:10">
      <c r="E705" s="102"/>
      <c r="G705" s="103"/>
      <c r="H705" s="103"/>
      <c r="I705" s="103"/>
      <c r="J705" s="103"/>
    </row>
    <row r="706" ht="13.2" spans="5:10">
      <c r="E706" s="102"/>
      <c r="G706" s="103"/>
      <c r="H706" s="103"/>
      <c r="I706" s="103"/>
      <c r="J706" s="103"/>
    </row>
    <row r="707" ht="13.2" spans="5:10">
      <c r="E707" s="102"/>
      <c r="G707" s="103"/>
      <c r="H707" s="103"/>
      <c r="I707" s="103"/>
      <c r="J707" s="103"/>
    </row>
    <row r="708" ht="13.2" spans="5:10">
      <c r="E708" s="102"/>
      <c r="G708" s="103"/>
      <c r="H708" s="103"/>
      <c r="I708" s="103"/>
      <c r="J708" s="103"/>
    </row>
    <row r="709" ht="13.2" spans="5:10">
      <c r="E709" s="102"/>
      <c r="G709" s="103"/>
      <c r="H709" s="103"/>
      <c r="I709" s="103"/>
      <c r="J709" s="103"/>
    </row>
    <row r="710" ht="13.2" spans="5:10">
      <c r="E710" s="102"/>
      <c r="G710" s="103"/>
      <c r="H710" s="103"/>
      <c r="I710" s="103"/>
      <c r="J710" s="103"/>
    </row>
    <row r="711" ht="13.2" spans="5:10">
      <c r="E711" s="102"/>
      <c r="G711" s="103"/>
      <c r="H711" s="103"/>
      <c r="I711" s="103"/>
      <c r="J711" s="103"/>
    </row>
    <row r="712" ht="13.2" spans="5:10">
      <c r="E712" s="102"/>
      <c r="G712" s="103"/>
      <c r="H712" s="103"/>
      <c r="I712" s="103"/>
      <c r="J712" s="103"/>
    </row>
    <row r="713" ht="13.2" spans="5:10">
      <c r="E713" s="102"/>
      <c r="G713" s="103"/>
      <c r="H713" s="103"/>
      <c r="I713" s="103"/>
      <c r="J713" s="103"/>
    </row>
    <row r="714" ht="13.2" spans="5:10">
      <c r="E714" s="102"/>
      <c r="G714" s="103"/>
      <c r="H714" s="103"/>
      <c r="I714" s="103"/>
      <c r="J714" s="103"/>
    </row>
    <row r="715" ht="13.2" spans="5:10">
      <c r="E715" s="102"/>
      <c r="G715" s="103"/>
      <c r="H715" s="103"/>
      <c r="I715" s="103"/>
      <c r="J715" s="103"/>
    </row>
    <row r="716" ht="13.2" spans="5:10">
      <c r="E716" s="102"/>
      <c r="G716" s="103"/>
      <c r="H716" s="103"/>
      <c r="I716" s="103"/>
      <c r="J716" s="103"/>
    </row>
    <row r="717" ht="13.2" spans="5:10">
      <c r="E717" s="102"/>
      <c r="G717" s="103"/>
      <c r="H717" s="103"/>
      <c r="I717" s="103"/>
      <c r="J717" s="103"/>
    </row>
    <row r="718" ht="13.2" spans="5:10">
      <c r="E718" s="102"/>
      <c r="G718" s="103"/>
      <c r="H718" s="103"/>
      <c r="I718" s="103"/>
      <c r="J718" s="103"/>
    </row>
    <row r="719" ht="13.2" spans="5:10">
      <c r="E719" s="102"/>
      <c r="G719" s="103"/>
      <c r="H719" s="103"/>
      <c r="I719" s="103"/>
      <c r="J719" s="103"/>
    </row>
    <row r="720" ht="13.2" spans="5:10">
      <c r="E720" s="102"/>
      <c r="G720" s="103"/>
      <c r="H720" s="103"/>
      <c r="I720" s="103"/>
      <c r="J720" s="103"/>
    </row>
    <row r="721" ht="13.2" spans="5:10">
      <c r="E721" s="102"/>
      <c r="G721" s="103"/>
      <c r="H721" s="103"/>
      <c r="I721" s="103"/>
      <c r="J721" s="103"/>
    </row>
    <row r="722" ht="13.2" spans="5:10">
      <c r="E722" s="102"/>
      <c r="G722" s="103"/>
      <c r="H722" s="103"/>
      <c r="I722" s="103"/>
      <c r="J722" s="103"/>
    </row>
    <row r="723" ht="13.2" spans="5:10">
      <c r="E723" s="102"/>
      <c r="G723" s="103"/>
      <c r="H723" s="103"/>
      <c r="I723" s="103"/>
      <c r="J723" s="103"/>
    </row>
    <row r="724" ht="13.2" spans="5:10">
      <c r="E724" s="102"/>
      <c r="G724" s="103"/>
      <c r="H724" s="103"/>
      <c r="I724" s="103"/>
      <c r="J724" s="103"/>
    </row>
    <row r="725" ht="13.2" spans="5:10">
      <c r="E725" s="102"/>
      <c r="G725" s="103"/>
      <c r="H725" s="103"/>
      <c r="I725" s="103"/>
      <c r="J725" s="103"/>
    </row>
    <row r="726" ht="13.2" spans="5:10">
      <c r="E726" s="102"/>
      <c r="G726" s="103"/>
      <c r="H726" s="103"/>
      <c r="I726" s="103"/>
      <c r="J726" s="103"/>
    </row>
    <row r="727" ht="13.2" spans="5:10">
      <c r="E727" s="102"/>
      <c r="G727" s="103"/>
      <c r="H727" s="103"/>
      <c r="I727" s="103"/>
      <c r="J727" s="103"/>
    </row>
    <row r="728" ht="13.2" spans="5:10">
      <c r="E728" s="102"/>
      <c r="G728" s="103"/>
      <c r="H728" s="103"/>
      <c r="I728" s="103"/>
      <c r="J728" s="103"/>
    </row>
    <row r="729" ht="13.2" spans="5:10">
      <c r="E729" s="102"/>
      <c r="G729" s="103"/>
      <c r="H729" s="103"/>
      <c r="I729" s="103"/>
      <c r="J729" s="103"/>
    </row>
    <row r="730" ht="13.2" spans="5:10">
      <c r="E730" s="102"/>
      <c r="G730" s="103"/>
      <c r="H730" s="103"/>
      <c r="I730" s="103"/>
      <c r="J730" s="103"/>
    </row>
    <row r="731" ht="13.2" spans="5:10">
      <c r="E731" s="102"/>
      <c r="G731" s="103"/>
      <c r="H731" s="103"/>
      <c r="I731" s="103"/>
      <c r="J731" s="103"/>
    </row>
    <row r="732" ht="13.2" spans="5:10">
      <c r="E732" s="102"/>
      <c r="G732" s="103"/>
      <c r="H732" s="103"/>
      <c r="I732" s="103"/>
      <c r="J732" s="103"/>
    </row>
    <row r="733" ht="13.2" spans="5:10">
      <c r="E733" s="102"/>
      <c r="G733" s="103"/>
      <c r="H733" s="103"/>
      <c r="I733" s="103"/>
      <c r="J733" s="103"/>
    </row>
    <row r="734" ht="13.2" spans="5:10">
      <c r="E734" s="102"/>
      <c r="G734" s="103"/>
      <c r="H734" s="103"/>
      <c r="I734" s="103"/>
      <c r="J734" s="103"/>
    </row>
    <row r="735" ht="13.2" spans="5:10">
      <c r="E735" s="102"/>
      <c r="G735" s="103"/>
      <c r="H735" s="103"/>
      <c r="I735" s="103"/>
      <c r="J735" s="103"/>
    </row>
    <row r="736" ht="13.2" spans="5:10">
      <c r="E736" s="102"/>
      <c r="G736" s="103"/>
      <c r="H736" s="103"/>
      <c r="I736" s="103"/>
      <c r="J736" s="103"/>
    </row>
    <row r="737" ht="13.2" spans="5:10">
      <c r="E737" s="102"/>
      <c r="G737" s="103"/>
      <c r="H737" s="103"/>
      <c r="I737" s="103"/>
      <c r="J737" s="103"/>
    </row>
    <row r="738" ht="13.2" spans="5:10">
      <c r="E738" s="102"/>
      <c r="G738" s="103"/>
      <c r="H738" s="103"/>
      <c r="I738" s="103"/>
      <c r="J738" s="103"/>
    </row>
    <row r="739" ht="13.2" spans="5:10">
      <c r="E739" s="102"/>
      <c r="G739" s="103"/>
      <c r="H739" s="103"/>
      <c r="I739" s="103"/>
      <c r="J739" s="103"/>
    </row>
    <row r="740" ht="13.2" spans="5:10">
      <c r="E740" s="102"/>
      <c r="G740" s="103"/>
      <c r="H740" s="103"/>
      <c r="I740" s="103"/>
      <c r="J740" s="103"/>
    </row>
    <row r="741" ht="13.2" spans="5:10">
      <c r="E741" s="102"/>
      <c r="G741" s="103"/>
      <c r="H741" s="103"/>
      <c r="I741" s="103"/>
      <c r="J741" s="103"/>
    </row>
    <row r="742" ht="13.2" spans="5:10">
      <c r="E742" s="102"/>
      <c r="G742" s="103"/>
      <c r="H742" s="103"/>
      <c r="I742" s="103"/>
      <c r="J742" s="103"/>
    </row>
    <row r="743" ht="13.2" spans="5:10">
      <c r="E743" s="102"/>
      <c r="G743" s="103"/>
      <c r="H743" s="103"/>
      <c r="I743" s="103"/>
      <c r="J743" s="103"/>
    </row>
    <row r="744" ht="13.2" spans="5:10">
      <c r="E744" s="102"/>
      <c r="G744" s="103"/>
      <c r="H744" s="103"/>
      <c r="I744" s="103"/>
      <c r="J744" s="103"/>
    </row>
    <row r="745" ht="13.2" spans="5:10">
      <c r="E745" s="102"/>
      <c r="G745" s="103"/>
      <c r="H745" s="103"/>
      <c r="I745" s="103"/>
      <c r="J745" s="103"/>
    </row>
    <row r="746" ht="13.2" spans="5:10">
      <c r="E746" s="102"/>
      <c r="G746" s="103"/>
      <c r="H746" s="103"/>
      <c r="I746" s="103"/>
      <c r="J746" s="103"/>
    </row>
    <row r="747" ht="13.2" spans="5:10">
      <c r="E747" s="102"/>
      <c r="G747" s="103"/>
      <c r="H747" s="103"/>
      <c r="I747" s="103"/>
      <c r="J747" s="103"/>
    </row>
    <row r="748" ht="13.2" spans="5:10">
      <c r="E748" s="102"/>
      <c r="G748" s="103"/>
      <c r="H748" s="103"/>
      <c r="I748" s="103"/>
      <c r="J748" s="103"/>
    </row>
    <row r="749" ht="13.2" spans="5:10">
      <c r="E749" s="102"/>
      <c r="G749" s="103"/>
      <c r="H749" s="103"/>
      <c r="I749" s="103"/>
      <c r="J749" s="103"/>
    </row>
    <row r="750" ht="13.2" spans="5:10">
      <c r="E750" s="102"/>
      <c r="G750" s="103"/>
      <c r="H750" s="103"/>
      <c r="I750" s="103"/>
      <c r="J750" s="103"/>
    </row>
    <row r="751" ht="13.2" spans="5:10">
      <c r="E751" s="102"/>
      <c r="G751" s="103"/>
      <c r="H751" s="103"/>
      <c r="I751" s="103"/>
      <c r="J751" s="103"/>
    </row>
    <row r="752" ht="13.2" spans="5:10">
      <c r="E752" s="102"/>
      <c r="G752" s="103"/>
      <c r="H752" s="103"/>
      <c r="I752" s="103"/>
      <c r="J752" s="103"/>
    </row>
    <row r="753" ht="13.2" spans="5:10">
      <c r="E753" s="102"/>
      <c r="G753" s="103"/>
      <c r="H753" s="103"/>
      <c r="I753" s="103"/>
      <c r="J753" s="103"/>
    </row>
    <row r="754" ht="13.2" spans="5:10">
      <c r="E754" s="102"/>
      <c r="G754" s="103"/>
      <c r="H754" s="103"/>
      <c r="I754" s="103"/>
      <c r="J754" s="103"/>
    </row>
    <row r="755" ht="13.2" spans="5:10">
      <c r="E755" s="102"/>
      <c r="G755" s="103"/>
      <c r="H755" s="103"/>
      <c r="I755" s="103"/>
      <c r="J755" s="103"/>
    </row>
    <row r="756" ht="13.2" spans="5:10">
      <c r="E756" s="102"/>
      <c r="G756" s="103"/>
      <c r="H756" s="103"/>
      <c r="I756" s="103"/>
      <c r="J756" s="103"/>
    </row>
    <row r="757" ht="13.2" spans="5:10">
      <c r="E757" s="102"/>
      <c r="G757" s="103"/>
      <c r="H757" s="103"/>
      <c r="I757" s="103"/>
      <c r="J757" s="103"/>
    </row>
    <row r="758" ht="13.2" spans="5:10">
      <c r="E758" s="102"/>
      <c r="G758" s="103"/>
      <c r="H758" s="103"/>
      <c r="I758" s="103"/>
      <c r="J758" s="103"/>
    </row>
    <row r="759" ht="13.2" spans="5:10">
      <c r="E759" s="102"/>
      <c r="G759" s="103"/>
      <c r="H759" s="103"/>
      <c r="I759" s="103"/>
      <c r="J759" s="103"/>
    </row>
    <row r="760" ht="13.2" spans="5:10">
      <c r="E760" s="102"/>
      <c r="G760" s="103"/>
      <c r="H760" s="103"/>
      <c r="I760" s="103"/>
      <c r="J760" s="103"/>
    </row>
    <row r="761" ht="13.2" spans="5:10">
      <c r="E761" s="102"/>
      <c r="G761" s="103"/>
      <c r="H761" s="103"/>
      <c r="I761" s="103"/>
      <c r="J761" s="103"/>
    </row>
    <row r="762" ht="13.2" spans="5:10">
      <c r="E762" s="102"/>
      <c r="G762" s="103"/>
      <c r="H762" s="103"/>
      <c r="I762" s="103"/>
      <c r="J762" s="103"/>
    </row>
    <row r="763" ht="13.2" spans="5:10">
      <c r="E763" s="102"/>
      <c r="G763" s="103"/>
      <c r="H763" s="103"/>
      <c r="I763" s="103"/>
      <c r="J763" s="103"/>
    </row>
    <row r="764" ht="13.2" spans="5:10">
      <c r="E764" s="102"/>
      <c r="G764" s="103"/>
      <c r="H764" s="103"/>
      <c r="I764" s="103"/>
      <c r="J764" s="103"/>
    </row>
    <row r="765" ht="13.2" spans="5:10">
      <c r="E765" s="102"/>
      <c r="G765" s="103"/>
      <c r="H765" s="103"/>
      <c r="I765" s="103"/>
      <c r="J765" s="103"/>
    </row>
    <row r="766" ht="13.2" spans="5:10">
      <c r="E766" s="102"/>
      <c r="G766" s="103"/>
      <c r="H766" s="103"/>
      <c r="I766" s="103"/>
      <c r="J766" s="103"/>
    </row>
    <row r="767" ht="13.2" spans="5:10">
      <c r="E767" s="102"/>
      <c r="G767" s="103"/>
      <c r="H767" s="103"/>
      <c r="I767" s="103"/>
      <c r="J767" s="103"/>
    </row>
    <row r="768" ht="13.2" spans="5:10">
      <c r="E768" s="102"/>
      <c r="G768" s="103"/>
      <c r="H768" s="103"/>
      <c r="I768" s="103"/>
      <c r="J768" s="103"/>
    </row>
    <row r="769" ht="13.2" spans="5:10">
      <c r="E769" s="102"/>
      <c r="G769" s="103"/>
      <c r="H769" s="103"/>
      <c r="I769" s="103"/>
      <c r="J769" s="103"/>
    </row>
    <row r="770" ht="13.2" spans="5:10">
      <c r="E770" s="102"/>
      <c r="G770" s="103"/>
      <c r="H770" s="103"/>
      <c r="I770" s="103"/>
      <c r="J770" s="103"/>
    </row>
    <row r="771" ht="13.2" spans="5:10">
      <c r="E771" s="102"/>
      <c r="G771" s="103"/>
      <c r="H771" s="103"/>
      <c r="I771" s="103"/>
      <c r="J771" s="103"/>
    </row>
    <row r="772" ht="13.2" spans="5:10">
      <c r="E772" s="102"/>
      <c r="G772" s="103"/>
      <c r="H772" s="103"/>
      <c r="I772" s="103"/>
      <c r="J772" s="103"/>
    </row>
    <row r="773" ht="13.2" spans="5:10">
      <c r="E773" s="102"/>
      <c r="G773" s="103"/>
      <c r="H773" s="103"/>
      <c r="I773" s="103"/>
      <c r="J773" s="103"/>
    </row>
    <row r="774" ht="13.2" spans="5:10">
      <c r="E774" s="102"/>
      <c r="G774" s="103"/>
      <c r="H774" s="103"/>
      <c r="I774" s="103"/>
      <c r="J774" s="103"/>
    </row>
    <row r="775" ht="13.2" spans="5:10">
      <c r="E775" s="102"/>
      <c r="G775" s="103"/>
      <c r="H775" s="103"/>
      <c r="I775" s="103"/>
      <c r="J775" s="103"/>
    </row>
    <row r="776" ht="13.2" spans="5:10">
      <c r="E776" s="102"/>
      <c r="G776" s="103"/>
      <c r="H776" s="103"/>
      <c r="I776" s="103"/>
      <c r="J776" s="103"/>
    </row>
    <row r="777" ht="13.2" spans="5:10">
      <c r="E777" s="102"/>
      <c r="G777" s="103"/>
      <c r="H777" s="103"/>
      <c r="I777" s="103"/>
      <c r="J777" s="103"/>
    </row>
    <row r="778" ht="13.2" spans="5:10">
      <c r="E778" s="102"/>
      <c r="G778" s="103"/>
      <c r="H778" s="103"/>
      <c r="I778" s="103"/>
      <c r="J778" s="103"/>
    </row>
    <row r="779" ht="13.2" spans="5:10">
      <c r="E779" s="102"/>
      <c r="G779" s="103"/>
      <c r="H779" s="103"/>
      <c r="I779" s="103"/>
      <c r="J779" s="103"/>
    </row>
    <row r="780" ht="13.2" spans="5:10">
      <c r="E780" s="102"/>
      <c r="G780" s="103"/>
      <c r="H780" s="103"/>
      <c r="I780" s="103"/>
      <c r="J780" s="103"/>
    </row>
    <row r="781" ht="13.2" spans="5:10">
      <c r="E781" s="102"/>
      <c r="G781" s="103"/>
      <c r="H781" s="103"/>
      <c r="I781" s="103"/>
      <c r="J781" s="103"/>
    </row>
    <row r="782" ht="13.2" spans="5:10">
      <c r="E782" s="102"/>
      <c r="G782" s="103"/>
      <c r="H782" s="103"/>
      <c r="I782" s="103"/>
      <c r="J782" s="103"/>
    </row>
    <row r="783" ht="13.2" spans="5:10">
      <c r="E783" s="102"/>
      <c r="G783" s="103"/>
      <c r="H783" s="103"/>
      <c r="I783" s="103"/>
      <c r="J783" s="103"/>
    </row>
    <row r="784" ht="13.2" spans="5:10">
      <c r="E784" s="102"/>
      <c r="G784" s="103"/>
      <c r="H784" s="103"/>
      <c r="I784" s="103"/>
      <c r="J784" s="103"/>
    </row>
    <row r="785" ht="13.2" spans="5:10">
      <c r="E785" s="102"/>
      <c r="G785" s="103"/>
      <c r="H785" s="103"/>
      <c r="I785" s="103"/>
      <c r="J785" s="103"/>
    </row>
    <row r="786" ht="13.2" spans="5:10">
      <c r="E786" s="102"/>
      <c r="G786" s="103"/>
      <c r="H786" s="103"/>
      <c r="I786" s="103"/>
      <c r="J786" s="103"/>
    </row>
    <row r="787" ht="13.2" spans="5:10">
      <c r="E787" s="102"/>
      <c r="G787" s="103"/>
      <c r="H787" s="103"/>
      <c r="I787" s="103"/>
      <c r="J787" s="103"/>
    </row>
    <row r="788" ht="13.2" spans="5:10">
      <c r="E788" s="102"/>
      <c r="G788" s="103"/>
      <c r="H788" s="103"/>
      <c r="I788" s="103"/>
      <c r="J788" s="103"/>
    </row>
    <row r="789" ht="13.2" spans="5:10">
      <c r="E789" s="102"/>
      <c r="G789" s="103"/>
      <c r="H789" s="103"/>
      <c r="I789" s="103"/>
      <c r="J789" s="103"/>
    </row>
    <row r="790" ht="13.2" spans="5:10">
      <c r="E790" s="102"/>
      <c r="G790" s="103"/>
      <c r="H790" s="103"/>
      <c r="I790" s="103"/>
      <c r="J790" s="103"/>
    </row>
    <row r="791" ht="13.2" spans="5:10">
      <c r="E791" s="102"/>
      <c r="G791" s="103"/>
      <c r="H791" s="103"/>
      <c r="I791" s="103"/>
      <c r="J791" s="103"/>
    </row>
    <row r="792" ht="13.2" spans="5:10">
      <c r="E792" s="102"/>
      <c r="G792" s="103"/>
      <c r="H792" s="103"/>
      <c r="I792" s="103"/>
      <c r="J792" s="103"/>
    </row>
    <row r="793" ht="13.2" spans="5:10">
      <c r="E793" s="102"/>
      <c r="G793" s="103"/>
      <c r="H793" s="103"/>
      <c r="I793" s="103"/>
      <c r="J793" s="103"/>
    </row>
    <row r="794" ht="13.2" spans="5:10">
      <c r="E794" s="102"/>
      <c r="G794" s="103"/>
      <c r="H794" s="103"/>
      <c r="I794" s="103"/>
      <c r="J794" s="103"/>
    </row>
    <row r="795" ht="13.2" spans="5:10">
      <c r="E795" s="102"/>
      <c r="G795" s="103"/>
      <c r="H795" s="103"/>
      <c r="I795" s="103"/>
      <c r="J795" s="103"/>
    </row>
    <row r="796" ht="13.2" spans="5:10">
      <c r="E796" s="102"/>
      <c r="G796" s="103"/>
      <c r="H796" s="103"/>
      <c r="I796" s="103"/>
      <c r="J796" s="103"/>
    </row>
    <row r="797" ht="13.2" spans="5:10">
      <c r="E797" s="102"/>
      <c r="G797" s="103"/>
      <c r="H797" s="103"/>
      <c r="I797" s="103"/>
      <c r="J797" s="103"/>
    </row>
    <row r="798" ht="13.2" spans="5:10">
      <c r="E798" s="102"/>
      <c r="G798" s="103"/>
      <c r="H798" s="103"/>
      <c r="I798" s="103"/>
      <c r="J798" s="103"/>
    </row>
    <row r="799" ht="13.2" spans="5:10">
      <c r="E799" s="102"/>
      <c r="G799" s="103"/>
      <c r="H799" s="103"/>
      <c r="I799" s="103"/>
      <c r="J799" s="103"/>
    </row>
    <row r="800" ht="13.2" spans="5:10">
      <c r="E800" s="102"/>
      <c r="G800" s="103"/>
      <c r="H800" s="103"/>
      <c r="I800" s="103"/>
      <c r="J800" s="103"/>
    </row>
    <row r="801" ht="13.2" spans="5:10">
      <c r="E801" s="102"/>
      <c r="G801" s="103"/>
      <c r="H801" s="103"/>
      <c r="I801" s="103"/>
      <c r="J801" s="103"/>
    </row>
    <row r="802" ht="13.2" spans="5:10">
      <c r="E802" s="102"/>
      <c r="G802" s="103"/>
      <c r="H802" s="103"/>
      <c r="I802" s="103"/>
      <c r="J802" s="103"/>
    </row>
    <row r="803" ht="13.2" spans="5:10">
      <c r="E803" s="102"/>
      <c r="G803" s="103"/>
      <c r="H803" s="103"/>
      <c r="I803" s="103"/>
      <c r="J803" s="103"/>
    </row>
    <row r="804" ht="13.2" spans="5:10">
      <c r="E804" s="102"/>
      <c r="G804" s="103"/>
      <c r="H804" s="103"/>
      <c r="I804" s="103"/>
      <c r="J804" s="103"/>
    </row>
    <row r="805" ht="13.2" spans="5:10">
      <c r="E805" s="102"/>
      <c r="G805" s="103"/>
      <c r="H805" s="103"/>
      <c r="I805" s="103"/>
      <c r="J805" s="103"/>
    </row>
    <row r="806" ht="13.2" spans="5:10">
      <c r="E806" s="102"/>
      <c r="G806" s="103"/>
      <c r="H806" s="103"/>
      <c r="I806" s="103"/>
      <c r="J806" s="103"/>
    </row>
    <row r="807" ht="13.2" spans="5:10">
      <c r="E807" s="102"/>
      <c r="G807" s="103"/>
      <c r="H807" s="103"/>
      <c r="I807" s="103"/>
      <c r="J807" s="103"/>
    </row>
    <row r="808" ht="13.2" spans="5:10">
      <c r="E808" s="102"/>
      <c r="G808" s="103"/>
      <c r="H808" s="103"/>
      <c r="I808" s="103"/>
      <c r="J808" s="103"/>
    </row>
    <row r="809" ht="13.2" spans="5:10">
      <c r="E809" s="102"/>
      <c r="G809" s="103"/>
      <c r="H809" s="103"/>
      <c r="I809" s="103"/>
      <c r="J809" s="103"/>
    </row>
    <row r="810" ht="13.2" spans="5:10">
      <c r="E810" s="102"/>
      <c r="G810" s="103"/>
      <c r="H810" s="103"/>
      <c r="I810" s="103"/>
      <c r="J810" s="103"/>
    </row>
    <row r="811" ht="13.2" spans="5:10">
      <c r="E811" s="102"/>
      <c r="G811" s="103"/>
      <c r="H811" s="103"/>
      <c r="I811" s="103"/>
      <c r="J811" s="103"/>
    </row>
    <row r="812" ht="13.2" spans="5:10">
      <c r="E812" s="102"/>
      <c r="G812" s="103"/>
      <c r="H812" s="103"/>
      <c r="I812" s="103"/>
      <c r="J812" s="103"/>
    </row>
    <row r="813" ht="13.2" spans="5:10">
      <c r="E813" s="102"/>
      <c r="G813" s="103"/>
      <c r="H813" s="103"/>
      <c r="I813" s="103"/>
      <c r="J813" s="103"/>
    </row>
    <row r="814" ht="13.2" spans="5:10">
      <c r="E814" s="102"/>
      <c r="G814" s="103"/>
      <c r="H814" s="103"/>
      <c r="I814" s="103"/>
      <c r="J814" s="103"/>
    </row>
    <row r="815" ht="13.2" spans="5:10">
      <c r="E815" s="102"/>
      <c r="G815" s="103"/>
      <c r="H815" s="103"/>
      <c r="I815" s="103"/>
      <c r="J815" s="103"/>
    </row>
    <row r="816" ht="13.2" spans="5:10">
      <c r="E816" s="102"/>
      <c r="G816" s="103"/>
      <c r="H816" s="103"/>
      <c r="I816" s="103"/>
      <c r="J816" s="103"/>
    </row>
    <row r="817" ht="13.2" spans="5:10">
      <c r="E817" s="102"/>
      <c r="G817" s="103"/>
      <c r="H817" s="103"/>
      <c r="I817" s="103"/>
      <c r="J817" s="103"/>
    </row>
    <row r="818" ht="13.2" spans="5:10">
      <c r="E818" s="102"/>
      <c r="G818" s="103"/>
      <c r="H818" s="103"/>
      <c r="I818" s="103"/>
      <c r="J818" s="103"/>
    </row>
    <row r="819" ht="13.2" spans="5:10">
      <c r="E819" s="102"/>
      <c r="G819" s="103"/>
      <c r="H819" s="103"/>
      <c r="I819" s="103"/>
      <c r="J819" s="103"/>
    </row>
    <row r="820" ht="13.2" spans="5:10">
      <c r="E820" s="102"/>
      <c r="G820" s="103"/>
      <c r="H820" s="103"/>
      <c r="I820" s="103"/>
      <c r="J820" s="103"/>
    </row>
    <row r="821" ht="13.2" spans="5:10">
      <c r="E821" s="102"/>
      <c r="G821" s="103"/>
      <c r="H821" s="103"/>
      <c r="I821" s="103"/>
      <c r="J821" s="103"/>
    </row>
    <row r="822" ht="13.2" spans="5:10">
      <c r="E822" s="102"/>
      <c r="G822" s="103"/>
      <c r="H822" s="103"/>
      <c r="I822" s="103"/>
      <c r="J822" s="103"/>
    </row>
    <row r="823" ht="13.2" spans="5:10">
      <c r="E823" s="102"/>
      <c r="G823" s="103"/>
      <c r="H823" s="103"/>
      <c r="I823" s="103"/>
      <c r="J823" s="103"/>
    </row>
    <row r="824" ht="13.2" spans="5:10">
      <c r="E824" s="102"/>
      <c r="G824" s="103"/>
      <c r="H824" s="103"/>
      <c r="I824" s="103"/>
      <c r="J824" s="103"/>
    </row>
    <row r="825" ht="13.2" spans="5:10">
      <c r="E825" s="102"/>
      <c r="G825" s="103"/>
      <c r="H825" s="103"/>
      <c r="I825" s="103"/>
      <c r="J825" s="103"/>
    </row>
    <row r="826" ht="13.2" spans="5:10">
      <c r="E826" s="102"/>
      <c r="G826" s="103"/>
      <c r="H826" s="103"/>
      <c r="I826" s="103"/>
      <c r="J826" s="103"/>
    </row>
    <row r="827" ht="13.2" spans="5:10">
      <c r="E827" s="102"/>
      <c r="G827" s="103"/>
      <c r="H827" s="103"/>
      <c r="I827" s="103"/>
      <c r="J827" s="103"/>
    </row>
    <row r="828" ht="13.2" spans="5:10">
      <c r="E828" s="102"/>
      <c r="G828" s="103"/>
      <c r="H828" s="103"/>
      <c r="I828" s="103"/>
      <c r="J828" s="103"/>
    </row>
    <row r="829" ht="13.2" spans="5:10">
      <c r="E829" s="102"/>
      <c r="G829" s="103"/>
      <c r="H829" s="103"/>
      <c r="I829" s="103"/>
      <c r="J829" s="103"/>
    </row>
    <row r="830" ht="13.2" spans="5:10">
      <c r="E830" s="102"/>
      <c r="G830" s="103"/>
      <c r="H830" s="103"/>
      <c r="I830" s="103"/>
      <c r="J830" s="103"/>
    </row>
    <row r="831" ht="13.2" spans="5:10">
      <c r="E831" s="102"/>
      <c r="G831" s="103"/>
      <c r="H831" s="103"/>
      <c r="I831" s="103"/>
      <c r="J831" s="103"/>
    </row>
    <row r="832" ht="13.2" spans="5:10">
      <c r="E832" s="102"/>
      <c r="G832" s="103"/>
      <c r="H832" s="103"/>
      <c r="I832" s="103"/>
      <c r="J832" s="103"/>
    </row>
    <row r="833" ht="13.2" spans="5:10">
      <c r="E833" s="102"/>
      <c r="G833" s="103"/>
      <c r="H833" s="103"/>
      <c r="I833" s="103"/>
      <c r="J833" s="103"/>
    </row>
    <row r="834" ht="13.2" spans="5:10">
      <c r="E834" s="102"/>
      <c r="G834" s="103"/>
      <c r="H834" s="103"/>
      <c r="I834" s="103"/>
      <c r="J834" s="103"/>
    </row>
    <row r="835" ht="13.2" spans="5:10">
      <c r="E835" s="102"/>
      <c r="G835" s="103"/>
      <c r="H835" s="103"/>
      <c r="I835" s="103"/>
      <c r="J835" s="103"/>
    </row>
    <row r="836" ht="13.2" spans="5:10">
      <c r="E836" s="102"/>
      <c r="G836" s="103"/>
      <c r="H836" s="103"/>
      <c r="I836" s="103"/>
      <c r="J836" s="103"/>
    </row>
    <row r="837" ht="13.2" spans="5:10">
      <c r="E837" s="102"/>
      <c r="G837" s="103"/>
      <c r="H837" s="103"/>
      <c r="I837" s="103"/>
      <c r="J837" s="103"/>
    </row>
    <row r="838" ht="13.2" spans="5:10">
      <c r="E838" s="102"/>
      <c r="G838" s="103"/>
      <c r="H838" s="103"/>
      <c r="I838" s="103"/>
      <c r="J838" s="103"/>
    </row>
    <row r="839" ht="13.2" spans="5:10">
      <c r="E839" s="102"/>
      <c r="G839" s="103"/>
      <c r="H839" s="103"/>
      <c r="I839" s="103"/>
      <c r="J839" s="103"/>
    </row>
    <row r="840" ht="13.2" spans="5:10">
      <c r="E840" s="102"/>
      <c r="G840" s="103"/>
      <c r="H840" s="103"/>
      <c r="I840" s="103"/>
      <c r="J840" s="103"/>
    </row>
    <row r="841" ht="13.2" spans="5:10">
      <c r="E841" s="102"/>
      <c r="G841" s="103"/>
      <c r="H841" s="103"/>
      <c r="I841" s="103"/>
      <c r="J841" s="103"/>
    </row>
    <row r="842" ht="13.2" spans="5:10">
      <c r="E842" s="102"/>
      <c r="G842" s="103"/>
      <c r="H842" s="103"/>
      <c r="I842" s="103"/>
      <c r="J842" s="103"/>
    </row>
    <row r="843" ht="13.2" spans="5:10">
      <c r="E843" s="102"/>
      <c r="G843" s="103"/>
      <c r="H843" s="103"/>
      <c r="I843" s="103"/>
      <c r="J843" s="103"/>
    </row>
    <row r="844" ht="13.2" spans="5:10">
      <c r="E844" s="102"/>
      <c r="G844" s="103"/>
      <c r="H844" s="103"/>
      <c r="I844" s="103"/>
      <c r="J844" s="103"/>
    </row>
    <row r="845" ht="13.2" spans="5:10">
      <c r="E845" s="102"/>
      <c r="G845" s="103"/>
      <c r="H845" s="103"/>
      <c r="I845" s="103"/>
      <c r="J845" s="103"/>
    </row>
    <row r="846" ht="13.2" spans="5:10">
      <c r="E846" s="102"/>
      <c r="G846" s="103"/>
      <c r="H846" s="103"/>
      <c r="I846" s="103"/>
      <c r="J846" s="103"/>
    </row>
    <row r="847" ht="13.2" spans="5:10">
      <c r="E847" s="102"/>
      <c r="G847" s="103"/>
      <c r="H847" s="103"/>
      <c r="I847" s="103"/>
      <c r="J847" s="103"/>
    </row>
    <row r="848" ht="13.2" spans="5:10">
      <c r="E848" s="102"/>
      <c r="G848" s="103"/>
      <c r="H848" s="103"/>
      <c r="I848" s="103"/>
      <c r="J848" s="103"/>
    </row>
    <row r="849" ht="13.2" spans="5:10">
      <c r="E849" s="102"/>
      <c r="G849" s="103"/>
      <c r="H849" s="103"/>
      <c r="I849" s="103"/>
      <c r="J849" s="103"/>
    </row>
    <row r="850" ht="13.2" spans="5:10">
      <c r="E850" s="102"/>
      <c r="G850" s="103"/>
      <c r="H850" s="103"/>
      <c r="I850" s="103"/>
      <c r="J850" s="103"/>
    </row>
    <row r="851" ht="13.2" spans="5:10">
      <c r="E851" s="102"/>
      <c r="G851" s="103"/>
      <c r="H851" s="103"/>
      <c r="I851" s="103"/>
      <c r="J851" s="103"/>
    </row>
    <row r="852" ht="13.2" spans="5:10">
      <c r="E852" s="102"/>
      <c r="G852" s="103"/>
      <c r="H852" s="103"/>
      <c r="I852" s="103"/>
      <c r="J852" s="103"/>
    </row>
    <row r="853" ht="13.2" spans="5:10">
      <c r="E853" s="102"/>
      <c r="G853" s="103"/>
      <c r="H853" s="103"/>
      <c r="I853" s="103"/>
      <c r="J853" s="103"/>
    </row>
    <row r="854" ht="13.2" spans="5:10">
      <c r="E854" s="102"/>
      <c r="G854" s="103"/>
      <c r="H854" s="103"/>
      <c r="I854" s="103"/>
      <c r="J854" s="103"/>
    </row>
    <row r="855" ht="13.2" spans="5:10">
      <c r="E855" s="102"/>
      <c r="G855" s="103"/>
      <c r="H855" s="103"/>
      <c r="I855" s="103"/>
      <c r="J855" s="103"/>
    </row>
    <row r="856" ht="13.2" spans="5:10">
      <c r="E856" s="102"/>
      <c r="G856" s="103"/>
      <c r="H856" s="103"/>
      <c r="I856" s="103"/>
      <c r="J856" s="103"/>
    </row>
    <row r="857" ht="13.2" spans="5:10">
      <c r="E857" s="102"/>
      <c r="G857" s="103"/>
      <c r="H857" s="103"/>
      <c r="I857" s="103"/>
      <c r="J857" s="103"/>
    </row>
    <row r="858" ht="13.2" spans="5:10">
      <c r="E858" s="102"/>
      <c r="G858" s="103"/>
      <c r="H858" s="103"/>
      <c r="I858" s="103"/>
      <c r="J858" s="103"/>
    </row>
    <row r="859" ht="13.2" spans="5:10">
      <c r="E859" s="102"/>
      <c r="G859" s="103"/>
      <c r="H859" s="103"/>
      <c r="I859" s="103"/>
      <c r="J859" s="103"/>
    </row>
    <row r="860" ht="13.2" spans="5:10">
      <c r="E860" s="102"/>
      <c r="G860" s="103"/>
      <c r="H860" s="103"/>
      <c r="I860" s="103"/>
      <c r="J860" s="103"/>
    </row>
    <row r="861" ht="13.2" spans="5:10">
      <c r="E861" s="102"/>
      <c r="G861" s="103"/>
      <c r="H861" s="103"/>
      <c r="I861" s="103"/>
      <c r="J861" s="103"/>
    </row>
    <row r="862" ht="13.2" spans="5:10">
      <c r="E862" s="102"/>
      <c r="G862" s="103"/>
      <c r="H862" s="103"/>
      <c r="I862" s="103"/>
      <c r="J862" s="103"/>
    </row>
    <row r="863" ht="13.2" spans="5:10">
      <c r="E863" s="102"/>
      <c r="G863" s="103"/>
      <c r="H863" s="103"/>
      <c r="I863" s="103"/>
      <c r="J863" s="103"/>
    </row>
    <row r="864" ht="13.2" spans="5:10">
      <c r="E864" s="102"/>
      <c r="G864" s="103"/>
      <c r="H864" s="103"/>
      <c r="I864" s="103"/>
      <c r="J864" s="103"/>
    </row>
    <row r="865" ht="13.2" spans="5:10">
      <c r="E865" s="102"/>
      <c r="G865" s="103"/>
      <c r="H865" s="103"/>
      <c r="I865" s="103"/>
      <c r="J865" s="103"/>
    </row>
    <row r="866" ht="13.2" spans="5:10">
      <c r="E866" s="102"/>
      <c r="G866" s="103"/>
      <c r="H866" s="103"/>
      <c r="I866" s="103"/>
      <c r="J866" s="103"/>
    </row>
    <row r="867" ht="13.2" spans="5:10">
      <c r="E867" s="102"/>
      <c r="G867" s="103"/>
      <c r="H867" s="103"/>
      <c r="I867" s="103"/>
      <c r="J867" s="103"/>
    </row>
    <row r="868" ht="13.2" spans="5:10">
      <c r="E868" s="102"/>
      <c r="G868" s="103"/>
      <c r="H868" s="103"/>
      <c r="I868" s="103"/>
      <c r="J868" s="103"/>
    </row>
    <row r="869" ht="13.2" spans="5:10">
      <c r="E869" s="102"/>
      <c r="G869" s="103"/>
      <c r="H869" s="103"/>
      <c r="I869" s="103"/>
      <c r="J869" s="103"/>
    </row>
    <row r="870" ht="13.2" spans="5:10">
      <c r="E870" s="102"/>
      <c r="G870" s="103"/>
      <c r="H870" s="103"/>
      <c r="I870" s="103"/>
      <c r="J870" s="103"/>
    </row>
    <row r="871" ht="13.2" spans="5:10">
      <c r="E871" s="102"/>
      <c r="G871" s="103"/>
      <c r="H871" s="103"/>
      <c r="I871" s="103"/>
      <c r="J871" s="103"/>
    </row>
    <row r="872" ht="13.2" spans="5:10">
      <c r="E872" s="102"/>
      <c r="G872" s="103"/>
      <c r="H872" s="103"/>
      <c r="I872" s="103"/>
      <c r="J872" s="103"/>
    </row>
    <row r="873" ht="13.2" spans="5:10">
      <c r="E873" s="102"/>
      <c r="G873" s="103"/>
      <c r="H873" s="103"/>
      <c r="I873" s="103"/>
      <c r="J873" s="103"/>
    </row>
    <row r="874" ht="13.2" spans="5:10">
      <c r="E874" s="102"/>
      <c r="G874" s="103"/>
      <c r="H874" s="103"/>
      <c r="I874" s="103"/>
      <c r="J874" s="103"/>
    </row>
    <row r="875" ht="13.2" spans="5:10">
      <c r="E875" s="102"/>
      <c r="G875" s="103"/>
      <c r="H875" s="103"/>
      <c r="I875" s="103"/>
      <c r="J875" s="103"/>
    </row>
    <row r="876" ht="13.2" spans="5:10">
      <c r="E876" s="102"/>
      <c r="G876" s="103"/>
      <c r="H876" s="103"/>
      <c r="I876" s="103"/>
      <c r="J876" s="103"/>
    </row>
    <row r="877" ht="13.2" spans="5:10">
      <c r="E877" s="102"/>
      <c r="G877" s="103"/>
      <c r="H877" s="103"/>
      <c r="I877" s="103"/>
      <c r="J877" s="103"/>
    </row>
    <row r="878" ht="13.2" spans="5:10">
      <c r="E878" s="102"/>
      <c r="G878" s="103"/>
      <c r="H878" s="103"/>
      <c r="I878" s="103"/>
      <c r="J878" s="103"/>
    </row>
    <row r="879" ht="13.2" spans="5:10">
      <c r="E879" s="102"/>
      <c r="G879" s="103"/>
      <c r="H879" s="103"/>
      <c r="I879" s="103"/>
      <c r="J879" s="103"/>
    </row>
    <row r="880" ht="13.2" spans="5:10">
      <c r="E880" s="102"/>
      <c r="G880" s="103"/>
      <c r="H880" s="103"/>
      <c r="I880" s="103"/>
      <c r="J880" s="103"/>
    </row>
    <row r="881" ht="13.2" spans="5:10">
      <c r="E881" s="102"/>
      <c r="G881" s="103"/>
      <c r="H881" s="103"/>
      <c r="I881" s="103"/>
      <c r="J881" s="103"/>
    </row>
    <row r="882" ht="13.2" spans="5:10">
      <c r="E882" s="102"/>
      <c r="G882" s="103"/>
      <c r="H882" s="103"/>
      <c r="I882" s="103"/>
      <c r="J882" s="103"/>
    </row>
    <row r="883" ht="13.2" spans="5:10">
      <c r="E883" s="102"/>
      <c r="G883" s="103"/>
      <c r="H883" s="103"/>
      <c r="I883" s="103"/>
      <c r="J883" s="103"/>
    </row>
    <row r="884" ht="13.2" spans="5:10">
      <c r="E884" s="102"/>
      <c r="G884" s="103"/>
      <c r="H884" s="103"/>
      <c r="I884" s="103"/>
      <c r="J884" s="103"/>
    </row>
    <row r="885" ht="13.2" spans="5:10">
      <c r="E885" s="102"/>
      <c r="G885" s="103"/>
      <c r="H885" s="103"/>
      <c r="I885" s="103"/>
      <c r="J885" s="103"/>
    </row>
    <row r="886" ht="13.2" spans="5:10">
      <c r="E886" s="102"/>
      <c r="G886" s="103"/>
      <c r="H886" s="103"/>
      <c r="I886" s="103"/>
      <c r="J886" s="103"/>
    </row>
    <row r="887" ht="13.2" spans="5:10">
      <c r="E887" s="102"/>
      <c r="G887" s="103"/>
      <c r="H887" s="103"/>
      <c r="I887" s="103"/>
      <c r="J887" s="103"/>
    </row>
    <row r="888" ht="13.2" spans="5:10">
      <c r="E888" s="102"/>
      <c r="G888" s="103"/>
      <c r="H888" s="103"/>
      <c r="I888" s="103"/>
      <c r="J888" s="103"/>
    </row>
    <row r="889" ht="13.2" spans="5:10">
      <c r="E889" s="102"/>
      <c r="G889" s="103"/>
      <c r="H889" s="103"/>
      <c r="I889" s="103"/>
      <c r="J889" s="103"/>
    </row>
    <row r="890" ht="13.2" spans="5:10">
      <c r="E890" s="102"/>
      <c r="G890" s="103"/>
      <c r="H890" s="103"/>
      <c r="I890" s="103"/>
      <c r="J890" s="103"/>
    </row>
    <row r="891" ht="13.2" spans="5:10">
      <c r="E891" s="102"/>
      <c r="G891" s="103"/>
      <c r="H891" s="103"/>
      <c r="I891" s="103"/>
      <c r="J891" s="103"/>
    </row>
    <row r="892" ht="13.2" spans="5:10">
      <c r="E892" s="102"/>
      <c r="G892" s="103"/>
      <c r="H892" s="103"/>
      <c r="I892" s="103"/>
      <c r="J892" s="103"/>
    </row>
    <row r="893" ht="13.2" spans="5:10">
      <c r="E893" s="102"/>
      <c r="G893" s="103"/>
      <c r="H893" s="103"/>
      <c r="I893" s="103"/>
      <c r="J893" s="103"/>
    </row>
    <row r="894" ht="13.2" spans="5:10">
      <c r="E894" s="102"/>
      <c r="G894" s="103"/>
      <c r="H894" s="103"/>
      <c r="I894" s="103"/>
      <c r="J894" s="103"/>
    </row>
    <row r="895" ht="13.2" spans="5:10">
      <c r="E895" s="102"/>
      <c r="G895" s="103"/>
      <c r="H895" s="103"/>
      <c r="I895" s="103"/>
      <c r="J895" s="103"/>
    </row>
    <row r="896" ht="13.2" spans="5:10">
      <c r="E896" s="102"/>
      <c r="G896" s="103"/>
      <c r="H896" s="103"/>
      <c r="I896" s="103"/>
      <c r="J896" s="103"/>
    </row>
    <row r="897" ht="13.2" spans="5:10">
      <c r="E897" s="102"/>
      <c r="G897" s="103"/>
      <c r="H897" s="103"/>
      <c r="I897" s="103"/>
      <c r="J897" s="103"/>
    </row>
    <row r="898" ht="13.2" spans="5:10">
      <c r="E898" s="102"/>
      <c r="G898" s="103"/>
      <c r="H898" s="103"/>
      <c r="I898" s="103"/>
      <c r="J898" s="103"/>
    </row>
    <row r="899" ht="13.2" spans="5:10">
      <c r="E899" s="102"/>
      <c r="G899" s="103"/>
      <c r="H899" s="103"/>
      <c r="I899" s="103"/>
      <c r="J899" s="103"/>
    </row>
    <row r="900" ht="13.2" spans="5:10">
      <c r="E900" s="102"/>
      <c r="G900" s="103"/>
      <c r="H900" s="103"/>
      <c r="I900" s="103"/>
      <c r="J900" s="103"/>
    </row>
    <row r="901" ht="13.2" spans="5:10">
      <c r="E901" s="102"/>
      <c r="G901" s="103"/>
      <c r="H901" s="103"/>
      <c r="I901" s="103"/>
      <c r="J901" s="103"/>
    </row>
    <row r="902" ht="13.2" spans="5:10">
      <c r="E902" s="102"/>
      <c r="G902" s="103"/>
      <c r="H902" s="103"/>
      <c r="I902" s="103"/>
      <c r="J902" s="103"/>
    </row>
    <row r="903" ht="13.2" spans="5:10">
      <c r="E903" s="102"/>
      <c r="G903" s="103"/>
      <c r="H903" s="103"/>
      <c r="I903" s="103"/>
      <c r="J903" s="103"/>
    </row>
    <row r="904" ht="13.2" spans="5:10">
      <c r="E904" s="102"/>
      <c r="G904" s="103"/>
      <c r="H904" s="103"/>
      <c r="I904" s="103"/>
      <c r="J904" s="103"/>
    </row>
    <row r="905" ht="13.2" spans="5:10">
      <c r="E905" s="102"/>
      <c r="G905" s="103"/>
      <c r="H905" s="103"/>
      <c r="I905" s="103"/>
      <c r="J905" s="103"/>
    </row>
    <row r="906" ht="13.2" spans="5:10">
      <c r="E906" s="102"/>
      <c r="G906" s="103"/>
      <c r="H906" s="103"/>
      <c r="I906" s="103"/>
      <c r="J906" s="103"/>
    </row>
    <row r="907" ht="13.2" spans="5:10">
      <c r="E907" s="102"/>
      <c r="G907" s="103"/>
      <c r="H907" s="103"/>
      <c r="I907" s="103"/>
      <c r="J907" s="103"/>
    </row>
    <row r="908" ht="13.2" spans="5:10">
      <c r="E908" s="102"/>
      <c r="G908" s="103"/>
      <c r="H908" s="103"/>
      <c r="I908" s="103"/>
      <c r="J908" s="103"/>
    </row>
    <row r="909" ht="13.2" spans="5:10">
      <c r="E909" s="102"/>
      <c r="G909" s="103"/>
      <c r="H909" s="103"/>
      <c r="I909" s="103"/>
      <c r="J909" s="103"/>
    </row>
    <row r="910" ht="13.2" spans="5:10">
      <c r="E910" s="102"/>
      <c r="G910" s="103"/>
      <c r="H910" s="103"/>
      <c r="I910" s="103"/>
      <c r="J910" s="103"/>
    </row>
    <row r="911" ht="13.2" spans="5:10">
      <c r="E911" s="102"/>
      <c r="G911" s="103"/>
      <c r="H911" s="103"/>
      <c r="I911" s="103"/>
      <c r="J911" s="103"/>
    </row>
    <row r="912" ht="13.2" spans="5:10">
      <c r="E912" s="102"/>
      <c r="G912" s="103"/>
      <c r="H912" s="103"/>
      <c r="I912" s="103"/>
      <c r="J912" s="103"/>
    </row>
    <row r="913" ht="13.2" spans="5:10">
      <c r="E913" s="102"/>
      <c r="G913" s="103"/>
      <c r="H913" s="103"/>
      <c r="I913" s="103"/>
      <c r="J913" s="103"/>
    </row>
    <row r="914" ht="13.2" spans="5:10">
      <c r="E914" s="102"/>
      <c r="G914" s="103"/>
      <c r="H914" s="103"/>
      <c r="I914" s="103"/>
      <c r="J914" s="103"/>
    </row>
    <row r="915" ht="13.2" spans="5:10">
      <c r="E915" s="102"/>
      <c r="G915" s="103"/>
      <c r="H915" s="103"/>
      <c r="I915" s="103"/>
      <c r="J915" s="103"/>
    </row>
    <row r="916" ht="13.2" spans="5:10">
      <c r="E916" s="102"/>
      <c r="G916" s="103"/>
      <c r="H916" s="103"/>
      <c r="I916" s="103"/>
      <c r="J916" s="103"/>
    </row>
    <row r="917" ht="13.2" spans="5:10">
      <c r="E917" s="102"/>
      <c r="G917" s="103"/>
      <c r="H917" s="103"/>
      <c r="I917" s="103"/>
      <c r="J917" s="103"/>
    </row>
    <row r="918" ht="13.2" spans="5:10">
      <c r="E918" s="102"/>
      <c r="G918" s="103"/>
      <c r="H918" s="103"/>
      <c r="I918" s="103"/>
      <c r="J918" s="103"/>
    </row>
    <row r="919" ht="13.2" spans="5:10">
      <c r="E919" s="102"/>
      <c r="G919" s="103"/>
      <c r="H919" s="103"/>
      <c r="I919" s="103"/>
      <c r="J919" s="103"/>
    </row>
    <row r="920" ht="13.2" spans="5:10">
      <c r="E920" s="102"/>
      <c r="G920" s="103"/>
      <c r="H920" s="103"/>
      <c r="I920" s="103"/>
      <c r="J920" s="103"/>
    </row>
    <row r="921" ht="13.2" spans="5:10">
      <c r="E921" s="102"/>
      <c r="G921" s="103"/>
      <c r="H921" s="103"/>
      <c r="I921" s="103"/>
      <c r="J921" s="103"/>
    </row>
    <row r="922" ht="13.2" spans="5:10">
      <c r="E922" s="102"/>
      <c r="G922" s="103"/>
      <c r="H922" s="103"/>
      <c r="I922" s="103"/>
      <c r="J922" s="103"/>
    </row>
    <row r="923" ht="13.2" spans="5:10">
      <c r="E923" s="102"/>
      <c r="G923" s="103"/>
      <c r="H923" s="103"/>
      <c r="I923" s="103"/>
      <c r="J923" s="103"/>
    </row>
    <row r="924" ht="13.2" spans="5:10">
      <c r="E924" s="102"/>
      <c r="G924" s="103"/>
      <c r="H924" s="103"/>
      <c r="I924" s="103"/>
      <c r="J924" s="103"/>
    </row>
    <row r="925" ht="13.2" spans="5:10">
      <c r="E925" s="102"/>
      <c r="G925" s="103"/>
      <c r="H925" s="103"/>
      <c r="I925" s="103"/>
      <c r="J925" s="103"/>
    </row>
    <row r="926" ht="13.2" spans="5:10">
      <c r="E926" s="102"/>
      <c r="G926" s="103"/>
      <c r="H926" s="103"/>
      <c r="I926" s="103"/>
      <c r="J926" s="103"/>
    </row>
    <row r="927" ht="13.2" spans="5:10">
      <c r="E927" s="102"/>
      <c r="G927" s="103"/>
      <c r="H927" s="103"/>
      <c r="I927" s="103"/>
      <c r="J927" s="103"/>
    </row>
    <row r="928" ht="13.2" spans="5:10">
      <c r="E928" s="102"/>
      <c r="G928" s="103"/>
      <c r="H928" s="103"/>
      <c r="I928" s="103"/>
      <c r="J928" s="103"/>
    </row>
    <row r="929" ht="13.2" spans="5:10">
      <c r="E929" s="102"/>
      <c r="G929" s="103"/>
      <c r="H929" s="103"/>
      <c r="I929" s="103"/>
      <c r="J929" s="103"/>
    </row>
    <row r="930" ht="13.2" spans="5:10">
      <c r="E930" s="102"/>
      <c r="G930" s="103"/>
      <c r="H930" s="103"/>
      <c r="I930" s="103"/>
      <c r="J930" s="103"/>
    </row>
    <row r="931" ht="13.2" spans="5:10">
      <c r="E931" s="102"/>
      <c r="G931" s="103"/>
      <c r="H931" s="103"/>
      <c r="I931" s="103"/>
      <c r="J931" s="103"/>
    </row>
    <row r="932" ht="13.2" spans="5:10">
      <c r="E932" s="102"/>
      <c r="G932" s="103"/>
      <c r="H932" s="103"/>
      <c r="I932" s="103"/>
      <c r="J932" s="103"/>
    </row>
    <row r="933" ht="13.2" spans="5:10">
      <c r="E933" s="102"/>
      <c r="G933" s="103"/>
      <c r="H933" s="103"/>
      <c r="I933" s="103"/>
      <c r="J933" s="103"/>
    </row>
    <row r="934" ht="13.2" spans="5:10">
      <c r="E934" s="102"/>
      <c r="G934" s="103"/>
      <c r="H934" s="103"/>
      <c r="I934" s="103"/>
      <c r="J934" s="103"/>
    </row>
    <row r="935" ht="13.2" spans="5:10">
      <c r="E935" s="102"/>
      <c r="G935" s="103"/>
      <c r="H935" s="103"/>
      <c r="I935" s="103"/>
      <c r="J935" s="103"/>
    </row>
    <row r="936" ht="13.2" spans="5:10">
      <c r="E936" s="102"/>
      <c r="G936" s="103"/>
      <c r="H936" s="103"/>
      <c r="I936" s="103"/>
      <c r="J936" s="103"/>
    </row>
    <row r="937" ht="13.2" spans="5:10">
      <c r="E937" s="102"/>
      <c r="G937" s="103"/>
      <c r="H937" s="103"/>
      <c r="I937" s="103"/>
      <c r="J937" s="103"/>
    </row>
    <row r="938" ht="13.2" spans="5:10">
      <c r="E938" s="102"/>
      <c r="G938" s="103"/>
      <c r="H938" s="103"/>
      <c r="I938" s="103"/>
      <c r="J938" s="103"/>
    </row>
    <row r="939" ht="13.2" spans="5:10">
      <c r="E939" s="102"/>
      <c r="G939" s="103"/>
      <c r="H939" s="103"/>
      <c r="I939" s="103"/>
      <c r="J939" s="103"/>
    </row>
    <row r="940" ht="13.2" spans="5:10">
      <c r="E940" s="102"/>
      <c r="G940" s="103"/>
      <c r="H940" s="103"/>
      <c r="I940" s="103"/>
      <c r="J940" s="103"/>
    </row>
    <row r="941" ht="13.2" spans="5:10">
      <c r="E941" s="102"/>
      <c r="G941" s="103"/>
      <c r="H941" s="103"/>
      <c r="I941" s="103"/>
      <c r="J941" s="103"/>
    </row>
    <row r="942" ht="13.2" spans="5:10">
      <c r="E942" s="102"/>
      <c r="G942" s="103"/>
      <c r="H942" s="103"/>
      <c r="I942" s="103"/>
      <c r="J942" s="103"/>
    </row>
    <row r="943" ht="13.2" spans="5:10">
      <c r="E943" s="102"/>
      <c r="G943" s="103"/>
      <c r="H943" s="103"/>
      <c r="I943" s="103"/>
      <c r="J943" s="103"/>
    </row>
    <row r="944" ht="13.2" spans="5:10">
      <c r="E944" s="102"/>
      <c r="G944" s="103"/>
      <c r="H944" s="103"/>
      <c r="I944" s="103"/>
      <c r="J944" s="103"/>
    </row>
    <row r="945" ht="13.2" spans="5:10">
      <c r="E945" s="102"/>
      <c r="G945" s="103"/>
      <c r="H945" s="103"/>
      <c r="I945" s="103"/>
      <c r="J945" s="103"/>
    </row>
    <row r="946" ht="13.2" spans="5:10">
      <c r="E946" s="102"/>
      <c r="G946" s="103"/>
      <c r="H946" s="103"/>
      <c r="I946" s="103"/>
      <c r="J946" s="103"/>
    </row>
    <row r="947" ht="13.2" spans="5:10">
      <c r="E947" s="102"/>
      <c r="G947" s="103"/>
      <c r="H947" s="103"/>
      <c r="I947" s="103"/>
      <c r="J947" s="103"/>
    </row>
    <row r="948" ht="13.2" spans="5:10">
      <c r="E948" s="102"/>
      <c r="G948" s="103"/>
      <c r="H948" s="103"/>
      <c r="I948" s="103"/>
      <c r="J948" s="103"/>
    </row>
    <row r="949" ht="13.2" spans="5:10">
      <c r="E949" s="102"/>
      <c r="G949" s="103"/>
      <c r="H949" s="103"/>
      <c r="I949" s="103"/>
      <c r="J949" s="103"/>
    </row>
    <row r="950" ht="13.2" spans="5:10">
      <c r="E950" s="102"/>
      <c r="G950" s="103"/>
      <c r="H950" s="103"/>
      <c r="I950" s="103"/>
      <c r="J950" s="103"/>
    </row>
    <row r="951" ht="13.2" spans="5:10">
      <c r="E951" s="102"/>
      <c r="G951" s="103"/>
      <c r="H951" s="103"/>
      <c r="I951" s="103"/>
      <c r="J951" s="103"/>
    </row>
    <row r="952" ht="13.2" spans="5:10">
      <c r="E952" s="102"/>
      <c r="G952" s="103"/>
      <c r="H952" s="103"/>
      <c r="I952" s="103"/>
      <c r="J952" s="103"/>
    </row>
    <row r="953" ht="13.2" spans="5:10">
      <c r="E953" s="102"/>
      <c r="G953" s="103"/>
      <c r="H953" s="103"/>
      <c r="I953" s="103"/>
      <c r="J953" s="103"/>
    </row>
    <row r="954" ht="13.2" spans="5:10">
      <c r="E954" s="102"/>
      <c r="G954" s="103"/>
      <c r="H954" s="103"/>
      <c r="I954" s="103"/>
      <c r="J954" s="103"/>
    </row>
    <row r="955" ht="13.2" spans="5:10">
      <c r="E955" s="102"/>
      <c r="G955" s="103"/>
      <c r="H955" s="103"/>
      <c r="I955" s="103"/>
      <c r="J955" s="103"/>
    </row>
    <row r="956" ht="13.2" spans="5:10">
      <c r="E956" s="102"/>
      <c r="G956" s="103"/>
      <c r="H956" s="103"/>
      <c r="I956" s="103"/>
      <c r="J956" s="103"/>
    </row>
    <row r="957" ht="13.2" spans="5:10">
      <c r="E957" s="102"/>
      <c r="G957" s="103"/>
      <c r="H957" s="103"/>
      <c r="I957" s="103"/>
      <c r="J957" s="103"/>
    </row>
    <row r="958" ht="13.2" spans="5:10">
      <c r="E958" s="102"/>
      <c r="G958" s="103"/>
      <c r="H958" s="103"/>
      <c r="I958" s="103"/>
      <c r="J958" s="103"/>
    </row>
    <row r="959" ht="13.2" spans="5:10">
      <c r="E959" s="102"/>
      <c r="G959" s="103"/>
      <c r="H959" s="103"/>
      <c r="I959" s="103"/>
      <c r="J959" s="103"/>
    </row>
    <row r="960" ht="13.2" spans="5:10">
      <c r="E960" s="102"/>
      <c r="G960" s="103"/>
      <c r="H960" s="103"/>
      <c r="I960" s="103"/>
      <c r="J960" s="103"/>
    </row>
    <row r="961" ht="13.2" spans="5:10">
      <c r="E961" s="102"/>
      <c r="G961" s="103"/>
      <c r="H961" s="103"/>
      <c r="I961" s="103"/>
      <c r="J961" s="103"/>
    </row>
    <row r="962" ht="13.2" spans="5:10">
      <c r="E962" s="102"/>
      <c r="G962" s="103"/>
      <c r="H962" s="103"/>
      <c r="I962" s="103"/>
      <c r="J962" s="103"/>
    </row>
    <row r="963" ht="13.2" spans="5:10">
      <c r="E963" s="102"/>
      <c r="G963" s="103"/>
      <c r="H963" s="103"/>
      <c r="I963" s="103"/>
      <c r="J963" s="103"/>
    </row>
    <row r="964" ht="13.2" spans="5:10">
      <c r="E964" s="102"/>
      <c r="G964" s="103"/>
      <c r="H964" s="103"/>
      <c r="I964" s="103"/>
      <c r="J964" s="103"/>
    </row>
    <row r="965" ht="13.2" spans="5:10">
      <c r="E965" s="102"/>
      <c r="G965" s="103"/>
      <c r="H965" s="103"/>
      <c r="I965" s="103"/>
      <c r="J965" s="103"/>
    </row>
    <row r="966" ht="13.2" spans="5:10">
      <c r="E966" s="102"/>
      <c r="G966" s="103"/>
      <c r="H966" s="103"/>
      <c r="I966" s="103"/>
      <c r="J966" s="103"/>
    </row>
    <row r="967" ht="13.2" spans="5:10">
      <c r="E967" s="102"/>
      <c r="G967" s="103"/>
      <c r="H967" s="103"/>
      <c r="I967" s="103"/>
      <c r="J967" s="103"/>
    </row>
    <row r="968" ht="13.2" spans="5:10">
      <c r="E968" s="102"/>
      <c r="G968" s="103"/>
      <c r="H968" s="103"/>
      <c r="I968" s="103"/>
      <c r="J968" s="103"/>
    </row>
    <row r="969" ht="13.2" spans="5:10">
      <c r="E969" s="102"/>
      <c r="G969" s="103"/>
      <c r="H969" s="103"/>
      <c r="I969" s="103"/>
      <c r="J969" s="103"/>
    </row>
    <row r="970" ht="13.2" spans="5:10">
      <c r="E970" s="102"/>
      <c r="G970" s="103"/>
      <c r="H970" s="103"/>
      <c r="I970" s="103"/>
      <c r="J970" s="103"/>
    </row>
    <row r="971" ht="13.2" spans="5:10">
      <c r="E971" s="102"/>
      <c r="G971" s="103"/>
      <c r="H971" s="103"/>
      <c r="I971" s="103"/>
      <c r="J971" s="103"/>
    </row>
    <row r="972" ht="13.2" spans="5:10">
      <c r="E972" s="102"/>
      <c r="G972" s="103"/>
      <c r="H972" s="103"/>
      <c r="I972" s="103"/>
      <c r="J972" s="103"/>
    </row>
    <row r="973" ht="13.2" spans="5:10">
      <c r="E973" s="102"/>
      <c r="G973" s="103"/>
      <c r="H973" s="103"/>
      <c r="I973" s="103"/>
      <c r="J973" s="103"/>
    </row>
    <row r="974" ht="13.2" spans="5:10">
      <c r="E974" s="102"/>
      <c r="G974" s="103"/>
      <c r="H974" s="103"/>
      <c r="I974" s="103"/>
      <c r="J974" s="103"/>
    </row>
    <row r="975" ht="13.2" spans="5:10">
      <c r="E975" s="102"/>
      <c r="G975" s="103"/>
      <c r="H975" s="103"/>
      <c r="I975" s="103"/>
      <c r="J975" s="103"/>
    </row>
    <row r="976" ht="13.2" spans="5:10">
      <c r="E976" s="102"/>
      <c r="G976" s="103"/>
      <c r="H976" s="103"/>
      <c r="I976" s="103"/>
      <c r="J976" s="103"/>
    </row>
    <row r="977" ht="13.2" spans="5:10">
      <c r="E977" s="102"/>
      <c r="G977" s="103"/>
      <c r="H977" s="103"/>
      <c r="I977" s="103"/>
      <c r="J977" s="103"/>
    </row>
    <row r="978" ht="13.2" spans="5:10">
      <c r="E978" s="102"/>
      <c r="G978" s="103"/>
      <c r="H978" s="103"/>
      <c r="I978" s="103"/>
      <c r="J978" s="103"/>
    </row>
    <row r="979" ht="13.2" spans="5:10">
      <c r="E979" s="102"/>
      <c r="G979" s="103"/>
      <c r="H979" s="103"/>
      <c r="I979" s="103"/>
      <c r="J979" s="103"/>
    </row>
    <row r="980" ht="13.2" spans="5:10">
      <c r="E980" s="102"/>
      <c r="G980" s="103"/>
      <c r="H980" s="103"/>
      <c r="I980" s="103"/>
      <c r="J980" s="103"/>
    </row>
    <row r="981" ht="13.2" spans="5:10">
      <c r="E981" s="102"/>
      <c r="G981" s="103"/>
      <c r="H981" s="103"/>
      <c r="I981" s="103"/>
      <c r="J981" s="103"/>
    </row>
    <row r="982" ht="13.2" spans="5:10">
      <c r="E982" s="102"/>
      <c r="G982" s="103"/>
      <c r="H982" s="103"/>
      <c r="I982" s="103"/>
      <c r="J982" s="103"/>
    </row>
    <row r="983" ht="13.2" spans="5:10">
      <c r="E983" s="102"/>
      <c r="G983" s="103"/>
      <c r="H983" s="103"/>
      <c r="I983" s="103"/>
      <c r="J983" s="103"/>
    </row>
    <row r="984" ht="13.2" spans="5:10">
      <c r="E984" s="102"/>
      <c r="G984" s="103"/>
      <c r="H984" s="103"/>
      <c r="I984" s="103"/>
      <c r="J984" s="103"/>
    </row>
    <row r="985" ht="13.2" spans="5:10">
      <c r="E985" s="102"/>
      <c r="G985" s="103"/>
      <c r="H985" s="103"/>
      <c r="I985" s="103"/>
      <c r="J985" s="103"/>
    </row>
    <row r="986" ht="13.2" spans="5:10">
      <c r="E986" s="102"/>
      <c r="G986" s="103"/>
      <c r="H986" s="103"/>
      <c r="I986" s="103"/>
      <c r="J986" s="103"/>
    </row>
    <row r="987" ht="13.2" spans="5:10">
      <c r="E987" s="102"/>
      <c r="G987" s="103"/>
      <c r="H987" s="103"/>
      <c r="I987" s="103"/>
      <c r="J987" s="103"/>
    </row>
    <row r="988" ht="13.2" spans="5:10">
      <c r="E988" s="102"/>
      <c r="G988" s="103"/>
      <c r="H988" s="103"/>
      <c r="I988" s="103"/>
      <c r="J988" s="103"/>
    </row>
    <row r="989" ht="13.2" spans="5:10">
      <c r="E989" s="102"/>
      <c r="G989" s="103"/>
      <c r="H989" s="103"/>
      <c r="I989" s="103"/>
      <c r="J989" s="103"/>
    </row>
    <row r="990" ht="13.2" spans="5:10">
      <c r="E990" s="102"/>
      <c r="G990" s="103"/>
      <c r="H990" s="103"/>
      <c r="I990" s="103"/>
      <c r="J990" s="103"/>
    </row>
    <row r="991" ht="13.2" spans="5:10">
      <c r="E991" s="102"/>
      <c r="G991" s="103"/>
      <c r="H991" s="103"/>
      <c r="I991" s="103"/>
      <c r="J991" s="103"/>
    </row>
    <row r="992" ht="13.2" spans="5:10">
      <c r="E992" s="102"/>
      <c r="G992" s="103"/>
      <c r="H992" s="103"/>
      <c r="I992" s="103"/>
      <c r="J992" s="103"/>
    </row>
    <row r="993" ht="13.2" spans="5:10">
      <c r="E993" s="102"/>
      <c r="G993" s="103"/>
      <c r="H993" s="103"/>
      <c r="I993" s="103"/>
      <c r="J993" s="103"/>
    </row>
    <row r="994" ht="13.2" spans="5:10">
      <c r="E994" s="102"/>
      <c r="G994" s="103"/>
      <c r="H994" s="103"/>
      <c r="I994" s="103"/>
      <c r="J994" s="103"/>
    </row>
    <row r="995" ht="13.2" spans="5:10">
      <c r="E995" s="102"/>
      <c r="G995" s="103"/>
      <c r="H995" s="103"/>
      <c r="I995" s="103"/>
      <c r="J995" s="103"/>
    </row>
    <row r="996" ht="13.2" spans="5:10">
      <c r="E996" s="102"/>
      <c r="G996" s="103"/>
      <c r="H996" s="103"/>
      <c r="I996" s="103"/>
      <c r="J996" s="103"/>
    </row>
    <row r="997" ht="13.2" spans="5:10">
      <c r="E997" s="102"/>
      <c r="G997" s="103"/>
      <c r="H997" s="103"/>
      <c r="I997" s="103"/>
      <c r="J997" s="103"/>
    </row>
    <row r="998" ht="13.2" spans="5:10">
      <c r="E998" s="102"/>
      <c r="G998" s="103"/>
      <c r="H998" s="103"/>
      <c r="I998" s="103"/>
      <c r="J998" s="103"/>
    </row>
    <row r="999" ht="13.2" spans="5:10">
      <c r="E999" s="102"/>
      <c r="G999" s="103"/>
      <c r="H999" s="103"/>
      <c r="I999" s="103"/>
      <c r="J999" s="103"/>
    </row>
    <row r="1000" ht="13.2" spans="5:10">
      <c r="E1000" s="102"/>
      <c r="G1000" s="103"/>
      <c r="H1000" s="103"/>
      <c r="I1000" s="103"/>
      <c r="J1000" s="10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9"/>
  <sheetViews>
    <sheetView workbookViewId="0">
      <selection activeCell="A1" sqref="A1"/>
    </sheetView>
  </sheetViews>
  <sheetFormatPr defaultColWidth="12.6296296296296" defaultRowHeight="15.75" customHeight="1" outlineLevelCol="2"/>
  <cols>
    <col min="3" max="3" width="10.25" customWidth="1"/>
  </cols>
  <sheetData>
    <row r="1" customHeight="1" spans="1:3">
      <c r="A1" s="96" t="s">
        <v>83</v>
      </c>
      <c r="B1" s="95" t="str">
        <f t="array" ref="B1:B15">_xlfn.UNIQUE(A1:A29)</f>
        <v>CH1558</v>
      </c>
      <c r="C1" s="95" t="str">
        <f>IFERROR(__xludf.DUMMYFUNCTION("TEXTJOIN("","",1,FILTER('S6 Course Allocation'!A:A,'S6 Course Allocation'!K:K=B1))"),"#N/A")</f>
        <v>#N/A</v>
      </c>
    </row>
    <row r="2" customHeight="1" spans="1:3">
      <c r="A2" s="96" t="s">
        <v>84</v>
      </c>
      <c r="B2" s="95" t="str">
        <v>CH1894</v>
      </c>
      <c r="C2" s="95" t="str">
        <f>IFERROR(__xludf.DUMMYFUNCTION("TEXTJOIN("","",1,FILTER('S6 Course Allocation'!A:A,'S6 Course Allocation'!K:K=B2))"),"#N/A")</f>
        <v>#N/A</v>
      </c>
    </row>
    <row r="3" customHeight="1" spans="1:3">
      <c r="A3" s="96" t="s">
        <v>85</v>
      </c>
      <c r="B3" s="95" t="str">
        <v>CH1557</v>
      </c>
      <c r="C3" s="95" t="str">
        <f>IFERROR(__xludf.DUMMYFUNCTION("TEXTJOIN("","",1,FILTER('S6 Course Allocation'!A:A,'S6 Course Allocation'!K:K=B3))"),"#N/A")</f>
        <v>#N/A</v>
      </c>
    </row>
    <row r="4" customHeight="1" spans="1:3">
      <c r="A4" s="96" t="s">
        <v>86</v>
      </c>
      <c r="B4" s="95" t="str">
        <v>CH10957</v>
      </c>
      <c r="C4" s="95" t="str">
        <f>IFERROR(__xludf.DUMMYFUNCTION("TEXTJOIN("","",1,FILTER('S6 Course Allocation'!A:A,'S6 Course Allocation'!K:K=B4))"),"#N/A")</f>
        <v>#N/A</v>
      </c>
    </row>
    <row r="5" customHeight="1" spans="1:3">
      <c r="A5" s="96" t="s">
        <v>87</v>
      </c>
      <c r="B5" s="95" t="str">
        <v>CH11127</v>
      </c>
      <c r="C5" s="95" t="str">
        <f>IFERROR(__xludf.DUMMYFUNCTION("TEXTJOIN("","",1,FILTER('S6 Course Allocation'!A:A,'S6 Course Allocation'!K:K=B5))"),"#N/A")</f>
        <v>#N/A</v>
      </c>
    </row>
    <row r="6" customHeight="1" spans="1:3">
      <c r="A6" s="96" t="s">
        <v>86</v>
      </c>
      <c r="B6" s="95" t="str">
        <v>CH1493</v>
      </c>
      <c r="C6" s="95" t="str">
        <f>IFERROR(__xludf.DUMMYFUNCTION("TEXTJOIN("","",1,FILTER('S6 Course Allocation'!A:A,'S6 Course Allocation'!K:K=B6))"),"#N/A")</f>
        <v>#N/A</v>
      </c>
    </row>
    <row r="7" customHeight="1" spans="1:3">
      <c r="A7" s="96" t="s">
        <v>83</v>
      </c>
      <c r="B7" s="95" t="str">
        <v>CH10372</v>
      </c>
      <c r="C7" s="95" t="str">
        <f>IFERROR(__xludf.DUMMYFUNCTION("TEXTJOIN("","",1,FILTER('S6 Course Allocation'!A:A,'S6 Course Allocation'!K:K=B7))"),"#N/A")</f>
        <v>#N/A</v>
      </c>
    </row>
    <row r="8" customHeight="1" spans="1:3">
      <c r="A8" s="96" t="s">
        <v>88</v>
      </c>
      <c r="B8" s="95" t="str">
        <v>CH1578</v>
      </c>
      <c r="C8" s="95" t="str">
        <f>IFERROR(__xludf.DUMMYFUNCTION("TEXTJOIN("","",1,FILTER('S6 Course Allocation'!A:A,'S6 Course Allocation'!K:K=B8))"),"#N/A")</f>
        <v>#N/A</v>
      </c>
    </row>
    <row r="9" customHeight="1" spans="1:3">
      <c r="A9" s="96" t="s">
        <v>89</v>
      </c>
      <c r="B9" s="95" t="str">
        <v>CH10314</v>
      </c>
      <c r="C9" s="95" t="str">
        <f>IFERROR(__xludf.DUMMYFUNCTION("TEXTJOIN("","",1,FILTER('S6 Course Allocation'!A:A,'S6 Course Allocation'!K:K=B9))"),"#N/A")</f>
        <v>#N/A</v>
      </c>
    </row>
    <row r="10" customHeight="1" spans="1:3">
      <c r="A10" s="96" t="s">
        <v>90</v>
      </c>
      <c r="B10" s="95" t="str">
        <v>CH10225</v>
      </c>
      <c r="C10" s="95" t="str">
        <f>IFERROR(__xludf.DUMMYFUNCTION("TEXTJOIN("","",1,FILTER('S6 Course Allocation'!A:A,'S6 Course Allocation'!K:K=B10))"),"#N/A")</f>
        <v>#N/A</v>
      </c>
    </row>
    <row r="11" customHeight="1" spans="1:3">
      <c r="A11" s="96" t="s">
        <v>91</v>
      </c>
      <c r="B11" s="95" t="str">
        <v>CH11156</v>
      </c>
      <c r="C11" s="95" t="str">
        <f>IFERROR(__xludf.DUMMYFUNCTION("TEXTJOIN("","",1,FILTER('S6 Course Allocation'!A:A,'S6 Course Allocation'!K:K=B11))"),"#N/A")</f>
        <v>#N/A</v>
      </c>
    </row>
    <row r="12" customHeight="1" spans="1:3">
      <c r="A12" s="96" t="s">
        <v>92</v>
      </c>
      <c r="B12" s="95" t="str">
        <v>CH11126</v>
      </c>
      <c r="C12" s="95" t="str">
        <f>IFERROR(__xludf.DUMMYFUNCTION("TEXTJOIN("","",1,FILTER('S6 Course Allocation'!A:A,'S6 Course Allocation'!K:K=B12))"),"#N/A")</f>
        <v>#N/A</v>
      </c>
    </row>
    <row r="13" customHeight="1" spans="1:3">
      <c r="A13" s="96" t="s">
        <v>93</v>
      </c>
      <c r="B13" s="95" t="str">
        <v>CH10003</v>
      </c>
      <c r="C13" s="95" t="str">
        <f>IFERROR(__xludf.DUMMYFUNCTION("TEXTJOIN("","",1,FILTER('S6 Course Allocation'!A:A,'S6 Course Allocation'!K:K=B13))"),"#N/A")</f>
        <v>#N/A</v>
      </c>
    </row>
    <row r="14" customHeight="1" spans="1:3">
      <c r="A14" s="96" t="s">
        <v>94</v>
      </c>
      <c r="B14" s="95" t="str">
        <v>CH10333</v>
      </c>
      <c r="C14" s="95" t="str">
        <f>IFERROR(__xludf.DUMMYFUNCTION("TEXTJOIN("","",1,FILTER('S6 Course Allocation'!A:A,'S6 Course Allocation'!K:K=B14))"),"#N/A")</f>
        <v>#N/A</v>
      </c>
    </row>
    <row r="15" customHeight="1" spans="1:3">
      <c r="A15" s="96" t="s">
        <v>95</v>
      </c>
      <c r="B15" s="95" t="str">
        <v>CH11057</v>
      </c>
      <c r="C15" s="95" t="str">
        <f>IFERROR(__xludf.DUMMYFUNCTION("TEXTJOIN("","",1,FILTER('S6 Course Allocation'!A:A,'S6 Course Allocation'!K:K=B15))"),"#N/A")</f>
        <v>#N/A</v>
      </c>
    </row>
    <row r="16" customHeight="1" spans="1:1">
      <c r="A16" s="96" t="s">
        <v>87</v>
      </c>
    </row>
    <row r="17" customHeight="1" spans="1:1">
      <c r="A17" s="96" t="s">
        <v>88</v>
      </c>
    </row>
    <row r="18" customHeight="1" spans="1:1">
      <c r="A18" s="96" t="s">
        <v>96</v>
      </c>
    </row>
    <row r="19" customHeight="1" spans="1:1">
      <c r="A19" s="96" t="s">
        <v>95</v>
      </c>
    </row>
    <row r="20" customHeight="1" spans="1:1">
      <c r="A20" s="96" t="s">
        <v>89</v>
      </c>
    </row>
    <row r="21" customHeight="1" spans="1:1">
      <c r="A21" s="96" t="s">
        <v>97</v>
      </c>
    </row>
    <row r="22" customHeight="1" spans="1:1">
      <c r="A22" s="96" t="s">
        <v>93</v>
      </c>
    </row>
    <row r="23" customHeight="1" spans="1:1">
      <c r="A23" s="96" t="s">
        <v>85</v>
      </c>
    </row>
    <row r="24" customHeight="1" spans="1:1">
      <c r="A24" s="96" t="s">
        <v>90</v>
      </c>
    </row>
    <row r="25" customHeight="1" spans="1:1">
      <c r="A25" s="96" t="s">
        <v>93</v>
      </c>
    </row>
    <row r="26" customHeight="1" spans="1:1">
      <c r="A26" s="96" t="s">
        <v>96</v>
      </c>
    </row>
    <row r="27" customHeight="1" spans="1:1">
      <c r="A27" s="96" t="s">
        <v>94</v>
      </c>
    </row>
    <row r="28" customHeight="1" spans="1:1">
      <c r="A28" s="96" t="s">
        <v>91</v>
      </c>
    </row>
    <row r="29" customHeight="1" spans="1:1">
      <c r="A29" s="96" t="s">
        <v>92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23"/>
  <sheetViews>
    <sheetView workbookViewId="0">
      <selection activeCell="A1" sqref="A1"/>
    </sheetView>
  </sheetViews>
  <sheetFormatPr defaultColWidth="12.6296296296296" defaultRowHeight="15.75" customHeight="1"/>
  <cols>
    <col min="2" max="2" width="34.5" customWidth="1"/>
    <col min="3" max="3" width="18.25" customWidth="1"/>
    <col min="4" max="4" width="52" customWidth="1"/>
    <col min="5" max="5" width="45.8796296296296" customWidth="1"/>
    <col min="8" max="8" width="25.8796296296296" customWidth="1"/>
  </cols>
  <sheetData>
    <row r="1" customHeight="1" spans="1:5">
      <c r="A1" s="93" t="s">
        <v>98</v>
      </c>
      <c r="B1" s="93" t="s">
        <v>99</v>
      </c>
      <c r="C1" s="93" t="s">
        <v>2</v>
      </c>
      <c r="D1" s="93" t="s">
        <v>100</v>
      </c>
      <c r="E1" s="93" t="s">
        <v>101</v>
      </c>
    </row>
    <row r="2" customHeight="1" spans="1:5">
      <c r="A2" s="94" t="s">
        <v>102</v>
      </c>
      <c r="B2" s="94" t="s">
        <v>103</v>
      </c>
      <c r="C2" s="94" t="s">
        <v>104</v>
      </c>
      <c r="D2" s="94" t="s">
        <v>105</v>
      </c>
      <c r="E2" s="94" t="s">
        <v>106</v>
      </c>
    </row>
    <row r="3" customHeight="1" spans="1:5">
      <c r="A3" s="94" t="s">
        <v>102</v>
      </c>
      <c r="B3" s="94" t="s">
        <v>103</v>
      </c>
      <c r="C3" s="94" t="s">
        <v>107</v>
      </c>
      <c r="D3" s="94" t="s">
        <v>108</v>
      </c>
      <c r="E3" s="94" t="s">
        <v>109</v>
      </c>
    </row>
    <row r="4" customHeight="1" spans="1:5">
      <c r="A4" s="94" t="s">
        <v>102</v>
      </c>
      <c r="B4" s="94" t="s">
        <v>103</v>
      </c>
      <c r="C4" s="94" t="s">
        <v>110</v>
      </c>
      <c r="D4" s="94" t="s">
        <v>111</v>
      </c>
      <c r="E4" s="94" t="s">
        <v>112</v>
      </c>
    </row>
    <row r="5" customHeight="1" spans="1:5">
      <c r="A5" s="94" t="s">
        <v>102</v>
      </c>
      <c r="B5" s="94" t="s">
        <v>103</v>
      </c>
      <c r="C5" s="94" t="s">
        <v>113</v>
      </c>
      <c r="D5" s="94" t="s">
        <v>114</v>
      </c>
      <c r="E5" s="94" t="s">
        <v>115</v>
      </c>
    </row>
    <row r="6" customHeight="1" spans="1:5">
      <c r="A6" s="94" t="s">
        <v>102</v>
      </c>
      <c r="B6" s="94" t="s">
        <v>103</v>
      </c>
      <c r="C6" s="94" t="s">
        <v>116</v>
      </c>
      <c r="D6" s="94" t="s">
        <v>117</v>
      </c>
      <c r="E6" s="94" t="s">
        <v>118</v>
      </c>
    </row>
    <row r="7" customHeight="1" spans="1:5">
      <c r="A7" s="94" t="s">
        <v>102</v>
      </c>
      <c r="B7" s="94" t="s">
        <v>103</v>
      </c>
      <c r="C7" s="94" t="s">
        <v>119</v>
      </c>
      <c r="D7" s="94" t="s">
        <v>120</v>
      </c>
      <c r="E7" s="94"/>
    </row>
    <row r="8" customHeight="1" spans="1:5">
      <c r="A8" s="94" t="s">
        <v>102</v>
      </c>
      <c r="B8" s="94" t="s">
        <v>103</v>
      </c>
      <c r="C8" s="94" t="s">
        <v>121</v>
      </c>
      <c r="D8" s="94" t="s">
        <v>122</v>
      </c>
      <c r="E8" s="94"/>
    </row>
    <row r="9" customHeight="1" spans="1:5">
      <c r="A9" s="94" t="s">
        <v>102</v>
      </c>
      <c r="B9" s="94" t="s">
        <v>123</v>
      </c>
      <c r="C9" s="94" t="s">
        <v>104</v>
      </c>
      <c r="D9" s="94" t="s">
        <v>124</v>
      </c>
      <c r="E9" s="94" t="s">
        <v>125</v>
      </c>
    </row>
    <row r="10" customHeight="1" spans="1:5">
      <c r="A10" s="94" t="s">
        <v>102</v>
      </c>
      <c r="B10" s="94" t="s">
        <v>123</v>
      </c>
      <c r="C10" s="94" t="s">
        <v>107</v>
      </c>
      <c r="D10" s="94" t="s">
        <v>126</v>
      </c>
      <c r="E10" s="94" t="s">
        <v>127</v>
      </c>
    </row>
    <row r="11" customHeight="1" spans="1:5">
      <c r="A11" s="94" t="s">
        <v>102</v>
      </c>
      <c r="B11" s="94" t="s">
        <v>123</v>
      </c>
      <c r="C11" s="94" t="s">
        <v>110</v>
      </c>
      <c r="D11" s="94" t="s">
        <v>128</v>
      </c>
      <c r="E11" s="94" t="s">
        <v>129</v>
      </c>
    </row>
    <row r="12" customHeight="1" spans="1:5">
      <c r="A12" s="94" t="s">
        <v>102</v>
      </c>
      <c r="B12" s="94" t="s">
        <v>123</v>
      </c>
      <c r="C12" s="94" t="s">
        <v>113</v>
      </c>
      <c r="D12" s="94" t="s">
        <v>130</v>
      </c>
      <c r="E12" s="94" t="s">
        <v>131</v>
      </c>
    </row>
    <row r="13" customHeight="1" spans="1:5">
      <c r="A13" s="94" t="s">
        <v>102</v>
      </c>
      <c r="B13" s="94" t="s">
        <v>123</v>
      </c>
      <c r="C13" s="94" t="s">
        <v>116</v>
      </c>
      <c r="D13" s="94" t="s">
        <v>132</v>
      </c>
      <c r="E13" s="94" t="s">
        <v>133</v>
      </c>
    </row>
    <row r="14" customHeight="1" spans="1:5">
      <c r="A14" s="94" t="s">
        <v>102</v>
      </c>
      <c r="B14" s="94" t="s">
        <v>123</v>
      </c>
      <c r="C14" s="94" t="s">
        <v>119</v>
      </c>
      <c r="D14" s="94" t="s">
        <v>134</v>
      </c>
      <c r="E14" s="94"/>
    </row>
    <row r="15" customHeight="1" spans="1:5">
      <c r="A15" s="94" t="s">
        <v>102</v>
      </c>
      <c r="B15" s="94" t="s">
        <v>123</v>
      </c>
      <c r="C15" s="94" t="s">
        <v>121</v>
      </c>
      <c r="D15" s="94" t="s">
        <v>135</v>
      </c>
      <c r="E15" s="94"/>
    </row>
    <row r="16" customHeight="1" spans="1:5">
      <c r="A16" s="94" t="s">
        <v>102</v>
      </c>
      <c r="B16" s="94" t="s">
        <v>136</v>
      </c>
      <c r="C16" s="94" t="s">
        <v>104</v>
      </c>
      <c r="D16" s="94" t="s">
        <v>137</v>
      </c>
      <c r="E16" s="94"/>
    </row>
    <row r="17" customHeight="1" spans="1:5">
      <c r="A17" s="94" t="s">
        <v>102</v>
      </c>
      <c r="B17" s="94" t="s">
        <v>136</v>
      </c>
      <c r="C17" s="94" t="s">
        <v>107</v>
      </c>
      <c r="D17" s="94" t="s">
        <v>138</v>
      </c>
      <c r="E17" s="94"/>
    </row>
    <row r="18" customHeight="1" spans="1:5">
      <c r="A18" s="94" t="s">
        <v>102</v>
      </c>
      <c r="B18" s="94" t="s">
        <v>136</v>
      </c>
      <c r="C18" s="94" t="s">
        <v>110</v>
      </c>
      <c r="D18" s="94" t="s">
        <v>139</v>
      </c>
      <c r="E18" s="94"/>
    </row>
    <row r="19" customHeight="1" spans="1:5">
      <c r="A19" s="94" t="s">
        <v>102</v>
      </c>
      <c r="B19" s="94" t="s">
        <v>136</v>
      </c>
      <c r="C19" s="94" t="s">
        <v>113</v>
      </c>
      <c r="D19" s="94" t="s">
        <v>140</v>
      </c>
      <c r="E19" s="94"/>
    </row>
    <row r="20" customHeight="1" spans="1:5">
      <c r="A20" s="94" t="s">
        <v>102</v>
      </c>
      <c r="B20" s="94" t="s">
        <v>136</v>
      </c>
      <c r="C20" s="94" t="s">
        <v>116</v>
      </c>
      <c r="D20" s="94" t="s">
        <v>141</v>
      </c>
      <c r="E20" s="94"/>
    </row>
    <row r="21" customHeight="1" spans="1:5">
      <c r="A21" s="94" t="s">
        <v>102</v>
      </c>
      <c r="B21" s="94" t="s">
        <v>136</v>
      </c>
      <c r="C21" s="94" t="s">
        <v>119</v>
      </c>
      <c r="D21" s="94" t="s">
        <v>142</v>
      </c>
      <c r="E21" s="94"/>
    </row>
    <row r="22" customHeight="1" spans="1:5">
      <c r="A22" s="94" t="s">
        <v>102</v>
      </c>
      <c r="B22" s="94" t="s">
        <v>136</v>
      </c>
      <c r="C22" s="94" t="s">
        <v>121</v>
      </c>
      <c r="D22" s="94" t="s">
        <v>143</v>
      </c>
      <c r="E22" s="94"/>
    </row>
    <row r="23" customHeight="1" spans="1:5">
      <c r="A23" s="94" t="s">
        <v>102</v>
      </c>
      <c r="B23" s="94" t="s">
        <v>144</v>
      </c>
      <c r="C23" s="94" t="s">
        <v>104</v>
      </c>
      <c r="D23" s="94" t="s">
        <v>145</v>
      </c>
      <c r="E23" s="94" t="s">
        <v>146</v>
      </c>
    </row>
    <row r="24" customHeight="1" spans="1:5">
      <c r="A24" s="94" t="s">
        <v>102</v>
      </c>
      <c r="B24" s="94" t="s">
        <v>144</v>
      </c>
      <c r="C24" s="94" t="s">
        <v>107</v>
      </c>
      <c r="D24" s="94" t="s">
        <v>147</v>
      </c>
      <c r="E24" s="94" t="s">
        <v>148</v>
      </c>
    </row>
    <row r="25" customHeight="1" spans="1:5">
      <c r="A25" s="94" t="s">
        <v>102</v>
      </c>
      <c r="B25" s="94" t="s">
        <v>144</v>
      </c>
      <c r="C25" s="94" t="s">
        <v>110</v>
      </c>
      <c r="D25" s="94" t="s">
        <v>149</v>
      </c>
      <c r="E25" s="94" t="s">
        <v>150</v>
      </c>
    </row>
    <row r="26" customHeight="1" spans="1:5">
      <c r="A26" s="94" t="s">
        <v>102</v>
      </c>
      <c r="B26" s="94" t="s">
        <v>144</v>
      </c>
      <c r="C26" s="94" t="s">
        <v>113</v>
      </c>
      <c r="D26" s="94" t="s">
        <v>151</v>
      </c>
      <c r="E26" s="94" t="s">
        <v>152</v>
      </c>
    </row>
    <row r="27" customHeight="1" spans="1:5">
      <c r="A27" s="94" t="s">
        <v>102</v>
      </c>
      <c r="B27" s="94" t="s">
        <v>144</v>
      </c>
      <c r="C27" s="94" t="s">
        <v>116</v>
      </c>
      <c r="D27" s="94" t="s">
        <v>153</v>
      </c>
      <c r="E27" s="94" t="s">
        <v>154</v>
      </c>
    </row>
    <row r="28" customHeight="1" spans="1:5">
      <c r="A28" s="94" t="s">
        <v>102</v>
      </c>
      <c r="B28" s="94" t="s">
        <v>144</v>
      </c>
      <c r="C28" s="94" t="s">
        <v>119</v>
      </c>
      <c r="D28" s="94" t="s">
        <v>155</v>
      </c>
      <c r="E28" s="94"/>
    </row>
    <row r="29" customHeight="1" spans="1:5">
      <c r="A29" s="94" t="s">
        <v>102</v>
      </c>
      <c r="B29" s="94" t="s">
        <v>144</v>
      </c>
      <c r="C29" s="94" t="s">
        <v>121</v>
      </c>
      <c r="D29" s="94" t="s">
        <v>156</v>
      </c>
      <c r="E29" s="94"/>
    </row>
    <row r="30" customHeight="1" spans="1:5">
      <c r="A30" s="94" t="s">
        <v>102</v>
      </c>
      <c r="B30" s="94" t="s">
        <v>157</v>
      </c>
      <c r="C30" s="94" t="s">
        <v>104</v>
      </c>
      <c r="D30" s="94" t="s">
        <v>158</v>
      </c>
      <c r="E30" s="94"/>
    </row>
    <row r="31" customHeight="1" spans="1:5">
      <c r="A31" s="94" t="s">
        <v>102</v>
      </c>
      <c r="B31" s="94" t="s">
        <v>157</v>
      </c>
      <c r="C31" s="94" t="s">
        <v>107</v>
      </c>
      <c r="D31" s="94" t="s">
        <v>159</v>
      </c>
      <c r="E31" s="94"/>
    </row>
    <row r="32" customHeight="1" spans="1:5">
      <c r="A32" s="94" t="s">
        <v>102</v>
      </c>
      <c r="B32" s="94" t="s">
        <v>157</v>
      </c>
      <c r="C32" s="94" t="s">
        <v>110</v>
      </c>
      <c r="D32" s="94" t="s">
        <v>160</v>
      </c>
      <c r="E32" s="94"/>
    </row>
    <row r="33" customHeight="1" spans="1:5">
      <c r="A33" s="94" t="s">
        <v>102</v>
      </c>
      <c r="B33" s="94" t="s">
        <v>157</v>
      </c>
      <c r="C33" s="94" t="s">
        <v>113</v>
      </c>
      <c r="D33" s="94" t="s">
        <v>161</v>
      </c>
      <c r="E33" s="94"/>
    </row>
    <row r="34" customHeight="1" spans="1:5">
      <c r="A34" s="94" t="s">
        <v>102</v>
      </c>
      <c r="B34" s="94" t="s">
        <v>157</v>
      </c>
      <c r="C34" s="94" t="s">
        <v>116</v>
      </c>
      <c r="D34" s="94" t="s">
        <v>162</v>
      </c>
      <c r="E34" s="94"/>
    </row>
    <row r="35" customHeight="1" spans="1:5">
      <c r="A35" s="94" t="s">
        <v>102</v>
      </c>
      <c r="B35" s="94" t="s">
        <v>157</v>
      </c>
      <c r="C35" s="94" t="s">
        <v>119</v>
      </c>
      <c r="D35" s="94" t="s">
        <v>163</v>
      </c>
      <c r="E35" s="94"/>
    </row>
    <row r="36" customHeight="1" spans="1:5">
      <c r="A36" s="94" t="s">
        <v>102</v>
      </c>
      <c r="B36" s="94" t="s">
        <v>157</v>
      </c>
      <c r="C36" s="94" t="s">
        <v>121</v>
      </c>
      <c r="D36" s="94" t="s">
        <v>164</v>
      </c>
      <c r="E36" s="94"/>
    </row>
    <row r="37" customHeight="1" spans="1:5">
      <c r="A37" s="94" t="s">
        <v>102</v>
      </c>
      <c r="B37" s="94" t="s">
        <v>165</v>
      </c>
      <c r="C37" s="94" t="s">
        <v>119</v>
      </c>
      <c r="D37" s="94" t="s">
        <v>166</v>
      </c>
      <c r="E37" s="94"/>
    </row>
    <row r="38" customHeight="1" spans="1:5">
      <c r="A38" s="94" t="s">
        <v>102</v>
      </c>
      <c r="B38" s="94" t="s">
        <v>165</v>
      </c>
      <c r="C38" s="94" t="s">
        <v>167</v>
      </c>
      <c r="D38" s="94" t="s">
        <v>168</v>
      </c>
      <c r="E38" s="94"/>
    </row>
    <row r="39" customHeight="1" spans="1:5">
      <c r="A39" s="94" t="s">
        <v>169</v>
      </c>
      <c r="B39" s="94" t="s">
        <v>103</v>
      </c>
      <c r="C39" s="94" t="s">
        <v>104</v>
      </c>
      <c r="D39" s="94" t="s">
        <v>170</v>
      </c>
      <c r="E39" s="94" t="s">
        <v>171</v>
      </c>
    </row>
    <row r="40" customHeight="1" spans="1:5">
      <c r="A40" s="94" t="s">
        <v>169</v>
      </c>
      <c r="B40" s="94" t="s">
        <v>103</v>
      </c>
      <c r="C40" s="94" t="s">
        <v>107</v>
      </c>
      <c r="D40" s="94" t="s">
        <v>172</v>
      </c>
      <c r="E40" s="94" t="s">
        <v>173</v>
      </c>
    </row>
    <row r="41" customHeight="1" spans="1:5">
      <c r="A41" s="94" t="s">
        <v>169</v>
      </c>
      <c r="B41" s="94" t="s">
        <v>103</v>
      </c>
      <c r="C41" s="94" t="s">
        <v>110</v>
      </c>
      <c r="D41" s="94" t="s">
        <v>174</v>
      </c>
      <c r="E41" s="94" t="s">
        <v>175</v>
      </c>
    </row>
    <row r="42" customHeight="1" spans="1:5">
      <c r="A42" s="94" t="s">
        <v>169</v>
      </c>
      <c r="B42" s="94" t="s">
        <v>103</v>
      </c>
      <c r="C42" s="94" t="s">
        <v>113</v>
      </c>
      <c r="D42" s="94" t="s">
        <v>176</v>
      </c>
      <c r="E42" s="94" t="s">
        <v>177</v>
      </c>
    </row>
    <row r="43" customHeight="1" spans="1:5">
      <c r="A43" s="94" t="s">
        <v>169</v>
      </c>
      <c r="B43" s="94" t="s">
        <v>103</v>
      </c>
      <c r="C43" s="94" t="s">
        <v>116</v>
      </c>
      <c r="D43" s="94" t="s">
        <v>178</v>
      </c>
      <c r="E43" s="94" t="s">
        <v>179</v>
      </c>
    </row>
    <row r="44" customHeight="1" spans="1:5">
      <c r="A44" s="94" t="s">
        <v>169</v>
      </c>
      <c r="B44" s="94" t="s">
        <v>103</v>
      </c>
      <c r="C44" s="94" t="s">
        <v>119</v>
      </c>
      <c r="D44" s="94" t="s">
        <v>180</v>
      </c>
      <c r="E44" s="94"/>
    </row>
    <row r="45" customHeight="1" spans="1:5">
      <c r="A45" s="94" t="s">
        <v>169</v>
      </c>
      <c r="B45" s="94" t="s">
        <v>103</v>
      </c>
      <c r="C45" s="94" t="s">
        <v>121</v>
      </c>
      <c r="D45" s="94" t="s">
        <v>181</v>
      </c>
      <c r="E45" s="94"/>
    </row>
    <row r="46" customHeight="1" spans="1:5">
      <c r="A46" s="94" t="s">
        <v>169</v>
      </c>
      <c r="B46" s="94" t="s">
        <v>123</v>
      </c>
      <c r="C46" s="94" t="s">
        <v>104</v>
      </c>
      <c r="D46" s="94" t="s">
        <v>182</v>
      </c>
      <c r="E46" s="94" t="s">
        <v>183</v>
      </c>
    </row>
    <row r="47" customHeight="1" spans="1:5">
      <c r="A47" s="94" t="s">
        <v>169</v>
      </c>
      <c r="B47" s="94" t="s">
        <v>123</v>
      </c>
      <c r="C47" s="94" t="s">
        <v>107</v>
      </c>
      <c r="D47" s="94" t="s">
        <v>184</v>
      </c>
      <c r="E47" s="94" t="s">
        <v>185</v>
      </c>
    </row>
    <row r="48" customHeight="1" spans="1:5">
      <c r="A48" s="94" t="s">
        <v>169</v>
      </c>
      <c r="B48" s="94" t="s">
        <v>123</v>
      </c>
      <c r="C48" s="94" t="s">
        <v>110</v>
      </c>
      <c r="D48" s="94" t="s">
        <v>186</v>
      </c>
      <c r="E48" s="94" t="s">
        <v>187</v>
      </c>
    </row>
    <row r="49" customHeight="1" spans="1:5">
      <c r="A49" s="94" t="s">
        <v>169</v>
      </c>
      <c r="B49" s="94" t="s">
        <v>123</v>
      </c>
      <c r="C49" s="94" t="s">
        <v>113</v>
      </c>
      <c r="D49" s="94" t="s">
        <v>188</v>
      </c>
      <c r="E49" s="94" t="s">
        <v>189</v>
      </c>
    </row>
    <row r="50" customHeight="1" spans="1:5">
      <c r="A50" s="94" t="s">
        <v>169</v>
      </c>
      <c r="B50" s="94" t="s">
        <v>123</v>
      </c>
      <c r="C50" s="94" t="s">
        <v>116</v>
      </c>
      <c r="D50" s="94" t="s">
        <v>190</v>
      </c>
      <c r="E50" s="94" t="s">
        <v>191</v>
      </c>
    </row>
    <row r="51" customHeight="1" spans="1:5">
      <c r="A51" s="94" t="s">
        <v>169</v>
      </c>
      <c r="B51" s="94" t="s">
        <v>123</v>
      </c>
      <c r="C51" s="94" t="s">
        <v>119</v>
      </c>
      <c r="D51" s="94" t="s">
        <v>192</v>
      </c>
      <c r="E51" s="94"/>
    </row>
    <row r="52" customHeight="1" spans="1:5">
      <c r="A52" s="94" t="s">
        <v>169</v>
      </c>
      <c r="B52" s="94" t="s">
        <v>123</v>
      </c>
      <c r="C52" s="94" t="s">
        <v>121</v>
      </c>
      <c r="D52" s="94" t="s">
        <v>193</v>
      </c>
      <c r="E52" s="94"/>
    </row>
    <row r="53" customHeight="1" spans="1:5">
      <c r="A53" s="94" t="s">
        <v>169</v>
      </c>
      <c r="B53" s="94" t="s">
        <v>136</v>
      </c>
      <c r="C53" s="94" t="s">
        <v>104</v>
      </c>
      <c r="D53" s="94" t="s">
        <v>194</v>
      </c>
      <c r="E53" s="94"/>
    </row>
    <row r="54" customHeight="1" spans="1:5">
      <c r="A54" s="94" t="s">
        <v>169</v>
      </c>
      <c r="B54" s="94" t="s">
        <v>136</v>
      </c>
      <c r="C54" s="94" t="s">
        <v>107</v>
      </c>
      <c r="D54" s="94" t="s">
        <v>195</v>
      </c>
      <c r="E54" s="94"/>
    </row>
    <row r="55" customHeight="1" spans="1:5">
      <c r="A55" s="94" t="s">
        <v>169</v>
      </c>
      <c r="B55" s="94" t="s">
        <v>136</v>
      </c>
      <c r="C55" s="94" t="s">
        <v>110</v>
      </c>
      <c r="D55" s="94" t="s">
        <v>196</v>
      </c>
      <c r="E55" s="94"/>
    </row>
    <row r="56" customHeight="1" spans="1:5">
      <c r="A56" s="94" t="s">
        <v>169</v>
      </c>
      <c r="B56" s="94" t="s">
        <v>136</v>
      </c>
      <c r="C56" s="94" t="s">
        <v>113</v>
      </c>
      <c r="D56" s="94" t="s">
        <v>197</v>
      </c>
      <c r="E56" s="94"/>
    </row>
    <row r="57" customHeight="1" spans="1:5">
      <c r="A57" s="94" t="s">
        <v>169</v>
      </c>
      <c r="B57" s="94" t="s">
        <v>136</v>
      </c>
      <c r="C57" s="94" t="s">
        <v>116</v>
      </c>
      <c r="D57" s="94" t="s">
        <v>198</v>
      </c>
      <c r="E57" s="94"/>
    </row>
    <row r="58" customHeight="1" spans="1:5">
      <c r="A58" s="94" t="s">
        <v>169</v>
      </c>
      <c r="B58" s="94" t="s">
        <v>136</v>
      </c>
      <c r="C58" s="94" t="s">
        <v>119</v>
      </c>
      <c r="D58" s="94" t="s">
        <v>199</v>
      </c>
      <c r="E58" s="94"/>
    </row>
    <row r="59" customHeight="1" spans="1:5">
      <c r="A59" s="94" t="s">
        <v>169</v>
      </c>
      <c r="B59" s="94" t="s">
        <v>136</v>
      </c>
      <c r="C59" s="94" t="s">
        <v>121</v>
      </c>
      <c r="D59" s="94" t="s">
        <v>200</v>
      </c>
      <c r="E59" s="94"/>
    </row>
    <row r="60" customHeight="1" spans="1:5">
      <c r="A60" s="94" t="s">
        <v>169</v>
      </c>
      <c r="B60" s="94" t="s">
        <v>144</v>
      </c>
      <c r="C60" s="94" t="s">
        <v>104</v>
      </c>
      <c r="D60" s="94" t="s">
        <v>201</v>
      </c>
      <c r="E60" s="94" t="s">
        <v>202</v>
      </c>
    </row>
    <row r="61" customHeight="1" spans="1:5">
      <c r="A61" s="94" t="s">
        <v>169</v>
      </c>
      <c r="B61" s="94" t="s">
        <v>144</v>
      </c>
      <c r="C61" s="94" t="s">
        <v>107</v>
      </c>
      <c r="D61" s="94" t="s">
        <v>203</v>
      </c>
      <c r="E61" s="94" t="s">
        <v>204</v>
      </c>
    </row>
    <row r="62" customHeight="1" spans="1:5">
      <c r="A62" s="94" t="s">
        <v>169</v>
      </c>
      <c r="B62" s="94" t="s">
        <v>144</v>
      </c>
      <c r="C62" s="94" t="s">
        <v>110</v>
      </c>
      <c r="D62" s="94" t="s">
        <v>205</v>
      </c>
      <c r="E62" s="94" t="s">
        <v>206</v>
      </c>
    </row>
    <row r="63" customHeight="1" spans="1:5">
      <c r="A63" s="94" t="s">
        <v>169</v>
      </c>
      <c r="B63" s="94" t="s">
        <v>144</v>
      </c>
      <c r="C63" s="94" t="s">
        <v>113</v>
      </c>
      <c r="D63" s="94" t="s">
        <v>207</v>
      </c>
      <c r="E63" s="94" t="s">
        <v>208</v>
      </c>
    </row>
    <row r="64" customHeight="1" spans="1:5">
      <c r="A64" s="94" t="s">
        <v>169</v>
      </c>
      <c r="B64" s="94" t="s">
        <v>144</v>
      </c>
      <c r="C64" s="94" t="s">
        <v>116</v>
      </c>
      <c r="D64" s="94" t="s">
        <v>209</v>
      </c>
      <c r="E64" s="94" t="s">
        <v>210</v>
      </c>
    </row>
    <row r="65" customHeight="1" spans="1:5">
      <c r="A65" s="94" t="s">
        <v>169</v>
      </c>
      <c r="B65" s="94" t="s">
        <v>144</v>
      </c>
      <c r="C65" s="94" t="s">
        <v>119</v>
      </c>
      <c r="D65" s="94" t="s">
        <v>211</v>
      </c>
      <c r="E65" s="94"/>
    </row>
    <row r="66" customHeight="1" spans="1:5">
      <c r="A66" s="94" t="s">
        <v>169</v>
      </c>
      <c r="B66" s="94" t="s">
        <v>144</v>
      </c>
      <c r="C66" s="94" t="s">
        <v>121</v>
      </c>
      <c r="D66" s="94" t="s">
        <v>212</v>
      </c>
      <c r="E66" s="94"/>
    </row>
    <row r="67" customHeight="1" spans="1:5">
      <c r="A67" s="94" t="s">
        <v>169</v>
      </c>
      <c r="B67" s="94" t="s">
        <v>157</v>
      </c>
      <c r="C67" s="94" t="s">
        <v>104</v>
      </c>
      <c r="D67" s="94" t="s">
        <v>213</v>
      </c>
      <c r="E67" s="94"/>
    </row>
    <row r="68" customHeight="1" spans="1:5">
      <c r="A68" s="94" t="s">
        <v>169</v>
      </c>
      <c r="B68" s="94" t="s">
        <v>157</v>
      </c>
      <c r="C68" s="94" t="s">
        <v>107</v>
      </c>
      <c r="D68" s="94" t="s">
        <v>214</v>
      </c>
      <c r="E68" s="94"/>
    </row>
    <row r="69" customHeight="1" spans="1:5">
      <c r="A69" s="94" t="s">
        <v>169</v>
      </c>
      <c r="B69" s="94" t="s">
        <v>157</v>
      </c>
      <c r="C69" s="94" t="s">
        <v>110</v>
      </c>
      <c r="D69" s="94" t="s">
        <v>215</v>
      </c>
      <c r="E69" s="94"/>
    </row>
    <row r="70" customHeight="1" spans="1:5">
      <c r="A70" s="94" t="s">
        <v>169</v>
      </c>
      <c r="B70" s="94" t="s">
        <v>157</v>
      </c>
      <c r="C70" s="94" t="s">
        <v>113</v>
      </c>
      <c r="D70" s="94" t="s">
        <v>216</v>
      </c>
      <c r="E70" s="94"/>
    </row>
    <row r="71" customHeight="1" spans="1:5">
      <c r="A71" s="94" t="s">
        <v>169</v>
      </c>
      <c r="B71" s="94" t="s">
        <v>157</v>
      </c>
      <c r="C71" s="94" t="s">
        <v>116</v>
      </c>
      <c r="D71" s="94" t="s">
        <v>217</v>
      </c>
      <c r="E71" s="94"/>
    </row>
    <row r="72" customHeight="1" spans="1:5">
      <c r="A72" s="94" t="s">
        <v>169</v>
      </c>
      <c r="B72" s="94" t="s">
        <v>157</v>
      </c>
      <c r="C72" s="94" t="s">
        <v>119</v>
      </c>
      <c r="D72" s="94" t="s">
        <v>218</v>
      </c>
      <c r="E72" s="94"/>
    </row>
    <row r="73" customHeight="1" spans="1:5">
      <c r="A73" s="94" t="s">
        <v>169</v>
      </c>
      <c r="B73" s="94" t="s">
        <v>157</v>
      </c>
      <c r="C73" s="94" t="s">
        <v>121</v>
      </c>
      <c r="D73" s="94" t="s">
        <v>219</v>
      </c>
      <c r="E73" s="94"/>
    </row>
    <row r="74" customHeight="1" spans="1:5">
      <c r="A74" s="94" t="s">
        <v>169</v>
      </c>
      <c r="B74" s="94" t="s">
        <v>165</v>
      </c>
      <c r="C74" s="94" t="s">
        <v>119</v>
      </c>
      <c r="D74" s="94" t="s">
        <v>220</v>
      </c>
      <c r="E74" s="94"/>
    </row>
    <row r="75" customHeight="1" spans="1:5">
      <c r="A75" s="94" t="s">
        <v>169</v>
      </c>
      <c r="B75" s="94" t="s">
        <v>165</v>
      </c>
      <c r="C75" s="94" t="s">
        <v>167</v>
      </c>
      <c r="D75" s="94" t="s">
        <v>221</v>
      </c>
      <c r="E75" s="94"/>
    </row>
    <row r="76" customHeight="1" spans="1:5">
      <c r="A76" s="94" t="s">
        <v>222</v>
      </c>
      <c r="B76" s="94" t="s">
        <v>103</v>
      </c>
      <c r="C76" s="94" t="s">
        <v>104</v>
      </c>
      <c r="D76" s="94" t="s">
        <v>223</v>
      </c>
      <c r="E76" s="94" t="s">
        <v>224</v>
      </c>
    </row>
    <row r="77" customHeight="1" spans="1:5">
      <c r="A77" s="94" t="s">
        <v>222</v>
      </c>
      <c r="B77" s="94" t="s">
        <v>103</v>
      </c>
      <c r="C77" s="94" t="s">
        <v>107</v>
      </c>
      <c r="D77" s="94" t="s">
        <v>225</v>
      </c>
      <c r="E77" s="94" t="s">
        <v>226</v>
      </c>
    </row>
    <row r="78" customHeight="1" spans="1:5">
      <c r="A78" s="94" t="s">
        <v>222</v>
      </c>
      <c r="B78" s="94" t="s">
        <v>103</v>
      </c>
      <c r="C78" s="94" t="s">
        <v>110</v>
      </c>
      <c r="D78" s="94" t="s">
        <v>227</v>
      </c>
      <c r="E78" s="94" t="s">
        <v>228</v>
      </c>
    </row>
    <row r="79" customHeight="1" spans="1:5">
      <c r="A79" s="94" t="s">
        <v>222</v>
      </c>
      <c r="B79" s="94" t="s">
        <v>103</v>
      </c>
      <c r="C79" s="94" t="s">
        <v>113</v>
      </c>
      <c r="D79" s="94" t="s">
        <v>229</v>
      </c>
      <c r="E79" s="94" t="s">
        <v>230</v>
      </c>
    </row>
    <row r="80" customHeight="1" spans="1:5">
      <c r="A80" s="94" t="s">
        <v>222</v>
      </c>
      <c r="B80" s="94" t="s">
        <v>103</v>
      </c>
      <c r="C80" s="94" t="s">
        <v>116</v>
      </c>
      <c r="D80" s="94" t="s">
        <v>231</v>
      </c>
      <c r="E80" s="94" t="s">
        <v>232</v>
      </c>
    </row>
    <row r="81" customHeight="1" spans="1:5">
      <c r="A81" s="94" t="s">
        <v>222</v>
      </c>
      <c r="B81" s="94" t="s">
        <v>103</v>
      </c>
      <c r="C81" s="94" t="s">
        <v>119</v>
      </c>
      <c r="D81" s="94" t="s">
        <v>233</v>
      </c>
      <c r="E81" s="94"/>
    </row>
    <row r="82" customHeight="1" spans="1:5">
      <c r="A82" s="94" t="s">
        <v>222</v>
      </c>
      <c r="B82" s="94" t="s">
        <v>103</v>
      </c>
      <c r="C82" s="94" t="s">
        <v>121</v>
      </c>
      <c r="D82" s="94" t="s">
        <v>234</v>
      </c>
      <c r="E82" s="94"/>
    </row>
    <row r="83" customHeight="1" spans="1:5">
      <c r="A83" s="94" t="s">
        <v>222</v>
      </c>
      <c r="B83" s="94" t="s">
        <v>123</v>
      </c>
      <c r="C83" s="94" t="s">
        <v>104</v>
      </c>
      <c r="D83" s="94" t="s">
        <v>235</v>
      </c>
      <c r="E83" s="94" t="s">
        <v>236</v>
      </c>
    </row>
    <row r="84" customHeight="1" spans="1:5">
      <c r="A84" s="94" t="s">
        <v>222</v>
      </c>
      <c r="B84" s="94" t="s">
        <v>123</v>
      </c>
      <c r="C84" s="94" t="s">
        <v>107</v>
      </c>
      <c r="D84" s="94" t="s">
        <v>237</v>
      </c>
      <c r="E84" s="94" t="s">
        <v>238</v>
      </c>
    </row>
    <row r="85" customHeight="1" spans="1:5">
      <c r="A85" s="94" t="s">
        <v>222</v>
      </c>
      <c r="B85" s="94" t="s">
        <v>123</v>
      </c>
      <c r="C85" s="94" t="s">
        <v>110</v>
      </c>
      <c r="D85" s="94" t="s">
        <v>239</v>
      </c>
      <c r="E85" s="94" t="s">
        <v>240</v>
      </c>
    </row>
    <row r="86" customHeight="1" spans="1:5">
      <c r="A86" s="94" t="s">
        <v>222</v>
      </c>
      <c r="B86" s="94" t="s">
        <v>123</v>
      </c>
      <c r="C86" s="94" t="s">
        <v>113</v>
      </c>
      <c r="D86" s="94" t="s">
        <v>241</v>
      </c>
      <c r="E86" s="94" t="s">
        <v>242</v>
      </c>
    </row>
    <row r="87" customHeight="1" spans="1:5">
      <c r="A87" s="94" t="s">
        <v>222</v>
      </c>
      <c r="B87" s="94" t="s">
        <v>123</v>
      </c>
      <c r="C87" s="94" t="s">
        <v>116</v>
      </c>
      <c r="D87" s="94" t="s">
        <v>243</v>
      </c>
      <c r="E87" s="94" t="s">
        <v>244</v>
      </c>
    </row>
    <row r="88" customHeight="1" spans="1:5">
      <c r="A88" s="94" t="s">
        <v>222</v>
      </c>
      <c r="B88" s="94" t="s">
        <v>123</v>
      </c>
      <c r="C88" s="94" t="s">
        <v>119</v>
      </c>
      <c r="D88" s="94" t="s">
        <v>245</v>
      </c>
      <c r="E88" s="94"/>
    </row>
    <row r="89" customHeight="1" spans="1:5">
      <c r="A89" s="94" t="s">
        <v>222</v>
      </c>
      <c r="B89" s="94" t="s">
        <v>123</v>
      </c>
      <c r="C89" s="94" t="s">
        <v>121</v>
      </c>
      <c r="D89" s="94" t="s">
        <v>246</v>
      </c>
      <c r="E89" s="94"/>
    </row>
    <row r="90" customHeight="1" spans="1:5">
      <c r="A90" s="94" t="s">
        <v>222</v>
      </c>
      <c r="B90" s="94" t="s">
        <v>136</v>
      </c>
      <c r="C90" s="94" t="s">
        <v>104</v>
      </c>
      <c r="D90" s="94" t="s">
        <v>247</v>
      </c>
      <c r="E90" s="94"/>
    </row>
    <row r="91" customHeight="1" spans="1:5">
      <c r="A91" s="94" t="s">
        <v>222</v>
      </c>
      <c r="B91" s="94" t="s">
        <v>136</v>
      </c>
      <c r="C91" s="94" t="s">
        <v>107</v>
      </c>
      <c r="D91" s="94" t="s">
        <v>248</v>
      </c>
      <c r="E91" s="94"/>
    </row>
    <row r="92" customHeight="1" spans="1:5">
      <c r="A92" s="94" t="s">
        <v>222</v>
      </c>
      <c r="B92" s="94" t="s">
        <v>136</v>
      </c>
      <c r="C92" s="94" t="s">
        <v>110</v>
      </c>
      <c r="D92" s="94" t="s">
        <v>249</v>
      </c>
      <c r="E92" s="94"/>
    </row>
    <row r="93" customHeight="1" spans="1:5">
      <c r="A93" s="94" t="s">
        <v>222</v>
      </c>
      <c r="B93" s="94" t="s">
        <v>136</v>
      </c>
      <c r="C93" s="94" t="s">
        <v>113</v>
      </c>
      <c r="D93" s="94" t="s">
        <v>250</v>
      </c>
      <c r="E93" s="94"/>
    </row>
    <row r="94" customHeight="1" spans="1:5">
      <c r="A94" s="94" t="s">
        <v>222</v>
      </c>
      <c r="B94" s="94" t="s">
        <v>136</v>
      </c>
      <c r="C94" s="94" t="s">
        <v>116</v>
      </c>
      <c r="D94" s="94" t="s">
        <v>251</v>
      </c>
      <c r="E94" s="94"/>
    </row>
    <row r="95" customHeight="1" spans="1:5">
      <c r="A95" s="94" t="s">
        <v>222</v>
      </c>
      <c r="B95" s="94" t="s">
        <v>136</v>
      </c>
      <c r="C95" s="94" t="s">
        <v>119</v>
      </c>
      <c r="D95" s="94" t="s">
        <v>252</v>
      </c>
      <c r="E95" s="94"/>
    </row>
    <row r="96" customHeight="1" spans="1:5">
      <c r="A96" s="94" t="s">
        <v>222</v>
      </c>
      <c r="B96" s="94" t="s">
        <v>136</v>
      </c>
      <c r="C96" s="94" t="s">
        <v>253</v>
      </c>
      <c r="D96" s="94" t="s">
        <v>254</v>
      </c>
      <c r="E96" s="94"/>
    </row>
    <row r="97" customHeight="1" spans="1:5">
      <c r="A97" s="94" t="s">
        <v>222</v>
      </c>
      <c r="B97" s="94" t="s">
        <v>144</v>
      </c>
      <c r="C97" s="94" t="s">
        <v>104</v>
      </c>
      <c r="D97" s="94" t="s">
        <v>255</v>
      </c>
      <c r="E97" s="94" t="s">
        <v>256</v>
      </c>
    </row>
    <row r="98" customHeight="1" spans="1:5">
      <c r="A98" s="94" t="s">
        <v>222</v>
      </c>
      <c r="B98" s="94" t="s">
        <v>144</v>
      </c>
      <c r="C98" s="94" t="s">
        <v>107</v>
      </c>
      <c r="D98" s="94" t="s">
        <v>257</v>
      </c>
      <c r="E98" s="94" t="s">
        <v>258</v>
      </c>
    </row>
    <row r="99" customHeight="1" spans="1:5">
      <c r="A99" s="94" t="s">
        <v>222</v>
      </c>
      <c r="B99" s="94" t="s">
        <v>144</v>
      </c>
      <c r="C99" s="94" t="s">
        <v>110</v>
      </c>
      <c r="D99" s="94" t="s">
        <v>259</v>
      </c>
      <c r="E99" s="94" t="s">
        <v>260</v>
      </c>
    </row>
    <row r="100" customHeight="1" spans="1:5">
      <c r="A100" s="94" t="s">
        <v>222</v>
      </c>
      <c r="B100" s="94" t="s">
        <v>144</v>
      </c>
      <c r="C100" s="94" t="s">
        <v>113</v>
      </c>
      <c r="D100" s="94" t="s">
        <v>261</v>
      </c>
      <c r="E100" s="94" t="s">
        <v>262</v>
      </c>
    </row>
    <row r="101" customHeight="1" spans="1:5">
      <c r="A101" s="94" t="s">
        <v>222</v>
      </c>
      <c r="B101" s="94" t="s">
        <v>144</v>
      </c>
      <c r="C101" s="94" t="s">
        <v>116</v>
      </c>
      <c r="D101" s="94" t="s">
        <v>263</v>
      </c>
      <c r="E101" s="94" t="s">
        <v>264</v>
      </c>
    </row>
    <row r="102" customHeight="1" spans="1:5">
      <c r="A102" s="94" t="s">
        <v>222</v>
      </c>
      <c r="B102" s="94" t="s">
        <v>144</v>
      </c>
      <c r="C102" s="94" t="s">
        <v>119</v>
      </c>
      <c r="D102" s="94" t="s">
        <v>265</v>
      </c>
      <c r="E102" s="94"/>
    </row>
    <row r="103" customHeight="1" spans="1:5">
      <c r="A103" s="94" t="s">
        <v>222</v>
      </c>
      <c r="B103" s="94" t="s">
        <v>144</v>
      </c>
      <c r="C103" s="94" t="s">
        <v>167</v>
      </c>
      <c r="D103" s="94" t="s">
        <v>266</v>
      </c>
      <c r="E103" s="94"/>
    </row>
    <row r="104" customHeight="1" spans="1:5">
      <c r="A104" s="94" t="s">
        <v>222</v>
      </c>
      <c r="B104" s="94" t="s">
        <v>157</v>
      </c>
      <c r="C104" s="94" t="s">
        <v>104</v>
      </c>
      <c r="D104" s="94" t="s">
        <v>267</v>
      </c>
      <c r="E104" s="94"/>
    </row>
    <row r="105" customHeight="1" spans="1:5">
      <c r="A105" s="94" t="s">
        <v>222</v>
      </c>
      <c r="B105" s="94" t="s">
        <v>157</v>
      </c>
      <c r="C105" s="94" t="s">
        <v>107</v>
      </c>
      <c r="D105" s="94" t="s">
        <v>268</v>
      </c>
      <c r="E105" s="94"/>
    </row>
    <row r="106" customHeight="1" spans="1:5">
      <c r="A106" s="94" t="s">
        <v>222</v>
      </c>
      <c r="B106" s="94" t="s">
        <v>157</v>
      </c>
      <c r="C106" s="94" t="s">
        <v>110</v>
      </c>
      <c r="D106" s="94" t="s">
        <v>269</v>
      </c>
      <c r="E106" s="94"/>
    </row>
    <row r="107" customHeight="1" spans="1:5">
      <c r="A107" s="94" t="s">
        <v>222</v>
      </c>
      <c r="B107" s="94" t="s">
        <v>157</v>
      </c>
      <c r="C107" s="94" t="s">
        <v>113</v>
      </c>
      <c r="D107" s="94" t="s">
        <v>270</v>
      </c>
      <c r="E107" s="94"/>
    </row>
    <row r="108" customHeight="1" spans="1:5">
      <c r="A108" s="94" t="s">
        <v>222</v>
      </c>
      <c r="B108" s="94" t="s">
        <v>157</v>
      </c>
      <c r="C108" s="94" t="s">
        <v>116</v>
      </c>
      <c r="D108" s="94" t="s">
        <v>271</v>
      </c>
      <c r="E108" s="94"/>
    </row>
    <row r="109" customHeight="1" spans="1:5">
      <c r="A109" s="94" t="s">
        <v>222</v>
      </c>
      <c r="B109" s="94" t="s">
        <v>157</v>
      </c>
      <c r="C109" s="94" t="s">
        <v>119</v>
      </c>
      <c r="D109" s="94" t="s">
        <v>272</v>
      </c>
      <c r="E109" s="94"/>
    </row>
    <row r="110" customHeight="1" spans="1:5">
      <c r="A110" s="94" t="s">
        <v>222</v>
      </c>
      <c r="B110" s="94" t="s">
        <v>157</v>
      </c>
      <c r="C110" s="94" t="s">
        <v>167</v>
      </c>
      <c r="D110" s="94" t="s">
        <v>273</v>
      </c>
      <c r="E110" s="94"/>
    </row>
    <row r="111" customHeight="1" spans="1:5">
      <c r="A111" s="94" t="s">
        <v>222</v>
      </c>
      <c r="B111" s="94" t="s">
        <v>165</v>
      </c>
      <c r="C111" s="94" t="s">
        <v>119</v>
      </c>
      <c r="D111" s="94" t="s">
        <v>274</v>
      </c>
      <c r="E111" s="94"/>
    </row>
    <row r="112" customHeight="1" spans="1:5">
      <c r="A112" s="94" t="s">
        <v>222</v>
      </c>
      <c r="B112" s="94" t="s">
        <v>165</v>
      </c>
      <c r="C112" s="94" t="s">
        <v>121</v>
      </c>
      <c r="D112" s="94" t="s">
        <v>275</v>
      </c>
      <c r="E112" s="94"/>
    </row>
    <row r="113" customHeight="1" spans="1:5">
      <c r="A113" s="94" t="s">
        <v>276</v>
      </c>
      <c r="B113" s="94" t="s">
        <v>103</v>
      </c>
      <c r="C113" s="94" t="s">
        <v>104</v>
      </c>
      <c r="D113" s="94" t="s">
        <v>277</v>
      </c>
      <c r="E113" s="94" t="s">
        <v>278</v>
      </c>
    </row>
    <row r="114" customHeight="1" spans="1:5">
      <c r="A114" s="94" t="s">
        <v>276</v>
      </c>
      <c r="B114" s="94" t="s">
        <v>103</v>
      </c>
      <c r="C114" s="94" t="s">
        <v>107</v>
      </c>
      <c r="D114" s="94" t="s">
        <v>279</v>
      </c>
      <c r="E114" s="94" t="s">
        <v>280</v>
      </c>
    </row>
    <row r="115" customHeight="1" spans="1:5">
      <c r="A115" s="94" t="s">
        <v>276</v>
      </c>
      <c r="B115" s="94" t="s">
        <v>103</v>
      </c>
      <c r="C115" s="94" t="s">
        <v>110</v>
      </c>
      <c r="D115" s="94" t="s">
        <v>281</v>
      </c>
      <c r="E115" s="94" t="s">
        <v>282</v>
      </c>
    </row>
    <row r="116" customHeight="1" spans="1:5">
      <c r="A116" s="94" t="s">
        <v>276</v>
      </c>
      <c r="B116" s="94" t="s">
        <v>103</v>
      </c>
      <c r="C116" s="94" t="s">
        <v>113</v>
      </c>
      <c r="D116" s="94" t="s">
        <v>283</v>
      </c>
      <c r="E116" s="94" t="s">
        <v>284</v>
      </c>
    </row>
    <row r="117" customHeight="1" spans="1:9">
      <c r="A117" s="94" t="s">
        <v>276</v>
      </c>
      <c r="B117" s="94" t="s">
        <v>103</v>
      </c>
      <c r="C117" s="94" t="s">
        <v>116</v>
      </c>
      <c r="D117" s="94" t="s">
        <v>285</v>
      </c>
      <c r="E117" s="94" t="s">
        <v>286</v>
      </c>
      <c r="I117" s="95" t="s">
        <v>287</v>
      </c>
    </row>
    <row r="118" customHeight="1" spans="1:5">
      <c r="A118" s="94" t="s">
        <v>276</v>
      </c>
      <c r="B118" s="94" t="s">
        <v>103</v>
      </c>
      <c r="C118" s="94" t="s">
        <v>119</v>
      </c>
      <c r="D118" s="94" t="s">
        <v>288</v>
      </c>
      <c r="E118" s="94"/>
    </row>
    <row r="119" customHeight="1" spans="1:5">
      <c r="A119" s="94" t="s">
        <v>276</v>
      </c>
      <c r="B119" s="94" t="s">
        <v>103</v>
      </c>
      <c r="C119" s="94" t="s">
        <v>121</v>
      </c>
      <c r="D119" s="94" t="s">
        <v>289</v>
      </c>
      <c r="E119" s="94"/>
    </row>
    <row r="120" customHeight="1" spans="1:5">
      <c r="A120" s="94" t="s">
        <v>276</v>
      </c>
      <c r="B120" s="94" t="s">
        <v>123</v>
      </c>
      <c r="C120" s="94" t="s">
        <v>104</v>
      </c>
      <c r="D120" s="94" t="s">
        <v>290</v>
      </c>
      <c r="E120" s="94" t="s">
        <v>291</v>
      </c>
    </row>
    <row r="121" customHeight="1" spans="1:5">
      <c r="A121" s="94" t="s">
        <v>276</v>
      </c>
      <c r="B121" s="94" t="s">
        <v>123</v>
      </c>
      <c r="C121" s="94" t="s">
        <v>107</v>
      </c>
      <c r="D121" s="94" t="s">
        <v>292</v>
      </c>
      <c r="E121" s="94" t="s">
        <v>293</v>
      </c>
    </row>
    <row r="122" customHeight="1" spans="1:5">
      <c r="A122" s="94" t="s">
        <v>276</v>
      </c>
      <c r="B122" s="94" t="s">
        <v>123</v>
      </c>
      <c r="C122" s="94" t="s">
        <v>110</v>
      </c>
      <c r="D122" s="94" t="s">
        <v>294</v>
      </c>
      <c r="E122" s="94" t="s">
        <v>295</v>
      </c>
    </row>
    <row r="123" customHeight="1" spans="1:5">
      <c r="A123" s="94" t="s">
        <v>276</v>
      </c>
      <c r="B123" s="94" t="s">
        <v>123</v>
      </c>
      <c r="C123" s="94" t="s">
        <v>113</v>
      </c>
      <c r="D123" s="94" t="s">
        <v>296</v>
      </c>
      <c r="E123" s="94" t="s">
        <v>297</v>
      </c>
    </row>
    <row r="124" customHeight="1" spans="1:5">
      <c r="A124" s="94" t="s">
        <v>276</v>
      </c>
      <c r="B124" s="94" t="s">
        <v>123</v>
      </c>
      <c r="C124" s="94" t="s">
        <v>116</v>
      </c>
      <c r="D124" s="94" t="s">
        <v>298</v>
      </c>
      <c r="E124" s="94" t="s">
        <v>299</v>
      </c>
    </row>
    <row r="125" customHeight="1" spans="1:5">
      <c r="A125" s="94" t="s">
        <v>276</v>
      </c>
      <c r="B125" s="94" t="s">
        <v>123</v>
      </c>
      <c r="C125" s="94" t="s">
        <v>119</v>
      </c>
      <c r="D125" s="94" t="s">
        <v>300</v>
      </c>
      <c r="E125" s="94"/>
    </row>
    <row r="126" customHeight="1" spans="1:5">
      <c r="A126" s="94" t="s">
        <v>276</v>
      </c>
      <c r="B126" s="94" t="s">
        <v>123</v>
      </c>
      <c r="C126" s="94" t="s">
        <v>121</v>
      </c>
      <c r="D126" s="94" t="s">
        <v>301</v>
      </c>
      <c r="E126" s="94"/>
    </row>
    <row r="127" customHeight="1" spans="1:5">
      <c r="A127" s="94" t="s">
        <v>276</v>
      </c>
      <c r="B127" s="94" t="s">
        <v>136</v>
      </c>
      <c r="C127" s="94" t="s">
        <v>104</v>
      </c>
      <c r="D127" s="94" t="s">
        <v>302</v>
      </c>
      <c r="E127" s="94"/>
    </row>
    <row r="128" customHeight="1" spans="1:5">
      <c r="A128" s="94" t="s">
        <v>276</v>
      </c>
      <c r="B128" s="94" t="s">
        <v>136</v>
      </c>
      <c r="C128" s="94" t="s">
        <v>107</v>
      </c>
      <c r="D128" s="94" t="s">
        <v>303</v>
      </c>
      <c r="E128" s="94"/>
    </row>
    <row r="129" customHeight="1" spans="1:5">
      <c r="A129" s="94" t="s">
        <v>276</v>
      </c>
      <c r="B129" s="94" t="s">
        <v>136</v>
      </c>
      <c r="C129" s="94" t="s">
        <v>110</v>
      </c>
      <c r="D129" s="94" t="s">
        <v>304</v>
      </c>
      <c r="E129" s="94"/>
    </row>
    <row r="130" customHeight="1" spans="1:5">
      <c r="A130" s="94" t="s">
        <v>276</v>
      </c>
      <c r="B130" s="94" t="s">
        <v>136</v>
      </c>
      <c r="C130" s="94" t="s">
        <v>113</v>
      </c>
      <c r="D130" s="94" t="s">
        <v>305</v>
      </c>
      <c r="E130" s="94"/>
    </row>
    <row r="131" customHeight="1" spans="1:5">
      <c r="A131" s="94" t="s">
        <v>276</v>
      </c>
      <c r="B131" s="94" t="s">
        <v>136</v>
      </c>
      <c r="C131" s="94" t="s">
        <v>116</v>
      </c>
      <c r="D131" s="94" t="s">
        <v>306</v>
      </c>
      <c r="E131" s="94"/>
    </row>
    <row r="132" customHeight="1" spans="1:5">
      <c r="A132" s="94" t="s">
        <v>276</v>
      </c>
      <c r="B132" s="94" t="s">
        <v>136</v>
      </c>
      <c r="C132" s="94" t="s">
        <v>119</v>
      </c>
      <c r="D132" s="94" t="s">
        <v>307</v>
      </c>
      <c r="E132" s="94"/>
    </row>
    <row r="133" customHeight="1" spans="1:5">
      <c r="A133" s="94" t="s">
        <v>276</v>
      </c>
      <c r="B133" s="94" t="s">
        <v>136</v>
      </c>
      <c r="C133" s="94" t="s">
        <v>167</v>
      </c>
      <c r="D133" s="94" t="s">
        <v>308</v>
      </c>
      <c r="E133" s="94"/>
    </row>
    <row r="134" customHeight="1" spans="1:5">
      <c r="A134" s="94" t="s">
        <v>276</v>
      </c>
      <c r="B134" s="94" t="s">
        <v>144</v>
      </c>
      <c r="C134" s="94" t="s">
        <v>104</v>
      </c>
      <c r="D134" s="94" t="s">
        <v>309</v>
      </c>
      <c r="E134" s="94" t="s">
        <v>310</v>
      </c>
    </row>
    <row r="135" customHeight="1" spans="1:5">
      <c r="A135" s="94" t="s">
        <v>276</v>
      </c>
      <c r="B135" s="94" t="s">
        <v>144</v>
      </c>
      <c r="C135" s="94" t="s">
        <v>107</v>
      </c>
      <c r="D135" s="94" t="s">
        <v>311</v>
      </c>
      <c r="E135" s="94" t="s">
        <v>312</v>
      </c>
    </row>
    <row r="136" customHeight="1" spans="1:5">
      <c r="A136" s="94" t="s">
        <v>276</v>
      </c>
      <c r="B136" s="94" t="s">
        <v>144</v>
      </c>
      <c r="C136" s="94" t="s">
        <v>110</v>
      </c>
      <c r="D136" s="94" t="s">
        <v>313</v>
      </c>
      <c r="E136" s="94" t="s">
        <v>314</v>
      </c>
    </row>
    <row r="137" customHeight="1" spans="1:5">
      <c r="A137" s="94" t="s">
        <v>276</v>
      </c>
      <c r="B137" s="94" t="s">
        <v>144</v>
      </c>
      <c r="C137" s="94" t="s">
        <v>113</v>
      </c>
      <c r="D137" s="94" t="s">
        <v>315</v>
      </c>
      <c r="E137" s="94" t="s">
        <v>316</v>
      </c>
    </row>
    <row r="138" customHeight="1" spans="1:5">
      <c r="A138" s="94" t="s">
        <v>276</v>
      </c>
      <c r="B138" s="94" t="s">
        <v>144</v>
      </c>
      <c r="C138" s="94" t="s">
        <v>116</v>
      </c>
      <c r="D138" s="94" t="s">
        <v>317</v>
      </c>
      <c r="E138" s="94" t="s">
        <v>318</v>
      </c>
    </row>
    <row r="139" customHeight="1" spans="1:5">
      <c r="A139" s="94" t="s">
        <v>276</v>
      </c>
      <c r="B139" s="94" t="s">
        <v>144</v>
      </c>
      <c r="C139" s="94" t="s">
        <v>119</v>
      </c>
      <c r="D139" s="94" t="s">
        <v>319</v>
      </c>
      <c r="E139" s="94"/>
    </row>
    <row r="140" customHeight="1" spans="1:5">
      <c r="A140" s="94" t="s">
        <v>276</v>
      </c>
      <c r="B140" s="94" t="s">
        <v>144</v>
      </c>
      <c r="C140" s="94" t="s">
        <v>167</v>
      </c>
      <c r="D140" s="94" t="s">
        <v>320</v>
      </c>
      <c r="E140" s="94"/>
    </row>
    <row r="141" customHeight="1" spans="1:5">
      <c r="A141" s="94" t="s">
        <v>276</v>
      </c>
      <c r="B141" s="94" t="s">
        <v>157</v>
      </c>
      <c r="C141" s="94" t="s">
        <v>104</v>
      </c>
      <c r="D141" s="94" t="s">
        <v>321</v>
      </c>
      <c r="E141" s="94"/>
    </row>
    <row r="142" customHeight="1" spans="1:5">
      <c r="A142" s="94" t="s">
        <v>276</v>
      </c>
      <c r="B142" s="94" t="s">
        <v>157</v>
      </c>
      <c r="C142" s="94" t="s">
        <v>107</v>
      </c>
      <c r="D142" s="94" t="s">
        <v>322</v>
      </c>
      <c r="E142" s="94"/>
    </row>
    <row r="143" customHeight="1" spans="1:5">
      <c r="A143" s="94" t="s">
        <v>276</v>
      </c>
      <c r="B143" s="94" t="s">
        <v>157</v>
      </c>
      <c r="C143" s="94" t="s">
        <v>110</v>
      </c>
      <c r="D143" s="94" t="s">
        <v>323</v>
      </c>
      <c r="E143" s="94"/>
    </row>
    <row r="144" customHeight="1" spans="1:5">
      <c r="A144" s="94" t="s">
        <v>276</v>
      </c>
      <c r="B144" s="94" t="s">
        <v>157</v>
      </c>
      <c r="C144" s="94" t="s">
        <v>113</v>
      </c>
      <c r="D144" s="94" t="s">
        <v>324</v>
      </c>
      <c r="E144" s="94"/>
    </row>
    <row r="145" customHeight="1" spans="1:5">
      <c r="A145" s="94" t="s">
        <v>276</v>
      </c>
      <c r="B145" s="94" t="s">
        <v>157</v>
      </c>
      <c r="C145" s="94" t="s">
        <v>116</v>
      </c>
      <c r="D145" s="94" t="s">
        <v>325</v>
      </c>
      <c r="E145" s="94"/>
    </row>
    <row r="146" customHeight="1" spans="1:5">
      <c r="A146" s="94" t="s">
        <v>276</v>
      </c>
      <c r="B146" s="94" t="s">
        <v>157</v>
      </c>
      <c r="C146" s="94" t="s">
        <v>119</v>
      </c>
      <c r="D146" s="94" t="s">
        <v>326</v>
      </c>
      <c r="E146" s="94"/>
    </row>
    <row r="147" customHeight="1" spans="1:5">
      <c r="A147" s="94" t="s">
        <v>276</v>
      </c>
      <c r="B147" s="94" t="s">
        <v>157</v>
      </c>
      <c r="C147" s="94" t="s">
        <v>121</v>
      </c>
      <c r="D147" s="94" t="s">
        <v>327</v>
      </c>
      <c r="E147" s="94"/>
    </row>
    <row r="148" customHeight="1" spans="1:5">
      <c r="A148" s="94" t="s">
        <v>276</v>
      </c>
      <c r="B148" s="94" t="s">
        <v>165</v>
      </c>
      <c r="C148" s="94" t="s">
        <v>119</v>
      </c>
      <c r="D148" s="94" t="s">
        <v>328</v>
      </c>
      <c r="E148" s="94"/>
    </row>
    <row r="149" customHeight="1" spans="1:5">
      <c r="A149" s="94" t="s">
        <v>276</v>
      </c>
      <c r="B149" s="94" t="s">
        <v>165</v>
      </c>
      <c r="C149" s="94" t="s">
        <v>121</v>
      </c>
      <c r="D149" s="94" t="s">
        <v>329</v>
      </c>
      <c r="E149" s="94"/>
    </row>
    <row r="150" customHeight="1" spans="1:5">
      <c r="A150" s="94" t="s">
        <v>330</v>
      </c>
      <c r="B150" s="94" t="s">
        <v>103</v>
      </c>
      <c r="C150" s="94" t="s">
        <v>104</v>
      </c>
      <c r="D150" s="94" t="s">
        <v>331</v>
      </c>
      <c r="E150" s="94" t="s">
        <v>332</v>
      </c>
    </row>
    <row r="151" customHeight="1" spans="1:5">
      <c r="A151" s="94" t="s">
        <v>330</v>
      </c>
      <c r="B151" s="94" t="s">
        <v>103</v>
      </c>
      <c r="C151" s="94" t="s">
        <v>107</v>
      </c>
      <c r="D151" s="94" t="s">
        <v>333</v>
      </c>
      <c r="E151" s="94" t="s">
        <v>334</v>
      </c>
    </row>
    <row r="152" customHeight="1" spans="1:9">
      <c r="A152" s="94" t="s">
        <v>330</v>
      </c>
      <c r="B152" s="94" t="s">
        <v>103</v>
      </c>
      <c r="C152" s="94" t="s">
        <v>110</v>
      </c>
      <c r="D152" s="94" t="s">
        <v>335</v>
      </c>
      <c r="E152" s="94" t="s">
        <v>336</v>
      </c>
      <c r="I152" s="95" t="s">
        <v>337</v>
      </c>
    </row>
    <row r="153" customHeight="1" spans="1:5">
      <c r="A153" s="94" t="s">
        <v>330</v>
      </c>
      <c r="B153" s="94" t="s">
        <v>103</v>
      </c>
      <c r="C153" s="94" t="s">
        <v>113</v>
      </c>
      <c r="D153" s="94" t="s">
        <v>338</v>
      </c>
      <c r="E153" s="94" t="s">
        <v>339</v>
      </c>
    </row>
    <row r="154" customHeight="1" spans="1:5">
      <c r="A154" s="94" t="s">
        <v>330</v>
      </c>
      <c r="B154" s="94" t="s">
        <v>103</v>
      </c>
      <c r="C154" s="94" t="s">
        <v>116</v>
      </c>
      <c r="D154" s="94" t="s">
        <v>340</v>
      </c>
      <c r="E154" s="94" t="s">
        <v>341</v>
      </c>
    </row>
    <row r="155" customHeight="1" spans="1:5">
      <c r="A155" s="94" t="s">
        <v>330</v>
      </c>
      <c r="B155" s="94" t="s">
        <v>103</v>
      </c>
      <c r="C155" s="94" t="s">
        <v>119</v>
      </c>
      <c r="D155" s="94" t="s">
        <v>342</v>
      </c>
      <c r="E155" s="94"/>
    </row>
    <row r="156" customHeight="1" spans="1:5">
      <c r="A156" s="94" t="s">
        <v>330</v>
      </c>
      <c r="B156" s="94" t="s">
        <v>103</v>
      </c>
      <c r="C156" s="94" t="s">
        <v>121</v>
      </c>
      <c r="D156" s="94" t="s">
        <v>343</v>
      </c>
      <c r="E156" s="94"/>
    </row>
    <row r="157" customHeight="1" spans="1:5">
      <c r="A157" s="94" t="s">
        <v>330</v>
      </c>
      <c r="B157" s="94" t="s">
        <v>123</v>
      </c>
      <c r="C157" s="94" t="s">
        <v>104</v>
      </c>
      <c r="D157" s="94" t="s">
        <v>344</v>
      </c>
      <c r="E157" s="94" t="s">
        <v>345</v>
      </c>
    </row>
    <row r="158" customHeight="1" spans="1:5">
      <c r="A158" s="94" t="s">
        <v>330</v>
      </c>
      <c r="B158" s="94" t="s">
        <v>123</v>
      </c>
      <c r="C158" s="94" t="s">
        <v>107</v>
      </c>
      <c r="D158" s="94" t="s">
        <v>346</v>
      </c>
      <c r="E158" s="94" t="s">
        <v>347</v>
      </c>
    </row>
    <row r="159" customHeight="1" spans="1:5">
      <c r="A159" s="94" t="s">
        <v>330</v>
      </c>
      <c r="B159" s="94" t="s">
        <v>123</v>
      </c>
      <c r="C159" s="94" t="s">
        <v>110</v>
      </c>
      <c r="D159" s="94" t="s">
        <v>348</v>
      </c>
      <c r="E159" s="94" t="s">
        <v>349</v>
      </c>
    </row>
    <row r="160" customHeight="1" spans="1:5">
      <c r="A160" s="94" t="s">
        <v>330</v>
      </c>
      <c r="B160" s="94" t="s">
        <v>123</v>
      </c>
      <c r="C160" s="94" t="s">
        <v>113</v>
      </c>
      <c r="D160" s="94" t="s">
        <v>350</v>
      </c>
      <c r="E160" s="94" t="s">
        <v>351</v>
      </c>
    </row>
    <row r="161" customHeight="1" spans="1:5">
      <c r="A161" s="94" t="s">
        <v>330</v>
      </c>
      <c r="B161" s="94" t="s">
        <v>123</v>
      </c>
      <c r="C161" s="94" t="s">
        <v>116</v>
      </c>
      <c r="D161" s="94" t="s">
        <v>352</v>
      </c>
      <c r="E161" s="94" t="s">
        <v>353</v>
      </c>
    </row>
    <row r="162" customHeight="1" spans="1:5">
      <c r="A162" s="94" t="s">
        <v>330</v>
      </c>
      <c r="B162" s="94" t="s">
        <v>123</v>
      </c>
      <c r="C162" s="94" t="s">
        <v>119</v>
      </c>
      <c r="D162" s="94" t="s">
        <v>354</v>
      </c>
      <c r="E162" s="94"/>
    </row>
    <row r="163" customHeight="1" spans="1:5">
      <c r="A163" s="94" t="s">
        <v>330</v>
      </c>
      <c r="B163" s="94" t="s">
        <v>123</v>
      </c>
      <c r="C163" s="94" t="s">
        <v>121</v>
      </c>
      <c r="D163" s="94" t="s">
        <v>355</v>
      </c>
      <c r="E163" s="94"/>
    </row>
    <row r="164" customHeight="1" spans="1:5">
      <c r="A164" s="94" t="s">
        <v>330</v>
      </c>
      <c r="B164" s="94" t="s">
        <v>136</v>
      </c>
      <c r="C164" s="94" t="s">
        <v>104</v>
      </c>
      <c r="D164" s="94" t="s">
        <v>356</v>
      </c>
      <c r="E164" s="94"/>
    </row>
    <row r="165" customHeight="1" spans="1:5">
      <c r="A165" s="94" t="s">
        <v>330</v>
      </c>
      <c r="B165" s="94" t="s">
        <v>136</v>
      </c>
      <c r="C165" s="94" t="s">
        <v>107</v>
      </c>
      <c r="D165" s="94" t="s">
        <v>357</v>
      </c>
      <c r="E165" s="94"/>
    </row>
    <row r="166" customHeight="1" spans="1:5">
      <c r="A166" s="94" t="s">
        <v>330</v>
      </c>
      <c r="B166" s="94" t="s">
        <v>136</v>
      </c>
      <c r="C166" s="94" t="s">
        <v>358</v>
      </c>
      <c r="D166" s="94" t="s">
        <v>359</v>
      </c>
      <c r="E166" s="94"/>
    </row>
    <row r="167" customHeight="1" spans="1:5">
      <c r="A167" s="94" t="s">
        <v>330</v>
      </c>
      <c r="B167" s="94" t="s">
        <v>136</v>
      </c>
      <c r="C167" s="94" t="s">
        <v>113</v>
      </c>
      <c r="D167" s="94" t="s">
        <v>360</v>
      </c>
      <c r="E167" s="94"/>
    </row>
    <row r="168" customHeight="1" spans="1:5">
      <c r="A168" s="94" t="s">
        <v>330</v>
      </c>
      <c r="B168" s="94" t="s">
        <v>136</v>
      </c>
      <c r="C168" s="94" t="s">
        <v>116</v>
      </c>
      <c r="D168" s="94" t="s">
        <v>361</v>
      </c>
      <c r="E168" s="94"/>
    </row>
    <row r="169" customHeight="1" spans="1:5">
      <c r="A169" s="94" t="s">
        <v>330</v>
      </c>
      <c r="B169" s="94" t="s">
        <v>136</v>
      </c>
      <c r="C169" s="94" t="s">
        <v>119</v>
      </c>
      <c r="D169" s="94" t="s">
        <v>362</v>
      </c>
      <c r="E169" s="94"/>
    </row>
    <row r="170" customHeight="1" spans="1:5">
      <c r="A170" s="94" t="s">
        <v>330</v>
      </c>
      <c r="B170" s="94" t="s">
        <v>136</v>
      </c>
      <c r="C170" s="94" t="s">
        <v>121</v>
      </c>
      <c r="D170" s="94" t="s">
        <v>363</v>
      </c>
      <c r="E170" s="94"/>
    </row>
    <row r="171" customHeight="1" spans="1:5">
      <c r="A171" s="94" t="s">
        <v>330</v>
      </c>
      <c r="B171" s="94" t="s">
        <v>144</v>
      </c>
      <c r="C171" s="94" t="s">
        <v>104</v>
      </c>
      <c r="D171" s="94" t="s">
        <v>364</v>
      </c>
      <c r="E171" s="94" t="s">
        <v>365</v>
      </c>
    </row>
    <row r="172" customHeight="1" spans="1:5">
      <c r="A172" s="94" t="s">
        <v>330</v>
      </c>
      <c r="B172" s="94" t="s">
        <v>144</v>
      </c>
      <c r="C172" s="94" t="s">
        <v>107</v>
      </c>
      <c r="D172" s="94" t="s">
        <v>366</v>
      </c>
      <c r="E172" s="94" t="s">
        <v>367</v>
      </c>
    </row>
    <row r="173" customHeight="1" spans="1:5">
      <c r="A173" s="94" t="s">
        <v>330</v>
      </c>
      <c r="B173" s="94" t="s">
        <v>144</v>
      </c>
      <c r="C173" s="94" t="s">
        <v>110</v>
      </c>
      <c r="D173" s="94" t="s">
        <v>368</v>
      </c>
      <c r="E173" s="94" t="s">
        <v>369</v>
      </c>
    </row>
    <row r="174" customHeight="1" spans="1:5">
      <c r="A174" s="94" t="s">
        <v>330</v>
      </c>
      <c r="B174" s="94" t="s">
        <v>144</v>
      </c>
      <c r="C174" s="94" t="s">
        <v>113</v>
      </c>
      <c r="D174" s="94" t="s">
        <v>370</v>
      </c>
      <c r="E174" s="94" t="s">
        <v>371</v>
      </c>
    </row>
    <row r="175" customHeight="1" spans="1:5">
      <c r="A175" s="94" t="s">
        <v>330</v>
      </c>
      <c r="B175" s="94" t="s">
        <v>144</v>
      </c>
      <c r="C175" s="94" t="s">
        <v>116</v>
      </c>
      <c r="D175" s="94" t="s">
        <v>372</v>
      </c>
      <c r="E175" s="94" t="s">
        <v>373</v>
      </c>
    </row>
    <row r="176" customHeight="1" spans="1:5">
      <c r="A176" s="94" t="s">
        <v>330</v>
      </c>
      <c r="B176" s="94" t="s">
        <v>144</v>
      </c>
      <c r="C176" s="94" t="s">
        <v>119</v>
      </c>
      <c r="D176" s="94" t="s">
        <v>374</v>
      </c>
      <c r="E176" s="94"/>
    </row>
    <row r="177" customHeight="1" spans="1:5">
      <c r="A177" s="94" t="s">
        <v>330</v>
      </c>
      <c r="B177" s="94" t="s">
        <v>144</v>
      </c>
      <c r="C177" s="94" t="s">
        <v>121</v>
      </c>
      <c r="D177" s="94" t="s">
        <v>375</v>
      </c>
      <c r="E177" s="94"/>
    </row>
    <row r="178" customHeight="1" spans="1:5">
      <c r="A178" s="94" t="s">
        <v>330</v>
      </c>
      <c r="B178" s="94" t="s">
        <v>157</v>
      </c>
      <c r="C178" s="94" t="s">
        <v>104</v>
      </c>
      <c r="D178" s="94" t="s">
        <v>376</v>
      </c>
      <c r="E178" s="94"/>
    </row>
    <row r="179" customHeight="1" spans="1:5">
      <c r="A179" s="94" t="s">
        <v>330</v>
      </c>
      <c r="B179" s="94" t="s">
        <v>157</v>
      </c>
      <c r="C179" s="94" t="s">
        <v>377</v>
      </c>
      <c r="D179" s="94" t="s">
        <v>378</v>
      </c>
      <c r="E179" s="94"/>
    </row>
    <row r="180" customHeight="1" spans="1:5">
      <c r="A180" s="94" t="s">
        <v>330</v>
      </c>
      <c r="B180" s="94" t="s">
        <v>157</v>
      </c>
      <c r="C180" s="94" t="s">
        <v>110</v>
      </c>
      <c r="D180" s="94" t="s">
        <v>379</v>
      </c>
      <c r="E180" s="94"/>
    </row>
    <row r="181" customHeight="1" spans="1:5">
      <c r="A181" s="94" t="s">
        <v>330</v>
      </c>
      <c r="B181" s="94" t="s">
        <v>157</v>
      </c>
      <c r="C181" s="94" t="s">
        <v>113</v>
      </c>
      <c r="D181" s="94" t="s">
        <v>380</v>
      </c>
      <c r="E181" s="94"/>
    </row>
    <row r="182" customHeight="1" spans="1:5">
      <c r="A182" s="94" t="s">
        <v>330</v>
      </c>
      <c r="B182" s="94" t="s">
        <v>157</v>
      </c>
      <c r="C182" s="94" t="s">
        <v>116</v>
      </c>
      <c r="D182" s="94" t="s">
        <v>381</v>
      </c>
      <c r="E182" s="94"/>
    </row>
    <row r="183" customHeight="1" spans="1:5">
      <c r="A183" s="94" t="s">
        <v>330</v>
      </c>
      <c r="B183" s="94" t="s">
        <v>157</v>
      </c>
      <c r="C183" s="94" t="s">
        <v>119</v>
      </c>
      <c r="D183" s="94" t="s">
        <v>382</v>
      </c>
      <c r="E183" s="94"/>
    </row>
    <row r="184" customHeight="1" spans="1:5">
      <c r="A184" s="94" t="s">
        <v>330</v>
      </c>
      <c r="B184" s="94" t="s">
        <v>157</v>
      </c>
      <c r="C184" s="94" t="s">
        <v>121</v>
      </c>
      <c r="D184" s="94" t="s">
        <v>383</v>
      </c>
      <c r="E184" s="94"/>
    </row>
    <row r="185" customHeight="1" spans="1:5">
      <c r="A185" s="94" t="s">
        <v>330</v>
      </c>
      <c r="B185" s="94" t="s">
        <v>165</v>
      </c>
      <c r="C185" s="94" t="s">
        <v>119</v>
      </c>
      <c r="D185" s="94" t="s">
        <v>384</v>
      </c>
      <c r="E185" s="94"/>
    </row>
    <row r="186" customHeight="1" spans="1:5">
      <c r="A186" s="94" t="s">
        <v>330</v>
      </c>
      <c r="B186" s="94" t="s">
        <v>165</v>
      </c>
      <c r="C186" s="94" t="s">
        <v>121</v>
      </c>
      <c r="D186" s="94" t="s">
        <v>385</v>
      </c>
      <c r="E186" s="94"/>
    </row>
    <row r="187" customHeight="1" spans="1:5">
      <c r="A187" s="94" t="s">
        <v>386</v>
      </c>
      <c r="B187" s="94" t="s">
        <v>103</v>
      </c>
      <c r="C187" s="94" t="s">
        <v>104</v>
      </c>
      <c r="D187" s="94" t="s">
        <v>387</v>
      </c>
      <c r="E187" s="94" t="s">
        <v>388</v>
      </c>
    </row>
    <row r="188" customHeight="1" spans="1:5">
      <c r="A188" s="94" t="s">
        <v>386</v>
      </c>
      <c r="B188" s="94" t="s">
        <v>103</v>
      </c>
      <c r="C188" s="94" t="s">
        <v>107</v>
      </c>
      <c r="D188" s="94" t="s">
        <v>389</v>
      </c>
      <c r="E188" s="94" t="s">
        <v>390</v>
      </c>
    </row>
    <row r="189" customHeight="1" spans="1:5">
      <c r="A189" s="94" t="s">
        <v>386</v>
      </c>
      <c r="B189" s="94" t="s">
        <v>103</v>
      </c>
      <c r="C189" s="94" t="s">
        <v>110</v>
      </c>
      <c r="D189" s="94" t="s">
        <v>391</v>
      </c>
      <c r="E189" s="94" t="s">
        <v>392</v>
      </c>
    </row>
    <row r="190" customHeight="1" spans="1:5">
      <c r="A190" s="94" t="s">
        <v>386</v>
      </c>
      <c r="B190" s="94" t="s">
        <v>103</v>
      </c>
      <c r="C190" s="94" t="s">
        <v>113</v>
      </c>
      <c r="D190" s="94" t="s">
        <v>393</v>
      </c>
      <c r="E190" s="94" t="s">
        <v>394</v>
      </c>
    </row>
    <row r="191" customHeight="1" spans="1:5">
      <c r="A191" s="94" t="s">
        <v>386</v>
      </c>
      <c r="B191" s="94" t="s">
        <v>103</v>
      </c>
      <c r="C191" s="94" t="s">
        <v>116</v>
      </c>
      <c r="D191" s="94" t="s">
        <v>395</v>
      </c>
      <c r="E191" s="94" t="s">
        <v>396</v>
      </c>
    </row>
    <row r="192" customHeight="1" spans="1:5">
      <c r="A192" s="94" t="s">
        <v>386</v>
      </c>
      <c r="B192" s="94" t="s">
        <v>103</v>
      </c>
      <c r="C192" s="94" t="s">
        <v>119</v>
      </c>
      <c r="D192" s="94" t="s">
        <v>397</v>
      </c>
      <c r="E192" s="94"/>
    </row>
    <row r="193" customHeight="1" spans="1:5">
      <c r="A193" s="94" t="s">
        <v>386</v>
      </c>
      <c r="B193" s="94" t="s">
        <v>103</v>
      </c>
      <c r="C193" s="94" t="s">
        <v>121</v>
      </c>
      <c r="D193" s="94" t="s">
        <v>398</v>
      </c>
      <c r="E193" s="94"/>
    </row>
    <row r="194" customHeight="1" spans="1:5">
      <c r="A194" s="94" t="s">
        <v>386</v>
      </c>
      <c r="B194" s="94" t="s">
        <v>123</v>
      </c>
      <c r="C194" s="94" t="s">
        <v>104</v>
      </c>
      <c r="D194" s="94" t="s">
        <v>399</v>
      </c>
      <c r="E194" s="94" t="s">
        <v>400</v>
      </c>
    </row>
    <row r="195" customHeight="1" spans="1:5">
      <c r="A195" s="94" t="s">
        <v>386</v>
      </c>
      <c r="B195" s="94" t="s">
        <v>123</v>
      </c>
      <c r="C195" s="94" t="s">
        <v>107</v>
      </c>
      <c r="D195" s="94" t="s">
        <v>401</v>
      </c>
      <c r="E195" s="94" t="s">
        <v>402</v>
      </c>
    </row>
    <row r="196" customHeight="1" spans="1:5">
      <c r="A196" s="94" t="s">
        <v>386</v>
      </c>
      <c r="B196" s="94" t="s">
        <v>123</v>
      </c>
      <c r="C196" s="94" t="s">
        <v>110</v>
      </c>
      <c r="D196" s="94" t="s">
        <v>403</v>
      </c>
      <c r="E196" s="94" t="s">
        <v>404</v>
      </c>
    </row>
    <row r="197" customHeight="1" spans="1:5">
      <c r="A197" s="94" t="s">
        <v>386</v>
      </c>
      <c r="B197" s="94" t="s">
        <v>123</v>
      </c>
      <c r="C197" s="94" t="s">
        <v>113</v>
      </c>
      <c r="D197" s="94" t="s">
        <v>405</v>
      </c>
      <c r="E197" s="94" t="s">
        <v>406</v>
      </c>
    </row>
    <row r="198" customHeight="1" spans="1:5">
      <c r="A198" s="94" t="s">
        <v>386</v>
      </c>
      <c r="B198" s="94" t="s">
        <v>123</v>
      </c>
      <c r="C198" s="94" t="s">
        <v>116</v>
      </c>
      <c r="D198" s="94" t="s">
        <v>407</v>
      </c>
      <c r="E198" s="94" t="s">
        <v>408</v>
      </c>
    </row>
    <row r="199" customHeight="1" spans="1:5">
      <c r="A199" s="94" t="s">
        <v>386</v>
      </c>
      <c r="B199" s="94" t="s">
        <v>123</v>
      </c>
      <c r="C199" s="94" t="s">
        <v>119</v>
      </c>
      <c r="D199" s="94" t="s">
        <v>409</v>
      </c>
      <c r="E199" s="94"/>
    </row>
    <row r="200" customHeight="1" spans="1:5">
      <c r="A200" s="94" t="s">
        <v>386</v>
      </c>
      <c r="B200" s="94" t="s">
        <v>123</v>
      </c>
      <c r="C200" s="94" t="s">
        <v>121</v>
      </c>
      <c r="D200" s="94" t="s">
        <v>410</v>
      </c>
      <c r="E200" s="94"/>
    </row>
    <row r="201" customHeight="1" spans="1:5">
      <c r="A201" s="94" t="s">
        <v>386</v>
      </c>
      <c r="B201" s="94" t="s">
        <v>136</v>
      </c>
      <c r="C201" s="94" t="s">
        <v>104</v>
      </c>
      <c r="D201" s="94" t="s">
        <v>411</v>
      </c>
      <c r="E201" s="94"/>
    </row>
    <row r="202" customHeight="1" spans="1:5">
      <c r="A202" s="94" t="s">
        <v>386</v>
      </c>
      <c r="B202" s="94" t="s">
        <v>136</v>
      </c>
      <c r="C202" s="94" t="s">
        <v>107</v>
      </c>
      <c r="D202" s="94" t="s">
        <v>412</v>
      </c>
      <c r="E202" s="94"/>
    </row>
    <row r="203" customHeight="1" spans="1:5">
      <c r="A203" s="94" t="s">
        <v>386</v>
      </c>
      <c r="B203" s="94" t="s">
        <v>136</v>
      </c>
      <c r="C203" s="94" t="s">
        <v>110</v>
      </c>
      <c r="D203" s="94" t="s">
        <v>413</v>
      </c>
      <c r="E203" s="94"/>
    </row>
    <row r="204" customHeight="1" spans="1:5">
      <c r="A204" s="94" t="s">
        <v>386</v>
      </c>
      <c r="B204" s="94" t="s">
        <v>136</v>
      </c>
      <c r="C204" s="94" t="s">
        <v>113</v>
      </c>
      <c r="D204" s="94" t="s">
        <v>414</v>
      </c>
      <c r="E204" s="94"/>
    </row>
    <row r="205" customHeight="1" spans="1:5">
      <c r="A205" s="94" t="s">
        <v>386</v>
      </c>
      <c r="B205" s="94" t="s">
        <v>136</v>
      </c>
      <c r="C205" s="94" t="s">
        <v>116</v>
      </c>
      <c r="D205" s="94" t="s">
        <v>415</v>
      </c>
      <c r="E205" s="94"/>
    </row>
    <row r="206" customHeight="1" spans="1:5">
      <c r="A206" s="94" t="s">
        <v>386</v>
      </c>
      <c r="B206" s="94" t="s">
        <v>136</v>
      </c>
      <c r="C206" s="94" t="s">
        <v>119</v>
      </c>
      <c r="D206" s="94" t="s">
        <v>416</v>
      </c>
      <c r="E206" s="94"/>
    </row>
    <row r="207" customHeight="1" spans="1:5">
      <c r="A207" s="94" t="s">
        <v>386</v>
      </c>
      <c r="B207" s="94" t="s">
        <v>136</v>
      </c>
      <c r="C207" s="94" t="s">
        <v>121</v>
      </c>
      <c r="D207" s="94" t="s">
        <v>417</v>
      </c>
      <c r="E207" s="94"/>
    </row>
    <row r="208" customHeight="1" spans="1:5">
      <c r="A208" s="94" t="s">
        <v>386</v>
      </c>
      <c r="B208" s="94" t="s">
        <v>144</v>
      </c>
      <c r="C208" s="94" t="s">
        <v>104</v>
      </c>
      <c r="D208" s="94" t="s">
        <v>418</v>
      </c>
      <c r="E208" s="94" t="s">
        <v>419</v>
      </c>
    </row>
    <row r="209" customHeight="1" spans="1:5">
      <c r="A209" s="94" t="s">
        <v>386</v>
      </c>
      <c r="B209" s="94" t="s">
        <v>144</v>
      </c>
      <c r="C209" s="94" t="s">
        <v>107</v>
      </c>
      <c r="D209" s="94" t="s">
        <v>420</v>
      </c>
      <c r="E209" s="94" t="s">
        <v>180</v>
      </c>
    </row>
    <row r="210" customHeight="1" spans="1:5">
      <c r="A210" s="94" t="s">
        <v>386</v>
      </c>
      <c r="B210" s="94" t="s">
        <v>144</v>
      </c>
      <c r="C210" s="94" t="s">
        <v>110</v>
      </c>
      <c r="D210" s="94" t="s">
        <v>421</v>
      </c>
      <c r="E210" s="94" t="s">
        <v>422</v>
      </c>
    </row>
    <row r="211" customHeight="1" spans="1:5">
      <c r="A211" s="94" t="s">
        <v>386</v>
      </c>
      <c r="B211" s="94" t="s">
        <v>144</v>
      </c>
      <c r="C211" s="94" t="s">
        <v>113</v>
      </c>
      <c r="D211" s="94" t="s">
        <v>423</v>
      </c>
      <c r="E211" s="94" t="s">
        <v>424</v>
      </c>
    </row>
    <row r="212" customHeight="1" spans="1:5">
      <c r="A212" s="94" t="s">
        <v>386</v>
      </c>
      <c r="B212" s="94" t="s">
        <v>144</v>
      </c>
      <c r="C212" s="94" t="s">
        <v>116</v>
      </c>
      <c r="D212" s="94" t="s">
        <v>425</v>
      </c>
      <c r="E212" s="94" t="s">
        <v>426</v>
      </c>
    </row>
    <row r="213" customHeight="1" spans="1:5">
      <c r="A213" s="94" t="s">
        <v>386</v>
      </c>
      <c r="B213" s="94" t="s">
        <v>144</v>
      </c>
      <c r="C213" s="94" t="s">
        <v>119</v>
      </c>
      <c r="D213" s="94" t="s">
        <v>427</v>
      </c>
      <c r="E213" s="94"/>
    </row>
    <row r="214" customHeight="1" spans="1:5">
      <c r="A214" s="94" t="s">
        <v>386</v>
      </c>
      <c r="B214" s="94" t="s">
        <v>144</v>
      </c>
      <c r="C214" s="94" t="s">
        <v>121</v>
      </c>
      <c r="D214" s="94" t="s">
        <v>428</v>
      </c>
      <c r="E214" s="94"/>
    </row>
    <row r="215" customHeight="1" spans="1:5">
      <c r="A215" s="94" t="s">
        <v>386</v>
      </c>
      <c r="B215" s="94" t="s">
        <v>157</v>
      </c>
      <c r="C215" s="94" t="s">
        <v>104</v>
      </c>
      <c r="D215" s="94" t="s">
        <v>429</v>
      </c>
      <c r="E215" s="94"/>
    </row>
    <row r="216" customHeight="1" spans="1:5">
      <c r="A216" s="94" t="s">
        <v>386</v>
      </c>
      <c r="B216" s="94" t="s">
        <v>157</v>
      </c>
      <c r="C216" s="94" t="s">
        <v>107</v>
      </c>
      <c r="D216" s="94" t="s">
        <v>430</v>
      </c>
      <c r="E216" s="94"/>
    </row>
    <row r="217" customHeight="1" spans="1:5">
      <c r="A217" s="94" t="s">
        <v>386</v>
      </c>
      <c r="B217" s="94" t="s">
        <v>157</v>
      </c>
      <c r="C217" s="94" t="s">
        <v>110</v>
      </c>
      <c r="D217" s="94" t="s">
        <v>431</v>
      </c>
      <c r="E217" s="94"/>
    </row>
    <row r="218" customHeight="1" spans="1:5">
      <c r="A218" s="94" t="s">
        <v>386</v>
      </c>
      <c r="B218" s="94" t="s">
        <v>157</v>
      </c>
      <c r="C218" s="94" t="s">
        <v>113</v>
      </c>
      <c r="D218" s="94" t="s">
        <v>432</v>
      </c>
      <c r="E218" s="94"/>
    </row>
    <row r="219" customHeight="1" spans="1:5">
      <c r="A219" s="94" t="s">
        <v>386</v>
      </c>
      <c r="B219" s="94" t="s">
        <v>157</v>
      </c>
      <c r="C219" s="94" t="s">
        <v>116</v>
      </c>
      <c r="D219" s="94" t="s">
        <v>433</v>
      </c>
      <c r="E219" s="94"/>
    </row>
    <row r="220" customHeight="1" spans="1:5">
      <c r="A220" s="94" t="s">
        <v>386</v>
      </c>
      <c r="B220" s="94" t="s">
        <v>157</v>
      </c>
      <c r="C220" s="94" t="s">
        <v>119</v>
      </c>
      <c r="D220" s="94" t="s">
        <v>434</v>
      </c>
      <c r="E220" s="94"/>
    </row>
    <row r="221" customHeight="1" spans="1:5">
      <c r="A221" s="94" t="s">
        <v>386</v>
      </c>
      <c r="B221" s="94" t="s">
        <v>157</v>
      </c>
      <c r="C221" s="94" t="s">
        <v>121</v>
      </c>
      <c r="D221" s="94" t="s">
        <v>435</v>
      </c>
      <c r="E221" s="94"/>
    </row>
    <row r="222" customHeight="1" spans="1:5">
      <c r="A222" s="94" t="s">
        <v>386</v>
      </c>
      <c r="B222" s="94" t="s">
        <v>165</v>
      </c>
      <c r="C222" s="94" t="s">
        <v>119</v>
      </c>
      <c r="D222" s="94" t="s">
        <v>436</v>
      </c>
      <c r="E222" s="94"/>
    </row>
    <row r="223" customHeight="1" spans="1:5">
      <c r="A223" s="94" t="s">
        <v>386</v>
      </c>
      <c r="B223" s="94" t="s">
        <v>165</v>
      </c>
      <c r="C223" s="94" t="s">
        <v>121</v>
      </c>
      <c r="D223" s="94" t="s">
        <v>437</v>
      </c>
      <c r="E223" s="9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44.1296296296296" customWidth="1"/>
    <col min="3" max="3" width="39.75" customWidth="1"/>
    <col min="4" max="4" width="38.8796296296296" customWidth="1"/>
    <col min="5" max="5" width="39.8796296296296" customWidth="1"/>
    <col min="6" max="6" width="49.8796296296296" customWidth="1"/>
    <col min="7" max="7" width="44.25" customWidth="1"/>
    <col min="8" max="8" width="48.3796296296296" customWidth="1"/>
    <col min="9" max="9" width="37.3796296296296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439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29.75" customHeight="1" spans="1:9">
      <c r="A9" s="4" t="s">
        <v>33</v>
      </c>
      <c r="B9" s="4" t="s">
        <v>440</v>
      </c>
      <c r="C9" s="48" t="s">
        <v>441</v>
      </c>
      <c r="D9" s="87" t="s">
        <v>442</v>
      </c>
      <c r="E9" s="3"/>
      <c r="F9" s="16" t="s">
        <v>443</v>
      </c>
      <c r="G9" s="48" t="s">
        <v>444</v>
      </c>
      <c r="H9" s="4" t="s">
        <v>440</v>
      </c>
      <c r="I9" s="7" t="s">
        <v>445</v>
      </c>
    </row>
    <row r="10" ht="121.5" customHeight="1" spans="1:9">
      <c r="A10" s="4" t="s">
        <v>35</v>
      </c>
      <c r="B10" s="87" t="s">
        <v>446</v>
      </c>
      <c r="C10" s="3"/>
      <c r="D10" s="47" t="s">
        <v>444</v>
      </c>
      <c r="E10" s="48" t="s">
        <v>447</v>
      </c>
      <c r="F10" s="47" t="s">
        <v>448</v>
      </c>
      <c r="G10" s="3"/>
      <c r="H10" s="89" t="s">
        <v>37</v>
      </c>
      <c r="I10" s="7" t="s">
        <v>449</v>
      </c>
    </row>
    <row r="11" ht="120" customHeight="1" spans="1:9">
      <c r="A11" s="4" t="s">
        <v>39</v>
      </c>
      <c r="B11" s="48" t="s">
        <v>447</v>
      </c>
      <c r="C11" s="48" t="s">
        <v>450</v>
      </c>
      <c r="D11" s="16" t="s">
        <v>443</v>
      </c>
      <c r="E11" s="48" t="s">
        <v>441</v>
      </c>
      <c r="F11" s="87" t="s">
        <v>451</v>
      </c>
      <c r="G11" s="3"/>
      <c r="H11" s="4" t="s">
        <v>452</v>
      </c>
      <c r="I11" s="7" t="s">
        <v>445</v>
      </c>
    </row>
    <row r="12" ht="124.5" customHeight="1" spans="1:9">
      <c r="A12" s="4" t="s">
        <v>40</v>
      </c>
      <c r="B12" s="16" t="s">
        <v>443</v>
      </c>
      <c r="C12" s="48" t="s">
        <v>444</v>
      </c>
      <c r="D12" s="87" t="s">
        <v>442</v>
      </c>
      <c r="E12" s="3"/>
      <c r="F12" s="48" t="s">
        <v>441</v>
      </c>
      <c r="G12" s="4" t="s">
        <v>440</v>
      </c>
      <c r="H12" s="48" t="s">
        <v>450</v>
      </c>
      <c r="I12" s="7" t="s">
        <v>449</v>
      </c>
    </row>
    <row r="13" ht="131.25" customHeight="1" spans="1:9">
      <c r="A13" s="4" t="s">
        <v>41</v>
      </c>
      <c r="B13" s="47" t="s">
        <v>441</v>
      </c>
      <c r="C13" s="48" t="s">
        <v>447</v>
      </c>
      <c r="D13" s="87" t="s">
        <v>446</v>
      </c>
      <c r="E13" s="3"/>
      <c r="F13" s="4" t="s">
        <v>440</v>
      </c>
      <c r="G13" s="48" t="s">
        <v>450</v>
      </c>
      <c r="H13" s="48" t="s">
        <v>453</v>
      </c>
      <c r="I13" s="7" t="s">
        <v>445</v>
      </c>
    </row>
    <row r="14" ht="125.25" customHeight="1" spans="1:9">
      <c r="A14" s="4" t="s">
        <v>42</v>
      </c>
      <c r="B14" s="87" t="s">
        <v>451</v>
      </c>
      <c r="C14" s="3"/>
      <c r="D14" s="4" t="s">
        <v>440</v>
      </c>
      <c r="E14" s="16" t="s">
        <v>443</v>
      </c>
      <c r="F14" s="47" t="s">
        <v>447</v>
      </c>
      <c r="G14" s="48" t="s">
        <v>444</v>
      </c>
      <c r="H14" s="48" t="s">
        <v>453</v>
      </c>
      <c r="I14" s="7" t="s">
        <v>449</v>
      </c>
    </row>
  </sheetData>
  <mergeCells count="12">
    <mergeCell ref="A1:F1"/>
    <mergeCell ref="A2:F2"/>
    <mergeCell ref="A3:F3"/>
    <mergeCell ref="A4:F4"/>
    <mergeCell ref="A5:F5"/>
    <mergeCell ref="D9:E9"/>
    <mergeCell ref="B10:C10"/>
    <mergeCell ref="F10:G10"/>
    <mergeCell ref="F11:G11"/>
    <mergeCell ref="D12:E12"/>
    <mergeCell ref="D13:E13"/>
    <mergeCell ref="B14:C1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pane ySplit="7" topLeftCell="A8" activePane="bottomLeft" state="frozen"/>
      <selection/>
      <selection pane="bottomLeft" activeCell="B9" sqref="B9"/>
    </sheetView>
  </sheetViews>
  <sheetFormatPr defaultColWidth="12.6296296296296" defaultRowHeight="15.75" customHeight="1"/>
  <cols>
    <col min="1" max="1" width="13.75" customWidth="1"/>
    <col min="2" max="2" width="23.6296296296296" customWidth="1"/>
    <col min="3" max="3" width="29.75" customWidth="1"/>
    <col min="4" max="4" width="33" customWidth="1"/>
    <col min="5" max="5" width="30.5" customWidth="1"/>
    <col min="6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454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21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01.25" customHeight="1" spans="1:9">
      <c r="A9" s="4" t="s">
        <v>33</v>
      </c>
      <c r="B9" s="31" t="s">
        <v>455</v>
      </c>
      <c r="C9" s="31" t="s">
        <v>456</v>
      </c>
      <c r="D9" s="90" t="s">
        <v>457</v>
      </c>
      <c r="E9" s="3"/>
      <c r="F9" s="31" t="s">
        <v>458</v>
      </c>
      <c r="G9" s="31" t="s">
        <v>458</v>
      </c>
      <c r="H9" s="31" t="s">
        <v>459</v>
      </c>
      <c r="I9" s="57" t="s">
        <v>460</v>
      </c>
    </row>
    <row r="10" ht="86.25" customHeight="1" spans="1:9">
      <c r="A10" s="4" t="s">
        <v>35</v>
      </c>
      <c r="B10" s="31" t="s">
        <v>459</v>
      </c>
      <c r="C10" s="31" t="s">
        <v>456</v>
      </c>
      <c r="D10" s="31" t="s">
        <v>461</v>
      </c>
      <c r="E10" s="31" t="s">
        <v>462</v>
      </c>
      <c r="F10" s="91" t="s">
        <v>463</v>
      </c>
      <c r="G10" s="91" t="s">
        <v>463</v>
      </c>
      <c r="H10" s="92" t="s">
        <v>37</v>
      </c>
      <c r="I10" s="57" t="s">
        <v>464</v>
      </c>
    </row>
    <row r="11" ht="96" customHeight="1" spans="1:9">
      <c r="A11" s="4" t="s">
        <v>39</v>
      </c>
      <c r="B11" s="31" t="s">
        <v>462</v>
      </c>
      <c r="C11" s="31" t="s">
        <v>461</v>
      </c>
      <c r="D11" s="31" t="s">
        <v>455</v>
      </c>
      <c r="E11" s="31" t="s">
        <v>459</v>
      </c>
      <c r="F11" s="90" t="s">
        <v>465</v>
      </c>
      <c r="G11" s="3"/>
      <c r="H11" s="31" t="s">
        <v>466</v>
      </c>
      <c r="I11" s="57" t="s">
        <v>460</v>
      </c>
    </row>
    <row r="12" ht="92.25" customHeight="1" spans="1:9">
      <c r="A12" s="4" t="s">
        <v>40</v>
      </c>
      <c r="B12" s="31" t="s">
        <v>455</v>
      </c>
      <c r="C12" s="31" t="s">
        <v>459</v>
      </c>
      <c r="D12" s="31" t="s">
        <v>456</v>
      </c>
      <c r="E12" s="31" t="s">
        <v>461</v>
      </c>
      <c r="F12" s="90" t="s">
        <v>467</v>
      </c>
      <c r="G12" s="3"/>
      <c r="H12" s="31" t="s">
        <v>468</v>
      </c>
      <c r="I12" s="57" t="s">
        <v>464</v>
      </c>
    </row>
    <row r="13" ht="58.5" customHeight="1" spans="1:9">
      <c r="A13" s="4" t="s">
        <v>41</v>
      </c>
      <c r="B13" s="31" t="s">
        <v>461</v>
      </c>
      <c r="C13" s="31" t="s">
        <v>458</v>
      </c>
      <c r="D13" s="31" t="s">
        <v>462</v>
      </c>
      <c r="E13" s="31" t="s">
        <v>466</v>
      </c>
      <c r="F13" s="31" t="s">
        <v>456</v>
      </c>
      <c r="G13" s="31" t="s">
        <v>458</v>
      </c>
      <c r="H13" s="91" t="s">
        <v>463</v>
      </c>
      <c r="I13" s="57" t="s">
        <v>460</v>
      </c>
    </row>
    <row r="14" ht="89.25" customHeight="1" spans="1:9">
      <c r="A14" s="4" t="s">
        <v>42</v>
      </c>
      <c r="B14" s="31" t="s">
        <v>466</v>
      </c>
      <c r="C14" s="31" t="s">
        <v>461</v>
      </c>
      <c r="D14" s="31" t="s">
        <v>459</v>
      </c>
      <c r="E14" s="31" t="s">
        <v>458</v>
      </c>
      <c r="F14" s="31" t="s">
        <v>456</v>
      </c>
      <c r="G14" s="31" t="s">
        <v>462</v>
      </c>
      <c r="H14" s="91" t="s">
        <v>463</v>
      </c>
      <c r="I14" s="57" t="s">
        <v>464</v>
      </c>
    </row>
  </sheetData>
  <mergeCells count="8">
    <mergeCell ref="A1:F1"/>
    <mergeCell ref="A2:F2"/>
    <mergeCell ref="A3:F3"/>
    <mergeCell ref="A4:F4"/>
    <mergeCell ref="A5:F5"/>
    <mergeCell ref="D9:E9"/>
    <mergeCell ref="F11:G11"/>
    <mergeCell ref="F12:G1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44.1296296296296" customWidth="1"/>
    <col min="3" max="3" width="39.75" customWidth="1"/>
    <col min="4" max="4" width="38.8796296296296" customWidth="1"/>
    <col min="5" max="5" width="39.8796296296296" customWidth="1"/>
    <col min="6" max="6" width="49.8796296296296" customWidth="1"/>
    <col min="7" max="7" width="44.25" customWidth="1"/>
    <col min="8" max="8" width="48.3796296296296" customWidth="1"/>
    <col min="9" max="9" width="37.3796296296296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439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21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29.75" customHeight="1" spans="1:9">
      <c r="A9" s="4" t="s">
        <v>33</v>
      </c>
      <c r="B9" s="4" t="s">
        <v>469</v>
      </c>
      <c r="C9" s="48" t="s">
        <v>470</v>
      </c>
      <c r="D9" s="87" t="s">
        <v>471</v>
      </c>
      <c r="E9" s="3"/>
      <c r="F9" s="16" t="s">
        <v>472</v>
      </c>
      <c r="G9" s="48" t="s">
        <v>473</v>
      </c>
      <c r="H9" s="48" t="s">
        <v>474</v>
      </c>
      <c r="I9" s="7"/>
    </row>
    <row r="10" ht="121.5" customHeight="1" spans="1:9">
      <c r="A10" s="4" t="s">
        <v>35</v>
      </c>
      <c r="B10" s="87" t="s">
        <v>475</v>
      </c>
      <c r="C10" s="3"/>
      <c r="D10" s="88" t="s">
        <v>473</v>
      </c>
      <c r="E10" s="48" t="s">
        <v>476</v>
      </c>
      <c r="F10" s="47" t="s">
        <v>477</v>
      </c>
      <c r="G10" s="3"/>
      <c r="H10" s="89" t="s">
        <v>37</v>
      </c>
      <c r="I10" s="7"/>
    </row>
    <row r="11" ht="120" customHeight="1" spans="1:9">
      <c r="A11" s="4" t="s">
        <v>39</v>
      </c>
      <c r="B11" s="48" t="s">
        <v>476</v>
      </c>
      <c r="C11" s="16" t="s">
        <v>472</v>
      </c>
      <c r="D11" s="48" t="s">
        <v>474</v>
      </c>
      <c r="E11" s="48" t="s">
        <v>474</v>
      </c>
      <c r="F11" s="4" t="s">
        <v>469</v>
      </c>
      <c r="G11" s="48" t="s">
        <v>470</v>
      </c>
      <c r="H11" s="48" t="s">
        <v>476</v>
      </c>
      <c r="I11" s="7"/>
    </row>
    <row r="12" ht="124.5" customHeight="1" spans="1:9">
      <c r="A12" s="4" t="s">
        <v>40</v>
      </c>
      <c r="B12" s="16" t="s">
        <v>472</v>
      </c>
      <c r="C12" s="88" t="s">
        <v>473</v>
      </c>
      <c r="D12" s="4" t="s">
        <v>469</v>
      </c>
      <c r="E12" s="48" t="s">
        <v>470</v>
      </c>
      <c r="F12" s="87" t="s">
        <v>478</v>
      </c>
      <c r="G12" s="3"/>
      <c r="H12" s="48" t="s">
        <v>474</v>
      </c>
      <c r="I12" s="7"/>
    </row>
    <row r="13" ht="131.25" customHeight="1" spans="1:9">
      <c r="A13" s="4" t="s">
        <v>41</v>
      </c>
      <c r="B13" s="87" t="s">
        <v>475</v>
      </c>
      <c r="C13" s="3"/>
      <c r="D13" s="48" t="s">
        <v>470</v>
      </c>
      <c r="E13" s="48" t="s">
        <v>476</v>
      </c>
      <c r="F13" s="87" t="s">
        <v>479</v>
      </c>
      <c r="G13" s="3"/>
      <c r="H13" s="47" t="s">
        <v>477</v>
      </c>
      <c r="I13" s="48"/>
    </row>
    <row r="14" ht="125.25" customHeight="1" spans="1:9">
      <c r="A14" s="4" t="s">
        <v>42</v>
      </c>
      <c r="B14" s="87" t="s">
        <v>479</v>
      </c>
      <c r="C14" s="3"/>
      <c r="D14" s="16" t="s">
        <v>472</v>
      </c>
      <c r="E14" s="48" t="s">
        <v>476</v>
      </c>
      <c r="F14" s="48" t="s">
        <v>473</v>
      </c>
      <c r="G14" s="4" t="s">
        <v>469</v>
      </c>
      <c r="H14" s="47" t="s">
        <v>477</v>
      </c>
      <c r="I14" s="7"/>
    </row>
  </sheetData>
  <mergeCells count="12">
    <mergeCell ref="A1:F1"/>
    <mergeCell ref="A2:F2"/>
    <mergeCell ref="A3:F3"/>
    <mergeCell ref="A4:F4"/>
    <mergeCell ref="A5:F5"/>
    <mergeCell ref="D9:E9"/>
    <mergeCell ref="B10:C10"/>
    <mergeCell ref="F10:G10"/>
    <mergeCell ref="F12:G12"/>
    <mergeCell ref="B13:C13"/>
    <mergeCell ref="F13:G13"/>
    <mergeCell ref="B14:C14"/>
  </mergeCell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8.1296296296296" customWidth="1"/>
    <col min="3" max="4" width="33" customWidth="1"/>
    <col min="5" max="5" width="37.3796296296296" customWidth="1"/>
    <col min="6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480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18.5" customHeight="1" spans="1:9">
      <c r="A9" s="4" t="s">
        <v>33</v>
      </c>
      <c r="B9" s="77" t="s">
        <v>481</v>
      </c>
      <c r="C9" s="77" t="s">
        <v>482</v>
      </c>
      <c r="D9" s="78" t="s">
        <v>483</v>
      </c>
      <c r="E9" s="78" t="s">
        <v>483</v>
      </c>
      <c r="F9" s="79" t="s">
        <v>484</v>
      </c>
      <c r="G9" s="3"/>
      <c r="H9" s="77" t="s">
        <v>485</v>
      </c>
      <c r="I9" s="86" t="s">
        <v>486</v>
      </c>
    </row>
    <row r="10" ht="100.5" customHeight="1" spans="1:9">
      <c r="A10" s="4" t="s">
        <v>35</v>
      </c>
      <c r="B10" s="80" t="s">
        <v>487</v>
      </c>
      <c r="C10" s="3"/>
      <c r="D10" s="81" t="s">
        <v>488</v>
      </c>
      <c r="E10" s="77" t="s">
        <v>481</v>
      </c>
      <c r="F10" s="82" t="s">
        <v>489</v>
      </c>
      <c r="G10" s="82" t="s">
        <v>489</v>
      </c>
      <c r="H10" s="83" t="s">
        <v>37</v>
      </c>
      <c r="I10" s="86" t="s">
        <v>490</v>
      </c>
    </row>
    <row r="11" ht="100.5" customHeight="1" spans="1:9">
      <c r="A11" s="4" t="s">
        <v>39</v>
      </c>
      <c r="B11" s="79" t="s">
        <v>491</v>
      </c>
      <c r="C11" s="3"/>
      <c r="D11" s="81" t="s">
        <v>488</v>
      </c>
      <c r="E11" s="84" t="s">
        <v>492</v>
      </c>
      <c r="F11" s="77" t="s">
        <v>493</v>
      </c>
      <c r="G11" s="85" t="s">
        <v>481</v>
      </c>
      <c r="H11" s="81" t="s">
        <v>488</v>
      </c>
      <c r="I11" s="86" t="s">
        <v>486</v>
      </c>
    </row>
    <row r="12" ht="100.5" customHeight="1" spans="1:9">
      <c r="A12" s="4" t="s">
        <v>40</v>
      </c>
      <c r="B12" s="77" t="s">
        <v>492</v>
      </c>
      <c r="C12" s="77" t="s">
        <v>485</v>
      </c>
      <c r="D12" s="77" t="s">
        <v>493</v>
      </c>
      <c r="E12" s="81" t="s">
        <v>492</v>
      </c>
      <c r="F12" s="77" t="s">
        <v>485</v>
      </c>
      <c r="G12" s="78" t="s">
        <v>494</v>
      </c>
      <c r="H12" s="77" t="s">
        <v>485</v>
      </c>
      <c r="I12" s="86" t="s">
        <v>490</v>
      </c>
    </row>
    <row r="13" ht="100.5" customHeight="1" spans="1:9">
      <c r="A13" s="4" t="s">
        <v>41</v>
      </c>
      <c r="B13" s="77" t="s">
        <v>481</v>
      </c>
      <c r="C13" s="78" t="s">
        <v>495</v>
      </c>
      <c r="D13" s="77" t="s">
        <v>485</v>
      </c>
      <c r="E13" s="77" t="s">
        <v>493</v>
      </c>
      <c r="F13" s="79" t="s">
        <v>496</v>
      </c>
      <c r="G13" s="3"/>
      <c r="H13" s="82" t="s">
        <v>489</v>
      </c>
      <c r="I13" s="86" t="s">
        <v>486</v>
      </c>
    </row>
    <row r="14" ht="100.5" customHeight="1" spans="1:9">
      <c r="A14" s="4" t="s">
        <v>42</v>
      </c>
      <c r="B14" s="79" t="s">
        <v>497</v>
      </c>
      <c r="C14" s="3"/>
      <c r="D14" s="81" t="s">
        <v>498</v>
      </c>
      <c r="E14" s="81" t="s">
        <v>499</v>
      </c>
      <c r="F14" s="80" t="s">
        <v>500</v>
      </c>
      <c r="G14" s="3"/>
      <c r="H14" s="82" t="s">
        <v>489</v>
      </c>
      <c r="I14" s="86" t="s">
        <v>490</v>
      </c>
    </row>
  </sheetData>
  <mergeCells count="11">
    <mergeCell ref="A1:F1"/>
    <mergeCell ref="A2:F2"/>
    <mergeCell ref="A3:F3"/>
    <mergeCell ref="A4:F4"/>
    <mergeCell ref="A5:F5"/>
    <mergeCell ref="F9:G9"/>
    <mergeCell ref="B10:C10"/>
    <mergeCell ref="B11:C11"/>
    <mergeCell ref="F13:G13"/>
    <mergeCell ref="B14:C14"/>
    <mergeCell ref="F14:G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8.1296296296296" customWidth="1"/>
    <col min="3" max="4" width="33" customWidth="1"/>
    <col min="5" max="5" width="37.3796296296296" customWidth="1"/>
    <col min="6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480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18.5" customHeight="1" spans="1:9">
      <c r="A9" s="4" t="s">
        <v>33</v>
      </c>
      <c r="B9" s="7" t="s">
        <v>501</v>
      </c>
      <c r="C9" s="7" t="s">
        <v>502</v>
      </c>
      <c r="D9" s="9" t="s">
        <v>503</v>
      </c>
      <c r="E9" s="3"/>
      <c r="F9" s="75" t="s">
        <v>504</v>
      </c>
      <c r="G9" s="7" t="s">
        <v>505</v>
      </c>
      <c r="H9" s="7" t="s">
        <v>506</v>
      </c>
      <c r="I9" s="76" t="s">
        <v>486</v>
      </c>
    </row>
    <row r="10" ht="100.5" customHeight="1" spans="1:9">
      <c r="A10" s="4" t="s">
        <v>35</v>
      </c>
      <c r="B10" s="9" t="s">
        <v>507</v>
      </c>
      <c r="C10" s="3"/>
      <c r="D10" s="7" t="s">
        <v>505</v>
      </c>
      <c r="E10" s="7" t="s">
        <v>508</v>
      </c>
      <c r="F10" s="56" t="s">
        <v>509</v>
      </c>
      <c r="G10" s="56" t="s">
        <v>509</v>
      </c>
      <c r="H10" s="21" t="s">
        <v>37</v>
      </c>
      <c r="I10" s="76" t="s">
        <v>490</v>
      </c>
    </row>
    <row r="11" ht="129" customHeight="1" spans="1:9">
      <c r="A11" s="4" t="s">
        <v>39</v>
      </c>
      <c r="B11" s="9" t="s">
        <v>510</v>
      </c>
      <c r="C11" s="3"/>
      <c r="D11" s="75" t="s">
        <v>511</v>
      </c>
      <c r="E11" s="7" t="s">
        <v>508</v>
      </c>
      <c r="F11" s="7" t="s">
        <v>512</v>
      </c>
      <c r="G11" s="7" t="s">
        <v>513</v>
      </c>
      <c r="H11" s="75" t="s">
        <v>511</v>
      </c>
      <c r="I11" s="76" t="s">
        <v>486</v>
      </c>
    </row>
    <row r="12" ht="117.75" customHeight="1" spans="1:9">
      <c r="A12" s="4" t="s">
        <v>40</v>
      </c>
      <c r="B12" s="7" t="s">
        <v>513</v>
      </c>
      <c r="C12" s="7" t="s">
        <v>505</v>
      </c>
      <c r="D12" s="7" t="s">
        <v>514</v>
      </c>
      <c r="E12" s="7" t="s">
        <v>513</v>
      </c>
      <c r="F12" s="7" t="s">
        <v>506</v>
      </c>
      <c r="G12" s="75" t="s">
        <v>515</v>
      </c>
      <c r="H12" s="7" t="s">
        <v>506</v>
      </c>
      <c r="I12" s="76" t="s">
        <v>490</v>
      </c>
    </row>
    <row r="13" ht="118.5" customHeight="1" spans="1:9">
      <c r="A13" s="4" t="s">
        <v>41</v>
      </c>
      <c r="B13" s="7" t="s">
        <v>508</v>
      </c>
      <c r="C13" s="25" t="s">
        <v>506</v>
      </c>
      <c r="D13" s="7" t="s">
        <v>506</v>
      </c>
      <c r="E13" s="7" t="s">
        <v>512</v>
      </c>
      <c r="F13" s="9" t="s">
        <v>516</v>
      </c>
      <c r="G13" s="3"/>
      <c r="H13" s="56" t="s">
        <v>509</v>
      </c>
      <c r="I13" s="76" t="s">
        <v>486</v>
      </c>
    </row>
    <row r="14" ht="100.5" customHeight="1" spans="1:9">
      <c r="A14" s="4" t="s">
        <v>42</v>
      </c>
      <c r="B14" s="9" t="s">
        <v>516</v>
      </c>
      <c r="C14" s="3"/>
      <c r="D14" s="9" t="s">
        <v>507</v>
      </c>
      <c r="E14" s="3"/>
      <c r="F14" s="25" t="s">
        <v>517</v>
      </c>
      <c r="G14" s="7" t="s">
        <v>513</v>
      </c>
      <c r="H14" s="56" t="s">
        <v>509</v>
      </c>
      <c r="I14" s="76" t="s">
        <v>490</v>
      </c>
    </row>
  </sheetData>
  <mergeCells count="11">
    <mergeCell ref="A1:F1"/>
    <mergeCell ref="A2:F2"/>
    <mergeCell ref="A3:F3"/>
    <mergeCell ref="A4:F4"/>
    <mergeCell ref="A5:F5"/>
    <mergeCell ref="D9:E9"/>
    <mergeCell ref="B10:C10"/>
    <mergeCell ref="B11:C11"/>
    <mergeCell ref="F13:G13"/>
    <mergeCell ref="B14:C14"/>
    <mergeCell ref="D14:E14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6.75" customWidth="1"/>
    <col min="3" max="9" width="33" customWidth="1"/>
  </cols>
  <sheetData>
    <row r="1" ht="15" spans="1:9">
      <c r="A1" s="14" t="s">
        <v>0</v>
      </c>
      <c r="G1" s="16" t="s">
        <v>1</v>
      </c>
      <c r="H1" s="16" t="s">
        <v>2</v>
      </c>
      <c r="I1" s="14"/>
    </row>
    <row r="2" ht="15" spans="1:9">
      <c r="A2" s="14" t="s">
        <v>3</v>
      </c>
      <c r="G2" s="16" t="s">
        <v>4</v>
      </c>
      <c r="H2" s="16" t="s">
        <v>5</v>
      </c>
      <c r="I2" s="14"/>
    </row>
    <row r="3" ht="15" spans="1:9">
      <c r="A3" s="14" t="s">
        <v>6</v>
      </c>
      <c r="G3" s="16" t="s">
        <v>7</v>
      </c>
      <c r="H3" s="16" t="s">
        <v>8</v>
      </c>
      <c r="I3" s="14"/>
    </row>
    <row r="4" ht="15" spans="1:9">
      <c r="A4" s="14" t="s">
        <v>9</v>
      </c>
      <c r="G4" s="16" t="s">
        <v>10</v>
      </c>
      <c r="H4" s="16" t="s">
        <v>438</v>
      </c>
      <c r="I4" s="14"/>
    </row>
    <row r="5" ht="15" spans="1:9">
      <c r="A5" s="14" t="s">
        <v>518</v>
      </c>
      <c r="G5" s="16"/>
      <c r="H5" s="17"/>
      <c r="I5" s="22"/>
    </row>
    <row r="6" ht="15" spans="1:9">
      <c r="A6" s="16" t="s">
        <v>13</v>
      </c>
      <c r="B6" s="16" t="s">
        <v>19</v>
      </c>
      <c r="C6" s="17"/>
      <c r="D6" s="17"/>
      <c r="E6" s="17"/>
      <c r="F6" s="17"/>
      <c r="G6" s="18" t="s">
        <v>15</v>
      </c>
      <c r="H6" s="16" t="s">
        <v>21</v>
      </c>
      <c r="I6" s="14"/>
    </row>
    <row r="7" ht="35.25" customHeight="1" spans="1:9">
      <c r="A7" s="16" t="s">
        <v>17</v>
      </c>
      <c r="B7" s="16" t="s">
        <v>18</v>
      </c>
      <c r="C7" s="16" t="s">
        <v>14</v>
      </c>
      <c r="D7" s="16" t="s">
        <v>19</v>
      </c>
      <c r="E7" s="16" t="s">
        <v>16</v>
      </c>
      <c r="F7" s="16" t="s">
        <v>20</v>
      </c>
      <c r="G7" s="16" t="s">
        <v>21</v>
      </c>
      <c r="H7" s="16" t="s">
        <v>22</v>
      </c>
      <c r="I7" s="16" t="s">
        <v>23</v>
      </c>
    </row>
    <row r="8" ht="35.25" customHeight="1" spans="1:9">
      <c r="A8" s="16" t="s">
        <v>24</v>
      </c>
      <c r="B8" s="16" t="s">
        <v>25</v>
      </c>
      <c r="C8" s="16" t="s">
        <v>26</v>
      </c>
      <c r="D8" s="16" t="s">
        <v>27</v>
      </c>
      <c r="E8" s="16" t="s">
        <v>28</v>
      </c>
      <c r="F8" s="16" t="s">
        <v>29</v>
      </c>
      <c r="G8" s="16" t="s">
        <v>30</v>
      </c>
      <c r="H8" s="16" t="s">
        <v>31</v>
      </c>
      <c r="I8" s="16" t="s">
        <v>32</v>
      </c>
    </row>
    <row r="9" ht="180" spans="1:9">
      <c r="A9" s="16" t="s">
        <v>33</v>
      </c>
      <c r="B9" s="16" t="s">
        <v>519</v>
      </c>
      <c r="C9" s="7" t="s">
        <v>520</v>
      </c>
      <c r="D9" s="7" t="s">
        <v>521</v>
      </c>
      <c r="E9" s="61" t="s">
        <v>522</v>
      </c>
      <c r="F9" s="36" t="s">
        <v>523</v>
      </c>
      <c r="G9" s="2"/>
      <c r="H9" s="3"/>
      <c r="I9" s="7" t="s">
        <v>524</v>
      </c>
    </row>
    <row r="10" ht="180" spans="1:9">
      <c r="A10" s="16" t="s">
        <v>35</v>
      </c>
      <c r="B10" s="7" t="s">
        <v>520</v>
      </c>
      <c r="C10" s="7" t="s">
        <v>525</v>
      </c>
      <c r="D10" s="7" t="s">
        <v>526</v>
      </c>
      <c r="E10" s="16" t="s">
        <v>519</v>
      </c>
      <c r="F10" s="73" t="s">
        <v>527</v>
      </c>
      <c r="G10" s="73" t="s">
        <v>527</v>
      </c>
      <c r="H10" s="74" t="s">
        <v>37</v>
      </c>
      <c r="I10" s="7" t="s">
        <v>528</v>
      </c>
    </row>
    <row r="11" ht="180" spans="1:9">
      <c r="A11" s="16" t="s">
        <v>39</v>
      </c>
      <c r="B11" s="36" t="s">
        <v>529</v>
      </c>
      <c r="C11" s="2"/>
      <c r="D11" s="36" t="s">
        <v>530</v>
      </c>
      <c r="E11" s="2"/>
      <c r="F11" s="7" t="s">
        <v>525</v>
      </c>
      <c r="G11" s="61" t="s">
        <v>522</v>
      </c>
      <c r="H11" s="7" t="s">
        <v>521</v>
      </c>
      <c r="I11" s="7" t="s">
        <v>524</v>
      </c>
    </row>
    <row r="12" ht="75" spans="1:9">
      <c r="A12" s="16" t="s">
        <v>40</v>
      </c>
      <c r="B12" s="7" t="s">
        <v>521</v>
      </c>
      <c r="C12" s="7" t="s">
        <v>520</v>
      </c>
      <c r="D12" s="16" t="s">
        <v>519</v>
      </c>
      <c r="E12" s="7" t="s">
        <v>526</v>
      </c>
      <c r="F12" s="36" t="s">
        <v>531</v>
      </c>
      <c r="G12" s="2"/>
      <c r="H12" s="3"/>
      <c r="I12" s="7" t="s">
        <v>528</v>
      </c>
    </row>
    <row r="13" ht="195" spans="1:9">
      <c r="A13" s="16" t="s">
        <v>41</v>
      </c>
      <c r="B13" s="61" t="s">
        <v>522</v>
      </c>
      <c r="C13" s="7" t="s">
        <v>525</v>
      </c>
      <c r="D13" s="7" t="s">
        <v>526</v>
      </c>
      <c r="E13" s="16" t="s">
        <v>519</v>
      </c>
      <c r="F13" s="7" t="s">
        <v>520</v>
      </c>
      <c r="G13" s="7" t="s">
        <v>521</v>
      </c>
      <c r="H13" s="73" t="s">
        <v>527</v>
      </c>
      <c r="I13" s="7" t="s">
        <v>524</v>
      </c>
    </row>
    <row r="14" ht="180" spans="1:9">
      <c r="A14" s="16" t="s">
        <v>42</v>
      </c>
      <c r="B14" s="36" t="s">
        <v>532</v>
      </c>
      <c r="C14" s="2"/>
      <c r="D14" s="36" t="s">
        <v>533</v>
      </c>
      <c r="E14" s="2"/>
      <c r="F14" s="61" t="s">
        <v>522</v>
      </c>
      <c r="G14" s="7" t="s">
        <v>526</v>
      </c>
      <c r="H14" s="73" t="s">
        <v>527</v>
      </c>
      <c r="I14" s="7" t="s">
        <v>528</v>
      </c>
    </row>
  </sheetData>
  <mergeCells count="11">
    <mergeCell ref="A1:F1"/>
    <mergeCell ref="A2:F2"/>
    <mergeCell ref="A3:F3"/>
    <mergeCell ref="A4:F4"/>
    <mergeCell ref="A5:F5"/>
    <mergeCell ref="F9:H9"/>
    <mergeCell ref="B11:C11"/>
    <mergeCell ref="D11:E11"/>
    <mergeCell ref="F12:H12"/>
    <mergeCell ref="B14:C14"/>
    <mergeCell ref="D14:E14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38" customWidth="1"/>
    <col min="3" max="3" width="33" customWidth="1"/>
    <col min="4" max="4" width="35.6296296296296" customWidth="1"/>
    <col min="5" max="5" width="33" customWidth="1"/>
    <col min="6" max="6" width="39.3796296296296" customWidth="1"/>
    <col min="7" max="7" width="38.5" customWidth="1"/>
    <col min="8" max="8" width="48.3796296296296" customWidth="1"/>
    <col min="9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534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35" customHeight="1" spans="1:9">
      <c r="A9" s="4" t="s">
        <v>33</v>
      </c>
      <c r="B9" s="48" t="s">
        <v>535</v>
      </c>
      <c r="C9" s="48" t="s">
        <v>536</v>
      </c>
      <c r="D9" s="48" t="s">
        <v>537</v>
      </c>
      <c r="E9" s="48" t="s">
        <v>538</v>
      </c>
      <c r="F9" s="72" t="s">
        <v>539</v>
      </c>
      <c r="G9" s="3"/>
      <c r="H9" s="48" t="s">
        <v>540</v>
      </c>
      <c r="I9" s="48" t="s">
        <v>541</v>
      </c>
    </row>
    <row r="10" ht="15" spans="1:9">
      <c r="A10" s="4" t="s">
        <v>35</v>
      </c>
      <c r="B10" s="48" t="s">
        <v>537</v>
      </c>
      <c r="C10" s="48" t="s">
        <v>540</v>
      </c>
      <c r="D10" s="48" t="s">
        <v>536</v>
      </c>
      <c r="E10" s="48" t="s">
        <v>535</v>
      </c>
      <c r="F10" s="48" t="s">
        <v>542</v>
      </c>
      <c r="G10" s="48" t="s">
        <v>542</v>
      </c>
      <c r="H10" s="11" t="s">
        <v>37</v>
      </c>
      <c r="I10" s="48" t="s">
        <v>543</v>
      </c>
    </row>
    <row r="11" ht="116.25" customHeight="1" spans="1:9">
      <c r="A11" s="4" t="s">
        <v>39</v>
      </c>
      <c r="B11" s="48" t="s">
        <v>536</v>
      </c>
      <c r="C11" s="48" t="s">
        <v>535</v>
      </c>
      <c r="D11" s="72" t="s">
        <v>539</v>
      </c>
      <c r="E11" s="3"/>
      <c r="F11" s="48" t="s">
        <v>544</v>
      </c>
      <c r="G11" s="48" t="s">
        <v>536</v>
      </c>
      <c r="H11" s="48" t="s">
        <v>540</v>
      </c>
      <c r="I11" s="48" t="s">
        <v>541</v>
      </c>
    </row>
    <row r="12" ht="117" customHeight="1" spans="1:9">
      <c r="A12" s="4" t="s">
        <v>40</v>
      </c>
      <c r="B12" s="72" t="s">
        <v>539</v>
      </c>
      <c r="C12" s="3"/>
      <c r="D12" s="48" t="s">
        <v>544</v>
      </c>
      <c r="E12" s="48" t="s">
        <v>538</v>
      </c>
      <c r="F12" s="48" t="s">
        <v>540</v>
      </c>
      <c r="G12" s="48" t="s">
        <v>535</v>
      </c>
      <c r="H12" s="48" t="s">
        <v>536</v>
      </c>
      <c r="I12" s="48" t="s">
        <v>543</v>
      </c>
    </row>
    <row r="13" ht="15" spans="1:9">
      <c r="A13" s="4" t="s">
        <v>41</v>
      </c>
      <c r="B13" s="48" t="s">
        <v>537</v>
      </c>
      <c r="C13" s="48" t="s">
        <v>536</v>
      </c>
      <c r="D13" s="72" t="s">
        <v>539</v>
      </c>
      <c r="E13" s="3"/>
      <c r="F13" s="48" t="s">
        <v>544</v>
      </c>
      <c r="G13" s="48" t="s">
        <v>538</v>
      </c>
      <c r="H13" s="48" t="s">
        <v>542</v>
      </c>
      <c r="I13" s="48" t="s">
        <v>541</v>
      </c>
    </row>
    <row r="14" ht="15" spans="1:9">
      <c r="A14" s="4" t="s">
        <v>42</v>
      </c>
      <c r="B14" s="48" t="s">
        <v>540</v>
      </c>
      <c r="C14" s="48" t="s">
        <v>535</v>
      </c>
      <c r="D14" s="48" t="s">
        <v>544</v>
      </c>
      <c r="E14" s="48" t="s">
        <v>537</v>
      </c>
      <c r="F14" s="48" t="s">
        <v>538</v>
      </c>
      <c r="G14" s="48" t="s">
        <v>536</v>
      </c>
      <c r="H14" s="48" t="s">
        <v>542</v>
      </c>
      <c r="I14" s="48" t="s">
        <v>543</v>
      </c>
    </row>
  </sheetData>
  <mergeCells count="9">
    <mergeCell ref="A1:F1"/>
    <mergeCell ref="A2:F2"/>
    <mergeCell ref="A3:F3"/>
    <mergeCell ref="A4:F4"/>
    <mergeCell ref="A5:F5"/>
    <mergeCell ref="F9:G9"/>
    <mergeCell ref="D11:E11"/>
    <mergeCell ref="B12:C12"/>
    <mergeCell ref="D13:E1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31.75" customWidth="1"/>
    <col min="3" max="3" width="34.1296296296296" customWidth="1"/>
    <col min="4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545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71.25" customHeight="1" spans="1:9">
      <c r="A9" s="4" t="s">
        <v>33</v>
      </c>
      <c r="B9" s="7" t="s">
        <v>546</v>
      </c>
      <c r="C9" s="48" t="s">
        <v>547</v>
      </c>
      <c r="D9" s="7" t="s">
        <v>548</v>
      </c>
      <c r="E9" s="7" t="s">
        <v>549</v>
      </c>
      <c r="F9" s="9" t="s">
        <v>550</v>
      </c>
      <c r="G9" s="3"/>
      <c r="H9" s="7" t="s">
        <v>551</v>
      </c>
      <c r="I9" s="7" t="s">
        <v>552</v>
      </c>
    </row>
    <row r="10" ht="71.25" customHeight="1" spans="1:9">
      <c r="A10" s="4" t="s">
        <v>35</v>
      </c>
      <c r="B10" s="7" t="s">
        <v>548</v>
      </c>
      <c r="C10" s="7" t="s">
        <v>553</v>
      </c>
      <c r="D10" s="48" t="s">
        <v>547</v>
      </c>
      <c r="E10" s="7" t="s">
        <v>554</v>
      </c>
      <c r="F10" s="71" t="s">
        <v>555</v>
      </c>
      <c r="G10" s="71" t="s">
        <v>555</v>
      </c>
      <c r="H10" s="21" t="s">
        <v>37</v>
      </c>
      <c r="I10" s="7" t="s">
        <v>556</v>
      </c>
    </row>
    <row r="11" ht="71.25" customHeight="1" spans="1:9">
      <c r="A11" s="4" t="s">
        <v>39</v>
      </c>
      <c r="B11" s="48" t="s">
        <v>547</v>
      </c>
      <c r="C11" s="7" t="s">
        <v>554</v>
      </c>
      <c r="D11" s="9" t="s">
        <v>550</v>
      </c>
      <c r="E11" s="3"/>
      <c r="F11" s="7" t="s">
        <v>553</v>
      </c>
      <c r="G11" s="48" t="s">
        <v>547</v>
      </c>
      <c r="H11" s="7" t="s">
        <v>554</v>
      </c>
      <c r="I11" s="7" t="s">
        <v>552</v>
      </c>
    </row>
    <row r="12" ht="71.25" customHeight="1" spans="1:9">
      <c r="A12" s="4" t="s">
        <v>40</v>
      </c>
      <c r="B12" s="7" t="s">
        <v>549</v>
      </c>
      <c r="C12" s="48" t="s">
        <v>547</v>
      </c>
      <c r="D12" s="7" t="s">
        <v>551</v>
      </c>
      <c r="E12" s="7" t="s">
        <v>549</v>
      </c>
      <c r="F12" s="9" t="s">
        <v>550</v>
      </c>
      <c r="G12" s="3"/>
      <c r="H12" s="7" t="s">
        <v>548</v>
      </c>
      <c r="I12" s="7" t="s">
        <v>556</v>
      </c>
    </row>
    <row r="13" ht="71.25" customHeight="1" spans="1:9">
      <c r="A13" s="4" t="s">
        <v>41</v>
      </c>
      <c r="B13" s="7" t="s">
        <v>554</v>
      </c>
      <c r="C13" s="7" t="s">
        <v>554</v>
      </c>
      <c r="D13" s="7" t="s">
        <v>549</v>
      </c>
      <c r="E13" s="7" t="s">
        <v>553</v>
      </c>
      <c r="F13" s="7" t="s">
        <v>551</v>
      </c>
      <c r="G13" s="48" t="s">
        <v>547</v>
      </c>
      <c r="H13" s="71" t="s">
        <v>555</v>
      </c>
      <c r="I13" s="7" t="s">
        <v>552</v>
      </c>
    </row>
    <row r="14" ht="71.25" customHeight="1" spans="1:9">
      <c r="A14" s="4" t="s">
        <v>42</v>
      </c>
      <c r="B14" s="7" t="s">
        <v>551</v>
      </c>
      <c r="C14" s="7" t="s">
        <v>548</v>
      </c>
      <c r="D14" s="48" t="s">
        <v>547</v>
      </c>
      <c r="E14" s="7" t="s">
        <v>549</v>
      </c>
      <c r="F14" s="7" t="s">
        <v>554</v>
      </c>
      <c r="G14" s="7" t="s">
        <v>554</v>
      </c>
      <c r="H14" s="71" t="s">
        <v>555</v>
      </c>
      <c r="I14" s="7" t="s">
        <v>556</v>
      </c>
    </row>
  </sheetData>
  <mergeCells count="8">
    <mergeCell ref="A1:F1"/>
    <mergeCell ref="A2:F2"/>
    <mergeCell ref="A3:F3"/>
    <mergeCell ref="A4:F4"/>
    <mergeCell ref="A5:F5"/>
    <mergeCell ref="F9:G9"/>
    <mergeCell ref="D11:E11"/>
    <mergeCell ref="F12:G1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8.25" customWidth="1"/>
    <col min="3" max="5" width="33" customWidth="1"/>
    <col min="6" max="6" width="34.6296296296296" customWidth="1"/>
    <col min="7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557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76.5" customHeight="1" spans="1:9">
      <c r="A9" s="4" t="s">
        <v>33</v>
      </c>
      <c r="B9" s="67" t="s">
        <v>558</v>
      </c>
      <c r="C9" s="3"/>
      <c r="D9" s="68" t="s">
        <v>559</v>
      </c>
      <c r="E9" s="68" t="s">
        <v>560</v>
      </c>
      <c r="F9" s="68" t="s">
        <v>561</v>
      </c>
      <c r="G9" s="68" t="s">
        <v>562</v>
      </c>
      <c r="H9" s="68" t="s">
        <v>563</v>
      </c>
      <c r="I9" s="68" t="s">
        <v>564</v>
      </c>
    </row>
    <row r="10" ht="86.25" customHeight="1" spans="1:9">
      <c r="A10" s="4" t="s">
        <v>35</v>
      </c>
      <c r="B10" s="68" t="s">
        <v>565</v>
      </c>
      <c r="C10" s="8" t="s">
        <v>566</v>
      </c>
      <c r="D10" s="67" t="s">
        <v>567</v>
      </c>
      <c r="E10" s="3"/>
      <c r="F10" s="8" t="s">
        <v>568</v>
      </c>
      <c r="G10" s="8" t="s">
        <v>568</v>
      </c>
      <c r="H10" s="69" t="s">
        <v>37</v>
      </c>
      <c r="I10" s="68" t="s">
        <v>569</v>
      </c>
    </row>
    <row r="11" ht="71.25" customHeight="1" spans="1:9">
      <c r="A11" s="4" t="s">
        <v>39</v>
      </c>
      <c r="B11" s="8" t="s">
        <v>566</v>
      </c>
      <c r="C11" s="68" t="s">
        <v>570</v>
      </c>
      <c r="D11" s="68" t="s">
        <v>561</v>
      </c>
      <c r="E11" s="68" t="s">
        <v>565</v>
      </c>
      <c r="F11" s="67" t="s">
        <v>558</v>
      </c>
      <c r="G11" s="3"/>
      <c r="H11" s="68" t="s">
        <v>562</v>
      </c>
      <c r="I11" s="68" t="s">
        <v>564</v>
      </c>
    </row>
    <row r="12" ht="78" customHeight="1" spans="1:9">
      <c r="A12" s="4" t="s">
        <v>40</v>
      </c>
      <c r="B12" s="67" t="s">
        <v>567</v>
      </c>
      <c r="C12" s="3"/>
      <c r="D12" s="8" t="s">
        <v>566</v>
      </c>
      <c r="E12" s="68" t="s">
        <v>565</v>
      </c>
      <c r="F12" s="67" t="s">
        <v>571</v>
      </c>
      <c r="G12" s="3"/>
      <c r="H12" s="68" t="s">
        <v>570</v>
      </c>
      <c r="I12" s="68" t="s">
        <v>569</v>
      </c>
    </row>
    <row r="13" ht="89.25" customHeight="1" spans="1:9">
      <c r="A13" s="4" t="s">
        <v>41</v>
      </c>
      <c r="B13" s="68" t="s">
        <v>562</v>
      </c>
      <c r="C13" s="68" t="s">
        <v>559</v>
      </c>
      <c r="D13" s="67" t="s">
        <v>571</v>
      </c>
      <c r="E13" s="3"/>
      <c r="F13" s="68" t="s">
        <v>570</v>
      </c>
      <c r="G13" s="68" t="s">
        <v>565</v>
      </c>
      <c r="H13" s="8" t="s">
        <v>568</v>
      </c>
      <c r="I13" s="68" t="s">
        <v>564</v>
      </c>
    </row>
    <row r="14" ht="87" customHeight="1" spans="1:9">
      <c r="A14" s="4" t="s">
        <v>42</v>
      </c>
      <c r="B14" s="70" t="s">
        <v>561</v>
      </c>
      <c r="C14" s="68" t="s">
        <v>562</v>
      </c>
      <c r="D14" s="68" t="s">
        <v>559</v>
      </c>
      <c r="E14" s="68" t="s">
        <v>565</v>
      </c>
      <c r="F14" s="68" t="s">
        <v>559</v>
      </c>
      <c r="G14" s="8" t="s">
        <v>566</v>
      </c>
      <c r="H14" s="8" t="s">
        <v>568</v>
      </c>
      <c r="I14" s="68" t="s">
        <v>569</v>
      </c>
    </row>
  </sheetData>
  <mergeCells count="11">
    <mergeCell ref="A1:F1"/>
    <mergeCell ref="A2:F2"/>
    <mergeCell ref="A3:F3"/>
    <mergeCell ref="A4:F4"/>
    <mergeCell ref="A5:F5"/>
    <mergeCell ref="B9:C9"/>
    <mergeCell ref="D10:E10"/>
    <mergeCell ref="F11:G11"/>
    <mergeCell ref="B12:C12"/>
    <mergeCell ref="F12:G12"/>
    <mergeCell ref="D13:E1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8.25" customWidth="1"/>
    <col min="3" max="9" width="33" customWidth="1"/>
  </cols>
  <sheetData>
    <row r="1" ht="15" spans="1:9">
      <c r="A1" s="1" t="s">
        <v>0</v>
      </c>
      <c r="B1" s="2"/>
      <c r="C1" s="2"/>
      <c r="D1" s="2"/>
      <c r="E1" s="2"/>
      <c r="F1" s="3"/>
      <c r="G1" s="4" t="s">
        <v>1</v>
      </c>
      <c r="H1" s="4" t="s">
        <v>2</v>
      </c>
      <c r="I1" s="12"/>
    </row>
    <row r="2" ht="15" spans="1:9">
      <c r="A2" s="1" t="s">
        <v>3</v>
      </c>
      <c r="B2" s="2"/>
      <c r="C2" s="2"/>
      <c r="D2" s="2"/>
      <c r="E2" s="2"/>
      <c r="F2" s="3"/>
      <c r="G2" s="4" t="s">
        <v>4</v>
      </c>
      <c r="H2" s="4" t="s">
        <v>5</v>
      </c>
      <c r="I2" s="12"/>
    </row>
    <row r="3" ht="15" spans="1:9">
      <c r="A3" s="1" t="s">
        <v>6</v>
      </c>
      <c r="B3" s="2"/>
      <c r="C3" s="2"/>
      <c r="D3" s="2"/>
      <c r="E3" s="2"/>
      <c r="F3" s="3"/>
      <c r="G3" s="4" t="s">
        <v>7</v>
      </c>
      <c r="H3" s="4" t="s">
        <v>8</v>
      </c>
      <c r="I3" s="12"/>
    </row>
    <row r="4" ht="15" spans="1:9">
      <c r="A4" s="1" t="s">
        <v>9</v>
      </c>
      <c r="B4" s="2"/>
      <c r="C4" s="2"/>
      <c r="D4" s="2"/>
      <c r="E4" s="2"/>
      <c r="F4" s="3"/>
      <c r="G4" s="4" t="s">
        <v>10</v>
      </c>
      <c r="H4" s="4" t="s">
        <v>438</v>
      </c>
      <c r="I4" s="12"/>
    </row>
    <row r="5" ht="15" spans="1:9">
      <c r="A5" s="1" t="s">
        <v>572</v>
      </c>
      <c r="B5" s="2"/>
      <c r="C5" s="2"/>
      <c r="D5" s="2"/>
      <c r="E5" s="2"/>
      <c r="F5" s="3"/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5" spans="1:9">
      <c r="A9" s="4" t="s">
        <v>33</v>
      </c>
      <c r="B9" s="48" t="s">
        <v>573</v>
      </c>
      <c r="C9" s="48" t="s">
        <v>574</v>
      </c>
      <c r="D9" s="48" t="s">
        <v>575</v>
      </c>
      <c r="E9" s="48" t="s">
        <v>576</v>
      </c>
      <c r="F9" s="48" t="s">
        <v>577</v>
      </c>
      <c r="G9" s="48" t="s">
        <v>578</v>
      </c>
      <c r="H9" s="48" t="s">
        <v>579</v>
      </c>
      <c r="I9" s="48" t="s">
        <v>34</v>
      </c>
    </row>
    <row r="10" ht="15" spans="1:9">
      <c r="A10" s="4" t="s">
        <v>35</v>
      </c>
      <c r="B10" s="48" t="s">
        <v>575</v>
      </c>
      <c r="C10" s="48" t="s">
        <v>574</v>
      </c>
      <c r="D10" s="48" t="s">
        <v>578</v>
      </c>
      <c r="E10" s="48" t="s">
        <v>576</v>
      </c>
      <c r="F10" s="48" t="s">
        <v>580</v>
      </c>
      <c r="G10" s="48" t="s">
        <v>580</v>
      </c>
      <c r="H10" s="11" t="s">
        <v>37</v>
      </c>
      <c r="I10" s="48" t="s">
        <v>38</v>
      </c>
    </row>
    <row r="11" ht="15" spans="1:9">
      <c r="A11" s="4" t="s">
        <v>39</v>
      </c>
      <c r="B11" s="48" t="s">
        <v>576</v>
      </c>
      <c r="C11" s="48" t="s">
        <v>578</v>
      </c>
      <c r="D11" s="47" t="s">
        <v>581</v>
      </c>
      <c r="E11" s="3"/>
      <c r="F11" s="48" t="s">
        <v>579</v>
      </c>
      <c r="G11" s="48" t="s">
        <v>577</v>
      </c>
      <c r="H11" s="48" t="s">
        <v>573</v>
      </c>
      <c r="I11" s="48" t="s">
        <v>34</v>
      </c>
    </row>
    <row r="12" ht="15" spans="1:9">
      <c r="A12" s="4" t="s">
        <v>40</v>
      </c>
      <c r="B12" s="48" t="s">
        <v>579</v>
      </c>
      <c r="C12" s="48" t="s">
        <v>573</v>
      </c>
      <c r="D12" s="47" t="s">
        <v>582</v>
      </c>
      <c r="E12" s="3"/>
      <c r="F12" s="48" t="s">
        <v>578</v>
      </c>
      <c r="G12" s="48" t="s">
        <v>576</v>
      </c>
      <c r="H12" s="48" t="s">
        <v>577</v>
      </c>
      <c r="I12" s="48" t="s">
        <v>38</v>
      </c>
    </row>
    <row r="13" ht="15" spans="1:9">
      <c r="A13" s="4" t="s">
        <v>41</v>
      </c>
      <c r="B13" s="48" t="s">
        <v>577</v>
      </c>
      <c r="C13" s="48" t="s">
        <v>574</v>
      </c>
      <c r="D13" s="47" t="s">
        <v>583</v>
      </c>
      <c r="E13" s="3"/>
      <c r="F13" s="48" t="s">
        <v>576</v>
      </c>
      <c r="G13" s="48" t="s">
        <v>575</v>
      </c>
      <c r="H13" s="48" t="s">
        <v>584</v>
      </c>
      <c r="I13" s="48" t="s">
        <v>34</v>
      </c>
    </row>
    <row r="14" ht="15" spans="1:9">
      <c r="A14" s="4" t="s">
        <v>42</v>
      </c>
      <c r="B14" s="48" t="s">
        <v>578</v>
      </c>
      <c r="C14" s="48" t="s">
        <v>575</v>
      </c>
      <c r="D14" s="48" t="s">
        <v>579</v>
      </c>
      <c r="E14" s="48" t="s">
        <v>577</v>
      </c>
      <c r="F14" s="48" t="s">
        <v>574</v>
      </c>
      <c r="G14" s="48" t="s">
        <v>573</v>
      </c>
      <c r="H14" s="48" t="s">
        <v>584</v>
      </c>
      <c r="I14" s="48" t="s">
        <v>38</v>
      </c>
    </row>
  </sheetData>
  <mergeCells count="8">
    <mergeCell ref="A1:F1"/>
    <mergeCell ref="A2:F2"/>
    <mergeCell ref="A3:F3"/>
    <mergeCell ref="A4:F4"/>
    <mergeCell ref="A5:F5"/>
    <mergeCell ref="D11:E11"/>
    <mergeCell ref="D12:E12"/>
    <mergeCell ref="D13:E13"/>
  </mergeCell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9.6296296296296" customWidth="1"/>
    <col min="3" max="9" width="33" customWidth="1"/>
  </cols>
  <sheetData>
    <row r="1" ht="15" spans="1:9">
      <c r="A1" s="60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585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95" spans="1:9">
      <c r="A9" s="4" t="s">
        <v>33</v>
      </c>
      <c r="B9" s="61" t="s">
        <v>586</v>
      </c>
      <c r="C9" s="62" t="s">
        <v>587</v>
      </c>
      <c r="D9" s="61" t="s">
        <v>588</v>
      </c>
      <c r="E9" s="63" t="s">
        <v>589</v>
      </c>
      <c r="F9" s="64" t="s">
        <v>590</v>
      </c>
      <c r="G9" s="3"/>
      <c r="H9" s="63" t="s">
        <v>591</v>
      </c>
      <c r="I9" s="7" t="s">
        <v>592</v>
      </c>
    </row>
    <row r="10" ht="195" spans="1:9">
      <c r="A10" s="4" t="s">
        <v>35</v>
      </c>
      <c r="B10" s="61" t="s">
        <v>587</v>
      </c>
      <c r="C10" s="61" t="s">
        <v>588</v>
      </c>
      <c r="D10" s="61" t="s">
        <v>593</v>
      </c>
      <c r="E10" s="63" t="s">
        <v>594</v>
      </c>
      <c r="F10" s="63" t="s">
        <v>595</v>
      </c>
      <c r="G10" s="63" t="s">
        <v>595</v>
      </c>
      <c r="H10" s="65" t="s">
        <v>37</v>
      </c>
      <c r="I10" s="16" t="s">
        <v>596</v>
      </c>
    </row>
    <row r="11" ht="195" spans="1:9">
      <c r="A11" s="4" t="s">
        <v>39</v>
      </c>
      <c r="B11" s="63" t="s">
        <v>597</v>
      </c>
      <c r="C11" s="66" t="s">
        <v>598</v>
      </c>
      <c r="D11" s="63" t="s">
        <v>597</v>
      </c>
      <c r="E11" s="61" t="s">
        <v>586</v>
      </c>
      <c r="F11" s="61" t="s">
        <v>587</v>
      </c>
      <c r="G11" s="61" t="s">
        <v>588</v>
      </c>
      <c r="H11" s="63" t="s">
        <v>599</v>
      </c>
      <c r="I11" s="7" t="s">
        <v>592</v>
      </c>
    </row>
    <row r="12" ht="195" spans="1:9">
      <c r="A12" s="4" t="s">
        <v>40</v>
      </c>
      <c r="B12" s="63" t="s">
        <v>589</v>
      </c>
      <c r="C12" s="61" t="s">
        <v>586</v>
      </c>
      <c r="D12" s="63" t="s">
        <v>597</v>
      </c>
      <c r="E12" s="61" t="s">
        <v>586</v>
      </c>
      <c r="F12" s="63" t="s">
        <v>598</v>
      </c>
      <c r="G12" s="63" t="s">
        <v>598</v>
      </c>
      <c r="H12" s="63" t="s">
        <v>594</v>
      </c>
      <c r="I12" s="16" t="s">
        <v>600</v>
      </c>
    </row>
    <row r="13" ht="150" spans="1:9">
      <c r="A13" s="4" t="s">
        <v>41</v>
      </c>
      <c r="B13" s="61" t="s">
        <v>587</v>
      </c>
      <c r="C13" s="63" t="s">
        <v>598</v>
      </c>
      <c r="D13" s="64" t="s">
        <v>590</v>
      </c>
      <c r="E13" s="3"/>
      <c r="F13" s="63" t="s">
        <v>601</v>
      </c>
      <c r="G13" s="61" t="s">
        <v>588</v>
      </c>
      <c r="H13" s="63" t="s">
        <v>595</v>
      </c>
      <c r="I13" s="7" t="s">
        <v>592</v>
      </c>
    </row>
    <row r="14" ht="195" spans="1:9">
      <c r="A14" s="4" t="s">
        <v>42</v>
      </c>
      <c r="B14" s="63" t="s">
        <v>598</v>
      </c>
      <c r="C14" s="61" t="s">
        <v>588</v>
      </c>
      <c r="D14" s="64" t="s">
        <v>590</v>
      </c>
      <c r="E14" s="3"/>
      <c r="F14" s="61" t="s">
        <v>587</v>
      </c>
      <c r="G14" s="63" t="s">
        <v>602</v>
      </c>
      <c r="H14" s="63" t="s">
        <v>595</v>
      </c>
      <c r="I14" s="16" t="s">
        <v>596</v>
      </c>
    </row>
  </sheetData>
  <mergeCells count="8">
    <mergeCell ref="A1:F1"/>
    <mergeCell ref="A2:F2"/>
    <mergeCell ref="A3:F3"/>
    <mergeCell ref="A4:F4"/>
    <mergeCell ref="A5:F5"/>
    <mergeCell ref="F9:G9"/>
    <mergeCell ref="D13:E13"/>
    <mergeCell ref="D14:E14"/>
  </mergeCells>
  <hyperlinks>
    <hyperlink ref="F9" r:id="rId1" display="22EC603-ARTIFICIAL INTELLIGENCE AND MACHINE LEARNING&#10; 22EC602 - DIGITAL SYSTEM WITH FPGA"/>
    <hyperlink ref="D13" r:id="rId1" display="22EC603-ARTIFICIAL INTELLIGENCE AND MACHINE LEARNING&#10; 22EC602 - DIGITAL SYSTEM WITH FPGA"/>
    <hyperlink ref="D14" r:id="rId1" display="22EC603-ARTIFICIAL INTELLIGENCE AND MACHINE LEARNING&#10; 22EC602 - DIGITAL SYSTEM WITH FPGA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"/>
  <sheetViews>
    <sheetView tabSelected="1" zoomScale="79" zoomScaleNormal="79" topLeftCell="B13" workbookViewId="0">
      <selection activeCell="D11" sqref="D11"/>
    </sheetView>
  </sheetViews>
  <sheetFormatPr defaultColWidth="12.6296296296296" defaultRowHeight="15.75" customHeight="1"/>
  <cols>
    <col min="1" max="1" width="13.75" customWidth="1"/>
    <col min="2" max="2" width="28" customWidth="1"/>
    <col min="3" max="9" width="33" customWidth="1"/>
  </cols>
  <sheetData>
    <row r="1" ht="15" spans="1:9">
      <c r="A1" s="12">
        <v>60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603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65" spans="1:9">
      <c r="A9" s="4" t="s">
        <v>33</v>
      </c>
      <c r="B9" s="50" t="s">
        <v>604</v>
      </c>
      <c r="C9" s="51" t="s">
        <v>605</v>
      </c>
      <c r="D9" s="52" t="s">
        <v>606</v>
      </c>
      <c r="E9" s="51" t="s">
        <v>605</v>
      </c>
      <c r="F9" s="53" t="s">
        <v>607</v>
      </c>
      <c r="G9" s="53" t="s">
        <v>607</v>
      </c>
      <c r="H9" s="54" t="s">
        <v>608</v>
      </c>
      <c r="I9" s="7" t="s">
        <v>609</v>
      </c>
    </row>
    <row r="10" ht="225" spans="1:9">
      <c r="A10" s="4" t="s">
        <v>35</v>
      </c>
      <c r="B10" s="58" t="s">
        <v>610</v>
      </c>
      <c r="C10" s="3"/>
      <c r="D10" s="50" t="s">
        <v>604</v>
      </c>
      <c r="E10" s="53" t="s">
        <v>607</v>
      </c>
      <c r="F10" s="56" t="s">
        <v>611</v>
      </c>
      <c r="G10" s="56" t="s">
        <v>611</v>
      </c>
      <c r="H10" s="11" t="s">
        <v>37</v>
      </c>
      <c r="I10" s="16" t="s">
        <v>612</v>
      </c>
    </row>
    <row r="11" ht="135" spans="1:9">
      <c r="A11" s="4" t="s">
        <v>39</v>
      </c>
      <c r="B11" s="53" t="s">
        <v>607</v>
      </c>
      <c r="C11" s="51" t="s">
        <v>613</v>
      </c>
      <c r="D11" s="54" t="s">
        <v>608</v>
      </c>
      <c r="E11" s="59" t="s">
        <v>610</v>
      </c>
      <c r="F11" s="50" t="s">
        <v>604</v>
      </c>
      <c r="G11" s="52" t="s">
        <v>606</v>
      </c>
      <c r="H11" s="59" t="s">
        <v>610</v>
      </c>
      <c r="I11" s="7" t="s">
        <v>609</v>
      </c>
    </row>
    <row r="12" ht="135" spans="1:9">
      <c r="A12" s="4" t="s">
        <v>40</v>
      </c>
      <c r="B12" s="52" t="s">
        <v>606</v>
      </c>
      <c r="C12" s="54" t="s">
        <v>608</v>
      </c>
      <c r="D12" s="53" t="s">
        <v>607</v>
      </c>
      <c r="E12" s="50" t="s">
        <v>604</v>
      </c>
      <c r="F12" s="51" t="s">
        <v>605</v>
      </c>
      <c r="G12" s="59" t="s">
        <v>610</v>
      </c>
      <c r="H12" s="59" t="s">
        <v>610</v>
      </c>
      <c r="I12" s="16" t="s">
        <v>612</v>
      </c>
    </row>
    <row r="13" ht="225" spans="1:9">
      <c r="A13" s="4" t="s">
        <v>41</v>
      </c>
      <c r="B13" s="58" t="s">
        <v>610</v>
      </c>
      <c r="C13" s="3"/>
      <c r="D13" s="54" t="s">
        <v>608</v>
      </c>
      <c r="E13" s="54" t="s">
        <v>608</v>
      </c>
      <c r="F13" s="52" t="s">
        <v>606</v>
      </c>
      <c r="G13" s="53" t="s">
        <v>607</v>
      </c>
      <c r="H13" s="56" t="s">
        <v>611</v>
      </c>
      <c r="I13" s="7" t="s">
        <v>609</v>
      </c>
    </row>
    <row r="14" ht="225" spans="1:9">
      <c r="A14" s="4" t="s">
        <v>42</v>
      </c>
      <c r="B14" s="50" t="s">
        <v>604</v>
      </c>
      <c r="C14" s="53" t="s">
        <v>607</v>
      </c>
      <c r="D14" s="52" t="s">
        <v>606</v>
      </c>
      <c r="E14" s="52" t="s">
        <v>606</v>
      </c>
      <c r="F14" s="51" t="s">
        <v>605</v>
      </c>
      <c r="G14" s="59" t="s">
        <v>610</v>
      </c>
      <c r="H14" s="56" t="s">
        <v>611</v>
      </c>
      <c r="I14" s="16" t="s">
        <v>612</v>
      </c>
    </row>
  </sheetData>
  <mergeCells count="7">
    <mergeCell ref="A1:F1"/>
    <mergeCell ref="A2:F2"/>
    <mergeCell ref="A3:F3"/>
    <mergeCell ref="A4:F4"/>
    <mergeCell ref="A5:F5"/>
    <mergeCell ref="B10:C10"/>
    <mergeCell ref="B13:C13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4"/>
  <sheetViews>
    <sheetView workbookViewId="0">
      <selection activeCell="A1" sqref="A1:F1"/>
    </sheetView>
  </sheetViews>
  <sheetFormatPr defaultColWidth="12.6296296296296" defaultRowHeight="15.75" customHeight="1" outlineLevelCol="7"/>
  <cols>
    <col min="1" max="1" width="13.75" customWidth="1"/>
    <col min="2" max="2" width="28" customWidth="1"/>
    <col min="3" max="8" width="33" customWidth="1"/>
  </cols>
  <sheetData>
    <row r="1" ht="15" spans="1:8">
      <c r="A1" s="12" t="s">
        <v>614</v>
      </c>
      <c r="G1" s="4" t="s">
        <v>1</v>
      </c>
      <c r="H1" s="4" t="s">
        <v>2</v>
      </c>
    </row>
    <row r="2" ht="15" spans="1:8">
      <c r="A2" s="12" t="s">
        <v>3</v>
      </c>
      <c r="G2" s="4" t="s">
        <v>4</v>
      </c>
      <c r="H2" s="4" t="s">
        <v>5</v>
      </c>
    </row>
    <row r="3" ht="15" spans="1:8">
      <c r="A3" s="12" t="s">
        <v>6</v>
      </c>
      <c r="G3" s="4" t="s">
        <v>7</v>
      </c>
      <c r="H3" s="4" t="s">
        <v>8</v>
      </c>
    </row>
    <row r="4" ht="15" spans="1:8">
      <c r="A4" s="12" t="s">
        <v>9</v>
      </c>
      <c r="G4" s="4" t="s">
        <v>10</v>
      </c>
      <c r="H4" s="4" t="s">
        <v>438</v>
      </c>
    </row>
    <row r="5" ht="15" spans="1:8">
      <c r="A5" s="12" t="s">
        <v>603</v>
      </c>
      <c r="G5" s="4"/>
      <c r="H5" s="5"/>
    </row>
    <row r="6" ht="15" spans="1:8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</row>
    <row r="7" ht="35.25" customHeight="1" spans="1:8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</row>
    <row r="8" ht="35.25" customHeight="1" spans="1:8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</row>
    <row r="9" ht="90" spans="1:8">
      <c r="A9" s="4" t="s">
        <v>33</v>
      </c>
      <c r="B9" s="50" t="s">
        <v>615</v>
      </c>
      <c r="C9" s="51" t="s">
        <v>616</v>
      </c>
      <c r="D9" s="52" t="s">
        <v>617</v>
      </c>
      <c r="E9" s="51" t="s">
        <v>616</v>
      </c>
      <c r="F9" s="53" t="s">
        <v>618</v>
      </c>
      <c r="G9" s="53" t="s">
        <v>618</v>
      </c>
      <c r="H9" s="54" t="s">
        <v>619</v>
      </c>
    </row>
    <row r="10" ht="75" spans="1:8">
      <c r="A10" s="4" t="s">
        <v>35</v>
      </c>
      <c r="B10" s="55" t="s">
        <v>620</v>
      </c>
      <c r="C10" s="3"/>
      <c r="D10" s="50" t="s">
        <v>615</v>
      </c>
      <c r="E10" s="53" t="s">
        <v>618</v>
      </c>
      <c r="F10" s="56" t="s">
        <v>621</v>
      </c>
      <c r="G10" s="56" t="s">
        <v>621</v>
      </c>
      <c r="H10" s="11" t="s">
        <v>37</v>
      </c>
    </row>
    <row r="11" ht="75" spans="1:8">
      <c r="A11" s="4" t="s">
        <v>39</v>
      </c>
      <c r="B11" s="53" t="s">
        <v>618</v>
      </c>
      <c r="C11" s="51" t="s">
        <v>616</v>
      </c>
      <c r="D11" s="54" t="s">
        <v>619</v>
      </c>
      <c r="E11" s="57" t="s">
        <v>620</v>
      </c>
      <c r="F11" s="50" t="s">
        <v>615</v>
      </c>
      <c r="G11" s="52" t="s">
        <v>617</v>
      </c>
      <c r="H11" s="57" t="s">
        <v>620</v>
      </c>
    </row>
    <row r="12" ht="75" spans="1:8">
      <c r="A12" s="4" t="s">
        <v>40</v>
      </c>
      <c r="B12" s="52" t="s">
        <v>617</v>
      </c>
      <c r="C12" s="54" t="s">
        <v>619</v>
      </c>
      <c r="D12" s="53" t="s">
        <v>618</v>
      </c>
      <c r="E12" s="50" t="s">
        <v>615</v>
      </c>
      <c r="F12" s="51" t="s">
        <v>616</v>
      </c>
      <c r="G12" s="57" t="s">
        <v>620</v>
      </c>
      <c r="H12" s="57" t="s">
        <v>620</v>
      </c>
    </row>
    <row r="13" ht="75" spans="1:8">
      <c r="A13" s="4" t="s">
        <v>41</v>
      </c>
      <c r="B13" s="55" t="s">
        <v>620</v>
      </c>
      <c r="C13" s="3"/>
      <c r="D13" s="54" t="s">
        <v>619</v>
      </c>
      <c r="E13" s="54" t="s">
        <v>619</v>
      </c>
      <c r="F13" s="52" t="s">
        <v>617</v>
      </c>
      <c r="G13" s="53" t="s">
        <v>618</v>
      </c>
      <c r="H13" s="56" t="s">
        <v>621</v>
      </c>
    </row>
    <row r="14" ht="90" spans="1:8">
      <c r="A14" s="4" t="s">
        <v>42</v>
      </c>
      <c r="B14" s="50" t="s">
        <v>615</v>
      </c>
      <c r="C14" s="53" t="s">
        <v>618</v>
      </c>
      <c r="D14" s="52" t="s">
        <v>617</v>
      </c>
      <c r="E14" s="52" t="s">
        <v>617</v>
      </c>
      <c r="F14" s="51" t="s">
        <v>616</v>
      </c>
      <c r="G14" s="57" t="s">
        <v>620</v>
      </c>
      <c r="H14" s="56" t="s">
        <v>621</v>
      </c>
    </row>
  </sheetData>
  <mergeCells count="7">
    <mergeCell ref="A1:F1"/>
    <mergeCell ref="A2:F2"/>
    <mergeCell ref="A3:F3"/>
    <mergeCell ref="A4:F4"/>
    <mergeCell ref="A5:F5"/>
    <mergeCell ref="B10:C10"/>
    <mergeCell ref="B13:C13"/>
  </mergeCells>
  <printOptions horizontalCentered="1" gridLines="1"/>
  <pageMargins left="0" right="0" top="1.04636844373602" bottom="0" header="0" footer="0"/>
  <pageSetup paperSize="9" scale="57" pageOrder="overThenDown" orientation="landscape" cellComments="atEnd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5.5" customWidth="1"/>
    <col min="3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4"/>
    </row>
    <row r="3" ht="15" spans="1:9">
      <c r="A3" s="12" t="s">
        <v>6</v>
      </c>
      <c r="G3" s="4" t="s">
        <v>7</v>
      </c>
      <c r="H3" s="4" t="s">
        <v>8</v>
      </c>
      <c r="I3" s="4"/>
    </row>
    <row r="4" ht="15" spans="1:9">
      <c r="A4" s="12" t="s">
        <v>9</v>
      </c>
      <c r="G4" s="4" t="s">
        <v>10</v>
      </c>
      <c r="H4" s="4" t="s">
        <v>438</v>
      </c>
      <c r="I4" s="4"/>
    </row>
    <row r="5" ht="15" spans="1:9">
      <c r="A5" s="12" t="s">
        <v>622</v>
      </c>
      <c r="G5" s="4"/>
      <c r="H5" s="5"/>
      <c r="I5" s="5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49" t="s">
        <v>15</v>
      </c>
      <c r="H6" s="4" t="s">
        <v>16</v>
      </c>
      <c r="I6" s="4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44.75" customHeight="1" spans="1:9">
      <c r="A9" s="4" t="s">
        <v>33</v>
      </c>
      <c r="B9" s="7" t="s">
        <v>623</v>
      </c>
      <c r="C9" s="7" t="s">
        <v>624</v>
      </c>
      <c r="D9" s="19" t="s">
        <v>625</v>
      </c>
      <c r="E9" s="3"/>
      <c r="F9" s="7" t="s">
        <v>626</v>
      </c>
      <c r="G9" s="7" t="s">
        <v>627</v>
      </c>
      <c r="H9" s="7" t="s">
        <v>628</v>
      </c>
      <c r="I9" s="7" t="s">
        <v>629</v>
      </c>
    </row>
    <row r="10" ht="111.75" customHeight="1" spans="1:9">
      <c r="A10" s="4" t="s">
        <v>35</v>
      </c>
      <c r="B10" s="19" t="s">
        <v>630</v>
      </c>
      <c r="C10" s="3"/>
      <c r="D10" s="7" t="s">
        <v>628</v>
      </c>
      <c r="E10" s="7" t="s">
        <v>627</v>
      </c>
      <c r="F10" s="19" t="s">
        <v>631</v>
      </c>
      <c r="G10" s="3"/>
      <c r="H10" s="11" t="s">
        <v>37</v>
      </c>
      <c r="I10" s="7" t="s">
        <v>632</v>
      </c>
    </row>
    <row r="11" ht="168" customHeight="1" spans="1:9">
      <c r="A11" s="4" t="s">
        <v>39</v>
      </c>
      <c r="B11" s="7" t="s">
        <v>633</v>
      </c>
      <c r="C11" s="7" t="s">
        <v>634</v>
      </c>
      <c r="D11" s="7" t="s">
        <v>635</v>
      </c>
      <c r="E11" s="7" t="s">
        <v>636</v>
      </c>
      <c r="F11" s="19" t="s">
        <v>630</v>
      </c>
      <c r="G11" s="3"/>
      <c r="H11" s="7" t="s">
        <v>623</v>
      </c>
      <c r="I11" s="7" t="s">
        <v>637</v>
      </c>
    </row>
    <row r="12" ht="105" customHeight="1" spans="1:9">
      <c r="A12" s="4" t="s">
        <v>40</v>
      </c>
      <c r="B12" s="7" t="s">
        <v>638</v>
      </c>
      <c r="C12" s="7" t="s">
        <v>628</v>
      </c>
      <c r="D12" s="7" t="s">
        <v>639</v>
      </c>
      <c r="E12" s="7" t="s">
        <v>638</v>
      </c>
      <c r="F12" s="19" t="s">
        <v>635</v>
      </c>
      <c r="G12" s="3"/>
      <c r="H12" s="7" t="s">
        <v>626</v>
      </c>
      <c r="I12" s="7" t="s">
        <v>640</v>
      </c>
    </row>
    <row r="13" ht="105" customHeight="1" spans="1:9">
      <c r="A13" s="4" t="s">
        <v>41</v>
      </c>
      <c r="B13" s="19" t="s">
        <v>625</v>
      </c>
      <c r="C13" s="3"/>
      <c r="D13" s="7" t="s">
        <v>638</v>
      </c>
      <c r="E13" s="7" t="s">
        <v>626</v>
      </c>
      <c r="F13" s="7" t="s">
        <v>635</v>
      </c>
      <c r="G13" s="7" t="s">
        <v>638</v>
      </c>
      <c r="H13" s="7" t="s">
        <v>641</v>
      </c>
      <c r="I13" s="7" t="s">
        <v>629</v>
      </c>
    </row>
    <row r="14" ht="99" customHeight="1" spans="1:9">
      <c r="A14" s="4" t="s">
        <v>42</v>
      </c>
      <c r="B14" s="19" t="s">
        <v>642</v>
      </c>
      <c r="C14" s="3"/>
      <c r="D14" s="7" t="s">
        <v>627</v>
      </c>
      <c r="E14" s="7" t="s">
        <v>628</v>
      </c>
      <c r="F14" s="7" t="s">
        <v>626</v>
      </c>
      <c r="G14" s="7" t="s">
        <v>638</v>
      </c>
      <c r="H14" s="7" t="s">
        <v>643</v>
      </c>
      <c r="I14" s="7" t="s">
        <v>632</v>
      </c>
    </row>
  </sheetData>
  <mergeCells count="12">
    <mergeCell ref="A1:F1"/>
    <mergeCell ref="A2:F2"/>
    <mergeCell ref="A3:F3"/>
    <mergeCell ref="A4:F4"/>
    <mergeCell ref="A5:F5"/>
    <mergeCell ref="D9:E9"/>
    <mergeCell ref="B10:C10"/>
    <mergeCell ref="F10:G10"/>
    <mergeCell ref="F11:G11"/>
    <mergeCell ref="F12:G12"/>
    <mergeCell ref="B13:C13"/>
    <mergeCell ref="B14:C14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5.5" customWidth="1"/>
    <col min="3" max="9" width="33" customWidth="1"/>
  </cols>
  <sheetData>
    <row r="1" ht="15" spans="1:9">
      <c r="A1" s="12" t="s">
        <v>41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644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29" customHeight="1" spans="1:9">
      <c r="A9" s="4" t="s">
        <v>33</v>
      </c>
      <c r="B9" s="7" t="s">
        <v>645</v>
      </c>
      <c r="C9" s="7" t="s">
        <v>646</v>
      </c>
      <c r="D9" s="47" t="s">
        <v>647</v>
      </c>
      <c r="E9" s="3"/>
      <c r="F9" s="7" t="s">
        <v>648</v>
      </c>
      <c r="G9" s="7" t="s">
        <v>649</v>
      </c>
      <c r="H9" s="7" t="s">
        <v>650</v>
      </c>
      <c r="I9" s="48" t="s">
        <v>651</v>
      </c>
    </row>
    <row r="10" ht="285" spans="1:9">
      <c r="A10" s="4" t="s">
        <v>35</v>
      </c>
      <c r="B10" s="7" t="s">
        <v>649</v>
      </c>
      <c r="C10" s="7" t="s">
        <v>648</v>
      </c>
      <c r="D10" s="47" t="s">
        <v>652</v>
      </c>
      <c r="E10" s="3"/>
      <c r="F10" s="7" t="s">
        <v>653</v>
      </c>
      <c r="G10" s="7" t="s">
        <v>654</v>
      </c>
      <c r="H10" s="11" t="s">
        <v>37</v>
      </c>
      <c r="I10" s="7" t="s">
        <v>655</v>
      </c>
    </row>
    <row r="11" ht="120" spans="1:9">
      <c r="A11" s="4" t="s">
        <v>39</v>
      </c>
      <c r="B11" s="7" t="s">
        <v>648</v>
      </c>
      <c r="C11" s="7" t="s">
        <v>656</v>
      </c>
      <c r="D11" s="47" t="s">
        <v>657</v>
      </c>
      <c r="E11" s="3"/>
      <c r="F11" s="7" t="s">
        <v>646</v>
      </c>
      <c r="G11" s="7" t="s">
        <v>650</v>
      </c>
      <c r="H11" s="7" t="s">
        <v>658</v>
      </c>
      <c r="I11" s="7" t="s">
        <v>655</v>
      </c>
    </row>
    <row r="12" ht="135" spans="1:9">
      <c r="A12" s="4" t="s">
        <v>40</v>
      </c>
      <c r="B12" s="7" t="s">
        <v>656</v>
      </c>
      <c r="C12" s="7" t="s">
        <v>646</v>
      </c>
      <c r="D12" s="7" t="s">
        <v>658</v>
      </c>
      <c r="E12" s="7" t="s">
        <v>649</v>
      </c>
      <c r="F12" s="47" t="s">
        <v>652</v>
      </c>
      <c r="G12" s="3"/>
      <c r="H12" s="7" t="s">
        <v>648</v>
      </c>
      <c r="I12" s="48" t="s">
        <v>651</v>
      </c>
    </row>
    <row r="13" ht="285" spans="1:9">
      <c r="A13" s="4" t="s">
        <v>41</v>
      </c>
      <c r="B13" s="7" t="s">
        <v>658</v>
      </c>
      <c r="C13" s="7" t="s">
        <v>656</v>
      </c>
      <c r="D13" s="7" t="s">
        <v>650</v>
      </c>
      <c r="E13" s="7" t="s">
        <v>646</v>
      </c>
      <c r="F13" s="47" t="s">
        <v>647</v>
      </c>
      <c r="G13" s="3"/>
      <c r="H13" s="7" t="s">
        <v>659</v>
      </c>
      <c r="I13" s="48" t="s">
        <v>651</v>
      </c>
    </row>
    <row r="14" ht="285" spans="1:9">
      <c r="A14" s="4" t="s">
        <v>42</v>
      </c>
      <c r="B14" s="7" t="s">
        <v>650</v>
      </c>
      <c r="C14" s="7" t="s">
        <v>648</v>
      </c>
      <c r="D14" s="7" t="s">
        <v>660</v>
      </c>
      <c r="E14" s="7" t="s">
        <v>649</v>
      </c>
      <c r="F14" s="47" t="s">
        <v>657</v>
      </c>
      <c r="G14" s="3"/>
      <c r="H14" s="7" t="s">
        <v>659</v>
      </c>
      <c r="I14" s="7" t="s">
        <v>655</v>
      </c>
    </row>
  </sheetData>
  <mergeCells count="11">
    <mergeCell ref="A1:F1"/>
    <mergeCell ref="A2:F2"/>
    <mergeCell ref="A3:F3"/>
    <mergeCell ref="A4:F4"/>
    <mergeCell ref="A5:F5"/>
    <mergeCell ref="D9:E9"/>
    <mergeCell ref="D10:E10"/>
    <mergeCell ref="D11:E11"/>
    <mergeCell ref="F12:G12"/>
    <mergeCell ref="F13:G13"/>
    <mergeCell ref="F14:G14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5.5" customWidth="1"/>
    <col min="3" max="9" width="33" customWidth="1"/>
  </cols>
  <sheetData>
    <row r="1" ht="16.8" spans="1:9">
      <c r="A1" s="38" t="s">
        <v>0</v>
      </c>
      <c r="B1" s="2"/>
      <c r="C1" s="2"/>
      <c r="D1" s="2"/>
      <c r="E1" s="2"/>
      <c r="F1" s="3"/>
      <c r="G1" s="39"/>
      <c r="H1" s="40" t="s">
        <v>1</v>
      </c>
      <c r="I1" s="40" t="s">
        <v>2</v>
      </c>
    </row>
    <row r="2" ht="16.8" spans="1:9">
      <c r="A2" s="38" t="s">
        <v>3</v>
      </c>
      <c r="B2" s="2"/>
      <c r="C2" s="2"/>
      <c r="D2" s="2"/>
      <c r="E2" s="2"/>
      <c r="F2" s="3"/>
      <c r="G2" s="39"/>
      <c r="H2" s="40" t="s">
        <v>4</v>
      </c>
      <c r="I2" s="40" t="s">
        <v>5</v>
      </c>
    </row>
    <row r="3" ht="16.8" spans="1:9">
      <c r="A3" s="38" t="s">
        <v>6</v>
      </c>
      <c r="B3" s="2"/>
      <c r="C3" s="2"/>
      <c r="D3" s="2"/>
      <c r="E3" s="2"/>
      <c r="F3" s="3"/>
      <c r="G3" s="39"/>
      <c r="H3" s="40" t="s">
        <v>7</v>
      </c>
      <c r="I3" s="40" t="s">
        <v>8</v>
      </c>
    </row>
    <row r="4" ht="16.8" spans="1:9">
      <c r="A4" s="38" t="s">
        <v>9</v>
      </c>
      <c r="B4" s="2"/>
      <c r="C4" s="2"/>
      <c r="D4" s="2"/>
      <c r="E4" s="2"/>
      <c r="F4" s="3"/>
      <c r="G4" s="39"/>
      <c r="H4" s="40" t="s">
        <v>10</v>
      </c>
      <c r="I4" s="40" t="s">
        <v>438</v>
      </c>
    </row>
    <row r="5" ht="16.8" spans="1:9">
      <c r="A5" s="38" t="s">
        <v>661</v>
      </c>
      <c r="B5" s="2"/>
      <c r="C5" s="2"/>
      <c r="D5" s="2"/>
      <c r="E5" s="2"/>
      <c r="F5" s="3"/>
      <c r="G5" s="39"/>
      <c r="H5" s="40"/>
      <c r="I5" s="41"/>
    </row>
    <row r="6" ht="16.8" spans="1:9">
      <c r="A6" s="40" t="s">
        <v>13</v>
      </c>
      <c r="B6" s="40" t="s">
        <v>19</v>
      </c>
      <c r="C6" s="41"/>
      <c r="D6" s="41"/>
      <c r="E6" s="41"/>
      <c r="F6" s="41"/>
      <c r="G6" s="42"/>
      <c r="H6" s="43" t="s">
        <v>15</v>
      </c>
      <c r="I6" s="40" t="s">
        <v>16</v>
      </c>
    </row>
    <row r="7" ht="35.25" customHeight="1" spans="1:9">
      <c r="A7" s="40" t="s">
        <v>17</v>
      </c>
      <c r="B7" s="40" t="s">
        <v>18</v>
      </c>
      <c r="C7" s="40" t="s">
        <v>14</v>
      </c>
      <c r="D7" s="40" t="s">
        <v>19</v>
      </c>
      <c r="E7" s="40" t="s">
        <v>16</v>
      </c>
      <c r="F7" s="40" t="s">
        <v>20</v>
      </c>
      <c r="G7" s="40" t="s">
        <v>21</v>
      </c>
      <c r="H7" s="40" t="s">
        <v>22</v>
      </c>
      <c r="I7" s="40" t="s">
        <v>23</v>
      </c>
    </row>
    <row r="8" ht="35.25" customHeight="1" spans="1:9">
      <c r="A8" s="40" t="s">
        <v>24</v>
      </c>
      <c r="B8" s="40" t="s">
        <v>25</v>
      </c>
      <c r="C8" s="40" t="s">
        <v>26</v>
      </c>
      <c r="D8" s="40" t="s">
        <v>27</v>
      </c>
      <c r="E8" s="40" t="s">
        <v>28</v>
      </c>
      <c r="F8" s="40" t="s">
        <v>29</v>
      </c>
      <c r="G8" s="40" t="s">
        <v>30</v>
      </c>
      <c r="H8" s="40" t="s">
        <v>31</v>
      </c>
      <c r="I8" s="40" t="s">
        <v>32</v>
      </c>
    </row>
    <row r="9" ht="134.4" spans="1:9">
      <c r="A9" s="40" t="s">
        <v>33</v>
      </c>
      <c r="B9" s="44" t="s">
        <v>662</v>
      </c>
      <c r="C9" s="44" t="s">
        <v>663</v>
      </c>
      <c r="D9" s="44" t="s">
        <v>664</v>
      </c>
      <c r="E9" s="44" t="s">
        <v>665</v>
      </c>
      <c r="F9" s="45" t="s">
        <v>666</v>
      </c>
      <c r="G9" s="3"/>
      <c r="H9" s="44" t="s">
        <v>667</v>
      </c>
      <c r="I9" s="44" t="s">
        <v>668</v>
      </c>
    </row>
    <row r="10" ht="151.2" spans="1:9">
      <c r="A10" s="40" t="s">
        <v>35</v>
      </c>
      <c r="B10" s="44" t="s">
        <v>663</v>
      </c>
      <c r="C10" s="44" t="s">
        <v>662</v>
      </c>
      <c r="D10" s="45" t="s">
        <v>669</v>
      </c>
      <c r="E10" s="3"/>
      <c r="F10" s="44" t="s">
        <v>670</v>
      </c>
      <c r="G10" s="44" t="s">
        <v>670</v>
      </c>
      <c r="H10" s="46" t="s">
        <v>671</v>
      </c>
      <c r="I10" s="44" t="s">
        <v>672</v>
      </c>
    </row>
    <row r="11" ht="117.6" spans="1:9">
      <c r="A11" s="40" t="s">
        <v>39</v>
      </c>
      <c r="B11" s="44" t="s">
        <v>664</v>
      </c>
      <c r="C11" s="44" t="s">
        <v>673</v>
      </c>
      <c r="D11" s="44" t="s">
        <v>662</v>
      </c>
      <c r="E11" s="44" t="s">
        <v>663</v>
      </c>
      <c r="F11" s="44" t="s">
        <v>667</v>
      </c>
      <c r="G11" s="44" t="s">
        <v>673</v>
      </c>
      <c r="H11" s="44" t="s">
        <v>665</v>
      </c>
      <c r="I11" s="44" t="s">
        <v>668</v>
      </c>
    </row>
    <row r="12" ht="117.6" spans="1:9">
      <c r="A12" s="40" t="s">
        <v>40</v>
      </c>
      <c r="B12" s="44" t="s">
        <v>665</v>
      </c>
      <c r="C12" s="44" t="s">
        <v>663</v>
      </c>
      <c r="D12" s="44" t="s">
        <v>664</v>
      </c>
      <c r="E12" s="44" t="s">
        <v>673</v>
      </c>
      <c r="F12" s="44" t="s">
        <v>662</v>
      </c>
      <c r="G12" s="44" t="s">
        <v>667</v>
      </c>
      <c r="H12" s="44" t="s">
        <v>663</v>
      </c>
      <c r="I12" s="44" t="s">
        <v>672</v>
      </c>
    </row>
    <row r="13" ht="151.2" spans="1:9">
      <c r="A13" s="40" t="s">
        <v>41</v>
      </c>
      <c r="B13" s="44" t="s">
        <v>673</v>
      </c>
      <c r="C13" s="44" t="s">
        <v>667</v>
      </c>
      <c r="D13" s="44" t="s">
        <v>665</v>
      </c>
      <c r="E13" s="44" t="s">
        <v>664</v>
      </c>
      <c r="F13" s="44" t="s">
        <v>662</v>
      </c>
      <c r="G13" s="44" t="s">
        <v>663</v>
      </c>
      <c r="H13" s="44" t="s">
        <v>670</v>
      </c>
      <c r="I13" s="44" t="s">
        <v>668</v>
      </c>
    </row>
    <row r="14" ht="151.2" spans="1:9">
      <c r="A14" s="40" t="s">
        <v>42</v>
      </c>
      <c r="B14" s="44" t="s">
        <v>667</v>
      </c>
      <c r="C14" s="44" t="s">
        <v>664</v>
      </c>
      <c r="D14" s="44" t="s">
        <v>673</v>
      </c>
      <c r="E14" s="44" t="s">
        <v>665</v>
      </c>
      <c r="F14" s="45" t="s">
        <v>674</v>
      </c>
      <c r="G14" s="3"/>
      <c r="H14" s="44" t="s">
        <v>670</v>
      </c>
      <c r="I14" s="44" t="s">
        <v>672</v>
      </c>
    </row>
  </sheetData>
  <mergeCells count="8">
    <mergeCell ref="A1:F1"/>
    <mergeCell ref="A2:F2"/>
    <mergeCell ref="A3:F3"/>
    <mergeCell ref="A4:F4"/>
    <mergeCell ref="A5:F5"/>
    <mergeCell ref="F9:G9"/>
    <mergeCell ref="D10:E10"/>
    <mergeCell ref="F14:G14"/>
  </mergeCell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5.5" customWidth="1"/>
    <col min="3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675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 t="s">
        <v>676</v>
      </c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08.75" customHeight="1" spans="1:9">
      <c r="A9" s="4" t="s">
        <v>33</v>
      </c>
      <c r="B9" s="16" t="s">
        <v>677</v>
      </c>
      <c r="C9" s="4" t="s">
        <v>678</v>
      </c>
      <c r="D9" s="16" t="s">
        <v>679</v>
      </c>
      <c r="E9" s="16" t="s">
        <v>680</v>
      </c>
      <c r="F9" s="36" t="s">
        <v>681</v>
      </c>
      <c r="G9" s="3"/>
      <c r="H9" s="16" t="s">
        <v>682</v>
      </c>
      <c r="I9" s="4" t="s">
        <v>683</v>
      </c>
    </row>
    <row r="10" ht="129" customHeight="1" spans="1:9">
      <c r="A10" s="4" t="s">
        <v>35</v>
      </c>
      <c r="B10" s="16" t="s">
        <v>684</v>
      </c>
      <c r="C10" s="16" t="s">
        <v>685</v>
      </c>
      <c r="D10" s="16" t="s">
        <v>677</v>
      </c>
      <c r="E10" s="16" t="s">
        <v>680</v>
      </c>
      <c r="F10" s="19" t="s">
        <v>686</v>
      </c>
      <c r="G10" s="3"/>
      <c r="H10" s="11" t="s">
        <v>37</v>
      </c>
      <c r="I10" s="4" t="s">
        <v>687</v>
      </c>
    </row>
    <row r="11" ht="92.25" customHeight="1" spans="1:9">
      <c r="A11" s="4" t="s">
        <v>39</v>
      </c>
      <c r="B11" s="4" t="s">
        <v>678</v>
      </c>
      <c r="C11" s="4" t="s">
        <v>678</v>
      </c>
      <c r="D11" s="36" t="s">
        <v>688</v>
      </c>
      <c r="E11" s="3"/>
      <c r="F11" s="16" t="s">
        <v>682</v>
      </c>
      <c r="G11" s="37" t="s">
        <v>679</v>
      </c>
      <c r="H11" s="16" t="s">
        <v>684</v>
      </c>
      <c r="I11" s="4" t="s">
        <v>683</v>
      </c>
    </row>
    <row r="12" ht="85.5" customHeight="1" spans="1:9">
      <c r="A12" s="4" t="s">
        <v>40</v>
      </c>
      <c r="B12" s="16" t="s">
        <v>682</v>
      </c>
      <c r="C12" s="4" t="s">
        <v>678</v>
      </c>
      <c r="D12" s="16" t="s">
        <v>680</v>
      </c>
      <c r="E12" s="16" t="s">
        <v>684</v>
      </c>
      <c r="F12" s="16" t="s">
        <v>682</v>
      </c>
      <c r="G12" s="16" t="s">
        <v>680</v>
      </c>
      <c r="H12" s="16" t="s">
        <v>679</v>
      </c>
      <c r="I12" s="4" t="s">
        <v>687</v>
      </c>
    </row>
    <row r="13" ht="195" spans="1:9">
      <c r="A13" s="4" t="s">
        <v>41</v>
      </c>
      <c r="B13" s="4" t="s">
        <v>678</v>
      </c>
      <c r="C13" s="16" t="s">
        <v>679</v>
      </c>
      <c r="D13" s="16" t="s">
        <v>680</v>
      </c>
      <c r="E13" s="16" t="s">
        <v>684</v>
      </c>
      <c r="F13" s="36" t="s">
        <v>689</v>
      </c>
      <c r="G13" s="3"/>
      <c r="H13" s="7" t="s">
        <v>686</v>
      </c>
      <c r="I13" s="4" t="s">
        <v>683</v>
      </c>
    </row>
    <row r="14" ht="177.75" customHeight="1" spans="1:9">
      <c r="A14" s="4" t="s">
        <v>42</v>
      </c>
      <c r="B14" s="16" t="s">
        <v>679</v>
      </c>
      <c r="C14" s="4" t="s">
        <v>678</v>
      </c>
      <c r="D14" s="16" t="s">
        <v>677</v>
      </c>
      <c r="E14" s="16" t="s">
        <v>677</v>
      </c>
      <c r="F14" s="16" t="s">
        <v>680</v>
      </c>
      <c r="G14" s="16" t="s">
        <v>684</v>
      </c>
      <c r="H14" s="7" t="s">
        <v>686</v>
      </c>
      <c r="I14" s="4" t="s">
        <v>687</v>
      </c>
    </row>
  </sheetData>
  <mergeCells count="9">
    <mergeCell ref="A1:F1"/>
    <mergeCell ref="A2:F2"/>
    <mergeCell ref="A3:F3"/>
    <mergeCell ref="A4:F4"/>
    <mergeCell ref="A5:F5"/>
    <mergeCell ref="F9:G9"/>
    <mergeCell ref="F10:G10"/>
    <mergeCell ref="D11:E11"/>
    <mergeCell ref="F13:G13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5.5" customWidth="1"/>
    <col min="3" max="7" width="33" customWidth="1"/>
    <col min="8" max="8" width="38.3796296296296" customWidth="1"/>
    <col min="9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690</v>
      </c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96.6" spans="1:9">
      <c r="A9" s="4" t="s">
        <v>33</v>
      </c>
      <c r="B9" s="31" t="s">
        <v>691</v>
      </c>
      <c r="C9" s="31" t="s">
        <v>692</v>
      </c>
      <c r="D9" s="32" t="s">
        <v>693</v>
      </c>
      <c r="E9" s="2"/>
      <c r="F9" s="31" t="s">
        <v>694</v>
      </c>
      <c r="G9" s="31" t="s">
        <v>695</v>
      </c>
      <c r="H9" s="31" t="s">
        <v>696</v>
      </c>
      <c r="I9" s="31" t="s">
        <v>697</v>
      </c>
    </row>
    <row r="10" ht="165.6" spans="1:9">
      <c r="A10" s="4" t="s">
        <v>35</v>
      </c>
      <c r="B10" s="32" t="s">
        <v>698</v>
      </c>
      <c r="C10" s="2"/>
      <c r="D10" s="31" t="s">
        <v>691</v>
      </c>
      <c r="E10" s="31" t="s">
        <v>696</v>
      </c>
      <c r="F10" s="33" t="s">
        <v>699</v>
      </c>
      <c r="G10" s="33" t="s">
        <v>699</v>
      </c>
      <c r="H10" s="34" t="s">
        <v>37</v>
      </c>
      <c r="I10" s="35" t="s">
        <v>700</v>
      </c>
    </row>
    <row r="11" ht="96.6" spans="1:9">
      <c r="A11" s="4" t="s">
        <v>39</v>
      </c>
      <c r="B11" s="31" t="s">
        <v>696</v>
      </c>
      <c r="C11" s="31" t="s">
        <v>701</v>
      </c>
      <c r="D11" s="31" t="s">
        <v>694</v>
      </c>
      <c r="E11" s="31" t="s">
        <v>692</v>
      </c>
      <c r="F11" s="32" t="s">
        <v>693</v>
      </c>
      <c r="G11" s="2"/>
      <c r="H11" s="31" t="s">
        <v>696</v>
      </c>
      <c r="I11" s="31" t="s">
        <v>697</v>
      </c>
    </row>
    <row r="12" ht="96.6" spans="1:9">
      <c r="A12" s="4" t="s">
        <v>40</v>
      </c>
      <c r="B12" s="32" t="s">
        <v>702</v>
      </c>
      <c r="C12" s="2"/>
      <c r="D12" s="31" t="s">
        <v>703</v>
      </c>
      <c r="E12" s="31" t="s">
        <v>691</v>
      </c>
      <c r="F12" s="31" t="s">
        <v>694</v>
      </c>
      <c r="G12" s="31" t="s">
        <v>694</v>
      </c>
      <c r="H12" s="31" t="s">
        <v>701</v>
      </c>
      <c r="I12" s="35" t="s">
        <v>700</v>
      </c>
    </row>
    <row r="13" ht="138" spans="1:9">
      <c r="A13" s="4" t="s">
        <v>41</v>
      </c>
      <c r="B13" s="32" t="s">
        <v>704</v>
      </c>
      <c r="C13" s="2"/>
      <c r="D13" s="31" t="s">
        <v>694</v>
      </c>
      <c r="E13" s="31" t="s">
        <v>696</v>
      </c>
      <c r="F13" s="31" t="s">
        <v>691</v>
      </c>
      <c r="G13" s="31" t="s">
        <v>692</v>
      </c>
      <c r="H13" s="33" t="s">
        <v>699</v>
      </c>
      <c r="I13" s="31" t="s">
        <v>697</v>
      </c>
    </row>
    <row r="14" ht="138" spans="1:9">
      <c r="A14" s="4" t="s">
        <v>42</v>
      </c>
      <c r="B14" s="32" t="s">
        <v>705</v>
      </c>
      <c r="C14" s="2"/>
      <c r="D14" s="31" t="s">
        <v>706</v>
      </c>
      <c r="E14" s="31" t="s">
        <v>692</v>
      </c>
      <c r="F14" s="31" t="s">
        <v>691</v>
      </c>
      <c r="G14" s="31" t="s">
        <v>703</v>
      </c>
      <c r="H14" s="33" t="s">
        <v>699</v>
      </c>
      <c r="I14" s="35" t="s">
        <v>707</v>
      </c>
    </row>
  </sheetData>
  <mergeCells count="11">
    <mergeCell ref="A1:F1"/>
    <mergeCell ref="A2:F2"/>
    <mergeCell ref="A3:F3"/>
    <mergeCell ref="A4:F4"/>
    <mergeCell ref="A5:F5"/>
    <mergeCell ref="D9:E9"/>
    <mergeCell ref="B10:C10"/>
    <mergeCell ref="F11:G11"/>
    <mergeCell ref="B12:C12"/>
    <mergeCell ref="B13:C13"/>
    <mergeCell ref="B14:C14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5.5" customWidth="1"/>
    <col min="3" max="5" width="33" customWidth="1"/>
    <col min="6" max="6" width="36" customWidth="1"/>
    <col min="7" max="9" width="33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5" spans="1:9">
      <c r="A5" s="12" t="s">
        <v>708</v>
      </c>
      <c r="G5" s="4"/>
      <c r="H5" s="5"/>
      <c r="I5" s="13"/>
    </row>
    <row r="6" ht="27.6" spans="1:9">
      <c r="A6" s="4" t="s">
        <v>13</v>
      </c>
      <c r="B6" s="4" t="s">
        <v>14</v>
      </c>
      <c r="C6" s="5"/>
      <c r="D6" s="5"/>
      <c r="E6" s="5"/>
      <c r="F6" s="26" t="s">
        <v>709</v>
      </c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90.75" customHeight="1" spans="1:9">
      <c r="A9" s="4" t="s">
        <v>33</v>
      </c>
      <c r="B9" s="27" t="s">
        <v>710</v>
      </c>
      <c r="C9" s="3"/>
      <c r="D9" s="19" t="s">
        <v>711</v>
      </c>
      <c r="E9" s="3"/>
      <c r="F9" s="8" t="s">
        <v>712</v>
      </c>
      <c r="G9" s="7" t="s">
        <v>713</v>
      </c>
      <c r="H9" s="7" t="s">
        <v>714</v>
      </c>
      <c r="I9" s="7" t="s">
        <v>715</v>
      </c>
    </row>
    <row r="10" ht="117.75" customHeight="1" spans="1:9">
      <c r="A10" s="4" t="s">
        <v>35</v>
      </c>
      <c r="B10" s="27" t="s">
        <v>716</v>
      </c>
      <c r="C10" s="3"/>
      <c r="D10" s="7" t="s">
        <v>717</v>
      </c>
      <c r="E10" s="8" t="s">
        <v>718</v>
      </c>
      <c r="F10" s="28" t="s">
        <v>719</v>
      </c>
      <c r="G10" s="3"/>
      <c r="H10" s="21" t="s">
        <v>37</v>
      </c>
      <c r="I10" s="7" t="s">
        <v>720</v>
      </c>
    </row>
    <row r="11" ht="76.5" customHeight="1" spans="1:9">
      <c r="A11" s="4" t="s">
        <v>39</v>
      </c>
      <c r="B11" s="29" t="s">
        <v>721</v>
      </c>
      <c r="C11" s="3"/>
      <c r="D11" s="27" t="s">
        <v>722</v>
      </c>
      <c r="E11" s="3"/>
      <c r="F11" s="7" t="s">
        <v>723</v>
      </c>
      <c r="G11" s="7" t="s">
        <v>714</v>
      </c>
      <c r="H11" s="8" t="s">
        <v>718</v>
      </c>
      <c r="I11" s="7" t="s">
        <v>724</v>
      </c>
    </row>
    <row r="12" ht="101.25" customHeight="1" spans="1:9">
      <c r="A12" s="4" t="s">
        <v>40</v>
      </c>
      <c r="B12" s="27" t="s">
        <v>716</v>
      </c>
      <c r="C12" s="3"/>
      <c r="D12" s="7" t="s">
        <v>714</v>
      </c>
      <c r="E12" s="7" t="s">
        <v>725</v>
      </c>
      <c r="F12" s="27" t="s">
        <v>726</v>
      </c>
      <c r="G12" s="3"/>
      <c r="H12" s="7" t="s">
        <v>727</v>
      </c>
      <c r="I12" s="7" t="s">
        <v>720</v>
      </c>
    </row>
    <row r="13" ht="165" spans="1:9">
      <c r="A13" s="4" t="s">
        <v>41</v>
      </c>
      <c r="B13" s="7" t="s">
        <v>728</v>
      </c>
      <c r="C13" s="7" t="s">
        <v>714</v>
      </c>
      <c r="D13" s="7" t="s">
        <v>718</v>
      </c>
      <c r="E13" s="16" t="s">
        <v>729</v>
      </c>
      <c r="F13" s="29" t="s">
        <v>730</v>
      </c>
      <c r="G13" s="3"/>
      <c r="H13" s="30" t="s">
        <v>731</v>
      </c>
      <c r="I13" s="7" t="s">
        <v>724</v>
      </c>
    </row>
    <row r="14" ht="165" spans="1:9">
      <c r="A14" s="4" t="s">
        <v>42</v>
      </c>
      <c r="B14" s="7" t="s">
        <v>732</v>
      </c>
      <c r="C14" s="8" t="s">
        <v>718</v>
      </c>
      <c r="D14" s="19" t="s">
        <v>711</v>
      </c>
      <c r="E14" s="3"/>
      <c r="F14" s="27" t="s">
        <v>733</v>
      </c>
      <c r="G14" s="3"/>
      <c r="H14" s="30" t="s">
        <v>734</v>
      </c>
      <c r="I14" s="7" t="s">
        <v>720</v>
      </c>
    </row>
  </sheetData>
  <mergeCells count="16">
    <mergeCell ref="A1:F1"/>
    <mergeCell ref="A2:F2"/>
    <mergeCell ref="A3:F3"/>
    <mergeCell ref="A4:F4"/>
    <mergeCell ref="A5:F5"/>
    <mergeCell ref="B9:C9"/>
    <mergeCell ref="D9:E9"/>
    <mergeCell ref="B10:C10"/>
    <mergeCell ref="F10:G10"/>
    <mergeCell ref="B11:C11"/>
    <mergeCell ref="D11:E11"/>
    <mergeCell ref="B12:C12"/>
    <mergeCell ref="F12:G12"/>
    <mergeCell ref="F13:G13"/>
    <mergeCell ref="D14:E14"/>
    <mergeCell ref="F14:G14"/>
  </mergeCell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3.8796296296296" customWidth="1"/>
    <col min="3" max="3" width="26.5" customWidth="1"/>
    <col min="4" max="4" width="25.8796296296296" customWidth="1"/>
    <col min="5" max="5" width="26.5" customWidth="1"/>
    <col min="6" max="6" width="25.8796296296296" customWidth="1"/>
    <col min="7" max="7" width="25.1296296296296" customWidth="1"/>
    <col min="8" max="8" width="26.1296296296296" customWidth="1"/>
    <col min="9" max="9" width="25.6296296296296" customWidth="1"/>
  </cols>
  <sheetData>
    <row r="1" ht="15" spans="1:9">
      <c r="A1" s="12" t="s">
        <v>0</v>
      </c>
      <c r="G1" s="4" t="s">
        <v>1</v>
      </c>
      <c r="H1" s="4" t="s">
        <v>2</v>
      </c>
      <c r="I1" s="12"/>
    </row>
    <row r="2" ht="15" spans="1:9">
      <c r="A2" s="12" t="s">
        <v>3</v>
      </c>
      <c r="G2" s="4" t="s">
        <v>4</v>
      </c>
      <c r="H2" s="4" t="s">
        <v>5</v>
      </c>
      <c r="I2" s="12"/>
    </row>
    <row r="3" ht="15" spans="1:9">
      <c r="A3" s="12" t="s">
        <v>6</v>
      </c>
      <c r="G3" s="4" t="s">
        <v>7</v>
      </c>
      <c r="H3" s="4" t="s">
        <v>8</v>
      </c>
      <c r="I3" s="12"/>
    </row>
    <row r="4" ht="15" spans="1:9">
      <c r="A4" s="12" t="s">
        <v>9</v>
      </c>
      <c r="G4" s="4" t="s">
        <v>10</v>
      </c>
      <c r="H4" s="4" t="s">
        <v>438</v>
      </c>
      <c r="I4" s="12"/>
    </row>
    <row r="5" ht="19.2" spans="1:9">
      <c r="A5" s="12" t="s">
        <v>735</v>
      </c>
      <c r="G5" s="23" t="s">
        <v>736</v>
      </c>
      <c r="H5" s="3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120" spans="1:9">
      <c r="A9" s="4" t="s">
        <v>33</v>
      </c>
      <c r="B9" s="7" t="s">
        <v>737</v>
      </c>
      <c r="C9" s="7" t="s">
        <v>738</v>
      </c>
      <c r="D9" s="7" t="s">
        <v>739</v>
      </c>
      <c r="E9" s="7" t="s">
        <v>740</v>
      </c>
      <c r="F9" s="7" t="s">
        <v>741</v>
      </c>
      <c r="G9" s="7" t="s">
        <v>737</v>
      </c>
      <c r="H9" s="7" t="s">
        <v>738</v>
      </c>
      <c r="I9" s="7" t="s">
        <v>742</v>
      </c>
    </row>
    <row r="10" ht="120" spans="1:9">
      <c r="A10" s="4" t="s">
        <v>35</v>
      </c>
      <c r="B10" s="7" t="s">
        <v>743</v>
      </c>
      <c r="C10" s="7" t="s">
        <v>740</v>
      </c>
      <c r="D10" s="7" t="s">
        <v>741</v>
      </c>
      <c r="E10" s="7" t="s">
        <v>738</v>
      </c>
      <c r="F10" s="24" t="s">
        <v>744</v>
      </c>
      <c r="G10" s="24" t="s">
        <v>744</v>
      </c>
      <c r="H10" s="11" t="s">
        <v>37</v>
      </c>
      <c r="I10" s="7" t="s">
        <v>745</v>
      </c>
    </row>
    <row r="11" ht="120" spans="1:9">
      <c r="A11" s="4" t="s">
        <v>39</v>
      </c>
      <c r="B11" s="7" t="s">
        <v>741</v>
      </c>
      <c r="C11" s="7" t="s">
        <v>737</v>
      </c>
      <c r="D11" s="7" t="s">
        <v>743</v>
      </c>
      <c r="E11" s="7" t="s">
        <v>739</v>
      </c>
      <c r="F11" s="7" t="s">
        <v>738</v>
      </c>
      <c r="G11" s="7" t="s">
        <v>739</v>
      </c>
      <c r="H11" s="7" t="s">
        <v>740</v>
      </c>
      <c r="I11" s="7" t="s">
        <v>742</v>
      </c>
    </row>
    <row r="12" ht="120" spans="1:9">
      <c r="A12" s="4" t="s">
        <v>40</v>
      </c>
      <c r="B12" s="7" t="s">
        <v>739</v>
      </c>
      <c r="C12" s="7" t="s">
        <v>738</v>
      </c>
      <c r="D12" s="7" t="s">
        <v>737</v>
      </c>
      <c r="E12" s="7" t="s">
        <v>740</v>
      </c>
      <c r="F12" s="7" t="s">
        <v>743</v>
      </c>
      <c r="G12" s="7" t="s">
        <v>743</v>
      </c>
      <c r="H12" s="7" t="s">
        <v>741</v>
      </c>
      <c r="I12" s="7" t="s">
        <v>745</v>
      </c>
    </row>
    <row r="13" ht="105" spans="1:9">
      <c r="A13" s="4" t="s">
        <v>41</v>
      </c>
      <c r="B13" s="7" t="s">
        <v>740</v>
      </c>
      <c r="C13" s="7" t="s">
        <v>741</v>
      </c>
      <c r="D13" s="7" t="s">
        <v>739</v>
      </c>
      <c r="E13" s="7" t="s">
        <v>743</v>
      </c>
      <c r="F13" s="7" t="s">
        <v>737</v>
      </c>
      <c r="G13" s="25" t="s">
        <v>738</v>
      </c>
      <c r="H13" s="24" t="s">
        <v>744</v>
      </c>
      <c r="I13" s="7" t="s">
        <v>742</v>
      </c>
    </row>
    <row r="14" ht="120" spans="1:9">
      <c r="A14" s="4" t="s">
        <v>42</v>
      </c>
      <c r="B14" s="7" t="s">
        <v>741</v>
      </c>
      <c r="C14" s="7" t="s">
        <v>737</v>
      </c>
      <c r="D14" s="7" t="s">
        <v>738</v>
      </c>
      <c r="E14" s="7" t="s">
        <v>740</v>
      </c>
      <c r="F14" s="7" t="s">
        <v>739</v>
      </c>
      <c r="G14" s="7" t="s">
        <v>743</v>
      </c>
      <c r="H14" s="24" t="s">
        <v>744</v>
      </c>
      <c r="I14" s="7" t="s">
        <v>745</v>
      </c>
    </row>
  </sheetData>
  <autoFilter xmlns:etc="http://www.wps.cn/officeDocument/2017/etCustomData" ref="A1:I14" etc:filterBottomFollowUsedRange="0">
    <extLst/>
  </autoFilter>
  <mergeCells count="6">
    <mergeCell ref="A1:F1"/>
    <mergeCell ref="A2:F2"/>
    <mergeCell ref="A3:F3"/>
    <mergeCell ref="A4:F4"/>
    <mergeCell ref="A5:F5"/>
    <mergeCell ref="G5:H5"/>
  </mergeCells>
  <printOptions horizontalCentered="1" gridLines="1"/>
  <pageMargins left="0.25" right="0.25" top="0.75" bottom="0.75" header="0" footer="0"/>
  <pageSetup paperSize="1" pageOrder="overThenDown" orientation="landscape" cellComments="atEnd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topLeftCell="C10" workbookViewId="0">
      <selection activeCell="F15" sqref="F15"/>
    </sheetView>
  </sheetViews>
  <sheetFormatPr defaultColWidth="12.6296296296296" defaultRowHeight="15.75" customHeight="1"/>
  <cols>
    <col min="1" max="1" width="13.75" customWidth="1"/>
    <col min="2" max="2" width="28.6296296296296" customWidth="1"/>
    <col min="3" max="9" width="33" customWidth="1"/>
  </cols>
  <sheetData>
    <row r="1" ht="15" spans="1:9">
      <c r="A1" s="14" t="s">
        <v>0</v>
      </c>
      <c r="B1" s="15"/>
      <c r="C1" s="15"/>
      <c r="D1" s="15"/>
      <c r="E1" s="15"/>
      <c r="F1" s="15"/>
      <c r="G1" s="16" t="s">
        <v>1</v>
      </c>
      <c r="H1" s="16" t="s">
        <v>2</v>
      </c>
      <c r="I1" s="14"/>
    </row>
    <row r="2" ht="15" spans="1:9">
      <c r="A2" s="14" t="s">
        <v>3</v>
      </c>
      <c r="B2" s="15"/>
      <c r="C2" s="15"/>
      <c r="D2" s="15"/>
      <c r="E2" s="15"/>
      <c r="F2" s="15"/>
      <c r="G2" s="16" t="s">
        <v>4</v>
      </c>
      <c r="H2" s="16" t="s">
        <v>5</v>
      </c>
      <c r="I2" s="14"/>
    </row>
    <row r="3" ht="15" spans="1:9">
      <c r="A3" s="14" t="s">
        <v>6</v>
      </c>
      <c r="B3" s="15"/>
      <c r="C3" s="15"/>
      <c r="D3" s="15"/>
      <c r="E3" s="15"/>
      <c r="F3" s="15"/>
      <c r="G3" s="16" t="s">
        <v>7</v>
      </c>
      <c r="H3" s="16" t="s">
        <v>8</v>
      </c>
      <c r="I3" s="14"/>
    </row>
    <row r="4" ht="15" spans="1:9">
      <c r="A4" s="14" t="s">
        <v>9</v>
      </c>
      <c r="B4" s="15"/>
      <c r="C4" s="15"/>
      <c r="D4" s="15"/>
      <c r="E4" s="15"/>
      <c r="F4" s="15"/>
      <c r="G4" s="16" t="s">
        <v>10</v>
      </c>
      <c r="H4" s="16" t="s">
        <v>438</v>
      </c>
      <c r="I4" s="14"/>
    </row>
    <row r="5" ht="15" spans="1:9">
      <c r="A5" s="14" t="s">
        <v>746</v>
      </c>
      <c r="B5" s="15"/>
      <c r="C5" s="15"/>
      <c r="D5" s="15"/>
      <c r="E5" s="15"/>
      <c r="F5" s="15"/>
      <c r="G5" s="16"/>
      <c r="H5" s="17"/>
      <c r="I5" s="22"/>
    </row>
    <row r="6" ht="15" spans="1:9">
      <c r="A6" s="16" t="s">
        <v>13</v>
      </c>
      <c r="B6" s="16" t="s">
        <v>14</v>
      </c>
      <c r="C6" s="17"/>
      <c r="D6" s="17"/>
      <c r="E6" s="17"/>
      <c r="F6" s="17"/>
      <c r="G6" s="18" t="s">
        <v>15</v>
      </c>
      <c r="H6" s="16" t="s">
        <v>16</v>
      </c>
      <c r="I6" s="14"/>
    </row>
    <row r="7" ht="35.25" customHeight="1" spans="1:9">
      <c r="A7" s="16" t="s">
        <v>17</v>
      </c>
      <c r="B7" s="16" t="s">
        <v>18</v>
      </c>
      <c r="C7" s="16" t="s">
        <v>14</v>
      </c>
      <c r="D7" s="16" t="s">
        <v>19</v>
      </c>
      <c r="E7" s="16" t="s">
        <v>16</v>
      </c>
      <c r="F7" s="16" t="s">
        <v>20</v>
      </c>
      <c r="G7" s="16" t="s">
        <v>21</v>
      </c>
      <c r="H7" s="16" t="s">
        <v>22</v>
      </c>
      <c r="I7" s="16" t="s">
        <v>23</v>
      </c>
    </row>
    <row r="8" ht="35.25" customHeight="1" spans="1:9">
      <c r="A8" s="16" t="s">
        <v>24</v>
      </c>
      <c r="B8" s="16" t="s">
        <v>25</v>
      </c>
      <c r="C8" s="16" t="s">
        <v>26</v>
      </c>
      <c r="D8" s="16" t="s">
        <v>27</v>
      </c>
      <c r="E8" s="16" t="s">
        <v>28</v>
      </c>
      <c r="F8" s="16" t="s">
        <v>29</v>
      </c>
      <c r="G8" s="16" t="s">
        <v>30</v>
      </c>
      <c r="H8" s="16" t="s">
        <v>31</v>
      </c>
      <c r="I8" s="16" t="s">
        <v>32</v>
      </c>
    </row>
    <row r="9" ht="71.25" customHeight="1" spans="1:9">
      <c r="A9" s="16" t="s">
        <v>33</v>
      </c>
      <c r="B9" s="19" t="s">
        <v>747</v>
      </c>
      <c r="C9" s="20"/>
      <c r="D9" s="7" t="s">
        <v>748</v>
      </c>
      <c r="E9" s="7" t="s">
        <v>749</v>
      </c>
      <c r="F9" s="7" t="s">
        <v>750</v>
      </c>
      <c r="G9" s="7" t="s">
        <v>751</v>
      </c>
      <c r="H9" s="7" t="s">
        <v>752</v>
      </c>
      <c r="I9" s="7" t="s">
        <v>753</v>
      </c>
    </row>
    <row r="10" ht="71.25" customHeight="1" spans="1:9">
      <c r="A10" s="16" t="s">
        <v>35</v>
      </c>
      <c r="B10" s="7" t="s">
        <v>751</v>
      </c>
      <c r="C10" s="7" t="s">
        <v>749</v>
      </c>
      <c r="D10" s="19" t="s">
        <v>747</v>
      </c>
      <c r="E10" s="7" t="s">
        <v>748</v>
      </c>
      <c r="F10" s="7" t="s">
        <v>752</v>
      </c>
      <c r="G10" s="7" t="s">
        <v>752</v>
      </c>
      <c r="H10" s="21" t="s">
        <v>37</v>
      </c>
      <c r="I10" s="7" t="s">
        <v>754</v>
      </c>
    </row>
    <row r="11" ht="71.25" customHeight="1" spans="1:9">
      <c r="A11" s="16" t="s">
        <v>39</v>
      </c>
      <c r="B11" s="19" t="s">
        <v>749</v>
      </c>
      <c r="C11" s="7" t="s">
        <v>752</v>
      </c>
      <c r="D11" s="19" t="s">
        <v>751</v>
      </c>
      <c r="E11" s="20"/>
      <c r="F11" s="7" t="s">
        <v>748</v>
      </c>
      <c r="G11" s="7" t="s">
        <v>750</v>
      </c>
      <c r="H11" s="19" t="s">
        <v>747</v>
      </c>
      <c r="I11" s="7" t="s">
        <v>753</v>
      </c>
    </row>
    <row r="12" ht="81.75" customHeight="1" spans="1:9">
      <c r="A12" s="16" t="s">
        <v>40</v>
      </c>
      <c r="B12" s="7" t="s">
        <v>752</v>
      </c>
      <c r="C12" s="19" t="s">
        <v>750</v>
      </c>
      <c r="D12" s="19" t="s">
        <v>748</v>
      </c>
      <c r="E12" s="20"/>
      <c r="F12" s="7" t="s">
        <v>749</v>
      </c>
      <c r="G12" s="19" t="s">
        <v>747</v>
      </c>
      <c r="H12" s="7" t="s">
        <v>751</v>
      </c>
      <c r="I12" s="7" t="s">
        <v>754</v>
      </c>
    </row>
    <row r="13" ht="71.25" customHeight="1" spans="1:9">
      <c r="A13" s="16" t="s">
        <v>41</v>
      </c>
      <c r="B13" s="7" t="s">
        <v>748</v>
      </c>
      <c r="C13" s="7" t="s">
        <v>751</v>
      </c>
      <c r="D13" s="19" t="s">
        <v>749</v>
      </c>
      <c r="E13" s="20"/>
      <c r="F13" s="19" t="s">
        <v>747</v>
      </c>
      <c r="G13" s="19" t="s">
        <v>750</v>
      </c>
      <c r="H13" s="7" t="s">
        <v>752</v>
      </c>
      <c r="I13" s="7" t="s">
        <v>753</v>
      </c>
    </row>
    <row r="14" ht="71.25" customHeight="1" spans="1:9">
      <c r="A14" s="16" t="s">
        <v>42</v>
      </c>
      <c r="B14" s="19" t="s">
        <v>750</v>
      </c>
      <c r="C14" s="20"/>
      <c r="D14" s="7" t="s">
        <v>749</v>
      </c>
      <c r="E14" s="19" t="s">
        <v>747</v>
      </c>
      <c r="F14" s="7" t="s">
        <v>751</v>
      </c>
      <c r="G14" s="7" t="s">
        <v>748</v>
      </c>
      <c r="H14" s="7" t="s">
        <v>752</v>
      </c>
      <c r="I14" s="7" t="s">
        <v>754</v>
      </c>
    </row>
  </sheetData>
  <mergeCells count="10">
    <mergeCell ref="A1:F1"/>
    <mergeCell ref="A2:F2"/>
    <mergeCell ref="A3:F3"/>
    <mergeCell ref="A4:F4"/>
    <mergeCell ref="A5:F5"/>
    <mergeCell ref="B9:C9"/>
    <mergeCell ref="D11:E11"/>
    <mergeCell ref="D12:E12"/>
    <mergeCell ref="D13:E13"/>
    <mergeCell ref="B14:C14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14"/>
  <sheetViews>
    <sheetView workbookViewId="0">
      <selection activeCell="A1" sqref="A1:F1"/>
    </sheetView>
  </sheetViews>
  <sheetFormatPr defaultColWidth="12.6296296296296" defaultRowHeight="15.75" customHeight="1"/>
  <cols>
    <col min="1" max="1" width="13.75" customWidth="1"/>
    <col min="2" max="2" width="25.5" customWidth="1"/>
    <col min="3" max="9" width="33" customWidth="1"/>
  </cols>
  <sheetData>
    <row r="1" ht="15" spans="1:9">
      <c r="A1" s="1" t="s">
        <v>0</v>
      </c>
      <c r="B1" s="2"/>
      <c r="C1" s="2"/>
      <c r="D1" s="2"/>
      <c r="E1" s="2"/>
      <c r="F1" s="3"/>
      <c r="G1" s="4" t="s">
        <v>1</v>
      </c>
      <c r="H1" s="4" t="s">
        <v>2</v>
      </c>
      <c r="I1" s="12"/>
    </row>
    <row r="2" ht="15" spans="1:9">
      <c r="A2" s="1" t="s">
        <v>3</v>
      </c>
      <c r="B2" s="2"/>
      <c r="C2" s="2"/>
      <c r="D2" s="2"/>
      <c r="E2" s="2"/>
      <c r="F2" s="3"/>
      <c r="G2" s="4" t="s">
        <v>4</v>
      </c>
      <c r="H2" s="4" t="s">
        <v>5</v>
      </c>
      <c r="I2" s="12"/>
    </row>
    <row r="3" ht="15" spans="1:9">
      <c r="A3" s="1" t="s">
        <v>6</v>
      </c>
      <c r="B3" s="2"/>
      <c r="C3" s="2"/>
      <c r="D3" s="2"/>
      <c r="E3" s="2"/>
      <c r="F3" s="3"/>
      <c r="G3" s="4" t="s">
        <v>7</v>
      </c>
      <c r="H3" s="4" t="s">
        <v>8</v>
      </c>
      <c r="I3" s="12"/>
    </row>
    <row r="4" ht="15" spans="1:9">
      <c r="A4" s="1" t="s">
        <v>9</v>
      </c>
      <c r="B4" s="2"/>
      <c r="C4" s="2"/>
      <c r="D4" s="2"/>
      <c r="E4" s="2"/>
      <c r="F4" s="3"/>
      <c r="G4" s="4" t="s">
        <v>10</v>
      </c>
      <c r="H4" s="4" t="s">
        <v>438</v>
      </c>
      <c r="I4" s="12"/>
    </row>
    <row r="5" ht="15" spans="1:9">
      <c r="A5" s="1" t="s">
        <v>755</v>
      </c>
      <c r="B5" s="2"/>
      <c r="C5" s="2"/>
      <c r="D5" s="2"/>
      <c r="E5" s="2"/>
      <c r="F5" s="3"/>
      <c r="G5" s="4"/>
      <c r="H5" s="5"/>
      <c r="I5" s="13"/>
    </row>
    <row r="6" ht="15" spans="1:9">
      <c r="A6" s="4" t="s">
        <v>13</v>
      </c>
      <c r="B6" s="4" t="s">
        <v>14</v>
      </c>
      <c r="C6" s="5"/>
      <c r="D6" s="5"/>
      <c r="E6" s="5"/>
      <c r="F6" s="5"/>
      <c r="G6" s="6" t="s">
        <v>15</v>
      </c>
      <c r="H6" s="4" t="s">
        <v>16</v>
      </c>
      <c r="I6" s="12"/>
    </row>
    <row r="7" ht="35.25" customHeight="1" spans="1:9">
      <c r="A7" s="4" t="s">
        <v>17</v>
      </c>
      <c r="B7" s="4" t="s">
        <v>18</v>
      </c>
      <c r="C7" s="4" t="s">
        <v>14</v>
      </c>
      <c r="D7" s="4" t="s">
        <v>19</v>
      </c>
      <c r="E7" s="4" t="s">
        <v>16</v>
      </c>
      <c r="F7" s="4" t="s">
        <v>20</v>
      </c>
      <c r="G7" s="4" t="s">
        <v>21</v>
      </c>
      <c r="H7" s="4" t="s">
        <v>22</v>
      </c>
      <c r="I7" s="4" t="s">
        <v>23</v>
      </c>
    </row>
    <row r="8" ht="35.25" customHeight="1" spans="1:9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  <c r="I8" s="4" t="s">
        <v>32</v>
      </c>
    </row>
    <row r="9" ht="71.25" customHeight="1" spans="1:9">
      <c r="A9" s="4" t="s">
        <v>33</v>
      </c>
      <c r="B9" s="7" t="s">
        <v>756</v>
      </c>
      <c r="C9" s="8" t="s">
        <v>757</v>
      </c>
      <c r="D9" s="8" t="s">
        <v>758</v>
      </c>
      <c r="E9" s="8" t="s">
        <v>759</v>
      </c>
      <c r="F9" s="9" t="s">
        <v>760</v>
      </c>
      <c r="G9" s="2"/>
      <c r="H9" s="3"/>
      <c r="I9" s="7" t="s">
        <v>761</v>
      </c>
    </row>
    <row r="10" ht="90" spans="1:9">
      <c r="A10" s="4" t="s">
        <v>35</v>
      </c>
      <c r="B10" s="8" t="s">
        <v>762</v>
      </c>
      <c r="C10" s="8" t="s">
        <v>762</v>
      </c>
      <c r="D10" s="10" t="s">
        <v>763</v>
      </c>
      <c r="E10" s="3"/>
      <c r="F10" s="7" t="s">
        <v>764</v>
      </c>
      <c r="G10" s="7" t="s">
        <v>764</v>
      </c>
      <c r="H10" s="11" t="s">
        <v>37</v>
      </c>
      <c r="I10" s="7" t="s">
        <v>765</v>
      </c>
    </row>
    <row r="11" ht="90" customHeight="1" spans="1:9">
      <c r="A11" s="4" t="s">
        <v>39</v>
      </c>
      <c r="B11" s="7" t="s">
        <v>766</v>
      </c>
      <c r="C11" s="7" t="s">
        <v>766</v>
      </c>
      <c r="D11" s="8" t="s">
        <v>757</v>
      </c>
      <c r="E11" s="8" t="s">
        <v>759</v>
      </c>
      <c r="F11" s="7" t="s">
        <v>756</v>
      </c>
      <c r="G11" s="7" t="s">
        <v>756</v>
      </c>
      <c r="H11" s="8" t="s">
        <v>767</v>
      </c>
      <c r="I11" s="7" t="s">
        <v>761</v>
      </c>
    </row>
    <row r="12" ht="90" spans="1:9">
      <c r="A12" s="4" t="s">
        <v>40</v>
      </c>
      <c r="B12" s="7" t="s">
        <v>766</v>
      </c>
      <c r="C12" s="7" t="s">
        <v>756</v>
      </c>
      <c r="D12" s="8" t="s">
        <v>758</v>
      </c>
      <c r="E12" s="8" t="s">
        <v>758</v>
      </c>
      <c r="F12" s="9" t="s">
        <v>763</v>
      </c>
      <c r="G12" s="2"/>
      <c r="H12" s="3"/>
      <c r="I12" s="7" t="s">
        <v>765</v>
      </c>
    </row>
    <row r="13" ht="71.25" customHeight="1" spans="1:9">
      <c r="A13" s="4" t="s">
        <v>41</v>
      </c>
      <c r="B13" s="8" t="s">
        <v>757</v>
      </c>
      <c r="C13" s="8" t="s">
        <v>758</v>
      </c>
      <c r="D13" s="9" t="s">
        <v>760</v>
      </c>
      <c r="E13" s="3"/>
      <c r="F13" s="8" t="s">
        <v>759</v>
      </c>
      <c r="G13" s="8" t="s">
        <v>759</v>
      </c>
      <c r="H13" s="7" t="s">
        <v>764</v>
      </c>
      <c r="I13" s="7" t="s">
        <v>761</v>
      </c>
    </row>
    <row r="14" ht="71.25" customHeight="1" spans="1:9">
      <c r="A14" s="4" t="s">
        <v>42</v>
      </c>
      <c r="B14" s="8" t="s">
        <v>757</v>
      </c>
      <c r="C14" s="8" t="s">
        <v>762</v>
      </c>
      <c r="D14" s="8" t="s">
        <v>759</v>
      </c>
      <c r="E14" s="7" t="s">
        <v>756</v>
      </c>
      <c r="F14" s="8" t="s">
        <v>757</v>
      </c>
      <c r="G14" s="7" t="s">
        <v>766</v>
      </c>
      <c r="H14" s="7" t="s">
        <v>764</v>
      </c>
      <c r="I14" s="7" t="s">
        <v>765</v>
      </c>
    </row>
  </sheetData>
  <mergeCells count="9">
    <mergeCell ref="A1:F1"/>
    <mergeCell ref="A2:F2"/>
    <mergeCell ref="A3:F3"/>
    <mergeCell ref="A4:F4"/>
    <mergeCell ref="A5:F5"/>
    <mergeCell ref="F9:H9"/>
    <mergeCell ref="D10:E10"/>
    <mergeCell ref="F12:H12"/>
    <mergeCell ref="D13:E13"/>
  </mergeCells>
  <printOptions horizontalCentered="1" verticalCentered="1" gridLines="1"/>
  <pageMargins left="0.25" right="0.25" top="0.75" bottom="0.75" header="0" footer="0"/>
  <pageSetup paperSize="9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Faculty Details</vt:lpstr>
      <vt:lpstr>TEMPLATE</vt:lpstr>
      <vt:lpstr>dep</vt:lpstr>
      <vt:lpstr>S6 Course Allocation</vt:lpstr>
      <vt:lpstr>Sheet6</vt:lpstr>
      <vt:lpstr>Discipline</vt:lpstr>
      <vt:lpstr>AIDS</vt:lpstr>
      <vt:lpstr>AGRI</vt:lpstr>
      <vt:lpstr>AIDS from 15.12.2025</vt:lpstr>
      <vt:lpstr>AIML</vt:lpstr>
      <vt:lpstr>AIML from 15.12.2025</vt:lpstr>
      <vt:lpstr>BT</vt:lpstr>
      <vt:lpstr>EIE</vt:lpstr>
      <vt:lpstr>EEE</vt:lpstr>
      <vt:lpstr>CSD</vt:lpstr>
      <vt:lpstr>CSBS</vt:lpstr>
      <vt:lpstr>ECE</vt:lpstr>
      <vt:lpstr>CSE</vt:lpstr>
      <vt:lpstr>CSE for Academic from 15.12.202</vt:lpstr>
      <vt:lpstr>IT</vt:lpstr>
      <vt:lpstr>MECH</vt:lpstr>
      <vt:lpstr>MTRS</vt:lpstr>
      <vt:lpstr>BME</vt:lpstr>
      <vt:lpstr>CT</vt:lpstr>
      <vt:lpstr>CIVIL</vt:lpstr>
      <vt:lpstr>ISE</vt:lpstr>
      <vt:lpstr>FT</vt:lpstr>
      <vt:lpstr>FD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kalai</cp:lastModifiedBy>
  <dcterms:created xsi:type="dcterms:W3CDTF">2026-03-07T05:40:28Z</dcterms:created>
  <dcterms:modified xsi:type="dcterms:W3CDTF">2026-03-07T08:51:54Z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86703804B86B432EB2C9320C92C7855E_12</vt:lpwstr>
  </property>
  <property fmtid="{D5CDD505-2E9C-101B-9397-08002B2CF9AE}" pid="3" name="KSOProductBuildVer">
    <vt:lpwstr>1033-12.2.0.23196</vt:lpwstr>
  </property>
</Properties>
</file>